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5600" windowHeight="1606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2" i="20" l="1"/>
  <c r="S36" i="20"/>
  <c r="S16" i="20"/>
  <c r="T19" i="20"/>
  <c r="S15" i="20"/>
  <c r="S14" i="20"/>
  <c r="H40" i="20"/>
  <c r="H39" i="20"/>
  <c r="S39" i="20"/>
  <c r="H38" i="20"/>
  <c r="H35" i="20"/>
  <c r="H34" i="20"/>
  <c r="H33" i="20"/>
  <c r="H30" i="20"/>
  <c r="H29" i="20"/>
  <c r="H28" i="20"/>
  <c r="S40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0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177" i="14"/>
  <c r="AX175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177" i="14"/>
  <c r="AP175" i="14"/>
  <c r="AP14" i="14"/>
  <c r="AO259" i="14"/>
  <c r="AO181" i="14"/>
  <c r="AO179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177" i="14"/>
  <c r="AK260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177" i="14"/>
  <c r="AH175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/>
  <c r="Y181" i="14"/>
  <c r="Y179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R259" i="14"/>
  <c r="S14" i="14"/>
  <c r="R181" i="14"/>
  <c r="R179" i="14"/>
  <c r="R177" i="14"/>
  <c r="R175" i="14"/>
  <c r="R14" i="14"/>
  <c r="Q259" i="14"/>
  <c r="Q181" i="14"/>
  <c r="Q179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O260" i="14"/>
  <c r="N259" i="14"/>
  <c r="O14" i="14"/>
  <c r="N181" i="14"/>
  <c r="N179" i="14"/>
  <c r="N177" i="14"/>
  <c r="N175" i="14"/>
  <c r="M259" i="14"/>
  <c r="N14" i="14"/>
  <c r="M181" i="14"/>
  <c r="M179" i="14"/>
  <c r="M260" i="14"/>
  <c r="M177" i="14"/>
  <c r="M175" i="14"/>
  <c r="M14" i="14"/>
  <c r="L259" i="14"/>
  <c r="L181" i="14"/>
  <c r="L179" i="14"/>
  <c r="L177" i="14"/>
  <c r="L175" i="14"/>
  <c r="K260" i="14"/>
  <c r="L14" i="14"/>
  <c r="K259" i="14"/>
  <c r="K181" i="14"/>
  <c r="K179" i="14"/>
  <c r="K177" i="14"/>
  <c r="K175" i="14"/>
  <c r="J259" i="14"/>
  <c r="K14" i="14"/>
  <c r="J181" i="14"/>
  <c r="J179" i="14"/>
  <c r="J177" i="14"/>
  <c r="J175" i="14"/>
  <c r="I260" i="14"/>
  <c r="J14" i="14"/>
  <c r="I259" i="14"/>
  <c r="I181" i="14"/>
  <c r="I179" i="14"/>
  <c r="I177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F259" i="14"/>
  <c r="G14" i="14"/>
  <c r="F181" i="14"/>
  <c r="F179" i="14"/>
  <c r="F260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177" i="15"/>
  <c r="AK260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177" i="15"/>
  <c r="AH175" i="15"/>
  <c r="AH14" i="15"/>
  <c r="AG259" i="15"/>
  <c r="AG181" i="15"/>
  <c r="AG179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177" i="15"/>
  <c r="AD175" i="15"/>
  <c r="AC259" i="15"/>
  <c r="AD14" i="15"/>
  <c r="AC181" i="15"/>
  <c r="AC179" i="15"/>
  <c r="AC260" i="15"/>
  <c r="AC177" i="15"/>
  <c r="AC175" i="15"/>
  <c r="AC14" i="15"/>
  <c r="AB259" i="15"/>
  <c r="AB181" i="15"/>
  <c r="AB179" i="15"/>
  <c r="AB177" i="15"/>
  <c r="AB175" i="15"/>
  <c r="AA260" i="15"/>
  <c r="AB14" i="15"/>
  <c r="AA259" i="15"/>
  <c r="AA181" i="15"/>
  <c r="AA179" i="15"/>
  <c r="AA177" i="15"/>
  <c r="AA175" i="15"/>
  <c r="Z259" i="15"/>
  <c r="AA14" i="15"/>
  <c r="Z181" i="15"/>
  <c r="Z179" i="15"/>
  <c r="Z177" i="15"/>
  <c r="Z175" i="15"/>
  <c r="Y260" i="15"/>
  <c r="Z14" i="15"/>
  <c r="Y259" i="15"/>
  <c r="Y181" i="15"/>
  <c r="Y179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V259" i="15"/>
  <c r="W14" i="15"/>
  <c r="V181" i="15"/>
  <c r="V179" i="15"/>
  <c r="V260" i="15"/>
  <c r="V177" i="15"/>
  <c r="V175" i="15"/>
  <c r="U259" i="15"/>
  <c r="V14" i="15"/>
  <c r="U181" i="15"/>
  <c r="U179" i="15"/>
  <c r="U177" i="15"/>
  <c r="U260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O260" i="15"/>
  <c r="N259" i="15"/>
  <c r="O14" i="15"/>
  <c r="N181" i="15"/>
  <c r="N179" i="15"/>
  <c r="N260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I260" i="15"/>
  <c r="J14" i="15"/>
  <c r="I259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177" i="16"/>
  <c r="AX175" i="16"/>
  <c r="AX14" i="16"/>
  <c r="AW259" i="16"/>
  <c r="AW181" i="16"/>
  <c r="AW179" i="16"/>
  <c r="AW177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177" i="16"/>
  <c r="AT175" i="16"/>
  <c r="AS259" i="16"/>
  <c r="AT14" i="16"/>
  <c r="AS181" i="16"/>
  <c r="AS179" i="16"/>
  <c r="AS260" i="16"/>
  <c r="AS177" i="16"/>
  <c r="AS175" i="16"/>
  <c r="AS14" i="16"/>
  <c r="AR259" i="16"/>
  <c r="AR181" i="16"/>
  <c r="AR179" i="16"/>
  <c r="AR177" i="16"/>
  <c r="AR175" i="16"/>
  <c r="AQ260" i="16"/>
  <c r="AR14" i="16"/>
  <c r="AQ259" i="16"/>
  <c r="AQ181" i="16"/>
  <c r="AQ179" i="16"/>
  <c r="AQ177" i="16"/>
  <c r="AQ175" i="16"/>
  <c r="AP259" i="16"/>
  <c r="AQ14" i="16"/>
  <c r="AP181" i="16"/>
  <c r="AP179" i="16"/>
  <c r="AP177" i="16"/>
  <c r="AP175" i="16"/>
  <c r="AO260" i="16"/>
  <c r="AP14" i="16"/>
  <c r="AO259" i="16"/>
  <c r="AO181" i="16"/>
  <c r="AO179" i="16"/>
  <c r="AO177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177" i="16"/>
  <c r="AK260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A260" i="16"/>
  <c r="AB14" i="16"/>
  <c r="AA259" i="16"/>
  <c r="AA181" i="16"/>
  <c r="AA179" i="16"/>
  <c r="AA177" i="16"/>
  <c r="AA175" i="16"/>
  <c r="Z259" i="16"/>
  <c r="AA14" i="16"/>
  <c r="Z181" i="16"/>
  <c r="Z179" i="16"/>
  <c r="Z177" i="16"/>
  <c r="Z175" i="16"/>
  <c r="Y260" i="16"/>
  <c r="Z14" i="16"/>
  <c r="Y259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V259" i="16"/>
  <c r="W14" i="16"/>
  <c r="V181" i="16"/>
  <c r="V179" i="16"/>
  <c r="V260" i="16"/>
  <c r="V177" i="16"/>
  <c r="V175" i="16"/>
  <c r="U259" i="16"/>
  <c r="V14" i="16"/>
  <c r="U181" i="16"/>
  <c r="U179" i="16"/>
  <c r="U177" i="16"/>
  <c r="U260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O260" i="16"/>
  <c r="N259" i="16"/>
  <c r="O14" i="16"/>
  <c r="N181" i="16"/>
  <c r="N179" i="16"/>
  <c r="N260" i="16"/>
  <c r="N177" i="16"/>
  <c r="N175" i="16"/>
  <c r="M259" i="16"/>
  <c r="N14" i="16"/>
  <c r="M181" i="16"/>
  <c r="M179" i="16"/>
  <c r="M260" i="16"/>
  <c r="M177" i="16"/>
  <c r="M175" i="16"/>
  <c r="M14" i="16"/>
  <c r="L259" i="16"/>
  <c r="L181" i="16"/>
  <c r="L179" i="16"/>
  <c r="L177" i="16"/>
  <c r="L175" i="16"/>
  <c r="K260" i="16"/>
  <c r="L14" i="16"/>
  <c r="K259" i="16"/>
  <c r="K181" i="16"/>
  <c r="K179" i="16"/>
  <c r="K177" i="16"/>
  <c r="K175" i="16"/>
  <c r="J259" i="16"/>
  <c r="K14" i="16"/>
  <c r="J181" i="16"/>
  <c r="J179" i="16"/>
  <c r="J177" i="16"/>
  <c r="J175" i="16"/>
  <c r="I260" i="16"/>
  <c r="J14" i="16"/>
  <c r="I259" i="16"/>
  <c r="I181" i="16"/>
  <c r="I179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F259" i="16"/>
  <c r="G14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E14" i="16"/>
  <c r="D181" i="16"/>
  <c r="D179" i="16"/>
  <c r="D177" i="16"/>
  <c r="D175" i="16"/>
  <c r="D260" i="16"/>
  <c r="AY21" i="17"/>
  <c r="AY23" i="17"/>
  <c r="AY22" i="17"/>
  <c r="AY24" i="17"/>
  <c r="AY29" i="17"/>
  <c r="AY33" i="17"/>
  <c r="AY34" i="17"/>
  <c r="AY40" i="17"/>
  <c r="AY44" i="17"/>
  <c r="AY55" i="17"/>
  <c r="AY61" i="17"/>
  <c r="AX14" i="17"/>
  <c r="AY15" i="17"/>
  <c r="AX15" i="17"/>
  <c r="AX16" i="17"/>
  <c r="AY17" i="17"/>
  <c r="AX17" i="17"/>
  <c r="AX29" i="17"/>
  <c r="AW14" i="17"/>
  <c r="AW15" i="17"/>
  <c r="AW16" i="17"/>
  <c r="AW10" i="17"/>
  <c r="AW13" i="17"/>
  <c r="AW17" i="17"/>
  <c r="AW29" i="17"/>
  <c r="AV14" i="17"/>
  <c r="AV15" i="17"/>
  <c r="AV10" i="17"/>
  <c r="AV13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0" i="17"/>
  <c r="AT13" i="17"/>
  <c r="AT16" i="17"/>
  <c r="AT17" i="17"/>
  <c r="AT29" i="17"/>
  <c r="AS14" i="17"/>
  <c r="AS15" i="17"/>
  <c r="AS16" i="17"/>
  <c r="AS10" i="17"/>
  <c r="AS13" i="17"/>
  <c r="AS17" i="17"/>
  <c r="AS29" i="17"/>
  <c r="AR14" i="17"/>
  <c r="AR15" i="17"/>
  <c r="AR10" i="17"/>
  <c r="AR13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0" i="17"/>
  <c r="AO13" i="17"/>
  <c r="AO17" i="17"/>
  <c r="AO29" i="17"/>
  <c r="AN14" i="17"/>
  <c r="AN15" i="17"/>
  <c r="AN10" i="17"/>
  <c r="AN13" i="17"/>
  <c r="AN16" i="17"/>
  <c r="AN17" i="17"/>
  <c r="AN29" i="17"/>
  <c r="AM14" i="17"/>
  <c r="AM15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0" i="17"/>
  <c r="AK13" i="17"/>
  <c r="AK16" i="17"/>
  <c r="AK17" i="17"/>
  <c r="AK21" i="17"/>
  <c r="AK29" i="17"/>
  <c r="AJ14" i="17"/>
  <c r="AJ15" i="17"/>
  <c r="AJ16" i="17"/>
  <c r="AJ10" i="17"/>
  <c r="AJ13" i="17"/>
  <c r="AJ17" i="17"/>
  <c r="AJ29" i="17"/>
  <c r="AI14" i="17"/>
  <c r="AI15" i="17"/>
  <c r="AI16" i="17"/>
  <c r="AI17" i="17"/>
  <c r="AI29" i="17"/>
  <c r="AH14" i="17"/>
  <c r="AH10" i="17"/>
  <c r="AH13" i="17"/>
  <c r="AH15" i="17"/>
  <c r="AH16" i="17"/>
  <c r="AH17" i="17"/>
  <c r="AH29" i="17"/>
  <c r="AG14" i="17"/>
  <c r="AG15" i="17"/>
  <c r="AG16" i="17"/>
  <c r="AG17" i="17"/>
  <c r="AG29" i="17"/>
  <c r="AF14" i="17"/>
  <c r="AF10" i="17"/>
  <c r="AF15" i="17"/>
  <c r="AF16" i="17"/>
  <c r="AF13" i="17"/>
  <c r="AF17" i="17"/>
  <c r="AF29" i="17"/>
  <c r="AE14" i="17"/>
  <c r="AE15" i="17"/>
  <c r="AE16" i="17"/>
  <c r="AE17" i="17"/>
  <c r="AE29" i="17"/>
  <c r="AD14" i="17"/>
  <c r="AD10" i="17"/>
  <c r="AD15" i="17"/>
  <c r="AD16" i="17"/>
  <c r="AD13" i="17"/>
  <c r="AD17" i="17"/>
  <c r="AD29" i="17"/>
  <c r="AC14" i="17"/>
  <c r="AC15" i="17"/>
  <c r="AC16" i="17"/>
  <c r="AC17" i="17"/>
  <c r="AC29" i="17"/>
  <c r="AB14" i="17"/>
  <c r="AB10" i="17"/>
  <c r="AB13" i="17"/>
  <c r="AB15" i="17"/>
  <c r="AB16" i="17"/>
  <c r="AB17" i="17"/>
  <c r="AB29" i="17"/>
  <c r="AA14" i="17"/>
  <c r="AA15" i="17"/>
  <c r="AA16" i="17"/>
  <c r="AA17" i="17"/>
  <c r="AA29" i="17"/>
  <c r="Z14" i="17"/>
  <c r="Z10" i="17"/>
  <c r="Z15" i="17"/>
  <c r="Z16" i="17"/>
  <c r="Z13" i="17"/>
  <c r="Z17" i="17"/>
  <c r="Z29" i="17"/>
  <c r="Y14" i="17"/>
  <c r="Y15" i="17"/>
  <c r="Y16" i="17"/>
  <c r="Y17" i="17"/>
  <c r="Y29" i="17"/>
  <c r="X14" i="17"/>
  <c r="X15" i="17"/>
  <c r="X16" i="17"/>
  <c r="X17" i="17"/>
  <c r="X29" i="17"/>
  <c r="W14" i="17"/>
  <c r="W15" i="17"/>
  <c r="W16" i="17"/>
  <c r="W17" i="17"/>
  <c r="W29" i="17"/>
  <c r="V14" i="17"/>
  <c r="V10" i="17"/>
  <c r="V13" i="17"/>
  <c r="V15" i="17"/>
  <c r="V16" i="17"/>
  <c r="V17" i="17"/>
  <c r="V29" i="17"/>
  <c r="U14" i="17"/>
  <c r="U15" i="17"/>
  <c r="U16" i="17"/>
  <c r="U17" i="17"/>
  <c r="U29" i="17"/>
  <c r="T17" i="17"/>
  <c r="T21" i="17"/>
  <c r="T22" i="17"/>
  <c r="T24" i="17"/>
  <c r="T29" i="17"/>
  <c r="T33" i="17"/>
  <c r="T34" i="17"/>
  <c r="T40" i="17"/>
  <c r="T45" i="17"/>
  <c r="T51" i="17"/>
  <c r="T56" i="17"/>
  <c r="T62" i="17"/>
  <c r="S14" i="17"/>
  <c r="S15" i="17"/>
  <c r="T16" i="17"/>
  <c r="S16" i="17"/>
  <c r="S17" i="17"/>
  <c r="S29" i="17"/>
  <c r="R14" i="17"/>
  <c r="R15" i="17"/>
  <c r="R16" i="17"/>
  <c r="R17" i="17"/>
  <c r="R29" i="17"/>
  <c r="Q15" i="17"/>
  <c r="Q17" i="17"/>
  <c r="Q21" i="17"/>
  <c r="Q22" i="17"/>
  <c r="Q24" i="17"/>
  <c r="Q29" i="17"/>
  <c r="Q33" i="17"/>
  <c r="Q34" i="17"/>
  <c r="Q40" i="17"/>
  <c r="Q45" i="17"/>
  <c r="Q51" i="17"/>
  <c r="Q56" i="17"/>
  <c r="Q62" i="17"/>
  <c r="P14" i="17"/>
  <c r="P15" i="17"/>
  <c r="Q16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0" i="17"/>
  <c r="L13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7" i="17"/>
  <c r="J29" i="17"/>
  <c r="I14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7" i="17"/>
  <c r="G29" i="17"/>
  <c r="F14" i="17"/>
  <c r="F15" i="17"/>
  <c r="F16" i="17"/>
  <c r="F17" i="17"/>
  <c r="F29" i="17"/>
  <c r="E14" i="17"/>
  <c r="E15" i="17"/>
  <c r="E16" i="17"/>
  <c r="E17" i="17"/>
  <c r="E29" i="17"/>
  <c r="D14" i="17"/>
  <c r="D10" i="17"/>
  <c r="D15" i="17"/>
  <c r="D16" i="17"/>
  <c r="D17" i="17"/>
  <c r="D21" i="17"/>
  <c r="D27" i="17"/>
  <c r="D29" i="17"/>
  <c r="D33" i="17"/>
  <c r="D44" i="17"/>
  <c r="D5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7" i="18"/>
  <c r="AU29" i="18"/>
  <c r="AT15" i="18"/>
  <c r="AT17" i="18"/>
  <c r="AT21" i="18"/>
  <c r="AT22" i="18"/>
  <c r="AT24" i="18"/>
  <c r="AT29" i="18"/>
  <c r="AT34" i="18"/>
  <c r="AT40" i="18"/>
  <c r="AT45" i="18"/>
  <c r="AT51" i="18"/>
  <c r="AT56" i="18"/>
  <c r="AT62" i="18"/>
  <c r="AS14" i="18"/>
  <c r="AS15" i="18"/>
  <c r="AT16" i="18"/>
  <c r="AS16" i="18"/>
  <c r="AS17" i="18"/>
  <c r="AS29" i="18"/>
  <c r="AR14" i="18"/>
  <c r="AR15" i="18"/>
  <c r="AR16" i="18"/>
  <c r="AR17" i="18"/>
  <c r="AR29" i="18"/>
  <c r="AQ14" i="18"/>
  <c r="AQ10" i="18"/>
  <c r="AQ13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5" i="18"/>
  <c r="AK10" i="18"/>
  <c r="AK13" i="18"/>
  <c r="AK16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5" i="18"/>
  <c r="AG10" i="18"/>
  <c r="AG13" i="18"/>
  <c r="AG16" i="18"/>
  <c r="AG17" i="18"/>
  <c r="AG29" i="18"/>
  <c r="AF14" i="18"/>
  <c r="AF15" i="18"/>
  <c r="AF16" i="18"/>
  <c r="AF10" i="18"/>
  <c r="AF13" i="18"/>
  <c r="AG21" i="18"/>
  <c r="AF17" i="18"/>
  <c r="AF29" i="18"/>
  <c r="AE14" i="18"/>
  <c r="AE15" i="18"/>
  <c r="AE10" i="18"/>
  <c r="AE13" i="18"/>
  <c r="AE16" i="18"/>
  <c r="AE17" i="18"/>
  <c r="AE29" i="18"/>
  <c r="AD14" i="18"/>
  <c r="AD15" i="18"/>
  <c r="AD16" i="18"/>
  <c r="AD10" i="18"/>
  <c r="AD13" i="18"/>
  <c r="AE21" i="18"/>
  <c r="AD17" i="18"/>
  <c r="AD29" i="18"/>
  <c r="AC14" i="18"/>
  <c r="AC15" i="18"/>
  <c r="AC10" i="18"/>
  <c r="AC13" i="18"/>
  <c r="AC16" i="18"/>
  <c r="AC17" i="18"/>
  <c r="AC29" i="18"/>
  <c r="AB14" i="18"/>
  <c r="AB15" i="18"/>
  <c r="AB16" i="18"/>
  <c r="AB10" i="18"/>
  <c r="AB13" i="18"/>
  <c r="AC21" i="18"/>
  <c r="AB17" i="18"/>
  <c r="AB29" i="18"/>
  <c r="AA14" i="18"/>
  <c r="AA15" i="18"/>
  <c r="AA10" i="18"/>
  <c r="AA13" i="18"/>
  <c r="AA16" i="18"/>
  <c r="AA17" i="18"/>
  <c r="AA29" i="18"/>
  <c r="Z14" i="18"/>
  <c r="Z15" i="18"/>
  <c r="Z16" i="18"/>
  <c r="Z10" i="18"/>
  <c r="Z13" i="18"/>
  <c r="AA21" i="18"/>
  <c r="Z17" i="18"/>
  <c r="Z29" i="18"/>
  <c r="Y14" i="18"/>
  <c r="Y15" i="18"/>
  <c r="Y10" i="18"/>
  <c r="Y13" i="18"/>
  <c r="Y16" i="18"/>
  <c r="Y17" i="18"/>
  <c r="Y29" i="18"/>
  <c r="X14" i="18"/>
  <c r="X15" i="18"/>
  <c r="X16" i="18"/>
  <c r="X10" i="18"/>
  <c r="X13" i="18"/>
  <c r="Y21" i="18"/>
  <c r="X17" i="18"/>
  <c r="X29" i="18"/>
  <c r="W14" i="18"/>
  <c r="W15" i="18"/>
  <c r="W10" i="18"/>
  <c r="W13" i="18"/>
  <c r="W16" i="18"/>
  <c r="W17" i="18"/>
  <c r="W29" i="18"/>
  <c r="V14" i="18"/>
  <c r="V15" i="18"/>
  <c r="V16" i="18"/>
  <c r="V10" i="18"/>
  <c r="V13" i="18"/>
  <c r="V17" i="18"/>
  <c r="V29" i="18"/>
  <c r="U14" i="18"/>
  <c r="U15" i="18"/>
  <c r="U10" i="18"/>
  <c r="U13" i="18"/>
  <c r="U16" i="18"/>
  <c r="U17" i="18"/>
  <c r="U29" i="18"/>
  <c r="T14" i="18"/>
  <c r="T15" i="18"/>
  <c r="T16" i="18"/>
  <c r="T10" i="18"/>
  <c r="T13" i="18"/>
  <c r="U21" i="18"/>
  <c r="T17" i="18"/>
  <c r="T29" i="18"/>
  <c r="S14" i="18"/>
  <c r="S15" i="18"/>
  <c r="S10" i="18"/>
  <c r="S13" i="18"/>
  <c r="S16" i="18"/>
  <c r="S17" i="18"/>
  <c r="S29" i="18"/>
  <c r="R14" i="18"/>
  <c r="R15" i="18"/>
  <c r="R16" i="18"/>
  <c r="R10" i="18"/>
  <c r="R13" i="18"/>
  <c r="S21" i="18"/>
  <c r="R17" i="18"/>
  <c r="R29" i="18"/>
  <c r="Q14" i="18"/>
  <c r="Q15" i="18"/>
  <c r="Q10" i="18"/>
  <c r="Q13" i="18"/>
  <c r="Q16" i="18"/>
  <c r="Q17" i="18"/>
  <c r="Q29" i="18"/>
  <c r="P14" i="18"/>
  <c r="P15" i="18"/>
  <c r="P16" i="18"/>
  <c r="P10" i="18"/>
  <c r="P13" i="18"/>
  <c r="P17" i="18"/>
  <c r="P29" i="18"/>
  <c r="O14" i="18"/>
  <c r="O15" i="18"/>
  <c r="O10" i="18"/>
  <c r="O13" i="18"/>
  <c r="O16" i="18"/>
  <c r="O17" i="18"/>
  <c r="O29" i="18"/>
  <c r="N14" i="18"/>
  <c r="N15" i="18"/>
  <c r="N16" i="18"/>
  <c r="N10" i="18"/>
  <c r="N13" i="18"/>
  <c r="O21" i="18"/>
  <c r="N17" i="18"/>
  <c r="N29" i="18"/>
  <c r="M14" i="18"/>
  <c r="M15" i="18"/>
  <c r="M10" i="18"/>
  <c r="M13" i="18"/>
  <c r="M16" i="18"/>
  <c r="M17" i="18"/>
  <c r="M29" i="18"/>
  <c r="L14" i="18"/>
  <c r="L15" i="18"/>
  <c r="L16" i="18"/>
  <c r="L10" i="18"/>
  <c r="L13" i="18"/>
  <c r="M21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0" i="18"/>
  <c r="J13" i="18"/>
  <c r="K21" i="18"/>
  <c r="J17" i="18"/>
  <c r="J29" i="18"/>
  <c r="I14" i="18"/>
  <c r="I15" i="18"/>
  <c r="I10" i="18"/>
  <c r="I13" i="18"/>
  <c r="I16" i="18"/>
  <c r="I17" i="18"/>
  <c r="I29" i="18"/>
  <c r="H14" i="18"/>
  <c r="H15" i="18"/>
  <c r="H16" i="18"/>
  <c r="H10" i="18"/>
  <c r="H13" i="18"/>
  <c r="I21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0" i="18"/>
  <c r="F13" i="18"/>
  <c r="F17" i="18"/>
  <c r="F29" i="18"/>
  <c r="E14" i="18"/>
  <c r="E15" i="18"/>
  <c r="E10" i="18"/>
  <c r="E13" i="18"/>
  <c r="E16" i="18"/>
  <c r="E17" i="18"/>
  <c r="E27" i="18"/>
  <c r="E30" i="18"/>
  <c r="E29" i="18"/>
  <c r="D14" i="18"/>
  <c r="D15" i="18"/>
  <c r="D16" i="18"/>
  <c r="D10" i="18"/>
  <c r="D17" i="18"/>
  <c r="D27" i="18"/>
  <c r="D30" i="18"/>
  <c r="D29" i="18"/>
  <c r="B21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D22" i="17"/>
  <c r="O23" i="18"/>
  <c r="O33" i="18"/>
  <c r="O44" i="18"/>
  <c r="O55" i="18"/>
  <c r="AE23" i="18"/>
  <c r="AE44" i="18"/>
  <c r="AE33" i="18"/>
  <c r="AE55" i="18"/>
  <c r="J21" i="18"/>
  <c r="D23" i="18"/>
  <c r="D33" i="18"/>
  <c r="D44" i="18"/>
  <c r="D55" i="18"/>
  <c r="H21" i="18"/>
  <c r="H22" i="18"/>
  <c r="I23" i="18"/>
  <c r="I33" i="18"/>
  <c r="I44" i="18"/>
  <c r="I55" i="18"/>
  <c r="P21" i="18"/>
  <c r="X21" i="18"/>
  <c r="Y23" i="18"/>
  <c r="Y44" i="18"/>
  <c r="Y33" i="18"/>
  <c r="Y55" i="18"/>
  <c r="AF21" i="18"/>
  <c r="AG23" i="18"/>
  <c r="AG44" i="18"/>
  <c r="AG33" i="18"/>
  <c r="AG55" i="18"/>
  <c r="AL22" i="18"/>
  <c r="W22" i="17"/>
  <c r="W21" i="17"/>
  <c r="F21" i="18"/>
  <c r="V21" i="18"/>
  <c r="L21" i="18"/>
  <c r="M23" i="18"/>
  <c r="M33" i="18"/>
  <c r="M44" i="18"/>
  <c r="M55" i="18"/>
  <c r="T21" i="18"/>
  <c r="U23" i="18"/>
  <c r="U33" i="18"/>
  <c r="U44" i="18"/>
  <c r="U55" i="18"/>
  <c r="AB22" i="18"/>
  <c r="AB21" i="18"/>
  <c r="AC23" i="18"/>
  <c r="AC44" i="18"/>
  <c r="AC33" i="18"/>
  <c r="AC55" i="18"/>
  <c r="N21" i="18"/>
  <c r="AD22" i="18"/>
  <c r="AD21" i="18"/>
  <c r="AR21" i="18"/>
  <c r="K23" i="18"/>
  <c r="K33" i="18"/>
  <c r="K44" i="18"/>
  <c r="K55" i="18"/>
  <c r="R21" i="18"/>
  <c r="S23" i="18"/>
  <c r="S33" i="18"/>
  <c r="S44" i="18"/>
  <c r="S55" i="18"/>
  <c r="Z21" i="18"/>
  <c r="AA23" i="18"/>
  <c r="AA44" i="18"/>
  <c r="AA33" i="18"/>
  <c r="AA55" i="18"/>
  <c r="AH21" i="18"/>
  <c r="M22" i="17"/>
  <c r="M21" i="17"/>
  <c r="AC22" i="17"/>
  <c r="AC21" i="17"/>
  <c r="D13" i="18"/>
  <c r="G21" i="18"/>
  <c r="Q21" i="18"/>
  <c r="W21" i="18"/>
  <c r="Y22" i="18"/>
  <c r="AA22" i="17"/>
  <c r="AA21" i="17"/>
  <c r="D45" i="17"/>
  <c r="D51" i="17"/>
  <c r="D24" i="17"/>
  <c r="D34" i="17"/>
  <c r="D40" i="17"/>
  <c r="B22" i="18"/>
  <c r="W22" i="18"/>
  <c r="AZ17" i="18"/>
  <c r="F27" i="18"/>
  <c r="I22" i="18"/>
  <c r="K22" i="18"/>
  <c r="M22" i="18"/>
  <c r="O22" i="18"/>
  <c r="S22" i="18"/>
  <c r="U22" i="18"/>
  <c r="AM21" i="18"/>
  <c r="AO10" i="18"/>
  <c r="AO13" i="18"/>
  <c r="AV10" i="18"/>
  <c r="AV13" i="18"/>
  <c r="AX10" i="18"/>
  <c r="AX13" i="18"/>
  <c r="D46" i="17"/>
  <c r="E27" i="17"/>
  <c r="D30" i="17"/>
  <c r="H10" i="17"/>
  <c r="H13" i="17"/>
  <c r="J10" i="17"/>
  <c r="J13" i="17"/>
  <c r="AT22" i="17"/>
  <c r="AT21" i="17"/>
  <c r="AU21" i="17"/>
  <c r="AU22" i="17"/>
  <c r="AV22" i="17"/>
  <c r="AV21" i="17"/>
  <c r="T35" i="17"/>
  <c r="T39" i="17"/>
  <c r="AI22" i="18"/>
  <c r="AT55" i="18"/>
  <c r="AT23" i="18"/>
  <c r="AT44" i="18"/>
  <c r="AT33" i="18"/>
  <c r="D35" i="17"/>
  <c r="D39" i="17"/>
  <c r="AZ17" i="17"/>
  <c r="Q35" i="17"/>
  <c r="Q39" i="17"/>
  <c r="S10" i="17"/>
  <c r="S13" i="17"/>
  <c r="T14" i="17"/>
  <c r="T10" i="17"/>
  <c r="T13" i="17"/>
  <c r="AE22" i="17"/>
  <c r="AE21" i="17"/>
  <c r="AK23" i="17"/>
  <c r="AK55" i="17"/>
  <c r="AK44" i="17"/>
  <c r="AK33" i="17"/>
  <c r="AM22" i="17"/>
  <c r="AM21" i="17"/>
  <c r="AO21" i="17"/>
  <c r="AO22" i="17"/>
  <c r="AR22" i="17"/>
  <c r="AR21" i="17"/>
  <c r="AX22" i="17"/>
  <c r="AX21" i="17"/>
  <c r="AL21" i="18"/>
  <c r="T55" i="17"/>
  <c r="T23" i="17"/>
  <c r="T44" i="17"/>
  <c r="AW21" i="17"/>
  <c r="AW22" i="17"/>
  <c r="AI21" i="18"/>
  <c r="AK21" i="18"/>
  <c r="AM10" i="18"/>
  <c r="AM13" i="18"/>
  <c r="AO22" i="18"/>
  <c r="AO21" i="18"/>
  <c r="D56" i="17"/>
  <c r="D62" i="17"/>
  <c r="D13" i="17"/>
  <c r="P10" i="17"/>
  <c r="P13" i="17"/>
  <c r="Q14" i="17"/>
  <c r="Q10" i="17"/>
  <c r="Q13" i="17"/>
  <c r="T15" i="17"/>
  <c r="AK22" i="17"/>
  <c r="AP22" i="17"/>
  <c r="AP21" i="17"/>
  <c r="AS21" i="17"/>
  <c r="AS22" i="17"/>
  <c r="AI10" i="18"/>
  <c r="AI13" i="18"/>
  <c r="AS10" i="18"/>
  <c r="AS13" i="18"/>
  <c r="AT14" i="18"/>
  <c r="AT10" i="18"/>
  <c r="AT13" i="18"/>
  <c r="D55" i="17"/>
  <c r="D23" i="17"/>
  <c r="F10" i="17"/>
  <c r="F13" i="17"/>
  <c r="N10" i="17"/>
  <c r="N13" i="17"/>
  <c r="Q55" i="17"/>
  <c r="Q23" i="17"/>
  <c r="Q44" i="17"/>
  <c r="X10" i="17"/>
  <c r="X13" i="17"/>
  <c r="AI22" i="17"/>
  <c r="AI21" i="17"/>
  <c r="AQ21" i="17"/>
  <c r="AQ22" i="17"/>
  <c r="AX10" i="17"/>
  <c r="AX13" i="17"/>
  <c r="AY14" i="17"/>
  <c r="AY16" i="17"/>
  <c r="AY46" i="17"/>
  <c r="AY50" i="17"/>
  <c r="AD260" i="15"/>
  <c r="AG22" i="17"/>
  <c r="AG21" i="17"/>
  <c r="AL22" i="17"/>
  <c r="AL21" i="17"/>
  <c r="AM10" i="17"/>
  <c r="AM13" i="17"/>
  <c r="AT260" i="16"/>
  <c r="N260" i="14"/>
  <c r="S7" i="20"/>
  <c r="H8" i="20"/>
  <c r="H10" i="20"/>
  <c r="AP10" i="18"/>
  <c r="AP13" i="18"/>
  <c r="AR10" i="18"/>
  <c r="AR13" i="18"/>
  <c r="AU10" i="18"/>
  <c r="AU13" i="18"/>
  <c r="AW10" i="18"/>
  <c r="AW13" i="18"/>
  <c r="AY10" i="18"/>
  <c r="AY13" i="18"/>
  <c r="E10" i="17"/>
  <c r="E13" i="17"/>
  <c r="G10" i="17"/>
  <c r="G13" i="17"/>
  <c r="I10" i="17"/>
  <c r="I13" i="17"/>
  <c r="K10" i="17"/>
  <c r="K13" i="17"/>
  <c r="M10" i="17"/>
  <c r="M13" i="17"/>
  <c r="O10" i="17"/>
  <c r="O13" i="17"/>
  <c r="R10" i="17"/>
  <c r="R13" i="17"/>
  <c r="U10" i="17"/>
  <c r="U13" i="17"/>
  <c r="W10" i="17"/>
  <c r="W13" i="17"/>
  <c r="Y10" i="17"/>
  <c r="Y13" i="17"/>
  <c r="AA10" i="17"/>
  <c r="AA13" i="17"/>
  <c r="AC10" i="17"/>
  <c r="AC13" i="17"/>
  <c r="AE10" i="17"/>
  <c r="AE13" i="17"/>
  <c r="AG10" i="17"/>
  <c r="AG13" i="17"/>
  <c r="AI10" i="17"/>
  <c r="AI13" i="17"/>
  <c r="AY57" i="17"/>
  <c r="G260" i="16"/>
  <c r="L260" i="16"/>
  <c r="Q260" i="16"/>
  <c r="AM260" i="16"/>
  <c r="AR260" i="16"/>
  <c r="AW260" i="16"/>
  <c r="BA14" i="15"/>
  <c r="D259" i="15"/>
  <c r="AZ259" i="15"/>
  <c r="W260" i="15"/>
  <c r="AB260" i="15"/>
  <c r="AG260" i="15"/>
  <c r="G260" i="14"/>
  <c r="L260" i="14"/>
  <c r="Q260" i="14"/>
  <c r="AO260" i="14"/>
  <c r="AY56" i="17"/>
  <c r="AY62" i="17"/>
  <c r="AY45" i="17"/>
  <c r="AY51" i="17"/>
  <c r="BA14" i="16"/>
  <c r="D259" i="16"/>
  <c r="AZ259" i="16"/>
  <c r="BA14" i="14"/>
  <c r="D259" i="14"/>
  <c r="AZ259" i="14"/>
  <c r="AY39" i="17"/>
  <c r="AY35" i="17"/>
  <c r="W260" i="16"/>
  <c r="AB260" i="16"/>
  <c r="G260" i="15"/>
  <c r="L260" i="15"/>
  <c r="AM260" i="15"/>
  <c r="AR260" i="15"/>
  <c r="W260" i="14"/>
  <c r="AB260" i="14"/>
  <c r="J260" i="16"/>
  <c r="AZ260" i="16"/>
  <c r="R260" i="16"/>
  <c r="Z260" i="16"/>
  <c r="AH260" i="16"/>
  <c r="AP260" i="16"/>
  <c r="AX260" i="16"/>
  <c r="J260" i="15"/>
  <c r="R260" i="15"/>
  <c r="Z260" i="15"/>
  <c r="AZ260" i="15"/>
  <c r="AH260" i="15"/>
  <c r="AP260" i="15"/>
  <c r="AX260" i="15"/>
  <c r="J260" i="14"/>
  <c r="AZ260" i="14"/>
  <c r="R260" i="14"/>
  <c r="Z260" i="14"/>
  <c r="AH260" i="14"/>
  <c r="AP260" i="14"/>
  <c r="AX260" i="14"/>
  <c r="AM260" i="14"/>
  <c r="AU260" i="14"/>
  <c r="S31" i="20"/>
  <c r="T32" i="20"/>
  <c r="H7" i="20"/>
  <c r="S8" i="20"/>
  <c r="H9" i="20"/>
  <c r="S10" i="20"/>
  <c r="T43" i="20"/>
  <c r="S37" i="20"/>
  <c r="W56" i="18"/>
  <c r="W62" i="18"/>
  <c r="W24" i="18"/>
  <c r="W34" i="18"/>
  <c r="W40" i="18"/>
  <c r="W45" i="18"/>
  <c r="W51" i="18"/>
  <c r="AJ22" i="17"/>
  <c r="AJ21" i="17"/>
  <c r="J22" i="17"/>
  <c r="J21" i="17"/>
  <c r="AU22" i="18"/>
  <c r="AU21" i="18"/>
  <c r="U22" i="17"/>
  <c r="U21" i="17"/>
  <c r="AC45" i="17"/>
  <c r="AC51" i="17"/>
  <c r="AC24" i="17"/>
  <c r="AC56" i="17"/>
  <c r="AC62" i="17"/>
  <c r="AC34" i="17"/>
  <c r="AC40" i="17"/>
  <c r="AB56" i="18"/>
  <c r="AB62" i="18"/>
  <c r="AB24" i="18"/>
  <c r="AB45" i="18"/>
  <c r="AB51" i="18"/>
  <c r="AB34" i="18"/>
  <c r="AB40" i="18"/>
  <c r="L23" i="18"/>
  <c r="L33" i="18"/>
  <c r="L44" i="18"/>
  <c r="L55" i="18"/>
  <c r="J23" i="18"/>
  <c r="J33" i="18"/>
  <c r="J44" i="18"/>
  <c r="J55" i="18"/>
  <c r="AD22" i="17"/>
  <c r="AD21" i="17"/>
  <c r="V22" i="17"/>
  <c r="V21" i="17"/>
  <c r="L22" i="17"/>
  <c r="L21" i="17"/>
  <c r="AQ22" i="18"/>
  <c r="AQ21" i="18"/>
  <c r="AL56" i="17"/>
  <c r="AL62" i="17"/>
  <c r="AL34" i="17"/>
  <c r="AL40" i="17"/>
  <c r="AL24" i="17"/>
  <c r="AL45" i="17"/>
  <c r="AL51" i="17"/>
  <c r="AQ56" i="17"/>
  <c r="AQ62" i="17"/>
  <c r="AQ45" i="17"/>
  <c r="AQ51" i="17"/>
  <c r="AQ34" i="17"/>
  <c r="AQ40" i="17"/>
  <c r="AQ24" i="17"/>
  <c r="Y22" i="17"/>
  <c r="Y21" i="17"/>
  <c r="O22" i="17"/>
  <c r="O21" i="17"/>
  <c r="AS23" i="17"/>
  <c r="AS33" i="17"/>
  <c r="AS55" i="17"/>
  <c r="AS44" i="17"/>
  <c r="AO23" i="18"/>
  <c r="AO55" i="18"/>
  <c r="AO44" i="18"/>
  <c r="AO33" i="18"/>
  <c r="AI23" i="18"/>
  <c r="AI44" i="18"/>
  <c r="AI33" i="18"/>
  <c r="AI55" i="18"/>
  <c r="AX56" i="17"/>
  <c r="AX62" i="17"/>
  <c r="AX34" i="17"/>
  <c r="AX40" i="17"/>
  <c r="AX45" i="17"/>
  <c r="AX51" i="17"/>
  <c r="AX24" i="17"/>
  <c r="AO23" i="17"/>
  <c r="AO33" i="17"/>
  <c r="AO55" i="17"/>
  <c r="AO44" i="17"/>
  <c r="AK50" i="17"/>
  <c r="AE45" i="17"/>
  <c r="AE51" i="17"/>
  <c r="AE24" i="17"/>
  <c r="AE56" i="17"/>
  <c r="AE62" i="17"/>
  <c r="AE34" i="17"/>
  <c r="AE40" i="17"/>
  <c r="AZ10" i="17"/>
  <c r="AT35" i="18"/>
  <c r="AT39" i="18"/>
  <c r="AI56" i="18"/>
  <c r="AI62" i="18"/>
  <c r="AI24" i="18"/>
  <c r="AI34" i="18"/>
  <c r="AI40" i="18"/>
  <c r="AI45" i="18"/>
  <c r="AI51" i="18"/>
  <c r="AV56" i="17"/>
  <c r="AV62" i="17"/>
  <c r="AV34" i="17"/>
  <c r="AV40" i="17"/>
  <c r="AV45" i="17"/>
  <c r="AV51" i="17"/>
  <c r="AV24" i="17"/>
  <c r="AT56" i="17"/>
  <c r="AT62" i="17"/>
  <c r="AT34" i="17"/>
  <c r="AT40" i="17"/>
  <c r="AT45" i="17"/>
  <c r="AT51" i="17"/>
  <c r="AT24" i="17"/>
  <c r="E30" i="17"/>
  <c r="F27" i="17"/>
  <c r="AP22" i="18"/>
  <c r="AP21" i="18"/>
  <c r="O56" i="18"/>
  <c r="O62" i="18"/>
  <c r="O24" i="18"/>
  <c r="O34" i="18"/>
  <c r="O40" i="18"/>
  <c r="O45" i="18"/>
  <c r="O51" i="18"/>
  <c r="F30" i="18"/>
  <c r="G27" i="18"/>
  <c r="AA55" i="17"/>
  <c r="AA33" i="17"/>
  <c r="AA44" i="17"/>
  <c r="AA23" i="17"/>
  <c r="Q23" i="18"/>
  <c r="Q33" i="18"/>
  <c r="Q44" i="18"/>
  <c r="Q55" i="18"/>
  <c r="AC55" i="17"/>
  <c r="AC33" i="17"/>
  <c r="AC44" i="17"/>
  <c r="AC23" i="17"/>
  <c r="AH22" i="18"/>
  <c r="AA50" i="18"/>
  <c r="S61" i="18"/>
  <c r="R22" i="18"/>
  <c r="K39" i="18"/>
  <c r="K35" i="18"/>
  <c r="AD23" i="18"/>
  <c r="AD33" i="18"/>
  <c r="AD44" i="18"/>
  <c r="AD55" i="18"/>
  <c r="AC61" i="18"/>
  <c r="AB23" i="18"/>
  <c r="AB33" i="18"/>
  <c r="AB44" i="18"/>
  <c r="AB55" i="18"/>
  <c r="U39" i="18"/>
  <c r="U35" i="18"/>
  <c r="M61" i="18"/>
  <c r="L22" i="18"/>
  <c r="F22" i="18"/>
  <c r="AM22" i="18"/>
  <c r="AG50" i="18"/>
  <c r="Y57" i="18"/>
  <c r="Y61" i="18"/>
  <c r="X22" i="18"/>
  <c r="P23" i="18"/>
  <c r="P33" i="18"/>
  <c r="P44" i="18"/>
  <c r="P55" i="18"/>
  <c r="D50" i="18"/>
  <c r="J22" i="18"/>
  <c r="AE50" i="18"/>
  <c r="O46" i="18"/>
  <c r="O50" i="18"/>
  <c r="AB22" i="17"/>
  <c r="AB21" i="17"/>
  <c r="AG55" i="17"/>
  <c r="AG33" i="17"/>
  <c r="AG44" i="17"/>
  <c r="AG23" i="17"/>
  <c r="AQ23" i="17"/>
  <c r="AQ33" i="17"/>
  <c r="AQ55" i="17"/>
  <c r="AQ44" i="17"/>
  <c r="G22" i="17"/>
  <c r="G21" i="17"/>
  <c r="AP23" i="17"/>
  <c r="AP33" i="17"/>
  <c r="AP44" i="17"/>
  <c r="AP55" i="17"/>
  <c r="AW56" i="17"/>
  <c r="AW62" i="17"/>
  <c r="AW45" i="17"/>
  <c r="AW51" i="17"/>
  <c r="AW34" i="17"/>
  <c r="AW40" i="17"/>
  <c r="AW24" i="17"/>
  <c r="AM23" i="17"/>
  <c r="AM55" i="17"/>
  <c r="AM44" i="17"/>
  <c r="AM33" i="17"/>
  <c r="AK61" i="17"/>
  <c r="K22" i="17"/>
  <c r="K21" i="17"/>
  <c r="M56" i="18"/>
  <c r="M62" i="18"/>
  <c r="M24" i="18"/>
  <c r="M34" i="18"/>
  <c r="M40" i="18"/>
  <c r="M45" i="18"/>
  <c r="M51" i="18"/>
  <c r="AA45" i="17"/>
  <c r="AA51" i="17"/>
  <c r="AA24" i="17"/>
  <c r="AA34" i="17"/>
  <c r="AA40" i="17"/>
  <c r="AA56" i="17"/>
  <c r="AA62" i="17"/>
  <c r="S50" i="18"/>
  <c r="AD56" i="18"/>
  <c r="AD62" i="18"/>
  <c r="AD24" i="18"/>
  <c r="AD45" i="18"/>
  <c r="AD51" i="18"/>
  <c r="AD34" i="18"/>
  <c r="AD40" i="18"/>
  <c r="F23" i="18"/>
  <c r="F33" i="18"/>
  <c r="F44" i="18"/>
  <c r="F55" i="18"/>
  <c r="I61" i="18"/>
  <c r="AH22" i="17"/>
  <c r="AH21" i="17"/>
  <c r="Z22" i="17"/>
  <c r="Z21" i="17"/>
  <c r="P22" i="17"/>
  <c r="P21" i="17"/>
  <c r="H22" i="17"/>
  <c r="H21" i="17"/>
  <c r="AV22" i="18"/>
  <c r="AV21" i="18"/>
  <c r="AN22" i="17"/>
  <c r="AN21" i="17"/>
  <c r="AG45" i="17"/>
  <c r="AG51" i="17"/>
  <c r="AG24" i="17"/>
  <c r="AG56" i="17"/>
  <c r="AG62" i="17"/>
  <c r="AG34" i="17"/>
  <c r="AG40" i="17"/>
  <c r="AI55" i="17"/>
  <c r="AI33" i="17"/>
  <c r="AI44" i="17"/>
  <c r="AI23" i="17"/>
  <c r="AJ21" i="18"/>
  <c r="AJ22" i="18"/>
  <c r="AP56" i="17"/>
  <c r="AP62" i="17"/>
  <c r="AP34" i="17"/>
  <c r="AP40" i="17"/>
  <c r="AP45" i="17"/>
  <c r="AP51" i="17"/>
  <c r="AP24" i="17"/>
  <c r="E22" i="17"/>
  <c r="E21" i="17"/>
  <c r="AN21" i="18"/>
  <c r="AN22" i="18"/>
  <c r="AW23" i="17"/>
  <c r="AW33" i="17"/>
  <c r="AW55" i="17"/>
  <c r="AW44" i="17"/>
  <c r="AL23" i="18"/>
  <c r="AL44" i="18"/>
  <c r="AL33" i="18"/>
  <c r="AL55" i="18"/>
  <c r="AR56" i="17"/>
  <c r="AR62" i="17"/>
  <c r="AR34" i="17"/>
  <c r="AR40" i="17"/>
  <c r="AR45" i="17"/>
  <c r="AR51" i="17"/>
  <c r="AR24" i="17"/>
  <c r="AM56" i="17"/>
  <c r="AM62" i="17"/>
  <c r="AM24" i="17"/>
  <c r="AM45" i="17"/>
  <c r="AM51" i="17"/>
  <c r="AM34" i="17"/>
  <c r="AM40" i="17"/>
  <c r="AU23" i="17"/>
  <c r="AU33" i="17"/>
  <c r="AU55" i="17"/>
  <c r="AU44" i="17"/>
  <c r="I22" i="17"/>
  <c r="I21" i="17"/>
  <c r="AY22" i="18"/>
  <c r="AY21" i="18"/>
  <c r="U56" i="18"/>
  <c r="U62" i="18"/>
  <c r="U24" i="18"/>
  <c r="U34" i="18"/>
  <c r="U40" i="18"/>
  <c r="U45" i="18"/>
  <c r="U51" i="18"/>
  <c r="K56" i="18"/>
  <c r="K62" i="18"/>
  <c r="K24" i="18"/>
  <c r="K34" i="18"/>
  <c r="K40" i="18"/>
  <c r="K45" i="18"/>
  <c r="K51" i="18"/>
  <c r="Y56" i="18"/>
  <c r="Y62" i="18"/>
  <c r="Y34" i="18"/>
  <c r="Y40" i="18"/>
  <c r="Y45" i="18"/>
  <c r="Y51" i="18"/>
  <c r="Y24" i="18"/>
  <c r="E21" i="18"/>
  <c r="E22" i="18"/>
  <c r="M55" i="17"/>
  <c r="M23" i="17"/>
  <c r="M33" i="17"/>
  <c r="M44" i="17"/>
  <c r="AA61" i="18"/>
  <c r="Z23" i="18"/>
  <c r="Z33" i="18"/>
  <c r="Z44" i="18"/>
  <c r="Z55" i="18"/>
  <c r="S39" i="18"/>
  <c r="K57" i="18"/>
  <c r="K61" i="18"/>
  <c r="AR55" i="18"/>
  <c r="AR23" i="18"/>
  <c r="AR33" i="18"/>
  <c r="AR44" i="18"/>
  <c r="N22" i="18"/>
  <c r="AC50" i="18"/>
  <c r="U57" i="18"/>
  <c r="U61" i="18"/>
  <c r="T22" i="18"/>
  <c r="M39" i="18"/>
  <c r="M35" i="18"/>
  <c r="V22" i="18"/>
  <c r="W55" i="17"/>
  <c r="W33" i="17"/>
  <c r="W23" i="17"/>
  <c r="W44" i="17"/>
  <c r="AG61" i="18"/>
  <c r="AF23" i="18"/>
  <c r="AF33" i="18"/>
  <c r="AF44" i="18"/>
  <c r="AF55" i="18"/>
  <c r="Y46" i="18"/>
  <c r="Y50" i="18"/>
  <c r="Q22" i="18"/>
  <c r="I50" i="18"/>
  <c r="H23" i="18"/>
  <c r="H33" i="18"/>
  <c r="H44" i="18"/>
  <c r="H55" i="18"/>
  <c r="AE61" i="18"/>
  <c r="S22" i="17"/>
  <c r="S21" i="17"/>
  <c r="AX22" i="18"/>
  <c r="AX21" i="18"/>
  <c r="Q46" i="17"/>
  <c r="Q50" i="17"/>
  <c r="R22" i="17"/>
  <c r="R21" i="17"/>
  <c r="AO56" i="18"/>
  <c r="AO62" i="18"/>
  <c r="AO24" i="18"/>
  <c r="AO34" i="18"/>
  <c r="AO40" i="18"/>
  <c r="AO45" i="18"/>
  <c r="AO51" i="18"/>
  <c r="T57" i="17"/>
  <c r="T61" i="17"/>
  <c r="AR23" i="17"/>
  <c r="AR33" i="17"/>
  <c r="AR44" i="17"/>
  <c r="AR55" i="17"/>
  <c r="AT46" i="18"/>
  <c r="AT50" i="18"/>
  <c r="AU56" i="17"/>
  <c r="AU62" i="17"/>
  <c r="AU45" i="17"/>
  <c r="AU51" i="17"/>
  <c r="AU34" i="17"/>
  <c r="AU40" i="17"/>
  <c r="AU24" i="17"/>
  <c r="AM23" i="18"/>
  <c r="AM44" i="18"/>
  <c r="AM55" i="18"/>
  <c r="AM33" i="18"/>
  <c r="G23" i="18"/>
  <c r="G33" i="18"/>
  <c r="G44" i="18"/>
  <c r="G55" i="18"/>
  <c r="AH23" i="18"/>
  <c r="AH44" i="18"/>
  <c r="AH55" i="18"/>
  <c r="AH33" i="18"/>
  <c r="R23" i="18"/>
  <c r="R33" i="18"/>
  <c r="R44" i="18"/>
  <c r="R55" i="18"/>
  <c r="AC39" i="18"/>
  <c r="M46" i="18"/>
  <c r="M50" i="18"/>
  <c r="AL56" i="18"/>
  <c r="AL62" i="18"/>
  <c r="AL24" i="18"/>
  <c r="AL34" i="18"/>
  <c r="AL40" i="18"/>
  <c r="AL45" i="18"/>
  <c r="AL51" i="18"/>
  <c r="Y39" i="18"/>
  <c r="Y35" i="18"/>
  <c r="X23" i="18"/>
  <c r="X33" i="18"/>
  <c r="X44" i="18"/>
  <c r="X55" i="18"/>
  <c r="H56" i="18"/>
  <c r="H62" i="18"/>
  <c r="H24" i="18"/>
  <c r="H34" i="18"/>
  <c r="H40" i="18"/>
  <c r="H45" i="18"/>
  <c r="H51" i="18"/>
  <c r="D39" i="18"/>
  <c r="O39" i="18"/>
  <c r="O35" i="18"/>
  <c r="AF22" i="17"/>
  <c r="AF21" i="17"/>
  <c r="X22" i="17"/>
  <c r="X21" i="17"/>
  <c r="N22" i="17"/>
  <c r="N21" i="17"/>
  <c r="F22" i="17"/>
  <c r="F21" i="17"/>
  <c r="AS22" i="18"/>
  <c r="AS21" i="18"/>
  <c r="T11" i="20"/>
  <c r="T45" i="20"/>
  <c r="AL23" i="17"/>
  <c r="AL33" i="17"/>
  <c r="AL44" i="17"/>
  <c r="AL55" i="17"/>
  <c r="AY10" i="17"/>
  <c r="AY13" i="17"/>
  <c r="AI45" i="17"/>
  <c r="AI51" i="17"/>
  <c r="AI24" i="17"/>
  <c r="AI56" i="17"/>
  <c r="AI62" i="17"/>
  <c r="AI34" i="17"/>
  <c r="AI40" i="17"/>
  <c r="Q57" i="17"/>
  <c r="Q61" i="17"/>
  <c r="D57" i="17"/>
  <c r="D61" i="17"/>
  <c r="AS56" i="17"/>
  <c r="AS62" i="17"/>
  <c r="AS45" i="17"/>
  <c r="AS51" i="17"/>
  <c r="AS34" i="17"/>
  <c r="AS40" i="17"/>
  <c r="AS24" i="17"/>
  <c r="AK56" i="17"/>
  <c r="AK62" i="17"/>
  <c r="AK24" i="17"/>
  <c r="AK45" i="17"/>
  <c r="AK51" i="17"/>
  <c r="AK34" i="17"/>
  <c r="AK40" i="17"/>
  <c r="AK23" i="18"/>
  <c r="AK33" i="18"/>
  <c r="AK55" i="18"/>
  <c r="AK44" i="18"/>
  <c r="T46" i="17"/>
  <c r="T50" i="17"/>
  <c r="AX23" i="17"/>
  <c r="AX33" i="17"/>
  <c r="AX44" i="17"/>
  <c r="AX55" i="17"/>
  <c r="AO56" i="17"/>
  <c r="AO62" i="17"/>
  <c r="AO45" i="17"/>
  <c r="AO51" i="17"/>
  <c r="AO34" i="17"/>
  <c r="AO40" i="17"/>
  <c r="AO24" i="17"/>
  <c r="AK39" i="17"/>
  <c r="AK35" i="17"/>
  <c r="AE55" i="17"/>
  <c r="AE33" i="17"/>
  <c r="AE44" i="17"/>
  <c r="AE23" i="17"/>
  <c r="AT57" i="18"/>
  <c r="AT61" i="18"/>
  <c r="AV23" i="17"/>
  <c r="AV33" i="17"/>
  <c r="AV44" i="17"/>
  <c r="AV55" i="17"/>
  <c r="AT23" i="17"/>
  <c r="AT33" i="17"/>
  <c r="AT44" i="17"/>
  <c r="AT55" i="17"/>
  <c r="AW22" i="18"/>
  <c r="AW21" i="18"/>
  <c r="S56" i="18"/>
  <c r="S62" i="18"/>
  <c r="S24" i="18"/>
  <c r="S34" i="18"/>
  <c r="S40" i="18"/>
  <c r="S45" i="18"/>
  <c r="S51" i="18"/>
  <c r="I56" i="18"/>
  <c r="I62" i="18"/>
  <c r="I24" i="18"/>
  <c r="I34" i="18"/>
  <c r="I40" i="18"/>
  <c r="I45" i="18"/>
  <c r="I51" i="18"/>
  <c r="AG22" i="18"/>
  <c r="AC22" i="18"/>
  <c r="AA22" i="18"/>
  <c r="AK22" i="18"/>
  <c r="D22" i="18"/>
  <c r="AE22" i="18"/>
  <c r="W23" i="18"/>
  <c r="W33" i="18"/>
  <c r="W44" i="18"/>
  <c r="W55" i="18"/>
  <c r="AZ10" i="18"/>
  <c r="M45" i="17"/>
  <c r="M51" i="17"/>
  <c r="M34" i="17"/>
  <c r="M40" i="17"/>
  <c r="M56" i="17"/>
  <c r="M62" i="17"/>
  <c r="M24" i="17"/>
  <c r="AA39" i="18"/>
  <c r="Z22" i="18"/>
  <c r="K50" i="18"/>
  <c r="AR22" i="18"/>
  <c r="N23" i="18"/>
  <c r="N33" i="18"/>
  <c r="N44" i="18"/>
  <c r="N55" i="18"/>
  <c r="U50" i="18"/>
  <c r="T23" i="18"/>
  <c r="T33" i="18"/>
  <c r="T44" i="18"/>
  <c r="T55" i="18"/>
  <c r="V23" i="18"/>
  <c r="V33" i="18"/>
  <c r="V44" i="18"/>
  <c r="V55" i="18"/>
  <c r="W45" i="17"/>
  <c r="W51" i="17"/>
  <c r="W34" i="17"/>
  <c r="W40" i="17"/>
  <c r="W56" i="17"/>
  <c r="W62" i="17"/>
  <c r="W24" i="17"/>
  <c r="AG39" i="18"/>
  <c r="AF22" i="18"/>
  <c r="P22" i="18"/>
  <c r="I39" i="18"/>
  <c r="I35" i="18"/>
  <c r="D61" i="18"/>
  <c r="AE39" i="18"/>
  <c r="O57" i="18"/>
  <c r="O61" i="18"/>
  <c r="G22" i="18"/>
  <c r="V39" i="18"/>
  <c r="AG56" i="18"/>
  <c r="AG45" i="18"/>
  <c r="AG34" i="18"/>
  <c r="AG24" i="18"/>
  <c r="AT57" i="17"/>
  <c r="AT61" i="17"/>
  <c r="AE35" i="17"/>
  <c r="AE39" i="17"/>
  <c r="AL46" i="17"/>
  <c r="AL50" i="17"/>
  <c r="AF55" i="17"/>
  <c r="AF23" i="17"/>
  <c r="AF33" i="17"/>
  <c r="AF44" i="17"/>
  <c r="X39" i="18"/>
  <c r="G57" i="18"/>
  <c r="G61" i="18"/>
  <c r="AR50" i="18"/>
  <c r="AU46" i="17"/>
  <c r="AU50" i="17"/>
  <c r="AL61" i="18"/>
  <c r="AL57" i="18"/>
  <c r="AJ56" i="18"/>
  <c r="AJ62" i="18"/>
  <c r="AJ45" i="18"/>
  <c r="AJ51" i="18"/>
  <c r="AJ34" i="18"/>
  <c r="AJ40" i="18"/>
  <c r="AJ24" i="18"/>
  <c r="AN56" i="17"/>
  <c r="AN62" i="17"/>
  <c r="AN34" i="17"/>
  <c r="AN40" i="17"/>
  <c r="AN45" i="17"/>
  <c r="AN51" i="17"/>
  <c r="AN24" i="17"/>
  <c r="I57" i="18"/>
  <c r="AG57" i="17"/>
  <c r="AG61" i="17"/>
  <c r="F56" i="18"/>
  <c r="F62" i="18"/>
  <c r="F34" i="18"/>
  <c r="F40" i="18"/>
  <c r="F45" i="18"/>
  <c r="F51" i="18"/>
  <c r="F24" i="18"/>
  <c r="AD61" i="18"/>
  <c r="AD57" i="18"/>
  <c r="G27" i="17"/>
  <c r="F30" i="17"/>
  <c r="AS61" i="17"/>
  <c r="AS57" i="17"/>
  <c r="J50" i="18"/>
  <c r="U45" i="17"/>
  <c r="U51" i="17"/>
  <c r="U34" i="17"/>
  <c r="U40" i="17"/>
  <c r="U56" i="17"/>
  <c r="U62" i="17"/>
  <c r="U24" i="17"/>
  <c r="AF56" i="18"/>
  <c r="AF62" i="18"/>
  <c r="AF24" i="18"/>
  <c r="AF45" i="18"/>
  <c r="AF51" i="18"/>
  <c r="AF34" i="18"/>
  <c r="AF40" i="18"/>
  <c r="V50" i="18"/>
  <c r="T50" i="18"/>
  <c r="U46" i="18"/>
  <c r="Z56" i="18"/>
  <c r="Z62" i="18"/>
  <c r="Z24" i="18"/>
  <c r="Z45" i="18"/>
  <c r="Z51" i="18"/>
  <c r="Z34" i="18"/>
  <c r="Z40" i="18"/>
  <c r="W57" i="18"/>
  <c r="W61" i="18"/>
  <c r="AE56" i="18"/>
  <c r="AE34" i="18"/>
  <c r="AE45" i="18"/>
  <c r="AE24" i="18"/>
  <c r="AC56" i="18"/>
  <c r="AC45" i="18"/>
  <c r="AC34" i="18"/>
  <c r="AC24" i="18"/>
  <c r="AE46" i="17"/>
  <c r="AE50" i="17"/>
  <c r="AK57" i="18"/>
  <c r="AK61" i="18"/>
  <c r="AL57" i="17"/>
  <c r="AL61" i="17"/>
  <c r="F45" i="17"/>
  <c r="F51" i="17"/>
  <c r="F24" i="17"/>
  <c r="F34" i="17"/>
  <c r="F40" i="17"/>
  <c r="F56" i="17"/>
  <c r="F62" i="17"/>
  <c r="X45" i="17"/>
  <c r="X51" i="17"/>
  <c r="X24" i="17"/>
  <c r="X34" i="17"/>
  <c r="X40" i="17"/>
  <c r="X56" i="17"/>
  <c r="X62" i="17"/>
  <c r="X46" i="18"/>
  <c r="X50" i="18"/>
  <c r="AM50" i="18"/>
  <c r="AR57" i="17"/>
  <c r="AR61" i="17"/>
  <c r="S55" i="17"/>
  <c r="S23" i="17"/>
  <c r="S44" i="17"/>
  <c r="S33" i="17"/>
  <c r="AF39" i="18"/>
  <c r="AF35" i="18"/>
  <c r="W46" i="17"/>
  <c r="W50" i="17"/>
  <c r="V56" i="18"/>
  <c r="V62" i="18"/>
  <c r="V24" i="18"/>
  <c r="V45" i="18"/>
  <c r="V51" i="18"/>
  <c r="V34" i="18"/>
  <c r="V40" i="18"/>
  <c r="N56" i="18"/>
  <c r="N62" i="18"/>
  <c r="N24" i="18"/>
  <c r="N45" i="18"/>
  <c r="N51" i="18"/>
  <c r="N34" i="18"/>
  <c r="N40" i="18"/>
  <c r="AR61" i="18"/>
  <c r="M35" i="17"/>
  <c r="M39" i="17"/>
  <c r="E23" i="18"/>
  <c r="E33" i="18"/>
  <c r="E44" i="18"/>
  <c r="E55" i="18"/>
  <c r="AZ21" i="18"/>
  <c r="I45" i="17"/>
  <c r="I51" i="17"/>
  <c r="I34" i="17"/>
  <c r="I40" i="17"/>
  <c r="I56" i="17"/>
  <c r="I62" i="17"/>
  <c r="I24" i="17"/>
  <c r="E45" i="17"/>
  <c r="E51" i="17"/>
  <c r="E34" i="17"/>
  <c r="E40" i="17"/>
  <c r="E56" i="17"/>
  <c r="E62" i="17"/>
  <c r="E24" i="17"/>
  <c r="AZ22" i="17"/>
  <c r="AN23" i="17"/>
  <c r="AN33" i="17"/>
  <c r="AN44" i="17"/>
  <c r="AN55" i="17"/>
  <c r="H55" i="17"/>
  <c r="H23" i="17"/>
  <c r="H44" i="17"/>
  <c r="H33" i="17"/>
  <c r="Z55" i="17"/>
  <c r="Z23" i="17"/>
  <c r="Z33" i="17"/>
  <c r="Z44" i="17"/>
  <c r="F39" i="18"/>
  <c r="K55" i="17"/>
  <c r="K23" i="17"/>
  <c r="K33" i="17"/>
  <c r="K44" i="17"/>
  <c r="AM39" i="17"/>
  <c r="AM35" i="17"/>
  <c r="AP57" i="17"/>
  <c r="AP61" i="17"/>
  <c r="G55" i="17"/>
  <c r="G44" i="17"/>
  <c r="G33" i="17"/>
  <c r="G23" i="17"/>
  <c r="AQ39" i="17"/>
  <c r="AQ35" i="17"/>
  <c r="AG35" i="17"/>
  <c r="AG39" i="17"/>
  <c r="J56" i="18"/>
  <c r="J62" i="18"/>
  <c r="J24" i="18"/>
  <c r="J34" i="18"/>
  <c r="J40" i="18"/>
  <c r="J45" i="18"/>
  <c r="J51" i="18"/>
  <c r="P50" i="18"/>
  <c r="AM56" i="18"/>
  <c r="AM62" i="18"/>
  <c r="AM24" i="18"/>
  <c r="AM34" i="18"/>
  <c r="AM40" i="18"/>
  <c r="AM45" i="18"/>
  <c r="AM51" i="18"/>
  <c r="M57" i="18"/>
  <c r="AB46" i="18"/>
  <c r="AB50" i="18"/>
  <c r="AH56" i="18"/>
  <c r="AH62" i="18"/>
  <c r="AH24" i="18"/>
  <c r="AH34" i="18"/>
  <c r="AH40" i="18"/>
  <c r="AH45" i="18"/>
  <c r="AH51" i="18"/>
  <c r="AC57" i="17"/>
  <c r="AC61" i="17"/>
  <c r="AA57" i="17"/>
  <c r="AA61" i="17"/>
  <c r="AP45" i="18"/>
  <c r="AP51" i="18"/>
  <c r="AP34" i="18"/>
  <c r="AP40" i="18"/>
  <c r="AP56" i="18"/>
  <c r="AP62" i="18"/>
  <c r="AP24" i="18"/>
  <c r="AO46" i="17"/>
  <c r="AO50" i="17"/>
  <c r="AI57" i="18"/>
  <c r="AI61" i="18"/>
  <c r="AO39" i="18"/>
  <c r="AO35" i="18"/>
  <c r="AS46" i="17"/>
  <c r="AS50" i="17"/>
  <c r="O55" i="17"/>
  <c r="O44" i="17"/>
  <c r="O23" i="17"/>
  <c r="O33" i="17"/>
  <c r="AQ55" i="18"/>
  <c r="AQ23" i="18"/>
  <c r="AQ33" i="18"/>
  <c r="AQ44" i="18"/>
  <c r="V55" i="17"/>
  <c r="V23" i="17"/>
  <c r="V33" i="17"/>
  <c r="V44" i="17"/>
  <c r="J57" i="18"/>
  <c r="J61" i="18"/>
  <c r="L61" i="18"/>
  <c r="U55" i="17"/>
  <c r="U23" i="17"/>
  <c r="U33" i="17"/>
  <c r="U44" i="17"/>
  <c r="J55" i="17"/>
  <c r="J23" i="17"/>
  <c r="J44" i="17"/>
  <c r="J33" i="17"/>
  <c r="AR45" i="18"/>
  <c r="AR51" i="18"/>
  <c r="AR34" i="18"/>
  <c r="AR40" i="18"/>
  <c r="AR56" i="18"/>
  <c r="AR62" i="18"/>
  <c r="AR24" i="18"/>
  <c r="W46" i="18"/>
  <c r="W50" i="18"/>
  <c r="AK39" i="18"/>
  <c r="N55" i="17"/>
  <c r="N23" i="17"/>
  <c r="N33" i="17"/>
  <c r="N44" i="17"/>
  <c r="R61" i="18"/>
  <c r="H57" i="18"/>
  <c r="H61" i="18"/>
  <c r="AW46" i="17"/>
  <c r="AW50" i="17"/>
  <c r="AI46" i="17"/>
  <c r="AI50" i="17"/>
  <c r="H45" i="17"/>
  <c r="H51" i="17"/>
  <c r="H24" i="17"/>
  <c r="H34" i="17"/>
  <c r="H40" i="17"/>
  <c r="H56" i="17"/>
  <c r="H62" i="17"/>
  <c r="K45" i="17"/>
  <c r="K51" i="17"/>
  <c r="K34" i="17"/>
  <c r="K40" i="17"/>
  <c r="K56" i="17"/>
  <c r="K62" i="17"/>
  <c r="K24" i="17"/>
  <c r="AP46" i="17"/>
  <c r="AP50" i="17"/>
  <c r="Q61" i="18"/>
  <c r="AO46" i="18"/>
  <c r="AO50" i="18"/>
  <c r="L50" i="18"/>
  <c r="J45" i="17"/>
  <c r="J51" i="17"/>
  <c r="J24" i="17"/>
  <c r="J34" i="17"/>
  <c r="J40" i="17"/>
  <c r="J56" i="17"/>
  <c r="J62" i="17"/>
  <c r="N50" i="18"/>
  <c r="W39" i="18"/>
  <c r="W35" i="18"/>
  <c r="AK56" i="18"/>
  <c r="AK62" i="18"/>
  <c r="AK24" i="18"/>
  <c r="AK34" i="18"/>
  <c r="AK40" i="18"/>
  <c r="AK45" i="18"/>
  <c r="AK51" i="18"/>
  <c r="AW55" i="18"/>
  <c r="AW23" i="18"/>
  <c r="AW44" i="18"/>
  <c r="AW33" i="18"/>
  <c r="AT46" i="17"/>
  <c r="AT50" i="17"/>
  <c r="AV46" i="17"/>
  <c r="AV50" i="17"/>
  <c r="AE57" i="17"/>
  <c r="AE61" i="17"/>
  <c r="AX46" i="17"/>
  <c r="AX50" i="17"/>
  <c r="AL39" i="17"/>
  <c r="AL35" i="17"/>
  <c r="AS45" i="18"/>
  <c r="AS51" i="18"/>
  <c r="AS24" i="18"/>
  <c r="AS34" i="18"/>
  <c r="AS40" i="18"/>
  <c r="AS56" i="18"/>
  <c r="AS62" i="18"/>
  <c r="N45" i="17"/>
  <c r="N51" i="17"/>
  <c r="N24" i="17"/>
  <c r="N34" i="17"/>
  <c r="N40" i="17"/>
  <c r="N56" i="17"/>
  <c r="N62" i="17"/>
  <c r="AF45" i="17"/>
  <c r="AF51" i="17"/>
  <c r="AF56" i="17"/>
  <c r="AF62" i="17"/>
  <c r="AF24" i="17"/>
  <c r="AF34" i="17"/>
  <c r="AF40" i="17"/>
  <c r="R50" i="18"/>
  <c r="AH57" i="18"/>
  <c r="AH61" i="18"/>
  <c r="G50" i="18"/>
  <c r="AM39" i="18"/>
  <c r="AM35" i="18"/>
  <c r="AR39" i="17"/>
  <c r="AR35" i="17"/>
  <c r="R55" i="17"/>
  <c r="R33" i="17"/>
  <c r="R23" i="17"/>
  <c r="R44" i="17"/>
  <c r="AX55" i="18"/>
  <c r="AX23" i="18"/>
  <c r="AX44" i="18"/>
  <c r="AX33" i="18"/>
  <c r="H46" i="18"/>
  <c r="H50" i="18"/>
  <c r="I46" i="18"/>
  <c r="AF61" i="18"/>
  <c r="AF57" i="18"/>
  <c r="W35" i="17"/>
  <c r="W39" i="17"/>
  <c r="AR39" i="18"/>
  <c r="Z46" i="18"/>
  <c r="Z50" i="18"/>
  <c r="M57" i="17"/>
  <c r="M61" i="17"/>
  <c r="AY45" i="18"/>
  <c r="AY51" i="18"/>
  <c r="AY34" i="18"/>
  <c r="AY40" i="18"/>
  <c r="AY56" i="18"/>
  <c r="AY62" i="18"/>
  <c r="AY24" i="18"/>
  <c r="AU61" i="17"/>
  <c r="AU57" i="17"/>
  <c r="AL39" i="18"/>
  <c r="AL35" i="18"/>
  <c r="AW61" i="17"/>
  <c r="AW57" i="17"/>
  <c r="AN23" i="18"/>
  <c r="AN33" i="18"/>
  <c r="AN55" i="18"/>
  <c r="AN44" i="18"/>
  <c r="AJ23" i="18"/>
  <c r="AJ55" i="18"/>
  <c r="AJ33" i="18"/>
  <c r="AJ44" i="18"/>
  <c r="AI35" i="17"/>
  <c r="AI39" i="17"/>
  <c r="AV55" i="18"/>
  <c r="AV23" i="18"/>
  <c r="AV44" i="18"/>
  <c r="AV33" i="18"/>
  <c r="P55" i="17"/>
  <c r="P23" i="17"/>
  <c r="P44" i="17"/>
  <c r="P33" i="17"/>
  <c r="AH55" i="17"/>
  <c r="AH23" i="17"/>
  <c r="AH44" i="17"/>
  <c r="AH33" i="17"/>
  <c r="F57" i="18"/>
  <c r="F61" i="18"/>
  <c r="AK57" i="17"/>
  <c r="AM61" i="17"/>
  <c r="AM57" i="17"/>
  <c r="AP39" i="17"/>
  <c r="AP35" i="17"/>
  <c r="AQ46" i="17"/>
  <c r="AQ50" i="17"/>
  <c r="AB55" i="17"/>
  <c r="AB23" i="17"/>
  <c r="AB44" i="17"/>
  <c r="AB33" i="17"/>
  <c r="L56" i="18"/>
  <c r="L62" i="18"/>
  <c r="L34" i="18"/>
  <c r="L40" i="18"/>
  <c r="L24" i="18"/>
  <c r="L45" i="18"/>
  <c r="L51" i="18"/>
  <c r="AD46" i="18"/>
  <c r="AD50" i="18"/>
  <c r="AC46" i="17"/>
  <c r="AC50" i="17"/>
  <c r="Q50" i="18"/>
  <c r="AA46" i="17"/>
  <c r="AA50" i="17"/>
  <c r="AO39" i="17"/>
  <c r="AO35" i="17"/>
  <c r="AI46" i="18"/>
  <c r="AI50" i="18"/>
  <c r="AO57" i="18"/>
  <c r="AO61" i="18"/>
  <c r="AS39" i="17"/>
  <c r="AS35" i="17"/>
  <c r="Y55" i="17"/>
  <c r="Y23" i="17"/>
  <c r="Y44" i="17"/>
  <c r="Y33" i="17"/>
  <c r="L55" i="17"/>
  <c r="L23" i="17"/>
  <c r="L33" i="17"/>
  <c r="L44" i="17"/>
  <c r="AD55" i="17"/>
  <c r="AD23" i="17"/>
  <c r="AD33" i="17"/>
  <c r="AD44" i="17"/>
  <c r="J39" i="18"/>
  <c r="L39" i="18"/>
  <c r="L35" i="18"/>
  <c r="AU55" i="18"/>
  <c r="AU44" i="18"/>
  <c r="AU23" i="18"/>
  <c r="AU33" i="18"/>
  <c r="AJ55" i="17"/>
  <c r="AJ23" i="17"/>
  <c r="AJ44" i="17"/>
  <c r="AJ33" i="17"/>
  <c r="T39" i="18"/>
  <c r="T35" i="18"/>
  <c r="N57" i="18"/>
  <c r="N61" i="18"/>
  <c r="AZ22" i="18"/>
  <c r="D56" i="18"/>
  <c r="D34" i="18"/>
  <c r="D24" i="18"/>
  <c r="D45" i="18"/>
  <c r="AV57" i="17"/>
  <c r="AV61" i="17"/>
  <c r="AX57" i="17"/>
  <c r="AX61" i="17"/>
  <c r="AS55" i="18"/>
  <c r="AS23" i="18"/>
  <c r="AS33" i="18"/>
  <c r="AS44" i="18"/>
  <c r="AH39" i="18"/>
  <c r="AH35" i="18"/>
  <c r="AR46" i="17"/>
  <c r="AR50" i="17"/>
  <c r="S45" i="17"/>
  <c r="S51" i="17"/>
  <c r="S24" i="17"/>
  <c r="S34" i="17"/>
  <c r="S40" i="17"/>
  <c r="S56" i="17"/>
  <c r="S62" i="17"/>
  <c r="Z61" i="18"/>
  <c r="Z57" i="18"/>
  <c r="AY55" i="18"/>
  <c r="AY23" i="18"/>
  <c r="AY33" i="18"/>
  <c r="AY44" i="18"/>
  <c r="AN56" i="18"/>
  <c r="AN62" i="18"/>
  <c r="AN45" i="18"/>
  <c r="AN51" i="18"/>
  <c r="AN24" i="18"/>
  <c r="AN34" i="18"/>
  <c r="AN40" i="18"/>
  <c r="Z45" i="17"/>
  <c r="Z51" i="17"/>
  <c r="Z24" i="17"/>
  <c r="Z34" i="17"/>
  <c r="Z40" i="17"/>
  <c r="Z56" i="17"/>
  <c r="Z62" i="17"/>
  <c r="AM46" i="17"/>
  <c r="AM50" i="17"/>
  <c r="G45" i="17"/>
  <c r="G51" i="17"/>
  <c r="G34" i="17"/>
  <c r="G40" i="17"/>
  <c r="G56" i="17"/>
  <c r="G62" i="17"/>
  <c r="G24" i="17"/>
  <c r="P39" i="18"/>
  <c r="P35" i="18"/>
  <c r="AB39" i="18"/>
  <c r="AB35" i="18"/>
  <c r="S57" i="18"/>
  <c r="G30" i="18"/>
  <c r="H27" i="18"/>
  <c r="AO61" i="17"/>
  <c r="AO57" i="17"/>
  <c r="AI39" i="18"/>
  <c r="AI35" i="18"/>
  <c r="O45" i="17"/>
  <c r="O51" i="17"/>
  <c r="O34" i="17"/>
  <c r="O40" i="17"/>
  <c r="O56" i="17"/>
  <c r="O62" i="17"/>
  <c r="O24" i="17"/>
  <c r="AQ45" i="18"/>
  <c r="AQ51" i="18"/>
  <c r="AQ24" i="18"/>
  <c r="AQ34" i="18"/>
  <c r="AQ40" i="18"/>
  <c r="AQ56" i="18"/>
  <c r="AQ62" i="18"/>
  <c r="V45" i="17"/>
  <c r="V51" i="17"/>
  <c r="V24" i="17"/>
  <c r="V34" i="17"/>
  <c r="V40" i="17"/>
  <c r="V56" i="17"/>
  <c r="V62" i="17"/>
  <c r="G56" i="18"/>
  <c r="G62" i="18"/>
  <c r="G24" i="18"/>
  <c r="G34" i="18"/>
  <c r="G40" i="18"/>
  <c r="G45" i="18"/>
  <c r="G51" i="18"/>
  <c r="P56" i="18"/>
  <c r="P62" i="18"/>
  <c r="P24" i="18"/>
  <c r="P45" i="18"/>
  <c r="P51" i="18"/>
  <c r="P34" i="18"/>
  <c r="P40" i="18"/>
  <c r="V61" i="18"/>
  <c r="V57" i="18"/>
  <c r="T61" i="18"/>
  <c r="N39" i="18"/>
  <c r="N35" i="18"/>
  <c r="K46" i="18"/>
  <c r="AA56" i="18"/>
  <c r="AA45" i="18"/>
  <c r="AA34" i="18"/>
  <c r="AA24" i="18"/>
  <c r="AW45" i="18"/>
  <c r="AW51" i="18"/>
  <c r="AW34" i="18"/>
  <c r="AW40" i="18"/>
  <c r="AW56" i="18"/>
  <c r="AW62" i="18"/>
  <c r="AW24" i="18"/>
  <c r="AT39" i="17"/>
  <c r="AT35" i="17"/>
  <c r="AV39" i="17"/>
  <c r="AV35" i="17"/>
  <c r="AX39" i="17"/>
  <c r="AX35" i="17"/>
  <c r="AK46" i="18"/>
  <c r="AK50" i="18"/>
  <c r="F55" i="17"/>
  <c r="F23" i="17"/>
  <c r="F33" i="17"/>
  <c r="F44" i="17"/>
  <c r="X55" i="17"/>
  <c r="X23" i="17"/>
  <c r="X33" i="17"/>
  <c r="X44" i="17"/>
  <c r="X61" i="18"/>
  <c r="R39" i="18"/>
  <c r="R35" i="18"/>
  <c r="AH46" i="18"/>
  <c r="AH50" i="18"/>
  <c r="G39" i="18"/>
  <c r="G35" i="18"/>
  <c r="AM61" i="18"/>
  <c r="R45" i="17"/>
  <c r="R51" i="17"/>
  <c r="R34" i="17"/>
  <c r="R40" i="17"/>
  <c r="R56" i="17"/>
  <c r="R62" i="17"/>
  <c r="R24" i="17"/>
  <c r="AX45" i="18"/>
  <c r="AX51" i="18"/>
  <c r="AX24" i="18"/>
  <c r="AX34" i="18"/>
  <c r="AX40" i="18"/>
  <c r="AX56" i="18"/>
  <c r="AX62" i="18"/>
  <c r="H39" i="18"/>
  <c r="H35" i="18"/>
  <c r="Q56" i="18"/>
  <c r="Q62" i="18"/>
  <c r="Q24" i="18"/>
  <c r="Q34" i="18"/>
  <c r="Q40" i="18"/>
  <c r="Q45" i="18"/>
  <c r="Q51" i="18"/>
  <c r="AF46" i="18"/>
  <c r="AF50" i="18"/>
  <c r="W57" i="17"/>
  <c r="W61" i="17"/>
  <c r="T56" i="18"/>
  <c r="T62" i="18"/>
  <c r="T34" i="18"/>
  <c r="T40" i="18"/>
  <c r="T45" i="18"/>
  <c r="T51" i="18"/>
  <c r="T24" i="18"/>
  <c r="S35" i="18"/>
  <c r="Z39" i="18"/>
  <c r="Z35" i="18"/>
  <c r="M46" i="17"/>
  <c r="M50" i="17"/>
  <c r="E56" i="18"/>
  <c r="E62" i="18"/>
  <c r="E24" i="18"/>
  <c r="E34" i="18"/>
  <c r="E40" i="18"/>
  <c r="E45" i="18"/>
  <c r="E51" i="18"/>
  <c r="I55" i="17"/>
  <c r="I23" i="17"/>
  <c r="I44" i="17"/>
  <c r="I33" i="17"/>
  <c r="AU39" i="17"/>
  <c r="AU35" i="17"/>
  <c r="AL46" i="18"/>
  <c r="AL50" i="18"/>
  <c r="AW39" i="17"/>
  <c r="AW35" i="17"/>
  <c r="E55" i="17"/>
  <c r="E33" i="17"/>
  <c r="E23" i="17"/>
  <c r="E44" i="17"/>
  <c r="AZ21" i="17"/>
  <c r="AI57" i="17"/>
  <c r="AI61" i="17"/>
  <c r="AV45" i="18"/>
  <c r="AV51" i="18"/>
  <c r="AV24" i="18"/>
  <c r="AV34" i="18"/>
  <c r="AV40" i="18"/>
  <c r="AV56" i="18"/>
  <c r="AV62" i="18"/>
  <c r="P45" i="17"/>
  <c r="P51" i="17"/>
  <c r="P24" i="17"/>
  <c r="P34" i="17"/>
  <c r="P40" i="17"/>
  <c r="P56" i="17"/>
  <c r="P62" i="17"/>
  <c r="AH45" i="17"/>
  <c r="AH51" i="17"/>
  <c r="AH24" i="17"/>
  <c r="AH56" i="17"/>
  <c r="AH62" i="17"/>
  <c r="AH34" i="17"/>
  <c r="AH40" i="17"/>
  <c r="F46" i="18"/>
  <c r="F50" i="18"/>
  <c r="S46" i="18"/>
  <c r="AQ61" i="17"/>
  <c r="AQ57" i="17"/>
  <c r="AG46" i="17"/>
  <c r="AG50" i="17"/>
  <c r="AB45" i="17"/>
  <c r="AB51" i="17"/>
  <c r="AB24" i="17"/>
  <c r="AB34" i="17"/>
  <c r="AB40" i="17"/>
  <c r="AB56" i="17"/>
  <c r="AB62" i="17"/>
  <c r="P61" i="18"/>
  <c r="P57" i="18"/>
  <c r="X56" i="18"/>
  <c r="X62" i="18"/>
  <c r="X34" i="18"/>
  <c r="X40" i="18"/>
  <c r="X24" i="18"/>
  <c r="X45" i="18"/>
  <c r="X51" i="18"/>
  <c r="AB57" i="18"/>
  <c r="AB61" i="18"/>
  <c r="AD39" i="18"/>
  <c r="AD35" i="18"/>
  <c r="R56" i="18"/>
  <c r="R62" i="18"/>
  <c r="R34" i="18"/>
  <c r="R40" i="18"/>
  <c r="R24" i="18"/>
  <c r="R45" i="18"/>
  <c r="R51" i="18"/>
  <c r="AC35" i="17"/>
  <c r="AC39" i="17"/>
  <c r="Q39" i="18"/>
  <c r="Q35" i="18"/>
  <c r="AA35" i="17"/>
  <c r="AA39" i="17"/>
  <c r="AP55" i="18"/>
  <c r="AP23" i="18"/>
  <c r="AP33" i="18"/>
  <c r="AP44" i="18"/>
  <c r="AK46" i="17"/>
  <c r="Y45" i="17"/>
  <c r="Y51" i="17"/>
  <c r="Y34" i="17"/>
  <c r="Y40" i="17"/>
  <c r="Y56" i="17"/>
  <c r="Y62" i="17"/>
  <c r="Y24" i="17"/>
  <c r="L45" i="17"/>
  <c r="L51" i="17"/>
  <c r="L24" i="17"/>
  <c r="L34" i="17"/>
  <c r="L40" i="17"/>
  <c r="L56" i="17"/>
  <c r="L62" i="17"/>
  <c r="AD45" i="17"/>
  <c r="AD51" i="17"/>
  <c r="AD24" i="17"/>
  <c r="AD34" i="17"/>
  <c r="AD40" i="17"/>
  <c r="AD56" i="17"/>
  <c r="AD62" i="17"/>
  <c r="AU45" i="18"/>
  <c r="AU51" i="18"/>
  <c r="AU34" i="18"/>
  <c r="AU40" i="18"/>
  <c r="AU56" i="18"/>
  <c r="AU62" i="18"/>
  <c r="AU24" i="18"/>
  <c r="AJ45" i="17"/>
  <c r="AJ51" i="17"/>
  <c r="AJ24" i="17"/>
  <c r="AJ34" i="17"/>
  <c r="AJ40" i="17"/>
  <c r="AJ56" i="17"/>
  <c r="AJ62" i="17"/>
  <c r="AP35" i="18"/>
  <c r="AP39" i="18"/>
  <c r="I46" i="17"/>
  <c r="I50" i="17"/>
  <c r="AD35" i="17"/>
  <c r="AD39" i="17"/>
  <c r="AB35" i="17"/>
  <c r="AB39" i="17"/>
  <c r="AH61" i="17"/>
  <c r="AH57" i="17"/>
  <c r="AN61" i="18"/>
  <c r="AN57" i="18"/>
  <c r="R35" i="17"/>
  <c r="R39" i="17"/>
  <c r="AE51" i="18"/>
  <c r="AE46" i="18"/>
  <c r="AF35" i="17"/>
  <c r="AF39" i="17"/>
  <c r="AP46" i="18"/>
  <c r="AP50" i="18"/>
  <c r="E35" i="17"/>
  <c r="E39" i="17"/>
  <c r="I35" i="17"/>
  <c r="I39" i="17"/>
  <c r="AM57" i="18"/>
  <c r="X57" i="18"/>
  <c r="X61" i="17"/>
  <c r="X57" i="17"/>
  <c r="F57" i="17"/>
  <c r="F61" i="17"/>
  <c r="AA62" i="18"/>
  <c r="AA57" i="18"/>
  <c r="T57" i="18"/>
  <c r="H30" i="18"/>
  <c r="I27" i="18"/>
  <c r="AY57" i="18"/>
  <c r="AY61" i="18"/>
  <c r="AS35" i="18"/>
  <c r="AS39" i="18"/>
  <c r="AZ24" i="18"/>
  <c r="AJ35" i="17"/>
  <c r="AJ39" i="17"/>
  <c r="AU35" i="18"/>
  <c r="AU39" i="18"/>
  <c r="AD50" i="17"/>
  <c r="AD46" i="17"/>
  <c r="L50" i="17"/>
  <c r="L46" i="17"/>
  <c r="Y35" i="17"/>
  <c r="Y39" i="17"/>
  <c r="Q46" i="18"/>
  <c r="AB61" i="17"/>
  <c r="AB57" i="17"/>
  <c r="AJ46" i="18"/>
  <c r="AJ50" i="18"/>
  <c r="AN46" i="18"/>
  <c r="AN50" i="18"/>
  <c r="AX50" i="18"/>
  <c r="AX46" i="18"/>
  <c r="G46" i="18"/>
  <c r="R46" i="18"/>
  <c r="AW46" i="18"/>
  <c r="AW50" i="18"/>
  <c r="L46" i="18"/>
  <c r="Q57" i="18"/>
  <c r="N35" i="17"/>
  <c r="N39" i="17"/>
  <c r="J50" i="17"/>
  <c r="J46" i="17"/>
  <c r="U35" i="17"/>
  <c r="U39" i="17"/>
  <c r="L57" i="18"/>
  <c r="V35" i="17"/>
  <c r="V39" i="17"/>
  <c r="AQ35" i="18"/>
  <c r="AQ39" i="18"/>
  <c r="K46" i="17"/>
  <c r="K50" i="17"/>
  <c r="F35" i="18"/>
  <c r="AN39" i="17"/>
  <c r="AN35" i="17"/>
  <c r="E57" i="18"/>
  <c r="E61" i="18"/>
  <c r="S35" i="17"/>
  <c r="S39" i="17"/>
  <c r="T46" i="18"/>
  <c r="J46" i="18"/>
  <c r="H27" i="17"/>
  <c r="G30" i="17"/>
  <c r="AF50" i="17"/>
  <c r="AF46" i="17"/>
  <c r="AG51" i="18"/>
  <c r="AG46" i="18"/>
  <c r="F50" i="17"/>
  <c r="F46" i="17"/>
  <c r="Y46" i="17"/>
  <c r="Y50" i="17"/>
  <c r="AV57" i="18"/>
  <c r="AV61" i="18"/>
  <c r="K35" i="17"/>
  <c r="K39" i="17"/>
  <c r="S50" i="17"/>
  <c r="S46" i="17"/>
  <c r="E46" i="17"/>
  <c r="E50" i="17"/>
  <c r="X35" i="17"/>
  <c r="X39" i="17"/>
  <c r="F35" i="17"/>
  <c r="F39" i="17"/>
  <c r="AA40" i="18"/>
  <c r="AA35" i="18"/>
  <c r="AY35" i="18"/>
  <c r="AY39" i="18"/>
  <c r="AS61" i="18"/>
  <c r="AS57" i="18"/>
  <c r="D62" i="18"/>
  <c r="D57" i="18"/>
  <c r="AU46" i="18"/>
  <c r="AU50" i="18"/>
  <c r="J35" i="18"/>
  <c r="AB50" i="17"/>
  <c r="AB46" i="17"/>
  <c r="AH35" i="17"/>
  <c r="AH39" i="17"/>
  <c r="P35" i="17"/>
  <c r="P39" i="17"/>
  <c r="AV35" i="18"/>
  <c r="AV39" i="18"/>
  <c r="AJ57" i="18"/>
  <c r="AJ61" i="18"/>
  <c r="AN39" i="18"/>
  <c r="AN35" i="18"/>
  <c r="AX61" i="18"/>
  <c r="AX57" i="18"/>
  <c r="R57" i="17"/>
  <c r="R61" i="17"/>
  <c r="AW57" i="18"/>
  <c r="AW61" i="18"/>
  <c r="N46" i="18"/>
  <c r="R57" i="18"/>
  <c r="N61" i="17"/>
  <c r="N57" i="17"/>
  <c r="J61" i="17"/>
  <c r="J57" i="17"/>
  <c r="U57" i="17"/>
  <c r="U61" i="17"/>
  <c r="V57" i="17"/>
  <c r="V61" i="17"/>
  <c r="AQ57" i="18"/>
  <c r="AQ61" i="18"/>
  <c r="O57" i="17"/>
  <c r="O61" i="17"/>
  <c r="G46" i="17"/>
  <c r="G50" i="17"/>
  <c r="Z50" i="17"/>
  <c r="Z46" i="17"/>
  <c r="H35" i="17"/>
  <c r="H39" i="17"/>
  <c r="AN57" i="17"/>
  <c r="AN61" i="17"/>
  <c r="E39" i="18"/>
  <c r="E35" i="18"/>
  <c r="AC51" i="18"/>
  <c r="AC46" i="18"/>
  <c r="AE40" i="18"/>
  <c r="AE35" i="18"/>
  <c r="V46" i="18"/>
  <c r="X35" i="18"/>
  <c r="V35" i="18"/>
  <c r="E57" i="17"/>
  <c r="E61" i="17"/>
  <c r="X50" i="17"/>
  <c r="X46" i="17"/>
  <c r="AY46" i="18"/>
  <c r="AY50" i="18"/>
  <c r="D40" i="18"/>
  <c r="D35" i="18"/>
  <c r="AJ50" i="17"/>
  <c r="AJ46" i="17"/>
  <c r="L35" i="17"/>
  <c r="L39" i="17"/>
  <c r="P61" i="17"/>
  <c r="P57" i="17"/>
  <c r="AJ39" i="18"/>
  <c r="AJ35" i="18"/>
  <c r="O46" i="17"/>
  <c r="O50" i="17"/>
  <c r="G35" i="17"/>
  <c r="G39" i="17"/>
  <c r="Z61" i="17"/>
  <c r="Z57" i="17"/>
  <c r="H61" i="17"/>
  <c r="H57" i="17"/>
  <c r="E46" i="18"/>
  <c r="E50" i="18"/>
  <c r="AC40" i="18"/>
  <c r="AC35" i="18"/>
  <c r="AG62" i="18"/>
  <c r="AG57" i="18"/>
  <c r="AP57" i="18"/>
  <c r="AP61" i="18"/>
  <c r="AZ23" i="17"/>
  <c r="I57" i="17"/>
  <c r="I61" i="17"/>
  <c r="AA51" i="18"/>
  <c r="AA46" i="18"/>
  <c r="AS50" i="18"/>
  <c r="AS46" i="18"/>
  <c r="D51" i="18"/>
  <c r="D46" i="18"/>
  <c r="AJ61" i="17"/>
  <c r="AJ57" i="17"/>
  <c r="AU57" i="18"/>
  <c r="AU61" i="18"/>
  <c r="AD61" i="17"/>
  <c r="AD57" i="17"/>
  <c r="L57" i="17"/>
  <c r="L61" i="17"/>
  <c r="Y57" i="17"/>
  <c r="Y61" i="17"/>
  <c r="AH50" i="17"/>
  <c r="AH46" i="17"/>
  <c r="P50" i="17"/>
  <c r="P46" i="17"/>
  <c r="AV50" i="18"/>
  <c r="AV46" i="18"/>
  <c r="AR35" i="18"/>
  <c r="AX35" i="18"/>
  <c r="AX39" i="18"/>
  <c r="R46" i="17"/>
  <c r="R50" i="17"/>
  <c r="AW35" i="18"/>
  <c r="AW39" i="18"/>
  <c r="N50" i="17"/>
  <c r="N46" i="17"/>
  <c r="AK35" i="18"/>
  <c r="J35" i="17"/>
  <c r="J39" i="17"/>
  <c r="U46" i="17"/>
  <c r="U50" i="17"/>
  <c r="V50" i="17"/>
  <c r="V46" i="17"/>
  <c r="AQ50" i="18"/>
  <c r="AQ46" i="18"/>
  <c r="O35" i="17"/>
  <c r="O39" i="17"/>
  <c r="P46" i="18"/>
  <c r="G57" i="17"/>
  <c r="G61" i="17"/>
  <c r="K57" i="17"/>
  <c r="K61" i="17"/>
  <c r="Z35" i="17"/>
  <c r="Z39" i="17"/>
  <c r="H50" i="17"/>
  <c r="H46" i="17"/>
  <c r="AN46" i="17"/>
  <c r="AN50" i="17"/>
  <c r="AZ24" i="17"/>
  <c r="AZ23" i="18"/>
  <c r="AR57" i="18"/>
  <c r="S61" i="17"/>
  <c r="S57" i="17"/>
  <c r="AM46" i="18"/>
  <c r="AC62" i="18"/>
  <c r="AC57" i="18"/>
  <c r="AE62" i="18"/>
  <c r="AE57" i="18"/>
  <c r="AR46" i="18"/>
  <c r="AF61" i="17"/>
  <c r="AF57" i="17"/>
  <c r="AG40" i="18"/>
  <c r="AG35" i="18"/>
  <c r="I30" i="18"/>
  <c r="J27" i="18"/>
  <c r="I27" i="17"/>
  <c r="H30" i="17"/>
  <c r="J27" i="17"/>
  <c r="I30" i="17"/>
  <c r="J30" i="18"/>
  <c r="K27" i="18"/>
  <c r="K30" i="18"/>
  <c r="L27" i="18"/>
  <c r="K27" i="17"/>
  <c r="J30" i="17"/>
  <c r="L30" i="18"/>
  <c r="M27" i="18"/>
  <c r="K30" i="17"/>
  <c r="L27" i="17"/>
  <c r="M27" i="17"/>
  <c r="L30" i="17"/>
  <c r="M30" i="18"/>
  <c r="N27" i="18"/>
  <c r="N30" i="18"/>
  <c r="O27" i="18"/>
  <c r="M30" i="17"/>
  <c r="N27" i="17"/>
  <c r="O27" i="17"/>
  <c r="N30" i="17"/>
  <c r="O30" i="18"/>
  <c r="P27" i="18"/>
  <c r="P30" i="18"/>
  <c r="Q27" i="18"/>
  <c r="O30" i="17"/>
  <c r="P27" i="17"/>
  <c r="P30" i="17"/>
  <c r="Q27" i="17"/>
  <c r="Q30" i="18"/>
  <c r="R27" i="18"/>
  <c r="R30" i="18"/>
  <c r="S27" i="18"/>
  <c r="R27" i="17"/>
  <c r="Q30" i="17"/>
  <c r="S30" i="18"/>
  <c r="T27" i="18"/>
  <c r="S27" i="17"/>
  <c r="R30" i="17"/>
  <c r="T30" i="18"/>
  <c r="U27" i="18"/>
  <c r="S30" i="17"/>
  <c r="T27" i="17"/>
  <c r="U27" i="17"/>
  <c r="T30" i="17"/>
  <c r="U30" i="18"/>
  <c r="V27" i="18"/>
  <c r="V30" i="18"/>
  <c r="W27" i="18"/>
  <c r="U30" i="17"/>
  <c r="V27" i="17"/>
  <c r="W27" i="17"/>
  <c r="V30" i="17"/>
  <c r="W30" i="18"/>
  <c r="X27" i="18"/>
  <c r="X30" i="18"/>
  <c r="Y27" i="18"/>
  <c r="W30" i="17"/>
  <c r="X27" i="17"/>
  <c r="Y27" i="17"/>
  <c r="X30" i="17"/>
  <c r="Y30" i="18"/>
  <c r="Z27" i="18"/>
  <c r="Z30" i="18"/>
  <c r="AA27" i="18"/>
  <c r="Z27" i="17"/>
  <c r="Y30" i="17"/>
  <c r="AA30" i="18"/>
  <c r="AB27" i="18"/>
  <c r="AA27" i="17"/>
  <c r="Z30" i="17"/>
  <c r="AB30" i="18"/>
  <c r="AC27" i="18"/>
  <c r="AB27" i="17"/>
  <c r="AA30" i="17"/>
  <c r="AC30" i="18"/>
  <c r="AD27" i="18"/>
  <c r="AC27" i="17"/>
  <c r="AB30" i="17"/>
  <c r="AD30" i="18"/>
  <c r="AE27" i="18"/>
  <c r="AC30" i="17"/>
  <c r="AD27" i="17"/>
  <c r="AE27" i="17"/>
  <c r="AD30" i="17"/>
  <c r="AE30" i="18"/>
  <c r="AF27" i="18"/>
  <c r="AF30" i="18"/>
  <c r="AG27" i="18"/>
  <c r="AF27" i="17"/>
  <c r="AE30" i="17"/>
  <c r="AG30" i="18"/>
  <c r="AH27" i="18"/>
  <c r="AG27" i="17"/>
  <c r="AF30" i="17"/>
  <c r="AH30" i="18"/>
  <c r="AI27" i="18"/>
  <c r="AH27" i="17"/>
  <c r="AG30" i="17"/>
  <c r="AI27" i="17"/>
  <c r="AH30" i="17"/>
  <c r="AI30" i="18"/>
  <c r="AJ27" i="18"/>
  <c r="AJ30" i="18"/>
  <c r="AK27" i="18"/>
  <c r="AJ27" i="17"/>
  <c r="AI30" i="17"/>
  <c r="AK30" i="18"/>
  <c r="AL27" i="18"/>
  <c r="AK27" i="17"/>
  <c r="AJ30" i="17"/>
  <c r="AL30" i="18"/>
  <c r="AM27" i="18"/>
  <c r="AK30" i="17"/>
  <c r="AL27" i="17"/>
  <c r="AL30" i="17"/>
  <c r="AM27" i="17"/>
  <c r="AM30" i="18"/>
  <c r="AN27" i="18"/>
  <c r="AN30" i="18"/>
  <c r="AO27" i="18"/>
  <c r="AM30" i="17"/>
  <c r="AN27" i="17"/>
  <c r="AN30" i="17"/>
  <c r="AO27" i="17"/>
  <c r="AP27" i="18"/>
  <c r="AO30" i="18"/>
  <c r="AO30" i="17"/>
  <c r="AP27" i="17"/>
  <c r="AP30" i="18"/>
  <c r="AQ27" i="18"/>
  <c r="AR27" i="18"/>
  <c r="AQ30" i="18"/>
  <c r="AP30" i="17"/>
  <c r="AQ27" i="17"/>
  <c r="AQ30" i="17"/>
  <c r="AR27" i="17"/>
  <c r="AR30" i="18"/>
  <c r="AS27" i="18"/>
  <c r="AS30" i="18"/>
  <c r="AT27" i="18"/>
  <c r="AR30" i="17"/>
  <c r="AS27" i="17"/>
  <c r="AS30" i="17"/>
  <c r="AT27" i="17"/>
  <c r="AU27" i="18"/>
  <c r="AT30" i="18"/>
  <c r="AT30" i="17"/>
  <c r="AU27" i="17"/>
  <c r="AV27" i="18"/>
  <c r="AU30" i="18"/>
  <c r="AU30" i="17"/>
  <c r="AV27" i="17"/>
  <c r="AW27" i="18"/>
  <c r="AV30" i="18"/>
  <c r="AV30" i="17"/>
  <c r="AW27" i="17"/>
  <c r="AX27" i="18"/>
  <c r="AW30" i="18"/>
  <c r="AW30" i="17"/>
  <c r="AX27" i="17"/>
  <c r="AY27" i="18"/>
  <c r="AY30" i="18"/>
  <c r="AZ30" i="18"/>
  <c r="AX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<sst xmlns="http://schemas.openxmlformats.org/spreadsheetml/2006/main" count="2631" uniqueCount="414">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</sst>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2029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K20" sqref="K20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2649.7393820990005</v>
      </c>
      <c r="D6" s="87">
        <v>2649.7393820990005</v>
      </c>
      <c r="E6" s="87">
        <v>2649.7393820990005</v>
      </c>
      <c r="F6" s="87">
        <v>2649.7393820990005</v>
      </c>
      <c r="G6" s="87">
        <v>2649.7393820990005</v>
      </c>
      <c r="H6" s="87">
        <v>2649.7393820990005</v>
      </c>
      <c r="I6" s="87">
        <v>2649.7393820990005</v>
      </c>
      <c r="J6" s="87">
        <v>2649.7393820990005</v>
      </c>
      <c r="K6" s="87">
        <v>2649.7393820990005</v>
      </c>
      <c r="L6" s="87">
        <v>2649.7393820990005</v>
      </c>
      <c r="M6" s="87">
        <v>2649.7393820990005</v>
      </c>
      <c r="N6" s="87">
        <v>2649.7393820990005</v>
      </c>
    </row>
    <row r="7" spans="2:14">
      <c r="B7" s="36" t="s">
        <v>105</v>
      </c>
      <c r="C7" s="88">
        <v>1.2547165770438028E-20</v>
      </c>
      <c r="D7" s="89">
        <v>1.2547165770438028E-20</v>
      </c>
      <c r="E7" s="89">
        <v>1.2547165770438028E-20</v>
      </c>
      <c r="F7" s="89">
        <v>1.2547165770438028E-20</v>
      </c>
      <c r="G7" s="89">
        <v>1.2547165770438028E-20</v>
      </c>
      <c r="H7" s="89">
        <v>1.2547165770438028E-20</v>
      </c>
      <c r="I7" s="89">
        <v>1.2547165770438028E-20</v>
      </c>
      <c r="J7" s="89">
        <v>1.2547165770438028E-20</v>
      </c>
      <c r="K7" s="89">
        <v>1.2547165770438028E-20</v>
      </c>
      <c r="L7" s="89">
        <v>1.2547165770438028E-20</v>
      </c>
      <c r="M7" s="89">
        <v>1.2547165770438028E-20</v>
      </c>
      <c r="N7" s="89">
        <v>1.2547165770438028E-20</v>
      </c>
    </row>
    <row r="8" spans="2:14">
      <c r="B8" s="36" t="s">
        <v>106</v>
      </c>
      <c r="C8" s="88">
        <v>40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789.99999999999989</v>
      </c>
      <c r="D9" s="89">
        <v>789.99999999999989</v>
      </c>
      <c r="E9" s="89">
        <v>789.99999999999989</v>
      </c>
      <c r="F9" s="89">
        <v>789.99999999999989</v>
      </c>
      <c r="G9" s="89">
        <v>789.99999999999989</v>
      </c>
      <c r="H9" s="89">
        <v>789.99999999999989</v>
      </c>
      <c r="I9" s="89">
        <v>789.99999999999989</v>
      </c>
      <c r="J9" s="89">
        <v>789.99999999999989</v>
      </c>
      <c r="K9" s="89">
        <v>789.99999999999989</v>
      </c>
      <c r="L9" s="89">
        <v>789.99999999999989</v>
      </c>
      <c r="M9" s="89">
        <v>789.99999999999989</v>
      </c>
      <c r="N9" s="89">
        <v>789.99999999999989</v>
      </c>
    </row>
    <row r="10" spans="2:14">
      <c r="B10" s="36" t="s">
        <v>108</v>
      </c>
      <c r="C10" s="88">
        <v>5.0547414122674367E-21</v>
      </c>
      <c r="D10" s="89">
        <v>5.0547414122674367E-21</v>
      </c>
      <c r="E10" s="89">
        <v>5.0547414122674367E-21</v>
      </c>
      <c r="F10" s="89">
        <v>5.0547414122674367E-21</v>
      </c>
      <c r="G10" s="89">
        <v>5.0547414122674367E-21</v>
      </c>
      <c r="H10" s="89">
        <v>5.0547414122674367E-21</v>
      </c>
      <c r="I10" s="89">
        <v>5.0547414122674367E-21</v>
      </c>
      <c r="J10" s="89">
        <v>5.0547414122674367E-21</v>
      </c>
      <c r="K10" s="89">
        <v>5.0547414122674367E-21</v>
      </c>
      <c r="L10" s="89">
        <v>5.0547414122674367E-21</v>
      </c>
      <c r="M10" s="89">
        <v>5.0547414122674367E-21</v>
      </c>
      <c r="N10" s="89">
        <v>5.0547414122674367E-21</v>
      </c>
    </row>
    <row r="11" spans="2:14">
      <c r="B11" s="37" t="s">
        <v>109</v>
      </c>
      <c r="C11" s="88">
        <v>4.8727829436634972E-21</v>
      </c>
      <c r="D11" s="89">
        <v>4.8727829436634972E-21</v>
      </c>
      <c r="E11" s="89">
        <v>4.8727829436634972E-21</v>
      </c>
      <c r="F11" s="89">
        <v>4.8727829436634972E-21</v>
      </c>
      <c r="G11" s="89">
        <v>4.8727829436634972E-21</v>
      </c>
      <c r="H11" s="89">
        <v>4.8727829436634972E-21</v>
      </c>
      <c r="I11" s="89">
        <v>4.8727829436634972E-21</v>
      </c>
      <c r="J11" s="89">
        <v>4.8727829436634972E-21</v>
      </c>
      <c r="K11" s="89">
        <v>4.8727829436634972E-21</v>
      </c>
      <c r="L11" s="89">
        <v>4.8727829436634972E-21</v>
      </c>
      <c r="M11" s="89">
        <v>4.8727829436634972E-21</v>
      </c>
      <c r="N11" s="89">
        <v>4.8727829436634972E-21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0.55831628283946011</v>
      </c>
      <c r="E17" s="90">
        <v>1</v>
      </c>
      <c r="F17" s="90">
        <v>0.77826903050622986</v>
      </c>
      <c r="G17" s="90">
        <v>0.8</v>
      </c>
      <c r="H17" s="90">
        <v>0.99822177817299973</v>
      </c>
      <c r="I17" s="29" t="s">
        <v>110</v>
      </c>
    </row>
    <row r="18" spans="2:33">
      <c r="B18" s="36" t="s">
        <v>105</v>
      </c>
      <c r="C18" s="91">
        <v>1.2</v>
      </c>
      <c r="D18" s="91">
        <v>0.64278826795932764</v>
      </c>
      <c r="E18" s="91">
        <v>1</v>
      </c>
      <c r="F18" s="91">
        <v>0.76899701468788317</v>
      </c>
      <c r="G18" s="91">
        <v>0.8</v>
      </c>
      <c r="H18" s="91">
        <v>0.89520576141643859</v>
      </c>
      <c r="I18" s="29" t="s">
        <v>110</v>
      </c>
    </row>
    <row r="19" spans="2:33">
      <c r="B19" s="36" t="s">
        <v>106</v>
      </c>
      <c r="C19" s="91">
        <v>1.2</v>
      </c>
      <c r="D19" s="91">
        <v>0.68132223492422805</v>
      </c>
      <c r="E19" s="91">
        <v>1</v>
      </c>
      <c r="F19" s="91">
        <v>0.84004530973661851</v>
      </c>
      <c r="G19" s="91">
        <v>0.8</v>
      </c>
      <c r="H19" s="91">
        <v>0.99876838454900896</v>
      </c>
      <c r="I19" s="29" t="s">
        <v>110</v>
      </c>
    </row>
    <row r="20" spans="2:33">
      <c r="B20" s="36" t="s">
        <v>107</v>
      </c>
      <c r="C20" s="91">
        <v>1.2</v>
      </c>
      <c r="D20" s="91">
        <v>0.64577835580435827</v>
      </c>
      <c r="E20" s="91">
        <v>1</v>
      </c>
      <c r="F20" s="91">
        <v>0.81192720898846982</v>
      </c>
      <c r="G20" s="91">
        <v>0.8</v>
      </c>
      <c r="H20" s="91">
        <v>0.97807606217258136</v>
      </c>
    </row>
    <row r="21" spans="2:33">
      <c r="B21" s="36" t="s">
        <v>108</v>
      </c>
      <c r="C21" s="91">
        <v>1.2</v>
      </c>
      <c r="D21" s="91">
        <v>0.70083220937455037</v>
      </c>
      <c r="E21" s="91">
        <v>1</v>
      </c>
      <c r="F21" s="91">
        <v>0.72809364039809721</v>
      </c>
      <c r="G21" s="91">
        <v>0.8</v>
      </c>
      <c r="H21" s="91">
        <v>0.75535507142164393</v>
      </c>
    </row>
    <row r="22" spans="2:33">
      <c r="B22" s="37" t="s">
        <v>109</v>
      </c>
      <c r="C22" s="91">
        <v>1.2</v>
      </c>
      <c r="D22" s="91">
        <v>0.68386808916202058</v>
      </c>
      <c r="E22" s="91">
        <v>1</v>
      </c>
      <c r="F22" s="91">
        <v>0.74703425003109136</v>
      </c>
      <c r="G22" s="91">
        <v>0.8</v>
      </c>
      <c r="H22" s="91">
        <v>0.81020041090016226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2024</v>
      </c>
      <c r="E28" s="49"/>
      <c r="F28" s="45">
        <f>basic_info!$D$5-4</f>
        <v>2025</v>
      </c>
      <c r="G28" s="49"/>
      <c r="H28" s="45">
        <f>basic_info!$D$5-3</f>
        <v>2026</v>
      </c>
      <c r="I28" s="49"/>
      <c r="J28" s="45">
        <f>basic_info!$D$5-2</f>
        <v>2027</v>
      </c>
      <c r="K28" s="49"/>
      <c r="L28" s="45">
        <f>basic_info!$D$5-1</f>
        <v>2028</v>
      </c>
      <c r="N28" s="45">
        <f>basic_info!$D$5</f>
        <v>2029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2029</v>
      </c>
      <c r="D30" s="44">
        <v>0.77380428089201447</v>
      </c>
      <c r="E30" s="35">
        <v>0.77380428089201447</v>
      </c>
      <c r="F30" s="47">
        <v>0.74605181189556535</v>
      </c>
      <c r="G30" s="46">
        <v>0.74605181189556535</v>
      </c>
      <c r="H30" s="47">
        <v>0.69292953939969726</v>
      </c>
      <c r="I30" s="46">
        <v>0.69292953939969726</v>
      </c>
      <c r="J30" s="47">
        <v>0.69639882585167012</v>
      </c>
      <c r="K30" s="46">
        <v>0.69639882585167012</v>
      </c>
      <c r="L30" s="47">
        <v>0.87024640916707563</v>
      </c>
      <c r="M30" s="46">
        <v>0.87024640916707563</v>
      </c>
      <c r="N30" s="60"/>
      <c r="O30" s="71" t="s">
        <v>162</v>
      </c>
      <c r="P30" s="41">
        <f>M30+K30+I30+E30+G30</f>
        <v>3.7794308672060231</v>
      </c>
      <c r="Q30" s="70"/>
    </row>
    <row r="31" spans="2:33">
      <c r="B31" s="36"/>
      <c r="C31" s="47">
        <f>basic_info!$D$5+1</f>
        <v>2030</v>
      </c>
      <c r="D31" s="76"/>
      <c r="E31" s="75"/>
      <c r="F31" s="69">
        <v>0.69642607282102109</v>
      </c>
      <c r="G31" s="79">
        <v>0.69642607282102109</v>
      </c>
      <c r="H31" s="61">
        <v>0.68246257035314684</v>
      </c>
      <c r="I31" s="62">
        <v>0.68246257035314684</v>
      </c>
      <c r="J31" s="61">
        <v>0.69754554986117134</v>
      </c>
      <c r="K31" s="62">
        <v>0.69754554986117134</v>
      </c>
      <c r="L31" s="61">
        <v>0.79117891103596805</v>
      </c>
      <c r="M31" s="62">
        <v>0.79117891103596805</v>
      </c>
      <c r="N31" s="63">
        <v>0.73334909048531838</v>
      </c>
      <c r="O31" s="89">
        <v>0.73334909048531838</v>
      </c>
      <c r="P31" s="63">
        <f>O31+M31+K31+I31+G31</f>
        <v>3.6009621945566259</v>
      </c>
    </row>
    <row r="32" spans="2:33">
      <c r="B32" s="36"/>
      <c r="C32" s="47">
        <f>basic_info!$D$5+2</f>
        <v>2031</v>
      </c>
      <c r="D32" s="76"/>
      <c r="E32" s="75"/>
      <c r="F32" s="75"/>
      <c r="G32" s="75"/>
      <c r="H32" s="69">
        <v>0.68012294996082789</v>
      </c>
      <c r="I32" s="79">
        <v>0.68012294996082789</v>
      </c>
      <c r="J32" s="61">
        <v>0.70796417212980489</v>
      </c>
      <c r="K32" s="62">
        <v>0.70796417212980489</v>
      </c>
      <c r="L32" s="61">
        <v>0.76520281338787444</v>
      </c>
      <c r="M32" s="62">
        <v>0.76520281338787444</v>
      </c>
      <c r="N32" s="63">
        <v>0.7413359861182125</v>
      </c>
      <c r="O32" s="89">
        <v>0.7413359861182125</v>
      </c>
      <c r="P32" s="63">
        <f>O32+M32+K32+I32</f>
        <v>2.8946259215967203</v>
      </c>
    </row>
    <row r="33" spans="2:17">
      <c r="B33" s="36"/>
      <c r="C33" s="47">
        <f>basic_info!$D$5+3</f>
        <v>2032</v>
      </c>
      <c r="D33" s="76"/>
      <c r="E33" s="75"/>
      <c r="F33" s="75"/>
      <c r="G33" s="75"/>
      <c r="H33" s="75"/>
      <c r="I33" s="75"/>
      <c r="J33" s="69">
        <v>0.66081657635867597</v>
      </c>
      <c r="K33" s="79">
        <v>0.66081657635867597</v>
      </c>
      <c r="L33" s="61">
        <v>0.72379884448625331</v>
      </c>
      <c r="M33" s="62">
        <v>0.72379884448625331</v>
      </c>
      <c r="N33" s="63">
        <v>0.69143952821589572</v>
      </c>
      <c r="O33" s="89">
        <v>0.69143952821589572</v>
      </c>
      <c r="P33" s="63">
        <f>O33+M33+K33</f>
        <v>2.0760549490608251</v>
      </c>
    </row>
    <row r="34" spans="2:17">
      <c r="B34" s="36"/>
      <c r="C34" s="47">
        <f>basic_info!$D$5+4</f>
        <v>2033</v>
      </c>
      <c r="D34" s="76"/>
      <c r="E34" s="75"/>
      <c r="F34" s="75"/>
      <c r="G34" s="75"/>
      <c r="H34" s="75"/>
      <c r="I34" s="75"/>
      <c r="J34" s="75"/>
      <c r="K34" s="75"/>
      <c r="L34" s="69">
        <v>0.68604024631083016</v>
      </c>
      <c r="M34" s="79">
        <v>0.68604024631083016</v>
      </c>
      <c r="N34" s="63">
        <v>0.69892836613039744</v>
      </c>
      <c r="O34" s="89">
        <v>0.69892836613039744</v>
      </c>
      <c r="P34" s="63">
        <f>O34+M34</f>
        <v>1.3849686124412277</v>
      </c>
    </row>
    <row r="35" spans="2:17">
      <c r="B35" s="37"/>
      <c r="C35" s="72">
        <f>basic_info!$D$5+5</f>
        <v>2034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0.64970057869851594</v>
      </c>
      <c r="O35" s="89">
        <v>0.64970057869851594</v>
      </c>
      <c r="P35" s="65">
        <f>O35</f>
        <v>0.64970057869851594</v>
      </c>
    </row>
    <row r="36" spans="2:17">
      <c r="B36" s="41" t="s">
        <v>113</v>
      </c>
      <c r="C36" s="36">
        <f>basic_info!$D$5</f>
        <v>2029</v>
      </c>
      <c r="D36" s="44">
        <v>0.88631273952126499</v>
      </c>
      <c r="E36" s="35">
        <v>0.88631273952126499</v>
      </c>
      <c r="F36" s="73">
        <v>1.0546694543357544</v>
      </c>
      <c r="G36" s="74">
        <v>1.0546694543357544</v>
      </c>
      <c r="H36" s="73">
        <v>1.1756596786689746</v>
      </c>
      <c r="I36" s="74">
        <v>1.1756596786689746</v>
      </c>
      <c r="J36" s="73">
        <v>1.0393683201042592</v>
      </c>
      <c r="K36" s="74">
        <v>1.0393683201042592</v>
      </c>
      <c r="L36" s="66">
        <v>1.0556709136350599</v>
      </c>
      <c r="M36" s="67">
        <v>1.0556709136350599</v>
      </c>
      <c r="N36" s="68"/>
      <c r="O36" s="71" t="s">
        <v>162</v>
      </c>
      <c r="P36" s="41">
        <f>M36+K36+I36+E36+G36</f>
        <v>5.2116811062653134</v>
      </c>
      <c r="Q36" s="70"/>
    </row>
    <row r="37" spans="2:17">
      <c r="B37" s="36"/>
      <c r="C37" s="47">
        <f>basic_info!$D$5+1</f>
        <v>2030</v>
      </c>
      <c r="D37" s="76"/>
      <c r="E37" s="75"/>
      <c r="F37" s="69">
        <v>1.0409094843864442</v>
      </c>
      <c r="G37" s="79">
        <v>1.0409094843864442</v>
      </c>
      <c r="H37" s="61">
        <v>1.0839331764160476</v>
      </c>
      <c r="I37" s="62">
        <v>1.0839331764160476</v>
      </c>
      <c r="J37" s="61">
        <v>0.98900041593085708</v>
      </c>
      <c r="K37" s="62">
        <v>0.98900041593085708</v>
      </c>
      <c r="L37" s="61">
        <v>0.97228088435753113</v>
      </c>
      <c r="M37" s="62">
        <v>0.97228088435753113</v>
      </c>
      <c r="N37" s="61">
        <v>1.0958450964136017</v>
      </c>
      <c r="O37" s="89">
        <v>1.0958450964136017</v>
      </c>
      <c r="P37" s="63">
        <f>O37+M37+K37+I37+G37</f>
        <v>5.1819690575044817</v>
      </c>
    </row>
    <row r="38" spans="2:17">
      <c r="B38" s="36"/>
      <c r="C38" s="47">
        <f>basic_info!$D$5+2</f>
        <v>2031</v>
      </c>
      <c r="D38" s="76"/>
      <c r="E38" s="75"/>
      <c r="F38" s="75"/>
      <c r="G38" s="75"/>
      <c r="H38" s="69">
        <v>1.0482402778565885</v>
      </c>
      <c r="I38" s="79">
        <v>1.0482402778565885</v>
      </c>
      <c r="J38" s="61">
        <v>0.97045032301312806</v>
      </c>
      <c r="K38" s="62">
        <v>0.97045032301312806</v>
      </c>
      <c r="L38" s="61">
        <v>0.98789917790483717</v>
      </c>
      <c r="M38" s="62">
        <v>0.98789917790483717</v>
      </c>
      <c r="N38" s="61">
        <v>1.0512867234689989</v>
      </c>
      <c r="O38" s="89">
        <v>1.0512867234689989</v>
      </c>
      <c r="P38" s="63">
        <f>O38+M38+K38+I38</f>
        <v>4.0578765022435519</v>
      </c>
    </row>
    <row r="39" spans="2:17">
      <c r="B39" s="36"/>
      <c r="C39" s="47">
        <f>basic_info!$D$5+3</f>
        <v>2032</v>
      </c>
      <c r="D39" s="76"/>
      <c r="E39" s="75"/>
      <c r="F39" s="75"/>
      <c r="G39" s="75"/>
      <c r="H39" s="75"/>
      <c r="I39" s="75"/>
      <c r="J39" s="69">
        <v>0.96112931388616563</v>
      </c>
      <c r="K39" s="79">
        <v>0.96112931388616563</v>
      </c>
      <c r="L39" s="61">
        <v>0.89988736013715631</v>
      </c>
      <c r="M39" s="62">
        <v>0.89988736013715631</v>
      </c>
      <c r="N39" s="61">
        <v>1.053586334277947</v>
      </c>
      <c r="O39" s="89">
        <v>1.053586334277947</v>
      </c>
      <c r="P39" s="63">
        <f>O39+M39+K39</f>
        <v>2.9146030083012691</v>
      </c>
    </row>
    <row r="40" spans="2:17">
      <c r="B40" s="36"/>
      <c r="C40" s="47">
        <f>basic_info!$D$5+4</f>
        <v>2033</v>
      </c>
      <c r="D40" s="76"/>
      <c r="E40" s="75"/>
      <c r="F40" s="75"/>
      <c r="G40" s="75"/>
      <c r="H40" s="75"/>
      <c r="I40" s="75"/>
      <c r="J40" s="75"/>
      <c r="K40" s="75"/>
      <c r="L40" s="69">
        <v>0.86972962859272962</v>
      </c>
      <c r="M40" s="79">
        <v>0.86972962859272962</v>
      </c>
      <c r="N40" s="61">
        <v>1.0074343602156002</v>
      </c>
      <c r="O40" s="89">
        <v>1.0074343602156002</v>
      </c>
      <c r="P40" s="63">
        <f>O40+M40</f>
        <v>1.8771639888083298</v>
      </c>
    </row>
    <row r="41" spans="2:17">
      <c r="B41" s="37"/>
      <c r="C41" s="72">
        <f>basic_info!$D$5+5</f>
        <v>2034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0.9264638961553574</v>
      </c>
      <c r="O41" s="89">
        <v>0.9264638961553574</v>
      </c>
      <c r="P41" s="64">
        <f>O41</f>
        <v>0.9264638961553574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3.0226676678778249E-22</v>
      </c>
      <c r="D6" s="93">
        <v>60.341390160706297</v>
      </c>
      <c r="E6" s="93">
        <v>1.9301401832222336E-23</v>
      </c>
      <c r="F6" s="93">
        <v>9.5054901593079055E-24</v>
      </c>
      <c r="G6" s="93">
        <v>39.65860983929371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32.691138557148086</v>
      </c>
      <c r="D7" s="93">
        <v>56.278091684898854</v>
      </c>
      <c r="E7" s="93">
        <v>4.0149168899122554</v>
      </c>
      <c r="F7" s="93">
        <v>2.2892381146022323</v>
      </c>
      <c r="G7" s="93">
        <v>4.7266147534385787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5.9636872474078514E-22</v>
      </c>
      <c r="D8" s="93">
        <v>1.5873621394354917E-21</v>
      </c>
      <c r="E8" s="93">
        <v>100</v>
      </c>
      <c r="F8" s="93">
        <v>3.1484767816247435E-22</v>
      </c>
      <c r="G8" s="93">
        <v>1.242852427668384E-21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75.949367088607588</v>
      </c>
      <c r="D9" s="93">
        <v>6.3089106887906415E-22</v>
      </c>
      <c r="E9" s="93">
        <v>6.3766757810659892E-23</v>
      </c>
      <c r="F9" s="93">
        <v>24.050632911392409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30.943479679326867</v>
      </c>
      <c r="D10" s="93">
        <v>43.815787052457559</v>
      </c>
      <c r="E10" s="93">
        <v>10.291672091145395</v>
      </c>
      <c r="F10" s="93">
        <v>14.949061177070188</v>
      </c>
      <c r="G10" s="93">
        <v>0</v>
      </c>
      <c r="H10" s="97">
        <f>SUM($C$10:$G$10)</f>
        <v>100.00000000000001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25.163506594544199</v>
      </c>
      <c r="D11" s="94">
        <v>44.365058347002133</v>
      </c>
      <c r="E11" s="94">
        <v>10.338184936198411</v>
      </c>
      <c r="F11" s="94">
        <v>0</v>
      </c>
      <c r="G11" s="94">
        <v>20.133250122255252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44.072328260957804</v>
      </c>
      <c r="D19" s="44">
        <f>100-$C$19</f>
        <v>55.927671739042196</v>
      </c>
      <c r="E19" s="94">
        <v>43.216541301183462</v>
      </c>
      <c r="F19" s="33">
        <f>100-$E$19</f>
        <v>56.783458698816538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14.365694807890982</v>
      </c>
      <c r="D27" s="93">
        <v>35.711739199326843</v>
      </c>
      <c r="E27" s="93">
        <v>27.19940875538293</v>
      </c>
      <c r="F27" s="93">
        <v>12.382832582122276</v>
      </c>
      <c r="G27" s="95">
        <v>9.0760218564326713</v>
      </c>
      <c r="N27" s="50"/>
      <c r="O27" s="50"/>
      <c r="P27" s="50"/>
    </row>
    <row r="28" spans="2:16">
      <c r="B28" s="45" t="s">
        <v>46</v>
      </c>
      <c r="C28" s="93">
        <v>17.350405247582348</v>
      </c>
      <c r="D28" s="93">
        <v>64.288260800673157</v>
      </c>
      <c r="E28" s="93">
        <v>72.800591244617053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68.283899944526681</v>
      </c>
      <c r="D29" s="93">
        <v>0</v>
      </c>
      <c r="E29" s="93">
        <v>0</v>
      </c>
      <c r="F29" s="93">
        <v>87.617167417877724</v>
      </c>
      <c r="G29" s="95">
        <v>90.923978143567311</v>
      </c>
      <c r="N29" s="50"/>
      <c r="O29" s="50"/>
      <c r="P29" s="50"/>
    </row>
    <row r="30" spans="2:16">
      <c r="B30" s="45" t="s">
        <v>150</v>
      </c>
      <c r="C30" s="98">
        <f>SUM($C$27:$C$29)</f>
        <v>100.00000000000001</v>
      </c>
      <c r="D30" s="98">
        <f>SUM($D$27:$D$29)</f>
        <v>100</v>
      </c>
      <c r="E30" s="98">
        <f>SUM($E$27:$E$29)</f>
        <v>99.999999999999986</v>
      </c>
      <c r="F30" s="98">
        <f>SUM($F$27:$F$29)</f>
        <v>100</v>
      </c>
      <c r="G30" s="96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41.163992832514417</v>
      </c>
      <c r="D37" s="93">
        <v>41.163992832514417</v>
      </c>
      <c r="E37" s="93">
        <v>41.163992832514417</v>
      </c>
      <c r="F37" s="93">
        <v>41.163992832514417</v>
      </c>
      <c r="G37" s="93">
        <v>41.163992832514417</v>
      </c>
      <c r="H37" s="93">
        <v>41.163992832514417</v>
      </c>
      <c r="I37" s="93">
        <v>41.163992832514417</v>
      </c>
      <c r="J37" s="93">
        <v>41.163992832514417</v>
      </c>
      <c r="K37" s="93">
        <v>41.163992832514417</v>
      </c>
      <c r="L37" s="93">
        <v>41.163992832514417</v>
      </c>
      <c r="M37" s="93">
        <v>41.163992832514417</v>
      </c>
      <c r="N37" s="95">
        <v>41.163992832514417</v>
      </c>
    </row>
    <row r="38" spans="2:14">
      <c r="B38" s="45" t="s">
        <v>46</v>
      </c>
      <c r="C38" s="93">
        <v>49.117342392208428</v>
      </c>
      <c r="D38" s="93">
        <v>49.117342392208428</v>
      </c>
      <c r="E38" s="93">
        <v>49.117342392208428</v>
      </c>
      <c r="F38" s="93">
        <v>49.117342392208428</v>
      </c>
      <c r="G38" s="93">
        <v>49.117342392208428</v>
      </c>
      <c r="H38" s="93">
        <v>49.117342392208428</v>
      </c>
      <c r="I38" s="93">
        <v>49.117342392208428</v>
      </c>
      <c r="J38" s="93">
        <v>49.117342392208428</v>
      </c>
      <c r="K38" s="93">
        <v>49.117342392208428</v>
      </c>
      <c r="L38" s="93">
        <v>49.117342392208428</v>
      </c>
      <c r="M38" s="93">
        <v>49.117342392208428</v>
      </c>
      <c r="N38" s="95">
        <v>49.117342392208428</v>
      </c>
    </row>
    <row r="39" spans="2:14">
      <c r="B39" s="45" t="s">
        <v>59</v>
      </c>
      <c r="C39" s="94">
        <v>44.59385790921916</v>
      </c>
      <c r="D39" s="94">
        <v>44.59385790921916</v>
      </c>
      <c r="E39" s="94">
        <v>44.59385790921916</v>
      </c>
      <c r="F39" s="94">
        <v>44.59385790921916</v>
      </c>
      <c r="G39" s="94">
        <v>44.59385790921916</v>
      </c>
      <c r="H39" s="94">
        <v>44.59385790921916</v>
      </c>
      <c r="I39" s="94">
        <v>44.59385790921916</v>
      </c>
      <c r="J39" s="94">
        <v>44.59385790921916</v>
      </c>
      <c r="K39" s="94">
        <v>44.59385790921916</v>
      </c>
      <c r="L39" s="94">
        <v>44.59385790921916</v>
      </c>
      <c r="M39" s="94">
        <v>44.59385790921916</v>
      </c>
      <c r="N39" s="89">
        <v>44.59385790921916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66551.339127950763</v>
      </c>
      <c r="L7" s="182"/>
      <c r="M7" s="182" t="s">
        <v>356</v>
      </c>
      <c r="S7" s="187">
        <f>SUM(ORA!$D$127:$O$127)</f>
        <v>283991495.28752095</v>
      </c>
    </row>
    <row r="8" spans="1:20">
      <c r="A8" s="182"/>
      <c r="B8" s="182" t="s">
        <v>357</v>
      </c>
      <c r="G8" s="185"/>
      <c r="H8" s="188">
        <f>SUM(POJ!$D$116:$O$116)</f>
        <v>46342.129320744789</v>
      </c>
      <c r="L8" s="182"/>
      <c r="M8" s="182" t="s">
        <v>357</v>
      </c>
      <c r="S8" s="189">
        <f>SUM(POJ!$D$127:$O$127)</f>
        <v>324394905.24521357</v>
      </c>
    </row>
    <row r="9" spans="1:20">
      <c r="A9" s="182"/>
      <c r="B9" s="182" t="s">
        <v>358</v>
      </c>
      <c r="G9" s="185"/>
      <c r="H9" s="188">
        <f>SUM(ROJ!$D$116:$O$116)</f>
        <v>28643.619037453092</v>
      </c>
      <c r="L9" s="182"/>
      <c r="M9" s="182" t="s">
        <v>358</v>
      </c>
      <c r="S9" s="189">
        <f>SUM(ROJ!$D$127:$O$127)</f>
        <v>217691504.68464351</v>
      </c>
    </row>
    <row r="10" spans="1:20">
      <c r="A10" s="182"/>
      <c r="B10" s="182" t="s">
        <v>359</v>
      </c>
      <c r="G10" s="185"/>
      <c r="H10" s="190">
        <f>SUM(FCOJ!$D$116:$O$116)</f>
        <v>30955.222205774448</v>
      </c>
      <c r="L10" s="182"/>
      <c r="M10" s="182" t="s">
        <v>359</v>
      </c>
      <c r="S10" s="191">
        <f>SUM(FCOJ!$D$127:$O$127)</f>
        <v>155211176.00122812</v>
      </c>
    </row>
    <row r="11" spans="1:20">
      <c r="A11" s="182"/>
      <c r="B11" s="182"/>
      <c r="G11" s="185"/>
      <c r="M11" s="182" t="s">
        <v>360</v>
      </c>
      <c r="T11" s="192">
        <f>SUM($S$7:$S$10)</f>
        <v>981289081.21860611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173493.25851120346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3.7794308672060231</v>
      </c>
      <c r="L14" s="182"/>
      <c r="M14" s="182" t="s">
        <v>365</v>
      </c>
      <c r="S14" s="187">
        <f>SUM(grove!$C$58:$AX$63)</f>
        <v>231080736.9461832</v>
      </c>
    </row>
    <row r="15" spans="1:20">
      <c r="A15" s="182"/>
      <c r="B15" s="182" t="s">
        <v>366</v>
      </c>
      <c r="G15" s="185"/>
      <c r="H15" s="190">
        <f>raw_materials!$P$36</f>
        <v>5.2116811062653134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5755.6357100958276</v>
      </c>
    </row>
    <row r="16" spans="1:20">
      <c r="A16" s="182"/>
      <c r="B16" s="182" t="s">
        <v>368</v>
      </c>
      <c r="G16" s="185"/>
      <c r="H16" s="194">
        <v>45305.582118431848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10949.562385852072</v>
      </c>
    </row>
    <row r="17" spans="1:21">
      <c r="A17" s="182"/>
      <c r="B17" s="182" t="s">
        <v>370</v>
      </c>
      <c r="G17" s="185"/>
      <c r="H17" s="195">
        <v>58977.013554249825</v>
      </c>
      <c r="L17" s="182"/>
      <c r="M17" s="182" t="s">
        <v>371</v>
      </c>
      <c r="S17" s="189">
        <v>33546889.757004689</v>
      </c>
    </row>
    <row r="18" spans="1:21">
      <c r="A18" s="182"/>
      <c r="B18" s="182" t="s">
        <v>372</v>
      </c>
      <c r="G18" s="185"/>
      <c r="H18" s="196">
        <v>28327.762743846128</v>
      </c>
      <c r="L18" s="182"/>
      <c r="M18" s="182" t="s">
        <v>373</v>
      </c>
      <c r="S18" s="191">
        <v>1652.2828558220217</v>
      </c>
    </row>
    <row r="19" spans="1:21">
      <c r="A19" s="182"/>
      <c r="B19" s="182" t="s">
        <v>374</v>
      </c>
      <c r="G19" s="185"/>
      <c r="H19" s="195">
        <v>1236.9767368996427</v>
      </c>
      <c r="L19" s="182"/>
      <c r="M19" s="182" t="s">
        <v>375</v>
      </c>
      <c r="S19" s="197" t="s">
        <v>376</v>
      </c>
      <c r="T19" s="198">
        <f>SUM($S$14:$S$18)</f>
        <v>264645984.18413964</v>
      </c>
      <c r="U19" s="100" t="s">
        <v>377</v>
      </c>
    </row>
    <row r="20" spans="1:21">
      <c r="A20" s="182"/>
      <c r="B20" s="182" t="s">
        <v>378</v>
      </c>
      <c r="G20" s="185"/>
      <c r="H20" s="190">
        <v>51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90611164.236863643</v>
      </c>
    </row>
    <row r="23" spans="1:21">
      <c r="A23" s="182"/>
      <c r="B23" s="182" t="s">
        <v>382</v>
      </c>
      <c r="G23" s="185"/>
      <c r="H23" s="186">
        <f>SUM(raw_materials!$O$31:$O$35)</f>
        <v>3.51475354964834</v>
      </c>
      <c r="L23" s="182"/>
      <c r="M23" s="182" t="s">
        <v>383</v>
      </c>
      <c r="S23" s="189">
        <v>58977013.554249801</v>
      </c>
    </row>
    <row r="24" spans="1:21">
      <c r="A24" s="182"/>
      <c r="B24" s="182" t="s">
        <v>384</v>
      </c>
      <c r="G24" s="185"/>
      <c r="H24" s="190">
        <f>SUM(raw_materials!$O$37:$O$41)</f>
        <v>5.1346164105315051</v>
      </c>
      <c r="L24" s="182"/>
      <c r="M24" s="182" t="s">
        <v>385</v>
      </c>
      <c r="S24" s="191">
        <v>18413045.783499982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168001223.57461342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13671720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29110053.418333326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3736917.212803964</v>
      </c>
    </row>
    <row r="31" spans="1:21">
      <c r="L31" s="182"/>
      <c r="M31" s="182" t="s">
        <v>396</v>
      </c>
      <c r="S31" s="191">
        <f>SUM(ORA!D138:O138)+SUM(POJ!D138:O138)+SUM(ROJ!D138:O138)+SUM(FCOJ!D138:O138)</f>
        <v>117510066.30667149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164028756.93780878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27570000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9050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54051550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330561566.5220443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0.57415468489061872</v>
      </c>
      <c r="D5" s="100">
        <v>0.54209826963777741</v>
      </c>
      <c r="E5" s="100">
        <v>0.62307261673723635</v>
      </c>
      <c r="F5" s="100">
        <v>0.57068978038567653</v>
      </c>
      <c r="G5" s="100">
        <v>0.68093424946734304</v>
      </c>
      <c r="H5" s="100">
        <v>0.63474604591092787</v>
      </c>
      <c r="I5" s="100">
        <v>0.71933821061043135</v>
      </c>
      <c r="J5" s="100">
        <v>0.6857963474339448</v>
      </c>
      <c r="K5" s="100">
        <v>0.75072124975796184</v>
      </c>
      <c r="L5" s="100">
        <v>0.62345452297808202</v>
      </c>
      <c r="M5" s="100">
        <v>0.69116415306641277</v>
      </c>
      <c r="N5" s="100">
        <v>0.65037695078830893</v>
      </c>
    </row>
    <row r="6" spans="2:14">
      <c r="B6" s="171" t="s">
        <v>105</v>
      </c>
      <c r="C6" s="100">
        <v>0.72285152835766264</v>
      </c>
      <c r="D6" s="100">
        <v>0.67236048129059667</v>
      </c>
      <c r="E6" s="100">
        <v>0.64262506983743484</v>
      </c>
      <c r="F6" s="100">
        <v>0.66881871774019508</v>
      </c>
      <c r="G6" s="100">
        <v>0.65163507417211963</v>
      </c>
      <c r="H6" s="100">
        <v>0.7758748821456305</v>
      </c>
      <c r="I6" s="100">
        <v>0.70190061986759189</v>
      </c>
      <c r="J6" s="100">
        <v>0.65374320648011974</v>
      </c>
      <c r="K6" s="100">
        <v>0.65958725683654185</v>
      </c>
      <c r="L6" s="100">
        <v>0.92328113664357014</v>
      </c>
      <c r="M6" s="100">
        <v>0.62772589515199406</v>
      </c>
      <c r="N6" s="100">
        <v>0.66975103118984036</v>
      </c>
    </row>
    <row r="7" spans="2:14">
      <c r="B7" s="171" t="s">
        <v>106</v>
      </c>
      <c r="C7" s="100">
        <v>0.80680137288972908</v>
      </c>
      <c r="D7" s="100">
        <v>0.71711660589142412</v>
      </c>
      <c r="E7" s="100">
        <v>0.76761002344513085</v>
      </c>
      <c r="F7" s="100">
        <v>0.70481346720150373</v>
      </c>
      <c r="G7" s="100">
        <v>0.85619884195097939</v>
      </c>
      <c r="H7" s="100">
        <v>0.76100456189956223</v>
      </c>
      <c r="I7" s="100">
        <v>0.76193398519956823</v>
      </c>
      <c r="J7" s="100">
        <v>0.73606448995822782</v>
      </c>
      <c r="K7" s="100">
        <v>0.68946189309184003</v>
      </c>
      <c r="L7" s="100">
        <v>0.71373418492460361</v>
      </c>
      <c r="M7" s="100">
        <v>0.68086772517295746</v>
      </c>
      <c r="N7" s="100">
        <v>0.7928109264367148</v>
      </c>
    </row>
    <row r="8" spans="2:14">
      <c r="B8" s="171" t="s">
        <v>107</v>
      </c>
      <c r="C8" s="100">
        <v>0.71738711830447077</v>
      </c>
      <c r="D8" s="100">
        <v>0.72573456733848063</v>
      </c>
      <c r="E8" s="100">
        <v>0.7156550280224756</v>
      </c>
      <c r="F8" s="100">
        <v>0.70955250116123159</v>
      </c>
      <c r="G8" s="100">
        <v>0.74096794113381859</v>
      </c>
      <c r="H8" s="100">
        <v>0.70572473614062192</v>
      </c>
      <c r="I8" s="100">
        <v>0.74843185737445361</v>
      </c>
      <c r="J8" s="100">
        <v>0.69942574142309466</v>
      </c>
      <c r="K8" s="100">
        <v>0.6941581816848722</v>
      </c>
      <c r="L8" s="100">
        <v>0.77925990723862015</v>
      </c>
      <c r="M8" s="100">
        <v>0.66766628320141308</v>
      </c>
      <c r="N8" s="100">
        <v>0.88343393330549047</v>
      </c>
    </row>
    <row r="9" spans="2:14">
      <c r="B9" s="171" t="s">
        <v>108</v>
      </c>
      <c r="C9" s="100">
        <v>2.069549194574356</v>
      </c>
      <c r="D9" s="100">
        <v>2.0920988178253173</v>
      </c>
      <c r="E9" s="100">
        <v>2.0319633758068085</v>
      </c>
      <c r="F9" s="100">
        <v>2.0835794186592103</v>
      </c>
      <c r="G9" s="100">
        <v>2.0338521397113802</v>
      </c>
      <c r="H9" s="100">
        <v>2.0114214277267455</v>
      </c>
      <c r="I9" s="100">
        <v>2.0623012101650238</v>
      </c>
      <c r="J9" s="100">
        <v>2.0526489233970642</v>
      </c>
      <c r="K9" s="100">
        <v>2.0713946020603182</v>
      </c>
      <c r="L9" s="100">
        <v>2.0895411109924318</v>
      </c>
      <c r="M9" s="100">
        <v>2.0807009494304656</v>
      </c>
      <c r="N9" s="100">
        <v>2.0641733384132386</v>
      </c>
    </row>
    <row r="10" spans="2:14">
      <c r="B10" s="171" t="s">
        <v>109</v>
      </c>
      <c r="C10" s="100">
        <v>0.65165045857429504</v>
      </c>
      <c r="D10" s="100">
        <v>0.65928623676300047</v>
      </c>
      <c r="E10" s="100">
        <v>0.60492748618125913</v>
      </c>
      <c r="F10" s="100">
        <v>0.65610798597335818</v>
      </c>
      <c r="G10" s="100">
        <v>0.65700374245643622</v>
      </c>
      <c r="H10" s="100">
        <v>0.63475470542907719</v>
      </c>
      <c r="I10" s="100">
        <v>0.6289371192455292</v>
      </c>
      <c r="J10" s="100">
        <v>0.65783396959304807</v>
      </c>
      <c r="K10" s="100">
        <v>0.65556114315986636</v>
      </c>
      <c r="L10" s="100">
        <v>0.65287644863128669</v>
      </c>
      <c r="M10" s="100">
        <v>0.65819005370140082</v>
      </c>
      <c r="N10" s="100">
        <v>0.64422067403793337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0.37235952167923886</v>
      </c>
      <c r="D14" s="101">
        <v>0.37374167315855084</v>
      </c>
      <c r="E14" s="101">
        <v>0.37511993551614892</v>
      </c>
      <c r="F14" s="101">
        <v>0.37649043057359705</v>
      </c>
      <c r="G14" s="101">
        <v>0.37784930200822259</v>
      </c>
      <c r="H14" s="100">
        <v>0.37919272620410355</v>
      </c>
      <c r="I14" s="100">
        <v>0.3805169230110253</v>
      </c>
      <c r="J14" s="100">
        <v>0.38181816638113258</v>
      </c>
      <c r="K14" s="100">
        <v>0.38309279485334707</v>
      </c>
      <c r="L14" s="100">
        <v>0.38433722185604996</v>
      </c>
      <c r="M14" s="100">
        <v>0.38554794579903939</v>
      </c>
      <c r="N14" s="100">
        <v>0.38672155992636514</v>
      </c>
    </row>
    <row r="15" spans="2:14">
      <c r="B15" s="170" t="s">
        <v>318</v>
      </c>
      <c r="C15" s="100">
        <v>1.039599135836468</v>
      </c>
      <c r="D15" s="100">
        <v>1.0423554648292648</v>
      </c>
      <c r="E15" s="100">
        <v>1.0451040380159169</v>
      </c>
      <c r="F15" s="100">
        <v>1.0478371214136999</v>
      </c>
      <c r="G15" s="100">
        <v>1.0505470246253263</v>
      </c>
      <c r="H15" s="100">
        <v>1.0532261224783162</v>
      </c>
      <c r="I15" s="100">
        <v>1.0558668764808403</v>
      </c>
      <c r="J15" s="100">
        <v>1.0584618560336581</v>
      </c>
      <c r="K15" s="100">
        <v>1.0610037593384662</v>
      </c>
      <c r="L15" s="100">
        <v>1.0634854339438264</v>
      </c>
      <c r="M15" s="100">
        <v>1.065899896870854</v>
      </c>
      <c r="N15" s="100">
        <v>1.0682403542620469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0.57415468489061872</v>
      </c>
      <c r="D19" s="100">
        <f t="shared" ref="D19:N20" si="0">D5</f>
        <v>0.54209826963777741</v>
      </c>
      <c r="E19" s="100">
        <f t="shared" si="0"/>
        <v>0.62307261673723635</v>
      </c>
      <c r="F19" s="100">
        <f t="shared" si="0"/>
        <v>0.57068978038567653</v>
      </c>
      <c r="G19" s="100">
        <f t="shared" si="0"/>
        <v>0.68093424946734304</v>
      </c>
      <c r="H19" s="100">
        <f t="shared" si="0"/>
        <v>0.63474604591092787</v>
      </c>
      <c r="I19" s="100">
        <f t="shared" si="0"/>
        <v>0.71933821061043135</v>
      </c>
      <c r="J19" s="100">
        <f t="shared" si="0"/>
        <v>0.6857963474339448</v>
      </c>
      <c r="K19" s="100">
        <f t="shared" si="0"/>
        <v>0.75072124975796184</v>
      </c>
      <c r="L19" s="100">
        <f t="shared" si="0"/>
        <v>0.62345452297808202</v>
      </c>
      <c r="M19" s="100">
        <f t="shared" si="0"/>
        <v>0.69116415306641277</v>
      </c>
      <c r="N19" s="100">
        <f t="shared" si="0"/>
        <v>0.65037695078830893</v>
      </c>
    </row>
    <row r="20" spans="2:14">
      <c r="B20" s="173" t="s">
        <v>105</v>
      </c>
      <c r="C20" s="100">
        <f>C6</f>
        <v>0.72285152835766264</v>
      </c>
      <c r="D20" s="100">
        <f t="shared" si="0"/>
        <v>0.67236048129059667</v>
      </c>
      <c r="E20" s="100">
        <f t="shared" si="0"/>
        <v>0.64262506983743484</v>
      </c>
      <c r="F20" s="100">
        <f t="shared" si="0"/>
        <v>0.66881871774019508</v>
      </c>
      <c r="G20" s="100">
        <f t="shared" si="0"/>
        <v>0.65163507417211963</v>
      </c>
      <c r="H20" s="100">
        <f t="shared" si="0"/>
        <v>0.7758748821456305</v>
      </c>
      <c r="I20" s="100">
        <f t="shared" si="0"/>
        <v>0.70190061986759189</v>
      </c>
      <c r="J20" s="100">
        <f t="shared" si="0"/>
        <v>0.65374320648011974</v>
      </c>
      <c r="K20" s="100">
        <f t="shared" si="0"/>
        <v>0.65958725683654185</v>
      </c>
      <c r="L20" s="100">
        <f t="shared" si="0"/>
        <v>0.92328113664357014</v>
      </c>
      <c r="M20" s="100">
        <f t="shared" si="0"/>
        <v>0.62772589515199406</v>
      </c>
      <c r="N20" s="100">
        <f t="shared" si="0"/>
        <v>0.66975103118984036</v>
      </c>
    </row>
    <row r="21" spans="2:14">
      <c r="B21" s="173" t="s">
        <v>106</v>
      </c>
      <c r="C21" s="100">
        <f t="shared" ref="C21:N22" si="1">C7</f>
        <v>0.80680137288972908</v>
      </c>
      <c r="D21" s="100">
        <f t="shared" si="1"/>
        <v>0.71711660589142412</v>
      </c>
      <c r="E21" s="100">
        <f t="shared" si="1"/>
        <v>0.76761002344513085</v>
      </c>
      <c r="F21" s="100">
        <f t="shared" si="1"/>
        <v>0.70481346720150373</v>
      </c>
      <c r="G21" s="100">
        <f t="shared" si="1"/>
        <v>0.85619884195097939</v>
      </c>
      <c r="H21" s="100">
        <f t="shared" si="1"/>
        <v>0.76100456189956223</v>
      </c>
      <c r="I21" s="100">
        <f t="shared" si="1"/>
        <v>0.76193398519956823</v>
      </c>
      <c r="J21" s="100">
        <f t="shared" si="1"/>
        <v>0.73606448995822782</v>
      </c>
      <c r="K21" s="100">
        <f t="shared" si="1"/>
        <v>0.68946189309184003</v>
      </c>
      <c r="L21" s="100">
        <f t="shared" si="1"/>
        <v>0.71373418492460361</v>
      </c>
      <c r="M21" s="100">
        <f t="shared" si="1"/>
        <v>0.68086772517295746</v>
      </c>
      <c r="N21" s="100">
        <f t="shared" si="1"/>
        <v>0.7928109264367148</v>
      </c>
    </row>
    <row r="22" spans="2:14">
      <c r="B22" s="173" t="s">
        <v>107</v>
      </c>
      <c r="C22" s="100">
        <f t="shared" si="1"/>
        <v>0.71738711830447077</v>
      </c>
      <c r="D22" s="100">
        <f t="shared" si="1"/>
        <v>0.72573456733848063</v>
      </c>
      <c r="E22" s="100">
        <f t="shared" si="1"/>
        <v>0.7156550280224756</v>
      </c>
      <c r="F22" s="100">
        <f t="shared" si="1"/>
        <v>0.70955250116123159</v>
      </c>
      <c r="G22" s="100">
        <f t="shared" si="1"/>
        <v>0.74096794113381859</v>
      </c>
      <c r="H22" s="100">
        <f t="shared" si="1"/>
        <v>0.70572473614062192</v>
      </c>
      <c r="I22" s="100">
        <f t="shared" si="1"/>
        <v>0.74843185737445361</v>
      </c>
      <c r="J22" s="100">
        <f t="shared" si="1"/>
        <v>0.69942574142309466</v>
      </c>
      <c r="K22" s="100">
        <f t="shared" si="1"/>
        <v>0.6941581816848722</v>
      </c>
      <c r="L22" s="100">
        <f t="shared" si="1"/>
        <v>0.77925990723862015</v>
      </c>
      <c r="M22" s="100">
        <f t="shared" si="1"/>
        <v>0.66766628320141308</v>
      </c>
      <c r="N22" s="100">
        <f t="shared" si="1"/>
        <v>0.88343393330549047</v>
      </c>
    </row>
    <row r="23" spans="2:14">
      <c r="B23" s="173" t="s">
        <v>108</v>
      </c>
      <c r="C23" s="100">
        <f>C9*C14</f>
        <v>0.77061634818336122</v>
      </c>
      <c r="D23" s="100">
        <f t="shared" ref="D23:N24" si="2">D9*D14</f>
        <v>0.78190451258706029</v>
      </c>
      <c r="E23" s="100">
        <f t="shared" si="2"/>
        <v>0.76222997050382624</v>
      </c>
      <c r="F23" s="100">
        <f t="shared" si="2"/>
        <v>0.7844477124652911</v>
      </c>
      <c r="G23" s="100">
        <f t="shared" si="2"/>
        <v>0.76848961137787508</v>
      </c>
      <c r="H23" s="100">
        <f t="shared" si="2"/>
        <v>0.76271637472505482</v>
      </c>
      <c r="I23" s="100">
        <f t="shared" si="2"/>
        <v>0.78474051081390861</v>
      </c>
      <c r="J23" s="100">
        <f t="shared" si="2"/>
        <v>0.78373864815567296</v>
      </c>
      <c r="K23" s="100">
        <f t="shared" si="2"/>
        <v>0.79353634734742395</v>
      </c>
      <c r="L23" s="100">
        <f t="shared" si="2"/>
        <v>0.80308842555283533</v>
      </c>
      <c r="M23" s="100">
        <f t="shared" si="2"/>
        <v>0.80220997687502693</v>
      </c>
      <c r="N23" s="100">
        <f t="shared" si="2"/>
        <v>0.79826033338958047</v>
      </c>
    </row>
    <row r="24" spans="2:14">
      <c r="B24" s="173" t="s">
        <v>109</v>
      </c>
      <c r="C24" s="100">
        <f>C10*C15</f>
        <v>0.67745525360127523</v>
      </c>
      <c r="D24" s="100">
        <f t="shared" si="2"/>
        <v>0.68721061177663412</v>
      </c>
      <c r="E24" s="100">
        <f t="shared" si="2"/>
        <v>0.63221215851485169</v>
      </c>
      <c r="F24" s="100">
        <f t="shared" si="2"/>
        <v>0.68749430335886386</v>
      </c>
      <c r="G24" s="100">
        <f t="shared" si="2"/>
        <v>0.69021332680531322</v>
      </c>
      <c r="H24" s="100">
        <f t="shared" si="2"/>
        <v>0.66854023712393273</v>
      </c>
      <c r="I24" s="100">
        <f t="shared" si="2"/>
        <v>0.66407387160063469</v>
      </c>
      <c r="J24" s="100">
        <f t="shared" si="2"/>
        <v>0.69629216441744668</v>
      </c>
      <c r="K24" s="100">
        <f t="shared" si="2"/>
        <v>0.69555283736884066</v>
      </c>
      <c r="L24" s="100">
        <f t="shared" si="2"/>
        <v>0.69432459328434826</v>
      </c>
      <c r="M24" s="100">
        <f t="shared" si="2"/>
        <v>0.70156471036174495</v>
      </c>
      <c r="N24" s="100">
        <f t="shared" si="2"/>
        <v>0.68818252105721656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1.2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1.2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0</v>
      </c>
      <c r="M29" s="100">
        <f>IF(M20&lt;=raw_materials!$D18,raw_materials!$C18,IF(M20&lt;=raw_materials!$F18,raw_materials!$E18,IF(M20&lt;=raw_materials!$H18,raw_materials!$G18,0)))</f>
        <v>1.2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0.8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1.2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0.8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10414.649238940299</v>
      </c>
      <c r="V38" s="100">
        <v>10436.097879922701</v>
      </c>
      <c r="W38" s="100">
        <v>26143.711499307632</v>
      </c>
      <c r="X38" s="100">
        <v>26197.014871775551</v>
      </c>
      <c r="Y38" s="100">
        <v>26250.146217950878</v>
      </c>
      <c r="Z38" s="100">
        <v>10521.238785966489</v>
      </c>
      <c r="AA38" s="100">
        <v>10542.343427046595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10687.67300475806</v>
      </c>
      <c r="AI38" s="100">
        <v>10708.050872059657</v>
      </c>
      <c r="AJ38" s="100">
        <v>18774.565110730822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19150.964997065872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10592.250978559117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11002.746246145731</v>
      </c>
      <c r="Y39" s="100">
        <v>11025.061411539367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1618.2707258271369</v>
      </c>
      <c r="AN39" s="100">
        <v>1621.2431583925948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3530.7503261863726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519.6571067861654</v>
      </c>
      <c r="U40" s="100">
        <v>5207.3246194701496</v>
      </c>
      <c r="V40" s="100">
        <v>5218.0489399613498</v>
      </c>
      <c r="W40" s="100">
        <v>5228.7422998615266</v>
      </c>
      <c r="X40" s="100">
        <v>3667.5820820485769</v>
      </c>
      <c r="Y40" s="100">
        <v>3675.0204705131227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2188.6817139503855</v>
      </c>
      <c r="AV40" s="100">
        <v>3836.7563252524028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1252.331745590724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1272.6203284472704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2269.7404217496323</v>
      </c>
      <c r="AO41" s="100">
        <v>1299.3578323075562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1317.6919750466782</v>
      </c>
      <c r="AX41" s="100">
        <v>329.97666477230297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2649.7393820990005</v>
      </c>
      <c r="D48" s="100">
        <v>2649.7393820990005</v>
      </c>
      <c r="E48" s="100">
        <v>2649.7393820990005</v>
      </c>
      <c r="F48" s="100">
        <v>2649.7393820990005</v>
      </c>
      <c r="G48" s="100">
        <v>3179.6872585188007</v>
      </c>
      <c r="H48" s="100">
        <v>3179.6872585188007</v>
      </c>
      <c r="I48" s="100">
        <v>3179.6872585188007</v>
      </c>
      <c r="J48" s="100">
        <v>3179.6872585188007</v>
      </c>
      <c r="K48" s="100">
        <v>2649.7393820990005</v>
      </c>
      <c r="L48" s="100">
        <v>2649.7393820990005</v>
      </c>
      <c r="M48" s="100">
        <v>2649.7393820990005</v>
      </c>
      <c r="N48" s="100">
        <v>2649.7393820990005</v>
      </c>
      <c r="O48" s="100">
        <v>2649.7393820990005</v>
      </c>
      <c r="P48" s="100">
        <v>2649.7393820990005</v>
      </c>
      <c r="Q48" s="100">
        <v>2649.7393820990005</v>
      </c>
      <c r="R48" s="100">
        <v>2649.7393820990005</v>
      </c>
      <c r="S48" s="100">
        <v>2649.7393820990005</v>
      </c>
      <c r="T48" s="100">
        <v>2649.7393820990005</v>
      </c>
      <c r="U48" s="100">
        <v>2649.7393820990005</v>
      </c>
      <c r="V48" s="100">
        <v>2649.7393820990005</v>
      </c>
      <c r="W48" s="100">
        <v>2649.7393820990005</v>
      </c>
      <c r="X48" s="100">
        <v>2649.7393820990005</v>
      </c>
      <c r="Y48" s="100">
        <v>2649.7393820990005</v>
      </c>
      <c r="Z48" s="100">
        <v>2649.7393820990005</v>
      </c>
      <c r="AA48" s="100">
        <v>2649.7393820990005</v>
      </c>
      <c r="AB48" s="100">
        <v>2649.7393820990005</v>
      </c>
      <c r="AC48" s="100">
        <v>2649.7393820990005</v>
      </c>
      <c r="AD48" s="100">
        <v>2649.7393820990005</v>
      </c>
      <c r="AE48" s="100">
        <v>2649.7393820990005</v>
      </c>
      <c r="AF48" s="100">
        <v>2649.7393820990005</v>
      </c>
      <c r="AG48" s="100">
        <v>2649.7393820990005</v>
      </c>
      <c r="AH48" s="100">
        <v>2649.7393820990005</v>
      </c>
      <c r="AI48" s="100">
        <v>2649.7393820990005</v>
      </c>
      <c r="AJ48" s="100">
        <v>2649.7393820990005</v>
      </c>
      <c r="AK48" s="100">
        <v>2649.7393820990005</v>
      </c>
      <c r="AL48" s="100">
        <v>2649.7393820990005</v>
      </c>
      <c r="AM48" s="100">
        <v>2649.7393820990005</v>
      </c>
      <c r="AN48" s="100">
        <v>2649.7393820990005</v>
      </c>
      <c r="AO48" s="100">
        <v>2649.7393820990005</v>
      </c>
      <c r="AP48" s="100">
        <v>2649.7393820990005</v>
      </c>
      <c r="AQ48" s="100">
        <v>2649.7393820990005</v>
      </c>
      <c r="AR48" s="100">
        <v>2649.7393820990005</v>
      </c>
      <c r="AS48" s="100">
        <v>2649.7393820990005</v>
      </c>
      <c r="AT48" s="100">
        <v>2649.7393820990005</v>
      </c>
      <c r="AU48" s="100">
        <v>2649.7393820990005</v>
      </c>
      <c r="AV48" s="100">
        <v>2649.7393820990005</v>
      </c>
      <c r="AW48" s="100">
        <v>2649.7393820990005</v>
      </c>
      <c r="AX48" s="100">
        <v>2649.7393820990005</v>
      </c>
    </row>
    <row r="49" spans="2:51">
      <c r="B49" s="99" t="s">
        <v>105</v>
      </c>
      <c r="C49" s="100">
        <v>1.2547165770438028E-20</v>
      </c>
      <c r="D49" s="100">
        <v>1.2547165770438028E-20</v>
      </c>
      <c r="E49" s="100">
        <v>1.2547165770438028E-20</v>
      </c>
      <c r="F49" s="100">
        <v>1.2547165770438028E-20</v>
      </c>
      <c r="G49" s="100">
        <v>1.2547165770438028E-20</v>
      </c>
      <c r="H49" s="100">
        <v>1.2547165770438028E-20</v>
      </c>
      <c r="I49" s="100">
        <v>1.2547165770438028E-20</v>
      </c>
      <c r="J49" s="100">
        <v>1.2547165770438028E-20</v>
      </c>
      <c r="K49" s="100">
        <v>1.5056598924525634E-20</v>
      </c>
      <c r="L49" s="100">
        <v>1.5056598924525634E-20</v>
      </c>
      <c r="M49" s="100">
        <v>1.5056598924525634E-20</v>
      </c>
      <c r="N49" s="100">
        <v>1.5056598924525634E-20</v>
      </c>
      <c r="O49" s="100">
        <v>1.2547165770438028E-20</v>
      </c>
      <c r="P49" s="100">
        <v>1.2547165770438028E-20</v>
      </c>
      <c r="Q49" s="100">
        <v>1.2547165770438028E-20</v>
      </c>
      <c r="R49" s="100">
        <v>1.2547165770438028E-20</v>
      </c>
      <c r="S49" s="100">
        <v>1.2547165770438028E-20</v>
      </c>
      <c r="T49" s="100">
        <v>1.2547165770438028E-20</v>
      </c>
      <c r="U49" s="100">
        <v>1.2547165770438028E-20</v>
      </c>
      <c r="V49" s="100">
        <v>1.2547165770438028E-20</v>
      </c>
      <c r="W49" s="100">
        <v>1.0037732616350423E-20</v>
      </c>
      <c r="X49" s="100">
        <v>1.0037732616350423E-20</v>
      </c>
      <c r="Y49" s="100">
        <v>1.0037732616350423E-20</v>
      </c>
      <c r="Z49" s="100">
        <v>1.0037732616350423E-20</v>
      </c>
      <c r="AA49" s="100">
        <v>1.2547165770438028E-20</v>
      </c>
      <c r="AB49" s="100">
        <v>1.2547165770438028E-20</v>
      </c>
      <c r="AC49" s="100">
        <v>1.2547165770438028E-20</v>
      </c>
      <c r="AD49" s="100">
        <v>1.2547165770438028E-20</v>
      </c>
      <c r="AE49" s="100">
        <v>1.2547165770438028E-20</v>
      </c>
      <c r="AF49" s="100">
        <v>1.2547165770438028E-20</v>
      </c>
      <c r="AG49" s="100">
        <v>1.2547165770438028E-20</v>
      </c>
      <c r="AH49" s="100">
        <v>1.2547165770438028E-20</v>
      </c>
      <c r="AI49" s="100">
        <v>1.2547165770438028E-20</v>
      </c>
      <c r="AJ49" s="100">
        <v>1.2547165770438028E-20</v>
      </c>
      <c r="AK49" s="100">
        <v>1.2547165770438028E-20</v>
      </c>
      <c r="AL49" s="100">
        <v>1.2547165770438028E-20</v>
      </c>
      <c r="AM49" s="100">
        <v>0</v>
      </c>
      <c r="AN49" s="100">
        <v>0</v>
      </c>
      <c r="AO49" s="100">
        <v>0</v>
      </c>
      <c r="AP49" s="100">
        <v>0</v>
      </c>
      <c r="AQ49" s="100">
        <v>1.5056598924525634E-20</v>
      </c>
      <c r="AR49" s="100">
        <v>1.5056598924525634E-20</v>
      </c>
      <c r="AS49" s="100">
        <v>1.5056598924525634E-20</v>
      </c>
      <c r="AT49" s="100">
        <v>1.5056598924525634E-20</v>
      </c>
      <c r="AU49" s="100">
        <v>1.2547165770438028E-20</v>
      </c>
      <c r="AV49" s="100">
        <v>1.2547165770438028E-20</v>
      </c>
      <c r="AW49" s="100">
        <v>1.2547165770438028E-20</v>
      </c>
      <c r="AX49" s="100">
        <v>1.2547165770438028E-20</v>
      </c>
    </row>
    <row r="50" spans="2:51">
      <c r="B50" s="99" t="s">
        <v>106</v>
      </c>
      <c r="C50" s="100">
        <v>40</v>
      </c>
      <c r="D50" s="100">
        <v>40</v>
      </c>
      <c r="E50" s="100">
        <v>40</v>
      </c>
      <c r="F50" s="100">
        <v>40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128</v>
      </c>
      <c r="T50" s="100">
        <v>128</v>
      </c>
      <c r="U50" s="100">
        <v>128</v>
      </c>
      <c r="V50" s="100">
        <v>128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192</v>
      </c>
      <c r="AR50" s="100">
        <v>192</v>
      </c>
      <c r="AS50" s="100">
        <v>192</v>
      </c>
      <c r="AT50" s="100">
        <v>192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789.99999999999989</v>
      </c>
      <c r="D51" s="100">
        <v>789.99999999999989</v>
      </c>
      <c r="E51" s="100">
        <v>789.99999999999989</v>
      </c>
      <c r="F51" s="100">
        <v>789.99999999999989</v>
      </c>
      <c r="G51" s="100">
        <v>789.99999999999989</v>
      </c>
      <c r="H51" s="100">
        <v>789.99999999999989</v>
      </c>
      <c r="I51" s="100">
        <v>789.99999999999989</v>
      </c>
      <c r="J51" s="100">
        <v>789.99999999999989</v>
      </c>
      <c r="K51" s="100">
        <v>789.99999999999989</v>
      </c>
      <c r="L51" s="100">
        <v>789.99999999999989</v>
      </c>
      <c r="M51" s="100">
        <v>789.99999999999989</v>
      </c>
      <c r="N51" s="100">
        <v>789.99999999999989</v>
      </c>
      <c r="O51" s="100">
        <v>789.99999999999989</v>
      </c>
      <c r="P51" s="100">
        <v>789.99999999999989</v>
      </c>
      <c r="Q51" s="100">
        <v>789.99999999999989</v>
      </c>
      <c r="R51" s="100">
        <v>789.99999999999989</v>
      </c>
      <c r="S51" s="100">
        <v>789.99999999999989</v>
      </c>
      <c r="T51" s="100">
        <v>789.99999999999989</v>
      </c>
      <c r="U51" s="100">
        <v>789.99999999999989</v>
      </c>
      <c r="V51" s="100">
        <v>789.99999999999989</v>
      </c>
      <c r="W51" s="100">
        <v>789.99999999999989</v>
      </c>
      <c r="X51" s="100">
        <v>789.99999999999989</v>
      </c>
      <c r="Y51" s="100">
        <v>789.99999999999989</v>
      </c>
      <c r="Z51" s="100">
        <v>789.99999999999989</v>
      </c>
      <c r="AA51" s="100">
        <v>789.99999999999989</v>
      </c>
      <c r="AB51" s="100">
        <v>789.99999999999989</v>
      </c>
      <c r="AC51" s="100">
        <v>789.99999999999989</v>
      </c>
      <c r="AD51" s="100">
        <v>789.99999999999989</v>
      </c>
      <c r="AE51" s="100">
        <v>789.99999999999989</v>
      </c>
      <c r="AF51" s="100">
        <v>789.99999999999989</v>
      </c>
      <c r="AG51" s="100">
        <v>789.99999999999989</v>
      </c>
      <c r="AH51" s="100">
        <v>789.99999999999989</v>
      </c>
      <c r="AI51" s="100">
        <v>789.99999999999989</v>
      </c>
      <c r="AJ51" s="100">
        <v>789.99999999999989</v>
      </c>
      <c r="AK51" s="100">
        <v>789.99999999999989</v>
      </c>
      <c r="AL51" s="100">
        <v>789.99999999999989</v>
      </c>
      <c r="AM51" s="100">
        <v>789.99999999999989</v>
      </c>
      <c r="AN51" s="100">
        <v>789.99999999999989</v>
      </c>
      <c r="AO51" s="100">
        <v>789.99999999999989</v>
      </c>
      <c r="AP51" s="100">
        <v>789.99999999999989</v>
      </c>
      <c r="AQ51" s="100">
        <v>789.99999999999989</v>
      </c>
      <c r="AR51" s="100">
        <v>789.99999999999989</v>
      </c>
      <c r="AS51" s="100">
        <v>789.99999999999989</v>
      </c>
      <c r="AT51" s="100">
        <v>789.99999999999989</v>
      </c>
      <c r="AU51" s="100">
        <v>632</v>
      </c>
      <c r="AV51" s="100">
        <v>632</v>
      </c>
      <c r="AW51" s="100">
        <v>632</v>
      </c>
      <c r="AX51" s="100">
        <v>329.97666477230297</v>
      </c>
      <c r="AY51" s="111"/>
    </row>
    <row r="52" spans="2:51">
      <c r="B52" s="99" t="s">
        <v>108</v>
      </c>
      <c r="C52" s="100">
        <v>0</v>
      </c>
      <c r="D52" s="100">
        <v>0</v>
      </c>
      <c r="E52" s="100">
        <v>0</v>
      </c>
      <c r="F52" s="100">
        <v>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5.8473395323961962E-21</v>
      </c>
      <c r="D53" s="100">
        <v>5.8473395323961962E-21</v>
      </c>
      <c r="E53" s="100">
        <v>5.8473395323961962E-21</v>
      </c>
      <c r="F53" s="100">
        <v>5.8473395323961962E-21</v>
      </c>
      <c r="G53" s="100">
        <v>4.8727829436634972E-21</v>
      </c>
      <c r="H53" s="100">
        <v>4.8727829436634972E-21</v>
      </c>
      <c r="I53" s="100">
        <v>4.8727829436634972E-21</v>
      </c>
      <c r="J53" s="100">
        <v>4.8727829436634972E-21</v>
      </c>
      <c r="K53" s="100">
        <v>5.8473395323961962E-21</v>
      </c>
      <c r="L53" s="100">
        <v>5.8473395323961962E-21</v>
      </c>
      <c r="M53" s="100">
        <v>5.8473395323961962E-21</v>
      </c>
      <c r="N53" s="100">
        <v>5.8473395323961962E-21</v>
      </c>
      <c r="O53" s="100">
        <v>4.8727829436634972E-21</v>
      </c>
      <c r="P53" s="100">
        <v>4.8727829436634972E-21</v>
      </c>
      <c r="Q53" s="100">
        <v>4.8727829436634972E-21</v>
      </c>
      <c r="R53" s="100">
        <v>4.8727829436634972E-21</v>
      </c>
      <c r="S53" s="100">
        <v>4.8727829436634972E-21</v>
      </c>
      <c r="T53" s="100">
        <v>4.8727829436634972E-21</v>
      </c>
      <c r="U53" s="100">
        <v>4.8727829436634972E-21</v>
      </c>
      <c r="V53" s="100">
        <v>4.8727829436634972E-21</v>
      </c>
      <c r="W53" s="100">
        <v>5.8473395323961962E-21</v>
      </c>
      <c r="X53" s="100">
        <v>5.8473395323961962E-21</v>
      </c>
      <c r="Y53" s="100">
        <v>5.8473395323961962E-21</v>
      </c>
      <c r="Z53" s="100">
        <v>5.8473395323961962E-21</v>
      </c>
      <c r="AA53" s="100">
        <v>5.8473395323961962E-21</v>
      </c>
      <c r="AB53" s="100">
        <v>5.8473395323961962E-21</v>
      </c>
      <c r="AC53" s="100">
        <v>5.8473395323961962E-21</v>
      </c>
      <c r="AD53" s="100">
        <v>5.8473395323961962E-21</v>
      </c>
      <c r="AE53" s="100">
        <v>4.8727829436634972E-21</v>
      </c>
      <c r="AF53" s="100">
        <v>4.8727829436634972E-21</v>
      </c>
      <c r="AG53" s="100">
        <v>4.8727829436634972E-21</v>
      </c>
      <c r="AH53" s="100">
        <v>4.8727829436634972E-21</v>
      </c>
      <c r="AI53" s="100">
        <v>4.8727829436634972E-21</v>
      </c>
      <c r="AJ53" s="100">
        <v>4.8727829436634972E-21</v>
      </c>
      <c r="AK53" s="100">
        <v>4.8727829436634972E-21</v>
      </c>
      <c r="AL53" s="100">
        <v>4.8727829436634972E-21</v>
      </c>
      <c r="AM53" s="100">
        <v>4.8727829436634972E-21</v>
      </c>
      <c r="AN53" s="100">
        <v>4.8727829436634972E-21</v>
      </c>
      <c r="AO53" s="100">
        <v>4.8727829436634972E-21</v>
      </c>
      <c r="AP53" s="100">
        <v>4.8727829436634972E-21</v>
      </c>
      <c r="AQ53" s="100">
        <v>4.8727829436634972E-21</v>
      </c>
      <c r="AR53" s="100">
        <v>4.8727829436634972E-21</v>
      </c>
      <c r="AS53" s="100">
        <v>4.8727829436634972E-21</v>
      </c>
      <c r="AT53" s="100">
        <v>4.8727829436634972E-21</v>
      </c>
      <c r="AU53" s="100">
        <v>4.8727829436634972E-21</v>
      </c>
      <c r="AV53" s="100">
        <v>4.8727829436634972E-21</v>
      </c>
      <c r="AW53" s="100">
        <v>4.8727829436634972E-21</v>
      </c>
      <c r="AX53" s="100">
        <v>4.8727829436634972E-21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3042720.5599426287</v>
      </c>
      <c r="D58" s="100">
        <v>3042720.5599426287</v>
      </c>
      <c r="E58" s="100">
        <v>3042720.5599426287</v>
      </c>
      <c r="F58" s="100">
        <v>3042720.5599426287</v>
      </c>
      <c r="G58" s="100">
        <v>3447405.9216646603</v>
      </c>
      <c r="H58" s="100">
        <v>3447405.9216646603</v>
      </c>
      <c r="I58" s="100">
        <v>3447405.9216646603</v>
      </c>
      <c r="J58" s="100">
        <v>3447405.9216646603</v>
      </c>
      <c r="K58" s="100">
        <v>3301960.1009522639</v>
      </c>
      <c r="L58" s="100">
        <v>3301960.1009522639</v>
      </c>
      <c r="M58" s="100">
        <v>3301960.1009522639</v>
      </c>
      <c r="N58" s="100">
        <v>3301960.1009522639</v>
      </c>
      <c r="O58" s="100">
        <v>3024358.3720987136</v>
      </c>
      <c r="P58" s="100">
        <v>3024358.3720987136</v>
      </c>
      <c r="Q58" s="100">
        <v>3024358.3720987136</v>
      </c>
      <c r="R58" s="100">
        <v>3024358.3720987136</v>
      </c>
      <c r="S58" s="100">
        <v>3608596.5948672881</v>
      </c>
      <c r="T58" s="100">
        <v>3608596.5948672881</v>
      </c>
      <c r="U58" s="100">
        <v>3608596.5948672881</v>
      </c>
      <c r="V58" s="100">
        <v>3608596.5948672881</v>
      </c>
      <c r="W58" s="100">
        <v>3363823.1909636115</v>
      </c>
      <c r="X58" s="100">
        <v>3363823.1909636115</v>
      </c>
      <c r="Y58" s="100">
        <v>3363823.1909636115</v>
      </c>
      <c r="Z58" s="100">
        <v>3363823.1909636115</v>
      </c>
      <c r="AA58" s="100">
        <v>3812117.5714061703</v>
      </c>
      <c r="AB58" s="100">
        <v>3812117.5714061703</v>
      </c>
      <c r="AC58" s="100">
        <v>3812117.5714061703</v>
      </c>
      <c r="AD58" s="100">
        <v>3812117.5714061703</v>
      </c>
      <c r="AE58" s="100">
        <v>3634363.1797907446</v>
      </c>
      <c r="AF58" s="100">
        <v>3634363.1797907446</v>
      </c>
      <c r="AG58" s="100">
        <v>3634363.1797907446</v>
      </c>
      <c r="AH58" s="100">
        <v>3634363.1797907446</v>
      </c>
      <c r="AI58" s="100">
        <v>3978431.3209245023</v>
      </c>
      <c r="AJ58" s="100">
        <v>3978431.3209245023</v>
      </c>
      <c r="AK58" s="100">
        <v>3978431.3209245023</v>
      </c>
      <c r="AL58" s="100">
        <v>3978431.3209245023</v>
      </c>
      <c r="AM58" s="100">
        <v>3303984.0049655405</v>
      </c>
      <c r="AN58" s="100">
        <v>3303984.0049655405</v>
      </c>
      <c r="AO58" s="100">
        <v>3303984.0049655405</v>
      </c>
      <c r="AP58" s="100">
        <v>3303984.0049655405</v>
      </c>
      <c r="AQ58" s="100">
        <v>3662809.7517503509</v>
      </c>
      <c r="AR58" s="100">
        <v>3662809.7517503509</v>
      </c>
      <c r="AS58" s="100">
        <v>3662809.7517503509</v>
      </c>
      <c r="AT58" s="100">
        <v>3662809.7517503509</v>
      </c>
      <c r="AU58" s="100">
        <v>3446658.8394264914</v>
      </c>
      <c r="AV58" s="100">
        <v>3446658.8394264914</v>
      </c>
      <c r="AW58" s="100">
        <v>3446658.8394264914</v>
      </c>
      <c r="AX58" s="100">
        <v>3446658.8394264914</v>
      </c>
    </row>
    <row r="59" spans="2:51">
      <c r="B59" s="105" t="s">
        <v>105</v>
      </c>
      <c r="C59" s="100">
        <v>1.8139475907436159E-17</v>
      </c>
      <c r="D59" s="100">
        <v>1.8139475907436159E-17</v>
      </c>
      <c r="E59" s="100">
        <v>1.8139475907436159E-17</v>
      </c>
      <c r="F59" s="100">
        <v>1.8139475907436159E-17</v>
      </c>
      <c r="G59" s="100">
        <v>1.6872436832489225E-17</v>
      </c>
      <c r="H59" s="100">
        <v>1.6872436832489225E-17</v>
      </c>
      <c r="I59" s="100">
        <v>1.6872436832489225E-17</v>
      </c>
      <c r="J59" s="100">
        <v>1.6872436832489225E-17</v>
      </c>
      <c r="K59" s="100">
        <v>1.9351495870775061E-17</v>
      </c>
      <c r="L59" s="100">
        <v>1.9351495870775061E-17</v>
      </c>
      <c r="M59" s="100">
        <v>1.9351495870775061E-17</v>
      </c>
      <c r="N59" s="100">
        <v>1.9351495870775061E-17</v>
      </c>
      <c r="O59" s="100">
        <v>1.6783558643716057E-17</v>
      </c>
      <c r="P59" s="100">
        <v>1.6783558643716057E-17</v>
      </c>
      <c r="Q59" s="100">
        <v>1.6783558643716057E-17</v>
      </c>
      <c r="R59" s="100">
        <v>1.6783558643716057E-17</v>
      </c>
      <c r="S59" s="100">
        <v>1.635234659493853E-17</v>
      </c>
      <c r="T59" s="100">
        <v>1.635234659493853E-17</v>
      </c>
      <c r="U59" s="100">
        <v>1.635234659493853E-17</v>
      </c>
      <c r="V59" s="100">
        <v>1.635234659493853E-17</v>
      </c>
      <c r="W59" s="100">
        <v>1.557604922144047E-17</v>
      </c>
      <c r="X59" s="100">
        <v>1.557604922144047E-17</v>
      </c>
      <c r="Y59" s="100">
        <v>1.557604922144047E-17</v>
      </c>
      <c r="Z59" s="100">
        <v>1.557604922144047E-17</v>
      </c>
      <c r="AA59" s="100">
        <v>1.7613726863703766E-17</v>
      </c>
      <c r="AB59" s="100">
        <v>1.7613726863703766E-17</v>
      </c>
      <c r="AC59" s="100">
        <v>1.7613726863703766E-17</v>
      </c>
      <c r="AD59" s="100">
        <v>1.7613726863703766E-17</v>
      </c>
      <c r="AE59" s="100">
        <v>1.6405248766007516E-17</v>
      </c>
      <c r="AF59" s="100">
        <v>1.6405248766007516E-17</v>
      </c>
      <c r="AG59" s="100">
        <v>1.6405248766007516E-17</v>
      </c>
      <c r="AH59" s="100">
        <v>1.6405248766007516E-17</v>
      </c>
      <c r="AI59" s="100">
        <v>1.6551901303193148E-17</v>
      </c>
      <c r="AJ59" s="100">
        <v>1.6551901303193148E-17</v>
      </c>
      <c r="AK59" s="100">
        <v>1.6551901303193148E-17</v>
      </c>
      <c r="AL59" s="100">
        <v>1.6551901303193148E-17</v>
      </c>
      <c r="AM59" s="100">
        <v>0</v>
      </c>
      <c r="AN59" s="100">
        <v>0</v>
      </c>
      <c r="AO59" s="100">
        <v>0</v>
      </c>
      <c r="AP59" s="100">
        <v>0</v>
      </c>
      <c r="AQ59" s="100">
        <v>1.8902834075684809E-17</v>
      </c>
      <c r="AR59" s="100">
        <v>1.8902834075684809E-17</v>
      </c>
      <c r="AS59" s="100">
        <v>1.8902834075684809E-17</v>
      </c>
      <c r="AT59" s="100">
        <v>1.8902834075684809E-17</v>
      </c>
      <c r="AU59" s="100">
        <v>1.6806954426521475E-17</v>
      </c>
      <c r="AV59" s="100">
        <v>1.6806954426521475E-17</v>
      </c>
      <c r="AW59" s="100">
        <v>1.6806954426521475E-17</v>
      </c>
      <c r="AX59" s="100">
        <v>1.6806954426521475E-17</v>
      </c>
    </row>
    <row r="60" spans="2:51">
      <c r="B60" s="105" t="s">
        <v>106</v>
      </c>
      <c r="C60" s="100">
        <v>64544.109831178335</v>
      </c>
      <c r="D60" s="100">
        <v>64544.109831178335</v>
      </c>
      <c r="E60" s="100">
        <v>64544.109831178335</v>
      </c>
      <c r="F60" s="100">
        <v>64544.109831178335</v>
      </c>
      <c r="G60" s="100">
        <v>229477.31388525572</v>
      </c>
      <c r="H60" s="100">
        <v>229477.31388525572</v>
      </c>
      <c r="I60" s="100">
        <v>229477.31388525572</v>
      </c>
      <c r="J60" s="100">
        <v>229477.31388525572</v>
      </c>
      <c r="K60" s="100">
        <v>245635.20750244186</v>
      </c>
      <c r="L60" s="100">
        <v>245635.20750244186</v>
      </c>
      <c r="M60" s="100">
        <v>245635.20750244186</v>
      </c>
      <c r="N60" s="100">
        <v>245635.20750244186</v>
      </c>
      <c r="O60" s="100">
        <v>225540.30950448121</v>
      </c>
      <c r="P60" s="100">
        <v>225540.30950448121</v>
      </c>
      <c r="Q60" s="100">
        <v>225540.30950448121</v>
      </c>
      <c r="R60" s="100">
        <v>225540.30950448121</v>
      </c>
      <c r="S60" s="100">
        <v>219186.90353945072</v>
      </c>
      <c r="T60" s="100">
        <v>219186.90353945072</v>
      </c>
      <c r="U60" s="100">
        <v>219186.90353945072</v>
      </c>
      <c r="V60" s="100">
        <v>219186.90353945072</v>
      </c>
      <c r="W60" s="100">
        <v>243521.45980785991</v>
      </c>
      <c r="X60" s="100">
        <v>243521.45980785991</v>
      </c>
      <c r="Y60" s="100">
        <v>243521.45980785991</v>
      </c>
      <c r="Z60" s="100">
        <v>243521.45980785991</v>
      </c>
      <c r="AA60" s="100">
        <v>243818.87526386182</v>
      </c>
      <c r="AB60" s="100">
        <v>243818.87526386182</v>
      </c>
      <c r="AC60" s="100">
        <v>243818.87526386182</v>
      </c>
      <c r="AD60" s="100">
        <v>243818.87526386182</v>
      </c>
      <c r="AE60" s="100">
        <v>235540.63678663288</v>
      </c>
      <c r="AF60" s="100">
        <v>235540.63678663288</v>
      </c>
      <c r="AG60" s="100">
        <v>235540.63678663288</v>
      </c>
      <c r="AH60" s="100">
        <v>235540.63678663288</v>
      </c>
      <c r="AI60" s="100">
        <v>220627.8057893888</v>
      </c>
      <c r="AJ60" s="100">
        <v>220627.8057893888</v>
      </c>
      <c r="AK60" s="100">
        <v>220627.8057893888</v>
      </c>
      <c r="AL60" s="100">
        <v>220627.8057893888</v>
      </c>
      <c r="AM60" s="100">
        <v>228394.93917587315</v>
      </c>
      <c r="AN60" s="100">
        <v>228394.93917587315</v>
      </c>
      <c r="AO60" s="100">
        <v>228394.93917587315</v>
      </c>
      <c r="AP60" s="100">
        <v>228394.93917587315</v>
      </c>
      <c r="AQ60" s="100">
        <v>261453.20646641569</v>
      </c>
      <c r="AR60" s="100">
        <v>261453.20646641569</v>
      </c>
      <c r="AS60" s="100">
        <v>261453.20646641569</v>
      </c>
      <c r="AT60" s="100">
        <v>261453.20646641569</v>
      </c>
      <c r="AU60" s="100">
        <v>253699.49645974874</v>
      </c>
      <c r="AV60" s="100">
        <v>253699.49645974874</v>
      </c>
      <c r="AW60" s="100">
        <v>253699.49645974874</v>
      </c>
      <c r="AX60" s="100">
        <v>253699.49645974874</v>
      </c>
    </row>
    <row r="61" spans="2:51">
      <c r="B61" s="105" t="s">
        <v>107</v>
      </c>
      <c r="C61" s="100">
        <v>1133471.6469210638</v>
      </c>
      <c r="D61" s="100">
        <v>1133471.6469210638</v>
      </c>
      <c r="E61" s="100">
        <v>1133471.6469210638</v>
      </c>
      <c r="F61" s="100">
        <v>1133471.6469210638</v>
      </c>
      <c r="G61" s="100">
        <v>1146660.6163947992</v>
      </c>
      <c r="H61" s="100">
        <v>1146660.6163947992</v>
      </c>
      <c r="I61" s="100">
        <v>1146660.6163947992</v>
      </c>
      <c r="J61" s="100">
        <v>1146660.6163947992</v>
      </c>
      <c r="K61" s="100">
        <v>1130734.9442755112</v>
      </c>
      <c r="L61" s="100">
        <v>1130734.9442755112</v>
      </c>
      <c r="M61" s="100">
        <v>1130734.9442755112</v>
      </c>
      <c r="N61" s="100">
        <v>1130734.9442755112</v>
      </c>
      <c r="O61" s="100">
        <v>1121092.9518347457</v>
      </c>
      <c r="P61" s="100">
        <v>1121092.9518347457</v>
      </c>
      <c r="Q61" s="100">
        <v>1121092.9518347457</v>
      </c>
      <c r="R61" s="100">
        <v>1121092.9518347457</v>
      </c>
      <c r="S61" s="100">
        <v>1170729.3469914333</v>
      </c>
      <c r="T61" s="100">
        <v>1170729.3469914333</v>
      </c>
      <c r="U61" s="100">
        <v>1170729.3469914333</v>
      </c>
      <c r="V61" s="100">
        <v>1170729.3469914333</v>
      </c>
      <c r="W61" s="100">
        <v>1115045.0831021825</v>
      </c>
      <c r="X61" s="100">
        <v>1115045.0831021825</v>
      </c>
      <c r="Y61" s="100">
        <v>1115045.0831021825</v>
      </c>
      <c r="Z61" s="100">
        <v>1115045.0831021825</v>
      </c>
      <c r="AA61" s="100">
        <v>1182522.3346516367</v>
      </c>
      <c r="AB61" s="100">
        <v>1182522.3346516367</v>
      </c>
      <c r="AC61" s="100">
        <v>1182522.3346516367</v>
      </c>
      <c r="AD61" s="100">
        <v>1182522.3346516367</v>
      </c>
      <c r="AE61" s="100">
        <v>1105092.6714484894</v>
      </c>
      <c r="AF61" s="100">
        <v>1105092.6714484894</v>
      </c>
      <c r="AG61" s="100">
        <v>1105092.6714484894</v>
      </c>
      <c r="AH61" s="100">
        <v>1105092.6714484894</v>
      </c>
      <c r="AI61" s="100">
        <v>1096769.9270620979</v>
      </c>
      <c r="AJ61" s="100">
        <v>1096769.9270620979</v>
      </c>
      <c r="AK61" s="100">
        <v>1096769.9270620979</v>
      </c>
      <c r="AL61" s="100">
        <v>1096769.9270620979</v>
      </c>
      <c r="AM61" s="100">
        <v>1231230.6534370196</v>
      </c>
      <c r="AN61" s="100">
        <v>1231230.6534370196</v>
      </c>
      <c r="AO61" s="100">
        <v>1231230.6534370196</v>
      </c>
      <c r="AP61" s="100">
        <v>1231230.6534370196</v>
      </c>
      <c r="AQ61" s="100">
        <v>1054912.7274582325</v>
      </c>
      <c r="AR61" s="100">
        <v>1054912.7274582325</v>
      </c>
      <c r="AS61" s="100">
        <v>1054912.7274582325</v>
      </c>
      <c r="AT61" s="100">
        <v>1054912.7274582325</v>
      </c>
      <c r="AU61" s="100">
        <v>1116660.49169814</v>
      </c>
      <c r="AV61" s="100">
        <v>1116660.49169814</v>
      </c>
      <c r="AW61" s="100">
        <v>1116660.49169814</v>
      </c>
      <c r="AX61" s="100">
        <v>583025.16571764578</v>
      </c>
    </row>
    <row r="62" spans="2:51">
      <c r="B62" s="105" t="s">
        <v>108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7.9226217716244549E-18</v>
      </c>
      <c r="D63" s="100">
        <v>7.9226217716244549E-18</v>
      </c>
      <c r="E63" s="100">
        <v>7.9226217716244549E-18</v>
      </c>
      <c r="F63" s="100">
        <v>7.9226217716244549E-18</v>
      </c>
      <c r="G63" s="100">
        <v>6.6972562955394802E-18</v>
      </c>
      <c r="H63" s="100">
        <v>6.6972562955394802E-18</v>
      </c>
      <c r="I63" s="100">
        <v>6.6972562955394802E-18</v>
      </c>
      <c r="J63" s="100">
        <v>6.6972562955394802E-18</v>
      </c>
      <c r="K63" s="100">
        <v>7.3935182946908461E-18</v>
      </c>
      <c r="L63" s="100">
        <v>7.3935182946908461E-18</v>
      </c>
      <c r="M63" s="100">
        <v>7.3935182946908461E-18</v>
      </c>
      <c r="N63" s="100">
        <v>7.3935182946908461E-18</v>
      </c>
      <c r="O63" s="100">
        <v>6.70002103054578E-18</v>
      </c>
      <c r="P63" s="100">
        <v>6.70002103054578E-18</v>
      </c>
      <c r="Q63" s="100">
        <v>6.70002103054578E-18</v>
      </c>
      <c r="R63" s="100">
        <v>6.70002103054578E-18</v>
      </c>
      <c r="S63" s="100">
        <v>6.726519452692339E-18</v>
      </c>
      <c r="T63" s="100">
        <v>6.726519452692339E-18</v>
      </c>
      <c r="U63" s="100">
        <v>6.726519452692339E-18</v>
      </c>
      <c r="V63" s="100">
        <v>6.726519452692339E-18</v>
      </c>
      <c r="W63" s="100">
        <v>7.8183635150645979E-18</v>
      </c>
      <c r="X63" s="100">
        <v>7.8183635150645979E-18</v>
      </c>
      <c r="Y63" s="100">
        <v>7.8183635150645979E-18</v>
      </c>
      <c r="Z63" s="100">
        <v>7.8183635150645979E-18</v>
      </c>
      <c r="AA63" s="100">
        <v>7.7661308036835737E-18</v>
      </c>
      <c r="AB63" s="100">
        <v>7.7661308036835737E-18</v>
      </c>
      <c r="AC63" s="100">
        <v>7.7661308036835737E-18</v>
      </c>
      <c r="AD63" s="100">
        <v>7.7661308036835737E-18</v>
      </c>
      <c r="AE63" s="100">
        <v>6.7857611651597466E-18</v>
      </c>
      <c r="AF63" s="100">
        <v>6.7857611651597466E-18</v>
      </c>
      <c r="AG63" s="100">
        <v>6.7857611651597466E-18</v>
      </c>
      <c r="AH63" s="100">
        <v>6.7857611651597466E-18</v>
      </c>
      <c r="AI63" s="100">
        <v>6.7785560046952741E-18</v>
      </c>
      <c r="AJ63" s="100">
        <v>6.7785560046952741E-18</v>
      </c>
      <c r="AK63" s="100">
        <v>6.7785560046952741E-18</v>
      </c>
      <c r="AL63" s="100">
        <v>6.7785560046952741E-18</v>
      </c>
      <c r="AM63" s="100">
        <v>6.7665860710441334E-18</v>
      </c>
      <c r="AN63" s="100">
        <v>6.7665860710441334E-18</v>
      </c>
      <c r="AO63" s="100">
        <v>6.7665860710441334E-18</v>
      </c>
      <c r="AP63" s="100">
        <v>6.7665860710441334E-18</v>
      </c>
      <c r="AQ63" s="100">
        <v>6.8371451090538641E-18</v>
      </c>
      <c r="AR63" s="100">
        <v>6.8371451090538641E-18</v>
      </c>
      <c r="AS63" s="100">
        <v>6.8371451090538641E-18</v>
      </c>
      <c r="AT63" s="100">
        <v>6.8371451090538641E-18</v>
      </c>
      <c r="AU63" s="100">
        <v>6.7067281014699011E-18</v>
      </c>
      <c r="AV63" s="100">
        <v>6.7067281014699011E-18</v>
      </c>
      <c r="AW63" s="100">
        <v>6.7067281014699011E-18</v>
      </c>
      <c r="AX63" s="100">
        <v>6.7067281014699011E-18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0.31495257226716861</v>
      </c>
      <c r="D67" s="100">
        <v>0.31495257226716861</v>
      </c>
      <c r="E67" s="100">
        <v>0.31495257226716861</v>
      </c>
      <c r="F67" s="100">
        <v>0.31495257226716861</v>
      </c>
      <c r="G67" s="100">
        <v>0.31495257226716861</v>
      </c>
      <c r="H67" s="100">
        <v>0.31495257226716861</v>
      </c>
      <c r="I67" s="100">
        <v>0.31495257226716861</v>
      </c>
      <c r="J67" s="100">
        <v>0.31495257226716861</v>
      </c>
      <c r="K67" s="100">
        <v>0.31495257226716861</v>
      </c>
      <c r="L67" s="100">
        <v>0.31495257226716861</v>
      </c>
      <c r="M67" s="100">
        <v>0.31495257226716861</v>
      </c>
      <c r="N67" s="100">
        <v>0.31495257226716861</v>
      </c>
    </row>
    <row r="68" spans="1:14">
      <c r="B68" s="99" t="s">
        <v>330</v>
      </c>
      <c r="C68" s="100">
        <v>0.4343067588554429</v>
      </c>
      <c r="D68" s="100">
        <v>0.4343067588554429</v>
      </c>
      <c r="E68" s="100">
        <v>0.4343067588554429</v>
      </c>
      <c r="F68" s="100">
        <v>0.4343067588554429</v>
      </c>
      <c r="G68" s="100">
        <v>0.4343067588554429</v>
      </c>
      <c r="H68" s="100">
        <v>0.4343067588554429</v>
      </c>
      <c r="I68" s="100">
        <v>0.4343067588554429</v>
      </c>
      <c r="J68" s="100">
        <v>0.4343067588554429</v>
      </c>
      <c r="K68" s="100">
        <v>0.4343067588554429</v>
      </c>
      <c r="L68" s="100">
        <v>0.4343067588554429</v>
      </c>
      <c r="M68" s="100">
        <v>0.4343067588554429</v>
      </c>
      <c r="N68" s="100">
        <v>0.4343067588554429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20.163582685862057</v>
      </c>
      <c r="D72" s="100">
        <v>42.953277206717544</v>
      </c>
      <c r="E72" s="100">
        <v>74.57337809258884</v>
      </c>
    </row>
    <row r="73" spans="1:14">
      <c r="B73" s="105" t="s">
        <v>93</v>
      </c>
      <c r="C73" s="100">
        <v>20.163582685862057</v>
      </c>
      <c r="D73" s="100">
        <v>42.953277206717544</v>
      </c>
      <c r="E73" s="100">
        <v>74.57337809258884</v>
      </c>
    </row>
    <row r="74" spans="1:14">
      <c r="B74" s="105" t="s">
        <v>94</v>
      </c>
      <c r="C74" s="100">
        <v>20.163582685862057</v>
      </c>
      <c r="D74" s="100">
        <v>42.953277206717544</v>
      </c>
      <c r="E74" s="100">
        <v>74.57337809258884</v>
      </c>
    </row>
    <row r="75" spans="1:14">
      <c r="B75" s="105" t="s">
        <v>95</v>
      </c>
      <c r="C75" s="100">
        <v>20.163582685862057</v>
      </c>
      <c r="D75" s="100">
        <v>42.953277206717544</v>
      </c>
      <c r="E75" s="100">
        <v>74.57337809258884</v>
      </c>
    </row>
    <row r="76" spans="1:14">
      <c r="B76" s="105" t="s">
        <v>96</v>
      </c>
      <c r="C76" s="100">
        <v>20.163582685862057</v>
      </c>
      <c r="D76" s="100">
        <v>42.953277206717544</v>
      </c>
      <c r="E76" s="100">
        <v>74.57337809258884</v>
      </c>
    </row>
    <row r="77" spans="1:14">
      <c r="B77" s="105" t="s">
        <v>97</v>
      </c>
      <c r="C77" s="100">
        <v>20.163582685862057</v>
      </c>
      <c r="D77" s="100">
        <v>42.953277206717544</v>
      </c>
      <c r="E77" s="100">
        <v>74.57337809258884</v>
      </c>
    </row>
    <row r="78" spans="1:14">
      <c r="B78" s="105" t="s">
        <v>98</v>
      </c>
      <c r="C78" s="100">
        <v>20.163582685862057</v>
      </c>
      <c r="D78" s="100">
        <v>42.953277206717544</v>
      </c>
      <c r="E78" s="100">
        <v>74.57337809258884</v>
      </c>
    </row>
    <row r="79" spans="1:14">
      <c r="B79" s="105" t="s">
        <v>99</v>
      </c>
      <c r="C79" s="100">
        <v>20.163582685862057</v>
      </c>
      <c r="D79" s="100">
        <v>42.953277206717544</v>
      </c>
      <c r="E79" s="100">
        <v>74.57337809258884</v>
      </c>
    </row>
    <row r="80" spans="1:14">
      <c r="B80" s="105" t="s">
        <v>100</v>
      </c>
      <c r="C80" s="100">
        <v>20.163582685862057</v>
      </c>
      <c r="D80" s="100">
        <v>42.953277206717544</v>
      </c>
      <c r="E80" s="100">
        <v>74.57337809258884</v>
      </c>
    </row>
    <row r="81" spans="2:50">
      <c r="B81" s="105" t="s">
        <v>101</v>
      </c>
      <c r="C81" s="100">
        <v>20.163582685862057</v>
      </c>
      <c r="D81" s="100">
        <v>42.953277206717544</v>
      </c>
      <c r="E81" s="100">
        <v>74.57337809258884</v>
      </c>
    </row>
    <row r="82" spans="2:50">
      <c r="B82" s="105" t="s">
        <v>102</v>
      </c>
      <c r="C82" s="100">
        <v>20.163582685862057</v>
      </c>
      <c r="D82" s="100">
        <v>42.953277206717544</v>
      </c>
      <c r="E82" s="100">
        <v>74.57337809258884</v>
      </c>
    </row>
    <row r="83" spans="2:50">
      <c r="B83" s="105" t="s">
        <v>103</v>
      </c>
      <c r="C83" s="100">
        <v>20.163582685862057</v>
      </c>
      <c r="D83" s="100">
        <v>42.953277206717544</v>
      </c>
      <c r="E83" s="100">
        <v>74.57337809258884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2649.8181202420674</v>
      </c>
      <c r="D88" s="100">
        <f>D48+$C$67/4</f>
        <v>2649.8181202420674</v>
      </c>
      <c r="E88" s="100">
        <f>E48+$C$67/4</f>
        <v>2649.8181202420674</v>
      </c>
      <c r="F88" s="100">
        <f>F48+$C$67/4</f>
        <v>2649.8181202420674</v>
      </c>
      <c r="G88" s="100">
        <f>G48+$D$67/4</f>
        <v>3179.7659966618676</v>
      </c>
      <c r="H88" s="100">
        <f>H48+$D$67/4</f>
        <v>3179.7659966618676</v>
      </c>
      <c r="I88" s="100">
        <f>I48+$D$67/4</f>
        <v>3179.7659966618676</v>
      </c>
      <c r="J88" s="100">
        <f>J48+$D$67/4</f>
        <v>3179.7659966618676</v>
      </c>
      <c r="K88" s="100">
        <f>K48+$E$67/4</f>
        <v>2649.8181202420674</v>
      </c>
      <c r="L88" s="100">
        <f>L48+$E$67/4</f>
        <v>2649.8181202420674</v>
      </c>
      <c r="M88" s="100">
        <f>M48+$E$67/4</f>
        <v>2649.8181202420674</v>
      </c>
      <c r="N88" s="100">
        <f>N48+$E$67/4</f>
        <v>2649.8181202420674</v>
      </c>
      <c r="O88" s="100">
        <f>O48+$F$67/4</f>
        <v>2649.8181202420674</v>
      </c>
      <c r="P88" s="100">
        <f>P48+$F$67/4</f>
        <v>2649.8181202420674</v>
      </c>
      <c r="Q88" s="100">
        <f>Q48+$F$67/4</f>
        <v>2649.8181202420674</v>
      </c>
      <c r="R88" s="100">
        <f>R48+$F$67/4</f>
        <v>2649.8181202420674</v>
      </c>
      <c r="S88" s="100">
        <f>S48+$G$67/4</f>
        <v>2649.8181202420674</v>
      </c>
      <c r="T88" s="100">
        <f>T48+$G$67/4</f>
        <v>2649.8181202420674</v>
      </c>
      <c r="U88" s="100">
        <f>U48+$G$67/4</f>
        <v>2649.8181202420674</v>
      </c>
      <c r="V88" s="100">
        <f>V48+$G$67/4</f>
        <v>2649.8181202420674</v>
      </c>
      <c r="W88" s="100">
        <f>W48+$H$67/4</f>
        <v>2649.8181202420674</v>
      </c>
      <c r="X88" s="100">
        <f>X48+$H$67/4</f>
        <v>2649.8181202420674</v>
      </c>
      <c r="Y88" s="100">
        <f>Y48+$H$67/4</f>
        <v>2649.8181202420674</v>
      </c>
      <c r="Z88" s="100">
        <f>Z48+$H$67/4</f>
        <v>2649.8181202420674</v>
      </c>
      <c r="AA88" s="100">
        <f>AA48+$I$67/4</f>
        <v>2649.8181202420674</v>
      </c>
      <c r="AB88" s="100">
        <f>AB48+$I$67/4</f>
        <v>2649.8181202420674</v>
      </c>
      <c r="AC88" s="100">
        <f>AC48+$I$67/4</f>
        <v>2649.8181202420674</v>
      </c>
      <c r="AD88" s="100">
        <f>AD48+$I$67/4</f>
        <v>2649.8181202420674</v>
      </c>
      <c r="AE88" s="100">
        <f>AE48+$J$67/4</f>
        <v>2649.8181202420674</v>
      </c>
      <c r="AF88" s="100">
        <f>AF48+$J$67/4</f>
        <v>2649.8181202420674</v>
      </c>
      <c r="AG88" s="100">
        <f>AG48+$J$67/4</f>
        <v>2649.8181202420674</v>
      </c>
      <c r="AH88" s="100">
        <f>AH48+$J$67/4</f>
        <v>2649.8181202420674</v>
      </c>
      <c r="AI88" s="100">
        <f>AI48+$K$67/4</f>
        <v>2649.8181202420674</v>
      </c>
      <c r="AJ88" s="100">
        <f>AJ48+$K$67/4</f>
        <v>2649.8181202420674</v>
      </c>
      <c r="AK88" s="100">
        <f>AK48+$K$67/4</f>
        <v>2649.8181202420674</v>
      </c>
      <c r="AL88" s="100">
        <f>AL48+$K$67/4</f>
        <v>2649.8181202420674</v>
      </c>
      <c r="AM88" s="100">
        <f>AM48+$L$67/4</f>
        <v>2649.8181202420674</v>
      </c>
      <c r="AN88" s="100">
        <f>AN48+$L$67/4</f>
        <v>2649.8181202420674</v>
      </c>
      <c r="AO88" s="100">
        <f>AO48+$L$67/4</f>
        <v>2649.8181202420674</v>
      </c>
      <c r="AP88" s="100">
        <f>AP48+$L$67/4</f>
        <v>2649.8181202420674</v>
      </c>
      <c r="AQ88" s="100">
        <f>AQ48+$M$67/4</f>
        <v>2649.8181202420674</v>
      </c>
      <c r="AR88" s="100">
        <f>AR48+$M$67/4</f>
        <v>2649.8181202420674</v>
      </c>
      <c r="AS88" s="100">
        <f>AS48+$M$67/4</f>
        <v>2649.8181202420674</v>
      </c>
      <c r="AT88" s="100">
        <f>AT48+$M$67/4</f>
        <v>2649.8181202420674</v>
      </c>
      <c r="AU88" s="100">
        <f>AU48+$N$67/4</f>
        <v>2649.8181202420674</v>
      </c>
      <c r="AV88" s="100">
        <f>AV48+$N$67/4</f>
        <v>2649.8181202420674</v>
      </c>
      <c r="AW88" s="100">
        <f>AW48+$N$67/4</f>
        <v>2649.8181202420674</v>
      </c>
      <c r="AX88" s="100">
        <f>AX48+$N$67/4</f>
        <v>2649.8181202420674</v>
      </c>
    </row>
    <row r="89" spans="2:50">
      <c r="B89" s="99" t="s">
        <v>105</v>
      </c>
      <c r="C89" s="100">
        <f>C49</f>
        <v>1.2547165770438028E-20</v>
      </c>
      <c r="D89" s="100">
        <f t="shared" ref="D89:AX93" si="3">D49</f>
        <v>1.2547165770438028E-20</v>
      </c>
      <c r="E89" s="100">
        <f t="shared" si="3"/>
        <v>1.2547165770438028E-20</v>
      </c>
      <c r="F89" s="100">
        <f t="shared" si="3"/>
        <v>1.2547165770438028E-20</v>
      </c>
      <c r="G89" s="100">
        <f t="shared" si="3"/>
        <v>1.2547165770438028E-20</v>
      </c>
      <c r="H89" s="100">
        <f t="shared" si="3"/>
        <v>1.2547165770438028E-20</v>
      </c>
      <c r="I89" s="100">
        <f t="shared" si="3"/>
        <v>1.2547165770438028E-20</v>
      </c>
      <c r="J89" s="100">
        <f t="shared" si="3"/>
        <v>1.2547165770438028E-20</v>
      </c>
      <c r="K89" s="100">
        <f t="shared" si="3"/>
        <v>1.5056598924525634E-20</v>
      </c>
      <c r="L89" s="100">
        <f t="shared" si="3"/>
        <v>1.5056598924525634E-20</v>
      </c>
      <c r="M89" s="100">
        <f t="shared" si="3"/>
        <v>1.5056598924525634E-20</v>
      </c>
      <c r="N89" s="100">
        <f t="shared" si="3"/>
        <v>1.5056598924525634E-20</v>
      </c>
      <c r="O89" s="100">
        <f t="shared" si="3"/>
        <v>1.2547165770438028E-20</v>
      </c>
      <c r="P89" s="100">
        <f t="shared" si="3"/>
        <v>1.2547165770438028E-20</v>
      </c>
      <c r="Q89" s="100">
        <f t="shared" si="3"/>
        <v>1.2547165770438028E-20</v>
      </c>
      <c r="R89" s="100">
        <f t="shared" si="3"/>
        <v>1.2547165770438028E-20</v>
      </c>
      <c r="S89" s="100">
        <f t="shared" si="3"/>
        <v>1.2547165770438028E-20</v>
      </c>
      <c r="T89" s="100">
        <f t="shared" si="3"/>
        <v>1.2547165770438028E-20</v>
      </c>
      <c r="U89" s="100">
        <f t="shared" si="3"/>
        <v>1.2547165770438028E-20</v>
      </c>
      <c r="V89" s="100">
        <f t="shared" si="3"/>
        <v>1.2547165770438028E-20</v>
      </c>
      <c r="W89" s="100">
        <f t="shared" si="3"/>
        <v>1.0037732616350423E-20</v>
      </c>
      <c r="X89" s="100">
        <f t="shared" si="3"/>
        <v>1.0037732616350423E-20</v>
      </c>
      <c r="Y89" s="100">
        <f t="shared" si="3"/>
        <v>1.0037732616350423E-20</v>
      </c>
      <c r="Z89" s="100">
        <f t="shared" si="3"/>
        <v>1.0037732616350423E-20</v>
      </c>
      <c r="AA89" s="100">
        <f t="shared" si="3"/>
        <v>1.2547165770438028E-20</v>
      </c>
      <c r="AB89" s="100">
        <f t="shared" si="3"/>
        <v>1.2547165770438028E-20</v>
      </c>
      <c r="AC89" s="100">
        <f t="shared" si="3"/>
        <v>1.2547165770438028E-20</v>
      </c>
      <c r="AD89" s="100">
        <f t="shared" si="3"/>
        <v>1.2547165770438028E-20</v>
      </c>
      <c r="AE89" s="100">
        <f t="shared" si="3"/>
        <v>1.2547165770438028E-20</v>
      </c>
      <c r="AF89" s="100">
        <f t="shared" si="3"/>
        <v>1.2547165770438028E-20</v>
      </c>
      <c r="AG89" s="100">
        <f t="shared" si="3"/>
        <v>1.2547165770438028E-20</v>
      </c>
      <c r="AH89" s="100">
        <f t="shared" si="3"/>
        <v>1.2547165770438028E-20</v>
      </c>
      <c r="AI89" s="100">
        <f t="shared" si="3"/>
        <v>1.2547165770438028E-20</v>
      </c>
      <c r="AJ89" s="100">
        <f t="shared" si="3"/>
        <v>1.2547165770438028E-20</v>
      </c>
      <c r="AK89" s="100">
        <f t="shared" si="3"/>
        <v>1.2547165770438028E-20</v>
      </c>
      <c r="AL89" s="100">
        <f t="shared" si="3"/>
        <v>1.2547165770438028E-20</v>
      </c>
      <c r="AM89" s="100">
        <f t="shared" si="3"/>
        <v>0</v>
      </c>
      <c r="AN89" s="100">
        <f t="shared" si="3"/>
        <v>0</v>
      </c>
      <c r="AO89" s="100">
        <f t="shared" si="3"/>
        <v>0</v>
      </c>
      <c r="AP89" s="100">
        <f t="shared" si="3"/>
        <v>0</v>
      </c>
      <c r="AQ89" s="100">
        <f t="shared" si="3"/>
        <v>1.5056598924525634E-20</v>
      </c>
      <c r="AR89" s="100">
        <f t="shared" si="3"/>
        <v>1.5056598924525634E-20</v>
      </c>
      <c r="AS89" s="100">
        <f t="shared" si="3"/>
        <v>1.5056598924525634E-20</v>
      </c>
      <c r="AT89" s="100">
        <f t="shared" si="3"/>
        <v>1.5056598924525634E-20</v>
      </c>
      <c r="AU89" s="100">
        <f t="shared" si="3"/>
        <v>1.2547165770438028E-20</v>
      </c>
      <c r="AV89" s="100">
        <f t="shared" si="3"/>
        <v>1.2547165770438028E-20</v>
      </c>
      <c r="AW89" s="100">
        <f t="shared" si="3"/>
        <v>1.2547165770438028E-20</v>
      </c>
      <c r="AX89" s="100">
        <f t="shared" si="3"/>
        <v>1.2547165770438028E-20</v>
      </c>
    </row>
    <row r="90" spans="2:50">
      <c r="B90" s="99" t="s">
        <v>106</v>
      </c>
      <c r="C90" s="100">
        <f t="shared" ref="C90:R93" si="4">C50</f>
        <v>40</v>
      </c>
      <c r="D90" s="100">
        <f t="shared" si="4"/>
        <v>40</v>
      </c>
      <c r="E90" s="100">
        <f t="shared" si="4"/>
        <v>40</v>
      </c>
      <c r="F90" s="100">
        <f t="shared" si="4"/>
        <v>40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128</v>
      </c>
      <c r="T90" s="100">
        <f t="shared" si="3"/>
        <v>128</v>
      </c>
      <c r="U90" s="100">
        <f t="shared" si="3"/>
        <v>128</v>
      </c>
      <c r="V90" s="100">
        <f t="shared" si="3"/>
        <v>128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192</v>
      </c>
      <c r="AR90" s="100">
        <f t="shared" si="3"/>
        <v>192</v>
      </c>
      <c r="AS90" s="100">
        <f t="shared" si="3"/>
        <v>192</v>
      </c>
      <c r="AT90" s="100">
        <f t="shared" si="3"/>
        <v>192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789.99999999999989</v>
      </c>
      <c r="D91" s="100">
        <f t="shared" si="3"/>
        <v>789.99999999999989</v>
      </c>
      <c r="E91" s="100">
        <f t="shared" si="3"/>
        <v>789.99999999999989</v>
      </c>
      <c r="F91" s="100">
        <f t="shared" si="3"/>
        <v>789.99999999999989</v>
      </c>
      <c r="G91" s="100">
        <f t="shared" si="3"/>
        <v>789.99999999999989</v>
      </c>
      <c r="H91" s="100">
        <f t="shared" si="3"/>
        <v>789.99999999999989</v>
      </c>
      <c r="I91" s="100">
        <f t="shared" si="3"/>
        <v>789.99999999999989</v>
      </c>
      <c r="J91" s="100">
        <f t="shared" si="3"/>
        <v>789.99999999999989</v>
      </c>
      <c r="K91" s="100">
        <f t="shared" si="3"/>
        <v>789.99999999999989</v>
      </c>
      <c r="L91" s="100">
        <f t="shared" si="3"/>
        <v>789.99999999999989</v>
      </c>
      <c r="M91" s="100">
        <f t="shared" si="3"/>
        <v>789.99999999999989</v>
      </c>
      <c r="N91" s="100">
        <f t="shared" si="3"/>
        <v>789.99999999999989</v>
      </c>
      <c r="O91" s="100">
        <f t="shared" si="3"/>
        <v>789.99999999999989</v>
      </c>
      <c r="P91" s="100">
        <f t="shared" si="3"/>
        <v>789.99999999999989</v>
      </c>
      <c r="Q91" s="100">
        <f t="shared" si="3"/>
        <v>789.99999999999989</v>
      </c>
      <c r="R91" s="100">
        <f t="shared" si="3"/>
        <v>789.99999999999989</v>
      </c>
      <c r="S91" s="100">
        <f t="shared" si="3"/>
        <v>789.99999999999989</v>
      </c>
      <c r="T91" s="100">
        <f t="shared" si="3"/>
        <v>789.99999999999989</v>
      </c>
      <c r="U91" s="100">
        <f t="shared" si="3"/>
        <v>789.99999999999989</v>
      </c>
      <c r="V91" s="100">
        <f t="shared" si="3"/>
        <v>789.99999999999989</v>
      </c>
      <c r="W91" s="100">
        <f t="shared" si="3"/>
        <v>789.99999999999989</v>
      </c>
      <c r="X91" s="100">
        <f t="shared" si="3"/>
        <v>789.99999999999989</v>
      </c>
      <c r="Y91" s="100">
        <f t="shared" si="3"/>
        <v>789.99999999999989</v>
      </c>
      <c r="Z91" s="100">
        <f t="shared" si="3"/>
        <v>789.99999999999989</v>
      </c>
      <c r="AA91" s="100">
        <f t="shared" si="3"/>
        <v>789.99999999999989</v>
      </c>
      <c r="AB91" s="100">
        <f t="shared" si="3"/>
        <v>789.99999999999989</v>
      </c>
      <c r="AC91" s="100">
        <f t="shared" si="3"/>
        <v>789.99999999999989</v>
      </c>
      <c r="AD91" s="100">
        <f t="shared" si="3"/>
        <v>789.99999999999989</v>
      </c>
      <c r="AE91" s="100">
        <f t="shared" si="3"/>
        <v>789.99999999999989</v>
      </c>
      <c r="AF91" s="100">
        <f t="shared" si="3"/>
        <v>789.99999999999989</v>
      </c>
      <c r="AG91" s="100">
        <f t="shared" si="3"/>
        <v>789.99999999999989</v>
      </c>
      <c r="AH91" s="100">
        <f t="shared" si="3"/>
        <v>789.99999999999989</v>
      </c>
      <c r="AI91" s="100">
        <f t="shared" si="3"/>
        <v>789.99999999999989</v>
      </c>
      <c r="AJ91" s="100">
        <f t="shared" si="3"/>
        <v>789.99999999999989</v>
      </c>
      <c r="AK91" s="100">
        <f t="shared" si="3"/>
        <v>789.99999999999989</v>
      </c>
      <c r="AL91" s="100">
        <f t="shared" si="3"/>
        <v>789.99999999999989</v>
      </c>
      <c r="AM91" s="100">
        <f t="shared" si="3"/>
        <v>789.99999999999989</v>
      </c>
      <c r="AN91" s="100">
        <f t="shared" si="3"/>
        <v>789.99999999999989</v>
      </c>
      <c r="AO91" s="100">
        <f t="shared" si="3"/>
        <v>789.99999999999989</v>
      </c>
      <c r="AP91" s="100">
        <f t="shared" si="3"/>
        <v>789.99999999999989</v>
      </c>
      <c r="AQ91" s="100">
        <f t="shared" si="3"/>
        <v>789.99999999999989</v>
      </c>
      <c r="AR91" s="100">
        <f t="shared" si="3"/>
        <v>789.99999999999989</v>
      </c>
      <c r="AS91" s="100">
        <f t="shared" si="3"/>
        <v>789.99999999999989</v>
      </c>
      <c r="AT91" s="100">
        <f t="shared" si="3"/>
        <v>789.99999999999989</v>
      </c>
      <c r="AU91" s="100">
        <f t="shared" si="3"/>
        <v>632</v>
      </c>
      <c r="AV91" s="100">
        <f t="shared" si="3"/>
        <v>632</v>
      </c>
      <c r="AW91" s="100">
        <f t="shared" si="3"/>
        <v>632</v>
      </c>
      <c r="AX91" s="100">
        <f t="shared" si="3"/>
        <v>329.97666477230297</v>
      </c>
    </row>
    <row r="92" spans="2:50">
      <c r="B92" s="99" t="s">
        <v>108</v>
      </c>
      <c r="C92" s="100">
        <f t="shared" si="4"/>
        <v>0</v>
      </c>
      <c r="D92" s="100">
        <f t="shared" si="4"/>
        <v>0</v>
      </c>
      <c r="E92" s="100">
        <f t="shared" si="4"/>
        <v>0</v>
      </c>
      <c r="F92" s="100">
        <f t="shared" si="4"/>
        <v>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0</v>
      </c>
      <c r="P92" s="100">
        <f t="shared" si="4"/>
        <v>0</v>
      </c>
      <c r="Q92" s="100">
        <f t="shared" si="4"/>
        <v>0</v>
      </c>
      <c r="R92" s="100">
        <f t="shared" si="4"/>
        <v>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5.8473395323961962E-21</v>
      </c>
      <c r="D93" s="100">
        <f t="shared" si="4"/>
        <v>5.8473395323961962E-21</v>
      </c>
      <c r="E93" s="100">
        <f t="shared" si="4"/>
        <v>5.8473395323961962E-21</v>
      </c>
      <c r="F93" s="100">
        <f t="shared" si="4"/>
        <v>5.8473395323961962E-21</v>
      </c>
      <c r="G93" s="100">
        <f t="shared" si="4"/>
        <v>4.8727829436634972E-21</v>
      </c>
      <c r="H93" s="100">
        <f t="shared" si="4"/>
        <v>4.8727829436634972E-21</v>
      </c>
      <c r="I93" s="100">
        <f t="shared" si="4"/>
        <v>4.8727829436634972E-21</v>
      </c>
      <c r="J93" s="100">
        <f t="shared" si="4"/>
        <v>4.8727829436634972E-21</v>
      </c>
      <c r="K93" s="100">
        <f t="shared" si="4"/>
        <v>5.8473395323961962E-21</v>
      </c>
      <c r="L93" s="100">
        <f t="shared" si="4"/>
        <v>5.8473395323961962E-21</v>
      </c>
      <c r="M93" s="100">
        <f t="shared" si="4"/>
        <v>5.8473395323961962E-21</v>
      </c>
      <c r="N93" s="100">
        <f t="shared" si="4"/>
        <v>5.8473395323961962E-21</v>
      </c>
      <c r="O93" s="100">
        <f t="shared" si="4"/>
        <v>4.8727829436634972E-21</v>
      </c>
      <c r="P93" s="100">
        <f t="shared" si="4"/>
        <v>4.8727829436634972E-21</v>
      </c>
      <c r="Q93" s="100">
        <f t="shared" si="4"/>
        <v>4.8727829436634972E-21</v>
      </c>
      <c r="R93" s="100">
        <f t="shared" si="4"/>
        <v>4.8727829436634972E-21</v>
      </c>
      <c r="S93" s="100">
        <f t="shared" si="3"/>
        <v>4.8727829436634972E-21</v>
      </c>
      <c r="T93" s="100">
        <f t="shared" si="3"/>
        <v>4.8727829436634972E-21</v>
      </c>
      <c r="U93" s="100">
        <f t="shared" si="3"/>
        <v>4.8727829436634972E-21</v>
      </c>
      <c r="V93" s="100">
        <f t="shared" si="3"/>
        <v>4.8727829436634972E-21</v>
      </c>
      <c r="W93" s="100">
        <f t="shared" si="3"/>
        <v>5.8473395323961962E-21</v>
      </c>
      <c r="X93" s="100">
        <f t="shared" si="3"/>
        <v>5.8473395323961962E-21</v>
      </c>
      <c r="Y93" s="100">
        <f t="shared" si="3"/>
        <v>5.8473395323961962E-21</v>
      </c>
      <c r="Z93" s="100">
        <f t="shared" si="3"/>
        <v>5.8473395323961962E-21</v>
      </c>
      <c r="AA93" s="100">
        <f t="shared" si="3"/>
        <v>5.8473395323961962E-21</v>
      </c>
      <c r="AB93" s="100">
        <f t="shared" si="3"/>
        <v>5.8473395323961962E-21</v>
      </c>
      <c r="AC93" s="100">
        <f t="shared" si="3"/>
        <v>5.8473395323961962E-21</v>
      </c>
      <c r="AD93" s="100">
        <f t="shared" si="3"/>
        <v>5.8473395323961962E-21</v>
      </c>
      <c r="AE93" s="100">
        <f t="shared" si="3"/>
        <v>4.8727829436634972E-21</v>
      </c>
      <c r="AF93" s="100">
        <f t="shared" si="3"/>
        <v>4.8727829436634972E-21</v>
      </c>
      <c r="AG93" s="100">
        <f t="shared" si="3"/>
        <v>4.8727829436634972E-21</v>
      </c>
      <c r="AH93" s="100">
        <f t="shared" si="3"/>
        <v>4.8727829436634972E-21</v>
      </c>
      <c r="AI93" s="100">
        <f t="shared" si="3"/>
        <v>4.8727829436634972E-21</v>
      </c>
      <c r="AJ93" s="100">
        <f t="shared" si="3"/>
        <v>4.8727829436634972E-21</v>
      </c>
      <c r="AK93" s="100">
        <f t="shared" si="3"/>
        <v>4.8727829436634972E-21</v>
      </c>
      <c r="AL93" s="100">
        <f t="shared" si="3"/>
        <v>4.8727829436634972E-21</v>
      </c>
      <c r="AM93" s="100">
        <f t="shared" si="3"/>
        <v>4.8727829436634972E-21</v>
      </c>
      <c r="AN93" s="100">
        <f t="shared" si="3"/>
        <v>4.8727829436634972E-21</v>
      </c>
      <c r="AO93" s="100">
        <f t="shared" si="3"/>
        <v>4.8727829436634972E-21</v>
      </c>
      <c r="AP93" s="100">
        <f t="shared" si="3"/>
        <v>4.8727829436634972E-21</v>
      </c>
      <c r="AQ93" s="100">
        <f t="shared" si="3"/>
        <v>4.8727829436634972E-21</v>
      </c>
      <c r="AR93" s="100">
        <f t="shared" si="3"/>
        <v>4.8727829436634972E-21</v>
      </c>
      <c r="AS93" s="100">
        <f t="shared" si="3"/>
        <v>4.8727829436634972E-21</v>
      </c>
      <c r="AT93" s="100">
        <f t="shared" si="3"/>
        <v>4.8727829436634972E-21</v>
      </c>
      <c r="AU93" s="100">
        <f t="shared" si="3"/>
        <v>4.8727829436634972E-21</v>
      </c>
      <c r="AV93" s="100">
        <f t="shared" si="3"/>
        <v>4.8727829436634972E-21</v>
      </c>
      <c r="AW93" s="100">
        <f t="shared" si="3"/>
        <v>4.8727829436634972E-21</v>
      </c>
      <c r="AX93" s="100">
        <f t="shared" si="3"/>
        <v>4.8727829436634972E-21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4.5620621497388397E-18</v>
      </c>
      <c r="D98" s="100">
        <v>4.5620621497388397E-18</v>
      </c>
      <c r="E98" s="100">
        <v>4.5620621497388397E-18</v>
      </c>
      <c r="F98" s="100">
        <v>4.5620621497388397E-18</v>
      </c>
      <c r="G98" s="100">
        <v>5.4744474677652651E-18</v>
      </c>
      <c r="H98" s="100">
        <v>5.4744474677652651E-18</v>
      </c>
      <c r="I98" s="100">
        <v>5.4744474677652651E-18</v>
      </c>
      <c r="J98" s="100">
        <v>5.4744474677652651E-18</v>
      </c>
      <c r="K98" s="100">
        <v>4.5620621497388397E-18</v>
      </c>
      <c r="L98" s="100">
        <v>4.5620621497388397E-18</v>
      </c>
      <c r="M98" s="100">
        <v>4.5620621497388397E-18</v>
      </c>
      <c r="N98" s="100">
        <v>4.5620621497388397E-18</v>
      </c>
      <c r="O98" s="100">
        <v>4.5620621497388397E-18</v>
      </c>
      <c r="P98" s="100">
        <v>4.5620621497388397E-18</v>
      </c>
      <c r="Q98" s="100">
        <v>4.5620621497388397E-18</v>
      </c>
      <c r="R98" s="100">
        <v>4.5620621497388397E-18</v>
      </c>
      <c r="S98" s="100">
        <v>4.5620621497388397E-18</v>
      </c>
      <c r="T98" s="100">
        <v>4.5620621497388397E-18</v>
      </c>
      <c r="U98" s="100">
        <v>4.5620621497388397E-18</v>
      </c>
      <c r="V98" s="100">
        <v>4.5620621497388397E-18</v>
      </c>
      <c r="W98" s="100">
        <v>4.5620621497388397E-18</v>
      </c>
      <c r="X98" s="100">
        <v>4.5620621497388397E-18</v>
      </c>
      <c r="Y98" s="100">
        <v>4.5620621497388397E-18</v>
      </c>
      <c r="Z98" s="100">
        <v>4.5620621497388397E-18</v>
      </c>
      <c r="AA98" s="100">
        <v>4.5620621497388397E-18</v>
      </c>
      <c r="AB98" s="100">
        <v>4.5620621497388397E-18</v>
      </c>
      <c r="AC98" s="100">
        <v>4.5620621497388397E-18</v>
      </c>
      <c r="AD98" s="100">
        <v>4.5620621497388397E-18</v>
      </c>
      <c r="AE98" s="100">
        <v>4.5620621497388397E-18</v>
      </c>
      <c r="AF98" s="100">
        <v>4.5620621497388397E-18</v>
      </c>
      <c r="AG98" s="100">
        <v>4.5620621497388397E-18</v>
      </c>
      <c r="AH98" s="100">
        <v>4.5620621497388397E-18</v>
      </c>
      <c r="AI98" s="100">
        <v>4.5620621497388397E-18</v>
      </c>
      <c r="AJ98" s="100">
        <v>4.5620621497388397E-18</v>
      </c>
      <c r="AK98" s="100">
        <v>4.5620621497388397E-18</v>
      </c>
      <c r="AL98" s="100">
        <v>4.5620621497388397E-18</v>
      </c>
      <c r="AM98" s="100">
        <v>4.5620621497388397E-18</v>
      </c>
      <c r="AN98" s="100">
        <v>4.5620621497388397E-18</v>
      </c>
      <c r="AO98" s="100">
        <v>4.5620621497388397E-18</v>
      </c>
      <c r="AP98" s="100">
        <v>4.5620621497388397E-18</v>
      </c>
      <c r="AQ98" s="100">
        <v>4.5620621497388397E-18</v>
      </c>
      <c r="AR98" s="100">
        <v>4.5620621497388397E-18</v>
      </c>
      <c r="AS98" s="100">
        <v>4.5620621497388397E-18</v>
      </c>
      <c r="AT98" s="100">
        <v>4.5620621497388397E-18</v>
      </c>
      <c r="AU98" s="100">
        <v>4.5620621497388397E-18</v>
      </c>
      <c r="AV98" s="100">
        <v>4.5620621497388397E-18</v>
      </c>
      <c r="AW98" s="100">
        <v>4.5620621497388397E-18</v>
      </c>
      <c r="AX98" s="100">
        <v>4.5620621497388397E-18</v>
      </c>
    </row>
    <row r="99" spans="1:50">
      <c r="B99" s="105" t="s">
        <v>12</v>
      </c>
      <c r="C99" s="100">
        <v>408400.51165151509</v>
      </c>
      <c r="D99" s="100">
        <v>408400.51165151509</v>
      </c>
      <c r="E99" s="100">
        <v>408400.51165151509</v>
      </c>
      <c r="F99" s="100">
        <v>408400.51165151509</v>
      </c>
      <c r="G99" s="100">
        <v>490078.18689464044</v>
      </c>
      <c r="H99" s="100">
        <v>490078.18689464044</v>
      </c>
      <c r="I99" s="100">
        <v>490078.18689464044</v>
      </c>
      <c r="J99" s="100">
        <v>490078.18689464044</v>
      </c>
      <c r="K99" s="100">
        <v>408400.51165151509</v>
      </c>
      <c r="L99" s="100">
        <v>408400.51165151509</v>
      </c>
      <c r="M99" s="100">
        <v>408400.51165151509</v>
      </c>
      <c r="N99" s="100">
        <v>408400.51165151509</v>
      </c>
      <c r="O99" s="100">
        <v>408400.51165151509</v>
      </c>
      <c r="P99" s="100">
        <v>408400.51165151509</v>
      </c>
      <c r="Q99" s="100">
        <v>408400.51165151509</v>
      </c>
      <c r="R99" s="100">
        <v>408400.51165151509</v>
      </c>
      <c r="S99" s="100">
        <v>408400.51165151509</v>
      </c>
      <c r="T99" s="100">
        <v>408400.51165151509</v>
      </c>
      <c r="U99" s="100">
        <v>408400.51165151509</v>
      </c>
      <c r="V99" s="100">
        <v>408400.51165151509</v>
      </c>
      <c r="W99" s="100">
        <v>408400.51165151509</v>
      </c>
      <c r="X99" s="100">
        <v>408400.51165151509</v>
      </c>
      <c r="Y99" s="100">
        <v>408400.51165151509</v>
      </c>
      <c r="Z99" s="100">
        <v>408400.51165151509</v>
      </c>
      <c r="AA99" s="100">
        <v>408400.51165151509</v>
      </c>
      <c r="AB99" s="100">
        <v>408400.51165151509</v>
      </c>
      <c r="AC99" s="100">
        <v>408400.51165151509</v>
      </c>
      <c r="AD99" s="100">
        <v>408400.51165151509</v>
      </c>
      <c r="AE99" s="100">
        <v>408400.51165151509</v>
      </c>
      <c r="AF99" s="100">
        <v>408400.51165151509</v>
      </c>
      <c r="AG99" s="100">
        <v>408400.51165151509</v>
      </c>
      <c r="AH99" s="100">
        <v>408400.51165151509</v>
      </c>
      <c r="AI99" s="100">
        <v>408400.51165151509</v>
      </c>
      <c r="AJ99" s="100">
        <v>408400.51165151509</v>
      </c>
      <c r="AK99" s="100">
        <v>408400.51165151509</v>
      </c>
      <c r="AL99" s="100">
        <v>408400.51165151509</v>
      </c>
      <c r="AM99" s="100">
        <v>408400.51165151509</v>
      </c>
      <c r="AN99" s="100">
        <v>408400.51165151509</v>
      </c>
      <c r="AO99" s="100">
        <v>408400.51165151509</v>
      </c>
      <c r="AP99" s="100">
        <v>408400.51165151509</v>
      </c>
      <c r="AQ99" s="100">
        <v>408400.51165151509</v>
      </c>
      <c r="AR99" s="100">
        <v>408400.51165151509</v>
      </c>
      <c r="AS99" s="100">
        <v>408400.51165151509</v>
      </c>
      <c r="AT99" s="100">
        <v>408400.51165151509</v>
      </c>
      <c r="AU99" s="100">
        <v>408400.51165151509</v>
      </c>
      <c r="AV99" s="100">
        <v>408400.51165151509</v>
      </c>
      <c r="AW99" s="100">
        <v>408400.51165151509</v>
      </c>
      <c r="AX99" s="100">
        <v>408400.51165151509</v>
      </c>
    </row>
    <row r="100" spans="1:50">
      <c r="B100" s="105" t="s">
        <v>22</v>
      </c>
      <c r="C100" s="100">
        <v>1.6529107132491865E-19</v>
      </c>
      <c r="D100" s="100">
        <v>1.6529107132491865E-19</v>
      </c>
      <c r="E100" s="100">
        <v>1.6529107132491865E-19</v>
      </c>
      <c r="F100" s="100">
        <v>1.6529107132491865E-19</v>
      </c>
      <c r="G100" s="100">
        <v>1.9834830328006594E-19</v>
      </c>
      <c r="H100" s="100">
        <v>1.9834830328006594E-19</v>
      </c>
      <c r="I100" s="100">
        <v>1.9834830328006594E-19</v>
      </c>
      <c r="J100" s="100">
        <v>1.9834830328006594E-19</v>
      </c>
      <c r="K100" s="100">
        <v>1.6529107132491865E-19</v>
      </c>
      <c r="L100" s="100">
        <v>1.6529107132491865E-19</v>
      </c>
      <c r="M100" s="100">
        <v>1.6529107132491865E-19</v>
      </c>
      <c r="N100" s="100">
        <v>1.6529107132491865E-19</v>
      </c>
      <c r="O100" s="100">
        <v>1.6529107132491865E-19</v>
      </c>
      <c r="P100" s="100">
        <v>1.6529107132491865E-19</v>
      </c>
      <c r="Q100" s="100">
        <v>1.6529107132491865E-19</v>
      </c>
      <c r="R100" s="100">
        <v>1.6529107132491865E-19</v>
      </c>
      <c r="S100" s="100">
        <v>1.6529107132491865E-19</v>
      </c>
      <c r="T100" s="100">
        <v>1.6529107132491865E-19</v>
      </c>
      <c r="U100" s="100">
        <v>1.6529107132491865E-19</v>
      </c>
      <c r="V100" s="100">
        <v>1.6529107132491865E-19</v>
      </c>
      <c r="W100" s="100">
        <v>1.6529107132491865E-19</v>
      </c>
      <c r="X100" s="100">
        <v>1.6529107132491865E-19</v>
      </c>
      <c r="Y100" s="100">
        <v>1.6529107132491865E-19</v>
      </c>
      <c r="Z100" s="100">
        <v>1.6529107132491865E-19</v>
      </c>
      <c r="AA100" s="100">
        <v>1.6529107132491865E-19</v>
      </c>
      <c r="AB100" s="100">
        <v>1.6529107132491865E-19</v>
      </c>
      <c r="AC100" s="100">
        <v>1.6529107132491865E-19</v>
      </c>
      <c r="AD100" s="100">
        <v>1.6529107132491865E-19</v>
      </c>
      <c r="AE100" s="100">
        <v>1.6529107132491865E-19</v>
      </c>
      <c r="AF100" s="100">
        <v>1.6529107132491865E-19</v>
      </c>
      <c r="AG100" s="100">
        <v>1.6529107132491865E-19</v>
      </c>
      <c r="AH100" s="100">
        <v>1.6529107132491865E-19</v>
      </c>
      <c r="AI100" s="100">
        <v>1.6529107132491865E-19</v>
      </c>
      <c r="AJ100" s="100">
        <v>1.6529107132491865E-19</v>
      </c>
      <c r="AK100" s="100">
        <v>1.6529107132491865E-19</v>
      </c>
      <c r="AL100" s="100">
        <v>1.6529107132491865E-19</v>
      </c>
      <c r="AM100" s="100">
        <v>1.6529107132491865E-19</v>
      </c>
      <c r="AN100" s="100">
        <v>1.6529107132491865E-19</v>
      </c>
      <c r="AO100" s="100">
        <v>1.6529107132491865E-19</v>
      </c>
      <c r="AP100" s="100">
        <v>1.6529107132491865E-19</v>
      </c>
      <c r="AQ100" s="100">
        <v>1.6529107132491865E-19</v>
      </c>
      <c r="AR100" s="100">
        <v>1.6529107132491865E-19</v>
      </c>
      <c r="AS100" s="100">
        <v>1.6529107132491865E-19</v>
      </c>
      <c r="AT100" s="100">
        <v>1.6529107132491865E-19</v>
      </c>
      <c r="AU100" s="100">
        <v>1.6529107132491865E-19</v>
      </c>
      <c r="AV100" s="100">
        <v>1.6529107132491865E-19</v>
      </c>
      <c r="AW100" s="100">
        <v>1.6529107132491865E-19</v>
      </c>
      <c r="AX100" s="100">
        <v>1.6529107132491865E-19</v>
      </c>
    </row>
    <row r="101" spans="1:50">
      <c r="B101" s="105" t="s">
        <v>46</v>
      </c>
      <c r="C101" s="100">
        <v>1.4357561193973863E-19</v>
      </c>
      <c r="D101" s="100">
        <v>1.4357561193973863E-19</v>
      </c>
      <c r="E101" s="100">
        <v>1.4357561193973863E-19</v>
      </c>
      <c r="F101" s="100">
        <v>1.4357561193973863E-19</v>
      </c>
      <c r="G101" s="100">
        <v>1.7228988107085433E-19</v>
      </c>
      <c r="H101" s="100">
        <v>1.7228988107085433E-19</v>
      </c>
      <c r="I101" s="100">
        <v>1.7228988107085433E-19</v>
      </c>
      <c r="J101" s="100">
        <v>1.7228988107085433E-19</v>
      </c>
      <c r="K101" s="100">
        <v>1.4357561193973863E-19</v>
      </c>
      <c r="L101" s="100">
        <v>1.4357561193973863E-19</v>
      </c>
      <c r="M101" s="100">
        <v>1.4357561193973863E-19</v>
      </c>
      <c r="N101" s="100">
        <v>1.4357561193973863E-19</v>
      </c>
      <c r="O101" s="100">
        <v>1.4357561193973863E-19</v>
      </c>
      <c r="P101" s="100">
        <v>1.4357561193973863E-19</v>
      </c>
      <c r="Q101" s="100">
        <v>1.4357561193973863E-19</v>
      </c>
      <c r="R101" s="100">
        <v>1.4357561193973863E-19</v>
      </c>
      <c r="S101" s="100">
        <v>1.4357561193973863E-19</v>
      </c>
      <c r="T101" s="100">
        <v>1.4357561193973863E-19</v>
      </c>
      <c r="U101" s="100">
        <v>1.4357561193973863E-19</v>
      </c>
      <c r="V101" s="100">
        <v>1.4357561193973863E-19</v>
      </c>
      <c r="W101" s="100">
        <v>1.4357561193973863E-19</v>
      </c>
      <c r="X101" s="100">
        <v>1.4357561193973863E-19</v>
      </c>
      <c r="Y101" s="100">
        <v>1.4357561193973863E-19</v>
      </c>
      <c r="Z101" s="100">
        <v>1.4357561193973863E-19</v>
      </c>
      <c r="AA101" s="100">
        <v>1.4357561193973863E-19</v>
      </c>
      <c r="AB101" s="100">
        <v>1.4357561193973863E-19</v>
      </c>
      <c r="AC101" s="100">
        <v>1.4357561193973863E-19</v>
      </c>
      <c r="AD101" s="100">
        <v>1.4357561193973863E-19</v>
      </c>
      <c r="AE101" s="100">
        <v>1.4357561193973863E-19</v>
      </c>
      <c r="AF101" s="100">
        <v>1.4357561193973863E-19</v>
      </c>
      <c r="AG101" s="100">
        <v>1.4357561193973863E-19</v>
      </c>
      <c r="AH101" s="100">
        <v>1.4357561193973863E-19</v>
      </c>
      <c r="AI101" s="100">
        <v>1.4357561193973863E-19</v>
      </c>
      <c r="AJ101" s="100">
        <v>1.4357561193973863E-19</v>
      </c>
      <c r="AK101" s="100">
        <v>1.4357561193973863E-19</v>
      </c>
      <c r="AL101" s="100">
        <v>1.4357561193973863E-19</v>
      </c>
      <c r="AM101" s="100">
        <v>1.4357561193973863E-19</v>
      </c>
      <c r="AN101" s="100">
        <v>1.4357561193973863E-19</v>
      </c>
      <c r="AO101" s="100">
        <v>1.4357561193973863E-19</v>
      </c>
      <c r="AP101" s="100">
        <v>1.4357561193973863E-19</v>
      </c>
      <c r="AQ101" s="100">
        <v>1.4357561193973863E-19</v>
      </c>
      <c r="AR101" s="100">
        <v>1.4357561193973863E-19</v>
      </c>
      <c r="AS101" s="100">
        <v>1.4357561193973863E-19</v>
      </c>
      <c r="AT101" s="100">
        <v>1.4357561193973863E-19</v>
      </c>
      <c r="AU101" s="100">
        <v>1.4357561193973863E-19</v>
      </c>
      <c r="AV101" s="100">
        <v>1.4357561193973863E-19</v>
      </c>
      <c r="AW101" s="100">
        <v>1.4357561193973863E-19</v>
      </c>
      <c r="AX101" s="100">
        <v>1.4357561193973863E-19</v>
      </c>
    </row>
    <row r="102" spans="1:50">
      <c r="B102" s="105" t="s">
        <v>59</v>
      </c>
      <c r="C102" s="100">
        <v>264254.5437428733</v>
      </c>
      <c r="D102" s="100">
        <v>264254.5437428733</v>
      </c>
      <c r="E102" s="100">
        <v>264254.5437428733</v>
      </c>
      <c r="F102" s="100">
        <v>264254.5437428733</v>
      </c>
      <c r="G102" s="100">
        <v>317103.8820506761</v>
      </c>
      <c r="H102" s="100">
        <v>317103.8820506761</v>
      </c>
      <c r="I102" s="100">
        <v>317103.8820506761</v>
      </c>
      <c r="J102" s="100">
        <v>317103.8820506761</v>
      </c>
      <c r="K102" s="100">
        <v>264254.5437428733</v>
      </c>
      <c r="L102" s="100">
        <v>264254.5437428733</v>
      </c>
      <c r="M102" s="100">
        <v>264254.5437428733</v>
      </c>
      <c r="N102" s="100">
        <v>264254.5437428733</v>
      </c>
      <c r="O102" s="100">
        <v>264254.5437428733</v>
      </c>
      <c r="P102" s="100">
        <v>264254.5437428733</v>
      </c>
      <c r="Q102" s="100">
        <v>264254.5437428733</v>
      </c>
      <c r="R102" s="100">
        <v>264254.5437428733</v>
      </c>
      <c r="S102" s="100">
        <v>264254.5437428733</v>
      </c>
      <c r="T102" s="100">
        <v>264254.5437428733</v>
      </c>
      <c r="U102" s="100">
        <v>264254.5437428733</v>
      </c>
      <c r="V102" s="100">
        <v>264254.5437428733</v>
      </c>
      <c r="W102" s="100">
        <v>264254.5437428733</v>
      </c>
      <c r="X102" s="100">
        <v>264254.5437428733</v>
      </c>
      <c r="Y102" s="100">
        <v>264254.5437428733</v>
      </c>
      <c r="Z102" s="100">
        <v>264254.5437428733</v>
      </c>
      <c r="AA102" s="100">
        <v>264254.5437428733</v>
      </c>
      <c r="AB102" s="100">
        <v>264254.5437428733</v>
      </c>
      <c r="AC102" s="100">
        <v>264254.5437428733</v>
      </c>
      <c r="AD102" s="100">
        <v>264254.5437428733</v>
      </c>
      <c r="AE102" s="100">
        <v>264254.5437428733</v>
      </c>
      <c r="AF102" s="100">
        <v>264254.5437428733</v>
      </c>
      <c r="AG102" s="100">
        <v>264254.5437428733</v>
      </c>
      <c r="AH102" s="100">
        <v>264254.5437428733</v>
      </c>
      <c r="AI102" s="100">
        <v>264254.5437428733</v>
      </c>
      <c r="AJ102" s="100">
        <v>264254.5437428733</v>
      </c>
      <c r="AK102" s="100">
        <v>264254.5437428733</v>
      </c>
      <c r="AL102" s="100">
        <v>264254.5437428733</v>
      </c>
      <c r="AM102" s="100">
        <v>264254.5437428733</v>
      </c>
      <c r="AN102" s="100">
        <v>264254.5437428733</v>
      </c>
      <c r="AO102" s="100">
        <v>264254.5437428733</v>
      </c>
      <c r="AP102" s="100">
        <v>264254.5437428733</v>
      </c>
      <c r="AQ102" s="100">
        <v>264254.5437428733</v>
      </c>
      <c r="AR102" s="100">
        <v>264254.5437428733</v>
      </c>
      <c r="AS102" s="100">
        <v>264254.5437428733</v>
      </c>
      <c r="AT102" s="100">
        <v>264254.5437428733</v>
      </c>
      <c r="AU102" s="100">
        <v>264254.5437428733</v>
      </c>
      <c r="AV102" s="100">
        <v>264254.5437428733</v>
      </c>
      <c r="AW102" s="100">
        <v>264254.5437428733</v>
      </c>
      <c r="AX102" s="100">
        <v>264254.5437428733</v>
      </c>
    </row>
    <row r="103" spans="1:50">
      <c r="B103" s="100" t="s">
        <v>278</v>
      </c>
      <c r="C103" s="105">
        <f>SUM(C$98:C$102)</f>
        <v>672655.05539438839</v>
      </c>
      <c r="D103" s="105">
        <f t="shared" ref="D103:AX103" si="5">SUM(D$98:D$102)</f>
        <v>672655.05539438839</v>
      </c>
      <c r="E103" s="105">
        <f t="shared" si="5"/>
        <v>672655.05539438839</v>
      </c>
      <c r="F103" s="105">
        <f t="shared" si="5"/>
        <v>672655.05539438839</v>
      </c>
      <c r="G103" s="105">
        <f t="shared" si="5"/>
        <v>807182.0689453166</v>
      </c>
      <c r="H103" s="105">
        <f t="shared" si="5"/>
        <v>807182.0689453166</v>
      </c>
      <c r="I103" s="105">
        <f t="shared" si="5"/>
        <v>807182.0689453166</v>
      </c>
      <c r="J103" s="105">
        <f t="shared" si="5"/>
        <v>807182.0689453166</v>
      </c>
      <c r="K103" s="105">
        <f t="shared" si="5"/>
        <v>672655.05539438839</v>
      </c>
      <c r="L103" s="105">
        <f t="shared" si="5"/>
        <v>672655.05539438839</v>
      </c>
      <c r="M103" s="105">
        <f t="shared" si="5"/>
        <v>672655.05539438839</v>
      </c>
      <c r="N103" s="105">
        <f t="shared" si="5"/>
        <v>672655.05539438839</v>
      </c>
      <c r="O103" s="105">
        <f t="shared" si="5"/>
        <v>672655.05539438839</v>
      </c>
      <c r="P103" s="105">
        <f t="shared" si="5"/>
        <v>672655.05539438839</v>
      </c>
      <c r="Q103" s="105">
        <f t="shared" si="5"/>
        <v>672655.05539438839</v>
      </c>
      <c r="R103" s="105">
        <f t="shared" si="5"/>
        <v>672655.05539438839</v>
      </c>
      <c r="S103" s="105">
        <f t="shared" si="5"/>
        <v>672655.05539438839</v>
      </c>
      <c r="T103" s="105">
        <f t="shared" si="5"/>
        <v>672655.05539438839</v>
      </c>
      <c r="U103" s="105">
        <f t="shared" si="5"/>
        <v>672655.05539438839</v>
      </c>
      <c r="V103" s="105">
        <f t="shared" si="5"/>
        <v>672655.05539438839</v>
      </c>
      <c r="W103" s="105">
        <f t="shared" si="5"/>
        <v>672655.05539438839</v>
      </c>
      <c r="X103" s="105">
        <f t="shared" si="5"/>
        <v>672655.05539438839</v>
      </c>
      <c r="Y103" s="105">
        <f t="shared" si="5"/>
        <v>672655.05539438839</v>
      </c>
      <c r="Z103" s="105">
        <f t="shared" si="5"/>
        <v>672655.05539438839</v>
      </c>
      <c r="AA103" s="105">
        <f t="shared" si="5"/>
        <v>672655.05539438839</v>
      </c>
      <c r="AB103" s="105">
        <f t="shared" si="5"/>
        <v>672655.05539438839</v>
      </c>
      <c r="AC103" s="105">
        <f t="shared" si="5"/>
        <v>672655.05539438839</v>
      </c>
      <c r="AD103" s="105">
        <f t="shared" si="5"/>
        <v>672655.05539438839</v>
      </c>
      <c r="AE103" s="105">
        <f t="shared" si="5"/>
        <v>672655.05539438839</v>
      </c>
      <c r="AF103" s="105">
        <f t="shared" si="5"/>
        <v>672655.05539438839</v>
      </c>
      <c r="AG103" s="105">
        <f t="shared" si="5"/>
        <v>672655.05539438839</v>
      </c>
      <c r="AH103" s="105">
        <f t="shared" si="5"/>
        <v>672655.05539438839</v>
      </c>
      <c r="AI103" s="105">
        <f t="shared" si="5"/>
        <v>672655.05539438839</v>
      </c>
      <c r="AJ103" s="105">
        <f t="shared" si="5"/>
        <v>672655.05539438839</v>
      </c>
      <c r="AK103" s="105">
        <f t="shared" si="5"/>
        <v>672655.05539438839</v>
      </c>
      <c r="AL103" s="105">
        <f t="shared" si="5"/>
        <v>672655.05539438839</v>
      </c>
      <c r="AM103" s="105">
        <f t="shared" si="5"/>
        <v>672655.05539438839</v>
      </c>
      <c r="AN103" s="105">
        <f t="shared" si="5"/>
        <v>672655.05539438839</v>
      </c>
      <c r="AO103" s="105">
        <f t="shared" si="5"/>
        <v>672655.05539438839</v>
      </c>
      <c r="AP103" s="105">
        <f t="shared" si="5"/>
        <v>672655.05539438839</v>
      </c>
      <c r="AQ103" s="105">
        <f t="shared" si="5"/>
        <v>672655.05539438839</v>
      </c>
      <c r="AR103" s="105">
        <f t="shared" si="5"/>
        <v>672655.05539438839</v>
      </c>
      <c r="AS103" s="105">
        <f t="shared" si="5"/>
        <v>672655.05539438839</v>
      </c>
      <c r="AT103" s="105">
        <f t="shared" si="5"/>
        <v>672655.05539438839</v>
      </c>
      <c r="AU103" s="105">
        <f t="shared" si="5"/>
        <v>672655.05539438839</v>
      </c>
      <c r="AV103" s="105">
        <f t="shared" si="5"/>
        <v>672655.05539438839</v>
      </c>
      <c r="AW103" s="105">
        <f t="shared" si="5"/>
        <v>672655.05539438839</v>
      </c>
      <c r="AX103" s="105">
        <f t="shared" si="5"/>
        <v>672655.05539438839</v>
      </c>
    </row>
    <row r="104" spans="1:50">
      <c r="A104" s="105" t="s">
        <v>105</v>
      </c>
      <c r="B104" s="105" t="s">
        <v>10</v>
      </c>
      <c r="C104" s="100">
        <v>3.1674187221603137E-19</v>
      </c>
      <c r="D104" s="100">
        <v>3.1674187221603137E-19</v>
      </c>
      <c r="E104" s="100">
        <v>3.1674187221603137E-19</v>
      </c>
      <c r="F104" s="100">
        <v>3.1674187221603137E-19</v>
      </c>
      <c r="G104" s="100">
        <v>3.1674187221603137E-19</v>
      </c>
      <c r="H104" s="100">
        <v>3.1674187221603137E-19</v>
      </c>
      <c r="I104" s="100">
        <v>3.1674187221603137E-19</v>
      </c>
      <c r="J104" s="100">
        <v>3.1674187221603137E-19</v>
      </c>
      <c r="K104" s="100">
        <v>3.8009024665923762E-19</v>
      </c>
      <c r="L104" s="100">
        <v>3.8009024665923762E-19</v>
      </c>
      <c r="M104" s="100">
        <v>3.8009024665923762E-19</v>
      </c>
      <c r="N104" s="100">
        <v>3.8009024665923762E-19</v>
      </c>
      <c r="O104" s="100">
        <v>3.1674187221603137E-19</v>
      </c>
      <c r="P104" s="100">
        <v>3.1674187221603137E-19</v>
      </c>
      <c r="Q104" s="100">
        <v>3.1674187221603137E-19</v>
      </c>
      <c r="R104" s="100">
        <v>3.1674187221603137E-19</v>
      </c>
      <c r="S104" s="100">
        <v>3.1674187221603137E-19</v>
      </c>
      <c r="T104" s="100">
        <v>3.1674187221603137E-19</v>
      </c>
      <c r="U104" s="100">
        <v>3.1674187221603137E-19</v>
      </c>
      <c r="V104" s="100">
        <v>3.1674187221603137E-19</v>
      </c>
      <c r="W104" s="100">
        <v>2.5339349777282508E-19</v>
      </c>
      <c r="X104" s="100">
        <v>2.5339349777282508E-19</v>
      </c>
      <c r="Y104" s="100">
        <v>2.5339349777282508E-19</v>
      </c>
      <c r="Z104" s="100">
        <v>2.5339349777282508E-19</v>
      </c>
      <c r="AA104" s="100">
        <v>3.1674187221603137E-19</v>
      </c>
      <c r="AB104" s="100">
        <v>3.1674187221603137E-19</v>
      </c>
      <c r="AC104" s="100">
        <v>3.1674187221603137E-19</v>
      </c>
      <c r="AD104" s="100">
        <v>3.1674187221603137E-19</v>
      </c>
      <c r="AE104" s="100">
        <v>3.1674187221603137E-19</v>
      </c>
      <c r="AF104" s="100">
        <v>3.1674187221603137E-19</v>
      </c>
      <c r="AG104" s="100">
        <v>3.1674187221603137E-19</v>
      </c>
      <c r="AH104" s="100">
        <v>3.1674187221603137E-19</v>
      </c>
      <c r="AI104" s="100">
        <v>3.1674187221603137E-19</v>
      </c>
      <c r="AJ104" s="100">
        <v>3.1674187221603137E-19</v>
      </c>
      <c r="AK104" s="100">
        <v>3.1674187221603137E-19</v>
      </c>
      <c r="AL104" s="100">
        <v>3.1674187221603137E-19</v>
      </c>
      <c r="AM104" s="100">
        <v>0</v>
      </c>
      <c r="AN104" s="100">
        <v>0</v>
      </c>
      <c r="AO104" s="100">
        <v>0</v>
      </c>
      <c r="AP104" s="100">
        <v>0</v>
      </c>
      <c r="AQ104" s="100">
        <v>3.8009024665923762E-19</v>
      </c>
      <c r="AR104" s="100">
        <v>3.8009024665923762E-19</v>
      </c>
      <c r="AS104" s="100">
        <v>3.8009024665923762E-19</v>
      </c>
      <c r="AT104" s="100">
        <v>3.8009024665923762E-19</v>
      </c>
      <c r="AU104" s="100">
        <v>3.1674187221603137E-19</v>
      </c>
      <c r="AV104" s="100">
        <v>3.1674187221603137E-19</v>
      </c>
      <c r="AW104" s="100">
        <v>3.1674187221603137E-19</v>
      </c>
      <c r="AX104" s="100">
        <v>3.1674187221603137E-19</v>
      </c>
    </row>
    <row r="105" spans="1:50">
      <c r="B105" s="105" t="s">
        <v>12</v>
      </c>
      <c r="C105" s="100">
        <v>3.4021369687698702E-18</v>
      </c>
      <c r="D105" s="100">
        <v>3.4021369687698702E-18</v>
      </c>
      <c r="E105" s="100">
        <v>3.4021369687698702E-18</v>
      </c>
      <c r="F105" s="100">
        <v>3.4021369687698702E-18</v>
      </c>
      <c r="G105" s="100">
        <v>3.4021369687698702E-18</v>
      </c>
      <c r="H105" s="100">
        <v>3.4021369687698702E-18</v>
      </c>
      <c r="I105" s="100">
        <v>3.4021369687698702E-18</v>
      </c>
      <c r="J105" s="100">
        <v>3.4021369687698702E-18</v>
      </c>
      <c r="K105" s="100">
        <v>4.0825643625238447E-18</v>
      </c>
      <c r="L105" s="100">
        <v>4.0825643625238447E-18</v>
      </c>
      <c r="M105" s="100">
        <v>4.0825643625238447E-18</v>
      </c>
      <c r="N105" s="100">
        <v>4.0825643625238447E-18</v>
      </c>
      <c r="O105" s="100">
        <v>3.4021369687698702E-18</v>
      </c>
      <c r="P105" s="100">
        <v>3.4021369687698702E-18</v>
      </c>
      <c r="Q105" s="100">
        <v>3.4021369687698702E-18</v>
      </c>
      <c r="R105" s="100">
        <v>3.4021369687698702E-18</v>
      </c>
      <c r="S105" s="100">
        <v>3.4021369687698702E-18</v>
      </c>
      <c r="T105" s="100">
        <v>3.4021369687698702E-18</v>
      </c>
      <c r="U105" s="100">
        <v>3.4021369687698702E-18</v>
      </c>
      <c r="V105" s="100">
        <v>3.4021369687698702E-18</v>
      </c>
      <c r="W105" s="100">
        <v>2.7217095750158965E-18</v>
      </c>
      <c r="X105" s="100">
        <v>2.7217095750158965E-18</v>
      </c>
      <c r="Y105" s="100">
        <v>2.7217095750158965E-18</v>
      </c>
      <c r="Z105" s="100">
        <v>2.7217095750158965E-18</v>
      </c>
      <c r="AA105" s="100">
        <v>3.4021369687698702E-18</v>
      </c>
      <c r="AB105" s="100">
        <v>3.4021369687698702E-18</v>
      </c>
      <c r="AC105" s="100">
        <v>3.4021369687698702E-18</v>
      </c>
      <c r="AD105" s="100">
        <v>3.4021369687698702E-18</v>
      </c>
      <c r="AE105" s="100">
        <v>3.4021369687698702E-18</v>
      </c>
      <c r="AF105" s="100">
        <v>3.4021369687698702E-18</v>
      </c>
      <c r="AG105" s="100">
        <v>3.4021369687698702E-18</v>
      </c>
      <c r="AH105" s="100">
        <v>3.4021369687698702E-18</v>
      </c>
      <c r="AI105" s="100">
        <v>3.4021369687698702E-18</v>
      </c>
      <c r="AJ105" s="100">
        <v>3.4021369687698702E-18</v>
      </c>
      <c r="AK105" s="100">
        <v>3.4021369687698702E-18</v>
      </c>
      <c r="AL105" s="100">
        <v>3.4021369687698702E-18</v>
      </c>
      <c r="AM105" s="100">
        <v>0</v>
      </c>
      <c r="AN105" s="100">
        <v>0</v>
      </c>
      <c r="AO105" s="100">
        <v>0</v>
      </c>
      <c r="AP105" s="100">
        <v>0</v>
      </c>
      <c r="AQ105" s="100">
        <v>4.0825643625238447E-18</v>
      </c>
      <c r="AR105" s="100">
        <v>4.0825643625238447E-18</v>
      </c>
      <c r="AS105" s="100">
        <v>4.0825643625238447E-18</v>
      </c>
      <c r="AT105" s="100">
        <v>4.0825643625238447E-18</v>
      </c>
      <c r="AU105" s="100">
        <v>3.4021369687698702E-18</v>
      </c>
      <c r="AV105" s="100">
        <v>3.4021369687698702E-18</v>
      </c>
      <c r="AW105" s="100">
        <v>3.4021369687698702E-18</v>
      </c>
      <c r="AX105" s="100">
        <v>3.4021369687698702E-18</v>
      </c>
    </row>
    <row r="106" spans="1:50">
      <c r="B106" s="105" t="s">
        <v>22</v>
      </c>
      <c r="C106" s="100">
        <v>1.7189239952450747E-19</v>
      </c>
      <c r="D106" s="100">
        <v>1.7189239952450747E-19</v>
      </c>
      <c r="E106" s="100">
        <v>1.7189239952450747E-19</v>
      </c>
      <c r="F106" s="100">
        <v>1.7189239952450747E-19</v>
      </c>
      <c r="G106" s="100">
        <v>1.7189239952450747E-19</v>
      </c>
      <c r="H106" s="100">
        <v>1.7189239952450747E-19</v>
      </c>
      <c r="I106" s="100">
        <v>1.7189239952450747E-19</v>
      </c>
      <c r="J106" s="100">
        <v>1.7189239952450747E-19</v>
      </c>
      <c r="K106" s="100">
        <v>2.0627087942940897E-19</v>
      </c>
      <c r="L106" s="100">
        <v>2.0627087942940897E-19</v>
      </c>
      <c r="M106" s="100">
        <v>2.0627087942940897E-19</v>
      </c>
      <c r="N106" s="100">
        <v>2.0627087942940897E-19</v>
      </c>
      <c r="O106" s="100">
        <v>1.7189239952450747E-19</v>
      </c>
      <c r="P106" s="100">
        <v>1.7189239952450747E-19</v>
      </c>
      <c r="Q106" s="100">
        <v>1.7189239952450747E-19</v>
      </c>
      <c r="R106" s="100">
        <v>1.7189239952450747E-19</v>
      </c>
      <c r="S106" s="100">
        <v>1.7189239952450747E-19</v>
      </c>
      <c r="T106" s="100">
        <v>1.7189239952450747E-19</v>
      </c>
      <c r="U106" s="100">
        <v>1.7189239952450747E-19</v>
      </c>
      <c r="V106" s="100">
        <v>1.7189239952450747E-19</v>
      </c>
      <c r="W106" s="100">
        <v>1.3751391961960597E-19</v>
      </c>
      <c r="X106" s="100">
        <v>1.3751391961960597E-19</v>
      </c>
      <c r="Y106" s="100">
        <v>1.3751391961960597E-19</v>
      </c>
      <c r="Z106" s="100">
        <v>1.3751391961960597E-19</v>
      </c>
      <c r="AA106" s="100">
        <v>1.7189239952450747E-19</v>
      </c>
      <c r="AB106" s="100">
        <v>1.7189239952450747E-19</v>
      </c>
      <c r="AC106" s="100">
        <v>1.7189239952450747E-19</v>
      </c>
      <c r="AD106" s="100">
        <v>1.7189239952450747E-19</v>
      </c>
      <c r="AE106" s="100">
        <v>1.7189239952450747E-19</v>
      </c>
      <c r="AF106" s="100">
        <v>1.7189239952450747E-19</v>
      </c>
      <c r="AG106" s="100">
        <v>1.7189239952450747E-19</v>
      </c>
      <c r="AH106" s="100">
        <v>1.7189239952450747E-19</v>
      </c>
      <c r="AI106" s="100">
        <v>1.7189239952450747E-19</v>
      </c>
      <c r="AJ106" s="100">
        <v>1.7189239952450747E-19</v>
      </c>
      <c r="AK106" s="100">
        <v>1.7189239952450747E-19</v>
      </c>
      <c r="AL106" s="100">
        <v>1.7189239952450747E-19</v>
      </c>
      <c r="AM106" s="100">
        <v>0</v>
      </c>
      <c r="AN106" s="100">
        <v>0</v>
      </c>
      <c r="AO106" s="100">
        <v>0</v>
      </c>
      <c r="AP106" s="100">
        <v>0</v>
      </c>
      <c r="AQ106" s="100">
        <v>2.0627087942940897E-19</v>
      </c>
      <c r="AR106" s="100">
        <v>2.0627087942940897E-19</v>
      </c>
      <c r="AS106" s="100">
        <v>2.0627087942940897E-19</v>
      </c>
      <c r="AT106" s="100">
        <v>2.0627087942940897E-19</v>
      </c>
      <c r="AU106" s="100">
        <v>1.7189239952450747E-19</v>
      </c>
      <c r="AV106" s="100">
        <v>1.7189239952450747E-19</v>
      </c>
      <c r="AW106" s="100">
        <v>1.7189239952450747E-19</v>
      </c>
      <c r="AX106" s="100">
        <v>1.7189239952450747E-19</v>
      </c>
    </row>
    <row r="107" spans="1:50">
      <c r="B107" s="105" t="s">
        <v>46</v>
      </c>
      <c r="C107" s="100">
        <v>2.2180248176424021E-20</v>
      </c>
      <c r="D107" s="100">
        <v>2.2180248176424021E-20</v>
      </c>
      <c r="E107" s="100">
        <v>2.2180248176424021E-20</v>
      </c>
      <c r="F107" s="100">
        <v>2.2180248176424021E-20</v>
      </c>
      <c r="G107" s="100">
        <v>2.2180248176424021E-20</v>
      </c>
      <c r="H107" s="100">
        <v>2.2180248176424021E-20</v>
      </c>
      <c r="I107" s="100">
        <v>2.2180248176424021E-20</v>
      </c>
      <c r="J107" s="100">
        <v>2.2180248176424021E-20</v>
      </c>
      <c r="K107" s="100">
        <v>2.6616297811708822E-20</v>
      </c>
      <c r="L107" s="100">
        <v>2.6616297811708822E-20</v>
      </c>
      <c r="M107" s="100">
        <v>2.6616297811708822E-20</v>
      </c>
      <c r="N107" s="100">
        <v>2.6616297811708822E-20</v>
      </c>
      <c r="O107" s="100">
        <v>2.2180248176424021E-20</v>
      </c>
      <c r="P107" s="100">
        <v>2.2180248176424021E-20</v>
      </c>
      <c r="Q107" s="100">
        <v>2.2180248176424021E-20</v>
      </c>
      <c r="R107" s="100">
        <v>2.2180248176424021E-20</v>
      </c>
      <c r="S107" s="100">
        <v>2.2180248176424021E-20</v>
      </c>
      <c r="T107" s="100">
        <v>2.2180248176424021E-20</v>
      </c>
      <c r="U107" s="100">
        <v>2.2180248176424021E-20</v>
      </c>
      <c r="V107" s="100">
        <v>2.2180248176424021E-20</v>
      </c>
      <c r="W107" s="100">
        <v>1.7744198541139216E-20</v>
      </c>
      <c r="X107" s="100">
        <v>1.7744198541139216E-20</v>
      </c>
      <c r="Y107" s="100">
        <v>1.7744198541139216E-20</v>
      </c>
      <c r="Z107" s="100">
        <v>1.7744198541139216E-20</v>
      </c>
      <c r="AA107" s="100">
        <v>2.2180248176424021E-20</v>
      </c>
      <c r="AB107" s="100">
        <v>2.2180248176424021E-20</v>
      </c>
      <c r="AC107" s="100">
        <v>2.2180248176424021E-20</v>
      </c>
      <c r="AD107" s="100">
        <v>2.2180248176424021E-20</v>
      </c>
      <c r="AE107" s="100">
        <v>2.2180248176424021E-20</v>
      </c>
      <c r="AF107" s="100">
        <v>2.2180248176424021E-20</v>
      </c>
      <c r="AG107" s="100">
        <v>2.2180248176424021E-20</v>
      </c>
      <c r="AH107" s="100">
        <v>2.2180248176424021E-20</v>
      </c>
      <c r="AI107" s="100">
        <v>2.2180248176424021E-20</v>
      </c>
      <c r="AJ107" s="100">
        <v>2.2180248176424021E-20</v>
      </c>
      <c r="AK107" s="100">
        <v>2.2180248176424021E-20</v>
      </c>
      <c r="AL107" s="100">
        <v>2.2180248176424021E-20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2.6616297811708822E-20</v>
      </c>
      <c r="AR107" s="100">
        <v>2.6616297811708822E-20</v>
      </c>
      <c r="AS107" s="100">
        <v>2.6616297811708822E-20</v>
      </c>
      <c r="AT107" s="100">
        <v>2.6616297811708822E-20</v>
      </c>
      <c r="AU107" s="100">
        <v>2.2180248176424021E-20</v>
      </c>
      <c r="AV107" s="100">
        <v>2.2180248176424021E-20</v>
      </c>
      <c r="AW107" s="100">
        <v>2.2180248176424021E-20</v>
      </c>
      <c r="AX107" s="100">
        <v>2.2180248176424021E-20</v>
      </c>
    </row>
    <row r="108" spans="1:50">
      <c r="B108" s="105" t="s">
        <v>59</v>
      </c>
      <c r="C108" s="100">
        <v>3.4836120509195808E-19</v>
      </c>
      <c r="D108" s="100">
        <v>3.4836120509195808E-19</v>
      </c>
      <c r="E108" s="100">
        <v>3.4836120509195808E-19</v>
      </c>
      <c r="F108" s="100">
        <v>3.4836120509195808E-19</v>
      </c>
      <c r="G108" s="100">
        <v>3.4836120509195808E-19</v>
      </c>
      <c r="H108" s="100">
        <v>3.4836120509195808E-19</v>
      </c>
      <c r="I108" s="100">
        <v>3.4836120509195808E-19</v>
      </c>
      <c r="J108" s="100">
        <v>3.4836120509195808E-19</v>
      </c>
      <c r="K108" s="100">
        <v>4.1803344611034981E-19</v>
      </c>
      <c r="L108" s="100">
        <v>4.1803344611034981E-19</v>
      </c>
      <c r="M108" s="100">
        <v>4.1803344611034981E-19</v>
      </c>
      <c r="N108" s="100">
        <v>4.1803344611034981E-19</v>
      </c>
      <c r="O108" s="100">
        <v>3.4836120509195808E-19</v>
      </c>
      <c r="P108" s="100">
        <v>3.4836120509195808E-19</v>
      </c>
      <c r="Q108" s="100">
        <v>3.4836120509195808E-19</v>
      </c>
      <c r="R108" s="100">
        <v>3.4836120509195808E-19</v>
      </c>
      <c r="S108" s="100">
        <v>3.4836120509195808E-19</v>
      </c>
      <c r="T108" s="100">
        <v>3.4836120509195808E-19</v>
      </c>
      <c r="U108" s="100">
        <v>3.4836120509195808E-19</v>
      </c>
      <c r="V108" s="100">
        <v>3.4836120509195808E-19</v>
      </c>
      <c r="W108" s="100">
        <v>2.7868896407356649E-19</v>
      </c>
      <c r="X108" s="100">
        <v>2.7868896407356649E-19</v>
      </c>
      <c r="Y108" s="100">
        <v>2.7868896407356649E-19</v>
      </c>
      <c r="Z108" s="100">
        <v>2.7868896407356649E-19</v>
      </c>
      <c r="AA108" s="100">
        <v>3.4836120509195808E-19</v>
      </c>
      <c r="AB108" s="100">
        <v>3.4836120509195808E-19</v>
      </c>
      <c r="AC108" s="100">
        <v>3.4836120509195808E-19</v>
      </c>
      <c r="AD108" s="100">
        <v>3.4836120509195808E-19</v>
      </c>
      <c r="AE108" s="100">
        <v>3.4836120509195808E-19</v>
      </c>
      <c r="AF108" s="100">
        <v>3.4836120509195808E-19</v>
      </c>
      <c r="AG108" s="100">
        <v>3.4836120509195808E-19</v>
      </c>
      <c r="AH108" s="100">
        <v>3.4836120509195808E-19</v>
      </c>
      <c r="AI108" s="100">
        <v>3.4836120509195808E-19</v>
      </c>
      <c r="AJ108" s="100">
        <v>3.4836120509195808E-19</v>
      </c>
      <c r="AK108" s="100">
        <v>3.4836120509195808E-19</v>
      </c>
      <c r="AL108" s="100">
        <v>3.4836120509195808E-19</v>
      </c>
      <c r="AM108" s="100">
        <v>0</v>
      </c>
      <c r="AN108" s="100">
        <v>0</v>
      </c>
      <c r="AO108" s="100">
        <v>0</v>
      </c>
      <c r="AP108" s="100">
        <v>0</v>
      </c>
      <c r="AQ108" s="100">
        <v>4.1803344611034981E-19</v>
      </c>
      <c r="AR108" s="100">
        <v>4.1803344611034981E-19</v>
      </c>
      <c r="AS108" s="100">
        <v>4.1803344611034981E-19</v>
      </c>
      <c r="AT108" s="100">
        <v>4.1803344611034981E-19</v>
      </c>
      <c r="AU108" s="100">
        <v>3.4836120509195808E-19</v>
      </c>
      <c r="AV108" s="100">
        <v>3.4836120509195808E-19</v>
      </c>
      <c r="AW108" s="100">
        <v>3.4836120509195808E-19</v>
      </c>
      <c r="AX108" s="100">
        <v>3.4836120509195808E-19</v>
      </c>
    </row>
    <row r="109" spans="1:50">
      <c r="B109" s="101" t="s">
        <v>278</v>
      </c>
      <c r="C109" s="105">
        <f>SUM(C$104:C$108)</f>
        <v>4.2613126937787901E-18</v>
      </c>
      <c r="D109" s="105">
        <f t="shared" ref="D109:AX109" si="6">SUM(D$104:D$108)</f>
        <v>4.2613126937787901E-18</v>
      </c>
      <c r="E109" s="105">
        <f t="shared" si="6"/>
        <v>4.2613126937787901E-18</v>
      </c>
      <c r="F109" s="105">
        <f t="shared" si="6"/>
        <v>4.2613126937787901E-18</v>
      </c>
      <c r="G109" s="105">
        <f t="shared" si="6"/>
        <v>4.2613126937787901E-18</v>
      </c>
      <c r="H109" s="105">
        <f t="shared" si="6"/>
        <v>4.2613126937787901E-18</v>
      </c>
      <c r="I109" s="105">
        <f t="shared" si="6"/>
        <v>4.2613126937787901E-18</v>
      </c>
      <c r="J109" s="105">
        <f t="shared" si="6"/>
        <v>4.2613126937787901E-18</v>
      </c>
      <c r="K109" s="105">
        <f t="shared" si="6"/>
        <v>5.1135752325345499E-18</v>
      </c>
      <c r="L109" s="105">
        <f t="shared" si="6"/>
        <v>5.1135752325345499E-18</v>
      </c>
      <c r="M109" s="105">
        <f t="shared" si="6"/>
        <v>5.1135752325345499E-18</v>
      </c>
      <c r="N109" s="105">
        <f t="shared" si="6"/>
        <v>5.1135752325345499E-18</v>
      </c>
      <c r="O109" s="105">
        <f t="shared" si="6"/>
        <v>4.2613126937787901E-18</v>
      </c>
      <c r="P109" s="105">
        <f t="shared" si="6"/>
        <v>4.2613126937787901E-18</v>
      </c>
      <c r="Q109" s="105">
        <f t="shared" si="6"/>
        <v>4.2613126937787901E-18</v>
      </c>
      <c r="R109" s="105">
        <f t="shared" si="6"/>
        <v>4.2613126937787901E-18</v>
      </c>
      <c r="S109" s="105">
        <f t="shared" si="6"/>
        <v>4.2613126937787901E-18</v>
      </c>
      <c r="T109" s="105">
        <f t="shared" si="6"/>
        <v>4.2613126937787901E-18</v>
      </c>
      <c r="U109" s="105">
        <f t="shared" si="6"/>
        <v>4.2613126937787901E-18</v>
      </c>
      <c r="V109" s="105">
        <f t="shared" si="6"/>
        <v>4.2613126937787901E-18</v>
      </c>
      <c r="W109" s="105">
        <f t="shared" si="6"/>
        <v>3.4090501550230331E-18</v>
      </c>
      <c r="X109" s="105">
        <f t="shared" si="6"/>
        <v>3.4090501550230331E-18</v>
      </c>
      <c r="Y109" s="105">
        <f t="shared" si="6"/>
        <v>3.4090501550230331E-18</v>
      </c>
      <c r="Z109" s="105">
        <f t="shared" si="6"/>
        <v>3.4090501550230331E-18</v>
      </c>
      <c r="AA109" s="105">
        <f t="shared" si="6"/>
        <v>4.2613126937787901E-18</v>
      </c>
      <c r="AB109" s="105">
        <f t="shared" si="6"/>
        <v>4.2613126937787901E-18</v>
      </c>
      <c r="AC109" s="105">
        <f t="shared" si="6"/>
        <v>4.2613126937787901E-18</v>
      </c>
      <c r="AD109" s="105">
        <f t="shared" si="6"/>
        <v>4.2613126937787901E-18</v>
      </c>
      <c r="AE109" s="105">
        <f t="shared" si="6"/>
        <v>4.2613126937787901E-18</v>
      </c>
      <c r="AF109" s="105">
        <f t="shared" si="6"/>
        <v>4.2613126937787901E-18</v>
      </c>
      <c r="AG109" s="105">
        <f t="shared" si="6"/>
        <v>4.2613126937787901E-18</v>
      </c>
      <c r="AH109" s="105">
        <f t="shared" si="6"/>
        <v>4.2613126937787901E-18</v>
      </c>
      <c r="AI109" s="105">
        <f t="shared" si="6"/>
        <v>4.2613126937787901E-18</v>
      </c>
      <c r="AJ109" s="105">
        <f t="shared" si="6"/>
        <v>4.2613126937787901E-18</v>
      </c>
      <c r="AK109" s="105">
        <f t="shared" si="6"/>
        <v>4.2613126937787901E-18</v>
      </c>
      <c r="AL109" s="105">
        <f t="shared" si="6"/>
        <v>4.2613126937787901E-18</v>
      </c>
      <c r="AM109" s="105">
        <f t="shared" si="6"/>
        <v>0</v>
      </c>
      <c r="AN109" s="105">
        <f t="shared" si="6"/>
        <v>0</v>
      </c>
      <c r="AO109" s="105">
        <f t="shared" si="6"/>
        <v>0</v>
      </c>
      <c r="AP109" s="105">
        <f t="shared" si="6"/>
        <v>0</v>
      </c>
      <c r="AQ109" s="105">
        <f t="shared" si="6"/>
        <v>5.1135752325345499E-18</v>
      </c>
      <c r="AR109" s="105">
        <f t="shared" si="6"/>
        <v>5.1135752325345499E-18</v>
      </c>
      <c r="AS109" s="105">
        <f t="shared" si="6"/>
        <v>5.1135752325345499E-18</v>
      </c>
      <c r="AT109" s="105">
        <f t="shared" si="6"/>
        <v>5.1135752325345499E-18</v>
      </c>
      <c r="AU109" s="105">
        <f t="shared" si="6"/>
        <v>4.2613126937787901E-18</v>
      </c>
      <c r="AV109" s="105">
        <f t="shared" si="6"/>
        <v>4.2613126937787901E-18</v>
      </c>
      <c r="AW109" s="105">
        <f t="shared" si="6"/>
        <v>4.2613126937787901E-18</v>
      </c>
      <c r="AX109" s="105">
        <f t="shared" si="6"/>
        <v>4.2613126937787901E-18</v>
      </c>
    </row>
    <row r="110" spans="1:50">
      <c r="A110" s="105" t="s">
        <v>106</v>
      </c>
      <c r="B110" s="105" t="s">
        <v>10</v>
      </c>
      <c r="C110" s="100">
        <v>6.355382225817599E-20</v>
      </c>
      <c r="D110" s="100">
        <v>6.355382225817599E-20</v>
      </c>
      <c r="E110" s="100">
        <v>6.355382225817599E-20</v>
      </c>
      <c r="F110" s="100">
        <v>6.355382225817599E-20</v>
      </c>
      <c r="G110" s="100">
        <v>2.5421528903270396E-19</v>
      </c>
      <c r="H110" s="100">
        <v>2.5421528903270396E-19</v>
      </c>
      <c r="I110" s="100">
        <v>2.5421528903270396E-19</v>
      </c>
      <c r="J110" s="100">
        <v>2.5421528903270396E-19</v>
      </c>
      <c r="K110" s="100">
        <v>2.5421528903270396E-19</v>
      </c>
      <c r="L110" s="100">
        <v>2.5421528903270396E-19</v>
      </c>
      <c r="M110" s="100">
        <v>2.5421528903270396E-19</v>
      </c>
      <c r="N110" s="100">
        <v>2.5421528903270396E-19</v>
      </c>
      <c r="O110" s="100">
        <v>2.5421528903270396E-19</v>
      </c>
      <c r="P110" s="100">
        <v>2.5421528903270396E-19</v>
      </c>
      <c r="Q110" s="100">
        <v>2.5421528903270396E-19</v>
      </c>
      <c r="R110" s="100">
        <v>2.5421528903270396E-19</v>
      </c>
      <c r="S110" s="100">
        <v>2.0337223122616317E-19</v>
      </c>
      <c r="T110" s="100">
        <v>2.0337223122616317E-19</v>
      </c>
      <c r="U110" s="100">
        <v>2.0337223122616317E-19</v>
      </c>
      <c r="V110" s="100">
        <v>2.0337223122616317E-19</v>
      </c>
      <c r="W110" s="100">
        <v>2.5421528903270396E-19</v>
      </c>
      <c r="X110" s="100">
        <v>2.5421528903270396E-19</v>
      </c>
      <c r="Y110" s="100">
        <v>2.5421528903270396E-19</v>
      </c>
      <c r="Z110" s="100">
        <v>2.5421528903270396E-19</v>
      </c>
      <c r="AA110" s="100">
        <v>2.5421528903270396E-19</v>
      </c>
      <c r="AB110" s="100">
        <v>2.5421528903270396E-19</v>
      </c>
      <c r="AC110" s="100">
        <v>2.5421528903270396E-19</v>
      </c>
      <c r="AD110" s="100">
        <v>2.5421528903270396E-19</v>
      </c>
      <c r="AE110" s="100">
        <v>2.5421528903270396E-19</v>
      </c>
      <c r="AF110" s="100">
        <v>2.5421528903270396E-19</v>
      </c>
      <c r="AG110" s="100">
        <v>2.5421528903270396E-19</v>
      </c>
      <c r="AH110" s="100">
        <v>2.5421528903270396E-19</v>
      </c>
      <c r="AI110" s="100">
        <v>2.5421528903270396E-19</v>
      </c>
      <c r="AJ110" s="100">
        <v>2.5421528903270396E-19</v>
      </c>
      <c r="AK110" s="100">
        <v>2.5421528903270396E-19</v>
      </c>
      <c r="AL110" s="100">
        <v>2.5421528903270396E-19</v>
      </c>
      <c r="AM110" s="100">
        <v>2.5421528903270396E-19</v>
      </c>
      <c r="AN110" s="100">
        <v>2.5421528903270396E-19</v>
      </c>
      <c r="AO110" s="100">
        <v>2.5421528903270396E-19</v>
      </c>
      <c r="AP110" s="100">
        <v>2.5421528903270396E-19</v>
      </c>
      <c r="AQ110" s="100">
        <v>3.0505834683924477E-19</v>
      </c>
      <c r="AR110" s="100">
        <v>3.0505834683924477E-19</v>
      </c>
      <c r="AS110" s="100">
        <v>3.0505834683924477E-19</v>
      </c>
      <c r="AT110" s="100">
        <v>3.0505834683924477E-19</v>
      </c>
      <c r="AU110" s="100">
        <v>2.5421528903270396E-19</v>
      </c>
      <c r="AV110" s="100">
        <v>2.5421528903270396E-19</v>
      </c>
      <c r="AW110" s="100">
        <v>2.5421528903270396E-19</v>
      </c>
      <c r="AX110" s="100">
        <v>2.5421528903270396E-19</v>
      </c>
    </row>
    <row r="111" spans="1:50">
      <c r="B111" s="105" t="s">
        <v>12</v>
      </c>
      <c r="C111" s="100">
        <v>1.6119979998395308E-19</v>
      </c>
      <c r="D111" s="100">
        <v>1.6119979998395308E-19</v>
      </c>
      <c r="E111" s="100">
        <v>1.6119979998395308E-19</v>
      </c>
      <c r="F111" s="100">
        <v>1.6119979998395308E-19</v>
      </c>
      <c r="G111" s="100">
        <v>6.4479919993581231E-19</v>
      </c>
      <c r="H111" s="100">
        <v>6.4479919993581231E-19</v>
      </c>
      <c r="I111" s="100">
        <v>6.4479919993581231E-19</v>
      </c>
      <c r="J111" s="100">
        <v>6.4479919993581231E-19</v>
      </c>
      <c r="K111" s="100">
        <v>6.4479919993581231E-19</v>
      </c>
      <c r="L111" s="100">
        <v>6.4479919993581231E-19</v>
      </c>
      <c r="M111" s="100">
        <v>6.4479919993581231E-19</v>
      </c>
      <c r="N111" s="100">
        <v>6.4479919993581231E-19</v>
      </c>
      <c r="O111" s="100">
        <v>6.4479919993581231E-19</v>
      </c>
      <c r="P111" s="100">
        <v>6.4479919993581231E-19</v>
      </c>
      <c r="Q111" s="100">
        <v>6.4479919993581231E-19</v>
      </c>
      <c r="R111" s="100">
        <v>6.4479919993581231E-19</v>
      </c>
      <c r="S111" s="100">
        <v>5.1583935994864979E-19</v>
      </c>
      <c r="T111" s="100">
        <v>5.1583935994864979E-19</v>
      </c>
      <c r="U111" s="100">
        <v>5.1583935994864979E-19</v>
      </c>
      <c r="V111" s="100">
        <v>5.1583935994864979E-19</v>
      </c>
      <c r="W111" s="100">
        <v>6.4479919993581231E-19</v>
      </c>
      <c r="X111" s="100">
        <v>6.4479919993581231E-19</v>
      </c>
      <c r="Y111" s="100">
        <v>6.4479919993581231E-19</v>
      </c>
      <c r="Z111" s="100">
        <v>6.4479919993581231E-19</v>
      </c>
      <c r="AA111" s="100">
        <v>6.4479919993581231E-19</v>
      </c>
      <c r="AB111" s="100">
        <v>6.4479919993581231E-19</v>
      </c>
      <c r="AC111" s="100">
        <v>6.4479919993581231E-19</v>
      </c>
      <c r="AD111" s="100">
        <v>6.4479919993581231E-19</v>
      </c>
      <c r="AE111" s="100">
        <v>6.4479919993581231E-19</v>
      </c>
      <c r="AF111" s="100">
        <v>6.4479919993581231E-19</v>
      </c>
      <c r="AG111" s="100">
        <v>6.4479919993581231E-19</v>
      </c>
      <c r="AH111" s="100">
        <v>6.4479919993581231E-19</v>
      </c>
      <c r="AI111" s="100">
        <v>6.4479919993581231E-19</v>
      </c>
      <c r="AJ111" s="100">
        <v>6.4479919993581231E-19</v>
      </c>
      <c r="AK111" s="100">
        <v>6.4479919993581231E-19</v>
      </c>
      <c r="AL111" s="100">
        <v>6.4479919993581231E-19</v>
      </c>
      <c r="AM111" s="100">
        <v>6.4479919993581231E-19</v>
      </c>
      <c r="AN111" s="100">
        <v>6.4479919993581231E-19</v>
      </c>
      <c r="AO111" s="100">
        <v>6.4479919993581231E-19</v>
      </c>
      <c r="AP111" s="100">
        <v>6.4479919993581231E-19</v>
      </c>
      <c r="AQ111" s="100">
        <v>7.7375903992297464E-19</v>
      </c>
      <c r="AR111" s="100">
        <v>7.7375903992297464E-19</v>
      </c>
      <c r="AS111" s="100">
        <v>7.7375903992297464E-19</v>
      </c>
      <c r="AT111" s="100">
        <v>7.7375903992297464E-19</v>
      </c>
      <c r="AU111" s="100">
        <v>6.4479919993581231E-19</v>
      </c>
      <c r="AV111" s="100">
        <v>6.4479919993581231E-19</v>
      </c>
      <c r="AW111" s="100">
        <v>6.4479919993581231E-19</v>
      </c>
      <c r="AX111" s="100">
        <v>6.4479919993581231E-19</v>
      </c>
    </row>
    <row r="112" spans="1:50">
      <c r="B112" s="105" t="s">
        <v>22</v>
      </c>
      <c r="C112" s="100">
        <v>844.8</v>
      </c>
      <c r="D112" s="100">
        <v>844.8</v>
      </c>
      <c r="E112" s="100">
        <v>844.8</v>
      </c>
      <c r="F112" s="100">
        <v>844.8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2703.36</v>
      </c>
      <c r="T112" s="100">
        <v>2703.36</v>
      </c>
      <c r="U112" s="100">
        <v>2703.36</v>
      </c>
      <c r="V112" s="100">
        <v>2703.36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3379.2</v>
      </c>
      <c r="AF112" s="100">
        <v>3379.2</v>
      </c>
      <c r="AG112" s="100">
        <v>3379.2</v>
      </c>
      <c r="AH112" s="100">
        <v>3379.2</v>
      </c>
      <c r="AI112" s="100">
        <v>3379.2</v>
      </c>
      <c r="AJ112" s="100">
        <v>3379.2</v>
      </c>
      <c r="AK112" s="100">
        <v>3379.2</v>
      </c>
      <c r="AL112" s="100">
        <v>3379.2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4055.04</v>
      </c>
      <c r="AR112" s="100">
        <v>4055.04</v>
      </c>
      <c r="AS112" s="100">
        <v>4055.04</v>
      </c>
      <c r="AT112" s="100">
        <v>4055.04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3.3081675239887505E-20</v>
      </c>
      <c r="D113" s="100">
        <v>3.3081675239887505E-20</v>
      </c>
      <c r="E113" s="100">
        <v>3.3081675239887505E-20</v>
      </c>
      <c r="F113" s="100">
        <v>3.3081675239887505E-20</v>
      </c>
      <c r="G113" s="100">
        <v>1.3232670095955002E-19</v>
      </c>
      <c r="H113" s="100">
        <v>1.3232670095955002E-19</v>
      </c>
      <c r="I113" s="100">
        <v>1.3232670095955002E-19</v>
      </c>
      <c r="J113" s="100">
        <v>1.3232670095955002E-19</v>
      </c>
      <c r="K113" s="100">
        <v>1.3232670095955002E-19</v>
      </c>
      <c r="L113" s="100">
        <v>1.3232670095955002E-19</v>
      </c>
      <c r="M113" s="100">
        <v>1.3232670095955002E-19</v>
      </c>
      <c r="N113" s="100">
        <v>1.3232670095955002E-19</v>
      </c>
      <c r="O113" s="100">
        <v>1.3232670095955002E-19</v>
      </c>
      <c r="P113" s="100">
        <v>1.3232670095955002E-19</v>
      </c>
      <c r="Q113" s="100">
        <v>1.3232670095955002E-19</v>
      </c>
      <c r="R113" s="100">
        <v>1.3232670095955002E-19</v>
      </c>
      <c r="S113" s="100">
        <v>1.0586136076764001E-19</v>
      </c>
      <c r="T113" s="100">
        <v>1.0586136076764001E-19</v>
      </c>
      <c r="U113" s="100">
        <v>1.0586136076764001E-19</v>
      </c>
      <c r="V113" s="100">
        <v>1.0586136076764001E-19</v>
      </c>
      <c r="W113" s="100">
        <v>1.3232670095955002E-19</v>
      </c>
      <c r="X113" s="100">
        <v>1.3232670095955002E-19</v>
      </c>
      <c r="Y113" s="100">
        <v>1.3232670095955002E-19</v>
      </c>
      <c r="Z113" s="100">
        <v>1.3232670095955002E-19</v>
      </c>
      <c r="AA113" s="100">
        <v>1.3232670095955002E-19</v>
      </c>
      <c r="AB113" s="100">
        <v>1.3232670095955002E-19</v>
      </c>
      <c r="AC113" s="100">
        <v>1.3232670095955002E-19</v>
      </c>
      <c r="AD113" s="100">
        <v>1.3232670095955002E-19</v>
      </c>
      <c r="AE113" s="100">
        <v>1.3232670095955002E-19</v>
      </c>
      <c r="AF113" s="100">
        <v>1.3232670095955002E-19</v>
      </c>
      <c r="AG113" s="100">
        <v>1.3232670095955002E-19</v>
      </c>
      <c r="AH113" s="100">
        <v>1.3232670095955002E-19</v>
      </c>
      <c r="AI113" s="100">
        <v>1.3232670095955002E-19</v>
      </c>
      <c r="AJ113" s="100">
        <v>1.3232670095955002E-19</v>
      </c>
      <c r="AK113" s="100">
        <v>1.3232670095955002E-19</v>
      </c>
      <c r="AL113" s="100">
        <v>1.3232670095955002E-19</v>
      </c>
      <c r="AM113" s="100">
        <v>1.3232670095955002E-19</v>
      </c>
      <c r="AN113" s="100">
        <v>1.3232670095955002E-19</v>
      </c>
      <c r="AO113" s="100">
        <v>1.3232670095955002E-19</v>
      </c>
      <c r="AP113" s="100">
        <v>1.3232670095955002E-19</v>
      </c>
      <c r="AQ113" s="100">
        <v>1.5879204115146001E-19</v>
      </c>
      <c r="AR113" s="100">
        <v>1.5879204115146001E-19</v>
      </c>
      <c r="AS113" s="100">
        <v>1.5879204115146001E-19</v>
      </c>
      <c r="AT113" s="100">
        <v>1.5879204115146001E-19</v>
      </c>
      <c r="AU113" s="100">
        <v>1.3232670095955002E-19</v>
      </c>
      <c r="AV113" s="100">
        <v>1.3232670095955002E-19</v>
      </c>
      <c r="AW113" s="100">
        <v>1.3232670095955002E-19</v>
      </c>
      <c r="AX113" s="100">
        <v>1.3232670095955002E-19</v>
      </c>
    </row>
    <row r="114" spans="1:50">
      <c r="B114" s="105" t="s">
        <v>59</v>
      </c>
      <c r="C114" s="100">
        <v>1.7619670296569145E-19</v>
      </c>
      <c r="D114" s="100">
        <v>1.7619670296569145E-19</v>
      </c>
      <c r="E114" s="100">
        <v>1.7619670296569145E-19</v>
      </c>
      <c r="F114" s="100">
        <v>1.7619670296569145E-19</v>
      </c>
      <c r="G114" s="100">
        <v>7.0478681186276581E-19</v>
      </c>
      <c r="H114" s="100">
        <v>7.0478681186276581E-19</v>
      </c>
      <c r="I114" s="100">
        <v>7.0478681186276581E-19</v>
      </c>
      <c r="J114" s="100">
        <v>7.0478681186276581E-19</v>
      </c>
      <c r="K114" s="100">
        <v>7.0478681186276581E-19</v>
      </c>
      <c r="L114" s="100">
        <v>7.0478681186276581E-19</v>
      </c>
      <c r="M114" s="100">
        <v>7.0478681186276581E-19</v>
      </c>
      <c r="N114" s="100">
        <v>7.0478681186276581E-19</v>
      </c>
      <c r="O114" s="100">
        <v>7.0478681186276581E-19</v>
      </c>
      <c r="P114" s="100">
        <v>7.0478681186276581E-19</v>
      </c>
      <c r="Q114" s="100">
        <v>7.0478681186276581E-19</v>
      </c>
      <c r="R114" s="100">
        <v>7.0478681186276581E-19</v>
      </c>
      <c r="S114" s="100">
        <v>5.6382944949021276E-19</v>
      </c>
      <c r="T114" s="100">
        <v>5.6382944949021276E-19</v>
      </c>
      <c r="U114" s="100">
        <v>5.6382944949021276E-19</v>
      </c>
      <c r="V114" s="100">
        <v>5.6382944949021276E-19</v>
      </c>
      <c r="W114" s="100">
        <v>7.0478681186276581E-19</v>
      </c>
      <c r="X114" s="100">
        <v>7.0478681186276581E-19</v>
      </c>
      <c r="Y114" s="100">
        <v>7.0478681186276581E-19</v>
      </c>
      <c r="Z114" s="100">
        <v>7.0478681186276581E-19</v>
      </c>
      <c r="AA114" s="100">
        <v>7.0478681186276581E-19</v>
      </c>
      <c r="AB114" s="100">
        <v>7.0478681186276581E-19</v>
      </c>
      <c r="AC114" s="100">
        <v>7.0478681186276581E-19</v>
      </c>
      <c r="AD114" s="100">
        <v>7.0478681186276581E-19</v>
      </c>
      <c r="AE114" s="100">
        <v>7.0478681186276581E-19</v>
      </c>
      <c r="AF114" s="100">
        <v>7.0478681186276581E-19</v>
      </c>
      <c r="AG114" s="100">
        <v>7.0478681186276581E-19</v>
      </c>
      <c r="AH114" s="100">
        <v>7.0478681186276581E-19</v>
      </c>
      <c r="AI114" s="100">
        <v>7.0478681186276581E-19</v>
      </c>
      <c r="AJ114" s="100">
        <v>7.0478681186276581E-19</v>
      </c>
      <c r="AK114" s="100">
        <v>7.0478681186276581E-19</v>
      </c>
      <c r="AL114" s="100">
        <v>7.0478681186276581E-19</v>
      </c>
      <c r="AM114" s="100">
        <v>7.0478681186276581E-19</v>
      </c>
      <c r="AN114" s="100">
        <v>7.0478681186276581E-19</v>
      </c>
      <c r="AO114" s="100">
        <v>7.0478681186276581E-19</v>
      </c>
      <c r="AP114" s="100">
        <v>7.0478681186276581E-19</v>
      </c>
      <c r="AQ114" s="100">
        <v>8.4574417423531905E-19</v>
      </c>
      <c r="AR114" s="100">
        <v>8.4574417423531905E-19</v>
      </c>
      <c r="AS114" s="100">
        <v>8.4574417423531905E-19</v>
      </c>
      <c r="AT114" s="100">
        <v>8.4574417423531905E-19</v>
      </c>
      <c r="AU114" s="100">
        <v>7.0478681186276581E-19</v>
      </c>
      <c r="AV114" s="100">
        <v>7.0478681186276581E-19</v>
      </c>
      <c r="AW114" s="100">
        <v>7.0478681186276581E-19</v>
      </c>
      <c r="AX114" s="100">
        <v>7.0478681186276581E-19</v>
      </c>
    </row>
    <row r="115" spans="1:50">
      <c r="B115" s="100" t="s">
        <v>278</v>
      </c>
      <c r="C115" s="105">
        <f>SUM(C$110:C$114)</f>
        <v>844.8</v>
      </c>
      <c r="D115" s="105">
        <f t="shared" ref="D115:AX115" si="7">SUM(D$110:D$114)</f>
        <v>844.8</v>
      </c>
      <c r="E115" s="105">
        <f t="shared" si="7"/>
        <v>844.8</v>
      </c>
      <c r="F115" s="105">
        <f t="shared" si="7"/>
        <v>844.8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2703.36</v>
      </c>
      <c r="T115" s="105">
        <f t="shared" si="7"/>
        <v>2703.36</v>
      </c>
      <c r="U115" s="105">
        <f t="shared" si="7"/>
        <v>2703.36</v>
      </c>
      <c r="V115" s="105">
        <f t="shared" si="7"/>
        <v>2703.36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3379.2</v>
      </c>
      <c r="AF115" s="105">
        <f t="shared" si="7"/>
        <v>3379.2</v>
      </c>
      <c r="AG115" s="105">
        <f t="shared" si="7"/>
        <v>3379.2</v>
      </c>
      <c r="AH115" s="105">
        <f t="shared" si="7"/>
        <v>3379.2</v>
      </c>
      <c r="AI115" s="105">
        <f t="shared" si="7"/>
        <v>3379.2</v>
      </c>
      <c r="AJ115" s="105">
        <f t="shared" si="7"/>
        <v>3379.2</v>
      </c>
      <c r="AK115" s="105">
        <f t="shared" si="7"/>
        <v>3379.2</v>
      </c>
      <c r="AL115" s="105">
        <f t="shared" si="7"/>
        <v>3379.2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4055.04</v>
      </c>
      <c r="AR115" s="105">
        <f t="shared" si="7"/>
        <v>4055.04</v>
      </c>
      <c r="AS115" s="105">
        <f t="shared" si="7"/>
        <v>4055.04</v>
      </c>
      <c r="AT115" s="105">
        <f t="shared" si="7"/>
        <v>4055.04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11615.999999999998</v>
      </c>
      <c r="D116" s="100">
        <v>11615.999999999998</v>
      </c>
      <c r="E116" s="100">
        <v>11615.999999999998</v>
      </c>
      <c r="F116" s="100">
        <v>11615.999999999998</v>
      </c>
      <c r="G116" s="100">
        <v>11615.999999999998</v>
      </c>
      <c r="H116" s="100">
        <v>11615.999999999998</v>
      </c>
      <c r="I116" s="100">
        <v>11615.999999999998</v>
      </c>
      <c r="J116" s="100">
        <v>11615.999999999998</v>
      </c>
      <c r="K116" s="100">
        <v>11615.999999999998</v>
      </c>
      <c r="L116" s="100">
        <v>11615.999999999998</v>
      </c>
      <c r="M116" s="100">
        <v>11615.999999999998</v>
      </c>
      <c r="N116" s="100">
        <v>11615.999999999998</v>
      </c>
      <c r="O116" s="100">
        <v>11615.999999999998</v>
      </c>
      <c r="P116" s="100">
        <v>11615.999999999998</v>
      </c>
      <c r="Q116" s="100">
        <v>11615.999999999998</v>
      </c>
      <c r="R116" s="100">
        <v>11615.999999999998</v>
      </c>
      <c r="S116" s="100">
        <v>11615.999999999998</v>
      </c>
      <c r="T116" s="100">
        <v>11615.999999999998</v>
      </c>
      <c r="U116" s="100">
        <v>11615.999999999998</v>
      </c>
      <c r="V116" s="100">
        <v>11615.999999999998</v>
      </c>
      <c r="W116" s="100">
        <v>11615.999999999998</v>
      </c>
      <c r="X116" s="100">
        <v>11615.999999999998</v>
      </c>
      <c r="Y116" s="100">
        <v>11615.999999999998</v>
      </c>
      <c r="Z116" s="100">
        <v>11615.999999999998</v>
      </c>
      <c r="AA116" s="100">
        <v>11615.999999999998</v>
      </c>
      <c r="AB116" s="100">
        <v>11615.999999999998</v>
      </c>
      <c r="AC116" s="100">
        <v>11615.999999999998</v>
      </c>
      <c r="AD116" s="100">
        <v>11615.999999999998</v>
      </c>
      <c r="AE116" s="100">
        <v>11615.999999999998</v>
      </c>
      <c r="AF116" s="100">
        <v>11615.999999999998</v>
      </c>
      <c r="AG116" s="100">
        <v>11615.999999999998</v>
      </c>
      <c r="AH116" s="100">
        <v>11615.999999999998</v>
      </c>
      <c r="AI116" s="100">
        <v>11615.999999999998</v>
      </c>
      <c r="AJ116" s="100">
        <v>11615.999999999998</v>
      </c>
      <c r="AK116" s="100">
        <v>11615.999999999998</v>
      </c>
      <c r="AL116" s="100">
        <v>11615.999999999998</v>
      </c>
      <c r="AM116" s="100">
        <v>11615.999999999998</v>
      </c>
      <c r="AN116" s="100">
        <v>11615.999999999998</v>
      </c>
      <c r="AO116" s="100">
        <v>11615.999999999998</v>
      </c>
      <c r="AP116" s="100">
        <v>11615.999999999998</v>
      </c>
      <c r="AQ116" s="100">
        <v>11615.999999999998</v>
      </c>
      <c r="AR116" s="100">
        <v>11615.999999999998</v>
      </c>
      <c r="AS116" s="100">
        <v>11615.999999999998</v>
      </c>
      <c r="AT116" s="100">
        <v>11615.999999999998</v>
      </c>
      <c r="AU116" s="100">
        <v>9292.7999999999993</v>
      </c>
      <c r="AV116" s="100">
        <v>9292.7999999999993</v>
      </c>
      <c r="AW116" s="100">
        <v>9292.7999999999993</v>
      </c>
      <c r="AX116" s="100">
        <v>4851.9100480950265</v>
      </c>
    </row>
    <row r="117" spans="1:50">
      <c r="B117" s="105" t="s">
        <v>12</v>
      </c>
      <c r="C117" s="100">
        <v>2.0624952027759208E-18</v>
      </c>
      <c r="D117" s="100">
        <v>2.0624952027759208E-18</v>
      </c>
      <c r="E117" s="100">
        <v>2.0624952027759208E-18</v>
      </c>
      <c r="F117" s="100">
        <v>2.0624952027759208E-18</v>
      </c>
      <c r="G117" s="100">
        <v>2.0624952027759208E-18</v>
      </c>
      <c r="H117" s="100">
        <v>2.0624952027759208E-18</v>
      </c>
      <c r="I117" s="100">
        <v>2.0624952027759208E-18</v>
      </c>
      <c r="J117" s="100">
        <v>2.0624952027759208E-18</v>
      </c>
      <c r="K117" s="100">
        <v>2.0624952027759208E-18</v>
      </c>
      <c r="L117" s="100">
        <v>2.0624952027759208E-18</v>
      </c>
      <c r="M117" s="100">
        <v>2.0624952027759208E-18</v>
      </c>
      <c r="N117" s="100">
        <v>2.0624952027759208E-18</v>
      </c>
      <c r="O117" s="100">
        <v>2.0624952027759208E-18</v>
      </c>
      <c r="P117" s="100">
        <v>2.0624952027759208E-18</v>
      </c>
      <c r="Q117" s="100">
        <v>2.0624952027759208E-18</v>
      </c>
      <c r="R117" s="100">
        <v>2.0624952027759208E-18</v>
      </c>
      <c r="S117" s="100">
        <v>2.0624952027759208E-18</v>
      </c>
      <c r="T117" s="100">
        <v>2.0624952027759208E-18</v>
      </c>
      <c r="U117" s="100">
        <v>2.0624952027759208E-18</v>
      </c>
      <c r="V117" s="100">
        <v>2.0624952027759208E-18</v>
      </c>
      <c r="W117" s="100">
        <v>2.0624952027759208E-18</v>
      </c>
      <c r="X117" s="100">
        <v>2.0624952027759208E-18</v>
      </c>
      <c r="Y117" s="100">
        <v>2.0624952027759208E-18</v>
      </c>
      <c r="Z117" s="100">
        <v>2.0624952027759208E-18</v>
      </c>
      <c r="AA117" s="100">
        <v>2.0624952027759208E-18</v>
      </c>
      <c r="AB117" s="100">
        <v>2.0624952027759208E-18</v>
      </c>
      <c r="AC117" s="100">
        <v>2.0624952027759208E-18</v>
      </c>
      <c r="AD117" s="100">
        <v>2.0624952027759208E-18</v>
      </c>
      <c r="AE117" s="100">
        <v>2.0624952027759208E-18</v>
      </c>
      <c r="AF117" s="100">
        <v>2.0624952027759208E-18</v>
      </c>
      <c r="AG117" s="100">
        <v>2.0624952027759208E-18</v>
      </c>
      <c r="AH117" s="100">
        <v>2.0624952027759208E-18</v>
      </c>
      <c r="AI117" s="100">
        <v>2.0624952027759208E-18</v>
      </c>
      <c r="AJ117" s="100">
        <v>2.0624952027759208E-18</v>
      </c>
      <c r="AK117" s="100">
        <v>2.0624952027759208E-18</v>
      </c>
      <c r="AL117" s="100">
        <v>2.0624952027759208E-18</v>
      </c>
      <c r="AM117" s="100">
        <v>2.0624952027759208E-18</v>
      </c>
      <c r="AN117" s="100">
        <v>2.0624952027759208E-18</v>
      </c>
      <c r="AO117" s="100">
        <v>2.0624952027759208E-18</v>
      </c>
      <c r="AP117" s="100">
        <v>2.0624952027759208E-18</v>
      </c>
      <c r="AQ117" s="100">
        <v>2.0624952027759208E-18</v>
      </c>
      <c r="AR117" s="100">
        <v>2.0624952027759208E-18</v>
      </c>
      <c r="AS117" s="100">
        <v>2.0624952027759208E-18</v>
      </c>
      <c r="AT117" s="100">
        <v>2.0624952027759208E-18</v>
      </c>
      <c r="AU117" s="100">
        <v>1.6499961622207373E-18</v>
      </c>
      <c r="AV117" s="100">
        <v>1.6499961622207373E-18</v>
      </c>
      <c r="AW117" s="100">
        <v>1.6499961622207373E-18</v>
      </c>
      <c r="AX117" s="100">
        <v>8.6148770648211791E-19</v>
      </c>
    </row>
    <row r="118" spans="1:50">
      <c r="B118" s="105" t="s">
        <v>22</v>
      </c>
      <c r="C118" s="100">
        <v>1.3177285721408807E-19</v>
      </c>
      <c r="D118" s="100">
        <v>1.3177285721408807E-19</v>
      </c>
      <c r="E118" s="100">
        <v>1.3177285721408807E-19</v>
      </c>
      <c r="F118" s="100">
        <v>1.3177285721408807E-19</v>
      </c>
      <c r="G118" s="100">
        <v>1.3177285721408807E-19</v>
      </c>
      <c r="H118" s="100">
        <v>1.3177285721408807E-19</v>
      </c>
      <c r="I118" s="100">
        <v>1.3177285721408807E-19</v>
      </c>
      <c r="J118" s="100">
        <v>1.3177285721408807E-19</v>
      </c>
      <c r="K118" s="100">
        <v>1.3177285721408807E-19</v>
      </c>
      <c r="L118" s="100">
        <v>1.3177285721408807E-19</v>
      </c>
      <c r="M118" s="100">
        <v>1.3177285721408807E-19</v>
      </c>
      <c r="N118" s="100">
        <v>1.3177285721408807E-19</v>
      </c>
      <c r="O118" s="100">
        <v>1.3177285721408807E-19</v>
      </c>
      <c r="P118" s="100">
        <v>1.3177285721408807E-19</v>
      </c>
      <c r="Q118" s="100">
        <v>1.3177285721408807E-19</v>
      </c>
      <c r="R118" s="100">
        <v>1.3177285721408807E-19</v>
      </c>
      <c r="S118" s="100">
        <v>1.3177285721408807E-19</v>
      </c>
      <c r="T118" s="100">
        <v>1.3177285721408807E-19</v>
      </c>
      <c r="U118" s="100">
        <v>1.3177285721408807E-19</v>
      </c>
      <c r="V118" s="100">
        <v>1.3177285721408807E-19</v>
      </c>
      <c r="W118" s="100">
        <v>1.3177285721408807E-19</v>
      </c>
      <c r="X118" s="100">
        <v>1.3177285721408807E-19</v>
      </c>
      <c r="Y118" s="100">
        <v>1.3177285721408807E-19</v>
      </c>
      <c r="Z118" s="100">
        <v>1.3177285721408807E-19</v>
      </c>
      <c r="AA118" s="100">
        <v>1.3177285721408807E-19</v>
      </c>
      <c r="AB118" s="100">
        <v>1.3177285721408807E-19</v>
      </c>
      <c r="AC118" s="100">
        <v>1.3177285721408807E-19</v>
      </c>
      <c r="AD118" s="100">
        <v>1.3177285721408807E-19</v>
      </c>
      <c r="AE118" s="100">
        <v>1.3177285721408807E-19</v>
      </c>
      <c r="AF118" s="100">
        <v>1.3177285721408807E-19</v>
      </c>
      <c r="AG118" s="100">
        <v>1.3177285721408807E-19</v>
      </c>
      <c r="AH118" s="100">
        <v>1.3177285721408807E-19</v>
      </c>
      <c r="AI118" s="100">
        <v>1.3177285721408807E-19</v>
      </c>
      <c r="AJ118" s="100">
        <v>1.3177285721408807E-19</v>
      </c>
      <c r="AK118" s="100">
        <v>1.3177285721408807E-19</v>
      </c>
      <c r="AL118" s="100">
        <v>1.3177285721408807E-19</v>
      </c>
      <c r="AM118" s="100">
        <v>1.3177285721408807E-19</v>
      </c>
      <c r="AN118" s="100">
        <v>1.3177285721408807E-19</v>
      </c>
      <c r="AO118" s="100">
        <v>1.3177285721408807E-19</v>
      </c>
      <c r="AP118" s="100">
        <v>1.3177285721408807E-19</v>
      </c>
      <c r="AQ118" s="100">
        <v>1.3177285721408807E-19</v>
      </c>
      <c r="AR118" s="100">
        <v>1.3177285721408807E-19</v>
      </c>
      <c r="AS118" s="100">
        <v>1.3177285721408807E-19</v>
      </c>
      <c r="AT118" s="100">
        <v>1.3177285721408807E-19</v>
      </c>
      <c r="AU118" s="100">
        <v>1.0541828577127047E-19</v>
      </c>
      <c r="AV118" s="100">
        <v>1.0541828577127047E-19</v>
      </c>
      <c r="AW118" s="100">
        <v>1.0541828577127047E-19</v>
      </c>
      <c r="AX118" s="100">
        <v>5.5040465735470491E-20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434.72000000000008</v>
      </c>
      <c r="AV119" s="100">
        <v>434.72000000000008</v>
      </c>
      <c r="AW119" s="100">
        <v>434.72000000000008</v>
      </c>
      <c r="AX119" s="100">
        <v>226.97382232565755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12159.399999999998</v>
      </c>
      <c r="D121" s="105">
        <f t="shared" ref="D121:AX121" si="8">SUM(D$116:D$120)</f>
        <v>12159.399999999998</v>
      </c>
      <c r="E121" s="105">
        <f t="shared" si="8"/>
        <v>12159.399999999998</v>
      </c>
      <c r="F121" s="105">
        <f t="shared" si="8"/>
        <v>12159.399999999998</v>
      </c>
      <c r="G121" s="105">
        <f t="shared" si="8"/>
        <v>12159.399999999998</v>
      </c>
      <c r="H121" s="105">
        <f t="shared" si="8"/>
        <v>12159.399999999998</v>
      </c>
      <c r="I121" s="105">
        <f t="shared" si="8"/>
        <v>12159.399999999998</v>
      </c>
      <c r="J121" s="105">
        <f t="shared" si="8"/>
        <v>12159.399999999998</v>
      </c>
      <c r="K121" s="105">
        <f t="shared" si="8"/>
        <v>12159.399999999998</v>
      </c>
      <c r="L121" s="105">
        <f t="shared" si="8"/>
        <v>12159.399999999998</v>
      </c>
      <c r="M121" s="105">
        <f t="shared" si="8"/>
        <v>12159.399999999998</v>
      </c>
      <c r="N121" s="105">
        <f t="shared" si="8"/>
        <v>12159.399999999998</v>
      </c>
      <c r="O121" s="105">
        <f t="shared" si="8"/>
        <v>12159.399999999998</v>
      </c>
      <c r="P121" s="105">
        <f t="shared" si="8"/>
        <v>12159.399999999998</v>
      </c>
      <c r="Q121" s="105">
        <f t="shared" si="8"/>
        <v>12159.399999999998</v>
      </c>
      <c r="R121" s="105">
        <f t="shared" si="8"/>
        <v>12159.399999999998</v>
      </c>
      <c r="S121" s="105">
        <f t="shared" si="8"/>
        <v>12159.399999999998</v>
      </c>
      <c r="T121" s="105">
        <f t="shared" si="8"/>
        <v>12159.399999999998</v>
      </c>
      <c r="U121" s="105">
        <f t="shared" si="8"/>
        <v>12159.399999999998</v>
      </c>
      <c r="V121" s="105">
        <f t="shared" si="8"/>
        <v>12159.399999999998</v>
      </c>
      <c r="W121" s="105">
        <f t="shared" si="8"/>
        <v>12159.399999999998</v>
      </c>
      <c r="X121" s="105">
        <f t="shared" si="8"/>
        <v>12159.399999999998</v>
      </c>
      <c r="Y121" s="105">
        <f t="shared" si="8"/>
        <v>12159.399999999998</v>
      </c>
      <c r="Z121" s="105">
        <f t="shared" si="8"/>
        <v>12159.399999999998</v>
      </c>
      <c r="AA121" s="105">
        <f t="shared" si="8"/>
        <v>12159.399999999998</v>
      </c>
      <c r="AB121" s="105">
        <f t="shared" si="8"/>
        <v>12159.399999999998</v>
      </c>
      <c r="AC121" s="105">
        <f t="shared" si="8"/>
        <v>12159.399999999998</v>
      </c>
      <c r="AD121" s="105">
        <f t="shared" si="8"/>
        <v>12159.399999999998</v>
      </c>
      <c r="AE121" s="105">
        <f t="shared" si="8"/>
        <v>12159.399999999998</v>
      </c>
      <c r="AF121" s="105">
        <f t="shared" si="8"/>
        <v>12159.399999999998</v>
      </c>
      <c r="AG121" s="105">
        <f t="shared" si="8"/>
        <v>12159.399999999998</v>
      </c>
      <c r="AH121" s="105">
        <f t="shared" si="8"/>
        <v>12159.399999999998</v>
      </c>
      <c r="AI121" s="105">
        <f t="shared" si="8"/>
        <v>12159.399999999998</v>
      </c>
      <c r="AJ121" s="105">
        <f t="shared" si="8"/>
        <v>12159.399999999998</v>
      </c>
      <c r="AK121" s="105">
        <f t="shared" si="8"/>
        <v>12159.399999999998</v>
      </c>
      <c r="AL121" s="105">
        <f t="shared" si="8"/>
        <v>12159.399999999998</v>
      </c>
      <c r="AM121" s="105">
        <f t="shared" si="8"/>
        <v>12159.399999999998</v>
      </c>
      <c r="AN121" s="105">
        <f t="shared" si="8"/>
        <v>12159.399999999998</v>
      </c>
      <c r="AO121" s="105">
        <f t="shared" si="8"/>
        <v>12159.399999999998</v>
      </c>
      <c r="AP121" s="105">
        <f t="shared" si="8"/>
        <v>12159.399999999998</v>
      </c>
      <c r="AQ121" s="105">
        <f t="shared" si="8"/>
        <v>12159.399999999998</v>
      </c>
      <c r="AR121" s="105">
        <f t="shared" si="8"/>
        <v>12159.399999999998</v>
      </c>
      <c r="AS121" s="105">
        <f t="shared" si="8"/>
        <v>12159.399999999998</v>
      </c>
      <c r="AT121" s="105">
        <f t="shared" si="8"/>
        <v>12159.399999999998</v>
      </c>
      <c r="AU121" s="105">
        <f t="shared" si="8"/>
        <v>9727.5199999999986</v>
      </c>
      <c r="AV121" s="105">
        <f t="shared" si="8"/>
        <v>9727.5199999999986</v>
      </c>
      <c r="AW121" s="105">
        <f t="shared" si="8"/>
        <v>9727.5199999999986</v>
      </c>
      <c r="AX121" s="105">
        <f t="shared" si="8"/>
        <v>5078.8838704206837</v>
      </c>
    </row>
    <row r="122" spans="1:50">
      <c r="A122" s="105" t="s">
        <v>108</v>
      </c>
      <c r="B122" s="105" t="s">
        <v>10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0</v>
      </c>
      <c r="R123" s="100">
        <v>0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0</v>
      </c>
      <c r="D127" s="105">
        <f t="shared" ref="D127:AX127" si="9">SUM(D$122:D$126)</f>
        <v>0</v>
      </c>
      <c r="E127" s="105">
        <f t="shared" si="9"/>
        <v>0</v>
      </c>
      <c r="F127" s="105">
        <f t="shared" si="9"/>
        <v>0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0</v>
      </c>
      <c r="P127" s="105">
        <f t="shared" si="9"/>
        <v>0</v>
      </c>
      <c r="Q127" s="105">
        <f t="shared" si="9"/>
        <v>0</v>
      </c>
      <c r="R127" s="105">
        <f t="shared" si="9"/>
        <v>0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8.3807754505783411E-19</v>
      </c>
      <c r="D128" s="100">
        <v>8.3807754505783411E-19</v>
      </c>
      <c r="E128" s="100">
        <v>8.3807754505783411E-19</v>
      </c>
      <c r="F128" s="100">
        <v>8.3807754505783411E-19</v>
      </c>
      <c r="G128" s="100">
        <v>6.9839795421486184E-19</v>
      </c>
      <c r="H128" s="100">
        <v>6.9839795421486184E-19</v>
      </c>
      <c r="I128" s="100">
        <v>6.9839795421486184E-19</v>
      </c>
      <c r="J128" s="100">
        <v>6.9839795421486184E-19</v>
      </c>
      <c r="K128" s="100">
        <v>8.3807754505783411E-19</v>
      </c>
      <c r="L128" s="100">
        <v>8.3807754505783411E-19</v>
      </c>
      <c r="M128" s="100">
        <v>8.3807754505783411E-19</v>
      </c>
      <c r="N128" s="100">
        <v>8.3807754505783411E-19</v>
      </c>
      <c r="O128" s="100">
        <v>6.9839795421486184E-19</v>
      </c>
      <c r="P128" s="100">
        <v>6.9839795421486184E-19</v>
      </c>
      <c r="Q128" s="100">
        <v>6.9839795421486184E-19</v>
      </c>
      <c r="R128" s="100">
        <v>6.9839795421486184E-19</v>
      </c>
      <c r="S128" s="100">
        <v>6.9839795421486184E-19</v>
      </c>
      <c r="T128" s="100">
        <v>6.9839795421486184E-19</v>
      </c>
      <c r="U128" s="100">
        <v>6.9839795421486184E-19</v>
      </c>
      <c r="V128" s="100">
        <v>6.9839795421486184E-19</v>
      </c>
      <c r="W128" s="100">
        <v>8.3807754505783411E-19</v>
      </c>
      <c r="X128" s="100">
        <v>8.3807754505783411E-19</v>
      </c>
      <c r="Y128" s="100">
        <v>8.3807754505783411E-19</v>
      </c>
      <c r="Z128" s="100">
        <v>8.3807754505783411E-19</v>
      </c>
      <c r="AA128" s="100">
        <v>8.3807754505783411E-19</v>
      </c>
      <c r="AB128" s="100">
        <v>8.3807754505783411E-19</v>
      </c>
      <c r="AC128" s="100">
        <v>8.3807754505783411E-19</v>
      </c>
      <c r="AD128" s="100">
        <v>8.3807754505783411E-19</v>
      </c>
      <c r="AE128" s="100">
        <v>6.9839795421486184E-19</v>
      </c>
      <c r="AF128" s="100">
        <v>6.9839795421486184E-19</v>
      </c>
      <c r="AG128" s="100">
        <v>6.9839795421486184E-19</v>
      </c>
      <c r="AH128" s="100">
        <v>6.9839795421486184E-19</v>
      </c>
      <c r="AI128" s="100">
        <v>6.9839795421486184E-19</v>
      </c>
      <c r="AJ128" s="100">
        <v>6.9839795421486184E-19</v>
      </c>
      <c r="AK128" s="100">
        <v>6.9839795421486184E-19</v>
      </c>
      <c r="AL128" s="100">
        <v>6.9839795421486184E-19</v>
      </c>
      <c r="AM128" s="100">
        <v>6.9839795421486184E-19</v>
      </c>
      <c r="AN128" s="100">
        <v>6.9839795421486184E-19</v>
      </c>
      <c r="AO128" s="100">
        <v>6.9839795421486184E-19</v>
      </c>
      <c r="AP128" s="100">
        <v>6.9839795421486184E-19</v>
      </c>
      <c r="AQ128" s="100">
        <v>6.9839795421486184E-19</v>
      </c>
      <c r="AR128" s="100">
        <v>6.9839795421486184E-19</v>
      </c>
      <c r="AS128" s="100">
        <v>6.9839795421486184E-19</v>
      </c>
      <c r="AT128" s="100">
        <v>6.9839795421486184E-19</v>
      </c>
      <c r="AU128" s="100">
        <v>6.9839795421486184E-19</v>
      </c>
      <c r="AV128" s="100">
        <v>6.9839795421486184E-19</v>
      </c>
      <c r="AW128" s="100">
        <v>6.9839795421486184E-19</v>
      </c>
      <c r="AX128" s="100">
        <v>6.9839795421486184E-19</v>
      </c>
    </row>
    <row r="129" spans="2:50">
      <c r="B129" s="105" t="s">
        <v>12</v>
      </c>
      <c r="C129" s="100">
        <v>6.6260433055022186E-19</v>
      </c>
      <c r="D129" s="100">
        <v>6.6260433055022186E-19</v>
      </c>
      <c r="E129" s="100">
        <v>6.6260433055022186E-19</v>
      </c>
      <c r="F129" s="100">
        <v>6.6260433055022186E-19</v>
      </c>
      <c r="G129" s="100">
        <v>5.521702754585183E-19</v>
      </c>
      <c r="H129" s="100">
        <v>5.521702754585183E-19</v>
      </c>
      <c r="I129" s="100">
        <v>5.521702754585183E-19</v>
      </c>
      <c r="J129" s="100">
        <v>5.521702754585183E-19</v>
      </c>
      <c r="K129" s="100">
        <v>6.6260433055022186E-19</v>
      </c>
      <c r="L129" s="100">
        <v>6.6260433055022186E-19</v>
      </c>
      <c r="M129" s="100">
        <v>6.6260433055022186E-19</v>
      </c>
      <c r="N129" s="100">
        <v>6.6260433055022186E-19</v>
      </c>
      <c r="O129" s="100">
        <v>5.521702754585183E-19</v>
      </c>
      <c r="P129" s="100">
        <v>5.521702754585183E-19</v>
      </c>
      <c r="Q129" s="100">
        <v>5.521702754585183E-19</v>
      </c>
      <c r="R129" s="100">
        <v>5.521702754585183E-19</v>
      </c>
      <c r="S129" s="100">
        <v>5.521702754585183E-19</v>
      </c>
      <c r="T129" s="100">
        <v>5.521702754585183E-19</v>
      </c>
      <c r="U129" s="100">
        <v>5.521702754585183E-19</v>
      </c>
      <c r="V129" s="100">
        <v>5.521702754585183E-19</v>
      </c>
      <c r="W129" s="100">
        <v>6.6260433055022186E-19</v>
      </c>
      <c r="X129" s="100">
        <v>6.6260433055022186E-19</v>
      </c>
      <c r="Y129" s="100">
        <v>6.6260433055022186E-19</v>
      </c>
      <c r="Z129" s="100">
        <v>6.6260433055022186E-19</v>
      </c>
      <c r="AA129" s="100">
        <v>6.6260433055022186E-19</v>
      </c>
      <c r="AB129" s="100">
        <v>6.6260433055022186E-19</v>
      </c>
      <c r="AC129" s="100">
        <v>6.6260433055022186E-19</v>
      </c>
      <c r="AD129" s="100">
        <v>6.6260433055022186E-19</v>
      </c>
      <c r="AE129" s="100">
        <v>5.521702754585183E-19</v>
      </c>
      <c r="AF129" s="100">
        <v>5.521702754585183E-19</v>
      </c>
      <c r="AG129" s="100">
        <v>5.521702754585183E-19</v>
      </c>
      <c r="AH129" s="100">
        <v>5.521702754585183E-19</v>
      </c>
      <c r="AI129" s="100">
        <v>5.521702754585183E-19</v>
      </c>
      <c r="AJ129" s="100">
        <v>5.521702754585183E-19</v>
      </c>
      <c r="AK129" s="100">
        <v>5.521702754585183E-19</v>
      </c>
      <c r="AL129" s="100">
        <v>5.521702754585183E-19</v>
      </c>
      <c r="AM129" s="100">
        <v>5.521702754585183E-19</v>
      </c>
      <c r="AN129" s="100">
        <v>5.521702754585183E-19</v>
      </c>
      <c r="AO129" s="100">
        <v>5.521702754585183E-19</v>
      </c>
      <c r="AP129" s="100">
        <v>5.521702754585183E-19</v>
      </c>
      <c r="AQ129" s="100">
        <v>5.521702754585183E-19</v>
      </c>
      <c r="AR129" s="100">
        <v>5.521702754585183E-19</v>
      </c>
      <c r="AS129" s="100">
        <v>5.521702754585183E-19</v>
      </c>
      <c r="AT129" s="100">
        <v>5.521702754585183E-19</v>
      </c>
      <c r="AU129" s="100">
        <v>5.521702754585183E-19</v>
      </c>
      <c r="AV129" s="100">
        <v>5.521702754585183E-19</v>
      </c>
      <c r="AW129" s="100">
        <v>5.521702754585183E-19</v>
      </c>
      <c r="AX129" s="100">
        <v>5.521702754585183E-19</v>
      </c>
    </row>
    <row r="130" spans="2:50">
      <c r="B130" s="105" t="s">
        <v>22</v>
      </c>
      <c r="C130" s="100">
        <v>1.9536514580966546E-19</v>
      </c>
      <c r="D130" s="100">
        <v>1.9536514580966546E-19</v>
      </c>
      <c r="E130" s="100">
        <v>1.9536514580966546E-19</v>
      </c>
      <c r="F130" s="100">
        <v>1.9536514580966546E-19</v>
      </c>
      <c r="G130" s="100">
        <v>1.6280428817472124E-19</v>
      </c>
      <c r="H130" s="100">
        <v>1.6280428817472124E-19</v>
      </c>
      <c r="I130" s="100">
        <v>1.6280428817472124E-19</v>
      </c>
      <c r="J130" s="100">
        <v>1.6280428817472124E-19</v>
      </c>
      <c r="K130" s="100">
        <v>1.9536514580966546E-19</v>
      </c>
      <c r="L130" s="100">
        <v>1.9536514580966546E-19</v>
      </c>
      <c r="M130" s="100">
        <v>1.9536514580966546E-19</v>
      </c>
      <c r="N130" s="100">
        <v>1.9536514580966546E-19</v>
      </c>
      <c r="O130" s="100">
        <v>1.6280428817472124E-19</v>
      </c>
      <c r="P130" s="100">
        <v>1.6280428817472124E-19</v>
      </c>
      <c r="Q130" s="100">
        <v>1.6280428817472124E-19</v>
      </c>
      <c r="R130" s="100">
        <v>1.6280428817472124E-19</v>
      </c>
      <c r="S130" s="100">
        <v>1.6280428817472124E-19</v>
      </c>
      <c r="T130" s="100">
        <v>1.6280428817472124E-19</v>
      </c>
      <c r="U130" s="100">
        <v>1.6280428817472124E-19</v>
      </c>
      <c r="V130" s="100">
        <v>1.6280428817472124E-19</v>
      </c>
      <c r="W130" s="100">
        <v>1.9536514580966546E-19</v>
      </c>
      <c r="X130" s="100">
        <v>1.9536514580966546E-19</v>
      </c>
      <c r="Y130" s="100">
        <v>1.9536514580966546E-19</v>
      </c>
      <c r="Z130" s="100">
        <v>1.9536514580966546E-19</v>
      </c>
      <c r="AA130" s="100">
        <v>1.9536514580966546E-19</v>
      </c>
      <c r="AB130" s="100">
        <v>1.9536514580966546E-19</v>
      </c>
      <c r="AC130" s="100">
        <v>1.9536514580966546E-19</v>
      </c>
      <c r="AD130" s="100">
        <v>1.9536514580966546E-19</v>
      </c>
      <c r="AE130" s="100">
        <v>1.6280428817472124E-19</v>
      </c>
      <c r="AF130" s="100">
        <v>1.6280428817472124E-19</v>
      </c>
      <c r="AG130" s="100">
        <v>1.6280428817472124E-19</v>
      </c>
      <c r="AH130" s="100">
        <v>1.6280428817472124E-19</v>
      </c>
      <c r="AI130" s="100">
        <v>1.6280428817472124E-19</v>
      </c>
      <c r="AJ130" s="100">
        <v>1.6280428817472124E-19</v>
      </c>
      <c r="AK130" s="100">
        <v>1.6280428817472124E-19</v>
      </c>
      <c r="AL130" s="100">
        <v>1.6280428817472124E-19</v>
      </c>
      <c r="AM130" s="100">
        <v>1.6280428817472124E-19</v>
      </c>
      <c r="AN130" s="100">
        <v>1.6280428817472124E-19</v>
      </c>
      <c r="AO130" s="100">
        <v>1.6280428817472124E-19</v>
      </c>
      <c r="AP130" s="100">
        <v>1.6280428817472124E-19</v>
      </c>
      <c r="AQ130" s="100">
        <v>1.6280428817472124E-19</v>
      </c>
      <c r="AR130" s="100">
        <v>1.6280428817472124E-19</v>
      </c>
      <c r="AS130" s="100">
        <v>1.6280428817472124E-19</v>
      </c>
      <c r="AT130" s="100">
        <v>1.6280428817472124E-19</v>
      </c>
      <c r="AU130" s="100">
        <v>1.6280428817472124E-19</v>
      </c>
      <c r="AV130" s="100">
        <v>1.6280428817472124E-19</v>
      </c>
      <c r="AW130" s="100">
        <v>1.6280428817472124E-19</v>
      </c>
      <c r="AX130" s="100">
        <v>1.6280428817472124E-19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2.9603367224929929E-19</v>
      </c>
      <c r="D132" s="100">
        <v>2.9603367224929929E-19</v>
      </c>
      <c r="E132" s="100">
        <v>2.9603367224929929E-19</v>
      </c>
      <c r="F132" s="100">
        <v>2.9603367224929929E-19</v>
      </c>
      <c r="G132" s="100">
        <v>2.4669472687441609E-19</v>
      </c>
      <c r="H132" s="100">
        <v>2.4669472687441609E-19</v>
      </c>
      <c r="I132" s="100">
        <v>2.4669472687441609E-19</v>
      </c>
      <c r="J132" s="100">
        <v>2.4669472687441609E-19</v>
      </c>
      <c r="K132" s="100">
        <v>2.9603367224929929E-19</v>
      </c>
      <c r="L132" s="100">
        <v>2.9603367224929929E-19</v>
      </c>
      <c r="M132" s="100">
        <v>2.9603367224929929E-19</v>
      </c>
      <c r="N132" s="100">
        <v>2.9603367224929929E-19</v>
      </c>
      <c r="O132" s="100">
        <v>2.4669472687441609E-19</v>
      </c>
      <c r="P132" s="100">
        <v>2.4669472687441609E-19</v>
      </c>
      <c r="Q132" s="100">
        <v>2.4669472687441609E-19</v>
      </c>
      <c r="R132" s="100">
        <v>2.4669472687441609E-19</v>
      </c>
      <c r="S132" s="100">
        <v>2.4669472687441609E-19</v>
      </c>
      <c r="T132" s="100">
        <v>2.4669472687441609E-19</v>
      </c>
      <c r="U132" s="100">
        <v>2.4669472687441609E-19</v>
      </c>
      <c r="V132" s="100">
        <v>2.4669472687441609E-19</v>
      </c>
      <c r="W132" s="100">
        <v>2.9603367224929929E-19</v>
      </c>
      <c r="X132" s="100">
        <v>2.9603367224929929E-19</v>
      </c>
      <c r="Y132" s="100">
        <v>2.9603367224929929E-19</v>
      </c>
      <c r="Z132" s="100">
        <v>2.9603367224929929E-19</v>
      </c>
      <c r="AA132" s="100">
        <v>2.9603367224929929E-19</v>
      </c>
      <c r="AB132" s="100">
        <v>2.9603367224929929E-19</v>
      </c>
      <c r="AC132" s="100">
        <v>2.9603367224929929E-19</v>
      </c>
      <c r="AD132" s="100">
        <v>2.9603367224929929E-19</v>
      </c>
      <c r="AE132" s="100">
        <v>2.4669472687441609E-19</v>
      </c>
      <c r="AF132" s="100">
        <v>2.4669472687441609E-19</v>
      </c>
      <c r="AG132" s="100">
        <v>2.4669472687441609E-19</v>
      </c>
      <c r="AH132" s="100">
        <v>2.4669472687441609E-19</v>
      </c>
      <c r="AI132" s="100">
        <v>2.4669472687441609E-19</v>
      </c>
      <c r="AJ132" s="100">
        <v>2.4669472687441609E-19</v>
      </c>
      <c r="AK132" s="100">
        <v>2.4669472687441609E-19</v>
      </c>
      <c r="AL132" s="100">
        <v>2.4669472687441609E-19</v>
      </c>
      <c r="AM132" s="100">
        <v>2.4669472687441609E-19</v>
      </c>
      <c r="AN132" s="100">
        <v>2.4669472687441609E-19</v>
      </c>
      <c r="AO132" s="100">
        <v>2.4669472687441609E-19</v>
      </c>
      <c r="AP132" s="100">
        <v>2.4669472687441609E-19</v>
      </c>
      <c r="AQ132" s="100">
        <v>2.4669472687441609E-19</v>
      </c>
      <c r="AR132" s="100">
        <v>2.4669472687441609E-19</v>
      </c>
      <c r="AS132" s="100">
        <v>2.4669472687441609E-19</v>
      </c>
      <c r="AT132" s="100">
        <v>2.4669472687441609E-19</v>
      </c>
      <c r="AU132" s="100">
        <v>2.4669472687441609E-19</v>
      </c>
      <c r="AV132" s="100">
        <v>2.4669472687441609E-19</v>
      </c>
      <c r="AW132" s="100">
        <v>2.4669472687441609E-19</v>
      </c>
      <c r="AX132" s="100">
        <v>2.4669472687441609E-19</v>
      </c>
    </row>
    <row r="133" spans="2:50">
      <c r="B133" s="100" t="s">
        <v>278</v>
      </c>
      <c r="C133" s="105">
        <f>SUM(C$128:C$132)</f>
        <v>1.9920806936670207E-18</v>
      </c>
      <c r="D133" s="105">
        <f t="shared" ref="D133:AX133" si="10">SUM(D$128:D$132)</f>
        <v>1.9920806936670207E-18</v>
      </c>
      <c r="E133" s="105">
        <f t="shared" si="10"/>
        <v>1.9920806936670207E-18</v>
      </c>
      <c r="F133" s="105">
        <f t="shared" si="10"/>
        <v>1.9920806936670207E-18</v>
      </c>
      <c r="G133" s="105">
        <f t="shared" si="10"/>
        <v>1.6600672447225174E-18</v>
      </c>
      <c r="H133" s="105">
        <f t="shared" si="10"/>
        <v>1.6600672447225174E-18</v>
      </c>
      <c r="I133" s="105">
        <f t="shared" si="10"/>
        <v>1.6600672447225174E-18</v>
      </c>
      <c r="J133" s="105">
        <f t="shared" si="10"/>
        <v>1.6600672447225174E-18</v>
      </c>
      <c r="K133" s="105">
        <f t="shared" si="10"/>
        <v>1.9920806936670207E-18</v>
      </c>
      <c r="L133" s="105">
        <f t="shared" si="10"/>
        <v>1.9920806936670207E-18</v>
      </c>
      <c r="M133" s="105">
        <f t="shared" si="10"/>
        <v>1.9920806936670207E-18</v>
      </c>
      <c r="N133" s="105">
        <f t="shared" si="10"/>
        <v>1.9920806936670207E-18</v>
      </c>
      <c r="O133" s="105">
        <f t="shared" si="10"/>
        <v>1.6600672447225174E-18</v>
      </c>
      <c r="P133" s="105">
        <f t="shared" si="10"/>
        <v>1.6600672447225174E-18</v>
      </c>
      <c r="Q133" s="105">
        <f t="shared" si="10"/>
        <v>1.6600672447225174E-18</v>
      </c>
      <c r="R133" s="105">
        <f t="shared" si="10"/>
        <v>1.6600672447225174E-18</v>
      </c>
      <c r="S133" s="105">
        <f t="shared" si="10"/>
        <v>1.6600672447225174E-18</v>
      </c>
      <c r="T133" s="105">
        <f t="shared" si="10"/>
        <v>1.6600672447225174E-18</v>
      </c>
      <c r="U133" s="105">
        <f t="shared" si="10"/>
        <v>1.6600672447225174E-18</v>
      </c>
      <c r="V133" s="105">
        <f t="shared" si="10"/>
        <v>1.6600672447225174E-18</v>
      </c>
      <c r="W133" s="105">
        <f t="shared" si="10"/>
        <v>1.9920806936670207E-18</v>
      </c>
      <c r="X133" s="105">
        <f t="shared" si="10"/>
        <v>1.9920806936670207E-18</v>
      </c>
      <c r="Y133" s="105">
        <f t="shared" si="10"/>
        <v>1.9920806936670207E-18</v>
      </c>
      <c r="Z133" s="105">
        <f t="shared" si="10"/>
        <v>1.9920806936670207E-18</v>
      </c>
      <c r="AA133" s="105">
        <f t="shared" si="10"/>
        <v>1.9920806936670207E-18</v>
      </c>
      <c r="AB133" s="105">
        <f t="shared" si="10"/>
        <v>1.9920806936670207E-18</v>
      </c>
      <c r="AC133" s="105">
        <f t="shared" si="10"/>
        <v>1.9920806936670207E-18</v>
      </c>
      <c r="AD133" s="105">
        <f t="shared" si="10"/>
        <v>1.9920806936670207E-18</v>
      </c>
      <c r="AE133" s="105">
        <f t="shared" si="10"/>
        <v>1.6600672447225174E-18</v>
      </c>
      <c r="AF133" s="105">
        <f t="shared" si="10"/>
        <v>1.6600672447225174E-18</v>
      </c>
      <c r="AG133" s="105">
        <f t="shared" si="10"/>
        <v>1.6600672447225174E-18</v>
      </c>
      <c r="AH133" s="105">
        <f t="shared" si="10"/>
        <v>1.6600672447225174E-18</v>
      </c>
      <c r="AI133" s="105">
        <f t="shared" si="10"/>
        <v>1.6600672447225174E-18</v>
      </c>
      <c r="AJ133" s="105">
        <f t="shared" si="10"/>
        <v>1.6600672447225174E-18</v>
      </c>
      <c r="AK133" s="105">
        <f t="shared" si="10"/>
        <v>1.6600672447225174E-18</v>
      </c>
      <c r="AL133" s="105">
        <f t="shared" si="10"/>
        <v>1.6600672447225174E-18</v>
      </c>
      <c r="AM133" s="105">
        <f t="shared" si="10"/>
        <v>1.6600672447225174E-18</v>
      </c>
      <c r="AN133" s="105">
        <f t="shared" si="10"/>
        <v>1.6600672447225174E-18</v>
      </c>
      <c r="AO133" s="105">
        <f t="shared" si="10"/>
        <v>1.6600672447225174E-18</v>
      </c>
      <c r="AP133" s="105">
        <f t="shared" si="10"/>
        <v>1.6600672447225174E-18</v>
      </c>
      <c r="AQ133" s="105">
        <f t="shared" si="10"/>
        <v>1.6600672447225174E-18</v>
      </c>
      <c r="AR133" s="105">
        <f t="shared" si="10"/>
        <v>1.6600672447225174E-18</v>
      </c>
      <c r="AS133" s="105">
        <f t="shared" si="10"/>
        <v>1.6600672447225174E-18</v>
      </c>
      <c r="AT133" s="105">
        <f t="shared" si="10"/>
        <v>1.6600672447225174E-18</v>
      </c>
      <c r="AU133" s="105">
        <f t="shared" si="10"/>
        <v>1.6600672447225174E-18</v>
      </c>
      <c r="AV133" s="105">
        <f t="shared" si="10"/>
        <v>1.6600672447225174E-18</v>
      </c>
      <c r="AW133" s="105">
        <f t="shared" si="10"/>
        <v>1.6600672447225174E-18</v>
      </c>
      <c r="AX133" s="105">
        <f t="shared" si="10"/>
        <v>1.6600672447225174E-18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599.99999999999989</v>
      </c>
      <c r="E7" s="144">
        <v>599.99999999999989</v>
      </c>
      <c r="F7" s="144">
        <v>599.99999999999989</v>
      </c>
      <c r="G7" s="144">
        <v>599.99999999999989</v>
      </c>
      <c r="H7" s="144">
        <v>599.99999999999989</v>
      </c>
      <c r="I7" s="144">
        <v>599.99999999999989</v>
      </c>
      <c r="J7" s="144">
        <v>599.99999999999989</v>
      </c>
      <c r="K7" s="144">
        <v>599.99999999999989</v>
      </c>
      <c r="L7" s="144">
        <v>599.99999999999989</v>
      </c>
      <c r="M7" s="144">
        <v>599.99999999999989</v>
      </c>
      <c r="N7" s="144">
        <v>599.99999999999989</v>
      </c>
      <c r="O7" s="144">
        <v>599.99999999999989</v>
      </c>
      <c r="P7" s="144">
        <v>599.99999999999989</v>
      </c>
      <c r="Q7" s="144">
        <v>599.99999999999989</v>
      </c>
      <c r="R7" s="144">
        <v>599.99999999999989</v>
      </c>
      <c r="S7" s="144">
        <v>599.99999999999989</v>
      </c>
      <c r="T7" s="144">
        <v>599.99999999999989</v>
      </c>
      <c r="U7" s="144">
        <v>599.99999999999989</v>
      </c>
      <c r="V7" s="144">
        <v>599.99999999999989</v>
      </c>
      <c r="W7" s="144">
        <v>599.99999999999989</v>
      </c>
      <c r="X7" s="144">
        <v>599.99999999999989</v>
      </c>
      <c r="Y7" s="144">
        <v>599.99999999999989</v>
      </c>
      <c r="Z7" s="144">
        <v>599.99999999999989</v>
      </c>
      <c r="AA7" s="144">
        <v>599.99999999999989</v>
      </c>
      <c r="AB7" s="144">
        <v>599.99999999999989</v>
      </c>
      <c r="AC7" s="144">
        <v>599.99999999999989</v>
      </c>
      <c r="AD7" s="144">
        <v>599.99999999999989</v>
      </c>
      <c r="AE7" s="144">
        <v>599.99999999999989</v>
      </c>
      <c r="AF7" s="144">
        <v>599.99999999999989</v>
      </c>
      <c r="AG7" s="144">
        <v>599.99999999999989</v>
      </c>
      <c r="AH7" s="144">
        <v>599.99999999999989</v>
      </c>
      <c r="AI7" s="144">
        <v>599.99999999999989</v>
      </c>
      <c r="AJ7" s="144">
        <v>599.99999999999989</v>
      </c>
      <c r="AK7" s="144">
        <v>599.99999999999989</v>
      </c>
      <c r="AL7" s="144">
        <v>599.99999999999989</v>
      </c>
      <c r="AM7" s="144">
        <v>599.99999999999989</v>
      </c>
      <c r="AN7" s="144">
        <v>599.99999999999989</v>
      </c>
      <c r="AO7" s="144">
        <v>599.99999999999989</v>
      </c>
      <c r="AP7" s="144">
        <v>599.99999999999989</v>
      </c>
      <c r="AQ7" s="144">
        <v>599.99999999999989</v>
      </c>
      <c r="AR7" s="144">
        <v>599.99999999999989</v>
      </c>
      <c r="AS7" s="144">
        <v>599.99999999999989</v>
      </c>
      <c r="AT7" s="144">
        <v>599.99999999999989</v>
      </c>
      <c r="AU7" s="144">
        <v>599.99999999999989</v>
      </c>
      <c r="AV7" s="144">
        <v>479.99999999999994</v>
      </c>
      <c r="AW7" s="144">
        <v>479.99999999999994</v>
      </c>
      <c r="AX7" s="144">
        <v>479.99999999999994</v>
      </c>
      <c r="AY7" s="144">
        <v>250.61518843466047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599.99999999999977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599.99999999999977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599.99999999999932</v>
      </c>
      <c r="D13" s="138">
        <f t="shared" ref="D13:AY13" si="1">D$7-D$10</f>
        <v>599.99999999999989</v>
      </c>
      <c r="E13" s="138">
        <f t="shared" si="1"/>
        <v>599.99999999999989</v>
      </c>
      <c r="F13" s="138">
        <f t="shared" si="1"/>
        <v>599.99999999999989</v>
      </c>
      <c r="G13" s="138">
        <f t="shared" si="1"/>
        <v>599.99999999999989</v>
      </c>
      <c r="H13" s="138">
        <f t="shared" si="1"/>
        <v>599.99999999999989</v>
      </c>
      <c r="I13" s="138">
        <f t="shared" si="1"/>
        <v>599.99999999999989</v>
      </c>
      <c r="J13" s="138">
        <f t="shared" si="1"/>
        <v>599.99999999999989</v>
      </c>
      <c r="K13" s="138">
        <f t="shared" si="1"/>
        <v>599.99999999999989</v>
      </c>
      <c r="L13" s="138">
        <f t="shared" si="1"/>
        <v>599.99999999999989</v>
      </c>
      <c r="M13" s="138">
        <f t="shared" si="1"/>
        <v>599.99999999999989</v>
      </c>
      <c r="N13" s="138">
        <f t="shared" si="1"/>
        <v>599.99999999999989</v>
      </c>
      <c r="O13" s="138">
        <f t="shared" si="1"/>
        <v>599.99999999999989</v>
      </c>
      <c r="P13" s="138">
        <f t="shared" si="1"/>
        <v>599.99999999999989</v>
      </c>
      <c r="Q13" s="138">
        <f t="shared" si="1"/>
        <v>599.99999999999989</v>
      </c>
      <c r="R13" s="138">
        <f t="shared" si="1"/>
        <v>599.99999999999989</v>
      </c>
      <c r="S13" s="138">
        <f t="shared" si="1"/>
        <v>599.99999999999989</v>
      </c>
      <c r="T13" s="138">
        <f t="shared" si="1"/>
        <v>599.99999999999989</v>
      </c>
      <c r="U13" s="138">
        <f t="shared" si="1"/>
        <v>599.99999999999989</v>
      </c>
      <c r="V13" s="138">
        <f t="shared" si="1"/>
        <v>599.99999999999989</v>
      </c>
      <c r="W13" s="138">
        <f t="shared" si="1"/>
        <v>599.99999999999989</v>
      </c>
      <c r="X13" s="138">
        <f t="shared" si="1"/>
        <v>599.99999999999989</v>
      </c>
      <c r="Y13" s="138">
        <f t="shared" si="1"/>
        <v>599.99999999999989</v>
      </c>
      <c r="Z13" s="138">
        <f t="shared" si="1"/>
        <v>599.99999999999989</v>
      </c>
      <c r="AA13" s="138">
        <f t="shared" si="1"/>
        <v>599.99999999999989</v>
      </c>
      <c r="AB13" s="138">
        <f t="shared" si="1"/>
        <v>599.99999999999989</v>
      </c>
      <c r="AC13" s="138">
        <f t="shared" si="1"/>
        <v>599.99999999999989</v>
      </c>
      <c r="AD13" s="138">
        <f t="shared" si="1"/>
        <v>599.99999999999989</v>
      </c>
      <c r="AE13" s="138">
        <f t="shared" si="1"/>
        <v>599.99999999999989</v>
      </c>
      <c r="AF13" s="138">
        <f t="shared" si="1"/>
        <v>599.99999999999989</v>
      </c>
      <c r="AG13" s="138">
        <f t="shared" si="1"/>
        <v>599.99999999999989</v>
      </c>
      <c r="AH13" s="138">
        <f t="shared" si="1"/>
        <v>599.99999999999989</v>
      </c>
      <c r="AI13" s="138">
        <f t="shared" si="1"/>
        <v>599.99999999999989</v>
      </c>
      <c r="AJ13" s="138">
        <f t="shared" si="1"/>
        <v>599.99999999999989</v>
      </c>
      <c r="AK13" s="138">
        <f t="shared" si="1"/>
        <v>599.99999999999989</v>
      </c>
      <c r="AL13" s="138">
        <f t="shared" si="1"/>
        <v>599.99999999999989</v>
      </c>
      <c r="AM13" s="138">
        <f t="shared" si="1"/>
        <v>599.99999999999989</v>
      </c>
      <c r="AN13" s="138">
        <f t="shared" si="1"/>
        <v>599.99999999999989</v>
      </c>
      <c r="AO13" s="138">
        <f t="shared" si="1"/>
        <v>599.99999999999989</v>
      </c>
      <c r="AP13" s="138">
        <f t="shared" si="1"/>
        <v>599.99999999999989</v>
      </c>
      <c r="AQ13" s="138">
        <f t="shared" si="1"/>
        <v>599.99999999999989</v>
      </c>
      <c r="AR13" s="138">
        <f t="shared" si="1"/>
        <v>599.99999999999989</v>
      </c>
      <c r="AS13" s="138">
        <f t="shared" si="1"/>
        <v>599.99999999999989</v>
      </c>
      <c r="AT13" s="138">
        <f t="shared" si="1"/>
        <v>0</v>
      </c>
      <c r="AU13" s="138">
        <f t="shared" si="1"/>
        <v>599.99999999999989</v>
      </c>
      <c r="AV13" s="138">
        <f t="shared" si="1"/>
        <v>479.99999999999994</v>
      </c>
      <c r="AW13" s="138">
        <f t="shared" si="1"/>
        <v>479.99999999999994</v>
      </c>
      <c r="AX13" s="138">
        <f t="shared" si="1"/>
        <v>479.99999999999994</v>
      </c>
      <c r="AY13" s="138">
        <f t="shared" si="1"/>
        <v>250.61518843466047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599.99999999999989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 t="s">
        <v>339</v>
      </c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0.44072328260957805</v>
      </c>
      <c r="C21" s="156" t="s">
        <v>293</v>
      </c>
      <c r="D21" s="106">
        <f>IF(C$20="Yes",0,SUM(C$13:C$16)*$B$21)</f>
        <v>264.43396956574651</v>
      </c>
      <c r="E21" s="106">
        <f t="shared" ref="E21:AY21" si="3">IF(D$20="Yes",0,SUM(D$13:D$16)*$B$21)</f>
        <v>264.43396956574679</v>
      </c>
      <c r="F21" s="106">
        <f t="shared" si="3"/>
        <v>264.43396956574679</v>
      </c>
      <c r="G21" s="106">
        <f t="shared" si="3"/>
        <v>264.43396956574679</v>
      </c>
      <c r="H21" s="106">
        <f t="shared" si="3"/>
        <v>264.43396956574679</v>
      </c>
      <c r="I21" s="106">
        <f t="shared" si="3"/>
        <v>264.43396956574679</v>
      </c>
      <c r="J21" s="106">
        <f t="shared" si="3"/>
        <v>264.43396956574679</v>
      </c>
      <c r="K21" s="106">
        <f t="shared" si="3"/>
        <v>264.43396956574679</v>
      </c>
      <c r="L21" s="106">
        <f t="shared" si="3"/>
        <v>264.43396956574679</v>
      </c>
      <c r="M21" s="106">
        <f t="shared" si="3"/>
        <v>264.43396956574679</v>
      </c>
      <c r="N21" s="106">
        <f t="shared" si="3"/>
        <v>264.43396956574679</v>
      </c>
      <c r="O21" s="106">
        <f t="shared" si="3"/>
        <v>264.43396956574679</v>
      </c>
      <c r="P21" s="106">
        <f t="shared" si="3"/>
        <v>264.43396956574679</v>
      </c>
      <c r="Q21" s="106">
        <f t="shared" si="3"/>
        <v>264.43396956574679</v>
      </c>
      <c r="R21" s="106">
        <f t="shared" si="3"/>
        <v>264.43396956574679</v>
      </c>
      <c r="S21" s="106">
        <f t="shared" si="3"/>
        <v>264.43396956574679</v>
      </c>
      <c r="T21" s="106">
        <f t="shared" si="3"/>
        <v>264.43396956574679</v>
      </c>
      <c r="U21" s="106">
        <f t="shared" si="3"/>
        <v>264.43396956574679</v>
      </c>
      <c r="V21" s="106">
        <f t="shared" si="3"/>
        <v>264.43396956574679</v>
      </c>
      <c r="W21" s="106">
        <f t="shared" si="3"/>
        <v>264.43396956574679</v>
      </c>
      <c r="X21" s="106">
        <f t="shared" si="3"/>
        <v>264.43396956574679</v>
      </c>
      <c r="Y21" s="106">
        <f t="shared" si="3"/>
        <v>264.43396956574679</v>
      </c>
      <c r="Z21" s="106">
        <f t="shared" si="3"/>
        <v>264.43396956574679</v>
      </c>
      <c r="AA21" s="106">
        <f t="shared" si="3"/>
        <v>264.43396956574679</v>
      </c>
      <c r="AB21" s="106">
        <f t="shared" si="3"/>
        <v>264.43396956574679</v>
      </c>
      <c r="AC21" s="106">
        <f t="shared" si="3"/>
        <v>264.43396956574679</v>
      </c>
      <c r="AD21" s="106">
        <f t="shared" si="3"/>
        <v>264.43396956574679</v>
      </c>
      <c r="AE21" s="106">
        <f t="shared" si="3"/>
        <v>264.43396956574679</v>
      </c>
      <c r="AF21" s="106">
        <f t="shared" si="3"/>
        <v>264.43396956574679</v>
      </c>
      <c r="AG21" s="106">
        <f t="shared" si="3"/>
        <v>264.43396956574679</v>
      </c>
      <c r="AH21" s="106">
        <f t="shared" si="3"/>
        <v>264.43396956574679</v>
      </c>
      <c r="AI21" s="106">
        <f t="shared" si="3"/>
        <v>264.43396956574679</v>
      </c>
      <c r="AJ21" s="106">
        <f t="shared" si="3"/>
        <v>264.43396956574679</v>
      </c>
      <c r="AK21" s="106">
        <f t="shared" si="3"/>
        <v>264.43396956574679</v>
      </c>
      <c r="AL21" s="106">
        <f t="shared" si="3"/>
        <v>264.43396956574679</v>
      </c>
      <c r="AM21" s="106">
        <f t="shared" si="3"/>
        <v>264.43396956574679</v>
      </c>
      <c r="AN21" s="106">
        <f t="shared" si="3"/>
        <v>264.43396956574679</v>
      </c>
      <c r="AO21" s="106">
        <f t="shared" si="3"/>
        <v>264.43396956574679</v>
      </c>
      <c r="AP21" s="106">
        <f t="shared" si="3"/>
        <v>264.43396956574679</v>
      </c>
      <c r="AQ21" s="106">
        <f t="shared" si="3"/>
        <v>264.43396956574679</v>
      </c>
      <c r="AR21" s="106">
        <f t="shared" si="3"/>
        <v>264.43396956574679</v>
      </c>
      <c r="AS21" s="106">
        <f t="shared" si="3"/>
        <v>264.43396956574679</v>
      </c>
      <c r="AT21" s="106">
        <f t="shared" si="3"/>
        <v>0</v>
      </c>
      <c r="AU21" s="106">
        <f t="shared" si="3"/>
        <v>264.43396956574679</v>
      </c>
      <c r="AV21" s="106">
        <f t="shared" si="3"/>
        <v>264.43396956574679</v>
      </c>
      <c r="AW21" s="106">
        <f t="shared" si="3"/>
        <v>211.54717565259745</v>
      </c>
      <c r="AX21" s="106">
        <f t="shared" si="3"/>
        <v>211.54717565259745</v>
      </c>
      <c r="AY21" s="106">
        <f t="shared" si="3"/>
        <v>211.54717565259745</v>
      </c>
      <c r="AZ21" s="157">
        <f>SUM($D21:$AY21)</f>
        <v>12269.736187850662</v>
      </c>
    </row>
    <row r="22" spans="1:52" s="110" customFormat="1">
      <c r="A22" s="158" t="s">
        <v>123</v>
      </c>
      <c r="B22" s="159">
        <f>1-$B$21</f>
        <v>0.55927671739042195</v>
      </c>
      <c r="C22" s="159" t="s">
        <v>293</v>
      </c>
      <c r="D22" s="114">
        <f>IF(C$20="Yes",0,SUM(C$13:C$16)*$B$22)</f>
        <v>335.56603043425281</v>
      </c>
      <c r="E22" s="114">
        <f t="shared" ref="E22:AY22" si="4">IF(D$20="Yes",0,SUM(D$13:D$16)*$B$22)</f>
        <v>335.56603043425309</v>
      </c>
      <c r="F22" s="114">
        <f t="shared" si="4"/>
        <v>335.56603043425309</v>
      </c>
      <c r="G22" s="114">
        <f t="shared" si="4"/>
        <v>335.56603043425309</v>
      </c>
      <c r="H22" s="114">
        <f t="shared" si="4"/>
        <v>335.56603043425309</v>
      </c>
      <c r="I22" s="114">
        <f t="shared" si="4"/>
        <v>335.56603043425309</v>
      </c>
      <c r="J22" s="114">
        <f t="shared" si="4"/>
        <v>335.56603043425309</v>
      </c>
      <c r="K22" s="114">
        <f t="shared" si="4"/>
        <v>335.56603043425309</v>
      </c>
      <c r="L22" s="114">
        <f t="shared" si="4"/>
        <v>335.56603043425309</v>
      </c>
      <c r="M22" s="114">
        <f t="shared" si="4"/>
        <v>335.56603043425309</v>
      </c>
      <c r="N22" s="114">
        <f t="shared" si="4"/>
        <v>335.56603043425309</v>
      </c>
      <c r="O22" s="114">
        <f t="shared" si="4"/>
        <v>335.56603043425309</v>
      </c>
      <c r="P22" s="114">
        <f t="shared" si="4"/>
        <v>335.56603043425309</v>
      </c>
      <c r="Q22" s="114">
        <f t="shared" si="4"/>
        <v>335.56603043425309</v>
      </c>
      <c r="R22" s="114">
        <f t="shared" si="4"/>
        <v>335.56603043425309</v>
      </c>
      <c r="S22" s="114">
        <f t="shared" si="4"/>
        <v>335.56603043425309</v>
      </c>
      <c r="T22" s="114">
        <f t="shared" si="4"/>
        <v>335.56603043425309</v>
      </c>
      <c r="U22" s="114">
        <f t="shared" si="4"/>
        <v>335.56603043425309</v>
      </c>
      <c r="V22" s="114">
        <f t="shared" si="4"/>
        <v>335.56603043425309</v>
      </c>
      <c r="W22" s="114">
        <f t="shared" si="4"/>
        <v>335.56603043425309</v>
      </c>
      <c r="X22" s="114">
        <f t="shared" si="4"/>
        <v>335.56603043425309</v>
      </c>
      <c r="Y22" s="114">
        <f t="shared" si="4"/>
        <v>335.56603043425309</v>
      </c>
      <c r="Z22" s="114">
        <f t="shared" si="4"/>
        <v>335.56603043425309</v>
      </c>
      <c r="AA22" s="114">
        <f t="shared" si="4"/>
        <v>335.56603043425309</v>
      </c>
      <c r="AB22" s="114">
        <f t="shared" si="4"/>
        <v>335.56603043425309</v>
      </c>
      <c r="AC22" s="114">
        <f t="shared" si="4"/>
        <v>335.56603043425309</v>
      </c>
      <c r="AD22" s="114">
        <f t="shared" si="4"/>
        <v>335.56603043425309</v>
      </c>
      <c r="AE22" s="114">
        <f t="shared" si="4"/>
        <v>335.56603043425309</v>
      </c>
      <c r="AF22" s="114">
        <f t="shared" si="4"/>
        <v>335.56603043425309</v>
      </c>
      <c r="AG22" s="114">
        <f t="shared" si="4"/>
        <v>335.56603043425309</v>
      </c>
      <c r="AH22" s="114">
        <f t="shared" si="4"/>
        <v>335.56603043425309</v>
      </c>
      <c r="AI22" s="114">
        <f t="shared" si="4"/>
        <v>335.56603043425309</v>
      </c>
      <c r="AJ22" s="114">
        <f t="shared" si="4"/>
        <v>335.56603043425309</v>
      </c>
      <c r="AK22" s="114">
        <f t="shared" si="4"/>
        <v>335.56603043425309</v>
      </c>
      <c r="AL22" s="114">
        <f t="shared" si="4"/>
        <v>335.56603043425309</v>
      </c>
      <c r="AM22" s="114">
        <f t="shared" si="4"/>
        <v>335.56603043425309</v>
      </c>
      <c r="AN22" s="114">
        <f t="shared" si="4"/>
        <v>335.56603043425309</v>
      </c>
      <c r="AO22" s="114">
        <f t="shared" si="4"/>
        <v>335.56603043425309</v>
      </c>
      <c r="AP22" s="114">
        <f t="shared" si="4"/>
        <v>335.56603043425309</v>
      </c>
      <c r="AQ22" s="114">
        <f t="shared" si="4"/>
        <v>335.56603043425309</v>
      </c>
      <c r="AR22" s="114">
        <f t="shared" si="4"/>
        <v>335.56603043425309</v>
      </c>
      <c r="AS22" s="114">
        <f t="shared" si="4"/>
        <v>335.56603043425309</v>
      </c>
      <c r="AT22" s="114">
        <f t="shared" si="4"/>
        <v>0</v>
      </c>
      <c r="AU22" s="114">
        <f t="shared" si="4"/>
        <v>335.56603043425309</v>
      </c>
      <c r="AV22" s="114">
        <f t="shared" si="4"/>
        <v>335.56603043425309</v>
      </c>
      <c r="AW22" s="114">
        <f t="shared" si="4"/>
        <v>268.4528243474025</v>
      </c>
      <c r="AX22" s="114">
        <f t="shared" si="4"/>
        <v>268.4528243474025</v>
      </c>
      <c r="AY22" s="114">
        <f t="shared" si="4"/>
        <v>268.4528243474025</v>
      </c>
      <c r="AZ22" s="141">
        <f t="shared" ref="AZ22:AZ30" si="5">SUM($D22:$AY22)</f>
        <v>15570.263812149336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528867.93913149298</v>
      </c>
      <c r="E23" s="100">
        <f t="shared" ref="E23:AY23" si="6">E$21*$B$23</f>
        <v>528867.93913149356</v>
      </c>
      <c r="F23" s="100">
        <f t="shared" si="6"/>
        <v>528867.93913149356</v>
      </c>
      <c r="G23" s="100">
        <f t="shared" si="6"/>
        <v>528867.93913149356</v>
      </c>
      <c r="H23" s="100">
        <f t="shared" si="6"/>
        <v>528867.93913149356</v>
      </c>
      <c r="I23" s="100">
        <f t="shared" si="6"/>
        <v>528867.93913149356</v>
      </c>
      <c r="J23" s="100">
        <f t="shared" si="6"/>
        <v>528867.93913149356</v>
      </c>
      <c r="K23" s="100">
        <f t="shared" si="6"/>
        <v>528867.93913149356</v>
      </c>
      <c r="L23" s="100">
        <f t="shared" si="6"/>
        <v>528867.93913149356</v>
      </c>
      <c r="M23" s="100">
        <f t="shared" si="6"/>
        <v>528867.93913149356</v>
      </c>
      <c r="N23" s="100">
        <f t="shared" si="6"/>
        <v>528867.93913149356</v>
      </c>
      <c r="O23" s="100">
        <f t="shared" si="6"/>
        <v>528867.93913149356</v>
      </c>
      <c r="P23" s="100">
        <f t="shared" si="6"/>
        <v>528867.93913149356</v>
      </c>
      <c r="Q23" s="100">
        <f t="shared" si="6"/>
        <v>528867.93913149356</v>
      </c>
      <c r="R23" s="100">
        <f t="shared" si="6"/>
        <v>528867.93913149356</v>
      </c>
      <c r="S23" s="100">
        <f t="shared" si="6"/>
        <v>528867.93913149356</v>
      </c>
      <c r="T23" s="100">
        <f t="shared" si="6"/>
        <v>528867.93913149356</v>
      </c>
      <c r="U23" s="100">
        <f t="shared" si="6"/>
        <v>528867.93913149356</v>
      </c>
      <c r="V23" s="100">
        <f t="shared" si="6"/>
        <v>528867.93913149356</v>
      </c>
      <c r="W23" s="100">
        <f t="shared" si="6"/>
        <v>528867.93913149356</v>
      </c>
      <c r="X23" s="100">
        <f t="shared" si="6"/>
        <v>528867.93913149356</v>
      </c>
      <c r="Y23" s="100">
        <f t="shared" si="6"/>
        <v>528867.93913149356</v>
      </c>
      <c r="Z23" s="100">
        <f t="shared" si="6"/>
        <v>528867.93913149356</v>
      </c>
      <c r="AA23" s="100">
        <f t="shared" si="6"/>
        <v>528867.93913149356</v>
      </c>
      <c r="AB23" s="100">
        <f t="shared" si="6"/>
        <v>528867.93913149356</v>
      </c>
      <c r="AC23" s="100">
        <f t="shared" si="6"/>
        <v>528867.93913149356</v>
      </c>
      <c r="AD23" s="100">
        <f t="shared" si="6"/>
        <v>528867.93913149356</v>
      </c>
      <c r="AE23" s="100">
        <f t="shared" si="6"/>
        <v>528867.93913149356</v>
      </c>
      <c r="AF23" s="100">
        <f t="shared" si="6"/>
        <v>528867.93913149356</v>
      </c>
      <c r="AG23" s="100">
        <f t="shared" si="6"/>
        <v>528867.93913149356</v>
      </c>
      <c r="AH23" s="100">
        <f t="shared" si="6"/>
        <v>528867.93913149356</v>
      </c>
      <c r="AI23" s="100">
        <f t="shared" si="6"/>
        <v>528867.93913149356</v>
      </c>
      <c r="AJ23" s="100">
        <f t="shared" si="6"/>
        <v>528867.93913149356</v>
      </c>
      <c r="AK23" s="100">
        <f t="shared" si="6"/>
        <v>528867.93913149356</v>
      </c>
      <c r="AL23" s="100">
        <f t="shared" si="6"/>
        <v>528867.93913149356</v>
      </c>
      <c r="AM23" s="100">
        <f t="shared" si="6"/>
        <v>528867.93913149356</v>
      </c>
      <c r="AN23" s="100">
        <f t="shared" si="6"/>
        <v>528867.93913149356</v>
      </c>
      <c r="AO23" s="100">
        <f t="shared" si="6"/>
        <v>528867.93913149356</v>
      </c>
      <c r="AP23" s="100">
        <f t="shared" si="6"/>
        <v>528867.93913149356</v>
      </c>
      <c r="AQ23" s="100">
        <f t="shared" si="6"/>
        <v>528867.93913149356</v>
      </c>
      <c r="AR23" s="100">
        <f t="shared" si="6"/>
        <v>528867.93913149356</v>
      </c>
      <c r="AS23" s="100">
        <f t="shared" si="6"/>
        <v>528867.93913149356</v>
      </c>
      <c r="AT23" s="100">
        <f t="shared" si="6"/>
        <v>0</v>
      </c>
      <c r="AU23" s="100">
        <f t="shared" si="6"/>
        <v>528867.93913149356</v>
      </c>
      <c r="AV23" s="100">
        <f t="shared" si="6"/>
        <v>528867.93913149356</v>
      </c>
      <c r="AW23" s="100">
        <f t="shared" si="6"/>
        <v>423094.3513051949</v>
      </c>
      <c r="AX23" s="100">
        <f t="shared" si="6"/>
        <v>423094.3513051949</v>
      </c>
      <c r="AY23" s="100">
        <f t="shared" si="6"/>
        <v>423094.3513051949</v>
      </c>
      <c r="AZ23" s="139">
        <f t="shared" si="5"/>
        <v>24539472.375701301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335566.03043425281</v>
      </c>
      <c r="E24" s="106">
        <f t="shared" ref="E24:AY24" si="7">E$22*$B$24</f>
        <v>335566.0304342531</v>
      </c>
      <c r="F24" s="106">
        <f t="shared" si="7"/>
        <v>335566.0304342531</v>
      </c>
      <c r="G24" s="106">
        <f t="shared" si="7"/>
        <v>335566.0304342531</v>
      </c>
      <c r="H24" s="106">
        <f t="shared" si="7"/>
        <v>335566.0304342531</v>
      </c>
      <c r="I24" s="106">
        <f t="shared" si="7"/>
        <v>335566.0304342531</v>
      </c>
      <c r="J24" s="106">
        <f t="shared" si="7"/>
        <v>335566.0304342531</v>
      </c>
      <c r="K24" s="106">
        <f t="shared" si="7"/>
        <v>335566.0304342531</v>
      </c>
      <c r="L24" s="106">
        <f t="shared" si="7"/>
        <v>335566.0304342531</v>
      </c>
      <c r="M24" s="106">
        <f t="shared" si="7"/>
        <v>335566.0304342531</v>
      </c>
      <c r="N24" s="106">
        <f t="shared" si="7"/>
        <v>335566.0304342531</v>
      </c>
      <c r="O24" s="106">
        <f t="shared" si="7"/>
        <v>335566.0304342531</v>
      </c>
      <c r="P24" s="106">
        <f t="shared" si="7"/>
        <v>335566.0304342531</v>
      </c>
      <c r="Q24" s="106">
        <f t="shared" si="7"/>
        <v>335566.0304342531</v>
      </c>
      <c r="R24" s="106">
        <f t="shared" si="7"/>
        <v>335566.0304342531</v>
      </c>
      <c r="S24" s="106">
        <f t="shared" si="7"/>
        <v>335566.0304342531</v>
      </c>
      <c r="T24" s="106">
        <f t="shared" si="7"/>
        <v>335566.0304342531</v>
      </c>
      <c r="U24" s="106">
        <f t="shared" si="7"/>
        <v>335566.0304342531</v>
      </c>
      <c r="V24" s="106">
        <f t="shared" si="7"/>
        <v>335566.0304342531</v>
      </c>
      <c r="W24" s="106">
        <f t="shared" si="7"/>
        <v>335566.0304342531</v>
      </c>
      <c r="X24" s="106">
        <f t="shared" si="7"/>
        <v>335566.0304342531</v>
      </c>
      <c r="Y24" s="106">
        <f t="shared" si="7"/>
        <v>335566.0304342531</v>
      </c>
      <c r="Z24" s="106">
        <f t="shared" si="7"/>
        <v>335566.0304342531</v>
      </c>
      <c r="AA24" s="106">
        <f t="shared" si="7"/>
        <v>335566.0304342531</v>
      </c>
      <c r="AB24" s="106">
        <f t="shared" si="7"/>
        <v>335566.0304342531</v>
      </c>
      <c r="AC24" s="106">
        <f t="shared" si="7"/>
        <v>335566.0304342531</v>
      </c>
      <c r="AD24" s="106">
        <f t="shared" si="7"/>
        <v>335566.0304342531</v>
      </c>
      <c r="AE24" s="106">
        <f t="shared" si="7"/>
        <v>335566.0304342531</v>
      </c>
      <c r="AF24" s="106">
        <f t="shared" si="7"/>
        <v>335566.0304342531</v>
      </c>
      <c r="AG24" s="106">
        <f t="shared" si="7"/>
        <v>335566.0304342531</v>
      </c>
      <c r="AH24" s="106">
        <f t="shared" si="7"/>
        <v>335566.0304342531</v>
      </c>
      <c r="AI24" s="106">
        <f t="shared" si="7"/>
        <v>335566.0304342531</v>
      </c>
      <c r="AJ24" s="106">
        <f t="shared" si="7"/>
        <v>335566.0304342531</v>
      </c>
      <c r="AK24" s="106">
        <f t="shared" si="7"/>
        <v>335566.0304342531</v>
      </c>
      <c r="AL24" s="106">
        <f t="shared" si="7"/>
        <v>335566.0304342531</v>
      </c>
      <c r="AM24" s="106">
        <f t="shared" si="7"/>
        <v>335566.0304342531</v>
      </c>
      <c r="AN24" s="106">
        <f t="shared" si="7"/>
        <v>335566.0304342531</v>
      </c>
      <c r="AO24" s="106">
        <f t="shared" si="7"/>
        <v>335566.0304342531</v>
      </c>
      <c r="AP24" s="106">
        <f t="shared" si="7"/>
        <v>335566.0304342531</v>
      </c>
      <c r="AQ24" s="106">
        <f t="shared" si="7"/>
        <v>335566.0304342531</v>
      </c>
      <c r="AR24" s="106">
        <f t="shared" si="7"/>
        <v>335566.0304342531</v>
      </c>
      <c r="AS24" s="106">
        <f t="shared" si="7"/>
        <v>335566.0304342531</v>
      </c>
      <c r="AT24" s="106">
        <f t="shared" si="7"/>
        <v>0</v>
      </c>
      <c r="AU24" s="106">
        <f t="shared" si="7"/>
        <v>335566.0304342531</v>
      </c>
      <c r="AV24" s="106">
        <f t="shared" si="7"/>
        <v>335566.0304342531</v>
      </c>
      <c r="AW24" s="106">
        <f t="shared" si="7"/>
        <v>268452.82434740249</v>
      </c>
      <c r="AX24" s="106">
        <f t="shared" si="7"/>
        <v>268452.82434740249</v>
      </c>
      <c r="AY24" s="106">
        <f t="shared" si="7"/>
        <v>268452.82434740249</v>
      </c>
      <c r="AZ24" s="141">
        <f t="shared" si="5"/>
        <v>15570263.812149333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20</v>
      </c>
      <c r="D27" s="124">
        <f>C$27-C$28+C$29</f>
        <v>2</v>
      </c>
      <c r="E27" s="124">
        <f t="shared" ref="E27:AY27" si="8">D27-D28+D29</f>
        <v>20</v>
      </c>
      <c r="F27" s="124">
        <f t="shared" si="8"/>
        <v>2</v>
      </c>
      <c r="G27" s="124">
        <f t="shared" si="8"/>
        <v>20</v>
      </c>
      <c r="H27" s="124">
        <f t="shared" si="8"/>
        <v>2</v>
      </c>
      <c r="I27" s="124">
        <f t="shared" si="8"/>
        <v>20</v>
      </c>
      <c r="J27" s="124">
        <f t="shared" si="8"/>
        <v>2</v>
      </c>
      <c r="K27" s="124">
        <f t="shared" si="8"/>
        <v>20</v>
      </c>
      <c r="L27" s="124">
        <f t="shared" si="8"/>
        <v>2</v>
      </c>
      <c r="M27" s="124">
        <f t="shared" si="8"/>
        <v>20</v>
      </c>
      <c r="N27" s="124">
        <f t="shared" si="8"/>
        <v>2</v>
      </c>
      <c r="O27" s="124">
        <f t="shared" si="8"/>
        <v>20</v>
      </c>
      <c r="P27" s="124">
        <f t="shared" si="8"/>
        <v>2</v>
      </c>
      <c r="Q27" s="124">
        <f t="shared" si="8"/>
        <v>20</v>
      </c>
      <c r="R27" s="124">
        <f t="shared" si="8"/>
        <v>2</v>
      </c>
      <c r="S27" s="124">
        <f t="shared" si="8"/>
        <v>20</v>
      </c>
      <c r="T27" s="124">
        <f t="shared" si="8"/>
        <v>2</v>
      </c>
      <c r="U27" s="124">
        <f t="shared" si="8"/>
        <v>20</v>
      </c>
      <c r="V27" s="124">
        <f t="shared" si="8"/>
        <v>2</v>
      </c>
      <c r="W27" s="124">
        <f t="shared" si="8"/>
        <v>20</v>
      </c>
      <c r="X27" s="124">
        <f t="shared" si="8"/>
        <v>2</v>
      </c>
      <c r="Y27" s="124">
        <f t="shared" si="8"/>
        <v>20</v>
      </c>
      <c r="Z27" s="124">
        <f t="shared" si="8"/>
        <v>2</v>
      </c>
      <c r="AA27" s="124">
        <f t="shared" si="8"/>
        <v>20</v>
      </c>
      <c r="AB27" s="124">
        <f t="shared" si="8"/>
        <v>2</v>
      </c>
      <c r="AC27" s="124">
        <f t="shared" si="8"/>
        <v>20</v>
      </c>
      <c r="AD27" s="124">
        <f t="shared" si="8"/>
        <v>2</v>
      </c>
      <c r="AE27" s="124">
        <f t="shared" si="8"/>
        <v>20</v>
      </c>
      <c r="AF27" s="124">
        <f t="shared" si="8"/>
        <v>2</v>
      </c>
      <c r="AG27" s="124">
        <f t="shared" si="8"/>
        <v>20</v>
      </c>
      <c r="AH27" s="124">
        <f t="shared" si="8"/>
        <v>2</v>
      </c>
      <c r="AI27" s="124">
        <f t="shared" si="8"/>
        <v>20</v>
      </c>
      <c r="AJ27" s="124">
        <f t="shared" si="8"/>
        <v>2</v>
      </c>
      <c r="AK27" s="124">
        <f t="shared" si="8"/>
        <v>20</v>
      </c>
      <c r="AL27" s="124">
        <f t="shared" si="8"/>
        <v>2</v>
      </c>
      <c r="AM27" s="124">
        <f t="shared" si="8"/>
        <v>20</v>
      </c>
      <c r="AN27" s="124">
        <f t="shared" si="8"/>
        <v>2</v>
      </c>
      <c r="AO27" s="124">
        <f t="shared" si="8"/>
        <v>20</v>
      </c>
      <c r="AP27" s="124">
        <f t="shared" si="8"/>
        <v>2</v>
      </c>
      <c r="AQ27" s="124">
        <f t="shared" si="8"/>
        <v>20</v>
      </c>
      <c r="AR27" s="124">
        <f t="shared" si="8"/>
        <v>2</v>
      </c>
      <c r="AS27" s="124">
        <f t="shared" si="8"/>
        <v>20</v>
      </c>
      <c r="AT27" s="124">
        <f t="shared" si="8"/>
        <v>2</v>
      </c>
      <c r="AU27" s="124">
        <f t="shared" si="8"/>
        <v>22</v>
      </c>
      <c r="AV27" s="124">
        <f t="shared" si="8"/>
        <v>1</v>
      </c>
      <c r="AW27" s="124">
        <f t="shared" si="8"/>
        <v>21</v>
      </c>
      <c r="AX27" s="124">
        <f t="shared" si="8"/>
        <v>5</v>
      </c>
      <c r="AY27" s="164">
        <f t="shared" si="8"/>
        <v>17</v>
      </c>
      <c r="AZ27" s="106"/>
    </row>
    <row r="28" spans="1:52">
      <c r="B28" s="165" t="s">
        <v>310</v>
      </c>
      <c r="C28" s="110">
        <v>20</v>
      </c>
      <c r="D28" s="110">
        <v>2</v>
      </c>
      <c r="E28" s="110">
        <v>20</v>
      </c>
      <c r="F28" s="110">
        <v>2</v>
      </c>
      <c r="G28" s="110">
        <v>20</v>
      </c>
      <c r="H28" s="110">
        <v>2</v>
      </c>
      <c r="I28" s="110">
        <v>20</v>
      </c>
      <c r="J28" s="110">
        <v>2</v>
      </c>
      <c r="K28" s="110">
        <v>20</v>
      </c>
      <c r="L28" s="110">
        <v>2</v>
      </c>
      <c r="M28" s="110">
        <v>20</v>
      </c>
      <c r="N28" s="110">
        <v>2</v>
      </c>
      <c r="O28" s="110">
        <v>20</v>
      </c>
      <c r="P28" s="110">
        <v>2</v>
      </c>
      <c r="Q28" s="110">
        <v>20</v>
      </c>
      <c r="R28" s="110">
        <v>2</v>
      </c>
      <c r="S28" s="110">
        <v>20</v>
      </c>
      <c r="T28" s="110">
        <v>2</v>
      </c>
      <c r="U28" s="110">
        <v>20</v>
      </c>
      <c r="V28" s="110">
        <v>2</v>
      </c>
      <c r="W28" s="110">
        <v>20</v>
      </c>
      <c r="X28" s="110">
        <v>2</v>
      </c>
      <c r="Y28" s="110">
        <v>20</v>
      </c>
      <c r="Z28" s="110">
        <v>2</v>
      </c>
      <c r="AA28" s="110">
        <v>20</v>
      </c>
      <c r="AB28" s="110">
        <v>2</v>
      </c>
      <c r="AC28" s="110">
        <v>20</v>
      </c>
      <c r="AD28" s="110">
        <v>2</v>
      </c>
      <c r="AE28" s="110">
        <v>20</v>
      </c>
      <c r="AF28" s="110">
        <v>2</v>
      </c>
      <c r="AG28" s="110">
        <v>20</v>
      </c>
      <c r="AH28" s="110">
        <v>2</v>
      </c>
      <c r="AI28" s="110">
        <v>20</v>
      </c>
      <c r="AJ28" s="110">
        <v>2</v>
      </c>
      <c r="AK28" s="110">
        <v>20</v>
      </c>
      <c r="AL28" s="110">
        <v>2</v>
      </c>
      <c r="AM28" s="110">
        <v>20</v>
      </c>
      <c r="AN28" s="110">
        <v>2</v>
      </c>
      <c r="AO28" s="110">
        <v>20</v>
      </c>
      <c r="AP28" s="110">
        <v>2</v>
      </c>
      <c r="AQ28" s="110">
        <v>20</v>
      </c>
      <c r="AR28" s="110">
        <v>2</v>
      </c>
      <c r="AS28" s="110">
        <v>20</v>
      </c>
      <c r="AT28" s="110">
        <v>0</v>
      </c>
      <c r="AU28" s="110">
        <v>21</v>
      </c>
      <c r="AV28" s="110">
        <v>1</v>
      </c>
      <c r="AW28" s="110">
        <v>17</v>
      </c>
      <c r="AX28" s="110">
        <v>5</v>
      </c>
      <c r="AY28" s="166">
        <v>17</v>
      </c>
      <c r="AZ28" s="106"/>
    </row>
    <row r="29" spans="1:52">
      <c r="B29" s="136" t="s">
        <v>311</v>
      </c>
      <c r="C29" s="125">
        <v>2</v>
      </c>
      <c r="D29" s="125">
        <f>C$28</f>
        <v>20</v>
      </c>
      <c r="E29" s="125">
        <f t="shared" ref="E29:AY29" si="9">D$28</f>
        <v>2</v>
      </c>
      <c r="F29" s="125">
        <f t="shared" si="9"/>
        <v>20</v>
      </c>
      <c r="G29" s="125">
        <f t="shared" si="9"/>
        <v>2</v>
      </c>
      <c r="H29" s="125">
        <f t="shared" si="9"/>
        <v>20</v>
      </c>
      <c r="I29" s="125">
        <f t="shared" si="9"/>
        <v>2</v>
      </c>
      <c r="J29" s="125">
        <f t="shared" si="9"/>
        <v>20</v>
      </c>
      <c r="K29" s="125">
        <f t="shared" si="9"/>
        <v>2</v>
      </c>
      <c r="L29" s="125">
        <f t="shared" si="9"/>
        <v>20</v>
      </c>
      <c r="M29" s="125">
        <f t="shared" si="9"/>
        <v>2</v>
      </c>
      <c r="N29" s="125">
        <f t="shared" si="9"/>
        <v>20</v>
      </c>
      <c r="O29" s="125">
        <f t="shared" si="9"/>
        <v>2</v>
      </c>
      <c r="P29" s="125">
        <f t="shared" si="9"/>
        <v>20</v>
      </c>
      <c r="Q29" s="125">
        <f t="shared" si="9"/>
        <v>2</v>
      </c>
      <c r="R29" s="125">
        <f t="shared" si="9"/>
        <v>20</v>
      </c>
      <c r="S29" s="125">
        <f t="shared" si="9"/>
        <v>2</v>
      </c>
      <c r="T29" s="125">
        <f t="shared" si="9"/>
        <v>20</v>
      </c>
      <c r="U29" s="125">
        <f t="shared" si="9"/>
        <v>2</v>
      </c>
      <c r="V29" s="125">
        <f t="shared" si="9"/>
        <v>20</v>
      </c>
      <c r="W29" s="125">
        <f t="shared" si="9"/>
        <v>2</v>
      </c>
      <c r="X29" s="125">
        <f t="shared" si="9"/>
        <v>20</v>
      </c>
      <c r="Y29" s="125">
        <f t="shared" si="9"/>
        <v>2</v>
      </c>
      <c r="Z29" s="125">
        <f t="shared" si="9"/>
        <v>20</v>
      </c>
      <c r="AA29" s="125">
        <f t="shared" si="9"/>
        <v>2</v>
      </c>
      <c r="AB29" s="125">
        <f t="shared" si="9"/>
        <v>20</v>
      </c>
      <c r="AC29" s="125">
        <f t="shared" si="9"/>
        <v>2</v>
      </c>
      <c r="AD29" s="125">
        <f t="shared" si="9"/>
        <v>20</v>
      </c>
      <c r="AE29" s="125">
        <f t="shared" si="9"/>
        <v>2</v>
      </c>
      <c r="AF29" s="125">
        <f t="shared" si="9"/>
        <v>20</v>
      </c>
      <c r="AG29" s="125">
        <f t="shared" si="9"/>
        <v>2</v>
      </c>
      <c r="AH29" s="125">
        <f t="shared" si="9"/>
        <v>20</v>
      </c>
      <c r="AI29" s="125">
        <f t="shared" si="9"/>
        <v>2</v>
      </c>
      <c r="AJ29" s="125">
        <f t="shared" si="9"/>
        <v>20</v>
      </c>
      <c r="AK29" s="125">
        <f t="shared" si="9"/>
        <v>2</v>
      </c>
      <c r="AL29" s="125">
        <f t="shared" si="9"/>
        <v>20</v>
      </c>
      <c r="AM29" s="125">
        <f t="shared" si="9"/>
        <v>2</v>
      </c>
      <c r="AN29" s="125">
        <f t="shared" si="9"/>
        <v>20</v>
      </c>
      <c r="AO29" s="125">
        <f t="shared" si="9"/>
        <v>2</v>
      </c>
      <c r="AP29" s="125">
        <f t="shared" si="9"/>
        <v>20</v>
      </c>
      <c r="AQ29" s="125">
        <f t="shared" si="9"/>
        <v>2</v>
      </c>
      <c r="AR29" s="125">
        <f t="shared" si="9"/>
        <v>20</v>
      </c>
      <c r="AS29" s="125">
        <f t="shared" si="9"/>
        <v>2</v>
      </c>
      <c r="AT29" s="125">
        <f t="shared" si="9"/>
        <v>20</v>
      </c>
      <c r="AU29" s="125">
        <f t="shared" si="9"/>
        <v>0</v>
      </c>
      <c r="AV29" s="125">
        <f t="shared" si="9"/>
        <v>21</v>
      </c>
      <c r="AW29" s="125">
        <f t="shared" si="9"/>
        <v>1</v>
      </c>
      <c r="AX29" s="125">
        <f t="shared" si="9"/>
        <v>17</v>
      </c>
      <c r="AY29" s="167">
        <f t="shared" si="9"/>
        <v>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20</v>
      </c>
      <c r="E30" s="117">
        <f t="shared" ref="E30:AY30" si="10">E$27*$B$30</f>
        <v>200</v>
      </c>
      <c r="F30" s="117">
        <f t="shared" si="10"/>
        <v>20</v>
      </c>
      <c r="G30" s="117">
        <f t="shared" si="10"/>
        <v>200</v>
      </c>
      <c r="H30" s="117">
        <f t="shared" si="10"/>
        <v>20</v>
      </c>
      <c r="I30" s="117">
        <f t="shared" si="10"/>
        <v>200</v>
      </c>
      <c r="J30" s="117">
        <f t="shared" si="10"/>
        <v>20</v>
      </c>
      <c r="K30" s="117">
        <f t="shared" si="10"/>
        <v>200</v>
      </c>
      <c r="L30" s="117">
        <f t="shared" si="10"/>
        <v>20</v>
      </c>
      <c r="M30" s="117">
        <f t="shared" si="10"/>
        <v>200</v>
      </c>
      <c r="N30" s="117">
        <f t="shared" si="10"/>
        <v>20</v>
      </c>
      <c r="O30" s="117">
        <f t="shared" si="10"/>
        <v>200</v>
      </c>
      <c r="P30" s="117">
        <f t="shared" si="10"/>
        <v>20</v>
      </c>
      <c r="Q30" s="117">
        <f t="shared" si="10"/>
        <v>200</v>
      </c>
      <c r="R30" s="117">
        <f>R$27*$B$30</f>
        <v>20</v>
      </c>
      <c r="S30" s="117">
        <f t="shared" si="10"/>
        <v>200</v>
      </c>
      <c r="T30" s="117">
        <f t="shared" si="10"/>
        <v>20</v>
      </c>
      <c r="U30" s="117">
        <f t="shared" si="10"/>
        <v>200</v>
      </c>
      <c r="V30" s="117">
        <f t="shared" si="10"/>
        <v>20</v>
      </c>
      <c r="W30" s="117">
        <f t="shared" si="10"/>
        <v>200</v>
      </c>
      <c r="X30" s="117">
        <f t="shared" si="10"/>
        <v>20</v>
      </c>
      <c r="Y30" s="117">
        <f t="shared" si="10"/>
        <v>200</v>
      </c>
      <c r="Z30" s="117">
        <f t="shared" si="10"/>
        <v>20</v>
      </c>
      <c r="AA30" s="117">
        <f t="shared" si="10"/>
        <v>200</v>
      </c>
      <c r="AB30" s="117">
        <f t="shared" si="10"/>
        <v>20</v>
      </c>
      <c r="AC30" s="117">
        <f t="shared" si="10"/>
        <v>200</v>
      </c>
      <c r="AD30" s="117">
        <f t="shared" si="10"/>
        <v>20</v>
      </c>
      <c r="AE30" s="117">
        <f>AE$27*$B$30</f>
        <v>200</v>
      </c>
      <c r="AF30" s="117">
        <f t="shared" si="10"/>
        <v>20</v>
      </c>
      <c r="AG30" s="117">
        <f t="shared" si="10"/>
        <v>200</v>
      </c>
      <c r="AH30" s="117">
        <f t="shared" si="10"/>
        <v>20</v>
      </c>
      <c r="AI30" s="117">
        <f t="shared" si="10"/>
        <v>200</v>
      </c>
      <c r="AJ30" s="117">
        <f t="shared" si="10"/>
        <v>20</v>
      </c>
      <c r="AK30" s="117">
        <f t="shared" si="10"/>
        <v>200</v>
      </c>
      <c r="AL30" s="117">
        <f t="shared" si="10"/>
        <v>20</v>
      </c>
      <c r="AM30" s="117">
        <f t="shared" si="10"/>
        <v>200</v>
      </c>
      <c r="AN30" s="117">
        <f t="shared" si="10"/>
        <v>20</v>
      </c>
      <c r="AO30" s="117">
        <f t="shared" si="10"/>
        <v>200</v>
      </c>
      <c r="AP30" s="117">
        <f t="shared" si="10"/>
        <v>20</v>
      </c>
      <c r="AQ30" s="117">
        <f t="shared" si="10"/>
        <v>200</v>
      </c>
      <c r="AR30" s="117">
        <f t="shared" si="10"/>
        <v>20</v>
      </c>
      <c r="AS30" s="117">
        <f t="shared" si="10"/>
        <v>200</v>
      </c>
      <c r="AT30" s="117">
        <f t="shared" si="10"/>
        <v>20</v>
      </c>
      <c r="AU30" s="117">
        <f t="shared" si="10"/>
        <v>220</v>
      </c>
      <c r="AV30" s="117">
        <f t="shared" si="10"/>
        <v>10</v>
      </c>
      <c r="AW30" s="117">
        <f t="shared" si="10"/>
        <v>210</v>
      </c>
      <c r="AX30" s="117">
        <f t="shared" si="10"/>
        <v>50</v>
      </c>
      <c r="AY30" s="117">
        <f t="shared" si="10"/>
        <v>170</v>
      </c>
      <c r="AZ30" s="141">
        <f t="shared" si="5"/>
        <v>5300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94.433969565746708</v>
      </c>
      <c r="E33" s="124">
        <f>E$21*shipping_manufacturing!$D$27/100</f>
        <v>94.433969565746807</v>
      </c>
      <c r="F33" s="124">
        <f>F$21*shipping_manufacturing!$D$27/100</f>
        <v>94.433969565746807</v>
      </c>
      <c r="G33" s="124">
        <f>G$21*shipping_manufacturing!$D$27/100</f>
        <v>94.433969565746807</v>
      </c>
      <c r="H33" s="124">
        <f>H$21*shipping_manufacturing!$D$27/100</f>
        <v>94.433969565746807</v>
      </c>
      <c r="I33" s="124">
        <f>I$21*shipping_manufacturing!$D$27/100</f>
        <v>94.433969565746807</v>
      </c>
      <c r="J33" s="124">
        <f>J$21*shipping_manufacturing!$D$27/100</f>
        <v>94.433969565746807</v>
      </c>
      <c r="K33" s="124">
        <f>K$21*shipping_manufacturing!$D$27/100</f>
        <v>94.433969565746807</v>
      </c>
      <c r="L33" s="124">
        <f>L$21*shipping_manufacturing!$D$27/100</f>
        <v>94.433969565746807</v>
      </c>
      <c r="M33" s="124">
        <f>M$21*shipping_manufacturing!$D$27/100</f>
        <v>94.433969565746807</v>
      </c>
      <c r="N33" s="124">
        <f>N$21*shipping_manufacturing!$D$27/100</f>
        <v>94.433969565746807</v>
      </c>
      <c r="O33" s="124">
        <f>O$21*shipping_manufacturing!$D$27/100</f>
        <v>94.433969565746807</v>
      </c>
      <c r="P33" s="124">
        <f>P$21*shipping_manufacturing!$D$27/100</f>
        <v>94.433969565746807</v>
      </c>
      <c r="Q33" s="124">
        <f>Q$21*shipping_manufacturing!$D$27/100</f>
        <v>94.433969565746807</v>
      </c>
      <c r="R33" s="124">
        <f>R$21*shipping_manufacturing!$D$27/100</f>
        <v>94.433969565746807</v>
      </c>
      <c r="S33" s="124">
        <f>S$21*shipping_manufacturing!$D$27/100</f>
        <v>94.433969565746807</v>
      </c>
      <c r="T33" s="124">
        <f>T$21*shipping_manufacturing!$D$27/100</f>
        <v>94.433969565746807</v>
      </c>
      <c r="U33" s="124">
        <f>U$21*shipping_manufacturing!$D$27/100</f>
        <v>94.433969565746807</v>
      </c>
      <c r="V33" s="124">
        <f>V$21*shipping_manufacturing!$D$27/100</f>
        <v>94.433969565746807</v>
      </c>
      <c r="W33" s="124">
        <f>W$21*shipping_manufacturing!$D$27/100</f>
        <v>94.433969565746807</v>
      </c>
      <c r="X33" s="124">
        <f>X$21*shipping_manufacturing!$D$27/100</f>
        <v>94.433969565746807</v>
      </c>
      <c r="Y33" s="124">
        <f>Y$21*shipping_manufacturing!$D$27/100</f>
        <v>94.433969565746807</v>
      </c>
      <c r="Z33" s="124">
        <f>Z$21*shipping_manufacturing!$D$27/100</f>
        <v>94.433969565746807</v>
      </c>
      <c r="AA33" s="124">
        <f>AA$21*shipping_manufacturing!$D$27/100</f>
        <v>94.433969565746807</v>
      </c>
      <c r="AB33" s="124">
        <f>AB$21*shipping_manufacturing!$D$27/100</f>
        <v>94.433969565746807</v>
      </c>
      <c r="AC33" s="124">
        <f>AC$21*shipping_manufacturing!$D$27/100</f>
        <v>94.433969565746807</v>
      </c>
      <c r="AD33" s="124">
        <f>AD$21*shipping_manufacturing!$D$27/100</f>
        <v>94.433969565746807</v>
      </c>
      <c r="AE33" s="124">
        <f>AE$21*shipping_manufacturing!$D$27/100</f>
        <v>94.433969565746807</v>
      </c>
      <c r="AF33" s="124">
        <f>AF$21*shipping_manufacturing!$D$27/100</f>
        <v>94.433969565746807</v>
      </c>
      <c r="AG33" s="124">
        <f>AG$21*shipping_manufacturing!$D$27/100</f>
        <v>94.433969565746807</v>
      </c>
      <c r="AH33" s="124">
        <f>AH$21*shipping_manufacturing!$D$27/100</f>
        <v>94.433969565746807</v>
      </c>
      <c r="AI33" s="124">
        <f>AI$21*shipping_manufacturing!$D$27/100</f>
        <v>94.433969565746807</v>
      </c>
      <c r="AJ33" s="124">
        <f>AJ$21*shipping_manufacturing!$D$27/100</f>
        <v>94.433969565746807</v>
      </c>
      <c r="AK33" s="124">
        <f>AK$21*shipping_manufacturing!$D$27/100</f>
        <v>94.433969565746807</v>
      </c>
      <c r="AL33" s="124">
        <f>AL$21*shipping_manufacturing!$D$27/100</f>
        <v>94.433969565746807</v>
      </c>
      <c r="AM33" s="124">
        <f>AM$21*shipping_manufacturing!$D$27/100</f>
        <v>94.433969565746807</v>
      </c>
      <c r="AN33" s="124">
        <f>AN$21*shipping_manufacturing!$D$27/100</f>
        <v>94.433969565746807</v>
      </c>
      <c r="AO33" s="124">
        <f>AO$21*shipping_manufacturing!$D$27/100</f>
        <v>94.433969565746807</v>
      </c>
      <c r="AP33" s="124">
        <f>AP$21*shipping_manufacturing!$D$27/100</f>
        <v>94.433969565746807</v>
      </c>
      <c r="AQ33" s="124">
        <f>AQ$21*shipping_manufacturing!$D$27/100</f>
        <v>94.433969565746807</v>
      </c>
      <c r="AR33" s="124">
        <f>AR$21*shipping_manufacturing!$D$27/100</f>
        <v>94.433969565746807</v>
      </c>
      <c r="AS33" s="124">
        <f>AS$21*shipping_manufacturing!$D$27/100</f>
        <v>94.433969565746807</v>
      </c>
      <c r="AT33" s="124">
        <f>AT$21*shipping_manufacturing!$D$27/100</f>
        <v>0</v>
      </c>
      <c r="AU33" s="124">
        <f>AU$21*shipping_manufacturing!$D$27/100</f>
        <v>94.433969565746807</v>
      </c>
      <c r="AV33" s="124">
        <f>AV$21*shipping_manufacturing!$D$27/100</f>
        <v>94.433969565746807</v>
      </c>
      <c r="AW33" s="124">
        <f>AW$21*shipping_manufacturing!$D$27/100</f>
        <v>75.547175652597446</v>
      </c>
      <c r="AX33" s="124">
        <f>AX$21*shipping_manufacturing!$D$27/100</f>
        <v>75.547175652597446</v>
      </c>
      <c r="AY33" s="124">
        <f>AY$21*shipping_manufacturing!$D$27/100</f>
        <v>75.547175652597446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91.271976262025106</v>
      </c>
      <c r="E34" s="110">
        <f>E$22*shipping_manufacturing!$E$27/100</f>
        <v>91.271976262025177</v>
      </c>
      <c r="F34" s="110">
        <f>F$22*shipping_manufacturing!$E$27/100</f>
        <v>91.271976262025177</v>
      </c>
      <c r="G34" s="110">
        <f>G$22*shipping_manufacturing!$E$27/100</f>
        <v>91.271976262025177</v>
      </c>
      <c r="H34" s="110">
        <f>H$22*shipping_manufacturing!$E$27/100</f>
        <v>91.271976262025177</v>
      </c>
      <c r="I34" s="110">
        <f>I$22*shipping_manufacturing!$E$27/100</f>
        <v>91.271976262025177</v>
      </c>
      <c r="J34" s="110">
        <f>J$22*shipping_manufacturing!$E$27/100</f>
        <v>91.271976262025177</v>
      </c>
      <c r="K34" s="110">
        <f>K$22*shipping_manufacturing!$E$27/100</f>
        <v>91.271976262025177</v>
      </c>
      <c r="L34" s="110">
        <f>L$22*shipping_manufacturing!$E$27/100</f>
        <v>91.271976262025177</v>
      </c>
      <c r="M34" s="110">
        <f>M$22*shipping_manufacturing!$E$27/100</f>
        <v>91.271976262025177</v>
      </c>
      <c r="N34" s="110">
        <f>N$22*shipping_manufacturing!$E$27/100</f>
        <v>91.271976262025177</v>
      </c>
      <c r="O34" s="110">
        <f>O$22*shipping_manufacturing!$E$27/100</f>
        <v>91.271976262025177</v>
      </c>
      <c r="P34" s="110">
        <f>P$22*shipping_manufacturing!$E$27/100</f>
        <v>91.271976262025177</v>
      </c>
      <c r="Q34" s="110">
        <f>Q$22*shipping_manufacturing!$E$27/100</f>
        <v>91.271976262025177</v>
      </c>
      <c r="R34" s="110">
        <f>R$22*shipping_manufacturing!$E$27/100</f>
        <v>91.271976262025177</v>
      </c>
      <c r="S34" s="110">
        <f>S$22*shipping_manufacturing!$E$27/100</f>
        <v>91.271976262025177</v>
      </c>
      <c r="T34" s="110">
        <f>T$22*shipping_manufacturing!$E$27/100</f>
        <v>91.271976262025177</v>
      </c>
      <c r="U34" s="110">
        <f>U$22*shipping_manufacturing!$E$27/100</f>
        <v>91.271976262025177</v>
      </c>
      <c r="V34" s="110">
        <f>V$22*shipping_manufacturing!$E$27/100</f>
        <v>91.271976262025177</v>
      </c>
      <c r="W34" s="110">
        <f>W$22*shipping_manufacturing!$E$27/100</f>
        <v>91.271976262025177</v>
      </c>
      <c r="X34" s="110">
        <f>X$22*shipping_manufacturing!$E$27/100</f>
        <v>91.271976262025177</v>
      </c>
      <c r="Y34" s="110">
        <f>Y$22*shipping_manufacturing!$E$27/100</f>
        <v>91.271976262025177</v>
      </c>
      <c r="Z34" s="110">
        <f>Z$22*shipping_manufacturing!$E$27/100</f>
        <v>91.271976262025177</v>
      </c>
      <c r="AA34" s="110">
        <f>AA$22*shipping_manufacturing!$E$27/100</f>
        <v>91.271976262025177</v>
      </c>
      <c r="AB34" s="110">
        <f>AB$22*shipping_manufacturing!$E$27/100</f>
        <v>91.271976262025177</v>
      </c>
      <c r="AC34" s="110">
        <f>AC$22*shipping_manufacturing!$E$27/100</f>
        <v>91.271976262025177</v>
      </c>
      <c r="AD34" s="110">
        <f>AD$22*shipping_manufacturing!$E$27/100</f>
        <v>91.271976262025177</v>
      </c>
      <c r="AE34" s="110">
        <f>AE$22*shipping_manufacturing!$E$27/100</f>
        <v>91.271976262025177</v>
      </c>
      <c r="AF34" s="110">
        <f>AF$22*shipping_manufacturing!$E$27/100</f>
        <v>91.271976262025177</v>
      </c>
      <c r="AG34" s="110">
        <f>AG$22*shipping_manufacturing!$E$27/100</f>
        <v>91.271976262025177</v>
      </c>
      <c r="AH34" s="110">
        <f>AH$22*shipping_manufacturing!$E$27/100</f>
        <v>91.271976262025177</v>
      </c>
      <c r="AI34" s="110">
        <f>AI$22*shipping_manufacturing!$E$27/100</f>
        <v>91.271976262025177</v>
      </c>
      <c r="AJ34" s="110">
        <f>AJ$22*shipping_manufacturing!$E$27/100</f>
        <v>91.271976262025177</v>
      </c>
      <c r="AK34" s="110">
        <f>AK$22*shipping_manufacturing!$E$27/100</f>
        <v>91.271976262025177</v>
      </c>
      <c r="AL34" s="110">
        <f>AL$22*shipping_manufacturing!$E$27/100</f>
        <v>91.271976262025177</v>
      </c>
      <c r="AM34" s="110">
        <f>AM$22*shipping_manufacturing!$E$27/100</f>
        <v>91.271976262025177</v>
      </c>
      <c r="AN34" s="110">
        <f>AN$22*shipping_manufacturing!$E$27/100</f>
        <v>91.271976262025177</v>
      </c>
      <c r="AO34" s="110">
        <f>AO$22*shipping_manufacturing!$E$27/100</f>
        <v>91.271976262025177</v>
      </c>
      <c r="AP34" s="110">
        <f>AP$22*shipping_manufacturing!$E$27/100</f>
        <v>91.271976262025177</v>
      </c>
      <c r="AQ34" s="110">
        <f>AQ$22*shipping_manufacturing!$E$27/100</f>
        <v>91.271976262025177</v>
      </c>
      <c r="AR34" s="110">
        <f>AR$22*shipping_manufacturing!$E$27/100</f>
        <v>91.271976262025177</v>
      </c>
      <c r="AS34" s="110">
        <f>AS$22*shipping_manufacturing!$E$27/100</f>
        <v>91.271976262025177</v>
      </c>
      <c r="AT34" s="110">
        <f>AT$22*shipping_manufacturing!$E$27/100</f>
        <v>0</v>
      </c>
      <c r="AU34" s="110">
        <f>AU$22*shipping_manufacturing!$E$27/100</f>
        <v>91.271976262025177</v>
      </c>
      <c r="AV34" s="110">
        <f>AV$22*shipping_manufacturing!$E$27/100</f>
        <v>91.271976262025177</v>
      </c>
      <c r="AW34" s="110">
        <f>AW$22*shipping_manufacturing!$E$27/100</f>
        <v>73.017581009620159</v>
      </c>
      <c r="AX34" s="110">
        <f>AX$22*shipping_manufacturing!$E$27/100</f>
        <v>73.017581009620159</v>
      </c>
      <c r="AY34" s="110">
        <f>AY$22*shipping_manufacturing!$E$27/100</f>
        <v>73.017581009620159</v>
      </c>
    </row>
    <row r="35" spans="1:52">
      <c r="A35" s="110">
        <v>1225</v>
      </c>
      <c r="B35" s="165" t="s">
        <v>343</v>
      </c>
      <c r="C35" s="110"/>
      <c r="D35" s="110">
        <f>SUM(D33:D34)</f>
        <v>185.70594582777181</v>
      </c>
      <c r="E35" s="110">
        <f t="shared" ref="E35:AY35" si="11">SUM(E33:E34)</f>
        <v>185.70594582777198</v>
      </c>
      <c r="F35" s="110">
        <f t="shared" si="11"/>
        <v>185.70594582777198</v>
      </c>
      <c r="G35" s="110">
        <f t="shared" si="11"/>
        <v>185.70594582777198</v>
      </c>
      <c r="H35" s="110">
        <f t="shared" si="11"/>
        <v>185.70594582777198</v>
      </c>
      <c r="I35" s="110">
        <f t="shared" si="11"/>
        <v>185.70594582777198</v>
      </c>
      <c r="J35" s="110">
        <f t="shared" si="11"/>
        <v>185.70594582777198</v>
      </c>
      <c r="K35" s="110">
        <f t="shared" si="11"/>
        <v>185.70594582777198</v>
      </c>
      <c r="L35" s="110">
        <f t="shared" si="11"/>
        <v>185.70594582777198</v>
      </c>
      <c r="M35" s="110">
        <f t="shared" si="11"/>
        <v>185.70594582777198</v>
      </c>
      <c r="N35" s="110">
        <f t="shared" si="11"/>
        <v>185.70594582777198</v>
      </c>
      <c r="O35" s="110">
        <f t="shared" si="11"/>
        <v>185.70594582777198</v>
      </c>
      <c r="P35" s="110">
        <f t="shared" si="11"/>
        <v>185.70594582777198</v>
      </c>
      <c r="Q35" s="110">
        <f t="shared" si="11"/>
        <v>185.70594582777198</v>
      </c>
      <c r="R35" s="110">
        <f t="shared" si="11"/>
        <v>185.70594582777198</v>
      </c>
      <c r="S35" s="110">
        <f t="shared" si="11"/>
        <v>185.70594582777198</v>
      </c>
      <c r="T35" s="110">
        <f t="shared" si="11"/>
        <v>185.70594582777198</v>
      </c>
      <c r="U35" s="110">
        <f t="shared" si="11"/>
        <v>185.70594582777198</v>
      </c>
      <c r="V35" s="110">
        <f t="shared" si="11"/>
        <v>185.70594582777198</v>
      </c>
      <c r="W35" s="110">
        <f t="shared" si="11"/>
        <v>185.70594582777198</v>
      </c>
      <c r="X35" s="110">
        <f t="shared" si="11"/>
        <v>185.70594582777198</v>
      </c>
      <c r="Y35" s="110">
        <f t="shared" si="11"/>
        <v>185.70594582777198</v>
      </c>
      <c r="Z35" s="110">
        <f t="shared" si="11"/>
        <v>185.70594582777198</v>
      </c>
      <c r="AA35" s="110">
        <f t="shared" si="11"/>
        <v>185.70594582777198</v>
      </c>
      <c r="AB35" s="110">
        <f t="shared" si="11"/>
        <v>185.70594582777198</v>
      </c>
      <c r="AC35" s="110">
        <f t="shared" si="11"/>
        <v>185.70594582777198</v>
      </c>
      <c r="AD35" s="110">
        <f t="shared" si="11"/>
        <v>185.70594582777198</v>
      </c>
      <c r="AE35" s="110">
        <f t="shared" si="11"/>
        <v>185.70594582777198</v>
      </c>
      <c r="AF35" s="110">
        <f t="shared" si="11"/>
        <v>185.70594582777198</v>
      </c>
      <c r="AG35" s="110">
        <f t="shared" si="11"/>
        <v>185.70594582777198</v>
      </c>
      <c r="AH35" s="110">
        <f t="shared" si="11"/>
        <v>185.70594582777198</v>
      </c>
      <c r="AI35" s="110">
        <f t="shared" si="11"/>
        <v>185.70594582777198</v>
      </c>
      <c r="AJ35" s="110">
        <f t="shared" si="11"/>
        <v>185.70594582777198</v>
      </c>
      <c r="AK35" s="110">
        <f t="shared" si="11"/>
        <v>185.70594582777198</v>
      </c>
      <c r="AL35" s="110">
        <f t="shared" si="11"/>
        <v>185.70594582777198</v>
      </c>
      <c r="AM35" s="110">
        <f t="shared" si="11"/>
        <v>185.70594582777198</v>
      </c>
      <c r="AN35" s="110">
        <f t="shared" si="11"/>
        <v>185.70594582777198</v>
      </c>
      <c r="AO35" s="110">
        <f t="shared" si="11"/>
        <v>185.70594582777198</v>
      </c>
      <c r="AP35" s="110">
        <f t="shared" si="11"/>
        <v>185.70594582777198</v>
      </c>
      <c r="AQ35" s="110">
        <f t="shared" si="11"/>
        <v>185.70594582777198</v>
      </c>
      <c r="AR35" s="110">
        <f t="shared" si="11"/>
        <v>185.70594582777198</v>
      </c>
      <c r="AS35" s="110">
        <f t="shared" si="11"/>
        <v>185.70594582777198</v>
      </c>
      <c r="AT35" s="110">
        <f t="shared" si="11"/>
        <v>0</v>
      </c>
      <c r="AU35" s="110">
        <f t="shared" si="11"/>
        <v>185.70594582777198</v>
      </c>
      <c r="AV35" s="110">
        <f t="shared" si="11"/>
        <v>185.70594582777198</v>
      </c>
      <c r="AW35" s="110">
        <f t="shared" si="11"/>
        <v>148.5647566622176</v>
      </c>
      <c r="AX35" s="110">
        <f t="shared" si="11"/>
        <v>148.5647566622176</v>
      </c>
      <c r="AY35" s="110">
        <f t="shared" si="11"/>
        <v>148.5647566622176</v>
      </c>
    </row>
    <row r="36" spans="1:52">
      <c r="A36" s="110"/>
      <c r="B36" s="165" t="s">
        <v>344</v>
      </c>
      <c r="C36" s="110"/>
      <c r="D36" s="110"/>
      <c r="E36" s="110">
        <v>91.532419417517588</v>
      </c>
      <c r="F36" s="110"/>
      <c r="G36" s="110">
        <v>91.532419417517588</v>
      </c>
      <c r="H36" s="110"/>
      <c r="I36" s="110">
        <v>91.532419417517588</v>
      </c>
      <c r="J36" s="110"/>
      <c r="K36" s="110">
        <v>91.532419417517588</v>
      </c>
      <c r="L36" s="110"/>
      <c r="M36" s="110">
        <v>91.532419417517588</v>
      </c>
      <c r="N36" s="110"/>
      <c r="O36" s="110">
        <v>91.532419417517588</v>
      </c>
      <c r="P36" s="110"/>
      <c r="Q36" s="110">
        <v>91.532419417517588</v>
      </c>
      <c r="R36" s="110"/>
      <c r="S36" s="110">
        <v>91.532419417517588</v>
      </c>
      <c r="T36" s="110"/>
      <c r="U36" s="110">
        <v>91.532419417517588</v>
      </c>
      <c r="V36" s="110"/>
      <c r="W36" s="110">
        <v>91.532419417517588</v>
      </c>
      <c r="X36" s="110"/>
      <c r="Y36" s="110">
        <v>91.532419417517588</v>
      </c>
      <c r="Z36" s="110"/>
      <c r="AA36" s="110">
        <v>91.532419417517588</v>
      </c>
      <c r="AB36" s="110"/>
      <c r="AC36" s="110">
        <v>91.532419417517588</v>
      </c>
      <c r="AD36" s="110"/>
      <c r="AE36" s="110">
        <v>91.532419417517588</v>
      </c>
      <c r="AF36" s="110"/>
      <c r="AG36" s="110">
        <v>91.532419417517588</v>
      </c>
      <c r="AH36" s="110"/>
      <c r="AI36" s="110">
        <v>91.532419417517588</v>
      </c>
      <c r="AJ36" s="110"/>
      <c r="AK36" s="110">
        <v>91.532419417517588</v>
      </c>
      <c r="AL36" s="110"/>
      <c r="AM36" s="110">
        <v>91.532419417517588</v>
      </c>
      <c r="AN36" s="110"/>
      <c r="AO36" s="110">
        <v>91.532419417517588</v>
      </c>
      <c r="AP36" s="110"/>
      <c r="AQ36" s="110">
        <v>91.532419417517588</v>
      </c>
      <c r="AR36" s="110"/>
      <c r="AS36" s="110">
        <v>91.532419417517588</v>
      </c>
      <c r="AT36" s="110"/>
      <c r="AU36" s="110">
        <v>94.433969565746807</v>
      </c>
      <c r="AV36" s="110"/>
      <c r="AW36" s="110">
        <v>75.547175652597446</v>
      </c>
      <c r="AX36" s="110"/>
      <c r="AY36" s="110">
        <v>75.547175652597446</v>
      </c>
    </row>
    <row r="37" spans="1:52">
      <c r="A37" s="110"/>
      <c r="B37" s="165" t="s">
        <v>345</v>
      </c>
      <c r="C37" s="110"/>
      <c r="D37" s="110"/>
      <c r="E37" s="110">
        <v>88.467580582482412</v>
      </c>
      <c r="F37" s="110"/>
      <c r="G37" s="110">
        <v>88.467580582482412</v>
      </c>
      <c r="H37" s="110"/>
      <c r="I37" s="110">
        <v>88.467580582482412</v>
      </c>
      <c r="J37" s="110"/>
      <c r="K37" s="110">
        <v>88.467580582482412</v>
      </c>
      <c r="L37" s="110"/>
      <c r="M37" s="110">
        <v>88.467580582482412</v>
      </c>
      <c r="N37" s="110"/>
      <c r="O37" s="110">
        <v>88.467580582482412</v>
      </c>
      <c r="P37" s="110"/>
      <c r="Q37" s="110">
        <v>88.467580582482412</v>
      </c>
      <c r="R37" s="110"/>
      <c r="S37" s="110">
        <v>88.467580582482412</v>
      </c>
      <c r="T37" s="110"/>
      <c r="U37" s="110">
        <v>88.467580582482412</v>
      </c>
      <c r="V37" s="110"/>
      <c r="W37" s="110">
        <v>88.467580582482412</v>
      </c>
      <c r="X37" s="110"/>
      <c r="Y37" s="110">
        <v>88.467580582482412</v>
      </c>
      <c r="Z37" s="110"/>
      <c r="AA37" s="110">
        <v>88.467580582482412</v>
      </c>
      <c r="AB37" s="110"/>
      <c r="AC37" s="110">
        <v>88.467580582482412</v>
      </c>
      <c r="AD37" s="110"/>
      <c r="AE37" s="110">
        <v>88.467580582482412</v>
      </c>
      <c r="AF37" s="110"/>
      <c r="AG37" s="110">
        <v>88.467580582482412</v>
      </c>
      <c r="AH37" s="110"/>
      <c r="AI37" s="110">
        <v>88.467580582482412</v>
      </c>
      <c r="AJ37" s="110"/>
      <c r="AK37" s="110">
        <v>88.467580582482412</v>
      </c>
      <c r="AL37" s="110"/>
      <c r="AM37" s="110">
        <v>88.467580582482412</v>
      </c>
      <c r="AN37" s="110"/>
      <c r="AO37" s="110">
        <v>88.467580582482412</v>
      </c>
      <c r="AP37" s="110"/>
      <c r="AQ37" s="110">
        <v>88.467580582482412</v>
      </c>
      <c r="AR37" s="110"/>
      <c r="AS37" s="110">
        <v>88.467580582482412</v>
      </c>
      <c r="AT37" s="110"/>
      <c r="AU37" s="110">
        <v>91.271976262025177</v>
      </c>
      <c r="AV37" s="110"/>
      <c r="AW37" s="110">
        <v>73.017581009620159</v>
      </c>
      <c r="AX37" s="110"/>
      <c r="AY37" s="110">
        <v>73.017581009620159</v>
      </c>
    </row>
    <row r="38" spans="1:52">
      <c r="A38" s="110"/>
      <c r="B38" s="165" t="s">
        <v>346</v>
      </c>
      <c r="C38" s="110"/>
      <c r="D38" s="110"/>
      <c r="E38" s="110">
        <v>6</v>
      </c>
      <c r="F38" s="110"/>
      <c r="G38" s="110">
        <v>6</v>
      </c>
      <c r="H38" s="110"/>
      <c r="I38" s="110">
        <v>6</v>
      </c>
      <c r="J38" s="110"/>
      <c r="K38" s="110">
        <v>6</v>
      </c>
      <c r="L38" s="110"/>
      <c r="M38" s="110">
        <v>6</v>
      </c>
      <c r="N38" s="110"/>
      <c r="O38" s="110">
        <v>6</v>
      </c>
      <c r="P38" s="110"/>
      <c r="Q38" s="110">
        <v>6</v>
      </c>
      <c r="R38" s="110"/>
      <c r="S38" s="110">
        <v>6</v>
      </c>
      <c r="T38" s="110"/>
      <c r="U38" s="110">
        <v>6</v>
      </c>
      <c r="V38" s="110"/>
      <c r="W38" s="110">
        <v>6</v>
      </c>
      <c r="X38" s="110"/>
      <c r="Y38" s="110">
        <v>6</v>
      </c>
      <c r="Z38" s="110"/>
      <c r="AA38" s="110">
        <v>6</v>
      </c>
      <c r="AB38" s="110"/>
      <c r="AC38" s="110">
        <v>6</v>
      </c>
      <c r="AD38" s="110"/>
      <c r="AE38" s="110">
        <v>6</v>
      </c>
      <c r="AF38" s="110"/>
      <c r="AG38" s="110">
        <v>6</v>
      </c>
      <c r="AH38" s="110"/>
      <c r="AI38" s="110">
        <v>6</v>
      </c>
      <c r="AJ38" s="110"/>
      <c r="AK38" s="110">
        <v>6</v>
      </c>
      <c r="AL38" s="110"/>
      <c r="AM38" s="110">
        <v>6</v>
      </c>
      <c r="AN38" s="110"/>
      <c r="AO38" s="110">
        <v>6</v>
      </c>
      <c r="AP38" s="110"/>
      <c r="AQ38" s="110">
        <v>6</v>
      </c>
      <c r="AR38" s="110"/>
      <c r="AS38" s="110">
        <v>6</v>
      </c>
      <c r="AT38" s="110"/>
      <c r="AU38" s="110">
        <v>7</v>
      </c>
      <c r="AV38" s="110"/>
      <c r="AW38" s="110">
        <v>5</v>
      </c>
      <c r="AX38" s="110"/>
      <c r="AY38" s="110">
        <v>5</v>
      </c>
    </row>
    <row r="39" spans="1:52">
      <c r="A39" s="110"/>
      <c r="B39" s="165" t="s">
        <v>347</v>
      </c>
      <c r="C39" s="110"/>
      <c r="D39" s="110">
        <f>D33-D36</f>
        <v>94.433969565746708</v>
      </c>
      <c r="E39" s="110">
        <f t="shared" ref="E39:AY39" si="12">E33-E36</f>
        <v>2.9015501482292194</v>
      </c>
      <c r="F39" s="110">
        <f t="shared" si="12"/>
        <v>94.433969565746807</v>
      </c>
      <c r="G39" s="110">
        <f t="shared" si="12"/>
        <v>2.9015501482292194</v>
      </c>
      <c r="H39" s="110">
        <f t="shared" si="12"/>
        <v>94.433969565746807</v>
      </c>
      <c r="I39" s="110">
        <f t="shared" si="12"/>
        <v>2.9015501482292194</v>
      </c>
      <c r="J39" s="110">
        <f t="shared" si="12"/>
        <v>94.433969565746807</v>
      </c>
      <c r="K39" s="110">
        <f t="shared" si="12"/>
        <v>2.9015501482292194</v>
      </c>
      <c r="L39" s="110">
        <f t="shared" si="12"/>
        <v>94.433969565746807</v>
      </c>
      <c r="M39" s="110">
        <f t="shared" si="12"/>
        <v>2.9015501482292194</v>
      </c>
      <c r="N39" s="110">
        <f t="shared" si="12"/>
        <v>94.433969565746807</v>
      </c>
      <c r="O39" s="110">
        <f t="shared" si="12"/>
        <v>2.9015501482292194</v>
      </c>
      <c r="P39" s="110">
        <f t="shared" si="12"/>
        <v>94.433969565746807</v>
      </c>
      <c r="Q39" s="110">
        <f t="shared" si="12"/>
        <v>2.9015501482292194</v>
      </c>
      <c r="R39" s="110">
        <f t="shared" si="12"/>
        <v>94.433969565746807</v>
      </c>
      <c r="S39" s="110">
        <f t="shared" si="12"/>
        <v>2.9015501482292194</v>
      </c>
      <c r="T39" s="110">
        <f t="shared" si="12"/>
        <v>94.433969565746807</v>
      </c>
      <c r="U39" s="110">
        <f t="shared" si="12"/>
        <v>2.9015501482292194</v>
      </c>
      <c r="V39" s="110">
        <f t="shared" si="12"/>
        <v>94.433969565746807</v>
      </c>
      <c r="W39" s="110">
        <f t="shared" si="12"/>
        <v>2.9015501482292194</v>
      </c>
      <c r="X39" s="110">
        <f t="shared" si="12"/>
        <v>94.433969565746807</v>
      </c>
      <c r="Y39" s="110">
        <f t="shared" si="12"/>
        <v>2.9015501482292194</v>
      </c>
      <c r="Z39" s="110">
        <f t="shared" si="12"/>
        <v>94.433969565746807</v>
      </c>
      <c r="AA39" s="110">
        <f t="shared" si="12"/>
        <v>2.9015501482292194</v>
      </c>
      <c r="AB39" s="110">
        <f t="shared" si="12"/>
        <v>94.433969565746807</v>
      </c>
      <c r="AC39" s="110">
        <f t="shared" si="12"/>
        <v>2.9015501482292194</v>
      </c>
      <c r="AD39" s="110">
        <f t="shared" si="12"/>
        <v>94.433969565746807</v>
      </c>
      <c r="AE39" s="110">
        <f t="shared" si="12"/>
        <v>2.9015501482292194</v>
      </c>
      <c r="AF39" s="110">
        <f t="shared" si="12"/>
        <v>94.433969565746807</v>
      </c>
      <c r="AG39" s="110">
        <f t="shared" si="12"/>
        <v>2.9015501482292194</v>
      </c>
      <c r="AH39" s="110">
        <f t="shared" si="12"/>
        <v>94.433969565746807</v>
      </c>
      <c r="AI39" s="110">
        <f t="shared" si="12"/>
        <v>2.9015501482292194</v>
      </c>
      <c r="AJ39" s="110">
        <f t="shared" si="12"/>
        <v>94.433969565746807</v>
      </c>
      <c r="AK39" s="110">
        <f t="shared" si="12"/>
        <v>2.9015501482292194</v>
      </c>
      <c r="AL39" s="110">
        <f t="shared" si="12"/>
        <v>94.433969565746807</v>
      </c>
      <c r="AM39" s="110">
        <f t="shared" si="12"/>
        <v>2.9015501482292194</v>
      </c>
      <c r="AN39" s="110">
        <f t="shared" si="12"/>
        <v>94.433969565746807</v>
      </c>
      <c r="AO39" s="110">
        <f t="shared" si="12"/>
        <v>2.9015501482292194</v>
      </c>
      <c r="AP39" s="110">
        <f t="shared" si="12"/>
        <v>94.433969565746807</v>
      </c>
      <c r="AQ39" s="110">
        <f t="shared" si="12"/>
        <v>2.9015501482292194</v>
      </c>
      <c r="AR39" s="110">
        <f t="shared" si="12"/>
        <v>94.433969565746807</v>
      </c>
      <c r="AS39" s="110">
        <f t="shared" si="12"/>
        <v>2.9015501482292194</v>
      </c>
      <c r="AT39" s="110">
        <f t="shared" si="12"/>
        <v>0</v>
      </c>
      <c r="AU39" s="110">
        <f t="shared" si="12"/>
        <v>0</v>
      </c>
      <c r="AV39" s="110">
        <f t="shared" si="12"/>
        <v>94.433969565746807</v>
      </c>
      <c r="AW39" s="110">
        <f t="shared" si="12"/>
        <v>0</v>
      </c>
      <c r="AX39" s="110">
        <f t="shared" si="12"/>
        <v>75.547175652597446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91.271976262025106</v>
      </c>
      <c r="E40" s="110">
        <f t="shared" ref="E40:AY40" si="13">E34-E37</f>
        <v>2.8043956795427647</v>
      </c>
      <c r="F40" s="110">
        <f t="shared" si="13"/>
        <v>91.271976262025177</v>
      </c>
      <c r="G40" s="110">
        <f t="shared" si="13"/>
        <v>2.8043956795427647</v>
      </c>
      <c r="H40" s="110">
        <f t="shared" si="13"/>
        <v>91.271976262025177</v>
      </c>
      <c r="I40" s="110">
        <f t="shared" si="13"/>
        <v>2.8043956795427647</v>
      </c>
      <c r="J40" s="110">
        <f t="shared" si="13"/>
        <v>91.271976262025177</v>
      </c>
      <c r="K40" s="110">
        <f t="shared" si="13"/>
        <v>2.8043956795427647</v>
      </c>
      <c r="L40" s="110">
        <f t="shared" si="13"/>
        <v>91.271976262025177</v>
      </c>
      <c r="M40" s="110">
        <f t="shared" si="13"/>
        <v>2.8043956795427647</v>
      </c>
      <c r="N40" s="110">
        <f t="shared" si="13"/>
        <v>91.271976262025177</v>
      </c>
      <c r="O40" s="110">
        <f t="shared" si="13"/>
        <v>2.8043956795427647</v>
      </c>
      <c r="P40" s="110">
        <f t="shared" si="13"/>
        <v>91.271976262025177</v>
      </c>
      <c r="Q40" s="110">
        <f t="shared" si="13"/>
        <v>2.8043956795427647</v>
      </c>
      <c r="R40" s="110">
        <f t="shared" si="13"/>
        <v>91.271976262025177</v>
      </c>
      <c r="S40" s="110">
        <f t="shared" si="13"/>
        <v>2.8043956795427647</v>
      </c>
      <c r="T40" s="110">
        <f t="shared" si="13"/>
        <v>91.271976262025177</v>
      </c>
      <c r="U40" s="110">
        <f t="shared" si="13"/>
        <v>2.8043956795427647</v>
      </c>
      <c r="V40" s="110">
        <f t="shared" si="13"/>
        <v>91.271976262025177</v>
      </c>
      <c r="W40" s="110">
        <f t="shared" si="13"/>
        <v>2.8043956795427647</v>
      </c>
      <c r="X40" s="110">
        <f t="shared" si="13"/>
        <v>91.271976262025177</v>
      </c>
      <c r="Y40" s="110">
        <f t="shared" si="13"/>
        <v>2.8043956795427647</v>
      </c>
      <c r="Z40" s="110">
        <f t="shared" si="13"/>
        <v>91.271976262025177</v>
      </c>
      <c r="AA40" s="110">
        <f t="shared" si="13"/>
        <v>2.8043956795427647</v>
      </c>
      <c r="AB40" s="110">
        <f t="shared" si="13"/>
        <v>91.271976262025177</v>
      </c>
      <c r="AC40" s="110">
        <f t="shared" si="13"/>
        <v>2.8043956795427647</v>
      </c>
      <c r="AD40" s="110">
        <f t="shared" si="13"/>
        <v>91.271976262025177</v>
      </c>
      <c r="AE40" s="110">
        <f t="shared" si="13"/>
        <v>2.8043956795427647</v>
      </c>
      <c r="AF40" s="110">
        <f t="shared" si="13"/>
        <v>91.271976262025177</v>
      </c>
      <c r="AG40" s="110">
        <f t="shared" si="13"/>
        <v>2.8043956795427647</v>
      </c>
      <c r="AH40" s="110">
        <f t="shared" si="13"/>
        <v>91.271976262025177</v>
      </c>
      <c r="AI40" s="110">
        <f t="shared" si="13"/>
        <v>2.8043956795427647</v>
      </c>
      <c r="AJ40" s="110">
        <f t="shared" si="13"/>
        <v>91.271976262025177</v>
      </c>
      <c r="AK40" s="110">
        <f t="shared" si="13"/>
        <v>2.8043956795427647</v>
      </c>
      <c r="AL40" s="110">
        <f t="shared" si="13"/>
        <v>91.271976262025177</v>
      </c>
      <c r="AM40" s="110">
        <f t="shared" si="13"/>
        <v>2.8043956795427647</v>
      </c>
      <c r="AN40" s="110">
        <f t="shared" si="13"/>
        <v>91.271976262025177</v>
      </c>
      <c r="AO40" s="110">
        <f t="shared" si="13"/>
        <v>2.8043956795427647</v>
      </c>
      <c r="AP40" s="110">
        <f t="shared" si="13"/>
        <v>91.271976262025177</v>
      </c>
      <c r="AQ40" s="110">
        <f t="shared" si="13"/>
        <v>2.8043956795427647</v>
      </c>
      <c r="AR40" s="110">
        <f t="shared" si="13"/>
        <v>91.271976262025177</v>
      </c>
      <c r="AS40" s="110">
        <f t="shared" si="13"/>
        <v>2.8043956795427647</v>
      </c>
      <c r="AT40" s="110">
        <f t="shared" si="13"/>
        <v>0</v>
      </c>
      <c r="AU40" s="110">
        <f t="shared" si="13"/>
        <v>0</v>
      </c>
      <c r="AV40" s="110">
        <f t="shared" si="13"/>
        <v>91.271976262025177</v>
      </c>
      <c r="AW40" s="110">
        <f t="shared" si="13"/>
        <v>0</v>
      </c>
      <c r="AX40" s="110">
        <f t="shared" si="13"/>
        <v>73.017581009620159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1</v>
      </c>
      <c r="I41" s="110">
        <v>1</v>
      </c>
      <c r="J41" s="110">
        <v>2</v>
      </c>
      <c r="K41" s="110">
        <v>2</v>
      </c>
      <c r="L41" s="110">
        <v>2</v>
      </c>
      <c r="M41" s="110">
        <v>2</v>
      </c>
      <c r="N41" s="110">
        <v>3</v>
      </c>
      <c r="O41" s="110">
        <v>2</v>
      </c>
      <c r="P41" s="110">
        <v>1</v>
      </c>
      <c r="Q41" s="110">
        <v>1</v>
      </c>
      <c r="R41" s="110">
        <v>1</v>
      </c>
      <c r="S41" s="110">
        <v>2</v>
      </c>
      <c r="T41" s="110">
        <v>1</v>
      </c>
      <c r="U41" s="110">
        <v>1</v>
      </c>
      <c r="V41" s="110">
        <v>3</v>
      </c>
      <c r="W41" s="110">
        <v>1</v>
      </c>
      <c r="X41" s="110">
        <v>1</v>
      </c>
      <c r="Y41" s="110">
        <v>1</v>
      </c>
      <c r="Z41" s="110">
        <v>2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1</v>
      </c>
      <c r="AG41" s="110">
        <v>2</v>
      </c>
      <c r="AH41" s="110">
        <v>3</v>
      </c>
      <c r="AI41" s="110">
        <v>1</v>
      </c>
      <c r="AJ41" s="110">
        <v>1</v>
      </c>
      <c r="AK41" s="110">
        <v>2</v>
      </c>
      <c r="AL41" s="110">
        <v>1</v>
      </c>
      <c r="AM41" s="110">
        <v>1</v>
      </c>
      <c r="AN41" s="110">
        <v>2</v>
      </c>
      <c r="AO41" s="110">
        <v>1</v>
      </c>
      <c r="AP41" s="110">
        <v>3</v>
      </c>
      <c r="AQ41" s="110">
        <v>1</v>
      </c>
      <c r="AR41" s="110">
        <v>1</v>
      </c>
      <c r="AS41" s="110">
        <v>2</v>
      </c>
      <c r="AT41" s="110">
        <v>2</v>
      </c>
      <c r="AU41" s="110">
        <v>1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264600</v>
      </c>
      <c r="F42" s="110">
        <v>0</v>
      </c>
      <c r="G42" s="110">
        <v>264600</v>
      </c>
      <c r="H42" s="110">
        <v>0</v>
      </c>
      <c r="I42" s="110">
        <v>264600</v>
      </c>
      <c r="J42" s="110">
        <v>0</v>
      </c>
      <c r="K42" s="110">
        <v>264600</v>
      </c>
      <c r="L42" s="110">
        <v>0</v>
      </c>
      <c r="M42" s="110">
        <v>264600</v>
      </c>
      <c r="N42" s="110">
        <v>0</v>
      </c>
      <c r="O42" s="110">
        <v>264600</v>
      </c>
      <c r="P42" s="110">
        <v>0</v>
      </c>
      <c r="Q42" s="110">
        <v>264600</v>
      </c>
      <c r="R42" s="110">
        <v>0</v>
      </c>
      <c r="S42" s="110">
        <v>264600</v>
      </c>
      <c r="T42" s="110">
        <v>0</v>
      </c>
      <c r="U42" s="110">
        <v>264600</v>
      </c>
      <c r="V42" s="110">
        <v>0</v>
      </c>
      <c r="W42" s="110">
        <v>264600</v>
      </c>
      <c r="X42" s="110">
        <v>0</v>
      </c>
      <c r="Y42" s="110">
        <v>264600</v>
      </c>
      <c r="Z42" s="110">
        <v>0</v>
      </c>
      <c r="AA42" s="110">
        <v>264600</v>
      </c>
      <c r="AB42" s="110">
        <v>0</v>
      </c>
      <c r="AC42" s="110">
        <v>264600</v>
      </c>
      <c r="AD42" s="110">
        <v>0</v>
      </c>
      <c r="AE42" s="110">
        <v>264600</v>
      </c>
      <c r="AF42" s="110">
        <v>0</v>
      </c>
      <c r="AG42" s="110">
        <v>264600</v>
      </c>
      <c r="AH42" s="110">
        <v>0</v>
      </c>
      <c r="AI42" s="110">
        <v>264600</v>
      </c>
      <c r="AJ42" s="110">
        <v>0</v>
      </c>
      <c r="AK42" s="110">
        <v>264600</v>
      </c>
      <c r="AL42" s="110">
        <v>0</v>
      </c>
      <c r="AM42" s="110">
        <v>264600</v>
      </c>
      <c r="AN42" s="110">
        <v>0</v>
      </c>
      <c r="AO42" s="110">
        <v>264600</v>
      </c>
      <c r="AP42" s="110">
        <v>0</v>
      </c>
      <c r="AQ42" s="110">
        <v>264600</v>
      </c>
      <c r="AR42" s="110">
        <v>0</v>
      </c>
      <c r="AS42" s="110">
        <v>264600</v>
      </c>
      <c r="AT42" s="110">
        <v>0</v>
      </c>
      <c r="AU42" s="110">
        <v>308700</v>
      </c>
      <c r="AV42" s="110">
        <v>0</v>
      </c>
      <c r="AW42" s="110">
        <v>220500</v>
      </c>
      <c r="AX42" s="110">
        <v>0</v>
      </c>
      <c r="AY42" s="110">
        <v>220500</v>
      </c>
      <c r="AZ42" s="100">
        <f>SUM($D$42:$AY$42)</f>
        <v>6306300</v>
      </c>
    </row>
    <row r="43" spans="1:52">
      <c r="A43" s="110"/>
      <c r="B43" s="178" t="s">
        <v>351</v>
      </c>
      <c r="C43" s="110"/>
      <c r="D43" s="110">
        <v>147868.35936536331</v>
      </c>
      <c r="E43" s="110">
        <v>4543.3593653634425</v>
      </c>
      <c r="F43" s="110">
        <v>147868.35936536346</v>
      </c>
      <c r="G43" s="110">
        <v>4543.3593653634425</v>
      </c>
      <c r="H43" s="110">
        <v>147868.35936536346</v>
      </c>
      <c r="I43" s="110">
        <v>4543.3593653634425</v>
      </c>
      <c r="J43" s="110">
        <v>147868.35936536346</v>
      </c>
      <c r="K43" s="110">
        <v>4543.3593653634425</v>
      </c>
      <c r="L43" s="110">
        <v>147868.35936536346</v>
      </c>
      <c r="M43" s="110">
        <v>4543.3593653634425</v>
      </c>
      <c r="N43" s="110">
        <v>147868.35936536346</v>
      </c>
      <c r="O43" s="110">
        <v>4543.3593653634425</v>
      </c>
      <c r="P43" s="110">
        <v>147868.35936536346</v>
      </c>
      <c r="Q43" s="110">
        <v>4543.3593653634425</v>
      </c>
      <c r="R43" s="110">
        <v>147868.35936536346</v>
      </c>
      <c r="S43" s="110">
        <v>4543.3593653634425</v>
      </c>
      <c r="T43" s="110">
        <v>147868.35936536346</v>
      </c>
      <c r="U43" s="110">
        <v>4543.3593653634425</v>
      </c>
      <c r="V43" s="110">
        <v>147868.35936536346</v>
      </c>
      <c r="W43" s="110">
        <v>4543.3593653634425</v>
      </c>
      <c r="X43" s="110">
        <v>147868.35936536346</v>
      </c>
      <c r="Y43" s="110">
        <v>4543.3593653634425</v>
      </c>
      <c r="Z43" s="110">
        <v>147868.35936536346</v>
      </c>
      <c r="AA43" s="110">
        <v>4543.3593653634425</v>
      </c>
      <c r="AB43" s="110">
        <v>147868.35936536346</v>
      </c>
      <c r="AC43" s="110">
        <v>4543.3593653634425</v>
      </c>
      <c r="AD43" s="110">
        <v>147868.35936536346</v>
      </c>
      <c r="AE43" s="110">
        <v>4543.3593653634425</v>
      </c>
      <c r="AF43" s="110">
        <v>147868.35936536346</v>
      </c>
      <c r="AG43" s="110">
        <v>4543.3593653634425</v>
      </c>
      <c r="AH43" s="110">
        <v>147868.35936536346</v>
      </c>
      <c r="AI43" s="110">
        <v>4543.3593653634425</v>
      </c>
      <c r="AJ43" s="110">
        <v>147868.35936536346</v>
      </c>
      <c r="AK43" s="110">
        <v>4543.3593653634425</v>
      </c>
      <c r="AL43" s="110">
        <v>147868.35936536346</v>
      </c>
      <c r="AM43" s="110">
        <v>4543.3593653634425</v>
      </c>
      <c r="AN43" s="110">
        <v>147868.35936536346</v>
      </c>
      <c r="AO43" s="110">
        <v>4543.3593653634425</v>
      </c>
      <c r="AP43" s="110">
        <v>147868.35936536346</v>
      </c>
      <c r="AQ43" s="110">
        <v>4543.3593653634425</v>
      </c>
      <c r="AR43" s="110">
        <v>147868.35936536346</v>
      </c>
      <c r="AS43" s="110">
        <v>4543.3593653634425</v>
      </c>
      <c r="AT43" s="110">
        <v>0</v>
      </c>
      <c r="AU43" s="110">
        <v>0</v>
      </c>
      <c r="AV43" s="110">
        <v>147868.35936536346</v>
      </c>
      <c r="AW43" s="110">
        <v>0</v>
      </c>
      <c r="AX43" s="110">
        <v>118294.68749229077</v>
      </c>
      <c r="AY43" s="110">
        <v>0</v>
      </c>
      <c r="AZ43" s="100">
        <f>SUM($D$43:$AY$43)</f>
        <v>3466809.1402029209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169.99999999999977</v>
      </c>
      <c r="E44" s="124">
        <f>E$21*shipping_manufacturing!$D$28/100</f>
        <v>170</v>
      </c>
      <c r="F44" s="124">
        <f>F$21*shipping_manufacturing!$D$28/100</f>
        <v>170</v>
      </c>
      <c r="G44" s="124">
        <f>G$21*shipping_manufacturing!$D$28/100</f>
        <v>170</v>
      </c>
      <c r="H44" s="124">
        <f>H$21*shipping_manufacturing!$D$28/100</f>
        <v>170</v>
      </c>
      <c r="I44" s="124">
        <f>I$21*shipping_manufacturing!$D$28/100</f>
        <v>170</v>
      </c>
      <c r="J44" s="124">
        <f>J$21*shipping_manufacturing!$D$28/100</f>
        <v>170</v>
      </c>
      <c r="K44" s="124">
        <f>K$21*shipping_manufacturing!$D$28/100</f>
        <v>170</v>
      </c>
      <c r="L44" s="124">
        <f>L$21*shipping_manufacturing!$D$28/100</f>
        <v>170</v>
      </c>
      <c r="M44" s="124">
        <f>M$21*shipping_manufacturing!$D$28/100</f>
        <v>170</v>
      </c>
      <c r="N44" s="124">
        <f>N$21*shipping_manufacturing!$D$28/100</f>
        <v>170</v>
      </c>
      <c r="O44" s="124">
        <f>O$21*shipping_manufacturing!$D$28/100</f>
        <v>170</v>
      </c>
      <c r="P44" s="124">
        <f>P$21*shipping_manufacturing!$D$28/100</f>
        <v>170</v>
      </c>
      <c r="Q44" s="124">
        <f>Q$21*shipping_manufacturing!$D$28/100</f>
        <v>170</v>
      </c>
      <c r="R44" s="124">
        <f>R$21*shipping_manufacturing!$D$28/100</f>
        <v>170</v>
      </c>
      <c r="S44" s="124">
        <f>S$21*shipping_manufacturing!$D$28/100</f>
        <v>170</v>
      </c>
      <c r="T44" s="124">
        <f>T$21*shipping_manufacturing!$D$28/100</f>
        <v>170</v>
      </c>
      <c r="U44" s="124">
        <f>U$21*shipping_manufacturing!$D$28/100</f>
        <v>170</v>
      </c>
      <c r="V44" s="124">
        <f>V$21*shipping_manufacturing!$D$28/100</f>
        <v>170</v>
      </c>
      <c r="W44" s="124">
        <f>W$21*shipping_manufacturing!$D$28/100</f>
        <v>170</v>
      </c>
      <c r="X44" s="124">
        <f>X$21*shipping_manufacturing!$D$28/100</f>
        <v>170</v>
      </c>
      <c r="Y44" s="124">
        <f>Y$21*shipping_manufacturing!$D$28/100</f>
        <v>170</v>
      </c>
      <c r="Z44" s="124">
        <f>Z$21*shipping_manufacturing!$D$28/100</f>
        <v>170</v>
      </c>
      <c r="AA44" s="124">
        <f>AA$21*shipping_manufacturing!$D$28/100</f>
        <v>170</v>
      </c>
      <c r="AB44" s="124">
        <f>AB$21*shipping_manufacturing!$D$28/100</f>
        <v>170</v>
      </c>
      <c r="AC44" s="124">
        <f>AC$21*shipping_manufacturing!$D$28/100</f>
        <v>170</v>
      </c>
      <c r="AD44" s="124">
        <f>AD$21*shipping_manufacturing!$D$28/100</f>
        <v>170</v>
      </c>
      <c r="AE44" s="124">
        <f>AE$21*shipping_manufacturing!$D$28/100</f>
        <v>170</v>
      </c>
      <c r="AF44" s="124">
        <f>AF$21*shipping_manufacturing!$D$28/100</f>
        <v>170</v>
      </c>
      <c r="AG44" s="124">
        <f>AG$21*shipping_manufacturing!$D$28/100</f>
        <v>170</v>
      </c>
      <c r="AH44" s="124">
        <f>AH$21*shipping_manufacturing!$D$28/100</f>
        <v>170</v>
      </c>
      <c r="AI44" s="124">
        <f>AI$21*shipping_manufacturing!$D$28/100</f>
        <v>170</v>
      </c>
      <c r="AJ44" s="124">
        <f>AJ$21*shipping_manufacturing!$D$28/100</f>
        <v>170</v>
      </c>
      <c r="AK44" s="124">
        <f>AK$21*shipping_manufacturing!$D$28/100</f>
        <v>170</v>
      </c>
      <c r="AL44" s="124">
        <f>AL$21*shipping_manufacturing!$D$28/100</f>
        <v>170</v>
      </c>
      <c r="AM44" s="124">
        <f>AM$21*shipping_manufacturing!$D$28/100</f>
        <v>170</v>
      </c>
      <c r="AN44" s="124">
        <f>AN$21*shipping_manufacturing!$D$28/100</f>
        <v>170</v>
      </c>
      <c r="AO44" s="124">
        <f>AO$21*shipping_manufacturing!$D$28/100</f>
        <v>170</v>
      </c>
      <c r="AP44" s="124">
        <f>AP$21*shipping_manufacturing!$D$28/100</f>
        <v>170</v>
      </c>
      <c r="AQ44" s="124">
        <f>AQ$21*shipping_manufacturing!$D$28/100</f>
        <v>170</v>
      </c>
      <c r="AR44" s="124">
        <f>AR$21*shipping_manufacturing!$D$28/100</f>
        <v>170</v>
      </c>
      <c r="AS44" s="124">
        <f>AS$21*shipping_manufacturing!$D$28/100</f>
        <v>170</v>
      </c>
      <c r="AT44" s="124">
        <f>AT$21*shipping_manufacturing!$D$28/100</f>
        <v>0</v>
      </c>
      <c r="AU44" s="124">
        <f>AU$21*shipping_manufacturing!$D$28/100</f>
        <v>170</v>
      </c>
      <c r="AV44" s="124">
        <f>AV$21*shipping_manufacturing!$D$28/100</f>
        <v>170</v>
      </c>
      <c r="AW44" s="124">
        <f>AW$21*shipping_manufacturing!$D$28/100</f>
        <v>136</v>
      </c>
      <c r="AX44" s="124">
        <f>AX$21*shipping_manufacturing!$D$28/100</f>
        <v>136</v>
      </c>
      <c r="AY44" s="124">
        <f>AY$21*shipping_manufacturing!$D$28/100</f>
        <v>136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244.29405417222767</v>
      </c>
      <c r="E45" s="110">
        <f>E$22*shipping_manufacturing!$E$28/100</f>
        <v>244.29405417222785</v>
      </c>
      <c r="F45" s="110">
        <f>F$22*shipping_manufacturing!$E$28/100</f>
        <v>244.29405417222785</v>
      </c>
      <c r="G45" s="110">
        <f>G$22*shipping_manufacturing!$E$28/100</f>
        <v>244.29405417222785</v>
      </c>
      <c r="H45" s="110">
        <f>H$22*shipping_manufacturing!$E$28/100</f>
        <v>244.29405417222785</v>
      </c>
      <c r="I45" s="110">
        <f>I$22*shipping_manufacturing!$E$28/100</f>
        <v>244.29405417222785</v>
      </c>
      <c r="J45" s="110">
        <f>J$22*shipping_manufacturing!$E$28/100</f>
        <v>244.29405417222785</v>
      </c>
      <c r="K45" s="110">
        <f>K$22*shipping_manufacturing!$E$28/100</f>
        <v>244.29405417222785</v>
      </c>
      <c r="L45" s="110">
        <f>L$22*shipping_manufacturing!$E$28/100</f>
        <v>244.29405417222785</v>
      </c>
      <c r="M45" s="110">
        <f>M$22*shipping_manufacturing!$E$28/100</f>
        <v>244.29405417222785</v>
      </c>
      <c r="N45" s="110">
        <f>N$22*shipping_manufacturing!$E$28/100</f>
        <v>244.29405417222785</v>
      </c>
      <c r="O45" s="110">
        <f>O$22*shipping_manufacturing!$E$28/100</f>
        <v>244.29405417222785</v>
      </c>
      <c r="P45" s="110">
        <f>P$22*shipping_manufacturing!$E$28/100</f>
        <v>244.29405417222785</v>
      </c>
      <c r="Q45" s="110">
        <f>Q$22*shipping_manufacturing!$E$28/100</f>
        <v>244.29405417222785</v>
      </c>
      <c r="R45" s="110">
        <f>R$22*shipping_manufacturing!$E$28/100</f>
        <v>244.29405417222785</v>
      </c>
      <c r="S45" s="110">
        <f>S$22*shipping_manufacturing!$E$28/100</f>
        <v>244.29405417222785</v>
      </c>
      <c r="T45" s="110">
        <f>T$22*shipping_manufacturing!$E$28/100</f>
        <v>244.29405417222785</v>
      </c>
      <c r="U45" s="110">
        <f>U$22*shipping_manufacturing!$E$28/100</f>
        <v>244.29405417222785</v>
      </c>
      <c r="V45" s="110">
        <f>V$22*shipping_manufacturing!$E$28/100</f>
        <v>244.29405417222785</v>
      </c>
      <c r="W45" s="110">
        <f>W$22*shipping_manufacturing!$E$28/100</f>
        <v>244.29405417222785</v>
      </c>
      <c r="X45" s="110">
        <f>X$22*shipping_manufacturing!$E$28/100</f>
        <v>244.29405417222785</v>
      </c>
      <c r="Y45" s="110">
        <f>Y$22*shipping_manufacturing!$E$28/100</f>
        <v>244.29405417222785</v>
      </c>
      <c r="Z45" s="110">
        <f>Z$22*shipping_manufacturing!$E$28/100</f>
        <v>244.29405417222785</v>
      </c>
      <c r="AA45" s="110">
        <f>AA$22*shipping_manufacturing!$E$28/100</f>
        <v>244.29405417222785</v>
      </c>
      <c r="AB45" s="110">
        <f>AB$22*shipping_manufacturing!$E$28/100</f>
        <v>244.29405417222785</v>
      </c>
      <c r="AC45" s="110">
        <f>AC$22*shipping_manufacturing!$E$28/100</f>
        <v>244.29405417222785</v>
      </c>
      <c r="AD45" s="110">
        <f>AD$22*shipping_manufacturing!$E$28/100</f>
        <v>244.29405417222785</v>
      </c>
      <c r="AE45" s="110">
        <f>AE$22*shipping_manufacturing!$E$28/100</f>
        <v>244.29405417222785</v>
      </c>
      <c r="AF45" s="110">
        <f>AF$22*shipping_manufacturing!$E$28/100</f>
        <v>244.29405417222785</v>
      </c>
      <c r="AG45" s="110">
        <f>AG$22*shipping_manufacturing!$E$28/100</f>
        <v>244.29405417222785</v>
      </c>
      <c r="AH45" s="110">
        <f>AH$22*shipping_manufacturing!$E$28/100</f>
        <v>244.29405417222785</v>
      </c>
      <c r="AI45" s="110">
        <f>AI$22*shipping_manufacturing!$E$28/100</f>
        <v>244.29405417222785</v>
      </c>
      <c r="AJ45" s="110">
        <f>AJ$22*shipping_manufacturing!$E$28/100</f>
        <v>244.29405417222785</v>
      </c>
      <c r="AK45" s="110">
        <f>AK$22*shipping_manufacturing!$E$28/100</f>
        <v>244.29405417222785</v>
      </c>
      <c r="AL45" s="110">
        <f>AL$22*shipping_manufacturing!$E$28/100</f>
        <v>244.29405417222785</v>
      </c>
      <c r="AM45" s="110">
        <f>AM$22*shipping_manufacturing!$E$28/100</f>
        <v>244.29405417222785</v>
      </c>
      <c r="AN45" s="110">
        <f>AN$22*shipping_manufacturing!$E$28/100</f>
        <v>244.29405417222785</v>
      </c>
      <c r="AO45" s="110">
        <f>AO$22*shipping_manufacturing!$E$28/100</f>
        <v>244.29405417222785</v>
      </c>
      <c r="AP45" s="110">
        <f>AP$22*shipping_manufacturing!$E$28/100</f>
        <v>244.29405417222785</v>
      </c>
      <c r="AQ45" s="110">
        <f>AQ$22*shipping_manufacturing!$E$28/100</f>
        <v>244.29405417222785</v>
      </c>
      <c r="AR45" s="110">
        <f>AR$22*shipping_manufacturing!$E$28/100</f>
        <v>244.29405417222785</v>
      </c>
      <c r="AS45" s="110">
        <f>AS$22*shipping_manufacturing!$E$28/100</f>
        <v>244.29405417222785</v>
      </c>
      <c r="AT45" s="110">
        <f>AT$22*shipping_manufacturing!$E$28/100</f>
        <v>0</v>
      </c>
      <c r="AU45" s="110">
        <f>AU$22*shipping_manufacturing!$E$28/100</f>
        <v>244.29405417222785</v>
      </c>
      <c r="AV45" s="110">
        <f>AV$22*shipping_manufacturing!$E$28/100</f>
        <v>244.29405417222785</v>
      </c>
      <c r="AW45" s="110">
        <f>AW$22*shipping_manufacturing!$E$28/100</f>
        <v>195.43524333778231</v>
      </c>
      <c r="AX45" s="110">
        <f>AX$22*shipping_manufacturing!$E$28/100</f>
        <v>195.43524333778231</v>
      </c>
      <c r="AY45" s="110">
        <f>AY$22*shipping_manufacturing!$E$28/100</f>
        <v>195.43524333778231</v>
      </c>
    </row>
    <row r="46" spans="1:52">
      <c r="A46" s="110">
        <v>89</v>
      </c>
      <c r="B46" s="165" t="s">
        <v>343</v>
      </c>
      <c r="C46" s="110"/>
      <c r="D46" s="110">
        <f>SUM(D44:D45)</f>
        <v>414.29405417222745</v>
      </c>
      <c r="E46" s="110">
        <f t="shared" ref="E46:AY46" si="14">SUM(E44:E45)</f>
        <v>414.29405417222785</v>
      </c>
      <c r="F46" s="110">
        <f t="shared" si="14"/>
        <v>414.29405417222785</v>
      </c>
      <c r="G46" s="110">
        <f t="shared" si="14"/>
        <v>414.29405417222785</v>
      </c>
      <c r="H46" s="110">
        <f t="shared" si="14"/>
        <v>414.29405417222785</v>
      </c>
      <c r="I46" s="110">
        <f t="shared" si="14"/>
        <v>414.29405417222785</v>
      </c>
      <c r="J46" s="110">
        <f t="shared" si="14"/>
        <v>414.29405417222785</v>
      </c>
      <c r="K46" s="110">
        <f t="shared" si="14"/>
        <v>414.29405417222785</v>
      </c>
      <c r="L46" s="110">
        <f t="shared" si="14"/>
        <v>414.29405417222785</v>
      </c>
      <c r="M46" s="110">
        <f t="shared" si="14"/>
        <v>414.29405417222785</v>
      </c>
      <c r="N46" s="110">
        <f t="shared" si="14"/>
        <v>414.29405417222785</v>
      </c>
      <c r="O46" s="110">
        <f t="shared" si="14"/>
        <v>414.29405417222785</v>
      </c>
      <c r="P46" s="110">
        <f t="shared" si="14"/>
        <v>414.29405417222785</v>
      </c>
      <c r="Q46" s="110">
        <f t="shared" si="14"/>
        <v>414.29405417222785</v>
      </c>
      <c r="R46" s="110">
        <f t="shared" si="14"/>
        <v>414.29405417222785</v>
      </c>
      <c r="S46" s="110">
        <f t="shared" si="14"/>
        <v>414.29405417222785</v>
      </c>
      <c r="T46" s="110">
        <f t="shared" si="14"/>
        <v>414.29405417222785</v>
      </c>
      <c r="U46" s="110">
        <f t="shared" si="14"/>
        <v>414.29405417222785</v>
      </c>
      <c r="V46" s="110">
        <f t="shared" si="14"/>
        <v>414.29405417222785</v>
      </c>
      <c r="W46" s="110">
        <f t="shared" si="14"/>
        <v>414.29405417222785</v>
      </c>
      <c r="X46" s="110">
        <f t="shared" si="14"/>
        <v>414.29405417222785</v>
      </c>
      <c r="Y46" s="110">
        <f t="shared" si="14"/>
        <v>414.29405417222785</v>
      </c>
      <c r="Z46" s="110">
        <f t="shared" si="14"/>
        <v>414.29405417222785</v>
      </c>
      <c r="AA46" s="110">
        <f t="shared" si="14"/>
        <v>414.29405417222785</v>
      </c>
      <c r="AB46" s="110">
        <f t="shared" si="14"/>
        <v>414.29405417222785</v>
      </c>
      <c r="AC46" s="110">
        <f t="shared" si="14"/>
        <v>414.29405417222785</v>
      </c>
      <c r="AD46" s="110">
        <f t="shared" si="14"/>
        <v>414.29405417222785</v>
      </c>
      <c r="AE46" s="110">
        <f t="shared" si="14"/>
        <v>414.29405417222785</v>
      </c>
      <c r="AF46" s="110">
        <f t="shared" si="14"/>
        <v>414.29405417222785</v>
      </c>
      <c r="AG46" s="110">
        <f t="shared" si="14"/>
        <v>414.29405417222785</v>
      </c>
      <c r="AH46" s="110">
        <f t="shared" si="14"/>
        <v>414.29405417222785</v>
      </c>
      <c r="AI46" s="110">
        <f t="shared" si="14"/>
        <v>414.29405417222785</v>
      </c>
      <c r="AJ46" s="110">
        <f t="shared" si="14"/>
        <v>414.29405417222785</v>
      </c>
      <c r="AK46" s="110">
        <f t="shared" si="14"/>
        <v>414.29405417222785</v>
      </c>
      <c r="AL46" s="110">
        <f t="shared" si="14"/>
        <v>414.29405417222785</v>
      </c>
      <c r="AM46" s="110">
        <f t="shared" si="14"/>
        <v>414.29405417222785</v>
      </c>
      <c r="AN46" s="110">
        <f t="shared" si="14"/>
        <v>414.29405417222785</v>
      </c>
      <c r="AO46" s="110">
        <f t="shared" si="14"/>
        <v>414.29405417222785</v>
      </c>
      <c r="AP46" s="110">
        <f t="shared" si="14"/>
        <v>414.29405417222785</v>
      </c>
      <c r="AQ46" s="110">
        <f t="shared" si="14"/>
        <v>414.29405417222785</v>
      </c>
      <c r="AR46" s="110">
        <f t="shared" si="14"/>
        <v>414.29405417222785</v>
      </c>
      <c r="AS46" s="110">
        <f t="shared" si="14"/>
        <v>414.29405417222785</v>
      </c>
      <c r="AT46" s="110">
        <f t="shared" si="14"/>
        <v>0</v>
      </c>
      <c r="AU46" s="110">
        <f t="shared" si="14"/>
        <v>414.29405417222785</v>
      </c>
      <c r="AV46" s="110">
        <f t="shared" si="14"/>
        <v>414.29405417222785</v>
      </c>
      <c r="AW46" s="110">
        <f t="shared" si="14"/>
        <v>331.43524333778231</v>
      </c>
      <c r="AX46" s="110">
        <f t="shared" si="14"/>
        <v>331.43524333778231</v>
      </c>
      <c r="AY46" s="110">
        <f t="shared" si="14"/>
        <v>331.43524333778231</v>
      </c>
    </row>
    <row r="47" spans="1:52">
      <c r="A47" s="110"/>
      <c r="B47" s="165" t="s">
        <v>344</v>
      </c>
      <c r="C47" s="110"/>
      <c r="D47" s="110">
        <v>24.620194031941654</v>
      </c>
      <c r="E47" s="110">
        <v>170</v>
      </c>
      <c r="F47" s="110">
        <v>24.620194031941665</v>
      </c>
      <c r="G47" s="110">
        <v>170</v>
      </c>
      <c r="H47" s="110">
        <v>24.620194031941665</v>
      </c>
      <c r="I47" s="110">
        <v>170</v>
      </c>
      <c r="J47" s="110">
        <v>24.620194031941665</v>
      </c>
      <c r="K47" s="110">
        <v>170</v>
      </c>
      <c r="L47" s="110">
        <v>24.620194031941665</v>
      </c>
      <c r="M47" s="110">
        <v>170</v>
      </c>
      <c r="N47" s="110">
        <v>24.620194031941665</v>
      </c>
      <c r="O47" s="110">
        <v>170</v>
      </c>
      <c r="P47" s="110">
        <v>24.620194031941665</v>
      </c>
      <c r="Q47" s="110">
        <v>170</v>
      </c>
      <c r="R47" s="110">
        <v>24.620194031941665</v>
      </c>
      <c r="S47" s="110">
        <v>170</v>
      </c>
      <c r="T47" s="110">
        <v>24.620194031941665</v>
      </c>
      <c r="U47" s="110">
        <v>170</v>
      </c>
      <c r="V47" s="110">
        <v>24.620194031941665</v>
      </c>
      <c r="W47" s="110">
        <v>170</v>
      </c>
      <c r="X47" s="110">
        <v>24.620194031941665</v>
      </c>
      <c r="Y47" s="110">
        <v>170</v>
      </c>
      <c r="Z47" s="110">
        <v>24.620194031941665</v>
      </c>
      <c r="AA47" s="110">
        <v>170</v>
      </c>
      <c r="AB47" s="110">
        <v>24.620194031941665</v>
      </c>
      <c r="AC47" s="110">
        <v>170</v>
      </c>
      <c r="AD47" s="110">
        <v>24.620194031941665</v>
      </c>
      <c r="AE47" s="110">
        <v>170</v>
      </c>
      <c r="AF47" s="110">
        <v>24.620194031941665</v>
      </c>
      <c r="AG47" s="110">
        <v>170</v>
      </c>
      <c r="AH47" s="110">
        <v>24.620194031941665</v>
      </c>
      <c r="AI47" s="110">
        <v>170</v>
      </c>
      <c r="AJ47" s="110">
        <v>24.620194031941665</v>
      </c>
      <c r="AK47" s="110">
        <v>170</v>
      </c>
      <c r="AL47" s="110">
        <v>24.620194031941665</v>
      </c>
      <c r="AM47" s="110">
        <v>170</v>
      </c>
      <c r="AN47" s="110">
        <v>24.620194031941665</v>
      </c>
      <c r="AO47" s="110">
        <v>170</v>
      </c>
      <c r="AP47" s="110">
        <v>24.620194031941665</v>
      </c>
      <c r="AQ47" s="110">
        <v>170</v>
      </c>
      <c r="AR47" s="110">
        <v>24.620194031941665</v>
      </c>
      <c r="AS47" s="110">
        <v>170</v>
      </c>
      <c r="AT47" s="110"/>
      <c r="AU47" s="110">
        <v>170</v>
      </c>
      <c r="AV47" s="110">
        <v>12.310097015970831</v>
      </c>
      <c r="AW47" s="110">
        <v>135.99999999999997</v>
      </c>
      <c r="AX47" s="110">
        <v>61.550485079854155</v>
      </c>
      <c r="AY47" s="110">
        <v>135.99999999999997</v>
      </c>
    </row>
    <row r="48" spans="1:52">
      <c r="A48" s="110"/>
      <c r="B48" s="165" t="s">
        <v>345</v>
      </c>
      <c r="C48" s="110"/>
      <c r="D48" s="110">
        <v>35.379805968058349</v>
      </c>
      <c r="E48" s="110">
        <v>244.29405417222787</v>
      </c>
      <c r="F48" s="110">
        <v>35.379805968058335</v>
      </c>
      <c r="G48" s="110">
        <v>244.29405417222787</v>
      </c>
      <c r="H48" s="110">
        <v>35.379805968058335</v>
      </c>
      <c r="I48" s="110">
        <v>244.29405417222787</v>
      </c>
      <c r="J48" s="110">
        <v>35.379805968058335</v>
      </c>
      <c r="K48" s="110">
        <v>244.29405417222787</v>
      </c>
      <c r="L48" s="110">
        <v>35.379805968058335</v>
      </c>
      <c r="M48" s="110">
        <v>244.29405417222787</v>
      </c>
      <c r="N48" s="110">
        <v>35.379805968058335</v>
      </c>
      <c r="O48" s="110">
        <v>244.29405417222787</v>
      </c>
      <c r="P48" s="110">
        <v>35.379805968058335</v>
      </c>
      <c r="Q48" s="110">
        <v>244.29405417222787</v>
      </c>
      <c r="R48" s="110">
        <v>35.379805968058335</v>
      </c>
      <c r="S48" s="110">
        <v>244.29405417222787</v>
      </c>
      <c r="T48" s="110">
        <v>35.379805968058335</v>
      </c>
      <c r="U48" s="110">
        <v>244.29405417222787</v>
      </c>
      <c r="V48" s="110">
        <v>35.379805968058335</v>
      </c>
      <c r="W48" s="110">
        <v>244.29405417222787</v>
      </c>
      <c r="X48" s="110">
        <v>35.379805968058335</v>
      </c>
      <c r="Y48" s="110">
        <v>244.29405417222787</v>
      </c>
      <c r="Z48" s="110">
        <v>35.379805968058335</v>
      </c>
      <c r="AA48" s="110">
        <v>244.29405417222787</v>
      </c>
      <c r="AB48" s="110">
        <v>35.379805968058335</v>
      </c>
      <c r="AC48" s="110">
        <v>244.29405417222787</v>
      </c>
      <c r="AD48" s="110">
        <v>35.379805968058335</v>
      </c>
      <c r="AE48" s="110">
        <v>244.29405417222787</v>
      </c>
      <c r="AF48" s="110">
        <v>35.379805968058335</v>
      </c>
      <c r="AG48" s="110">
        <v>244.29405417222787</v>
      </c>
      <c r="AH48" s="110">
        <v>35.379805968058335</v>
      </c>
      <c r="AI48" s="110">
        <v>244.29405417222787</v>
      </c>
      <c r="AJ48" s="110">
        <v>35.379805968058335</v>
      </c>
      <c r="AK48" s="110">
        <v>244.29405417222787</v>
      </c>
      <c r="AL48" s="110">
        <v>35.379805968058335</v>
      </c>
      <c r="AM48" s="110">
        <v>244.29405417222787</v>
      </c>
      <c r="AN48" s="110">
        <v>35.379805968058335</v>
      </c>
      <c r="AO48" s="110">
        <v>244.29405417222787</v>
      </c>
      <c r="AP48" s="110">
        <v>35.379805968058335</v>
      </c>
      <c r="AQ48" s="110">
        <v>244.29405417222787</v>
      </c>
      <c r="AR48" s="110">
        <v>35.379805968058335</v>
      </c>
      <c r="AS48" s="110">
        <v>244.29405417222787</v>
      </c>
      <c r="AT48" s="110"/>
      <c r="AU48" s="110">
        <v>244.29405417222787</v>
      </c>
      <c r="AV48" s="110">
        <v>17.689902984029167</v>
      </c>
      <c r="AW48" s="110">
        <v>195.43524333778234</v>
      </c>
      <c r="AX48" s="110">
        <v>88.449514920145845</v>
      </c>
      <c r="AY48" s="110">
        <v>195.43524333778234</v>
      </c>
    </row>
    <row r="49" spans="1:52">
      <c r="A49" s="110"/>
      <c r="B49" s="165" t="s">
        <v>346</v>
      </c>
      <c r="C49" s="110"/>
      <c r="D49" s="110">
        <v>2</v>
      </c>
      <c r="E49" s="110">
        <v>14</v>
      </c>
      <c r="F49" s="110">
        <v>2</v>
      </c>
      <c r="G49" s="110">
        <v>14</v>
      </c>
      <c r="H49" s="110">
        <v>2</v>
      </c>
      <c r="I49" s="110">
        <v>14</v>
      </c>
      <c r="J49" s="110">
        <v>2</v>
      </c>
      <c r="K49" s="110">
        <v>14</v>
      </c>
      <c r="L49" s="110">
        <v>2</v>
      </c>
      <c r="M49" s="110">
        <v>14</v>
      </c>
      <c r="N49" s="110">
        <v>2</v>
      </c>
      <c r="O49" s="110">
        <v>14</v>
      </c>
      <c r="P49" s="110">
        <v>2</v>
      </c>
      <c r="Q49" s="110">
        <v>14</v>
      </c>
      <c r="R49" s="110">
        <v>2</v>
      </c>
      <c r="S49" s="110">
        <v>14</v>
      </c>
      <c r="T49" s="110">
        <v>2</v>
      </c>
      <c r="U49" s="110">
        <v>14</v>
      </c>
      <c r="V49" s="110">
        <v>2</v>
      </c>
      <c r="W49" s="110">
        <v>14</v>
      </c>
      <c r="X49" s="110">
        <v>2</v>
      </c>
      <c r="Y49" s="110">
        <v>14</v>
      </c>
      <c r="Z49" s="110">
        <v>2</v>
      </c>
      <c r="AA49" s="110">
        <v>14</v>
      </c>
      <c r="AB49" s="110">
        <v>2</v>
      </c>
      <c r="AC49" s="110">
        <v>14</v>
      </c>
      <c r="AD49" s="110">
        <v>2</v>
      </c>
      <c r="AE49" s="110">
        <v>14</v>
      </c>
      <c r="AF49" s="110">
        <v>2</v>
      </c>
      <c r="AG49" s="110">
        <v>14</v>
      </c>
      <c r="AH49" s="110">
        <v>2</v>
      </c>
      <c r="AI49" s="110">
        <v>14</v>
      </c>
      <c r="AJ49" s="110">
        <v>2</v>
      </c>
      <c r="AK49" s="110">
        <v>14</v>
      </c>
      <c r="AL49" s="110">
        <v>2</v>
      </c>
      <c r="AM49" s="110">
        <v>14</v>
      </c>
      <c r="AN49" s="110">
        <v>2</v>
      </c>
      <c r="AO49" s="110">
        <v>14</v>
      </c>
      <c r="AP49" s="110">
        <v>2</v>
      </c>
      <c r="AQ49" s="110">
        <v>14</v>
      </c>
      <c r="AR49" s="110">
        <v>2</v>
      </c>
      <c r="AS49" s="110">
        <v>14</v>
      </c>
      <c r="AT49" s="110"/>
      <c r="AU49" s="110">
        <v>14</v>
      </c>
      <c r="AV49" s="110">
        <v>1</v>
      </c>
      <c r="AW49" s="110">
        <v>12</v>
      </c>
      <c r="AX49" s="110">
        <v>5</v>
      </c>
      <c r="AY49" s="110">
        <v>12</v>
      </c>
    </row>
    <row r="50" spans="1:52">
      <c r="A50" s="110"/>
      <c r="B50" s="165" t="s">
        <v>347</v>
      </c>
      <c r="C50" s="110"/>
      <c r="D50" s="110">
        <f>D44-D47</f>
        <v>145.37980596805812</v>
      </c>
      <c r="E50" s="110">
        <f t="shared" ref="E50:AY50" si="15">E44-E47</f>
        <v>0</v>
      </c>
      <c r="F50" s="110">
        <f t="shared" si="15"/>
        <v>145.37980596805835</v>
      </c>
      <c r="G50" s="110">
        <f t="shared" si="15"/>
        <v>0</v>
      </c>
      <c r="H50" s="110">
        <f t="shared" si="15"/>
        <v>145.37980596805835</v>
      </c>
      <c r="I50" s="110">
        <f t="shared" si="15"/>
        <v>0</v>
      </c>
      <c r="J50" s="110">
        <f t="shared" si="15"/>
        <v>145.37980596805835</v>
      </c>
      <c r="K50" s="110">
        <f t="shared" si="15"/>
        <v>0</v>
      </c>
      <c r="L50" s="110">
        <f t="shared" si="15"/>
        <v>145.37980596805835</v>
      </c>
      <c r="M50" s="110">
        <f t="shared" si="15"/>
        <v>0</v>
      </c>
      <c r="N50" s="110">
        <f t="shared" si="15"/>
        <v>145.37980596805835</v>
      </c>
      <c r="O50" s="110">
        <f t="shared" si="15"/>
        <v>0</v>
      </c>
      <c r="P50" s="110">
        <f t="shared" si="15"/>
        <v>145.37980596805835</v>
      </c>
      <c r="Q50" s="110">
        <f t="shared" si="15"/>
        <v>0</v>
      </c>
      <c r="R50" s="110">
        <f t="shared" si="15"/>
        <v>145.37980596805835</v>
      </c>
      <c r="S50" s="110">
        <f t="shared" si="15"/>
        <v>0</v>
      </c>
      <c r="T50" s="110">
        <f t="shared" si="15"/>
        <v>145.37980596805835</v>
      </c>
      <c r="U50" s="110">
        <f t="shared" si="15"/>
        <v>0</v>
      </c>
      <c r="V50" s="110">
        <f t="shared" si="15"/>
        <v>145.37980596805835</v>
      </c>
      <c r="W50" s="110">
        <f t="shared" si="15"/>
        <v>0</v>
      </c>
      <c r="X50" s="110">
        <f t="shared" si="15"/>
        <v>145.37980596805835</v>
      </c>
      <c r="Y50" s="110">
        <f t="shared" si="15"/>
        <v>0</v>
      </c>
      <c r="Z50" s="110">
        <f t="shared" si="15"/>
        <v>145.37980596805835</v>
      </c>
      <c r="AA50" s="110">
        <f t="shared" si="15"/>
        <v>0</v>
      </c>
      <c r="AB50" s="110">
        <f t="shared" si="15"/>
        <v>145.37980596805835</v>
      </c>
      <c r="AC50" s="110">
        <f t="shared" si="15"/>
        <v>0</v>
      </c>
      <c r="AD50" s="110">
        <f t="shared" si="15"/>
        <v>145.37980596805835</v>
      </c>
      <c r="AE50" s="110">
        <f t="shared" si="15"/>
        <v>0</v>
      </c>
      <c r="AF50" s="110">
        <f t="shared" si="15"/>
        <v>145.37980596805835</v>
      </c>
      <c r="AG50" s="110">
        <f t="shared" si="15"/>
        <v>0</v>
      </c>
      <c r="AH50" s="110">
        <f t="shared" si="15"/>
        <v>145.37980596805835</v>
      </c>
      <c r="AI50" s="110">
        <f t="shared" si="15"/>
        <v>0</v>
      </c>
      <c r="AJ50" s="110">
        <f t="shared" si="15"/>
        <v>145.37980596805835</v>
      </c>
      <c r="AK50" s="110">
        <f t="shared" si="15"/>
        <v>0</v>
      </c>
      <c r="AL50" s="110">
        <f t="shared" si="15"/>
        <v>145.37980596805835</v>
      </c>
      <c r="AM50" s="110">
        <f t="shared" si="15"/>
        <v>0</v>
      </c>
      <c r="AN50" s="110">
        <f t="shared" si="15"/>
        <v>145.37980596805835</v>
      </c>
      <c r="AO50" s="110">
        <f t="shared" si="15"/>
        <v>0</v>
      </c>
      <c r="AP50" s="110">
        <f t="shared" si="15"/>
        <v>145.37980596805835</v>
      </c>
      <c r="AQ50" s="110">
        <f t="shared" si="15"/>
        <v>0</v>
      </c>
      <c r="AR50" s="110">
        <f t="shared" si="15"/>
        <v>145.37980596805835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157.68990298402917</v>
      </c>
      <c r="AW50" s="110">
        <f t="shared" si="15"/>
        <v>0</v>
      </c>
      <c r="AX50" s="110">
        <f t="shared" si="15"/>
        <v>74.449514920145845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208.91424820416933</v>
      </c>
      <c r="E51" s="110">
        <f t="shared" ref="E51:AY51" si="16">E45-E48</f>
        <v>0</v>
      </c>
      <c r="F51" s="110">
        <f t="shared" si="16"/>
        <v>208.9142482041695</v>
      </c>
      <c r="G51" s="110">
        <f t="shared" si="16"/>
        <v>0</v>
      </c>
      <c r="H51" s="110">
        <f t="shared" si="16"/>
        <v>208.9142482041695</v>
      </c>
      <c r="I51" s="110">
        <f t="shared" si="16"/>
        <v>0</v>
      </c>
      <c r="J51" s="110">
        <f t="shared" si="16"/>
        <v>208.9142482041695</v>
      </c>
      <c r="K51" s="110">
        <f t="shared" si="16"/>
        <v>0</v>
      </c>
      <c r="L51" s="110">
        <f t="shared" si="16"/>
        <v>208.9142482041695</v>
      </c>
      <c r="M51" s="110">
        <f t="shared" si="16"/>
        <v>0</v>
      </c>
      <c r="N51" s="110">
        <f t="shared" si="16"/>
        <v>208.9142482041695</v>
      </c>
      <c r="O51" s="110">
        <f t="shared" si="16"/>
        <v>0</v>
      </c>
      <c r="P51" s="110">
        <f t="shared" si="16"/>
        <v>208.9142482041695</v>
      </c>
      <c r="Q51" s="110">
        <f t="shared" si="16"/>
        <v>0</v>
      </c>
      <c r="R51" s="110">
        <f t="shared" si="16"/>
        <v>208.9142482041695</v>
      </c>
      <c r="S51" s="110">
        <f t="shared" si="16"/>
        <v>0</v>
      </c>
      <c r="T51" s="110">
        <f t="shared" si="16"/>
        <v>208.9142482041695</v>
      </c>
      <c r="U51" s="110">
        <f t="shared" si="16"/>
        <v>0</v>
      </c>
      <c r="V51" s="110">
        <f t="shared" si="16"/>
        <v>208.9142482041695</v>
      </c>
      <c r="W51" s="110">
        <f t="shared" si="16"/>
        <v>0</v>
      </c>
      <c r="X51" s="110">
        <f t="shared" si="16"/>
        <v>208.9142482041695</v>
      </c>
      <c r="Y51" s="110">
        <f t="shared" si="16"/>
        <v>0</v>
      </c>
      <c r="Z51" s="110">
        <f t="shared" si="16"/>
        <v>208.9142482041695</v>
      </c>
      <c r="AA51" s="110">
        <f t="shared" si="16"/>
        <v>0</v>
      </c>
      <c r="AB51" s="110">
        <f t="shared" si="16"/>
        <v>208.9142482041695</v>
      </c>
      <c r="AC51" s="110">
        <f t="shared" si="16"/>
        <v>0</v>
      </c>
      <c r="AD51" s="110">
        <f t="shared" si="16"/>
        <v>208.9142482041695</v>
      </c>
      <c r="AE51" s="110">
        <f t="shared" si="16"/>
        <v>0</v>
      </c>
      <c r="AF51" s="110">
        <f t="shared" si="16"/>
        <v>208.9142482041695</v>
      </c>
      <c r="AG51" s="110">
        <f t="shared" si="16"/>
        <v>0</v>
      </c>
      <c r="AH51" s="110">
        <f t="shared" si="16"/>
        <v>208.9142482041695</v>
      </c>
      <c r="AI51" s="110">
        <f t="shared" si="16"/>
        <v>0</v>
      </c>
      <c r="AJ51" s="110">
        <f t="shared" si="16"/>
        <v>208.9142482041695</v>
      </c>
      <c r="AK51" s="110">
        <f t="shared" si="16"/>
        <v>0</v>
      </c>
      <c r="AL51" s="110">
        <f t="shared" si="16"/>
        <v>208.9142482041695</v>
      </c>
      <c r="AM51" s="110">
        <f t="shared" si="16"/>
        <v>0</v>
      </c>
      <c r="AN51" s="110">
        <f t="shared" si="16"/>
        <v>208.9142482041695</v>
      </c>
      <c r="AO51" s="110">
        <f t="shared" si="16"/>
        <v>0</v>
      </c>
      <c r="AP51" s="110">
        <f t="shared" si="16"/>
        <v>208.9142482041695</v>
      </c>
      <c r="AQ51" s="110">
        <f t="shared" si="16"/>
        <v>0</v>
      </c>
      <c r="AR51" s="110">
        <f t="shared" si="16"/>
        <v>208.9142482041695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226.60415118819867</v>
      </c>
      <c r="AW51" s="110">
        <f t="shared" si="16"/>
        <v>0</v>
      </c>
      <c r="AX51" s="110">
        <f t="shared" si="16"/>
        <v>106.98572841763647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1</v>
      </c>
      <c r="G52" s="110">
        <v>1</v>
      </c>
      <c r="H52" s="110">
        <v>1</v>
      </c>
      <c r="I52" s="110">
        <v>3</v>
      </c>
      <c r="J52" s="110">
        <v>1</v>
      </c>
      <c r="K52" s="110">
        <v>2</v>
      </c>
      <c r="L52" s="110">
        <v>1</v>
      </c>
      <c r="M52" s="110">
        <v>1</v>
      </c>
      <c r="N52" s="110">
        <v>3</v>
      </c>
      <c r="O52" s="110">
        <v>1</v>
      </c>
      <c r="P52" s="110">
        <v>2</v>
      </c>
      <c r="Q52" s="110">
        <v>1</v>
      </c>
      <c r="R52" s="110">
        <v>2</v>
      </c>
      <c r="S52" s="110">
        <v>1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3</v>
      </c>
      <c r="AB52" s="110">
        <v>1</v>
      </c>
      <c r="AC52" s="110">
        <v>1</v>
      </c>
      <c r="AD52" s="110">
        <v>1</v>
      </c>
      <c r="AE52" s="110">
        <v>2</v>
      </c>
      <c r="AF52" s="110">
        <v>2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2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3</v>
      </c>
      <c r="AS52" s="110">
        <v>2</v>
      </c>
      <c r="AT52" s="110">
        <v>1</v>
      </c>
      <c r="AU52" s="110">
        <v>3</v>
      </c>
      <c r="AV52" s="110">
        <v>3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6408</v>
      </c>
      <c r="E53" s="110">
        <v>44856</v>
      </c>
      <c r="F53" s="110">
        <v>6408</v>
      </c>
      <c r="G53" s="110">
        <v>44856</v>
      </c>
      <c r="H53" s="110">
        <v>6408</v>
      </c>
      <c r="I53" s="110">
        <v>44856</v>
      </c>
      <c r="J53" s="110">
        <v>6408</v>
      </c>
      <c r="K53" s="110">
        <v>44856</v>
      </c>
      <c r="L53" s="110">
        <v>6408</v>
      </c>
      <c r="M53" s="110">
        <v>44856</v>
      </c>
      <c r="N53" s="110">
        <v>6408</v>
      </c>
      <c r="O53" s="110">
        <v>44856</v>
      </c>
      <c r="P53" s="110">
        <v>6408</v>
      </c>
      <c r="Q53" s="110">
        <v>44856</v>
      </c>
      <c r="R53" s="110">
        <v>6408</v>
      </c>
      <c r="S53" s="110">
        <v>44856</v>
      </c>
      <c r="T53" s="110">
        <v>6408</v>
      </c>
      <c r="U53" s="110">
        <v>44856</v>
      </c>
      <c r="V53" s="110">
        <v>6408</v>
      </c>
      <c r="W53" s="110">
        <v>44856</v>
      </c>
      <c r="X53" s="110">
        <v>6408</v>
      </c>
      <c r="Y53" s="110">
        <v>44856</v>
      </c>
      <c r="Z53" s="110">
        <v>6408</v>
      </c>
      <c r="AA53" s="110">
        <v>44856</v>
      </c>
      <c r="AB53" s="110">
        <v>6408</v>
      </c>
      <c r="AC53" s="110">
        <v>44856</v>
      </c>
      <c r="AD53" s="110">
        <v>6408</v>
      </c>
      <c r="AE53" s="110">
        <v>44856</v>
      </c>
      <c r="AF53" s="110">
        <v>6408</v>
      </c>
      <c r="AG53" s="110">
        <v>44856</v>
      </c>
      <c r="AH53" s="110">
        <v>6408</v>
      </c>
      <c r="AI53" s="110">
        <v>44856</v>
      </c>
      <c r="AJ53" s="110">
        <v>6408</v>
      </c>
      <c r="AK53" s="110">
        <v>44856</v>
      </c>
      <c r="AL53" s="110">
        <v>6408</v>
      </c>
      <c r="AM53" s="110">
        <v>44856</v>
      </c>
      <c r="AN53" s="110">
        <v>6408</v>
      </c>
      <c r="AO53" s="110">
        <v>44856</v>
      </c>
      <c r="AP53" s="110">
        <v>6408</v>
      </c>
      <c r="AQ53" s="110">
        <v>44856</v>
      </c>
      <c r="AR53" s="110">
        <v>6408</v>
      </c>
      <c r="AS53" s="110">
        <v>44856</v>
      </c>
      <c r="AT53" s="110">
        <v>0</v>
      </c>
      <c r="AU53" s="110">
        <v>44856</v>
      </c>
      <c r="AV53" s="110">
        <v>3204</v>
      </c>
      <c r="AW53" s="110">
        <v>38448</v>
      </c>
      <c r="AX53" s="110">
        <v>16020</v>
      </c>
      <c r="AY53" s="110">
        <v>38448</v>
      </c>
      <c r="AZ53" s="100">
        <f>SUM($D$53:$AY$53)</f>
        <v>1217520</v>
      </c>
    </row>
    <row r="54" spans="1:52">
      <c r="A54" s="110"/>
      <c r="B54" s="178" t="s">
        <v>351</v>
      </c>
      <c r="C54" s="110"/>
      <c r="D54" s="110">
        <v>20495.911033863358</v>
      </c>
      <c r="E54" s="110">
        <v>0</v>
      </c>
      <c r="F54" s="110">
        <v>20495.911033863384</v>
      </c>
      <c r="G54" s="110">
        <v>0</v>
      </c>
      <c r="H54" s="110">
        <v>20495.911033863384</v>
      </c>
      <c r="I54" s="110">
        <v>0</v>
      </c>
      <c r="J54" s="110">
        <v>20495.911033863384</v>
      </c>
      <c r="K54" s="110">
        <v>0</v>
      </c>
      <c r="L54" s="110">
        <v>20495.911033863384</v>
      </c>
      <c r="M54" s="110">
        <v>0</v>
      </c>
      <c r="N54" s="110">
        <v>20495.911033863384</v>
      </c>
      <c r="O54" s="110">
        <v>0</v>
      </c>
      <c r="P54" s="110">
        <v>20495.911033863384</v>
      </c>
      <c r="Q54" s="110">
        <v>0</v>
      </c>
      <c r="R54" s="110">
        <v>20495.911033863384</v>
      </c>
      <c r="S54" s="110">
        <v>0</v>
      </c>
      <c r="T54" s="110">
        <v>20495.911033863384</v>
      </c>
      <c r="U54" s="110">
        <v>0</v>
      </c>
      <c r="V54" s="110">
        <v>20495.911033863384</v>
      </c>
      <c r="W54" s="110">
        <v>0</v>
      </c>
      <c r="X54" s="110">
        <v>20495.911033863384</v>
      </c>
      <c r="Y54" s="110">
        <v>0</v>
      </c>
      <c r="Z54" s="110">
        <v>20495.911033863384</v>
      </c>
      <c r="AA54" s="110">
        <v>0</v>
      </c>
      <c r="AB54" s="110">
        <v>20495.911033863384</v>
      </c>
      <c r="AC54" s="110">
        <v>0</v>
      </c>
      <c r="AD54" s="110">
        <v>20495.911033863384</v>
      </c>
      <c r="AE54" s="110">
        <v>0</v>
      </c>
      <c r="AF54" s="110">
        <v>20495.911033863384</v>
      </c>
      <c r="AG54" s="110">
        <v>0</v>
      </c>
      <c r="AH54" s="110">
        <v>20495.911033863384</v>
      </c>
      <c r="AI54" s="110">
        <v>0</v>
      </c>
      <c r="AJ54" s="110">
        <v>20495.911033863384</v>
      </c>
      <c r="AK54" s="110">
        <v>0</v>
      </c>
      <c r="AL54" s="110">
        <v>20495.911033863384</v>
      </c>
      <c r="AM54" s="110">
        <v>0</v>
      </c>
      <c r="AN54" s="110">
        <v>20495.911033863384</v>
      </c>
      <c r="AO54" s="110">
        <v>0</v>
      </c>
      <c r="AP54" s="110">
        <v>20495.911033863384</v>
      </c>
      <c r="AQ54" s="110">
        <v>0</v>
      </c>
      <c r="AR54" s="110">
        <v>20495.911033863384</v>
      </c>
      <c r="AS54" s="110">
        <v>0</v>
      </c>
      <c r="AT54" s="110">
        <v>0</v>
      </c>
      <c r="AU54" s="110">
        <v>0</v>
      </c>
      <c r="AV54" s="110">
        <v>22231.41103386338</v>
      </c>
      <c r="AW54" s="110">
        <v>0</v>
      </c>
      <c r="AX54" s="110">
        <v>10496.028827090708</v>
      </c>
      <c r="AY54" s="110">
        <v>0</v>
      </c>
      <c r="AZ54" s="100">
        <f>SUM($D$54:$AY$54)</f>
        <v>463141.57157208497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2</v>
      </c>
      <c r="K63" s="110">
        <v>2</v>
      </c>
      <c r="L63" s="110">
        <v>2</v>
      </c>
      <c r="M63" s="110">
        <v>2</v>
      </c>
      <c r="N63" s="110">
        <v>2</v>
      </c>
      <c r="O63" s="110">
        <v>3</v>
      </c>
      <c r="P63" s="110">
        <v>2</v>
      </c>
      <c r="Q63" s="110">
        <v>4</v>
      </c>
      <c r="R63" s="110">
        <v>2</v>
      </c>
      <c r="S63" s="110">
        <v>4</v>
      </c>
      <c r="T63" s="110">
        <v>3</v>
      </c>
      <c r="U63" s="110">
        <v>2</v>
      </c>
      <c r="V63" s="110">
        <v>2</v>
      </c>
      <c r="W63" s="110">
        <v>2</v>
      </c>
      <c r="X63" s="110">
        <v>3</v>
      </c>
      <c r="Y63" s="110">
        <v>3</v>
      </c>
      <c r="Z63" s="110">
        <v>2</v>
      </c>
      <c r="AA63" s="110">
        <v>2</v>
      </c>
      <c r="AB63" s="110">
        <v>2</v>
      </c>
      <c r="AC63" s="110">
        <v>2</v>
      </c>
      <c r="AD63" s="110">
        <v>2</v>
      </c>
      <c r="AE63" s="110">
        <v>3</v>
      </c>
      <c r="AF63" s="110">
        <v>2</v>
      </c>
      <c r="AG63" s="110">
        <v>2</v>
      </c>
      <c r="AH63" s="110">
        <v>2</v>
      </c>
      <c r="AI63" s="110">
        <v>2</v>
      </c>
      <c r="AJ63" s="110">
        <v>2</v>
      </c>
      <c r="AK63" s="110">
        <v>3</v>
      </c>
      <c r="AL63" s="110">
        <v>4</v>
      </c>
      <c r="AM63" s="110">
        <v>3</v>
      </c>
      <c r="AN63" s="110">
        <v>3</v>
      </c>
      <c r="AO63" s="110">
        <v>2</v>
      </c>
      <c r="AP63" s="110">
        <v>2</v>
      </c>
      <c r="AQ63" s="110">
        <v>2</v>
      </c>
      <c r="AR63" s="110">
        <v>2</v>
      </c>
      <c r="AS63" s="110">
        <v>3</v>
      </c>
      <c r="AT63" s="110">
        <v>2</v>
      </c>
      <c r="AU63" s="110">
        <v>2</v>
      </c>
      <c r="AV63" s="110">
        <v>2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1598.9370904843595</v>
      </c>
      <c r="E7" s="144">
        <v>1598.9370904843595</v>
      </c>
      <c r="F7" s="144">
        <v>1598.9370904843595</v>
      </c>
      <c r="G7" s="144">
        <v>1598.9370904843595</v>
      </c>
      <c r="H7" s="144">
        <v>1918.7150062432088</v>
      </c>
      <c r="I7" s="144">
        <v>1918.7150062432088</v>
      </c>
      <c r="J7" s="144">
        <v>1918.7150062432088</v>
      </c>
      <c r="K7" s="144">
        <v>1918.7150062432088</v>
      </c>
      <c r="L7" s="144">
        <v>1598.9370904843595</v>
      </c>
      <c r="M7" s="144">
        <v>1598.9370904843595</v>
      </c>
      <c r="N7" s="144">
        <v>1598.9370904843595</v>
      </c>
      <c r="O7" s="144">
        <v>1598.9370904843595</v>
      </c>
      <c r="P7" s="144">
        <v>1598.9370904843595</v>
      </c>
      <c r="Q7" s="144">
        <v>1598.9370904843595</v>
      </c>
      <c r="R7" s="144">
        <v>1598.9370904843595</v>
      </c>
      <c r="S7" s="144">
        <v>1598.9370904843595</v>
      </c>
      <c r="T7" s="144">
        <v>1598.9370904843595</v>
      </c>
      <c r="U7" s="144">
        <v>1598.9370904843595</v>
      </c>
      <c r="V7" s="144">
        <v>1598.9370904843595</v>
      </c>
      <c r="W7" s="144">
        <v>1598.9370904843595</v>
      </c>
      <c r="X7" s="144">
        <v>1598.9370904843595</v>
      </c>
      <c r="Y7" s="144">
        <v>1598.9370904843595</v>
      </c>
      <c r="Z7" s="144">
        <v>1598.9370904843595</v>
      </c>
      <c r="AA7" s="144">
        <v>1598.9370904843595</v>
      </c>
      <c r="AB7" s="144">
        <v>1598.9370904843595</v>
      </c>
      <c r="AC7" s="144">
        <v>1598.9370904843595</v>
      </c>
      <c r="AD7" s="144">
        <v>1598.9370904843595</v>
      </c>
      <c r="AE7" s="144">
        <v>1598.9370904843595</v>
      </c>
      <c r="AF7" s="144">
        <v>1598.9370904843595</v>
      </c>
      <c r="AG7" s="144">
        <v>1598.9370904843595</v>
      </c>
      <c r="AH7" s="144">
        <v>1598.9370904843595</v>
      </c>
      <c r="AI7" s="144">
        <v>1598.9370904843595</v>
      </c>
      <c r="AJ7" s="144">
        <v>1598.9370904843595</v>
      </c>
      <c r="AK7" s="144">
        <v>1598.9370904843595</v>
      </c>
      <c r="AL7" s="144">
        <v>1598.9370904843595</v>
      </c>
      <c r="AM7" s="144">
        <v>1598.9370904843595</v>
      </c>
      <c r="AN7" s="144">
        <v>1598.9370904843595</v>
      </c>
      <c r="AO7" s="144">
        <v>1598.9370904843595</v>
      </c>
      <c r="AP7" s="144">
        <v>1598.9370904843595</v>
      </c>
      <c r="AQ7" s="144">
        <v>1598.9370904843595</v>
      </c>
      <c r="AR7" s="144">
        <v>1598.9370904843595</v>
      </c>
      <c r="AS7" s="144">
        <v>1598.9370904843595</v>
      </c>
      <c r="AT7" s="144">
        <v>1598.9370904843595</v>
      </c>
      <c r="AU7" s="144">
        <v>1598.9370904843595</v>
      </c>
      <c r="AV7" s="144">
        <v>1598.9370904843595</v>
      </c>
      <c r="AW7" s="144">
        <v>1598.9370904843595</v>
      </c>
      <c r="AX7" s="144">
        <v>1598.9370904843595</v>
      </c>
      <c r="AY7" s="144">
        <v>1598.9370904843595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1612.3778473657351</v>
      </c>
      <c r="D13" s="138">
        <f t="shared" ref="D13:AY13" si="1">D$7-D$10</f>
        <v>1598.9370904843595</v>
      </c>
      <c r="E13" s="138">
        <f t="shared" si="1"/>
        <v>1598.9370904843595</v>
      </c>
      <c r="F13" s="138">
        <f t="shared" si="1"/>
        <v>1598.9370904843595</v>
      </c>
      <c r="G13" s="138">
        <f t="shared" si="1"/>
        <v>1598.9370904843595</v>
      </c>
      <c r="H13" s="138">
        <f t="shared" si="1"/>
        <v>1918.7150062432088</v>
      </c>
      <c r="I13" s="138">
        <f t="shared" si="1"/>
        <v>1918.7150062432088</v>
      </c>
      <c r="J13" s="138">
        <f t="shared" si="1"/>
        <v>1918.7150062432088</v>
      </c>
      <c r="K13" s="138">
        <f t="shared" si="1"/>
        <v>1918.7150062432088</v>
      </c>
      <c r="L13" s="138">
        <f t="shared" si="1"/>
        <v>1598.9370904843595</v>
      </c>
      <c r="M13" s="138">
        <f t="shared" si="1"/>
        <v>1598.9370904843595</v>
      </c>
      <c r="N13" s="138">
        <f t="shared" si="1"/>
        <v>1598.9370904843595</v>
      </c>
      <c r="O13" s="138">
        <f t="shared" si="1"/>
        <v>1598.9370904843595</v>
      </c>
      <c r="P13" s="138">
        <f t="shared" si="1"/>
        <v>1598.9370904843595</v>
      </c>
      <c r="Q13" s="138">
        <f t="shared" si="1"/>
        <v>1598.9370904843595</v>
      </c>
      <c r="R13" s="138">
        <f t="shared" si="1"/>
        <v>1598.9370904843595</v>
      </c>
      <c r="S13" s="138">
        <f t="shared" si="1"/>
        <v>1598.9370904843595</v>
      </c>
      <c r="T13" s="138">
        <f t="shared" si="1"/>
        <v>1598.9370904843595</v>
      </c>
      <c r="U13" s="138">
        <f t="shared" si="1"/>
        <v>1598.9370904843595</v>
      </c>
      <c r="V13" s="138">
        <f t="shared" si="1"/>
        <v>1598.9370904843595</v>
      </c>
      <c r="W13" s="138">
        <f t="shared" si="1"/>
        <v>1598.9370904843595</v>
      </c>
      <c r="X13" s="138">
        <f t="shared" si="1"/>
        <v>1598.9370904843595</v>
      </c>
      <c r="Y13" s="138">
        <f t="shared" si="1"/>
        <v>1598.9370904843595</v>
      </c>
      <c r="Z13" s="138">
        <f t="shared" si="1"/>
        <v>1598.9370904843595</v>
      </c>
      <c r="AA13" s="138">
        <f t="shared" si="1"/>
        <v>1598.9370904843595</v>
      </c>
      <c r="AB13" s="138">
        <f t="shared" si="1"/>
        <v>1598.9370904843595</v>
      </c>
      <c r="AC13" s="138">
        <f t="shared" si="1"/>
        <v>1598.9370904843595</v>
      </c>
      <c r="AD13" s="138">
        <f t="shared" si="1"/>
        <v>1598.9370904843595</v>
      </c>
      <c r="AE13" s="138">
        <f t="shared" si="1"/>
        <v>1598.9370904843595</v>
      </c>
      <c r="AF13" s="138">
        <f t="shared" si="1"/>
        <v>1598.9370904843595</v>
      </c>
      <c r="AG13" s="138">
        <f t="shared" si="1"/>
        <v>1598.9370904843595</v>
      </c>
      <c r="AH13" s="138">
        <f t="shared" si="1"/>
        <v>1598.9370904843595</v>
      </c>
      <c r="AI13" s="138">
        <f t="shared" si="1"/>
        <v>1598.9370904843595</v>
      </c>
      <c r="AJ13" s="138">
        <f t="shared" si="1"/>
        <v>1598.9370904843595</v>
      </c>
      <c r="AK13" s="138">
        <f t="shared" si="1"/>
        <v>1598.9370904843595</v>
      </c>
      <c r="AL13" s="138">
        <f t="shared" si="1"/>
        <v>1598.9370904843595</v>
      </c>
      <c r="AM13" s="138">
        <f t="shared" si="1"/>
        <v>1598.9370904843595</v>
      </c>
      <c r="AN13" s="138">
        <f t="shared" si="1"/>
        <v>1598.9370904843595</v>
      </c>
      <c r="AO13" s="138">
        <f t="shared" si="1"/>
        <v>1598.9370904843595</v>
      </c>
      <c r="AP13" s="138">
        <f t="shared" si="1"/>
        <v>1598.9370904843595</v>
      </c>
      <c r="AQ13" s="138">
        <f t="shared" si="1"/>
        <v>1598.9370904843595</v>
      </c>
      <c r="AR13" s="138">
        <f t="shared" si="1"/>
        <v>1598.9370904843595</v>
      </c>
      <c r="AS13" s="138">
        <f t="shared" si="1"/>
        <v>1598.9370904843595</v>
      </c>
      <c r="AT13" s="138">
        <f t="shared" si="1"/>
        <v>1598.9370904843595</v>
      </c>
      <c r="AU13" s="138">
        <f t="shared" si="1"/>
        <v>1598.9370904843595</v>
      </c>
      <c r="AV13" s="138">
        <f t="shared" si="1"/>
        <v>1598.9370904843595</v>
      </c>
      <c r="AW13" s="138">
        <f t="shared" si="1"/>
        <v>1598.9370904843595</v>
      </c>
      <c r="AX13" s="138">
        <f t="shared" si="1"/>
        <v>1598.9370904843595</v>
      </c>
      <c r="AY13" s="138">
        <f t="shared" si="1"/>
        <v>1598.9370904843595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1598.9370904843595</v>
      </c>
      <c r="R14" s="106">
        <f t="shared" si="2"/>
        <v>0</v>
      </c>
      <c r="S14" s="106">
        <f t="shared" si="2"/>
        <v>0</v>
      </c>
      <c r="T14" s="106">
        <f t="shared" si="2"/>
        <v>1598.9370904843595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1598.9370904843595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 t="s">
        <v>339</v>
      </c>
      <c r="Q20" s="117"/>
      <c r="R20" s="117"/>
      <c r="S20" s="117" t="s">
        <v>339</v>
      </c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 t="s">
        <v>339</v>
      </c>
      <c r="AY20" s="117"/>
      <c r="AZ20" s="107"/>
    </row>
    <row r="21" spans="1:52" s="110" customFormat="1">
      <c r="A21" s="155" t="s">
        <v>133</v>
      </c>
      <c r="B21" s="156">
        <f>shipping_manufacturing!$E$19/100</f>
        <v>0.43216541301183464</v>
      </c>
      <c r="C21" s="156" t="s">
        <v>293</v>
      </c>
      <c r="D21" s="106">
        <f>IF(C$20="Yes",0,SUM(C$13:C$16)*$B$21)</f>
        <v>696.81393833794573</v>
      </c>
      <c r="E21" s="106">
        <f t="shared" ref="E21:AY21" si="3">IF(D$20="Yes",0,SUM(D$13:D$16)*$B$21)</f>
        <v>691.00530808911446</v>
      </c>
      <c r="F21" s="106">
        <f t="shared" si="3"/>
        <v>691.00530808911446</v>
      </c>
      <c r="G21" s="106">
        <f t="shared" si="3"/>
        <v>691.00530808911446</v>
      </c>
      <c r="H21" s="106">
        <f t="shared" si="3"/>
        <v>691.00530808911446</v>
      </c>
      <c r="I21" s="106">
        <f t="shared" si="3"/>
        <v>829.20226312510124</v>
      </c>
      <c r="J21" s="106">
        <f t="shared" si="3"/>
        <v>829.20226312510124</v>
      </c>
      <c r="K21" s="106">
        <f t="shared" si="3"/>
        <v>829.20226312510124</v>
      </c>
      <c r="L21" s="106">
        <f t="shared" si="3"/>
        <v>829.20226312510124</v>
      </c>
      <c r="M21" s="106">
        <f t="shared" si="3"/>
        <v>691.00530808911446</v>
      </c>
      <c r="N21" s="106">
        <f t="shared" si="3"/>
        <v>691.00530808911446</v>
      </c>
      <c r="O21" s="106">
        <f t="shared" si="3"/>
        <v>691.00530808911446</v>
      </c>
      <c r="P21" s="106">
        <f t="shared" si="3"/>
        <v>691.00530808911446</v>
      </c>
      <c r="Q21" s="106">
        <f t="shared" si="3"/>
        <v>0</v>
      </c>
      <c r="R21" s="106">
        <f t="shared" si="3"/>
        <v>1382.0106161782289</v>
      </c>
      <c r="S21" s="106">
        <f t="shared" si="3"/>
        <v>691.00530808911446</v>
      </c>
      <c r="T21" s="106">
        <f t="shared" si="3"/>
        <v>0</v>
      </c>
      <c r="U21" s="106">
        <f t="shared" si="3"/>
        <v>1382.0106161782289</v>
      </c>
      <c r="V21" s="106">
        <f t="shared" si="3"/>
        <v>691.00530808911446</v>
      </c>
      <c r="W21" s="106">
        <f t="shared" si="3"/>
        <v>691.00530808911446</v>
      </c>
      <c r="X21" s="106">
        <f t="shared" si="3"/>
        <v>691.00530808911446</v>
      </c>
      <c r="Y21" s="106">
        <f t="shared" si="3"/>
        <v>691.00530808911446</v>
      </c>
      <c r="Z21" s="106">
        <f t="shared" si="3"/>
        <v>691.00530808911446</v>
      </c>
      <c r="AA21" s="106">
        <f t="shared" si="3"/>
        <v>691.00530808911446</v>
      </c>
      <c r="AB21" s="106">
        <f t="shared" si="3"/>
        <v>691.00530808911446</v>
      </c>
      <c r="AC21" s="106">
        <f t="shared" si="3"/>
        <v>691.00530808911446</v>
      </c>
      <c r="AD21" s="106">
        <f t="shared" si="3"/>
        <v>691.00530808911446</v>
      </c>
      <c r="AE21" s="106">
        <f t="shared" si="3"/>
        <v>691.00530808911446</v>
      </c>
      <c r="AF21" s="106">
        <f t="shared" si="3"/>
        <v>691.00530808911446</v>
      </c>
      <c r="AG21" s="106">
        <f t="shared" si="3"/>
        <v>691.00530808911446</v>
      </c>
      <c r="AH21" s="106">
        <f t="shared" si="3"/>
        <v>691.00530808911446</v>
      </c>
      <c r="AI21" s="106">
        <f t="shared" si="3"/>
        <v>691.00530808911446</v>
      </c>
      <c r="AJ21" s="106">
        <f t="shared" si="3"/>
        <v>691.00530808911446</v>
      </c>
      <c r="AK21" s="106">
        <f t="shared" si="3"/>
        <v>691.00530808911446</v>
      </c>
      <c r="AL21" s="106">
        <f t="shared" si="3"/>
        <v>691.00530808911446</v>
      </c>
      <c r="AM21" s="106">
        <f t="shared" si="3"/>
        <v>691.00530808911446</v>
      </c>
      <c r="AN21" s="106">
        <f t="shared" si="3"/>
        <v>691.00530808911446</v>
      </c>
      <c r="AO21" s="106">
        <f t="shared" si="3"/>
        <v>691.00530808911446</v>
      </c>
      <c r="AP21" s="106">
        <f t="shared" si="3"/>
        <v>691.00530808911446</v>
      </c>
      <c r="AQ21" s="106">
        <f t="shared" si="3"/>
        <v>691.00530808911446</v>
      </c>
      <c r="AR21" s="106">
        <f t="shared" si="3"/>
        <v>691.00530808911446</v>
      </c>
      <c r="AS21" s="106">
        <f t="shared" si="3"/>
        <v>691.00530808911446</v>
      </c>
      <c r="AT21" s="106">
        <f t="shared" si="3"/>
        <v>691.00530808911446</v>
      </c>
      <c r="AU21" s="106">
        <f t="shared" si="3"/>
        <v>691.00530808911446</v>
      </c>
      <c r="AV21" s="106">
        <f t="shared" si="3"/>
        <v>691.00530808911446</v>
      </c>
      <c r="AW21" s="106">
        <f t="shared" si="3"/>
        <v>691.00530808911446</v>
      </c>
      <c r="AX21" s="106">
        <f t="shared" si="3"/>
        <v>691.00530808911446</v>
      </c>
      <c r="AY21" s="106">
        <f t="shared" si="3"/>
        <v>0</v>
      </c>
      <c r="AZ21" s="157">
        <f>SUM($D21:$AY21)</f>
        <v>33035.845930581185</v>
      </c>
    </row>
    <row r="22" spans="1:52" s="110" customFormat="1">
      <c r="A22" s="158" t="s">
        <v>123</v>
      </c>
      <c r="B22" s="159">
        <f>1-$B$21</f>
        <v>0.56783458698816536</v>
      </c>
      <c r="C22" s="159" t="s">
        <v>293</v>
      </c>
      <c r="D22" s="114">
        <f>IF(C$20="Yes",0,SUM(C$13:C$16)*$B$22)</f>
        <v>915.56390902778935</v>
      </c>
      <c r="E22" s="114">
        <f t="shared" ref="E22:AY22" si="4">IF(D$20="Yes",0,SUM(D$13:D$16)*$B$22)</f>
        <v>907.93178239524502</v>
      </c>
      <c r="F22" s="114">
        <f t="shared" si="4"/>
        <v>907.93178239524502</v>
      </c>
      <c r="G22" s="114">
        <f t="shared" si="4"/>
        <v>907.93178239524502</v>
      </c>
      <c r="H22" s="114">
        <f t="shared" si="4"/>
        <v>907.93178239524502</v>
      </c>
      <c r="I22" s="114">
        <f t="shared" si="4"/>
        <v>1089.5127431181077</v>
      </c>
      <c r="J22" s="114">
        <f t="shared" si="4"/>
        <v>1089.5127431181077</v>
      </c>
      <c r="K22" s="114">
        <f t="shared" si="4"/>
        <v>1089.5127431181077</v>
      </c>
      <c r="L22" s="114">
        <f t="shared" si="4"/>
        <v>1089.5127431181077</v>
      </c>
      <c r="M22" s="114">
        <f t="shared" si="4"/>
        <v>907.93178239524502</v>
      </c>
      <c r="N22" s="114">
        <f t="shared" si="4"/>
        <v>907.93178239524502</v>
      </c>
      <c r="O22" s="114">
        <f t="shared" si="4"/>
        <v>907.93178239524502</v>
      </c>
      <c r="P22" s="114">
        <f t="shared" si="4"/>
        <v>907.93178239524502</v>
      </c>
      <c r="Q22" s="114">
        <f t="shared" si="4"/>
        <v>0</v>
      </c>
      <c r="R22" s="114">
        <f t="shared" si="4"/>
        <v>1815.86356479049</v>
      </c>
      <c r="S22" s="114">
        <f t="shared" si="4"/>
        <v>907.93178239524502</v>
      </c>
      <c r="T22" s="114">
        <f t="shared" si="4"/>
        <v>0</v>
      </c>
      <c r="U22" s="114">
        <f t="shared" si="4"/>
        <v>1815.86356479049</v>
      </c>
      <c r="V22" s="114">
        <f t="shared" si="4"/>
        <v>907.93178239524502</v>
      </c>
      <c r="W22" s="114">
        <f t="shared" si="4"/>
        <v>907.93178239524502</v>
      </c>
      <c r="X22" s="114">
        <f t="shared" si="4"/>
        <v>907.93178239524502</v>
      </c>
      <c r="Y22" s="114">
        <f t="shared" si="4"/>
        <v>907.93178239524502</v>
      </c>
      <c r="Z22" s="114">
        <f t="shared" si="4"/>
        <v>907.93178239524502</v>
      </c>
      <c r="AA22" s="114">
        <f t="shared" si="4"/>
        <v>907.93178239524502</v>
      </c>
      <c r="AB22" s="114">
        <f t="shared" si="4"/>
        <v>907.93178239524502</v>
      </c>
      <c r="AC22" s="114">
        <f t="shared" si="4"/>
        <v>907.93178239524502</v>
      </c>
      <c r="AD22" s="114">
        <f t="shared" si="4"/>
        <v>907.93178239524502</v>
      </c>
      <c r="AE22" s="114">
        <f t="shared" si="4"/>
        <v>907.93178239524502</v>
      </c>
      <c r="AF22" s="114">
        <f t="shared" si="4"/>
        <v>907.93178239524502</v>
      </c>
      <c r="AG22" s="114">
        <f t="shared" si="4"/>
        <v>907.93178239524502</v>
      </c>
      <c r="AH22" s="114">
        <f t="shared" si="4"/>
        <v>907.93178239524502</v>
      </c>
      <c r="AI22" s="114">
        <f t="shared" si="4"/>
        <v>907.93178239524502</v>
      </c>
      <c r="AJ22" s="114">
        <f t="shared" si="4"/>
        <v>907.93178239524502</v>
      </c>
      <c r="AK22" s="114">
        <f t="shared" si="4"/>
        <v>907.93178239524502</v>
      </c>
      <c r="AL22" s="114">
        <f t="shared" si="4"/>
        <v>907.93178239524502</v>
      </c>
      <c r="AM22" s="114">
        <f t="shared" si="4"/>
        <v>907.93178239524502</v>
      </c>
      <c r="AN22" s="114">
        <f t="shared" si="4"/>
        <v>907.93178239524502</v>
      </c>
      <c r="AO22" s="114">
        <f t="shared" si="4"/>
        <v>907.93178239524502</v>
      </c>
      <c r="AP22" s="114">
        <f t="shared" si="4"/>
        <v>907.93178239524502</v>
      </c>
      <c r="AQ22" s="114">
        <f t="shared" si="4"/>
        <v>907.93178239524502</v>
      </c>
      <c r="AR22" s="114">
        <f t="shared" si="4"/>
        <v>907.93178239524502</v>
      </c>
      <c r="AS22" s="114">
        <f t="shared" si="4"/>
        <v>907.93178239524502</v>
      </c>
      <c r="AT22" s="114">
        <f t="shared" si="4"/>
        <v>907.93178239524502</v>
      </c>
      <c r="AU22" s="114">
        <f t="shared" si="4"/>
        <v>907.93178239524502</v>
      </c>
      <c r="AV22" s="114">
        <f t="shared" si="4"/>
        <v>907.93178239524502</v>
      </c>
      <c r="AW22" s="114">
        <f t="shared" si="4"/>
        <v>907.93178239524502</v>
      </c>
      <c r="AX22" s="114">
        <f t="shared" si="4"/>
        <v>907.93178239524502</v>
      </c>
      <c r="AY22" s="114">
        <f t="shared" si="4"/>
        <v>0</v>
      </c>
      <c r="AZ22" s="141">
        <f t="shared" ref="AZ22:AZ30" si="5">SUM($D22:$AY22)</f>
        <v>43406.749742100488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1393627.8766758915</v>
      </c>
      <c r="E23" s="100">
        <f t="shared" ref="E23:AY23" si="6">E$21*$B$23</f>
        <v>1382010.616178229</v>
      </c>
      <c r="F23" s="100">
        <f t="shared" si="6"/>
        <v>1382010.616178229</v>
      </c>
      <c r="G23" s="100">
        <f t="shared" si="6"/>
        <v>1382010.616178229</v>
      </c>
      <c r="H23" s="100">
        <f t="shared" si="6"/>
        <v>1382010.616178229</v>
      </c>
      <c r="I23" s="100">
        <f t="shared" si="6"/>
        <v>1658404.5262502024</v>
      </c>
      <c r="J23" s="100">
        <f t="shared" si="6"/>
        <v>1658404.5262502024</v>
      </c>
      <c r="K23" s="100">
        <f t="shared" si="6"/>
        <v>1658404.5262502024</v>
      </c>
      <c r="L23" s="100">
        <f t="shared" si="6"/>
        <v>1658404.5262502024</v>
      </c>
      <c r="M23" s="100">
        <f t="shared" si="6"/>
        <v>1382010.616178229</v>
      </c>
      <c r="N23" s="100">
        <f t="shared" si="6"/>
        <v>1382010.616178229</v>
      </c>
      <c r="O23" s="100">
        <f t="shared" si="6"/>
        <v>1382010.616178229</v>
      </c>
      <c r="P23" s="100">
        <f t="shared" si="6"/>
        <v>1382010.616178229</v>
      </c>
      <c r="Q23" s="100">
        <f t="shared" si="6"/>
        <v>0</v>
      </c>
      <c r="R23" s="100">
        <f t="shared" si="6"/>
        <v>2764021.232356458</v>
      </c>
      <c r="S23" s="100">
        <f t="shared" si="6"/>
        <v>1382010.616178229</v>
      </c>
      <c r="T23" s="100">
        <f t="shared" si="6"/>
        <v>0</v>
      </c>
      <c r="U23" s="100">
        <f t="shared" si="6"/>
        <v>2764021.232356458</v>
      </c>
      <c r="V23" s="100">
        <f t="shared" si="6"/>
        <v>1382010.616178229</v>
      </c>
      <c r="W23" s="100">
        <f t="shared" si="6"/>
        <v>1382010.616178229</v>
      </c>
      <c r="X23" s="100">
        <f t="shared" si="6"/>
        <v>1382010.616178229</v>
      </c>
      <c r="Y23" s="100">
        <f t="shared" si="6"/>
        <v>1382010.616178229</v>
      </c>
      <c r="Z23" s="100">
        <f t="shared" si="6"/>
        <v>1382010.616178229</v>
      </c>
      <c r="AA23" s="100">
        <f t="shared" si="6"/>
        <v>1382010.616178229</v>
      </c>
      <c r="AB23" s="100">
        <f t="shared" si="6"/>
        <v>1382010.616178229</v>
      </c>
      <c r="AC23" s="100">
        <f t="shared" si="6"/>
        <v>1382010.616178229</v>
      </c>
      <c r="AD23" s="100">
        <f t="shared" si="6"/>
        <v>1382010.616178229</v>
      </c>
      <c r="AE23" s="100">
        <f t="shared" si="6"/>
        <v>1382010.616178229</v>
      </c>
      <c r="AF23" s="100">
        <f t="shared" si="6"/>
        <v>1382010.616178229</v>
      </c>
      <c r="AG23" s="100">
        <f t="shared" si="6"/>
        <v>1382010.616178229</v>
      </c>
      <c r="AH23" s="100">
        <f t="shared" si="6"/>
        <v>1382010.616178229</v>
      </c>
      <c r="AI23" s="100">
        <f t="shared" si="6"/>
        <v>1382010.616178229</v>
      </c>
      <c r="AJ23" s="100">
        <f t="shared" si="6"/>
        <v>1382010.616178229</v>
      </c>
      <c r="AK23" s="100">
        <f t="shared" si="6"/>
        <v>1382010.616178229</v>
      </c>
      <c r="AL23" s="100">
        <f t="shared" si="6"/>
        <v>1382010.616178229</v>
      </c>
      <c r="AM23" s="100">
        <f t="shared" si="6"/>
        <v>1382010.616178229</v>
      </c>
      <c r="AN23" s="100">
        <f t="shared" si="6"/>
        <v>1382010.616178229</v>
      </c>
      <c r="AO23" s="100">
        <f t="shared" si="6"/>
        <v>1382010.616178229</v>
      </c>
      <c r="AP23" s="100">
        <f t="shared" si="6"/>
        <v>1382010.616178229</v>
      </c>
      <c r="AQ23" s="100">
        <f t="shared" si="6"/>
        <v>1382010.616178229</v>
      </c>
      <c r="AR23" s="100">
        <f t="shared" si="6"/>
        <v>1382010.616178229</v>
      </c>
      <c r="AS23" s="100">
        <f t="shared" si="6"/>
        <v>1382010.616178229</v>
      </c>
      <c r="AT23" s="100">
        <f t="shared" si="6"/>
        <v>1382010.616178229</v>
      </c>
      <c r="AU23" s="100">
        <f t="shared" si="6"/>
        <v>1382010.616178229</v>
      </c>
      <c r="AV23" s="100">
        <f t="shared" si="6"/>
        <v>1382010.616178229</v>
      </c>
      <c r="AW23" s="100">
        <f t="shared" si="6"/>
        <v>1382010.616178229</v>
      </c>
      <c r="AX23" s="100">
        <f t="shared" si="6"/>
        <v>1382010.616178229</v>
      </c>
      <c r="AY23" s="100">
        <f t="shared" si="6"/>
        <v>0</v>
      </c>
      <c r="AZ23" s="139">
        <f t="shared" si="5"/>
        <v>66071691.861162335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915563.90902778937</v>
      </c>
      <c r="E24" s="106">
        <f t="shared" ref="E24:AY24" si="7">E$22*$B$24</f>
        <v>907931.78239524504</v>
      </c>
      <c r="F24" s="106">
        <f t="shared" si="7"/>
        <v>907931.78239524504</v>
      </c>
      <c r="G24" s="106">
        <f t="shared" si="7"/>
        <v>907931.78239524504</v>
      </c>
      <c r="H24" s="106">
        <f t="shared" si="7"/>
        <v>907931.78239524504</v>
      </c>
      <c r="I24" s="106">
        <f t="shared" si="7"/>
        <v>1089512.7431181076</v>
      </c>
      <c r="J24" s="106">
        <f t="shared" si="7"/>
        <v>1089512.7431181076</v>
      </c>
      <c r="K24" s="106">
        <f t="shared" si="7"/>
        <v>1089512.7431181076</v>
      </c>
      <c r="L24" s="106">
        <f t="shared" si="7"/>
        <v>1089512.7431181076</v>
      </c>
      <c r="M24" s="106">
        <f t="shared" si="7"/>
        <v>907931.78239524504</v>
      </c>
      <c r="N24" s="106">
        <f t="shared" si="7"/>
        <v>907931.78239524504</v>
      </c>
      <c r="O24" s="106">
        <f t="shared" si="7"/>
        <v>907931.78239524504</v>
      </c>
      <c r="P24" s="106">
        <f t="shared" si="7"/>
        <v>907931.78239524504</v>
      </c>
      <c r="Q24" s="106">
        <f t="shared" si="7"/>
        <v>0</v>
      </c>
      <c r="R24" s="106">
        <f t="shared" si="7"/>
        <v>1815863.5647904901</v>
      </c>
      <c r="S24" s="106">
        <f t="shared" si="7"/>
        <v>907931.78239524504</v>
      </c>
      <c r="T24" s="106">
        <f t="shared" si="7"/>
        <v>0</v>
      </c>
      <c r="U24" s="106">
        <f t="shared" si="7"/>
        <v>1815863.5647904901</v>
      </c>
      <c r="V24" s="106">
        <f t="shared" si="7"/>
        <v>907931.78239524504</v>
      </c>
      <c r="W24" s="106">
        <f t="shared" si="7"/>
        <v>907931.78239524504</v>
      </c>
      <c r="X24" s="106">
        <f t="shared" si="7"/>
        <v>907931.78239524504</v>
      </c>
      <c r="Y24" s="106">
        <f t="shared" si="7"/>
        <v>907931.78239524504</v>
      </c>
      <c r="Z24" s="106">
        <f t="shared" si="7"/>
        <v>907931.78239524504</v>
      </c>
      <c r="AA24" s="106">
        <f t="shared" si="7"/>
        <v>907931.78239524504</v>
      </c>
      <c r="AB24" s="106">
        <f t="shared" si="7"/>
        <v>907931.78239524504</v>
      </c>
      <c r="AC24" s="106">
        <f t="shared" si="7"/>
        <v>907931.78239524504</v>
      </c>
      <c r="AD24" s="106">
        <f t="shared" si="7"/>
        <v>907931.78239524504</v>
      </c>
      <c r="AE24" s="106">
        <f t="shared" si="7"/>
        <v>907931.78239524504</v>
      </c>
      <c r="AF24" s="106">
        <f t="shared" si="7"/>
        <v>907931.78239524504</v>
      </c>
      <c r="AG24" s="106">
        <f t="shared" si="7"/>
        <v>907931.78239524504</v>
      </c>
      <c r="AH24" s="106">
        <f t="shared" si="7"/>
        <v>907931.78239524504</v>
      </c>
      <c r="AI24" s="106">
        <f t="shared" si="7"/>
        <v>907931.78239524504</v>
      </c>
      <c r="AJ24" s="106">
        <f t="shared" si="7"/>
        <v>907931.78239524504</v>
      </c>
      <c r="AK24" s="106">
        <f t="shared" si="7"/>
        <v>907931.78239524504</v>
      </c>
      <c r="AL24" s="106">
        <f t="shared" si="7"/>
        <v>907931.78239524504</v>
      </c>
      <c r="AM24" s="106">
        <f t="shared" si="7"/>
        <v>907931.78239524504</v>
      </c>
      <c r="AN24" s="106">
        <f t="shared" si="7"/>
        <v>907931.78239524504</v>
      </c>
      <c r="AO24" s="106">
        <f t="shared" si="7"/>
        <v>907931.78239524504</v>
      </c>
      <c r="AP24" s="106">
        <f t="shared" si="7"/>
        <v>907931.78239524504</v>
      </c>
      <c r="AQ24" s="106">
        <f t="shared" si="7"/>
        <v>907931.78239524504</v>
      </c>
      <c r="AR24" s="106">
        <f t="shared" si="7"/>
        <v>907931.78239524504</v>
      </c>
      <c r="AS24" s="106">
        <f t="shared" si="7"/>
        <v>907931.78239524504</v>
      </c>
      <c r="AT24" s="106">
        <f t="shared" si="7"/>
        <v>907931.78239524504</v>
      </c>
      <c r="AU24" s="106">
        <f t="shared" si="7"/>
        <v>907931.78239524504</v>
      </c>
      <c r="AV24" s="106">
        <f t="shared" si="7"/>
        <v>907931.78239524504</v>
      </c>
      <c r="AW24" s="106">
        <f t="shared" si="7"/>
        <v>907931.78239524504</v>
      </c>
      <c r="AX24" s="106">
        <f t="shared" si="7"/>
        <v>907931.78239524504</v>
      </c>
      <c r="AY24" s="106">
        <f t="shared" si="7"/>
        <v>0</v>
      </c>
      <c r="AZ24" s="141">
        <f t="shared" si="5"/>
        <v>43406749.74210047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86.285303393280572</v>
      </c>
      <c r="E33" s="124">
        <f>E$21*shipping_manufacturing!$F$27/100</f>
        <v>85.566030434253278</v>
      </c>
      <c r="F33" s="124">
        <f>F$21*shipping_manufacturing!$F$27/100</f>
        <v>85.566030434253278</v>
      </c>
      <c r="G33" s="124">
        <f>G$21*shipping_manufacturing!$F$27/100</f>
        <v>85.566030434253278</v>
      </c>
      <c r="H33" s="124">
        <f>H$21*shipping_manufacturing!$F$27/100</f>
        <v>85.566030434253278</v>
      </c>
      <c r="I33" s="124">
        <f>I$21*shipping_manufacturing!$F$27/100</f>
        <v>102.67872800995032</v>
      </c>
      <c r="J33" s="124">
        <f>J$21*shipping_manufacturing!$F$27/100</f>
        <v>102.67872800995032</v>
      </c>
      <c r="K33" s="124">
        <f>K$21*shipping_manufacturing!$F$27/100</f>
        <v>102.67872800995032</v>
      </c>
      <c r="L33" s="124">
        <f>L$21*shipping_manufacturing!$F$27/100</f>
        <v>102.67872800995032</v>
      </c>
      <c r="M33" s="124">
        <f>M$21*shipping_manufacturing!$F$27/100</f>
        <v>85.566030434253278</v>
      </c>
      <c r="N33" s="124">
        <f>N$21*shipping_manufacturing!$F$27/100</f>
        <v>85.566030434253278</v>
      </c>
      <c r="O33" s="124">
        <f>O$21*shipping_manufacturing!$F$27/100</f>
        <v>85.566030434253278</v>
      </c>
      <c r="P33" s="124">
        <f>P$21*shipping_manufacturing!$F$27/100</f>
        <v>85.566030434253278</v>
      </c>
      <c r="Q33" s="124">
        <f>Q$21*shipping_manufacturing!$F$27/100</f>
        <v>0</v>
      </c>
      <c r="R33" s="124">
        <f>R$21*shipping_manufacturing!$F$27/100</f>
        <v>171.13206086850656</v>
      </c>
      <c r="S33" s="124">
        <f>S$21*shipping_manufacturing!$F$27/100</f>
        <v>85.566030434253278</v>
      </c>
      <c r="T33" s="124">
        <f>T$21*shipping_manufacturing!$F$27/100</f>
        <v>0</v>
      </c>
      <c r="U33" s="124">
        <f>U$21*shipping_manufacturing!$F$27/100</f>
        <v>171.13206086850656</v>
      </c>
      <c r="V33" s="124">
        <f>V$21*shipping_manufacturing!$F$27/100</f>
        <v>85.566030434253278</v>
      </c>
      <c r="W33" s="124">
        <f>W$21*shipping_manufacturing!$F$27/100</f>
        <v>85.566030434253278</v>
      </c>
      <c r="X33" s="124">
        <f>X$21*shipping_manufacturing!$F$27/100</f>
        <v>85.566030434253278</v>
      </c>
      <c r="Y33" s="124">
        <f>Y$21*shipping_manufacturing!$F$27/100</f>
        <v>85.566030434253278</v>
      </c>
      <c r="Z33" s="124">
        <f>Z$21*shipping_manufacturing!$F$27/100</f>
        <v>85.566030434253278</v>
      </c>
      <c r="AA33" s="124">
        <f>AA$21*shipping_manufacturing!$F$27/100</f>
        <v>85.566030434253278</v>
      </c>
      <c r="AB33" s="124">
        <f>AB$21*shipping_manufacturing!$F$27/100</f>
        <v>85.566030434253278</v>
      </c>
      <c r="AC33" s="124">
        <f>AC$21*shipping_manufacturing!$F$27/100</f>
        <v>85.566030434253278</v>
      </c>
      <c r="AD33" s="124">
        <f>AD$21*shipping_manufacturing!$F$27/100</f>
        <v>85.566030434253278</v>
      </c>
      <c r="AE33" s="124">
        <f>AE$21*shipping_manufacturing!$F$27/100</f>
        <v>85.566030434253278</v>
      </c>
      <c r="AF33" s="124">
        <f>AF$21*shipping_manufacturing!$F$27/100</f>
        <v>85.566030434253278</v>
      </c>
      <c r="AG33" s="124">
        <f>AG$21*shipping_manufacturing!$F$27/100</f>
        <v>85.566030434253278</v>
      </c>
      <c r="AH33" s="124">
        <f>AH$21*shipping_manufacturing!$F$27/100</f>
        <v>85.566030434253278</v>
      </c>
      <c r="AI33" s="124">
        <f>AI$21*shipping_manufacturing!$F$27/100</f>
        <v>85.566030434253278</v>
      </c>
      <c r="AJ33" s="124">
        <f>AJ$21*shipping_manufacturing!$F$27/100</f>
        <v>85.566030434253278</v>
      </c>
      <c r="AK33" s="124">
        <f>AK$21*shipping_manufacturing!$F$27/100</f>
        <v>85.566030434253278</v>
      </c>
      <c r="AL33" s="124">
        <f>AL$21*shipping_manufacturing!$F$27/100</f>
        <v>85.566030434253278</v>
      </c>
      <c r="AM33" s="124">
        <f>AM$21*shipping_manufacturing!$F$27/100</f>
        <v>85.566030434253278</v>
      </c>
      <c r="AN33" s="124">
        <f>AN$21*shipping_manufacturing!$F$27/100</f>
        <v>85.566030434253278</v>
      </c>
      <c r="AO33" s="124">
        <f>AO$21*shipping_manufacturing!$F$27/100</f>
        <v>85.566030434253278</v>
      </c>
      <c r="AP33" s="124">
        <f>AP$21*shipping_manufacturing!$F$27/100</f>
        <v>85.566030434253278</v>
      </c>
      <c r="AQ33" s="124">
        <f>AQ$21*shipping_manufacturing!$F$27/100</f>
        <v>85.566030434253278</v>
      </c>
      <c r="AR33" s="124">
        <f>AR$21*shipping_manufacturing!$F$27/100</f>
        <v>85.566030434253278</v>
      </c>
      <c r="AS33" s="124">
        <f>AS$21*shipping_manufacturing!$F$27/100</f>
        <v>85.566030434253278</v>
      </c>
      <c r="AT33" s="124">
        <f>AT$21*shipping_manufacturing!$F$27/100</f>
        <v>85.566030434253278</v>
      </c>
      <c r="AU33" s="124">
        <f>AU$21*shipping_manufacturing!$F$27/100</f>
        <v>85.566030434253278</v>
      </c>
      <c r="AV33" s="124">
        <f>AV$21*shipping_manufacturing!$F$27/100</f>
        <v>85.566030434253278</v>
      </c>
      <c r="AW33" s="124">
        <f>AW$21*shipping_manufacturing!$F$27/100</f>
        <v>85.566030434253278</v>
      </c>
      <c r="AX33" s="124">
        <f>AX$21*shipping_manufacturing!$F$27/100</f>
        <v>85.566030434253278</v>
      </c>
      <c r="AY33" s="124">
        <f>AY$21*shipping_manufacturing!$F$27/100</f>
        <v>0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83.096780492971504</v>
      </c>
      <c r="E34" s="110">
        <f>E$22*shipping_manufacturing!$G$27/100</f>
        <v>82.404087011691161</v>
      </c>
      <c r="F34" s="110">
        <f>F$22*shipping_manufacturing!$G$27/100</f>
        <v>82.404087011691161</v>
      </c>
      <c r="G34" s="110">
        <f>G$22*shipping_manufacturing!$G$27/100</f>
        <v>82.404087011691161</v>
      </c>
      <c r="H34" s="110">
        <f>H$22*shipping_manufacturing!$G$27/100</f>
        <v>82.404087011691161</v>
      </c>
      <c r="I34" s="110">
        <f>I$22*shipping_manufacturing!$G$27/100</f>
        <v>98.884414694018602</v>
      </c>
      <c r="J34" s="110">
        <f>J$22*shipping_manufacturing!$G$27/100</f>
        <v>98.884414694018602</v>
      </c>
      <c r="K34" s="110">
        <f>K$22*shipping_manufacturing!$G$27/100</f>
        <v>98.884414694018602</v>
      </c>
      <c r="L34" s="110">
        <f>L$22*shipping_manufacturing!$G$27/100</f>
        <v>98.884414694018602</v>
      </c>
      <c r="M34" s="110">
        <f>M$22*shipping_manufacturing!$G$27/100</f>
        <v>82.404087011691161</v>
      </c>
      <c r="N34" s="110">
        <f>N$22*shipping_manufacturing!$G$27/100</f>
        <v>82.404087011691161</v>
      </c>
      <c r="O34" s="110">
        <f>O$22*shipping_manufacturing!$G$27/100</f>
        <v>82.404087011691161</v>
      </c>
      <c r="P34" s="110">
        <f>P$22*shipping_manufacturing!$G$27/100</f>
        <v>82.404087011691161</v>
      </c>
      <c r="Q34" s="110">
        <f>Q$22*shipping_manufacturing!$G$27/100</f>
        <v>0</v>
      </c>
      <c r="R34" s="110">
        <f>R$22*shipping_manufacturing!$G$27/100</f>
        <v>164.80817402338232</v>
      </c>
      <c r="S34" s="110">
        <f>S$22*shipping_manufacturing!$G$27/100</f>
        <v>82.404087011691161</v>
      </c>
      <c r="T34" s="110">
        <f>T$22*shipping_manufacturing!$G$27/100</f>
        <v>0</v>
      </c>
      <c r="U34" s="110">
        <f>U$22*shipping_manufacturing!$G$27/100</f>
        <v>164.80817402338232</v>
      </c>
      <c r="V34" s="110">
        <f>V$22*shipping_manufacturing!$G$27/100</f>
        <v>82.404087011691161</v>
      </c>
      <c r="W34" s="110">
        <f>W$22*shipping_manufacturing!$G$27/100</f>
        <v>82.404087011691161</v>
      </c>
      <c r="X34" s="110">
        <f>X$22*shipping_manufacturing!$G$27/100</f>
        <v>82.404087011691161</v>
      </c>
      <c r="Y34" s="110">
        <f>Y$22*shipping_manufacturing!$G$27/100</f>
        <v>82.404087011691161</v>
      </c>
      <c r="Z34" s="110">
        <f>Z$22*shipping_manufacturing!$G$27/100</f>
        <v>82.404087011691161</v>
      </c>
      <c r="AA34" s="110">
        <f>AA$22*shipping_manufacturing!$G$27/100</f>
        <v>82.404087011691161</v>
      </c>
      <c r="AB34" s="110">
        <f>AB$22*shipping_manufacturing!$G$27/100</f>
        <v>82.404087011691161</v>
      </c>
      <c r="AC34" s="110">
        <f>AC$22*shipping_manufacturing!$G$27/100</f>
        <v>82.404087011691161</v>
      </c>
      <c r="AD34" s="110">
        <f>AD$22*shipping_manufacturing!$G$27/100</f>
        <v>82.404087011691161</v>
      </c>
      <c r="AE34" s="110">
        <f>AE$22*shipping_manufacturing!$G$27/100</f>
        <v>82.404087011691161</v>
      </c>
      <c r="AF34" s="110">
        <f>AF$22*shipping_manufacturing!$G$27/100</f>
        <v>82.404087011691161</v>
      </c>
      <c r="AG34" s="110">
        <f>AG$22*shipping_manufacturing!$G$27/100</f>
        <v>82.404087011691161</v>
      </c>
      <c r="AH34" s="110">
        <f>AH$22*shipping_manufacturing!$G$27/100</f>
        <v>82.404087011691161</v>
      </c>
      <c r="AI34" s="110">
        <f>AI$22*shipping_manufacturing!$G$27/100</f>
        <v>82.404087011691161</v>
      </c>
      <c r="AJ34" s="110">
        <f>AJ$22*shipping_manufacturing!$G$27/100</f>
        <v>82.404087011691161</v>
      </c>
      <c r="AK34" s="110">
        <f>AK$22*shipping_manufacturing!$G$27/100</f>
        <v>82.404087011691161</v>
      </c>
      <c r="AL34" s="110">
        <f>AL$22*shipping_manufacturing!$G$27/100</f>
        <v>82.404087011691161</v>
      </c>
      <c r="AM34" s="110">
        <f>AM$22*shipping_manufacturing!$G$27/100</f>
        <v>82.404087011691161</v>
      </c>
      <c r="AN34" s="110">
        <f>AN$22*shipping_manufacturing!$G$27/100</f>
        <v>82.404087011691161</v>
      </c>
      <c r="AO34" s="110">
        <f>AO$22*shipping_manufacturing!$G$27/100</f>
        <v>82.404087011691161</v>
      </c>
      <c r="AP34" s="110">
        <f>AP$22*shipping_manufacturing!$G$27/100</f>
        <v>82.404087011691161</v>
      </c>
      <c r="AQ34" s="110">
        <f>AQ$22*shipping_manufacturing!$G$27/100</f>
        <v>82.404087011691161</v>
      </c>
      <c r="AR34" s="110">
        <f>AR$22*shipping_manufacturing!$G$27/100</f>
        <v>82.404087011691161</v>
      </c>
      <c r="AS34" s="110">
        <f>AS$22*shipping_manufacturing!$G$27/100</f>
        <v>82.404087011691161</v>
      </c>
      <c r="AT34" s="110">
        <f>AT$22*shipping_manufacturing!$G$27/100</f>
        <v>82.404087011691161</v>
      </c>
      <c r="AU34" s="110">
        <f>AU$22*shipping_manufacturing!$G$27/100</f>
        <v>82.404087011691161</v>
      </c>
      <c r="AV34" s="110">
        <f>AV$22*shipping_manufacturing!$G$27/100</f>
        <v>82.404087011691161</v>
      </c>
      <c r="AW34" s="110">
        <f>AW$22*shipping_manufacturing!$G$27/100</f>
        <v>82.404087011691161</v>
      </c>
      <c r="AX34" s="110">
        <f>AX$22*shipping_manufacturing!$G$27/100</f>
        <v>82.404087011691161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169.38208388625208</v>
      </c>
      <c r="E35" s="110">
        <f t="shared" ref="E35:AY35" si="11">SUM(E33:E34)</f>
        <v>167.97011744594442</v>
      </c>
      <c r="F35" s="110">
        <f t="shared" si="11"/>
        <v>167.97011744594442</v>
      </c>
      <c r="G35" s="110">
        <f t="shared" si="11"/>
        <v>167.97011744594442</v>
      </c>
      <c r="H35" s="110">
        <f t="shared" si="11"/>
        <v>167.97011744594442</v>
      </c>
      <c r="I35" s="110">
        <f t="shared" si="11"/>
        <v>201.56314270396894</v>
      </c>
      <c r="J35" s="110">
        <f t="shared" si="11"/>
        <v>201.56314270396894</v>
      </c>
      <c r="K35" s="110">
        <f t="shared" si="11"/>
        <v>201.56314270396894</v>
      </c>
      <c r="L35" s="110">
        <f t="shared" si="11"/>
        <v>201.56314270396894</v>
      </c>
      <c r="M35" s="110">
        <f t="shared" si="11"/>
        <v>167.97011744594442</v>
      </c>
      <c r="N35" s="110">
        <f t="shared" si="11"/>
        <v>167.97011744594442</v>
      </c>
      <c r="O35" s="110">
        <f t="shared" si="11"/>
        <v>167.97011744594442</v>
      </c>
      <c r="P35" s="110">
        <f t="shared" si="11"/>
        <v>167.97011744594442</v>
      </c>
      <c r="Q35" s="110">
        <f t="shared" si="11"/>
        <v>0</v>
      </c>
      <c r="R35" s="110">
        <f t="shared" si="11"/>
        <v>335.94023489188885</v>
      </c>
      <c r="S35" s="110">
        <f t="shared" si="11"/>
        <v>167.97011744594442</v>
      </c>
      <c r="T35" s="110">
        <f t="shared" si="11"/>
        <v>0</v>
      </c>
      <c r="U35" s="110">
        <f t="shared" si="11"/>
        <v>335.94023489188885</v>
      </c>
      <c r="V35" s="110">
        <f t="shared" si="11"/>
        <v>167.97011744594442</v>
      </c>
      <c r="W35" s="110">
        <f t="shared" si="11"/>
        <v>167.97011744594442</v>
      </c>
      <c r="X35" s="110">
        <f t="shared" si="11"/>
        <v>167.97011744594442</v>
      </c>
      <c r="Y35" s="110">
        <f t="shared" si="11"/>
        <v>167.97011744594442</v>
      </c>
      <c r="Z35" s="110">
        <f t="shared" si="11"/>
        <v>167.97011744594442</v>
      </c>
      <c r="AA35" s="110">
        <f t="shared" si="11"/>
        <v>167.97011744594442</v>
      </c>
      <c r="AB35" s="110">
        <f t="shared" si="11"/>
        <v>167.97011744594442</v>
      </c>
      <c r="AC35" s="110">
        <f t="shared" si="11"/>
        <v>167.97011744594442</v>
      </c>
      <c r="AD35" s="110">
        <f t="shared" si="11"/>
        <v>167.97011744594442</v>
      </c>
      <c r="AE35" s="110">
        <f t="shared" si="11"/>
        <v>167.97011744594442</v>
      </c>
      <c r="AF35" s="110">
        <f t="shared" si="11"/>
        <v>167.97011744594442</v>
      </c>
      <c r="AG35" s="110">
        <f t="shared" si="11"/>
        <v>167.97011744594442</v>
      </c>
      <c r="AH35" s="110">
        <f t="shared" si="11"/>
        <v>167.97011744594442</v>
      </c>
      <c r="AI35" s="110">
        <f t="shared" si="11"/>
        <v>167.97011744594442</v>
      </c>
      <c r="AJ35" s="110">
        <f t="shared" si="11"/>
        <v>167.97011744594442</v>
      </c>
      <c r="AK35" s="110">
        <f t="shared" si="11"/>
        <v>167.97011744594442</v>
      </c>
      <c r="AL35" s="110">
        <f t="shared" si="11"/>
        <v>167.97011744594442</v>
      </c>
      <c r="AM35" s="110">
        <f t="shared" si="11"/>
        <v>167.97011744594442</v>
      </c>
      <c r="AN35" s="110">
        <f t="shared" si="11"/>
        <v>167.97011744594442</v>
      </c>
      <c r="AO35" s="110">
        <f t="shared" si="11"/>
        <v>167.97011744594442</v>
      </c>
      <c r="AP35" s="110">
        <f t="shared" si="11"/>
        <v>167.97011744594442</v>
      </c>
      <c r="AQ35" s="110">
        <f t="shared" si="11"/>
        <v>167.97011744594442</v>
      </c>
      <c r="AR35" s="110">
        <f t="shared" si="11"/>
        <v>167.97011744594442</v>
      </c>
      <c r="AS35" s="110">
        <f t="shared" si="11"/>
        <v>167.97011744594442</v>
      </c>
      <c r="AT35" s="110">
        <f t="shared" si="11"/>
        <v>167.97011744594442</v>
      </c>
      <c r="AU35" s="110">
        <f t="shared" si="11"/>
        <v>167.97011744594442</v>
      </c>
      <c r="AV35" s="110">
        <f t="shared" si="11"/>
        <v>167.97011744594442</v>
      </c>
      <c r="AW35" s="110">
        <f t="shared" si="11"/>
        <v>167.97011744594442</v>
      </c>
      <c r="AX35" s="110">
        <f t="shared" si="11"/>
        <v>167.97011744594442</v>
      </c>
      <c r="AY35" s="110">
        <f t="shared" si="11"/>
        <v>0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86.285303393280572</v>
      </c>
      <c r="E39" s="110">
        <f t="shared" ref="E39:AY39" si="12">E33-E36</f>
        <v>85.566030434253278</v>
      </c>
      <c r="F39" s="110">
        <f t="shared" si="12"/>
        <v>85.566030434253278</v>
      </c>
      <c r="G39" s="110">
        <f t="shared" si="12"/>
        <v>85.566030434253278</v>
      </c>
      <c r="H39" s="110">
        <f t="shared" si="12"/>
        <v>85.566030434253278</v>
      </c>
      <c r="I39" s="110">
        <f t="shared" si="12"/>
        <v>102.67872800995032</v>
      </c>
      <c r="J39" s="110">
        <f t="shared" si="12"/>
        <v>102.67872800995032</v>
      </c>
      <c r="K39" s="110">
        <f t="shared" si="12"/>
        <v>102.67872800995032</v>
      </c>
      <c r="L39" s="110">
        <f t="shared" si="12"/>
        <v>102.67872800995032</v>
      </c>
      <c r="M39" s="110">
        <f t="shared" si="12"/>
        <v>85.566030434253278</v>
      </c>
      <c r="N39" s="110">
        <f t="shared" si="12"/>
        <v>85.566030434253278</v>
      </c>
      <c r="O39" s="110">
        <f t="shared" si="12"/>
        <v>85.566030434253278</v>
      </c>
      <c r="P39" s="110">
        <f t="shared" si="12"/>
        <v>85.566030434253278</v>
      </c>
      <c r="Q39" s="110">
        <f t="shared" si="12"/>
        <v>0</v>
      </c>
      <c r="R39" s="110">
        <f t="shared" si="12"/>
        <v>171.13206086850656</v>
      </c>
      <c r="S39" s="110">
        <f t="shared" si="12"/>
        <v>85.566030434253278</v>
      </c>
      <c r="T39" s="110">
        <f t="shared" si="12"/>
        <v>0</v>
      </c>
      <c r="U39" s="110">
        <f t="shared" si="12"/>
        <v>171.13206086850656</v>
      </c>
      <c r="V39" s="110">
        <f t="shared" si="12"/>
        <v>85.566030434253278</v>
      </c>
      <c r="W39" s="110">
        <f t="shared" si="12"/>
        <v>85.566030434253278</v>
      </c>
      <c r="X39" s="110">
        <f t="shared" si="12"/>
        <v>85.566030434253278</v>
      </c>
      <c r="Y39" s="110">
        <f t="shared" si="12"/>
        <v>85.566030434253278</v>
      </c>
      <c r="Z39" s="110">
        <f t="shared" si="12"/>
        <v>85.566030434253278</v>
      </c>
      <c r="AA39" s="110">
        <f t="shared" si="12"/>
        <v>85.566030434253278</v>
      </c>
      <c r="AB39" s="110">
        <f t="shared" si="12"/>
        <v>85.566030434253278</v>
      </c>
      <c r="AC39" s="110">
        <f t="shared" si="12"/>
        <v>85.566030434253278</v>
      </c>
      <c r="AD39" s="110">
        <f t="shared" si="12"/>
        <v>85.566030434253278</v>
      </c>
      <c r="AE39" s="110">
        <f t="shared" si="12"/>
        <v>85.566030434253278</v>
      </c>
      <c r="AF39" s="110">
        <f t="shared" si="12"/>
        <v>85.566030434253278</v>
      </c>
      <c r="AG39" s="110">
        <f t="shared" si="12"/>
        <v>85.566030434253278</v>
      </c>
      <c r="AH39" s="110">
        <f t="shared" si="12"/>
        <v>85.566030434253278</v>
      </c>
      <c r="AI39" s="110">
        <f t="shared" si="12"/>
        <v>85.566030434253278</v>
      </c>
      <c r="AJ39" s="110">
        <f t="shared" si="12"/>
        <v>85.566030434253278</v>
      </c>
      <c r="AK39" s="110">
        <f t="shared" si="12"/>
        <v>85.566030434253278</v>
      </c>
      <c r="AL39" s="110">
        <f t="shared" si="12"/>
        <v>85.566030434253278</v>
      </c>
      <c r="AM39" s="110">
        <f t="shared" si="12"/>
        <v>85.566030434253278</v>
      </c>
      <c r="AN39" s="110">
        <f t="shared" si="12"/>
        <v>85.566030434253278</v>
      </c>
      <c r="AO39" s="110">
        <f t="shared" si="12"/>
        <v>85.566030434253278</v>
      </c>
      <c r="AP39" s="110">
        <f t="shared" si="12"/>
        <v>85.566030434253278</v>
      </c>
      <c r="AQ39" s="110">
        <f t="shared" si="12"/>
        <v>85.566030434253278</v>
      </c>
      <c r="AR39" s="110">
        <f t="shared" si="12"/>
        <v>85.566030434253278</v>
      </c>
      <c r="AS39" s="110">
        <f t="shared" si="12"/>
        <v>85.566030434253278</v>
      </c>
      <c r="AT39" s="110">
        <f t="shared" si="12"/>
        <v>85.566030434253278</v>
      </c>
      <c r="AU39" s="110">
        <f t="shared" si="12"/>
        <v>85.566030434253278</v>
      </c>
      <c r="AV39" s="110">
        <f t="shared" si="12"/>
        <v>85.566030434253278</v>
      </c>
      <c r="AW39" s="110">
        <f t="shared" si="12"/>
        <v>85.566030434253278</v>
      </c>
      <c r="AX39" s="110">
        <f t="shared" si="12"/>
        <v>85.566030434253278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83.096780492971504</v>
      </c>
      <c r="E40" s="110">
        <f t="shared" ref="E40:AY40" si="13">E34-E37</f>
        <v>82.404087011691161</v>
      </c>
      <c r="F40" s="110">
        <f t="shared" si="13"/>
        <v>82.404087011691161</v>
      </c>
      <c r="G40" s="110">
        <f t="shared" si="13"/>
        <v>82.404087011691161</v>
      </c>
      <c r="H40" s="110">
        <f t="shared" si="13"/>
        <v>82.404087011691161</v>
      </c>
      <c r="I40" s="110">
        <f t="shared" si="13"/>
        <v>98.884414694018602</v>
      </c>
      <c r="J40" s="110">
        <f t="shared" si="13"/>
        <v>98.884414694018602</v>
      </c>
      <c r="K40" s="110">
        <f t="shared" si="13"/>
        <v>98.884414694018602</v>
      </c>
      <c r="L40" s="110">
        <f t="shared" si="13"/>
        <v>98.884414694018602</v>
      </c>
      <c r="M40" s="110">
        <f t="shared" si="13"/>
        <v>82.404087011691161</v>
      </c>
      <c r="N40" s="110">
        <f t="shared" si="13"/>
        <v>82.404087011691161</v>
      </c>
      <c r="O40" s="110">
        <f t="shared" si="13"/>
        <v>82.404087011691161</v>
      </c>
      <c r="P40" s="110">
        <f t="shared" si="13"/>
        <v>82.404087011691161</v>
      </c>
      <c r="Q40" s="110">
        <f t="shared" si="13"/>
        <v>0</v>
      </c>
      <c r="R40" s="110">
        <f t="shared" si="13"/>
        <v>164.80817402338232</v>
      </c>
      <c r="S40" s="110">
        <f t="shared" si="13"/>
        <v>82.404087011691161</v>
      </c>
      <c r="T40" s="110">
        <f t="shared" si="13"/>
        <v>0</v>
      </c>
      <c r="U40" s="110">
        <f t="shared" si="13"/>
        <v>164.80817402338232</v>
      </c>
      <c r="V40" s="110">
        <f t="shared" si="13"/>
        <v>82.404087011691161</v>
      </c>
      <c r="W40" s="110">
        <f t="shared" si="13"/>
        <v>82.404087011691161</v>
      </c>
      <c r="X40" s="110">
        <f t="shared" si="13"/>
        <v>82.404087011691161</v>
      </c>
      <c r="Y40" s="110">
        <f t="shared" si="13"/>
        <v>82.404087011691161</v>
      </c>
      <c r="Z40" s="110">
        <f t="shared" si="13"/>
        <v>82.404087011691161</v>
      </c>
      <c r="AA40" s="110">
        <f t="shared" si="13"/>
        <v>82.404087011691161</v>
      </c>
      <c r="AB40" s="110">
        <f t="shared" si="13"/>
        <v>82.404087011691161</v>
      </c>
      <c r="AC40" s="110">
        <f t="shared" si="13"/>
        <v>82.404087011691161</v>
      </c>
      <c r="AD40" s="110">
        <f t="shared" si="13"/>
        <v>82.404087011691161</v>
      </c>
      <c r="AE40" s="110">
        <f t="shared" si="13"/>
        <v>82.404087011691161</v>
      </c>
      <c r="AF40" s="110">
        <f t="shared" si="13"/>
        <v>82.404087011691161</v>
      </c>
      <c r="AG40" s="110">
        <f t="shared" si="13"/>
        <v>82.404087011691161</v>
      </c>
      <c r="AH40" s="110">
        <f t="shared" si="13"/>
        <v>82.404087011691161</v>
      </c>
      <c r="AI40" s="110">
        <f t="shared" si="13"/>
        <v>82.404087011691161</v>
      </c>
      <c r="AJ40" s="110">
        <f t="shared" si="13"/>
        <v>82.404087011691161</v>
      </c>
      <c r="AK40" s="110">
        <f t="shared" si="13"/>
        <v>82.404087011691161</v>
      </c>
      <c r="AL40" s="110">
        <f t="shared" si="13"/>
        <v>82.404087011691161</v>
      </c>
      <c r="AM40" s="110">
        <f t="shared" si="13"/>
        <v>82.404087011691161</v>
      </c>
      <c r="AN40" s="110">
        <f t="shared" si="13"/>
        <v>82.404087011691161</v>
      </c>
      <c r="AO40" s="110">
        <f t="shared" si="13"/>
        <v>82.404087011691161</v>
      </c>
      <c r="AP40" s="110">
        <f t="shared" si="13"/>
        <v>82.404087011691161</v>
      </c>
      <c r="AQ40" s="110">
        <f t="shared" si="13"/>
        <v>82.404087011691161</v>
      </c>
      <c r="AR40" s="110">
        <f t="shared" si="13"/>
        <v>82.404087011691161</v>
      </c>
      <c r="AS40" s="110">
        <f t="shared" si="13"/>
        <v>82.404087011691161</v>
      </c>
      <c r="AT40" s="110">
        <f t="shared" si="13"/>
        <v>82.404087011691161</v>
      </c>
      <c r="AU40" s="110">
        <f t="shared" si="13"/>
        <v>82.404087011691161</v>
      </c>
      <c r="AV40" s="110">
        <f t="shared" si="13"/>
        <v>82.404087011691161</v>
      </c>
      <c r="AW40" s="110">
        <f t="shared" si="13"/>
        <v>82.404087011691161</v>
      </c>
      <c r="AX40" s="110">
        <f t="shared" si="13"/>
        <v>82.404087011691161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2</v>
      </c>
      <c r="G41" s="110">
        <v>1</v>
      </c>
      <c r="H41" s="110">
        <v>1</v>
      </c>
      <c r="I41" s="110">
        <v>1</v>
      </c>
      <c r="J41" s="110">
        <v>1</v>
      </c>
      <c r="K41" s="110">
        <v>2</v>
      </c>
      <c r="L41" s="110">
        <v>1</v>
      </c>
      <c r="M41" s="110">
        <v>2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3</v>
      </c>
      <c r="T41" s="110">
        <v>1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1</v>
      </c>
      <c r="AH41" s="110">
        <v>3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1</v>
      </c>
      <c r="AO41" s="110">
        <v>2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137072.4513849495</v>
      </c>
      <c r="E43" s="110">
        <v>135929.81754313054</v>
      </c>
      <c r="F43" s="110">
        <v>135929.81754313054</v>
      </c>
      <c r="G43" s="110">
        <v>135929.81754313054</v>
      </c>
      <c r="H43" s="110">
        <v>135929.81754313054</v>
      </c>
      <c r="I43" s="110">
        <v>163114.97323318687</v>
      </c>
      <c r="J43" s="110">
        <v>163114.97323318687</v>
      </c>
      <c r="K43" s="110">
        <v>163114.97323318687</v>
      </c>
      <c r="L43" s="110">
        <v>163114.97323318687</v>
      </c>
      <c r="M43" s="110">
        <v>135929.81754313054</v>
      </c>
      <c r="N43" s="110">
        <v>135929.81754313054</v>
      </c>
      <c r="O43" s="110">
        <v>135929.81754313054</v>
      </c>
      <c r="P43" s="110">
        <v>135929.81754313054</v>
      </c>
      <c r="Q43" s="110">
        <v>0</v>
      </c>
      <c r="R43" s="110">
        <v>271859.63508626109</v>
      </c>
      <c r="S43" s="110">
        <v>135929.81754313054</v>
      </c>
      <c r="T43" s="110">
        <v>0</v>
      </c>
      <c r="U43" s="110">
        <v>271859.63508626109</v>
      </c>
      <c r="V43" s="110">
        <v>135929.81754313054</v>
      </c>
      <c r="W43" s="110">
        <v>135929.81754313054</v>
      </c>
      <c r="X43" s="110">
        <v>135929.81754313054</v>
      </c>
      <c r="Y43" s="110">
        <v>135929.81754313054</v>
      </c>
      <c r="Z43" s="110">
        <v>135929.81754313054</v>
      </c>
      <c r="AA43" s="110">
        <v>135929.81754313054</v>
      </c>
      <c r="AB43" s="110">
        <v>135929.81754313054</v>
      </c>
      <c r="AC43" s="110">
        <v>135929.81754313054</v>
      </c>
      <c r="AD43" s="110">
        <v>135929.81754313054</v>
      </c>
      <c r="AE43" s="110">
        <v>135929.81754313054</v>
      </c>
      <c r="AF43" s="110">
        <v>135929.81754313054</v>
      </c>
      <c r="AG43" s="110">
        <v>135929.81754313054</v>
      </c>
      <c r="AH43" s="110">
        <v>135929.81754313054</v>
      </c>
      <c r="AI43" s="110">
        <v>135929.81754313054</v>
      </c>
      <c r="AJ43" s="110">
        <v>135929.81754313054</v>
      </c>
      <c r="AK43" s="110">
        <v>135929.81754313054</v>
      </c>
      <c r="AL43" s="110">
        <v>135929.81754313054</v>
      </c>
      <c r="AM43" s="110">
        <v>135929.81754313054</v>
      </c>
      <c r="AN43" s="110">
        <v>135929.81754313054</v>
      </c>
      <c r="AO43" s="110">
        <v>135929.81754313054</v>
      </c>
      <c r="AP43" s="110">
        <v>135929.81754313054</v>
      </c>
      <c r="AQ43" s="110">
        <v>135929.81754313054</v>
      </c>
      <c r="AR43" s="110">
        <v>135929.81754313054</v>
      </c>
      <c r="AS43" s="110">
        <v>135929.81754313054</v>
      </c>
      <c r="AT43" s="110">
        <v>135929.81754313054</v>
      </c>
      <c r="AU43" s="110">
        <v>135929.81754313054</v>
      </c>
      <c r="AV43" s="110">
        <v>135929.81754313054</v>
      </c>
      <c r="AW43" s="110">
        <v>135929.81754313054</v>
      </c>
      <c r="AX43" s="110">
        <v>135929.81754313054</v>
      </c>
      <c r="AY43" s="110">
        <v>0</v>
      </c>
      <c r="AZ43" s="100">
        <f>SUM($D$43:$AY$43)</f>
        <v>6498584.6811291752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2</v>
      </c>
      <c r="H52" s="110">
        <v>1</v>
      </c>
      <c r="I52" s="110">
        <v>2</v>
      </c>
      <c r="J52" s="110">
        <v>1</v>
      </c>
      <c r="K52" s="110">
        <v>1</v>
      </c>
      <c r="L52" s="110">
        <v>2</v>
      </c>
      <c r="M52" s="110">
        <v>1</v>
      </c>
      <c r="N52" s="110">
        <v>1</v>
      </c>
      <c r="O52" s="110">
        <v>2</v>
      </c>
      <c r="P52" s="110">
        <v>2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2</v>
      </c>
      <c r="AA52" s="110">
        <v>1</v>
      </c>
      <c r="AB52" s="110">
        <v>1</v>
      </c>
      <c r="AC52" s="110">
        <v>1</v>
      </c>
      <c r="AD52" s="110">
        <v>2</v>
      </c>
      <c r="AE52" s="110">
        <v>2</v>
      </c>
      <c r="AF52" s="110">
        <v>1</v>
      </c>
      <c r="AG52" s="110">
        <v>2</v>
      </c>
      <c r="AH52" s="110">
        <v>2</v>
      </c>
      <c r="AI52" s="110">
        <v>1</v>
      </c>
      <c r="AJ52" s="110">
        <v>1</v>
      </c>
      <c r="AK52" s="110">
        <v>1</v>
      </c>
      <c r="AL52" s="110">
        <v>1</v>
      </c>
      <c r="AM52" s="110">
        <v>2</v>
      </c>
      <c r="AN52" s="110">
        <v>1</v>
      </c>
      <c r="AO52" s="110">
        <v>1</v>
      </c>
      <c r="AP52" s="110">
        <v>1</v>
      </c>
      <c r="AQ52" s="110">
        <v>1</v>
      </c>
      <c r="AR52" s="110">
        <v>1</v>
      </c>
      <c r="AS52" s="110">
        <v>2</v>
      </c>
      <c r="AT52" s="110">
        <v>1</v>
      </c>
      <c r="AU52" s="110">
        <v>1</v>
      </c>
      <c r="AV52" s="110">
        <v>1</v>
      </c>
      <c r="AW52" s="110">
        <v>2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610.52863494466521</v>
      </c>
      <c r="E55" s="124">
        <f>E$21*shipping_manufacturing!$F$29/100</f>
        <v>605.43927765486126</v>
      </c>
      <c r="F55" s="124">
        <f>F$21*shipping_manufacturing!$F$29/100</f>
        <v>605.43927765486126</v>
      </c>
      <c r="G55" s="124">
        <f>G$21*shipping_manufacturing!$F$29/100</f>
        <v>605.43927765486126</v>
      </c>
      <c r="H55" s="124">
        <f>H$21*shipping_manufacturing!$F$29/100</f>
        <v>605.43927765486126</v>
      </c>
      <c r="I55" s="124">
        <f>I$21*shipping_manufacturing!$F$29/100</f>
        <v>726.52353511515093</v>
      </c>
      <c r="J55" s="124">
        <f>J$21*shipping_manufacturing!$F$29/100</f>
        <v>726.52353511515093</v>
      </c>
      <c r="K55" s="124">
        <f>K$21*shipping_manufacturing!$F$29/100</f>
        <v>726.52353511515093</v>
      </c>
      <c r="L55" s="124">
        <f>L$21*shipping_manufacturing!$F$29/100</f>
        <v>726.52353511515093</v>
      </c>
      <c r="M55" s="124">
        <f>M$21*shipping_manufacturing!$F$29/100</f>
        <v>605.43927765486126</v>
      </c>
      <c r="N55" s="124">
        <f>N$21*shipping_manufacturing!$F$29/100</f>
        <v>605.43927765486126</v>
      </c>
      <c r="O55" s="124">
        <f>O$21*shipping_manufacturing!$F$29/100</f>
        <v>605.43927765486126</v>
      </c>
      <c r="P55" s="124">
        <f>P$21*shipping_manufacturing!$F$29/100</f>
        <v>605.43927765486126</v>
      </c>
      <c r="Q55" s="124">
        <f>Q$21*shipping_manufacturing!$F$29/100</f>
        <v>0</v>
      </c>
      <c r="R55" s="124">
        <f>R$21*shipping_manufacturing!$F$29/100</f>
        <v>1210.8785553097225</v>
      </c>
      <c r="S55" s="124">
        <f>S$21*shipping_manufacturing!$F$29/100</f>
        <v>605.43927765486126</v>
      </c>
      <c r="T55" s="124">
        <f>T$21*shipping_manufacturing!$F$29/100</f>
        <v>0</v>
      </c>
      <c r="U55" s="124">
        <f>U$21*shipping_manufacturing!$F$29/100</f>
        <v>1210.8785553097225</v>
      </c>
      <c r="V55" s="124">
        <f>V$21*shipping_manufacturing!$F$29/100</f>
        <v>605.43927765486126</v>
      </c>
      <c r="W55" s="124">
        <f>W$21*shipping_manufacturing!$F$29/100</f>
        <v>605.43927765486126</v>
      </c>
      <c r="X55" s="124">
        <f>X$21*shipping_manufacturing!$F$29/100</f>
        <v>605.43927765486126</v>
      </c>
      <c r="Y55" s="124">
        <f>Y$21*shipping_manufacturing!$F$29/100</f>
        <v>605.43927765486126</v>
      </c>
      <c r="Z55" s="124">
        <f>Z$21*shipping_manufacturing!$F$29/100</f>
        <v>605.43927765486126</v>
      </c>
      <c r="AA55" s="124">
        <f>AA$21*shipping_manufacturing!$F$29/100</f>
        <v>605.43927765486126</v>
      </c>
      <c r="AB55" s="124">
        <f>AB$21*shipping_manufacturing!$F$29/100</f>
        <v>605.43927765486126</v>
      </c>
      <c r="AC55" s="124">
        <f>AC$21*shipping_manufacturing!$F$29/100</f>
        <v>605.43927765486126</v>
      </c>
      <c r="AD55" s="124">
        <f>AD$21*shipping_manufacturing!$F$29/100</f>
        <v>605.43927765486126</v>
      </c>
      <c r="AE55" s="124">
        <f>AE$21*shipping_manufacturing!$F$29/100</f>
        <v>605.43927765486126</v>
      </c>
      <c r="AF55" s="124">
        <f>AF$21*shipping_manufacturing!$F$29/100</f>
        <v>605.43927765486126</v>
      </c>
      <c r="AG55" s="124">
        <f>AG$21*shipping_manufacturing!$F$29/100</f>
        <v>605.43927765486126</v>
      </c>
      <c r="AH55" s="124">
        <f>AH$21*shipping_manufacturing!$F$29/100</f>
        <v>605.43927765486126</v>
      </c>
      <c r="AI55" s="124">
        <f>AI$21*shipping_manufacturing!$F$29/100</f>
        <v>605.43927765486126</v>
      </c>
      <c r="AJ55" s="124">
        <f>AJ$21*shipping_manufacturing!$F$29/100</f>
        <v>605.43927765486126</v>
      </c>
      <c r="AK55" s="124">
        <f>AK$21*shipping_manufacturing!$F$29/100</f>
        <v>605.43927765486126</v>
      </c>
      <c r="AL55" s="124">
        <f>AL$21*shipping_manufacturing!$F$29/100</f>
        <v>605.43927765486126</v>
      </c>
      <c r="AM55" s="124">
        <f>AM$21*shipping_manufacturing!$F$29/100</f>
        <v>605.43927765486126</v>
      </c>
      <c r="AN55" s="124">
        <f>AN$21*shipping_manufacturing!$F$29/100</f>
        <v>605.43927765486126</v>
      </c>
      <c r="AO55" s="124">
        <f>AO$21*shipping_manufacturing!$F$29/100</f>
        <v>605.43927765486126</v>
      </c>
      <c r="AP55" s="124">
        <f>AP$21*shipping_manufacturing!$F$29/100</f>
        <v>605.43927765486126</v>
      </c>
      <c r="AQ55" s="124">
        <f>AQ$21*shipping_manufacturing!$F$29/100</f>
        <v>605.43927765486126</v>
      </c>
      <c r="AR55" s="124">
        <f>AR$21*shipping_manufacturing!$F$29/100</f>
        <v>605.43927765486126</v>
      </c>
      <c r="AS55" s="124">
        <f>AS$21*shipping_manufacturing!$F$29/100</f>
        <v>605.43927765486126</v>
      </c>
      <c r="AT55" s="124">
        <f>AT$21*shipping_manufacturing!$F$29/100</f>
        <v>605.43927765486126</v>
      </c>
      <c r="AU55" s="124">
        <f>AU$21*shipping_manufacturing!$F$29/100</f>
        <v>605.43927765486126</v>
      </c>
      <c r="AV55" s="124">
        <f>AV$21*shipping_manufacturing!$F$29/100</f>
        <v>605.43927765486126</v>
      </c>
      <c r="AW55" s="124">
        <f>AW$21*shipping_manufacturing!$F$29/100</f>
        <v>605.43927765486126</v>
      </c>
      <c r="AX55" s="124">
        <f>AX$21*shipping_manufacturing!$F$29/100</f>
        <v>605.43927765486126</v>
      </c>
      <c r="AY55" s="124">
        <f>AY$21*shipping_manufacturing!$F$29/100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832.46712853481779</v>
      </c>
      <c r="E56" s="110">
        <f>E$22*shipping_manufacturing!$G$29/100</f>
        <v>825.52769538355369</v>
      </c>
      <c r="F56" s="110">
        <f>F$22*shipping_manufacturing!$G$29/100</f>
        <v>825.52769538355369</v>
      </c>
      <c r="G56" s="110">
        <f>G$22*shipping_manufacturing!$G$29/100</f>
        <v>825.52769538355369</v>
      </c>
      <c r="H56" s="110">
        <f>H$22*shipping_manufacturing!$G$29/100</f>
        <v>825.52769538355369</v>
      </c>
      <c r="I56" s="110">
        <f>I$22*shipping_manufacturing!$G$29/100</f>
        <v>990.62832842408886</v>
      </c>
      <c r="J56" s="110">
        <f>J$22*shipping_manufacturing!$G$29/100</f>
        <v>990.62832842408886</v>
      </c>
      <c r="K56" s="110">
        <f>K$22*shipping_manufacturing!$G$29/100</f>
        <v>990.62832842408886</v>
      </c>
      <c r="L56" s="110">
        <f>L$22*shipping_manufacturing!$G$29/100</f>
        <v>990.62832842408886</v>
      </c>
      <c r="M56" s="110">
        <f>M$22*shipping_manufacturing!$G$29/100</f>
        <v>825.52769538355369</v>
      </c>
      <c r="N56" s="110">
        <f>N$22*shipping_manufacturing!$G$29/100</f>
        <v>825.52769538355369</v>
      </c>
      <c r="O56" s="110">
        <f>O$22*shipping_manufacturing!$G$29/100</f>
        <v>825.52769538355369</v>
      </c>
      <c r="P56" s="110">
        <f>P$22*shipping_manufacturing!$G$29/100</f>
        <v>825.52769538355369</v>
      </c>
      <c r="Q56" s="110">
        <f>Q$22*shipping_manufacturing!$G$29/100</f>
        <v>0</v>
      </c>
      <c r="R56" s="110">
        <f>R$22*shipping_manufacturing!$G$29/100</f>
        <v>1651.0553907671074</v>
      </c>
      <c r="S56" s="110">
        <f>S$22*shipping_manufacturing!$G$29/100</f>
        <v>825.52769538355369</v>
      </c>
      <c r="T56" s="110">
        <f>T$22*shipping_manufacturing!$G$29/100</f>
        <v>0</v>
      </c>
      <c r="U56" s="110">
        <f>U$22*shipping_manufacturing!$G$29/100</f>
        <v>1651.0553907671074</v>
      </c>
      <c r="V56" s="110">
        <f>V$22*shipping_manufacturing!$G$29/100</f>
        <v>825.52769538355369</v>
      </c>
      <c r="W56" s="110">
        <f>W$22*shipping_manufacturing!$G$29/100</f>
        <v>825.52769538355369</v>
      </c>
      <c r="X56" s="110">
        <f>X$22*shipping_manufacturing!$G$29/100</f>
        <v>825.52769538355369</v>
      </c>
      <c r="Y56" s="110">
        <f>Y$22*shipping_manufacturing!$G$29/100</f>
        <v>825.52769538355369</v>
      </c>
      <c r="Z56" s="110">
        <f>Z$22*shipping_manufacturing!$G$29/100</f>
        <v>825.52769538355369</v>
      </c>
      <c r="AA56" s="110">
        <f>AA$22*shipping_manufacturing!$G$29/100</f>
        <v>825.52769538355369</v>
      </c>
      <c r="AB56" s="110">
        <f>AB$22*shipping_manufacturing!$G$29/100</f>
        <v>825.52769538355369</v>
      </c>
      <c r="AC56" s="110">
        <f>AC$22*shipping_manufacturing!$G$29/100</f>
        <v>825.52769538355369</v>
      </c>
      <c r="AD56" s="110">
        <f>AD$22*shipping_manufacturing!$G$29/100</f>
        <v>825.52769538355369</v>
      </c>
      <c r="AE56" s="110">
        <f>AE$22*shipping_manufacturing!$G$29/100</f>
        <v>825.52769538355369</v>
      </c>
      <c r="AF56" s="110">
        <f>AF$22*shipping_manufacturing!$G$29/100</f>
        <v>825.52769538355369</v>
      </c>
      <c r="AG56" s="110">
        <f>AG$22*shipping_manufacturing!$G$29/100</f>
        <v>825.52769538355369</v>
      </c>
      <c r="AH56" s="110">
        <f>AH$22*shipping_manufacturing!$G$29/100</f>
        <v>825.52769538355369</v>
      </c>
      <c r="AI56" s="110">
        <f>AI$22*shipping_manufacturing!$G$29/100</f>
        <v>825.52769538355369</v>
      </c>
      <c r="AJ56" s="110">
        <f>AJ$22*shipping_manufacturing!$G$29/100</f>
        <v>825.52769538355369</v>
      </c>
      <c r="AK56" s="110">
        <f>AK$22*shipping_manufacturing!$G$29/100</f>
        <v>825.52769538355369</v>
      </c>
      <c r="AL56" s="110">
        <f>AL$22*shipping_manufacturing!$G$29/100</f>
        <v>825.52769538355369</v>
      </c>
      <c r="AM56" s="110">
        <f>AM$22*shipping_manufacturing!$G$29/100</f>
        <v>825.52769538355369</v>
      </c>
      <c r="AN56" s="110">
        <f>AN$22*shipping_manufacturing!$G$29/100</f>
        <v>825.52769538355369</v>
      </c>
      <c r="AO56" s="110">
        <f>AO$22*shipping_manufacturing!$G$29/100</f>
        <v>825.52769538355369</v>
      </c>
      <c r="AP56" s="110">
        <f>AP$22*shipping_manufacturing!$G$29/100</f>
        <v>825.52769538355369</v>
      </c>
      <c r="AQ56" s="110">
        <f>AQ$22*shipping_manufacturing!$G$29/100</f>
        <v>825.52769538355369</v>
      </c>
      <c r="AR56" s="110">
        <f>AR$22*shipping_manufacturing!$G$29/100</f>
        <v>825.52769538355369</v>
      </c>
      <c r="AS56" s="110">
        <f>AS$22*shipping_manufacturing!$G$29/100</f>
        <v>825.52769538355369</v>
      </c>
      <c r="AT56" s="110">
        <f>AT$22*shipping_manufacturing!$G$29/100</f>
        <v>825.52769538355369</v>
      </c>
      <c r="AU56" s="110">
        <f>AU$22*shipping_manufacturing!$G$29/100</f>
        <v>825.52769538355369</v>
      </c>
      <c r="AV56" s="110">
        <f>AV$22*shipping_manufacturing!$G$29/100</f>
        <v>825.52769538355369</v>
      </c>
      <c r="AW56" s="110">
        <f>AW$22*shipping_manufacturing!$G$29/100</f>
        <v>825.52769538355369</v>
      </c>
      <c r="AX56" s="110">
        <f>AX$22*shipping_manufacturing!$G$29/100</f>
        <v>825.52769538355369</v>
      </c>
      <c r="AY56" s="110">
        <f>AY$22*shipping_manufacturing!$G$29/100</f>
        <v>0</v>
      </c>
    </row>
    <row r="57" spans="1:52">
      <c r="A57" s="110">
        <v>495</v>
      </c>
      <c r="B57" s="165" t="s">
        <v>343</v>
      </c>
      <c r="C57" s="110"/>
      <c r="D57" s="110">
        <f>SUM(D55:D56)</f>
        <v>1442.995763479483</v>
      </c>
      <c r="E57" s="110">
        <f t="shared" ref="E57:AY57" si="17">SUM(E55:E56)</f>
        <v>1430.9669730384148</v>
      </c>
      <c r="F57" s="110">
        <f t="shared" si="17"/>
        <v>1430.9669730384148</v>
      </c>
      <c r="G57" s="110">
        <f t="shared" si="17"/>
        <v>1430.9669730384148</v>
      </c>
      <c r="H57" s="110">
        <f t="shared" si="17"/>
        <v>1430.9669730384148</v>
      </c>
      <c r="I57" s="110">
        <f t="shared" si="17"/>
        <v>1717.1518635392399</v>
      </c>
      <c r="J57" s="110">
        <f t="shared" si="17"/>
        <v>1717.1518635392399</v>
      </c>
      <c r="K57" s="110">
        <f t="shared" si="17"/>
        <v>1717.1518635392399</v>
      </c>
      <c r="L57" s="110">
        <f t="shared" si="17"/>
        <v>1717.1518635392399</v>
      </c>
      <c r="M57" s="110">
        <f t="shared" si="17"/>
        <v>1430.9669730384148</v>
      </c>
      <c r="N57" s="110">
        <f t="shared" si="17"/>
        <v>1430.9669730384148</v>
      </c>
      <c r="O57" s="110">
        <f t="shared" si="17"/>
        <v>1430.9669730384148</v>
      </c>
      <c r="P57" s="110">
        <f t="shared" si="17"/>
        <v>1430.9669730384148</v>
      </c>
      <c r="Q57" s="110">
        <f t="shared" si="17"/>
        <v>0</v>
      </c>
      <c r="R57" s="110">
        <f t="shared" si="17"/>
        <v>2861.9339460768297</v>
      </c>
      <c r="S57" s="110">
        <f t="shared" si="17"/>
        <v>1430.9669730384148</v>
      </c>
      <c r="T57" s="110">
        <f t="shared" si="17"/>
        <v>0</v>
      </c>
      <c r="U57" s="110">
        <f t="shared" si="17"/>
        <v>2861.9339460768297</v>
      </c>
      <c r="V57" s="110">
        <f t="shared" si="17"/>
        <v>1430.9669730384148</v>
      </c>
      <c r="W57" s="110">
        <f t="shared" si="17"/>
        <v>1430.9669730384148</v>
      </c>
      <c r="X57" s="110">
        <f t="shared" si="17"/>
        <v>1430.9669730384148</v>
      </c>
      <c r="Y57" s="110">
        <f t="shared" si="17"/>
        <v>1430.9669730384148</v>
      </c>
      <c r="Z57" s="110">
        <f t="shared" si="17"/>
        <v>1430.9669730384148</v>
      </c>
      <c r="AA57" s="110">
        <f t="shared" si="17"/>
        <v>1430.9669730384148</v>
      </c>
      <c r="AB57" s="110">
        <f t="shared" si="17"/>
        <v>1430.9669730384148</v>
      </c>
      <c r="AC57" s="110">
        <f t="shared" si="17"/>
        <v>1430.9669730384148</v>
      </c>
      <c r="AD57" s="110">
        <f t="shared" si="17"/>
        <v>1430.9669730384148</v>
      </c>
      <c r="AE57" s="110">
        <f t="shared" si="17"/>
        <v>1430.9669730384148</v>
      </c>
      <c r="AF57" s="110">
        <f t="shared" si="17"/>
        <v>1430.9669730384148</v>
      </c>
      <c r="AG57" s="110">
        <f t="shared" si="17"/>
        <v>1430.9669730384148</v>
      </c>
      <c r="AH57" s="110">
        <f t="shared" si="17"/>
        <v>1430.9669730384148</v>
      </c>
      <c r="AI57" s="110">
        <f t="shared" si="17"/>
        <v>1430.9669730384148</v>
      </c>
      <c r="AJ57" s="110">
        <f t="shared" si="17"/>
        <v>1430.9669730384148</v>
      </c>
      <c r="AK57" s="110">
        <f t="shared" si="17"/>
        <v>1430.9669730384148</v>
      </c>
      <c r="AL57" s="110">
        <f t="shared" si="17"/>
        <v>1430.9669730384148</v>
      </c>
      <c r="AM57" s="110">
        <f t="shared" si="17"/>
        <v>1430.9669730384148</v>
      </c>
      <c r="AN57" s="110">
        <f t="shared" si="17"/>
        <v>1430.9669730384148</v>
      </c>
      <c r="AO57" s="110">
        <f t="shared" si="17"/>
        <v>1430.9669730384148</v>
      </c>
      <c r="AP57" s="110">
        <f t="shared" si="17"/>
        <v>1430.9669730384148</v>
      </c>
      <c r="AQ57" s="110">
        <f t="shared" si="17"/>
        <v>1430.9669730384148</v>
      </c>
      <c r="AR57" s="110">
        <f t="shared" si="17"/>
        <v>1430.9669730384148</v>
      </c>
      <c r="AS57" s="110">
        <f t="shared" si="17"/>
        <v>1430.9669730384148</v>
      </c>
      <c r="AT57" s="110">
        <f t="shared" si="17"/>
        <v>1430.9669730384148</v>
      </c>
      <c r="AU57" s="110">
        <f t="shared" si="17"/>
        <v>1430.9669730384148</v>
      </c>
      <c r="AV57" s="110">
        <f t="shared" si="17"/>
        <v>1430.9669730384148</v>
      </c>
      <c r="AW57" s="110">
        <f t="shared" si="17"/>
        <v>1430.9669730384148</v>
      </c>
      <c r="AX57" s="110">
        <f t="shared" si="17"/>
        <v>1430.9669730384148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>
        <v>190.39410418130839</v>
      </c>
      <c r="E58" s="110"/>
      <c r="F58" s="110">
        <v>190.39410418130845</v>
      </c>
      <c r="G58" s="110"/>
      <c r="H58" s="110">
        <v>190.39410418130845</v>
      </c>
      <c r="I58" s="110"/>
      <c r="J58" s="110">
        <v>190.39410418130839</v>
      </c>
      <c r="K58" s="110"/>
      <c r="L58" s="110">
        <v>190.39410418130839</v>
      </c>
      <c r="M58" s="110"/>
      <c r="N58" s="110">
        <v>190.39410418130845</v>
      </c>
      <c r="O58" s="110"/>
      <c r="P58" s="110">
        <v>190.39410418130845</v>
      </c>
      <c r="Q58" s="110"/>
      <c r="R58" s="110">
        <v>190.39410418130845</v>
      </c>
      <c r="S58" s="110"/>
      <c r="T58" s="110"/>
      <c r="U58" s="110">
        <v>190.39410418130845</v>
      </c>
      <c r="V58" s="110"/>
      <c r="W58" s="110">
        <v>190.39410418130845</v>
      </c>
      <c r="X58" s="110"/>
      <c r="Y58" s="110">
        <v>190.39410418130845</v>
      </c>
      <c r="Z58" s="110"/>
      <c r="AA58" s="110">
        <v>190.39410418130845</v>
      </c>
      <c r="AB58" s="110"/>
      <c r="AC58" s="110">
        <v>190.39410418130845</v>
      </c>
      <c r="AD58" s="110"/>
      <c r="AE58" s="110">
        <v>190.39410418130845</v>
      </c>
      <c r="AF58" s="110"/>
      <c r="AG58" s="110">
        <v>190.39410418130845</v>
      </c>
      <c r="AH58" s="110"/>
      <c r="AI58" s="110">
        <v>190.39410418130845</v>
      </c>
      <c r="AJ58" s="110"/>
      <c r="AK58" s="110">
        <v>190.39410418130845</v>
      </c>
      <c r="AL58" s="110"/>
      <c r="AM58" s="110">
        <v>190.39410418130845</v>
      </c>
      <c r="AN58" s="110"/>
      <c r="AO58" s="110">
        <v>190.39410418130845</v>
      </c>
      <c r="AP58" s="110"/>
      <c r="AQ58" s="110">
        <v>190.39410418130845</v>
      </c>
      <c r="AR58" s="110"/>
      <c r="AS58" s="110">
        <v>190.39410418130845</v>
      </c>
      <c r="AT58" s="110"/>
      <c r="AU58" s="110">
        <v>190.39410418130845</v>
      </c>
      <c r="AV58" s="110"/>
      <c r="AW58" s="110">
        <v>190.39410418130845</v>
      </c>
      <c r="AX58" s="110"/>
      <c r="AY58" s="110"/>
    </row>
    <row r="59" spans="1:52">
      <c r="A59" s="110"/>
      <c r="B59" s="165" t="s">
        <v>345</v>
      </c>
      <c r="C59" s="110"/>
      <c r="D59" s="110">
        <v>259.60589581869158</v>
      </c>
      <c r="E59" s="110"/>
      <c r="F59" s="110">
        <v>259.60589581869158</v>
      </c>
      <c r="G59" s="110"/>
      <c r="H59" s="110">
        <v>259.60589581869158</v>
      </c>
      <c r="I59" s="110"/>
      <c r="J59" s="110">
        <v>259.60589581869158</v>
      </c>
      <c r="K59" s="110"/>
      <c r="L59" s="110">
        <v>259.60589581869158</v>
      </c>
      <c r="M59" s="110"/>
      <c r="N59" s="110">
        <v>259.60589581869158</v>
      </c>
      <c r="O59" s="110"/>
      <c r="P59" s="110">
        <v>259.60589581869158</v>
      </c>
      <c r="Q59" s="110"/>
      <c r="R59" s="110">
        <v>259.60589581869158</v>
      </c>
      <c r="S59" s="110"/>
      <c r="T59" s="110"/>
      <c r="U59" s="110">
        <v>259.60589581869158</v>
      </c>
      <c r="V59" s="110"/>
      <c r="W59" s="110">
        <v>259.60589581869158</v>
      </c>
      <c r="X59" s="110"/>
      <c r="Y59" s="110">
        <v>259.60589581869158</v>
      </c>
      <c r="Z59" s="110"/>
      <c r="AA59" s="110">
        <v>259.60589581869158</v>
      </c>
      <c r="AB59" s="110"/>
      <c r="AC59" s="110">
        <v>259.60589581869158</v>
      </c>
      <c r="AD59" s="110"/>
      <c r="AE59" s="110">
        <v>259.60589581869158</v>
      </c>
      <c r="AF59" s="110"/>
      <c r="AG59" s="110">
        <v>259.60589581869158</v>
      </c>
      <c r="AH59" s="110"/>
      <c r="AI59" s="110">
        <v>259.60589581869158</v>
      </c>
      <c r="AJ59" s="110"/>
      <c r="AK59" s="110">
        <v>259.60589581869158</v>
      </c>
      <c r="AL59" s="110"/>
      <c r="AM59" s="110">
        <v>259.60589581869158</v>
      </c>
      <c r="AN59" s="110"/>
      <c r="AO59" s="110">
        <v>259.60589581869158</v>
      </c>
      <c r="AP59" s="110"/>
      <c r="AQ59" s="110">
        <v>259.60589581869158</v>
      </c>
      <c r="AR59" s="110"/>
      <c r="AS59" s="110">
        <v>259.60589581869158</v>
      </c>
      <c r="AT59" s="110"/>
      <c r="AU59" s="110">
        <v>259.60589581869158</v>
      </c>
      <c r="AV59" s="110"/>
      <c r="AW59" s="110">
        <v>259.60589581869158</v>
      </c>
      <c r="AX59" s="110"/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/>
    </row>
    <row r="61" spans="1:52">
      <c r="A61" s="110"/>
      <c r="B61" s="165" t="s">
        <v>347</v>
      </c>
      <c r="C61" s="110"/>
      <c r="D61" s="110">
        <f>D55-D58</f>
        <v>420.13453076335679</v>
      </c>
      <c r="E61" s="110">
        <f t="shared" ref="E61:AY61" si="18">E55-E58</f>
        <v>605.43927765486126</v>
      </c>
      <c r="F61" s="110">
        <f t="shared" si="18"/>
        <v>415.04517347355284</v>
      </c>
      <c r="G61" s="110">
        <f t="shared" si="18"/>
        <v>605.43927765486126</v>
      </c>
      <c r="H61" s="110">
        <f t="shared" si="18"/>
        <v>415.04517347355284</v>
      </c>
      <c r="I61" s="110">
        <f t="shared" si="18"/>
        <v>726.52353511515093</v>
      </c>
      <c r="J61" s="110">
        <f t="shared" si="18"/>
        <v>536.12943093384251</v>
      </c>
      <c r="K61" s="110">
        <f t="shared" si="18"/>
        <v>726.52353511515093</v>
      </c>
      <c r="L61" s="110">
        <f t="shared" si="18"/>
        <v>536.12943093384251</v>
      </c>
      <c r="M61" s="110">
        <f t="shared" si="18"/>
        <v>605.43927765486126</v>
      </c>
      <c r="N61" s="110">
        <f t="shared" si="18"/>
        <v>415.04517347355284</v>
      </c>
      <c r="O61" s="110">
        <f t="shared" si="18"/>
        <v>605.43927765486126</v>
      </c>
      <c r="P61" s="110">
        <f t="shared" si="18"/>
        <v>415.04517347355284</v>
      </c>
      <c r="Q61" s="110">
        <f t="shared" si="18"/>
        <v>0</v>
      </c>
      <c r="R61" s="110">
        <f t="shared" si="18"/>
        <v>1020.4844511284141</v>
      </c>
      <c r="S61" s="110">
        <f t="shared" si="18"/>
        <v>605.43927765486126</v>
      </c>
      <c r="T61" s="110">
        <f t="shared" si="18"/>
        <v>0</v>
      </c>
      <c r="U61" s="110">
        <f t="shared" si="18"/>
        <v>1020.4844511284141</v>
      </c>
      <c r="V61" s="110">
        <f t="shared" si="18"/>
        <v>605.43927765486126</v>
      </c>
      <c r="W61" s="110">
        <f t="shared" si="18"/>
        <v>415.04517347355284</v>
      </c>
      <c r="X61" s="110">
        <f t="shared" si="18"/>
        <v>605.43927765486126</v>
      </c>
      <c r="Y61" s="110">
        <f t="shared" si="18"/>
        <v>415.04517347355284</v>
      </c>
      <c r="Z61" s="110">
        <f t="shared" si="18"/>
        <v>605.43927765486126</v>
      </c>
      <c r="AA61" s="110">
        <f t="shared" si="18"/>
        <v>415.04517347355284</v>
      </c>
      <c r="AB61" s="110">
        <f t="shared" si="18"/>
        <v>605.43927765486126</v>
      </c>
      <c r="AC61" s="110">
        <f t="shared" si="18"/>
        <v>415.04517347355284</v>
      </c>
      <c r="AD61" s="110">
        <f t="shared" si="18"/>
        <v>605.43927765486126</v>
      </c>
      <c r="AE61" s="110">
        <f t="shared" si="18"/>
        <v>415.04517347355284</v>
      </c>
      <c r="AF61" s="110">
        <f t="shared" si="18"/>
        <v>605.43927765486126</v>
      </c>
      <c r="AG61" s="110">
        <f t="shared" si="18"/>
        <v>415.04517347355284</v>
      </c>
      <c r="AH61" s="110">
        <f t="shared" si="18"/>
        <v>605.43927765486126</v>
      </c>
      <c r="AI61" s="110">
        <f t="shared" si="18"/>
        <v>415.04517347355284</v>
      </c>
      <c r="AJ61" s="110">
        <f t="shared" si="18"/>
        <v>605.43927765486126</v>
      </c>
      <c r="AK61" s="110">
        <f t="shared" si="18"/>
        <v>415.04517347355284</v>
      </c>
      <c r="AL61" s="110">
        <f t="shared" si="18"/>
        <v>605.43927765486126</v>
      </c>
      <c r="AM61" s="110">
        <f t="shared" si="18"/>
        <v>415.04517347355284</v>
      </c>
      <c r="AN61" s="110">
        <f t="shared" si="18"/>
        <v>605.43927765486126</v>
      </c>
      <c r="AO61" s="110">
        <f t="shared" si="18"/>
        <v>415.04517347355284</v>
      </c>
      <c r="AP61" s="110">
        <f t="shared" si="18"/>
        <v>605.43927765486126</v>
      </c>
      <c r="AQ61" s="110">
        <f t="shared" si="18"/>
        <v>415.04517347355284</v>
      </c>
      <c r="AR61" s="110">
        <f t="shared" si="18"/>
        <v>605.43927765486126</v>
      </c>
      <c r="AS61" s="110">
        <f t="shared" si="18"/>
        <v>415.04517347355284</v>
      </c>
      <c r="AT61" s="110">
        <f t="shared" si="18"/>
        <v>605.43927765486126</v>
      </c>
      <c r="AU61" s="110">
        <f t="shared" si="18"/>
        <v>415.04517347355284</v>
      </c>
      <c r="AV61" s="110">
        <f t="shared" si="18"/>
        <v>605.43927765486126</v>
      </c>
      <c r="AW61" s="110">
        <f t="shared" si="18"/>
        <v>415.04517347355284</v>
      </c>
      <c r="AX61" s="110">
        <f t="shared" si="18"/>
        <v>605.43927765486126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572.86123271612621</v>
      </c>
      <c r="E62" s="110">
        <f t="shared" ref="E62:AY62" si="19">E56-E59</f>
        <v>825.52769538355369</v>
      </c>
      <c r="F62" s="110">
        <f t="shared" si="19"/>
        <v>565.92179956486211</v>
      </c>
      <c r="G62" s="110">
        <f t="shared" si="19"/>
        <v>825.52769538355369</v>
      </c>
      <c r="H62" s="110">
        <f t="shared" si="19"/>
        <v>565.92179956486211</v>
      </c>
      <c r="I62" s="110">
        <f t="shared" si="19"/>
        <v>990.62832842408886</v>
      </c>
      <c r="J62" s="110">
        <f t="shared" si="19"/>
        <v>731.02243260539728</v>
      </c>
      <c r="K62" s="110">
        <f t="shared" si="19"/>
        <v>990.62832842408886</v>
      </c>
      <c r="L62" s="110">
        <f t="shared" si="19"/>
        <v>731.02243260539728</v>
      </c>
      <c r="M62" s="110">
        <f t="shared" si="19"/>
        <v>825.52769538355369</v>
      </c>
      <c r="N62" s="110">
        <f t="shared" si="19"/>
        <v>565.92179956486211</v>
      </c>
      <c r="O62" s="110">
        <f t="shared" si="19"/>
        <v>825.52769538355369</v>
      </c>
      <c r="P62" s="110">
        <f t="shared" si="19"/>
        <v>565.92179956486211</v>
      </c>
      <c r="Q62" s="110">
        <f t="shared" si="19"/>
        <v>0</v>
      </c>
      <c r="R62" s="110">
        <f t="shared" si="19"/>
        <v>1391.4494949484158</v>
      </c>
      <c r="S62" s="110">
        <f t="shared" si="19"/>
        <v>825.52769538355369</v>
      </c>
      <c r="T62" s="110">
        <f t="shared" si="19"/>
        <v>0</v>
      </c>
      <c r="U62" s="110">
        <f t="shared" si="19"/>
        <v>1391.4494949484158</v>
      </c>
      <c r="V62" s="110">
        <f t="shared" si="19"/>
        <v>825.52769538355369</v>
      </c>
      <c r="W62" s="110">
        <f t="shared" si="19"/>
        <v>565.92179956486211</v>
      </c>
      <c r="X62" s="110">
        <f t="shared" si="19"/>
        <v>825.52769538355369</v>
      </c>
      <c r="Y62" s="110">
        <f t="shared" si="19"/>
        <v>565.92179956486211</v>
      </c>
      <c r="Z62" s="110">
        <f t="shared" si="19"/>
        <v>825.52769538355369</v>
      </c>
      <c r="AA62" s="110">
        <f t="shared" si="19"/>
        <v>565.92179956486211</v>
      </c>
      <c r="AB62" s="110">
        <f t="shared" si="19"/>
        <v>825.52769538355369</v>
      </c>
      <c r="AC62" s="110">
        <f t="shared" si="19"/>
        <v>565.92179956486211</v>
      </c>
      <c r="AD62" s="110">
        <f t="shared" si="19"/>
        <v>825.52769538355369</v>
      </c>
      <c r="AE62" s="110">
        <f t="shared" si="19"/>
        <v>565.92179956486211</v>
      </c>
      <c r="AF62" s="110">
        <f t="shared" si="19"/>
        <v>825.52769538355369</v>
      </c>
      <c r="AG62" s="110">
        <f t="shared" si="19"/>
        <v>565.92179956486211</v>
      </c>
      <c r="AH62" s="110">
        <f t="shared" si="19"/>
        <v>825.52769538355369</v>
      </c>
      <c r="AI62" s="110">
        <f t="shared" si="19"/>
        <v>565.92179956486211</v>
      </c>
      <c r="AJ62" s="110">
        <f t="shared" si="19"/>
        <v>825.52769538355369</v>
      </c>
      <c r="AK62" s="110">
        <f t="shared" si="19"/>
        <v>565.92179956486211</v>
      </c>
      <c r="AL62" s="110">
        <f t="shared" si="19"/>
        <v>825.52769538355369</v>
      </c>
      <c r="AM62" s="110">
        <f t="shared" si="19"/>
        <v>565.92179956486211</v>
      </c>
      <c r="AN62" s="110">
        <f t="shared" si="19"/>
        <v>825.52769538355369</v>
      </c>
      <c r="AO62" s="110">
        <f t="shared" si="19"/>
        <v>565.92179956486211</v>
      </c>
      <c r="AP62" s="110">
        <f t="shared" si="19"/>
        <v>825.52769538355369</v>
      </c>
      <c r="AQ62" s="110">
        <f t="shared" si="19"/>
        <v>565.92179956486211</v>
      </c>
      <c r="AR62" s="110">
        <f t="shared" si="19"/>
        <v>825.52769538355369</v>
      </c>
      <c r="AS62" s="110">
        <f t="shared" si="19"/>
        <v>565.92179956486211</v>
      </c>
      <c r="AT62" s="110">
        <f t="shared" si="19"/>
        <v>825.52769538355369</v>
      </c>
      <c r="AU62" s="110">
        <f t="shared" si="19"/>
        <v>565.92179956486211</v>
      </c>
      <c r="AV62" s="110">
        <f t="shared" si="19"/>
        <v>825.52769538355369</v>
      </c>
      <c r="AW62" s="110">
        <f t="shared" si="19"/>
        <v>565.92179956486211</v>
      </c>
      <c r="AX62" s="110">
        <f t="shared" si="19"/>
        <v>825.52769538355369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1</v>
      </c>
      <c r="H63" s="110">
        <v>2</v>
      </c>
      <c r="I63" s="110">
        <v>1</v>
      </c>
      <c r="J63" s="110">
        <v>2</v>
      </c>
      <c r="K63" s="110">
        <v>1</v>
      </c>
      <c r="L63" s="110">
        <v>1</v>
      </c>
      <c r="M63" s="110">
        <v>2</v>
      </c>
      <c r="N63" s="110">
        <v>2</v>
      </c>
      <c r="O63" s="110">
        <v>2</v>
      </c>
      <c r="P63" s="110">
        <v>2</v>
      </c>
      <c r="Q63" s="110">
        <v>3</v>
      </c>
      <c r="R63" s="110">
        <v>1</v>
      </c>
      <c r="S63" s="110">
        <v>1</v>
      </c>
      <c r="T63" s="110">
        <v>1</v>
      </c>
      <c r="U63" s="110">
        <v>1</v>
      </c>
      <c r="V63" s="110">
        <v>1</v>
      </c>
      <c r="W63" s="110">
        <v>1</v>
      </c>
      <c r="X63" s="110">
        <v>1</v>
      </c>
      <c r="Y63" s="110">
        <v>1</v>
      </c>
      <c r="Z63" s="110">
        <v>1</v>
      </c>
      <c r="AA63" s="110">
        <v>2</v>
      </c>
      <c r="AB63" s="110">
        <v>1</v>
      </c>
      <c r="AC63" s="110">
        <v>1</v>
      </c>
      <c r="AD63" s="110">
        <v>1</v>
      </c>
      <c r="AE63" s="110">
        <v>2</v>
      </c>
      <c r="AF63" s="110">
        <v>1</v>
      </c>
      <c r="AG63" s="110">
        <v>1</v>
      </c>
      <c r="AH63" s="110">
        <v>1</v>
      </c>
      <c r="AI63" s="110">
        <v>1</v>
      </c>
      <c r="AJ63" s="110">
        <v>3</v>
      </c>
      <c r="AK63" s="110">
        <v>1</v>
      </c>
      <c r="AL63" s="110">
        <v>1</v>
      </c>
      <c r="AM63" s="110">
        <v>1</v>
      </c>
      <c r="AN63" s="110">
        <v>1</v>
      </c>
      <c r="AO63" s="110">
        <v>3</v>
      </c>
      <c r="AP63" s="110">
        <v>2</v>
      </c>
      <c r="AQ63" s="110">
        <v>1</v>
      </c>
      <c r="AR63" s="110">
        <v>1</v>
      </c>
      <c r="AS63" s="110">
        <v>1</v>
      </c>
      <c r="AT63" s="110">
        <v>1</v>
      </c>
      <c r="AU63" s="110">
        <v>1</v>
      </c>
      <c r="AV63" s="110">
        <v>1</v>
      </c>
      <c r="AW63" s="110">
        <v>2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319496.38689952367</v>
      </c>
      <c r="E65" s="125">
        <v>460413.62357510993</v>
      </c>
      <c r="F65" s="125">
        <v>315626.12357511005</v>
      </c>
      <c r="G65" s="125">
        <v>460413.62357510993</v>
      </c>
      <c r="H65" s="125">
        <v>315626.12357511005</v>
      </c>
      <c r="I65" s="125">
        <v>552493.61209375039</v>
      </c>
      <c r="J65" s="125">
        <v>407706.11209375045</v>
      </c>
      <c r="K65" s="125">
        <v>552493.61209375039</v>
      </c>
      <c r="L65" s="125">
        <v>407706.11209375045</v>
      </c>
      <c r="M65" s="125">
        <v>460413.62357510993</v>
      </c>
      <c r="N65" s="125">
        <v>315626.12357511005</v>
      </c>
      <c r="O65" s="125">
        <v>460413.62357510993</v>
      </c>
      <c r="P65" s="125">
        <v>315626.12357511005</v>
      </c>
      <c r="Q65" s="125">
        <v>0</v>
      </c>
      <c r="R65" s="125">
        <v>776039.74715021986</v>
      </c>
      <c r="S65" s="125">
        <v>460413.62357510993</v>
      </c>
      <c r="T65" s="125">
        <v>0</v>
      </c>
      <c r="U65" s="125">
        <v>776039.74715021986</v>
      </c>
      <c r="V65" s="125">
        <v>460413.62357510993</v>
      </c>
      <c r="W65" s="125">
        <v>315626.12357511005</v>
      </c>
      <c r="X65" s="125">
        <v>460413.62357510993</v>
      </c>
      <c r="Y65" s="125">
        <v>315626.12357511005</v>
      </c>
      <c r="Z65" s="125">
        <v>460413.62357510993</v>
      </c>
      <c r="AA65" s="125">
        <v>315626.12357511005</v>
      </c>
      <c r="AB65" s="125">
        <v>460413.62357510993</v>
      </c>
      <c r="AC65" s="125">
        <v>315626.12357511005</v>
      </c>
      <c r="AD65" s="125">
        <v>460413.62357510993</v>
      </c>
      <c r="AE65" s="125">
        <v>315626.12357511005</v>
      </c>
      <c r="AF65" s="125">
        <v>460413.62357510993</v>
      </c>
      <c r="AG65" s="125">
        <v>315626.12357511005</v>
      </c>
      <c r="AH65" s="125">
        <v>460413.62357510993</v>
      </c>
      <c r="AI65" s="125">
        <v>315626.12357511005</v>
      </c>
      <c r="AJ65" s="125">
        <v>460413.62357510993</v>
      </c>
      <c r="AK65" s="125">
        <v>315626.12357511005</v>
      </c>
      <c r="AL65" s="125">
        <v>460413.62357510993</v>
      </c>
      <c r="AM65" s="125">
        <v>315626.12357511005</v>
      </c>
      <c r="AN65" s="125">
        <v>460413.62357510993</v>
      </c>
      <c r="AO65" s="125">
        <v>315626.12357511005</v>
      </c>
      <c r="AP65" s="125">
        <v>460413.62357510993</v>
      </c>
      <c r="AQ65" s="125">
        <v>315626.12357511005</v>
      </c>
      <c r="AR65" s="125">
        <v>460413.62357510993</v>
      </c>
      <c r="AS65" s="125">
        <v>315626.12357511005</v>
      </c>
      <c r="AT65" s="125">
        <v>460413.62357510993</v>
      </c>
      <c r="AU65" s="125">
        <v>315626.12357511005</v>
      </c>
      <c r="AV65" s="125">
        <v>460413.62357510993</v>
      </c>
      <c r="AW65" s="125">
        <v>315626.12357511005</v>
      </c>
      <c r="AX65" s="125">
        <v>460413.62357510993</v>
      </c>
      <c r="AY65" s="125">
        <v>0</v>
      </c>
      <c r="AZ65" s="100">
        <f>SUM($D$65:$AY$65)</f>
        <v>18681518.025429145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1300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40</v>
      </c>
      <c r="E9" s="117">
        <v>40</v>
      </c>
      <c r="F9" s="117">
        <v>40</v>
      </c>
      <c r="G9" s="117">
        <v>40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128</v>
      </c>
      <c r="U9" s="117">
        <v>128</v>
      </c>
      <c r="V9" s="117">
        <v>128</v>
      </c>
      <c r="W9" s="117">
        <v>128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160</v>
      </c>
      <c r="AG9" s="117">
        <v>160</v>
      </c>
      <c r="AH9" s="117">
        <v>160</v>
      </c>
      <c r="AI9" s="117">
        <v>160</v>
      </c>
      <c r="AJ9" s="117">
        <v>160</v>
      </c>
      <c r="AK9" s="117">
        <v>160</v>
      </c>
      <c r="AL9" s="117">
        <v>160</v>
      </c>
      <c r="AM9" s="117">
        <v>160</v>
      </c>
      <c r="AN9" s="117">
        <v>160</v>
      </c>
      <c r="AO9" s="117">
        <v>160</v>
      </c>
      <c r="AP9" s="117">
        <v>160</v>
      </c>
      <c r="AQ9" s="117">
        <v>160</v>
      </c>
      <c r="AR9" s="117">
        <v>192</v>
      </c>
      <c r="AS9" s="117">
        <v>192</v>
      </c>
      <c r="AT9" s="117">
        <v>192</v>
      </c>
      <c r="AU9" s="117">
        <v>192</v>
      </c>
      <c r="AV9" s="117">
        <v>160</v>
      </c>
      <c r="AW9" s="117">
        <v>160</v>
      </c>
      <c r="AX9" s="117">
        <v>160</v>
      </c>
      <c r="AY9" s="117">
        <v>160</v>
      </c>
    </row>
    <row r="10" spans="1:54">
      <c r="A10" s="118" t="s">
        <v>133</v>
      </c>
      <c r="B10" s="119">
        <v>1</v>
      </c>
      <c r="C10" s="106" t="s">
        <v>293</v>
      </c>
      <c r="D10" s="100">
        <v>180.00000000000003</v>
      </c>
      <c r="E10" s="100">
        <v>86.285303393280572</v>
      </c>
      <c r="F10" s="100">
        <v>180.00000000000009</v>
      </c>
      <c r="G10" s="100">
        <v>0</v>
      </c>
      <c r="H10" s="100">
        <v>180.00000000000009</v>
      </c>
      <c r="I10" s="100">
        <v>180.00000000000009</v>
      </c>
      <c r="J10" s="100">
        <v>197.11269757569713</v>
      </c>
      <c r="K10" s="100">
        <v>102.67872800995032</v>
      </c>
      <c r="L10" s="100">
        <v>91.532419417517588</v>
      </c>
      <c r="M10" s="100">
        <v>102.67872800995032</v>
      </c>
      <c r="N10" s="100">
        <v>91.532419417517588</v>
      </c>
      <c r="O10" s="100">
        <v>85.566030434253278</v>
      </c>
      <c r="P10" s="100">
        <v>177.09844985177085</v>
      </c>
      <c r="Q10" s="100">
        <v>94.433969565746807</v>
      </c>
      <c r="R10" s="100">
        <v>94.433969565746807</v>
      </c>
      <c r="S10" s="100">
        <v>265.56603043425338</v>
      </c>
      <c r="T10" s="100">
        <v>91.532419417517588</v>
      </c>
      <c r="U10" s="100">
        <v>94.433969565746807</v>
      </c>
      <c r="V10" s="100">
        <v>265.56603043425338</v>
      </c>
      <c r="W10" s="100">
        <v>85.566030434253278</v>
      </c>
      <c r="X10" s="100">
        <v>180.00000000000009</v>
      </c>
      <c r="Y10" s="100">
        <v>180.00000000000009</v>
      </c>
      <c r="Z10" s="100">
        <v>180.00000000000009</v>
      </c>
      <c r="AA10" s="100">
        <v>85.566030434253278</v>
      </c>
      <c r="AB10" s="100">
        <v>180.00000000000009</v>
      </c>
      <c r="AC10" s="100">
        <v>180.00000000000009</v>
      </c>
      <c r="AD10" s="100">
        <v>180.00000000000009</v>
      </c>
      <c r="AE10" s="100">
        <v>94.433969565746807</v>
      </c>
      <c r="AF10" s="100">
        <v>180.00000000000009</v>
      </c>
      <c r="AG10" s="100">
        <v>180.00000000000009</v>
      </c>
      <c r="AH10" s="100">
        <v>177.09844985177085</v>
      </c>
      <c r="AI10" s="100">
        <v>0</v>
      </c>
      <c r="AJ10" s="100">
        <v>180.00000000000009</v>
      </c>
      <c r="AK10" s="100">
        <v>94.433969565746807</v>
      </c>
      <c r="AL10" s="100">
        <v>177.09844985177085</v>
      </c>
      <c r="AM10" s="100">
        <v>180.00000000000009</v>
      </c>
      <c r="AN10" s="100">
        <v>180.00000000000009</v>
      </c>
      <c r="AO10" s="100">
        <v>85.566030434253278</v>
      </c>
      <c r="AP10" s="100">
        <v>94.433969565746807</v>
      </c>
      <c r="AQ10" s="100">
        <v>0</v>
      </c>
      <c r="AR10" s="100">
        <v>94.433969565746807</v>
      </c>
      <c r="AS10" s="100">
        <v>180.00000000000009</v>
      </c>
      <c r="AT10" s="100">
        <v>177.09844985177085</v>
      </c>
      <c r="AU10" s="100">
        <v>85.566030434253278</v>
      </c>
      <c r="AV10" s="100">
        <v>180.00000000000009</v>
      </c>
      <c r="AW10" s="100">
        <v>85.566030434253278</v>
      </c>
      <c r="AX10" s="100">
        <v>161.11320608685071</v>
      </c>
      <c r="AY10" s="100">
        <v>161.11320608685071</v>
      </c>
      <c r="AZ10" s="100">
        <v>75.547175652597446</v>
      </c>
    </row>
    <row r="11" spans="1:54">
      <c r="B11" s="119">
        <v>2</v>
      </c>
      <c r="C11" s="106" t="s">
        <v>293</v>
      </c>
      <c r="F11" s="100">
        <v>94.433969565746708</v>
      </c>
      <c r="H11" s="100">
        <v>180.00000000000009</v>
      </c>
      <c r="L11" s="100">
        <v>94.433969565746807</v>
      </c>
      <c r="M11" s="100">
        <v>105.58027815817954</v>
      </c>
      <c r="N11" s="100">
        <v>94.433969565746807</v>
      </c>
      <c r="O11" s="100">
        <v>88.467580582482498</v>
      </c>
      <c r="Q11" s="100">
        <v>2.9015501482292194</v>
      </c>
      <c r="R11" s="100">
        <v>85.566030434253278</v>
      </c>
      <c r="U11" s="100">
        <v>2.9015501482292194</v>
      </c>
      <c r="AB11" s="100">
        <v>94.433969565746807</v>
      </c>
      <c r="AF11" s="100">
        <v>85.566030434253278</v>
      </c>
      <c r="AI11" s="100">
        <v>2.9015501482292194</v>
      </c>
      <c r="AL11" s="100">
        <v>85.566030434253278</v>
      </c>
      <c r="AM11" s="100">
        <v>2.9015501482292194</v>
      </c>
      <c r="AP11" s="100">
        <v>94.433969565746807</v>
      </c>
      <c r="AQ11" s="100">
        <v>85.566030434253278</v>
      </c>
      <c r="AR11" s="100">
        <v>85.566030434253278</v>
      </c>
      <c r="AS11" s="100">
        <v>85.566030434253278</v>
      </c>
      <c r="AU11" s="100">
        <v>2.9015501482292194</v>
      </c>
      <c r="AV11" s="100">
        <v>0</v>
      </c>
      <c r="AX11" s="100">
        <v>94.433969565746807</v>
      </c>
      <c r="AY11" s="100">
        <v>0</v>
      </c>
      <c r="BA11" s="100">
        <v>0</v>
      </c>
    </row>
    <row r="12" spans="1:54">
      <c r="B12" s="120">
        <v>3</v>
      </c>
      <c r="C12" s="106" t="s">
        <v>293</v>
      </c>
      <c r="Q12" s="100">
        <v>94.433969565746807</v>
      </c>
      <c r="V12" s="100">
        <v>85.566030434253278</v>
      </c>
      <c r="Y12" s="100">
        <v>94.433969565746807</v>
      </c>
      <c r="AK12" s="100">
        <v>180.00000000000009</v>
      </c>
      <c r="AS12" s="100">
        <v>94.433969565746807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98.936814975306945</v>
      </c>
      <c r="E14" s="117">
        <f t="shared" ref="E14:AZ14" si="0">D$172*SUM(D$122:D$169)</f>
        <v>72.107987771614205</v>
      </c>
      <c r="F14" s="117">
        <f t="shared" si="0"/>
        <v>38.337125945894527</v>
      </c>
      <c r="G14" s="117">
        <f t="shared" si="0"/>
        <v>109.06961267995682</v>
      </c>
      <c r="H14" s="117">
        <f t="shared" si="0"/>
        <v>9.7931006312502475</v>
      </c>
      <c r="I14" s="117">
        <f t="shared" si="0"/>
        <v>142.99042515114834</v>
      </c>
      <c r="J14" s="117">
        <f t="shared" si="0"/>
        <v>107.4686778067465</v>
      </c>
      <c r="K14" s="117">
        <f t="shared" si="0"/>
        <v>93.350791182428225</v>
      </c>
      <c r="L14" s="117">
        <f t="shared" si="0"/>
        <v>40.711194052696413</v>
      </c>
      <c r="M14" s="117">
        <f t="shared" si="0"/>
        <v>73.994398972243047</v>
      </c>
      <c r="N14" s="117">
        <f t="shared" si="0"/>
        <v>88.234845143271926</v>
      </c>
      <c r="O14" s="117">
        <f t="shared" si="0"/>
        <v>73.994398972243047</v>
      </c>
      <c r="P14" s="117">
        <f t="shared" si="0"/>
        <v>70.13888411983902</v>
      </c>
      <c r="Q14" s="117">
        <f t="shared" si="0"/>
        <v>70.344021676840228</v>
      </c>
      <c r="R14" s="117">
        <f t="shared" si="0"/>
        <v>76.303201445287698</v>
      </c>
      <c r="S14" s="117">
        <f t="shared" si="0"/>
        <v>71.498422913362546</v>
      </c>
      <c r="T14" s="117">
        <f t="shared" si="0"/>
        <v>105.41923538455404</v>
      </c>
      <c r="U14" s="117">
        <f t="shared" si="0"/>
        <v>43.287927696844129</v>
      </c>
      <c r="V14" s="117">
        <f t="shared" si="0"/>
        <v>38.732011678693389</v>
      </c>
      <c r="W14" s="117">
        <f t="shared" si="0"/>
        <v>139.34004785574552</v>
      </c>
      <c r="X14" s="117">
        <f t="shared" si="0"/>
        <v>57.456483868182055</v>
      </c>
      <c r="Y14" s="117">
        <f t="shared" si="0"/>
        <v>71.498422913362546</v>
      </c>
      <c r="Z14" s="117">
        <f t="shared" si="0"/>
        <v>109.06961267995686</v>
      </c>
      <c r="AA14" s="117">
        <f t="shared" si="0"/>
        <v>83.392357149997423</v>
      </c>
      <c r="AB14" s="117">
        <f t="shared" si="0"/>
        <v>34.006814905983752</v>
      </c>
      <c r="AC14" s="117">
        <f t="shared" si="0"/>
        <v>109.06961267995686</v>
      </c>
      <c r="AD14" s="117">
        <f t="shared" si="0"/>
        <v>87.459627086500461</v>
      </c>
      <c r="AE14" s="117">
        <f t="shared" si="0"/>
        <v>71.498422913362546</v>
      </c>
      <c r="AF14" s="117">
        <f t="shared" si="0"/>
        <v>37.577610442171064</v>
      </c>
      <c r="AG14" s="117">
        <f t="shared" si="0"/>
        <v>105.41923538455404</v>
      </c>
      <c r="AH14" s="117">
        <f t="shared" si="0"/>
        <v>77.69891751722713</v>
      </c>
      <c r="AI14" s="117">
        <f t="shared" si="0"/>
        <v>70.344021676840242</v>
      </c>
      <c r="AJ14" s="117">
        <f t="shared" si="0"/>
        <v>1.1608219120990855</v>
      </c>
      <c r="AK14" s="117">
        <f t="shared" si="0"/>
        <v>71.498422913362546</v>
      </c>
      <c r="AL14" s="117">
        <f t="shared" si="0"/>
        <v>109.06961267995686</v>
      </c>
      <c r="AM14" s="117">
        <f t="shared" si="0"/>
        <v>104.26483414803174</v>
      </c>
      <c r="AN14" s="117">
        <f t="shared" si="0"/>
        <v>91.18753689657278</v>
      </c>
      <c r="AO14" s="117">
        <f t="shared" si="0"/>
        <v>71.498422913362546</v>
      </c>
      <c r="AP14" s="117">
        <f t="shared" si="0"/>
        <v>33.927233146768259</v>
      </c>
      <c r="AQ14" s="117">
        <f t="shared" si="0"/>
        <v>75.148800208765365</v>
      </c>
      <c r="AR14" s="117">
        <f t="shared" si="0"/>
        <v>33.927233146768252</v>
      </c>
      <c r="AS14" s="117">
        <f t="shared" si="0"/>
        <v>71.498422913362546</v>
      </c>
      <c r="AT14" s="117">
        <f t="shared" si="0"/>
        <v>142.99042515114834</v>
      </c>
      <c r="AU14" s="117">
        <f t="shared" si="0"/>
        <v>90.550088265574587</v>
      </c>
      <c r="AV14" s="117">
        <f t="shared" si="0"/>
        <v>49.251897614499867</v>
      </c>
      <c r="AW14" s="117">
        <f t="shared" si="0"/>
        <v>71.498422913362546</v>
      </c>
      <c r="AX14" s="117">
        <f t="shared" si="0"/>
        <v>33.927233146768252</v>
      </c>
      <c r="AY14" s="117">
        <f t="shared" si="0"/>
        <v>101.55537472663801</v>
      </c>
      <c r="AZ14" s="110">
        <f t="shared" si="0"/>
        <v>68.073862457800715</v>
      </c>
      <c r="BA14" s="107">
        <f>SUM($E14:$AZ14)</f>
        <v>3600.6360954535967</v>
      </c>
    </row>
    <row r="15" spans="1:54">
      <c r="A15" s="122" t="s">
        <v>123</v>
      </c>
      <c r="B15" s="123">
        <v>1</v>
      </c>
      <c r="C15" s="124" t="s">
        <v>293</v>
      </c>
      <c r="D15" s="124">
        <v>174.64920705377173</v>
      </c>
      <c r="E15" s="124">
        <v>83.112378288848305</v>
      </c>
      <c r="F15" s="124">
        <v>173.69166106959312</v>
      </c>
      <c r="G15" s="124">
        <v>1.5597795876803993E-2</v>
      </c>
      <c r="H15" s="124">
        <v>173.69166106959312</v>
      </c>
      <c r="I15" s="124">
        <v>173.69166106959312</v>
      </c>
      <c r="J15" s="124">
        <v>190.17198875192059</v>
      </c>
      <c r="K15" s="124">
        <v>98.900012489895403</v>
      </c>
      <c r="L15" s="124">
        <v>88.483178378359213</v>
      </c>
      <c r="M15" s="124">
        <v>98.900012489895403</v>
      </c>
      <c r="N15" s="124">
        <v>88.483178378359213</v>
      </c>
      <c r="O15" s="124">
        <v>82.419684807567961</v>
      </c>
      <c r="P15" s="124">
        <v>170.88726539005037</v>
      </c>
      <c r="Q15" s="124">
        <v>91.287574057901978</v>
      </c>
      <c r="R15" s="124">
        <v>91.287574057901978</v>
      </c>
      <c r="S15" s="124">
        <v>256.09574808128428</v>
      </c>
      <c r="T15" s="124">
        <v>88.483178378359213</v>
      </c>
      <c r="U15" s="124">
        <v>91.287574057901978</v>
      </c>
      <c r="V15" s="124">
        <v>256.09574808128428</v>
      </c>
      <c r="W15" s="124">
        <v>82.419684807567961</v>
      </c>
      <c r="X15" s="124">
        <v>173.69166106959312</v>
      </c>
      <c r="Y15" s="124">
        <v>173.69166106959312</v>
      </c>
      <c r="Z15" s="124">
        <v>173.69166106959312</v>
      </c>
      <c r="AA15" s="124">
        <v>82.419684807567961</v>
      </c>
      <c r="AB15" s="124">
        <v>173.69166106959312</v>
      </c>
      <c r="AC15" s="124">
        <v>173.69166106959312</v>
      </c>
      <c r="AD15" s="124">
        <v>173.69166106959312</v>
      </c>
      <c r="AE15" s="124">
        <v>91.287574057901978</v>
      </c>
      <c r="AF15" s="124">
        <v>173.69166106959312</v>
      </c>
      <c r="AG15" s="124">
        <v>173.69166106959312</v>
      </c>
      <c r="AH15" s="124">
        <v>170.88726539005037</v>
      </c>
      <c r="AI15" s="124">
        <v>1.5597795876803993E-2</v>
      </c>
      <c r="AJ15" s="124">
        <v>173.69166106959312</v>
      </c>
      <c r="AK15" s="124">
        <v>91.287574057901978</v>
      </c>
      <c r="AL15" s="124">
        <v>170.88726539005037</v>
      </c>
      <c r="AM15" s="124">
        <v>173.69166106959312</v>
      </c>
      <c r="AN15" s="124">
        <v>173.69166106959312</v>
      </c>
      <c r="AO15" s="124">
        <v>82.419684807567961</v>
      </c>
      <c r="AP15" s="124">
        <v>91.287574057901978</v>
      </c>
      <c r="AQ15" s="124">
        <v>1.5597795876803993E-2</v>
      </c>
      <c r="AR15" s="124">
        <v>91.287574057901978</v>
      </c>
      <c r="AS15" s="124">
        <v>173.69166106959312</v>
      </c>
      <c r="AT15" s="124">
        <v>170.88726539005037</v>
      </c>
      <c r="AU15" s="124">
        <v>82.419684807567961</v>
      </c>
      <c r="AV15" s="124">
        <v>173.69166106959312</v>
      </c>
      <c r="AW15" s="124">
        <v>82.419684807567961</v>
      </c>
      <c r="AX15" s="124">
        <v>155.43726581718812</v>
      </c>
      <c r="AY15" s="124">
        <v>155.43726581718812</v>
      </c>
      <c r="AZ15" s="100">
        <v>73.017581009620159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91.271976262025106</v>
      </c>
      <c r="G16" s="110"/>
      <c r="H16" s="110">
        <v>173.67606327371635</v>
      </c>
      <c r="I16" s="110"/>
      <c r="J16" s="110"/>
      <c r="K16" s="110"/>
      <c r="L16" s="110">
        <v>91.271976262025177</v>
      </c>
      <c r="M16" s="110">
        <v>101.68881037356137</v>
      </c>
      <c r="N16" s="110">
        <v>91.271976262025177</v>
      </c>
      <c r="O16" s="110">
        <v>85.208482691233925</v>
      </c>
      <c r="P16" s="110"/>
      <c r="Q16" s="110">
        <v>2.8043956795427647</v>
      </c>
      <c r="R16" s="110">
        <v>82.404087011691161</v>
      </c>
      <c r="S16" s="110"/>
      <c r="T16" s="110"/>
      <c r="U16" s="110">
        <v>2.8043956795427647</v>
      </c>
      <c r="V16" s="110"/>
      <c r="W16" s="110"/>
      <c r="X16" s="110"/>
      <c r="Y16" s="110"/>
      <c r="Z16" s="110"/>
      <c r="AA16" s="110"/>
      <c r="AB16" s="110">
        <v>91.271976262025177</v>
      </c>
      <c r="AC16" s="110"/>
      <c r="AD16" s="110"/>
      <c r="AE16" s="110"/>
      <c r="AF16" s="110">
        <v>82.404087011691161</v>
      </c>
      <c r="AG16" s="110"/>
      <c r="AH16" s="110"/>
      <c r="AI16" s="110">
        <v>2.8043956795427647</v>
      </c>
      <c r="AJ16" s="110"/>
      <c r="AK16" s="110"/>
      <c r="AL16" s="110">
        <v>82.404087011691161</v>
      </c>
      <c r="AM16" s="110">
        <v>2.8043956795427647</v>
      </c>
      <c r="AN16" s="110"/>
      <c r="AO16" s="110"/>
      <c r="AP16" s="110">
        <v>91.271976262025177</v>
      </c>
      <c r="AQ16" s="110">
        <v>82.404087011691161</v>
      </c>
      <c r="AR16" s="110">
        <v>82.404087011691161</v>
      </c>
      <c r="AS16" s="110">
        <v>82.404087011691161</v>
      </c>
      <c r="AT16" s="110"/>
      <c r="AU16" s="110">
        <v>2.8043956795427647</v>
      </c>
      <c r="AV16" s="110">
        <v>0</v>
      </c>
      <c r="AW16" s="110"/>
      <c r="AX16" s="110">
        <v>91.271976262025177</v>
      </c>
      <c r="AY16" s="110">
        <v>0</v>
      </c>
      <c r="BA16" s="100">
        <v>0</v>
      </c>
    </row>
    <row r="17" spans="1:54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>
        <v>91.271976262025177</v>
      </c>
      <c r="R17" s="110"/>
      <c r="S17" s="110"/>
      <c r="T17" s="110"/>
      <c r="U17" s="110"/>
      <c r="V17" s="110">
        <v>82.404087011691161</v>
      </c>
      <c r="W17" s="110"/>
      <c r="X17" s="110"/>
      <c r="Y17" s="110">
        <v>91.271976262025177</v>
      </c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>
        <v>173.67606327371635</v>
      </c>
      <c r="AL17" s="110"/>
      <c r="AM17" s="110"/>
      <c r="AN17" s="110"/>
      <c r="AO17" s="110"/>
      <c r="AP17" s="110"/>
      <c r="AQ17" s="110"/>
      <c r="AR17" s="110"/>
      <c r="AS17" s="110">
        <v>91.271976262025177</v>
      </c>
      <c r="AT17" s="110"/>
      <c r="AU17" s="110"/>
      <c r="AV17" s="110"/>
      <c r="AW17" s="110"/>
      <c r="AX17" s="110"/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>
        <v>22.866147256672093</v>
      </c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119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>
        <v>0</v>
      </c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>
        <v>0</v>
      </c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>
        <v>0</v>
      </c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141.86614725667209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40</v>
      </c>
      <c r="E95" s="110">
        <v>40</v>
      </c>
      <c r="F95" s="110">
        <v>40</v>
      </c>
      <c r="G95" s="110">
        <v>40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128</v>
      </c>
      <c r="U95" s="110">
        <v>128</v>
      </c>
      <c r="V95" s="110">
        <v>128</v>
      </c>
      <c r="W95" s="110">
        <v>128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160</v>
      </c>
      <c r="AG95" s="110">
        <v>160</v>
      </c>
      <c r="AH95" s="110">
        <v>160</v>
      </c>
      <c r="AI95" s="110">
        <v>160</v>
      </c>
      <c r="AJ95" s="110">
        <v>160</v>
      </c>
      <c r="AK95" s="110">
        <v>160</v>
      </c>
      <c r="AL95" s="110">
        <v>160</v>
      </c>
      <c r="AM95" s="110">
        <v>160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192</v>
      </c>
      <c r="AS95" s="110">
        <v>192</v>
      </c>
      <c r="AT95" s="110">
        <v>192</v>
      </c>
      <c r="AU95" s="110">
        <v>192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40</v>
      </c>
      <c r="F96" s="110">
        <v>40</v>
      </c>
      <c r="G96" s="110">
        <v>40</v>
      </c>
      <c r="H96" s="110">
        <v>9</v>
      </c>
      <c r="I96" s="110">
        <v>11</v>
      </c>
      <c r="J96" s="110">
        <v>37</v>
      </c>
      <c r="K96" s="110">
        <v>74</v>
      </c>
      <c r="L96" s="110">
        <v>90</v>
      </c>
      <c r="M96" s="110">
        <v>66</v>
      </c>
      <c r="N96" s="110">
        <v>122</v>
      </c>
      <c r="O96" s="110">
        <v>157</v>
      </c>
      <c r="P96" s="110">
        <v>160</v>
      </c>
      <c r="Q96" s="110">
        <v>160</v>
      </c>
      <c r="R96" s="110">
        <v>160</v>
      </c>
      <c r="S96" s="110">
        <v>160</v>
      </c>
      <c r="T96" s="110">
        <v>160</v>
      </c>
      <c r="U96" s="110">
        <v>128</v>
      </c>
      <c r="V96" s="110">
        <v>128</v>
      </c>
      <c r="W96" s="110">
        <v>128</v>
      </c>
      <c r="X96" s="110">
        <v>128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160</v>
      </c>
      <c r="AH96" s="110">
        <v>160</v>
      </c>
      <c r="AI96" s="110">
        <v>160</v>
      </c>
      <c r="AJ96" s="110">
        <v>160</v>
      </c>
      <c r="AK96" s="110">
        <v>160</v>
      </c>
      <c r="AL96" s="110">
        <v>160</v>
      </c>
      <c r="AM96" s="110">
        <v>160</v>
      </c>
      <c r="AN96" s="110">
        <v>160</v>
      </c>
      <c r="AO96" s="110">
        <v>160</v>
      </c>
      <c r="AP96" s="110">
        <v>160</v>
      </c>
      <c r="AQ96" s="110">
        <v>160</v>
      </c>
      <c r="AR96" s="110">
        <v>160</v>
      </c>
      <c r="AS96" s="110">
        <v>192</v>
      </c>
      <c r="AT96" s="110">
        <v>192</v>
      </c>
      <c r="AU96" s="110">
        <v>192</v>
      </c>
      <c r="AV96" s="110">
        <v>192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160</v>
      </c>
      <c r="D97" s="110">
        <v>160</v>
      </c>
      <c r="E97" s="110">
        <v>160</v>
      </c>
      <c r="F97" s="110">
        <v>40</v>
      </c>
      <c r="G97" s="110">
        <v>40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18</v>
      </c>
      <c r="Q97" s="110">
        <v>44</v>
      </c>
      <c r="R97" s="110">
        <v>82</v>
      </c>
      <c r="S97" s="110">
        <v>105</v>
      </c>
      <c r="T97" s="110">
        <v>75</v>
      </c>
      <c r="U97" s="110">
        <v>117</v>
      </c>
      <c r="V97" s="110">
        <v>128</v>
      </c>
      <c r="W97" s="110">
        <v>107</v>
      </c>
      <c r="X97" s="110">
        <v>128</v>
      </c>
      <c r="Y97" s="110">
        <v>128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160</v>
      </c>
      <c r="AI97" s="110">
        <v>160</v>
      </c>
      <c r="AJ97" s="110">
        <v>160</v>
      </c>
      <c r="AK97" s="110">
        <v>160</v>
      </c>
      <c r="AL97" s="110">
        <v>160</v>
      </c>
      <c r="AM97" s="110">
        <v>160</v>
      </c>
      <c r="AN97" s="110">
        <v>160</v>
      </c>
      <c r="AO97" s="110">
        <v>160</v>
      </c>
      <c r="AP97" s="110">
        <v>160</v>
      </c>
      <c r="AQ97" s="110">
        <v>160</v>
      </c>
      <c r="AR97" s="110">
        <v>160</v>
      </c>
      <c r="AS97" s="110">
        <v>137.13385274332791</v>
      </c>
      <c r="AT97" s="110">
        <v>148.13385274332791</v>
      </c>
      <c r="AU97" s="110">
        <v>192</v>
      </c>
      <c r="AV97" s="110">
        <v>192</v>
      </c>
      <c r="AW97" s="110">
        <v>192</v>
      </c>
      <c r="AX97" s="110">
        <v>160</v>
      </c>
      <c r="AY97" s="110">
        <v>160</v>
      </c>
    </row>
    <row r="98" spans="1:52">
      <c r="A98" s="109"/>
      <c r="B98" s="130">
        <v>4</v>
      </c>
      <c r="C98" s="106">
        <v>160</v>
      </c>
      <c r="D98" s="110">
        <v>155</v>
      </c>
      <c r="E98" s="110">
        <v>160</v>
      </c>
      <c r="F98" s="110">
        <v>160</v>
      </c>
      <c r="G98" s="110">
        <v>40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11</v>
      </c>
      <c r="W98" s="110">
        <v>0</v>
      </c>
      <c r="X98" s="110">
        <v>1</v>
      </c>
      <c r="Y98" s="110">
        <v>13</v>
      </c>
      <c r="Z98" s="110">
        <v>21</v>
      </c>
      <c r="AA98" s="110">
        <v>52</v>
      </c>
      <c r="AB98" s="110">
        <v>54</v>
      </c>
      <c r="AC98" s="110">
        <v>47</v>
      </c>
      <c r="AD98" s="110">
        <v>81</v>
      </c>
      <c r="AE98" s="110">
        <v>122</v>
      </c>
      <c r="AF98" s="110">
        <v>87</v>
      </c>
      <c r="AG98" s="110">
        <v>66</v>
      </c>
      <c r="AH98" s="110">
        <v>44</v>
      </c>
      <c r="AI98" s="110">
        <v>51</v>
      </c>
      <c r="AJ98" s="110">
        <v>28</v>
      </c>
      <c r="AK98" s="110">
        <v>51</v>
      </c>
      <c r="AL98" s="110">
        <v>74</v>
      </c>
      <c r="AM98" s="110">
        <v>54</v>
      </c>
      <c r="AN98" s="110">
        <v>39</v>
      </c>
      <c r="AO98" s="110">
        <v>76</v>
      </c>
      <c r="AP98" s="110">
        <v>120</v>
      </c>
      <c r="AQ98" s="110">
        <v>126</v>
      </c>
      <c r="AR98" s="110">
        <v>121</v>
      </c>
      <c r="AS98" s="110">
        <v>0</v>
      </c>
      <c r="AT98" s="110">
        <v>0</v>
      </c>
      <c r="AU98" s="110">
        <v>17.133852743327907</v>
      </c>
      <c r="AV98" s="110">
        <v>65.133852743327907</v>
      </c>
      <c r="AW98" s="110">
        <v>102.13385274332791</v>
      </c>
      <c r="AX98" s="110">
        <v>97.133852743327907</v>
      </c>
      <c r="AY98" s="110">
        <v>138.13385274332791</v>
      </c>
    </row>
    <row r="99" spans="1:52">
      <c r="A99" s="128"/>
      <c r="B99" s="132" t="s">
        <v>296</v>
      </c>
      <c r="C99" s="125">
        <v>29</v>
      </c>
      <c r="D99" s="125">
        <v>0</v>
      </c>
      <c r="E99" s="125">
        <v>22</v>
      </c>
      <c r="F99" s="125">
        <v>4</v>
      </c>
      <c r="G99" s="125">
        <v>25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51</v>
      </c>
    </row>
    <row r="100" spans="1:52">
      <c r="A100" s="131" t="s">
        <v>133</v>
      </c>
      <c r="B100" s="119">
        <v>1</v>
      </c>
      <c r="C100" s="106">
        <v>180.00000000000003</v>
      </c>
      <c r="D100" s="106">
        <v>180.00000000000003</v>
      </c>
      <c r="E100" s="106">
        <v>86.285303393280572</v>
      </c>
      <c r="F100" s="106">
        <v>180.00000000000009</v>
      </c>
      <c r="G100" s="106">
        <v>0</v>
      </c>
      <c r="H100" s="106">
        <v>180.00000000000009</v>
      </c>
      <c r="I100" s="106">
        <v>180.00000000000009</v>
      </c>
      <c r="J100" s="106">
        <v>197.11269757569713</v>
      </c>
      <c r="K100" s="106">
        <v>102.67872800995032</v>
      </c>
      <c r="L100" s="106">
        <v>91.532419417517588</v>
      </c>
      <c r="M100" s="106">
        <v>102.67872800995032</v>
      </c>
      <c r="N100" s="106">
        <v>91.532419417517588</v>
      </c>
      <c r="O100" s="106">
        <v>85.566030434253278</v>
      </c>
      <c r="P100" s="106">
        <v>177.09844985177085</v>
      </c>
      <c r="Q100" s="106">
        <v>94.433969565746807</v>
      </c>
      <c r="R100" s="106">
        <v>94.433969565746807</v>
      </c>
      <c r="S100" s="106">
        <v>265.56603043425338</v>
      </c>
      <c r="T100" s="106">
        <v>91.532419417517588</v>
      </c>
      <c r="U100" s="106">
        <v>94.433969565746807</v>
      </c>
      <c r="V100" s="106">
        <v>265.56603043425338</v>
      </c>
      <c r="W100" s="106">
        <v>85.566030434253278</v>
      </c>
      <c r="X100" s="106">
        <v>180.00000000000009</v>
      </c>
      <c r="Y100" s="106">
        <v>180.00000000000009</v>
      </c>
      <c r="Z100" s="106">
        <v>180.00000000000009</v>
      </c>
      <c r="AA100" s="106">
        <v>85.566030434253278</v>
      </c>
      <c r="AB100" s="106">
        <v>180.00000000000009</v>
      </c>
      <c r="AC100" s="106">
        <v>180.00000000000009</v>
      </c>
      <c r="AD100" s="106">
        <v>180.00000000000009</v>
      </c>
      <c r="AE100" s="106">
        <v>94.433969565746807</v>
      </c>
      <c r="AF100" s="106">
        <v>180.00000000000009</v>
      </c>
      <c r="AG100" s="106">
        <v>180.00000000000009</v>
      </c>
      <c r="AH100" s="106">
        <v>177.09844985177085</v>
      </c>
      <c r="AI100" s="106">
        <v>0</v>
      </c>
      <c r="AJ100" s="106">
        <v>180.00000000000009</v>
      </c>
      <c r="AK100" s="106">
        <v>94.433969565746807</v>
      </c>
      <c r="AL100" s="106">
        <v>177.09844985177085</v>
      </c>
      <c r="AM100" s="106">
        <v>180.00000000000009</v>
      </c>
      <c r="AN100" s="106">
        <v>180.00000000000009</v>
      </c>
      <c r="AO100" s="106">
        <v>85.566030434253278</v>
      </c>
      <c r="AP100" s="106">
        <v>94.433969565746807</v>
      </c>
      <c r="AQ100" s="106">
        <v>0</v>
      </c>
      <c r="AR100" s="106">
        <v>94.433969565746807</v>
      </c>
      <c r="AS100" s="106">
        <v>180.00000000000009</v>
      </c>
      <c r="AT100" s="106">
        <v>177.09844985177085</v>
      </c>
      <c r="AU100" s="106">
        <v>85.566030434253278</v>
      </c>
      <c r="AV100" s="106">
        <v>180.00000000000009</v>
      </c>
      <c r="AW100" s="106">
        <v>85.566030434253278</v>
      </c>
      <c r="AX100" s="106">
        <v>161.11320608685071</v>
      </c>
      <c r="AY100" s="106">
        <v>161.11320608685071</v>
      </c>
    </row>
    <row r="101" spans="1:52">
      <c r="A101" s="109"/>
      <c r="B101" s="119">
        <v>2</v>
      </c>
      <c r="C101" s="106">
        <v>82.713224462198752</v>
      </c>
      <c r="D101" s="106">
        <v>101.71322446219878</v>
      </c>
      <c r="E101" s="106">
        <v>106.71322446219881</v>
      </c>
      <c r="F101" s="106">
        <v>134.43249742122609</v>
      </c>
      <c r="G101" s="106">
        <v>128.43249742122617</v>
      </c>
      <c r="H101" s="106">
        <v>180.00000000000009</v>
      </c>
      <c r="I101" s="106">
        <v>180.00000000000009</v>
      </c>
      <c r="J101" s="106">
        <v>180.00000000000009</v>
      </c>
      <c r="K101" s="106">
        <v>197.11269757569713</v>
      </c>
      <c r="L101" s="106">
        <v>197.11269757569713</v>
      </c>
      <c r="M101" s="106">
        <v>197.11269757569713</v>
      </c>
      <c r="N101" s="106">
        <v>197.11269757569713</v>
      </c>
      <c r="O101" s="106">
        <v>180.00000000000009</v>
      </c>
      <c r="P101" s="106">
        <v>85.566030434253278</v>
      </c>
      <c r="Q101" s="106">
        <v>118.01682073704218</v>
      </c>
      <c r="R101" s="106">
        <v>180.00000000000009</v>
      </c>
      <c r="S101" s="106">
        <v>94.433969565746807</v>
      </c>
      <c r="T101" s="106">
        <v>190.45079030278924</v>
      </c>
      <c r="U101" s="106">
        <v>81.884759868536051</v>
      </c>
      <c r="V101" s="106">
        <v>0</v>
      </c>
      <c r="W101" s="106">
        <v>163.13206086850664</v>
      </c>
      <c r="X101" s="106">
        <v>35.69809130275992</v>
      </c>
      <c r="Y101" s="106">
        <v>0</v>
      </c>
      <c r="Z101" s="106">
        <v>71.433969565746892</v>
      </c>
      <c r="AA101" s="106">
        <v>110.43396956574698</v>
      </c>
      <c r="AB101" s="106">
        <v>155.43396956574708</v>
      </c>
      <c r="AC101" s="106">
        <v>93.433969565747162</v>
      </c>
      <c r="AD101" s="106">
        <v>101.43396956574725</v>
      </c>
      <c r="AE101" s="106">
        <v>76.433969565747333</v>
      </c>
      <c r="AF101" s="106">
        <v>85.566030434253278</v>
      </c>
      <c r="AG101" s="106">
        <v>53.566030434253364</v>
      </c>
      <c r="AH101" s="106">
        <v>48.566030434253463</v>
      </c>
      <c r="AI101" s="106">
        <v>93.56603043425352</v>
      </c>
      <c r="AJ101" s="106">
        <v>0</v>
      </c>
      <c r="AK101" s="106">
        <v>0</v>
      </c>
      <c r="AL101" s="106">
        <v>158.00000000000017</v>
      </c>
      <c r="AM101" s="106">
        <v>180.00000000000006</v>
      </c>
      <c r="AN101" s="106">
        <v>176.00000000000031</v>
      </c>
      <c r="AO101" s="106">
        <v>180.00000000000009</v>
      </c>
      <c r="AP101" s="106">
        <v>176.00000000000048</v>
      </c>
      <c r="AQ101" s="106">
        <v>180.00000000000009</v>
      </c>
      <c r="AR101" s="106">
        <v>85.566030434253278</v>
      </c>
      <c r="AS101" s="106">
        <v>85.566030434253278</v>
      </c>
      <c r="AT101" s="106">
        <v>180.00000000000009</v>
      </c>
      <c r="AU101" s="106">
        <v>180.00000000000006</v>
      </c>
      <c r="AV101" s="106">
        <v>58.566030434253506</v>
      </c>
      <c r="AW101" s="106">
        <v>93.566030434253591</v>
      </c>
      <c r="AX101" s="106">
        <v>94.433969565746807</v>
      </c>
      <c r="AY101" s="106">
        <v>64.547175652597517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24.000000000000085</v>
      </c>
      <c r="J102" s="106">
        <v>43.000000000000171</v>
      </c>
      <c r="K102" s="106">
        <v>87.000000000000256</v>
      </c>
      <c r="L102" s="106">
        <v>137.11269757569738</v>
      </c>
      <c r="M102" s="106">
        <v>118.22539515139451</v>
      </c>
      <c r="N102" s="106">
        <v>98.338092727091635</v>
      </c>
      <c r="O102" s="106">
        <v>65.450790302788761</v>
      </c>
      <c r="P102" s="106">
        <v>25.450790302788846</v>
      </c>
      <c r="Q102" s="106">
        <v>94.433969565746807</v>
      </c>
      <c r="R102" s="106">
        <v>34.450790302788988</v>
      </c>
      <c r="S102" s="106">
        <v>11.450790302789073</v>
      </c>
      <c r="T102" s="106">
        <v>0</v>
      </c>
      <c r="U102" s="106">
        <v>0</v>
      </c>
      <c r="V102" s="106">
        <v>85.566030434253278</v>
      </c>
      <c r="W102" s="106">
        <v>0</v>
      </c>
      <c r="X102" s="106">
        <v>0</v>
      </c>
      <c r="Y102" s="106">
        <v>94.433969565746807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180.00000000000009</v>
      </c>
      <c r="AL102" s="106">
        <v>0</v>
      </c>
      <c r="AM102" s="106">
        <v>3.0000000000001705</v>
      </c>
      <c r="AN102" s="106">
        <v>0</v>
      </c>
      <c r="AO102" s="106">
        <v>14.000000000000313</v>
      </c>
      <c r="AP102" s="106">
        <v>0</v>
      </c>
      <c r="AQ102" s="106">
        <v>14.000000000000483</v>
      </c>
      <c r="AR102" s="106">
        <v>36.000000000000568</v>
      </c>
      <c r="AS102" s="106">
        <v>94.433969565746807</v>
      </c>
      <c r="AT102" s="106">
        <v>42.000000000000085</v>
      </c>
      <c r="AU102" s="106">
        <v>57.000000000000171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44.446048640673901</v>
      </c>
      <c r="D109" s="106">
        <v>98.936814975306945</v>
      </c>
      <c r="E109" s="106">
        <v>72.107987771614205</v>
      </c>
      <c r="F109" s="106">
        <v>38.337125945894527</v>
      </c>
      <c r="G109" s="106">
        <v>109.06961267995682</v>
      </c>
      <c r="H109" s="106">
        <v>9.7931006312502475</v>
      </c>
      <c r="I109" s="106">
        <v>142.99042515114834</v>
      </c>
      <c r="J109" s="106">
        <v>107.4686778067465</v>
      </c>
      <c r="K109" s="106">
        <v>93.350791182428225</v>
      </c>
      <c r="L109" s="106">
        <v>40.711194052696413</v>
      </c>
      <c r="M109" s="106">
        <v>73.994398972243047</v>
      </c>
      <c r="N109" s="106">
        <v>88.234845143271926</v>
      </c>
      <c r="O109" s="106">
        <v>73.994398972243047</v>
      </c>
      <c r="P109" s="106">
        <v>70.13888411983902</v>
      </c>
      <c r="Q109" s="106">
        <v>70.344021676840228</v>
      </c>
      <c r="R109" s="106">
        <v>76.303201445287698</v>
      </c>
      <c r="S109" s="106">
        <v>71.498422913362546</v>
      </c>
      <c r="T109" s="106">
        <v>105.41923538455404</v>
      </c>
      <c r="U109" s="106">
        <v>43.287927696844129</v>
      </c>
      <c r="V109" s="106">
        <v>38.732011678693389</v>
      </c>
      <c r="W109" s="106">
        <v>139.34004785574552</v>
      </c>
      <c r="X109" s="106">
        <v>57.456483868182055</v>
      </c>
      <c r="Y109" s="106">
        <v>71.498422913362546</v>
      </c>
      <c r="Z109" s="106">
        <v>109.06961267995686</v>
      </c>
      <c r="AA109" s="106">
        <v>83.392357149997423</v>
      </c>
      <c r="AB109" s="106">
        <v>34.006814905983752</v>
      </c>
      <c r="AC109" s="106">
        <v>109.06961267995686</v>
      </c>
      <c r="AD109" s="106">
        <v>87.459627086500461</v>
      </c>
      <c r="AE109" s="106">
        <v>71.498422913362546</v>
      </c>
      <c r="AF109" s="106">
        <v>37.577610442171064</v>
      </c>
      <c r="AG109" s="106">
        <v>105.41923538455404</v>
      </c>
      <c r="AH109" s="106">
        <v>77.69891751722713</v>
      </c>
      <c r="AI109" s="106">
        <v>70.344021676840242</v>
      </c>
      <c r="AJ109" s="106">
        <v>1.1608219120990855</v>
      </c>
      <c r="AK109" s="106">
        <v>71.498422913362546</v>
      </c>
      <c r="AL109" s="106">
        <v>109.06961267995686</v>
      </c>
      <c r="AM109" s="106">
        <v>104.26483414803174</v>
      </c>
      <c r="AN109" s="106">
        <v>91.18753689657278</v>
      </c>
      <c r="AO109" s="106">
        <v>71.498422913362546</v>
      </c>
      <c r="AP109" s="106">
        <v>33.927233146768259</v>
      </c>
      <c r="AQ109" s="106">
        <v>75.148800208765365</v>
      </c>
      <c r="AR109" s="106">
        <v>33.927233146768252</v>
      </c>
      <c r="AS109" s="106">
        <v>71.498422913362546</v>
      </c>
      <c r="AT109" s="106">
        <v>142.99042515114834</v>
      </c>
      <c r="AU109" s="106">
        <v>90.550088265574587</v>
      </c>
      <c r="AV109" s="106">
        <v>49.251897614499867</v>
      </c>
      <c r="AW109" s="106">
        <v>71.498422913362546</v>
      </c>
      <c r="AX109" s="106">
        <v>33.927233146768252</v>
      </c>
      <c r="AY109" s="106">
        <v>101.55537472663801</v>
      </c>
    </row>
    <row r="110" spans="1:52">
      <c r="A110" s="109"/>
      <c r="B110" s="119">
        <v>2</v>
      </c>
      <c r="C110" s="106">
        <v>33.803406949398138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46.990425151148344</v>
      </c>
      <c r="K110" s="106">
        <v>95.459102957894842</v>
      </c>
      <c r="L110" s="106">
        <v>93.350791182428225</v>
      </c>
      <c r="M110" s="106">
        <v>40.711194052696413</v>
      </c>
      <c r="N110" s="106">
        <v>71.515487165262527</v>
      </c>
      <c r="O110" s="106">
        <v>62.750332308534453</v>
      </c>
      <c r="P110" s="106">
        <v>61.744731280777501</v>
      </c>
      <c r="Q110" s="106">
        <v>55.88361540061652</v>
      </c>
      <c r="R110" s="106">
        <v>20.227637077456748</v>
      </c>
      <c r="S110" s="106">
        <v>21.530838522744446</v>
      </c>
      <c r="T110" s="106">
        <v>35.029261436106992</v>
      </c>
      <c r="U110" s="106">
        <v>82.448496820661035</v>
      </c>
      <c r="V110" s="106">
        <v>28.079774265462184</v>
      </c>
      <c r="W110" s="106">
        <v>0.8117859441555737</v>
      </c>
      <c r="X110" s="106">
        <v>59.151833799901098</v>
      </c>
      <c r="Y110" s="106">
        <v>9.5136990985757777</v>
      </c>
      <c r="Z110" s="106">
        <v>8.0121220119383239</v>
      </c>
      <c r="AA110" s="106">
        <v>19.081734691895178</v>
      </c>
      <c r="AB110" s="106">
        <v>26.474091841892601</v>
      </c>
      <c r="AC110" s="106">
        <v>0</v>
      </c>
      <c r="AD110" s="106">
        <v>8.0696126799568617</v>
      </c>
      <c r="AE110" s="106">
        <v>0</v>
      </c>
      <c r="AF110" s="106">
        <v>0</v>
      </c>
      <c r="AG110" s="106">
        <v>0</v>
      </c>
      <c r="AH110" s="106">
        <v>40.419235384554042</v>
      </c>
      <c r="AI110" s="106">
        <v>55.118152901781173</v>
      </c>
      <c r="AJ110" s="106">
        <v>39.817726142668093</v>
      </c>
      <c r="AK110" s="106">
        <v>0</v>
      </c>
      <c r="AL110" s="106">
        <v>0</v>
      </c>
      <c r="AM110" s="106">
        <v>36.069612679956862</v>
      </c>
      <c r="AN110" s="106">
        <v>41.3344468279886</v>
      </c>
      <c r="AO110" s="106">
        <v>44.52198372456138</v>
      </c>
      <c r="AP110" s="106">
        <v>7.0204066379239265</v>
      </c>
      <c r="AQ110" s="106">
        <v>0</v>
      </c>
      <c r="AR110" s="106">
        <v>0</v>
      </c>
      <c r="AS110" s="106">
        <v>0</v>
      </c>
      <c r="AT110" s="106">
        <v>0</v>
      </c>
      <c r="AU110" s="106">
        <v>45.990425151148344</v>
      </c>
      <c r="AV110" s="106">
        <v>67.540513416722931</v>
      </c>
      <c r="AW110" s="106">
        <v>21.792411031222798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36.459102957894842</v>
      </c>
      <c r="M111" s="106">
        <v>47.809894140323067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174.64922615797624</v>
      </c>
      <c r="D122" s="106">
        <v>174.64920705377173</v>
      </c>
      <c r="E122" s="106">
        <v>83.112378288848305</v>
      </c>
      <c r="F122" s="106">
        <v>173.69166106959312</v>
      </c>
      <c r="G122" s="106">
        <v>1.5597795876803993E-2</v>
      </c>
      <c r="H122" s="106">
        <v>173.69166106959312</v>
      </c>
      <c r="I122" s="106">
        <v>173.69166106959312</v>
      </c>
      <c r="J122" s="106">
        <v>190.17198875192059</v>
      </c>
      <c r="K122" s="106">
        <v>98.900012489895403</v>
      </c>
      <c r="L122" s="106">
        <v>88.483178378359213</v>
      </c>
      <c r="M122" s="106">
        <v>98.900012489895403</v>
      </c>
      <c r="N122" s="106">
        <v>88.483178378359213</v>
      </c>
      <c r="O122" s="106">
        <v>82.419684807567961</v>
      </c>
      <c r="P122" s="106">
        <v>170.88726539005037</v>
      </c>
      <c r="Q122" s="106">
        <v>91.287574057901978</v>
      </c>
      <c r="R122" s="106">
        <v>91.287574057901978</v>
      </c>
      <c r="S122" s="106">
        <v>256.09574808128428</v>
      </c>
      <c r="T122" s="106">
        <v>88.483178378359213</v>
      </c>
      <c r="U122" s="106">
        <v>91.287574057901978</v>
      </c>
      <c r="V122" s="106">
        <v>256.09574808128428</v>
      </c>
      <c r="W122" s="106">
        <v>82.419684807567961</v>
      </c>
      <c r="X122" s="106">
        <v>173.69166106959312</v>
      </c>
      <c r="Y122" s="106">
        <v>173.69166106959312</v>
      </c>
      <c r="Z122" s="106">
        <v>173.69166106959312</v>
      </c>
      <c r="AA122" s="106">
        <v>82.419684807567961</v>
      </c>
      <c r="AB122" s="106">
        <v>173.69166106959312</v>
      </c>
      <c r="AC122" s="106">
        <v>173.69166106959312</v>
      </c>
      <c r="AD122" s="106">
        <v>173.69166106959312</v>
      </c>
      <c r="AE122" s="106">
        <v>91.287574057901978</v>
      </c>
      <c r="AF122" s="106">
        <v>173.69166106959312</v>
      </c>
      <c r="AG122" s="106">
        <v>173.69166106959312</v>
      </c>
      <c r="AH122" s="106">
        <v>170.88726539005037</v>
      </c>
      <c r="AI122" s="106">
        <v>1.5597795876803993E-2</v>
      </c>
      <c r="AJ122" s="106">
        <v>173.69166106959312</v>
      </c>
      <c r="AK122" s="106">
        <v>91.287574057901978</v>
      </c>
      <c r="AL122" s="106">
        <v>170.88726539005037</v>
      </c>
      <c r="AM122" s="106">
        <v>173.69166106959312</v>
      </c>
      <c r="AN122" s="106">
        <v>173.69166106959312</v>
      </c>
      <c r="AO122" s="106">
        <v>82.419684807567961</v>
      </c>
      <c r="AP122" s="106">
        <v>91.287574057901978</v>
      </c>
      <c r="AQ122" s="106">
        <v>1.5597795876803993E-2</v>
      </c>
      <c r="AR122" s="106">
        <v>91.287574057901978</v>
      </c>
      <c r="AS122" s="106">
        <v>173.69166106959312</v>
      </c>
      <c r="AT122" s="106">
        <v>170.88726539005037</v>
      </c>
      <c r="AU122" s="106">
        <v>82.419684807567961</v>
      </c>
      <c r="AV122" s="106">
        <v>173.69166106959312</v>
      </c>
      <c r="AW122" s="106">
        <v>82.419684807567961</v>
      </c>
      <c r="AX122" s="106">
        <v>155.43726581718812</v>
      </c>
      <c r="AY122" s="106">
        <v>155.43726581718812</v>
      </c>
    </row>
    <row r="123" spans="1:52">
      <c r="A123" s="109"/>
      <c r="B123" s="119">
        <v>2</v>
      </c>
      <c r="C123" s="106">
        <v>66.37313506715364</v>
      </c>
      <c r="D123" s="106">
        <v>0.52327454927115014</v>
      </c>
      <c r="E123" s="106">
        <v>10.020292542862123</v>
      </c>
      <c r="F123" s="106">
        <v>91.271976262025106</v>
      </c>
      <c r="G123" s="106">
        <v>23.774855844264053</v>
      </c>
      <c r="H123" s="106">
        <v>173.67606327371635</v>
      </c>
      <c r="I123" s="106">
        <v>87.382813032102064</v>
      </c>
      <c r="J123" s="106">
        <v>36.605796294948675</v>
      </c>
      <c r="K123" s="106">
        <v>1.4210854715202004E-14</v>
      </c>
      <c r="L123" s="106">
        <v>91.271976262025191</v>
      </c>
      <c r="M123" s="106">
        <v>115.44956604170275</v>
      </c>
      <c r="N123" s="106">
        <v>91.271976262025191</v>
      </c>
      <c r="O123" s="106">
        <v>87.969238359375282</v>
      </c>
      <c r="P123" s="106">
        <v>0</v>
      </c>
      <c r="Q123" s="106">
        <v>2.8043956795427647</v>
      </c>
      <c r="R123" s="106">
        <v>82.404087011691161</v>
      </c>
      <c r="S123" s="106">
        <v>0</v>
      </c>
      <c r="T123" s="106">
        <v>16.676512696730242</v>
      </c>
      <c r="U123" s="106">
        <v>2.8043956795427647</v>
      </c>
      <c r="V123" s="106">
        <v>0</v>
      </c>
      <c r="W123" s="106">
        <v>57.159787237229907</v>
      </c>
      <c r="X123" s="106">
        <v>0</v>
      </c>
      <c r="Y123" s="106">
        <v>0</v>
      </c>
      <c r="Z123" s="106">
        <v>28.894024651661454</v>
      </c>
      <c r="AA123" s="106">
        <v>0.19332857125716885</v>
      </c>
      <c r="AB123" s="106">
        <v>91.271976262025191</v>
      </c>
      <c r="AC123" s="106">
        <v>38.774674356979666</v>
      </c>
      <c r="AD123" s="106">
        <v>1.4210854715202004E-14</v>
      </c>
      <c r="AE123" s="106">
        <v>1.4210854715202004E-14</v>
      </c>
      <c r="AF123" s="106">
        <v>82.404087011691161</v>
      </c>
      <c r="AG123" s="106">
        <v>15.062908569372212</v>
      </c>
      <c r="AH123" s="106">
        <v>1.4210854715202004E-14</v>
      </c>
      <c r="AI123" s="106">
        <v>2.8043956795427647</v>
      </c>
      <c r="AJ123" s="106">
        <v>0</v>
      </c>
      <c r="AK123" s="106">
        <v>0</v>
      </c>
      <c r="AL123" s="106">
        <v>82.404087011691175</v>
      </c>
      <c r="AM123" s="106">
        <v>47.830913933252589</v>
      </c>
      <c r="AN123" s="106">
        <v>1.4210854715202004E-14</v>
      </c>
      <c r="AO123" s="106">
        <v>1.4210854715202004E-14</v>
      </c>
      <c r="AP123" s="106">
        <v>91.271976262025191</v>
      </c>
      <c r="AQ123" s="106">
        <v>82.404087011691161</v>
      </c>
      <c r="AR123" s="106">
        <v>82.404087011691161</v>
      </c>
      <c r="AS123" s="106">
        <v>82.404087011691161</v>
      </c>
      <c r="AT123" s="106">
        <v>49.086750818725463</v>
      </c>
      <c r="AU123" s="106">
        <v>37.228323622744014</v>
      </c>
      <c r="AV123" s="106">
        <v>0</v>
      </c>
      <c r="AW123" s="106">
        <v>0</v>
      </c>
      <c r="AX123" s="106">
        <v>91.271976262025191</v>
      </c>
      <c r="AY123" s="106">
        <v>9.9350845638246312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91.271976262025177</v>
      </c>
      <c r="R124" s="106">
        <v>0</v>
      </c>
      <c r="S124" s="106">
        <v>0</v>
      </c>
      <c r="T124" s="106">
        <v>0</v>
      </c>
      <c r="U124" s="106">
        <v>0</v>
      </c>
      <c r="V124" s="106">
        <v>82.404087011691161</v>
      </c>
      <c r="W124" s="106">
        <v>0</v>
      </c>
      <c r="X124" s="106">
        <v>0</v>
      </c>
      <c r="Y124" s="106">
        <v>91.271976262025177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173.67606327371635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91.271976262025177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0.41048811600884533</v>
      </c>
      <c r="D172" s="134">
        <v>0.41163992832514418</v>
      </c>
      <c r="E172" s="134">
        <v>0.41163992832514418</v>
      </c>
      <c r="F172" s="134">
        <v>0.41163992832514418</v>
      </c>
      <c r="G172" s="134">
        <v>0.41163992832514418</v>
      </c>
      <c r="H172" s="134">
        <v>0.41163992832514418</v>
      </c>
      <c r="I172" s="134">
        <v>0.41163992832514418</v>
      </c>
      <c r="J172" s="134">
        <v>0.41163992832514418</v>
      </c>
      <c r="K172" s="134">
        <v>0.41163992832514418</v>
      </c>
      <c r="L172" s="134">
        <v>0.41163992832514418</v>
      </c>
      <c r="M172" s="134">
        <v>0.41163992832514418</v>
      </c>
      <c r="N172" s="134">
        <v>0.41163992832514418</v>
      </c>
      <c r="O172" s="134">
        <v>0.41163992832514418</v>
      </c>
      <c r="P172" s="134">
        <v>0.41163992832514418</v>
      </c>
      <c r="Q172" s="134">
        <v>0.41163992832514418</v>
      </c>
      <c r="R172" s="134">
        <v>0.41163992832514418</v>
      </c>
      <c r="S172" s="134">
        <v>0.41163992832514418</v>
      </c>
      <c r="T172" s="134">
        <v>0.41163992832514418</v>
      </c>
      <c r="U172" s="134">
        <v>0.41163992832514418</v>
      </c>
      <c r="V172" s="134">
        <v>0.41163992832514418</v>
      </c>
      <c r="W172" s="134">
        <v>0.41163992832514418</v>
      </c>
      <c r="X172" s="134">
        <v>0.41163992832514418</v>
      </c>
      <c r="Y172" s="134">
        <v>0.41163992832514418</v>
      </c>
      <c r="Z172" s="134">
        <v>0.41163992832514418</v>
      </c>
      <c r="AA172" s="134">
        <v>0.41163992832514418</v>
      </c>
      <c r="AB172" s="134">
        <v>0.41163992832514418</v>
      </c>
      <c r="AC172" s="134">
        <v>0.41163992832514418</v>
      </c>
      <c r="AD172" s="134">
        <v>0.41163992832514418</v>
      </c>
      <c r="AE172" s="134">
        <v>0.41163992832514418</v>
      </c>
      <c r="AF172" s="134">
        <v>0.41163992832514418</v>
      </c>
      <c r="AG172" s="134">
        <v>0.41163992832514418</v>
      </c>
      <c r="AH172" s="134">
        <v>0.41163992832514418</v>
      </c>
      <c r="AI172" s="134">
        <v>0.41163992832514418</v>
      </c>
      <c r="AJ172" s="134">
        <v>0.41163992832514418</v>
      </c>
      <c r="AK172" s="134">
        <v>0.41163992832514418</v>
      </c>
      <c r="AL172" s="134">
        <v>0.41163992832514418</v>
      </c>
      <c r="AM172" s="134">
        <v>0.41163992832514418</v>
      </c>
      <c r="AN172" s="134">
        <v>0.41163992832514418</v>
      </c>
      <c r="AO172" s="134">
        <v>0.41163992832514418</v>
      </c>
      <c r="AP172" s="134">
        <v>0.41163992832514418</v>
      </c>
      <c r="AQ172" s="134">
        <v>0.41163992832514418</v>
      </c>
      <c r="AR172" s="134">
        <v>0.41163992832514418</v>
      </c>
      <c r="AS172" s="134">
        <v>0.41163992832514418</v>
      </c>
      <c r="AT172" s="134">
        <v>0.41163992832514418</v>
      </c>
      <c r="AU172" s="134">
        <v>0.41163992832514418</v>
      </c>
      <c r="AV172" s="134">
        <v>0.41163992832514418</v>
      </c>
      <c r="AW172" s="134">
        <v>0.41163992832514418</v>
      </c>
      <c r="AX172" s="134">
        <v>0.41163992832514418</v>
      </c>
      <c r="AY172" s="134">
        <v>0.41163992832514418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515</v>
      </c>
      <c r="E175" s="124">
        <f t="shared" si="1"/>
        <v>400</v>
      </c>
      <c r="F175" s="124">
        <f t="shared" si="1"/>
        <v>280</v>
      </c>
      <c r="G175" s="124">
        <f t="shared" si="1"/>
        <v>160</v>
      </c>
      <c r="H175" s="124">
        <f t="shared" si="1"/>
        <v>169</v>
      </c>
      <c r="I175" s="124">
        <f t="shared" si="1"/>
        <v>171</v>
      </c>
      <c r="J175" s="124">
        <f t="shared" si="1"/>
        <v>197</v>
      </c>
      <c r="K175" s="124">
        <f t="shared" si="1"/>
        <v>234</v>
      </c>
      <c r="L175" s="124">
        <f t="shared" si="1"/>
        <v>250</v>
      </c>
      <c r="M175" s="124">
        <f t="shared" si="1"/>
        <v>226</v>
      </c>
      <c r="N175" s="124">
        <f t="shared" si="1"/>
        <v>282</v>
      </c>
      <c r="O175" s="124">
        <f t="shared" si="1"/>
        <v>317</v>
      </c>
      <c r="P175" s="124">
        <f t="shared" si="1"/>
        <v>338</v>
      </c>
      <c r="Q175" s="124">
        <f t="shared" si="1"/>
        <v>364</v>
      </c>
      <c r="R175" s="124">
        <f t="shared" si="1"/>
        <v>402</v>
      </c>
      <c r="S175" s="124">
        <f t="shared" si="1"/>
        <v>425</v>
      </c>
      <c r="T175" s="124">
        <f t="shared" si="1"/>
        <v>363</v>
      </c>
      <c r="U175" s="124">
        <f t="shared" si="1"/>
        <v>373</v>
      </c>
      <c r="V175" s="124">
        <f t="shared" si="1"/>
        <v>395</v>
      </c>
      <c r="W175" s="124">
        <f t="shared" si="1"/>
        <v>363</v>
      </c>
      <c r="X175" s="124">
        <f t="shared" si="1"/>
        <v>417</v>
      </c>
      <c r="Y175" s="124">
        <f t="shared" si="1"/>
        <v>461</v>
      </c>
      <c r="Z175" s="124">
        <f t="shared" si="1"/>
        <v>501</v>
      </c>
      <c r="AA175" s="124">
        <f t="shared" si="1"/>
        <v>532</v>
      </c>
      <c r="AB175" s="124">
        <f t="shared" si="1"/>
        <v>534</v>
      </c>
      <c r="AC175" s="124">
        <f t="shared" si="1"/>
        <v>527</v>
      </c>
      <c r="AD175" s="124">
        <f t="shared" si="1"/>
        <v>561</v>
      </c>
      <c r="AE175" s="124">
        <f t="shared" si="1"/>
        <v>602</v>
      </c>
      <c r="AF175" s="124">
        <f t="shared" si="1"/>
        <v>567</v>
      </c>
      <c r="AG175" s="124">
        <f t="shared" si="1"/>
        <v>546</v>
      </c>
      <c r="AH175" s="124">
        <f t="shared" si="1"/>
        <v>524</v>
      </c>
      <c r="AI175" s="124">
        <f t="shared" si="1"/>
        <v>531</v>
      </c>
      <c r="AJ175" s="124">
        <f t="shared" si="1"/>
        <v>508</v>
      </c>
      <c r="AK175" s="124">
        <f t="shared" si="1"/>
        <v>531</v>
      </c>
      <c r="AL175" s="124">
        <f t="shared" si="1"/>
        <v>554</v>
      </c>
      <c r="AM175" s="124">
        <f t="shared" si="1"/>
        <v>534</v>
      </c>
      <c r="AN175" s="124">
        <f t="shared" si="1"/>
        <v>519</v>
      </c>
      <c r="AO175" s="124">
        <f t="shared" si="1"/>
        <v>556</v>
      </c>
      <c r="AP175" s="124">
        <f t="shared" si="1"/>
        <v>600</v>
      </c>
      <c r="AQ175" s="124">
        <f t="shared" si="1"/>
        <v>606</v>
      </c>
      <c r="AR175" s="124">
        <f t="shared" si="1"/>
        <v>633</v>
      </c>
      <c r="AS175" s="124">
        <f t="shared" si="1"/>
        <v>521.13385274332791</v>
      </c>
      <c r="AT175" s="124">
        <f t="shared" si="1"/>
        <v>532.13385274332791</v>
      </c>
      <c r="AU175" s="124">
        <f t="shared" si="1"/>
        <v>593.13385274332791</v>
      </c>
      <c r="AV175" s="124">
        <f t="shared" si="1"/>
        <v>609.13385274332791</v>
      </c>
      <c r="AW175" s="124">
        <f t="shared" si="1"/>
        <v>614.13385274332791</v>
      </c>
      <c r="AX175" s="124">
        <f t="shared" si="1"/>
        <v>577.13385274332791</v>
      </c>
      <c r="AY175" s="124">
        <f t="shared" si="1"/>
        <v>618.13385274332791</v>
      </c>
    </row>
    <row r="176" spans="1:52">
      <c r="A176" s="125"/>
      <c r="B176" s="136" t="s">
        <v>299</v>
      </c>
      <c r="C176" s="125" t="s">
        <v>293</v>
      </c>
      <c r="D176" s="125">
        <v>133</v>
      </c>
      <c r="E176" s="125">
        <v>156</v>
      </c>
      <c r="F176" s="125">
        <v>135</v>
      </c>
      <c r="G176" s="125">
        <v>151</v>
      </c>
      <c r="H176" s="125">
        <v>158</v>
      </c>
      <c r="I176" s="125">
        <v>134</v>
      </c>
      <c r="J176" s="125">
        <v>123</v>
      </c>
      <c r="K176" s="125">
        <v>144</v>
      </c>
      <c r="L176" s="125">
        <v>184</v>
      </c>
      <c r="M176" s="125">
        <v>104</v>
      </c>
      <c r="N176" s="125">
        <v>125</v>
      </c>
      <c r="O176" s="125">
        <v>139</v>
      </c>
      <c r="P176" s="125">
        <v>134</v>
      </c>
      <c r="Q176" s="125">
        <v>122</v>
      </c>
      <c r="R176" s="125">
        <v>137</v>
      </c>
      <c r="S176" s="125">
        <v>190</v>
      </c>
      <c r="T176" s="125">
        <v>118</v>
      </c>
      <c r="U176" s="125">
        <v>106</v>
      </c>
      <c r="V176" s="125">
        <v>160</v>
      </c>
      <c r="W176" s="125">
        <v>106</v>
      </c>
      <c r="X176" s="125">
        <v>116</v>
      </c>
      <c r="Y176" s="125">
        <v>120</v>
      </c>
      <c r="Z176" s="125">
        <v>129</v>
      </c>
      <c r="AA176" s="125">
        <v>158</v>
      </c>
      <c r="AB176" s="125">
        <v>167</v>
      </c>
      <c r="AC176" s="125">
        <v>126</v>
      </c>
      <c r="AD176" s="125">
        <v>119</v>
      </c>
      <c r="AE176" s="125">
        <v>195</v>
      </c>
      <c r="AF176" s="125">
        <v>181</v>
      </c>
      <c r="AG176" s="125">
        <v>182</v>
      </c>
      <c r="AH176" s="125">
        <v>153</v>
      </c>
      <c r="AI176" s="125">
        <v>183</v>
      </c>
      <c r="AJ176" s="125">
        <v>137</v>
      </c>
      <c r="AK176" s="125">
        <v>137</v>
      </c>
      <c r="AL176" s="125">
        <v>180</v>
      </c>
      <c r="AM176" s="125">
        <v>175</v>
      </c>
      <c r="AN176" s="125">
        <v>123</v>
      </c>
      <c r="AO176" s="125">
        <v>116</v>
      </c>
      <c r="AP176" s="125">
        <v>154</v>
      </c>
      <c r="AQ176" s="125">
        <v>165</v>
      </c>
      <c r="AR176" s="125">
        <v>162</v>
      </c>
      <c r="AS176" s="125">
        <v>181</v>
      </c>
      <c r="AT176" s="125">
        <v>131</v>
      </c>
      <c r="AU176" s="125">
        <v>144</v>
      </c>
      <c r="AV176" s="125">
        <v>155</v>
      </c>
      <c r="AW176" s="125">
        <v>197</v>
      </c>
      <c r="AX176" s="125">
        <v>119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281.71322446219881</v>
      </c>
      <c r="E177" s="124">
        <f t="shared" si="2"/>
        <v>192.99852785547938</v>
      </c>
      <c r="F177" s="124">
        <f t="shared" si="2"/>
        <v>314.43249742122617</v>
      </c>
      <c r="G177" s="124">
        <f t="shared" si="2"/>
        <v>128.43249742122617</v>
      </c>
      <c r="H177" s="124">
        <f t="shared" si="2"/>
        <v>360.00000000000017</v>
      </c>
      <c r="I177" s="124">
        <f t="shared" si="2"/>
        <v>384.00000000000023</v>
      </c>
      <c r="J177" s="124">
        <f t="shared" si="2"/>
        <v>420.11269757569738</v>
      </c>
      <c r="K177" s="124">
        <f t="shared" si="2"/>
        <v>386.79142558564774</v>
      </c>
      <c r="L177" s="124">
        <f t="shared" si="2"/>
        <v>425.75781456891212</v>
      </c>
      <c r="M177" s="124">
        <f t="shared" si="2"/>
        <v>418.01682073704194</v>
      </c>
      <c r="N177" s="124">
        <f t="shared" si="2"/>
        <v>386.98320972030638</v>
      </c>
      <c r="O177" s="124">
        <f t="shared" si="2"/>
        <v>331.01682073704217</v>
      </c>
      <c r="P177" s="124">
        <f t="shared" si="2"/>
        <v>288.11527058881296</v>
      </c>
      <c r="Q177" s="124">
        <f t="shared" si="2"/>
        <v>306.88475986853581</v>
      </c>
      <c r="R177" s="124">
        <f t="shared" si="2"/>
        <v>308.88475986853587</v>
      </c>
      <c r="S177" s="124">
        <f t="shared" si="2"/>
        <v>371.45079030278924</v>
      </c>
      <c r="T177" s="124">
        <f t="shared" si="2"/>
        <v>281.98320972030683</v>
      </c>
      <c r="U177" s="124">
        <f t="shared" si="2"/>
        <v>176.31872943428286</v>
      </c>
      <c r="V177" s="124">
        <f t="shared" si="2"/>
        <v>351.13206086850664</v>
      </c>
      <c r="W177" s="124">
        <f t="shared" si="2"/>
        <v>248.69809130275991</v>
      </c>
      <c r="X177" s="124">
        <f t="shared" si="2"/>
        <v>215.69809130276002</v>
      </c>
      <c r="Y177" s="124">
        <f t="shared" si="2"/>
        <v>274.43396956574691</v>
      </c>
      <c r="Z177" s="124">
        <f t="shared" si="2"/>
        <v>251.43396956574696</v>
      </c>
      <c r="AA177" s="124">
        <f t="shared" si="2"/>
        <v>196.00000000000026</v>
      </c>
      <c r="AB177" s="124">
        <f t="shared" si="2"/>
        <v>335.43396956574713</v>
      </c>
      <c r="AC177" s="124">
        <f t="shared" si="2"/>
        <v>273.43396956574725</v>
      </c>
      <c r="AD177" s="124">
        <f t="shared" si="2"/>
        <v>281.43396956574736</v>
      </c>
      <c r="AE177" s="124">
        <f t="shared" si="2"/>
        <v>170.86793913149415</v>
      </c>
      <c r="AF177" s="124">
        <f t="shared" si="2"/>
        <v>265.56603043425338</v>
      </c>
      <c r="AG177" s="124">
        <f t="shared" si="2"/>
        <v>233.56603043425343</v>
      </c>
      <c r="AH177" s="124">
        <f t="shared" si="2"/>
        <v>225.66448028602431</v>
      </c>
      <c r="AI177" s="124">
        <f t="shared" si="2"/>
        <v>93.56603043425352</v>
      </c>
      <c r="AJ177" s="124">
        <f t="shared" si="2"/>
        <v>180.00000000000009</v>
      </c>
      <c r="AK177" s="124">
        <f t="shared" si="2"/>
        <v>274.43396956574691</v>
      </c>
      <c r="AL177" s="124">
        <f t="shared" si="2"/>
        <v>335.09844985177102</v>
      </c>
      <c r="AM177" s="124">
        <f t="shared" si="2"/>
        <v>363.00000000000028</v>
      </c>
      <c r="AN177" s="124">
        <f t="shared" si="2"/>
        <v>356.0000000000004</v>
      </c>
      <c r="AO177" s="124">
        <f t="shared" si="2"/>
        <v>279.56603043425366</v>
      </c>
      <c r="AP177" s="124">
        <f t="shared" si="2"/>
        <v>270.4339695657473</v>
      </c>
      <c r="AQ177" s="124">
        <f t="shared" si="2"/>
        <v>194.00000000000057</v>
      </c>
      <c r="AR177" s="124">
        <f t="shared" si="2"/>
        <v>216.00000000000065</v>
      </c>
      <c r="AS177" s="124">
        <f t="shared" si="2"/>
        <v>360.00000000000017</v>
      </c>
      <c r="AT177" s="124">
        <f t="shared" si="2"/>
        <v>399.09844985177108</v>
      </c>
      <c r="AU177" s="124">
        <f t="shared" si="2"/>
        <v>322.56603043425349</v>
      </c>
      <c r="AV177" s="124">
        <f t="shared" si="2"/>
        <v>238.56603043425361</v>
      </c>
      <c r="AW177" s="124">
        <f t="shared" si="2"/>
        <v>179.13206086850687</v>
      </c>
      <c r="AX177" s="124">
        <f t="shared" si="2"/>
        <v>255.5471756525975</v>
      </c>
      <c r="AY177" s="124">
        <f t="shared" si="2"/>
        <v>225.66038173944821</v>
      </c>
    </row>
    <row r="178" spans="1:51">
      <c r="A178" s="125"/>
      <c r="B178" s="136" t="s">
        <v>299</v>
      </c>
      <c r="C178" s="125" t="s">
        <v>293</v>
      </c>
      <c r="D178" s="125">
        <v>175</v>
      </c>
      <c r="E178" s="125">
        <v>153</v>
      </c>
      <c r="F178" s="125">
        <v>186</v>
      </c>
      <c r="G178" s="125">
        <v>128.43249742122617</v>
      </c>
      <c r="H178" s="125">
        <v>156</v>
      </c>
      <c r="I178" s="125">
        <v>161</v>
      </c>
      <c r="J178" s="125">
        <v>136</v>
      </c>
      <c r="K178" s="125">
        <v>147</v>
      </c>
      <c r="L178" s="125">
        <v>216</v>
      </c>
      <c r="M178" s="125">
        <v>217</v>
      </c>
      <c r="N178" s="125">
        <v>230</v>
      </c>
      <c r="O178" s="125">
        <v>220</v>
      </c>
      <c r="P178" s="125">
        <v>173</v>
      </c>
      <c r="Q178" s="125">
        <v>178</v>
      </c>
      <c r="R178" s="125">
        <v>203</v>
      </c>
      <c r="S178" s="125">
        <v>181</v>
      </c>
      <c r="T178" s="125">
        <v>203</v>
      </c>
      <c r="U178" s="125">
        <v>176.31872943428286</v>
      </c>
      <c r="V178" s="125">
        <v>188</v>
      </c>
      <c r="W178" s="125">
        <v>213</v>
      </c>
      <c r="X178" s="125">
        <v>215.69809130276002</v>
      </c>
      <c r="Y178" s="125">
        <v>203</v>
      </c>
      <c r="Z178" s="125">
        <v>141</v>
      </c>
      <c r="AA178" s="125">
        <v>135</v>
      </c>
      <c r="AB178" s="125">
        <v>242</v>
      </c>
      <c r="AC178" s="125">
        <v>172</v>
      </c>
      <c r="AD178" s="125">
        <v>205</v>
      </c>
      <c r="AE178" s="125">
        <v>170.86793913149415</v>
      </c>
      <c r="AF178" s="125">
        <v>212</v>
      </c>
      <c r="AG178" s="125">
        <v>185</v>
      </c>
      <c r="AH178" s="125">
        <v>135</v>
      </c>
      <c r="AI178" s="125">
        <v>93.56603043425352</v>
      </c>
      <c r="AJ178" s="125">
        <v>180.00000000000009</v>
      </c>
      <c r="AK178" s="125">
        <v>202</v>
      </c>
      <c r="AL178" s="125">
        <v>155</v>
      </c>
      <c r="AM178" s="125">
        <v>187</v>
      </c>
      <c r="AN178" s="125">
        <v>162</v>
      </c>
      <c r="AO178" s="125">
        <v>198</v>
      </c>
      <c r="AP178" s="125">
        <v>162</v>
      </c>
      <c r="AQ178" s="125">
        <v>158</v>
      </c>
      <c r="AR178" s="125">
        <v>216.00000000000065</v>
      </c>
      <c r="AS178" s="125">
        <v>138</v>
      </c>
      <c r="AT178" s="125">
        <v>165</v>
      </c>
      <c r="AU178" s="125">
        <v>264</v>
      </c>
      <c r="AV178" s="125">
        <v>145</v>
      </c>
      <c r="AW178" s="125">
        <v>179.13206086850687</v>
      </c>
      <c r="AX178" s="125">
        <v>191</v>
      </c>
      <c r="AY178" s="125">
        <v>199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98.936814975306945</v>
      </c>
      <c r="E179" s="124">
        <f t="shared" si="3"/>
        <v>72.107987771614205</v>
      </c>
      <c r="F179" s="124">
        <f t="shared" si="3"/>
        <v>38.337125945894527</v>
      </c>
      <c r="G179" s="124">
        <f t="shared" si="3"/>
        <v>109.06961267995682</v>
      </c>
      <c r="H179" s="124">
        <f t="shared" si="3"/>
        <v>9.7931006312502475</v>
      </c>
      <c r="I179" s="124">
        <f t="shared" si="3"/>
        <v>142.99042515114834</v>
      </c>
      <c r="J179" s="124">
        <f t="shared" si="3"/>
        <v>154.45910295789486</v>
      </c>
      <c r="K179" s="124">
        <f t="shared" si="3"/>
        <v>188.80989414032308</v>
      </c>
      <c r="L179" s="124">
        <f t="shared" si="3"/>
        <v>170.52108819301947</v>
      </c>
      <c r="M179" s="124">
        <f t="shared" si="3"/>
        <v>162.51548716526253</v>
      </c>
      <c r="N179" s="124">
        <f t="shared" si="3"/>
        <v>159.75033230853444</v>
      </c>
      <c r="O179" s="124">
        <f t="shared" si="3"/>
        <v>136.7447312807775</v>
      </c>
      <c r="P179" s="124">
        <f t="shared" si="3"/>
        <v>131.88361540061652</v>
      </c>
      <c r="Q179" s="124">
        <f t="shared" si="3"/>
        <v>126.22763707745675</v>
      </c>
      <c r="R179" s="124">
        <f t="shared" si="3"/>
        <v>96.530838522744446</v>
      </c>
      <c r="S179" s="124">
        <f t="shared" si="3"/>
        <v>93.029261436106992</v>
      </c>
      <c r="T179" s="124">
        <f t="shared" si="3"/>
        <v>140.44849682066103</v>
      </c>
      <c r="U179" s="124">
        <f t="shared" si="3"/>
        <v>125.73642451750516</v>
      </c>
      <c r="V179" s="124">
        <f t="shared" si="3"/>
        <v>66.811785944155574</v>
      </c>
      <c r="W179" s="124">
        <f t="shared" si="3"/>
        <v>140.15183379990111</v>
      </c>
      <c r="X179" s="124">
        <f t="shared" si="3"/>
        <v>116.60831766808315</v>
      </c>
      <c r="Y179" s="124">
        <f t="shared" si="3"/>
        <v>81.012122011938317</v>
      </c>
      <c r="Z179" s="124">
        <f t="shared" si="3"/>
        <v>117.08173469189518</v>
      </c>
      <c r="AA179" s="124">
        <f t="shared" si="3"/>
        <v>102.4740918418926</v>
      </c>
      <c r="AB179" s="124">
        <f t="shared" si="3"/>
        <v>60.480906747876354</v>
      </c>
      <c r="AC179" s="124">
        <f t="shared" si="3"/>
        <v>109.06961267995686</v>
      </c>
      <c r="AD179" s="124">
        <f t="shared" si="3"/>
        <v>95.529239766457323</v>
      </c>
      <c r="AE179" s="124">
        <f t="shared" si="3"/>
        <v>71.498422913362546</v>
      </c>
      <c r="AF179" s="124">
        <f t="shared" si="3"/>
        <v>37.577610442171064</v>
      </c>
      <c r="AG179" s="124">
        <f t="shared" si="3"/>
        <v>105.41923538455404</v>
      </c>
      <c r="AH179" s="124">
        <f t="shared" si="3"/>
        <v>118.11815290178117</v>
      </c>
      <c r="AI179" s="124">
        <f t="shared" si="3"/>
        <v>125.46217457862141</v>
      </c>
      <c r="AJ179" s="124">
        <f t="shared" si="3"/>
        <v>40.978548054767181</v>
      </c>
      <c r="AK179" s="124">
        <f t="shared" si="3"/>
        <v>71.498422913362546</v>
      </c>
      <c r="AL179" s="124">
        <f t="shared" si="3"/>
        <v>109.06961267995686</v>
      </c>
      <c r="AM179" s="124">
        <f t="shared" si="3"/>
        <v>140.33444682798859</v>
      </c>
      <c r="AN179" s="124">
        <f t="shared" si="3"/>
        <v>132.52198372456138</v>
      </c>
      <c r="AO179" s="124">
        <f t="shared" si="3"/>
        <v>116.02040663792393</v>
      </c>
      <c r="AP179" s="124">
        <f t="shared" si="3"/>
        <v>40.947639784692186</v>
      </c>
      <c r="AQ179" s="124">
        <f t="shared" si="3"/>
        <v>75.148800208765365</v>
      </c>
      <c r="AR179" s="124">
        <f t="shared" si="3"/>
        <v>33.927233146768252</v>
      </c>
      <c r="AS179" s="124">
        <f t="shared" si="3"/>
        <v>71.498422913362546</v>
      </c>
      <c r="AT179" s="124">
        <f t="shared" si="3"/>
        <v>142.99042515114834</v>
      </c>
      <c r="AU179" s="124">
        <f t="shared" si="3"/>
        <v>136.54051341672294</v>
      </c>
      <c r="AV179" s="124">
        <f t="shared" si="3"/>
        <v>116.7924110312228</v>
      </c>
      <c r="AW179" s="124">
        <f t="shared" si="3"/>
        <v>93.290833944585344</v>
      </c>
      <c r="AX179" s="124">
        <f t="shared" si="3"/>
        <v>33.927233146768252</v>
      </c>
      <c r="AY179" s="124">
        <f t="shared" si="3"/>
        <v>101.55537472663801</v>
      </c>
    </row>
    <row r="180" spans="1:51">
      <c r="A180" s="125"/>
      <c r="B180" s="136" t="s">
        <v>299</v>
      </c>
      <c r="C180" s="125" t="s">
        <v>293</v>
      </c>
      <c r="D180" s="125">
        <v>98.936814975306945</v>
      </c>
      <c r="E180" s="125">
        <v>72.107987771614205</v>
      </c>
      <c r="F180" s="125">
        <v>38.337125945894527</v>
      </c>
      <c r="G180" s="125">
        <v>109.06961267995682</v>
      </c>
      <c r="H180" s="125">
        <v>9.7931006312502475</v>
      </c>
      <c r="I180" s="125">
        <v>96</v>
      </c>
      <c r="J180" s="125">
        <v>59</v>
      </c>
      <c r="K180" s="125">
        <v>59</v>
      </c>
      <c r="L180" s="125">
        <v>82</v>
      </c>
      <c r="M180" s="125">
        <v>91</v>
      </c>
      <c r="N180" s="125">
        <v>97</v>
      </c>
      <c r="O180" s="125">
        <v>75</v>
      </c>
      <c r="P180" s="125">
        <v>76</v>
      </c>
      <c r="Q180" s="125">
        <v>106</v>
      </c>
      <c r="R180" s="125">
        <v>75</v>
      </c>
      <c r="S180" s="125">
        <v>58</v>
      </c>
      <c r="T180" s="125">
        <v>58</v>
      </c>
      <c r="U180" s="125">
        <v>97.656650252042979</v>
      </c>
      <c r="V180" s="125">
        <v>66</v>
      </c>
      <c r="W180" s="125">
        <v>81</v>
      </c>
      <c r="X180" s="125">
        <v>107.09461856950738</v>
      </c>
      <c r="Y180" s="125">
        <v>73</v>
      </c>
      <c r="Z180" s="125">
        <v>98</v>
      </c>
      <c r="AA180" s="125">
        <v>76</v>
      </c>
      <c r="AB180" s="125">
        <v>60.480906747876354</v>
      </c>
      <c r="AC180" s="125">
        <v>101</v>
      </c>
      <c r="AD180" s="125">
        <v>95.529239766457323</v>
      </c>
      <c r="AE180" s="125">
        <v>71.498422913362546</v>
      </c>
      <c r="AF180" s="125">
        <v>37.577610442171064</v>
      </c>
      <c r="AG180" s="125">
        <v>65</v>
      </c>
      <c r="AH180" s="125">
        <v>63</v>
      </c>
      <c r="AI180" s="125">
        <v>85.644448435953322</v>
      </c>
      <c r="AJ180" s="125">
        <v>40.978548054767181</v>
      </c>
      <c r="AK180" s="125">
        <v>71.498422913362546</v>
      </c>
      <c r="AL180" s="125">
        <v>73</v>
      </c>
      <c r="AM180" s="125">
        <v>99</v>
      </c>
      <c r="AN180" s="125">
        <v>88</v>
      </c>
      <c r="AO180" s="125">
        <v>109</v>
      </c>
      <c r="AP180" s="125">
        <v>40.947639784692186</v>
      </c>
      <c r="AQ180" s="125">
        <v>75.148800208765365</v>
      </c>
      <c r="AR180" s="125">
        <v>33.927233146768252</v>
      </c>
      <c r="AS180" s="125">
        <v>71.498422913362546</v>
      </c>
      <c r="AT180" s="125">
        <v>97</v>
      </c>
      <c r="AU180" s="125">
        <v>69</v>
      </c>
      <c r="AV180" s="125">
        <v>95</v>
      </c>
      <c r="AW180" s="125">
        <v>93.290833944585344</v>
      </c>
      <c r="AX180" s="125">
        <v>33.927233146768252</v>
      </c>
      <c r="AY180" s="125">
        <v>69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103.06449383142868</v>
      </c>
      <c r="E181" s="124">
        <f t="shared" si="4"/>
        <v>54.7955448858159</v>
      </c>
      <c r="F181" s="124">
        <f t="shared" si="4"/>
        <v>155.8940246516614</v>
      </c>
      <c r="G181" s="124">
        <f t="shared" si="4"/>
        <v>13.99735300889061</v>
      </c>
      <c r="H181" s="124">
        <f t="shared" si="4"/>
        <v>204.37729919216113</v>
      </c>
      <c r="I181" s="124">
        <f t="shared" si="4"/>
        <v>153.60579629494865</v>
      </c>
      <c r="J181" s="124">
        <f t="shared" si="4"/>
        <v>133.42699386444104</v>
      </c>
      <c r="K181" s="124">
        <f t="shared" si="4"/>
        <v>58.188818437199004</v>
      </c>
      <c r="L181" s="124">
        <f t="shared" si="4"/>
        <v>105.76075566814136</v>
      </c>
      <c r="M181" s="124">
        <f t="shared" si="4"/>
        <v>126.11473338832623</v>
      </c>
      <c r="N181" s="124">
        <f t="shared" si="4"/>
        <v>105.76075566814136</v>
      </c>
      <c r="O181" s="124">
        <f t="shared" si="4"/>
        <v>100.25003904710422</v>
      </c>
      <c r="P181" s="124">
        <f t="shared" si="4"/>
        <v>100.54324371321015</v>
      </c>
      <c r="Q181" s="124">
        <f t="shared" si="4"/>
        <v>109.06074455418224</v>
      </c>
      <c r="R181" s="124">
        <f t="shared" si="4"/>
        <v>102.19323815623058</v>
      </c>
      <c r="S181" s="124">
        <f t="shared" si="4"/>
        <v>150.67651269673024</v>
      </c>
      <c r="T181" s="124">
        <f t="shared" si="4"/>
        <v>61.871763378245326</v>
      </c>
      <c r="U181" s="124">
        <f t="shared" si="4"/>
        <v>55.359958058751353</v>
      </c>
      <c r="V181" s="124">
        <f t="shared" si="4"/>
        <v>199.15978723722992</v>
      </c>
      <c r="W181" s="124">
        <f t="shared" si="4"/>
        <v>82.122988176615806</v>
      </c>
      <c r="X181" s="124">
        <f t="shared" si="4"/>
        <v>102.19323815623058</v>
      </c>
      <c r="Y181" s="124">
        <f t="shared" si="4"/>
        <v>155.89402465166145</v>
      </c>
      <c r="Z181" s="124">
        <f t="shared" si="4"/>
        <v>119.19332857125715</v>
      </c>
      <c r="AA181" s="124">
        <f t="shared" si="4"/>
        <v>48.606198472841378</v>
      </c>
      <c r="AB181" s="124">
        <f t="shared" si="4"/>
        <v>155.89402465166145</v>
      </c>
      <c r="AC181" s="124">
        <f t="shared" si="4"/>
        <v>125.00670834007232</v>
      </c>
      <c r="AD181" s="124">
        <f t="shared" si="4"/>
        <v>102.19323815623058</v>
      </c>
      <c r="AE181" s="124">
        <f t="shared" si="4"/>
        <v>53.709963615730928</v>
      </c>
      <c r="AF181" s="124">
        <f t="shared" si="4"/>
        <v>150.67651269673024</v>
      </c>
      <c r="AG181" s="124">
        <f t="shared" si="4"/>
        <v>111.05565212173821</v>
      </c>
      <c r="AH181" s="124">
        <f t="shared" si="4"/>
        <v>100.54324371321016</v>
      </c>
      <c r="AI181" s="124">
        <f t="shared" si="4"/>
        <v>1.6591715633204833</v>
      </c>
      <c r="AJ181" s="124">
        <f t="shared" si="4"/>
        <v>102.19323815623058</v>
      </c>
      <c r="AK181" s="124">
        <f t="shared" si="4"/>
        <v>155.89402465166145</v>
      </c>
      <c r="AL181" s="124">
        <f t="shared" si="4"/>
        <v>149.02651825370984</v>
      </c>
      <c r="AM181" s="124">
        <f t="shared" si="4"/>
        <v>130.33503810627292</v>
      </c>
      <c r="AN181" s="124">
        <f t="shared" si="4"/>
        <v>102.19323815623058</v>
      </c>
      <c r="AO181" s="124">
        <f t="shared" si="4"/>
        <v>48.492451660799716</v>
      </c>
      <c r="AP181" s="124">
        <f t="shared" si="4"/>
        <v>107.41075011116179</v>
      </c>
      <c r="AQ181" s="124">
        <f t="shared" si="4"/>
        <v>48.492451660799709</v>
      </c>
      <c r="AR181" s="124">
        <f t="shared" si="4"/>
        <v>102.19323815623058</v>
      </c>
      <c r="AS181" s="124">
        <f t="shared" si="4"/>
        <v>204.37729919216113</v>
      </c>
      <c r="AT181" s="124">
        <f t="shared" si="4"/>
        <v>129.42392794320125</v>
      </c>
      <c r="AU181" s="124">
        <f t="shared" si="4"/>
        <v>70.396110815812108</v>
      </c>
      <c r="AV181" s="124">
        <f t="shared" si="4"/>
        <v>102.19323815623058</v>
      </c>
      <c r="AW181" s="124">
        <f t="shared" si="4"/>
        <v>48.492451660799709</v>
      </c>
      <c r="AX181" s="124">
        <f t="shared" si="4"/>
        <v>145.1538673525753</v>
      </c>
      <c r="AY181" s="124">
        <f t="shared" si="4"/>
        <v>97.298487923212036</v>
      </c>
    </row>
    <row r="182" spans="1:51">
      <c r="A182" s="125"/>
      <c r="B182" s="136" t="s">
        <v>299</v>
      </c>
      <c r="C182" s="125" t="s">
        <v>293</v>
      </c>
      <c r="D182" s="125">
        <v>93.044201288566541</v>
      </c>
      <c r="E182" s="125">
        <v>54.7955448858159</v>
      </c>
      <c r="F182" s="125">
        <v>132.11916880739736</v>
      </c>
      <c r="G182" s="125">
        <v>13.99735300889061</v>
      </c>
      <c r="H182" s="125">
        <v>116.99448616005907</v>
      </c>
      <c r="I182" s="125">
        <v>117</v>
      </c>
      <c r="J182" s="125">
        <v>133.42699386444104</v>
      </c>
      <c r="K182" s="125">
        <v>58.188818437199004</v>
      </c>
      <c r="L182" s="125">
        <v>92</v>
      </c>
      <c r="M182" s="125">
        <v>126.11473338832623</v>
      </c>
      <c r="N182" s="125">
        <v>103</v>
      </c>
      <c r="O182" s="125">
        <v>100.25003904710422</v>
      </c>
      <c r="P182" s="125">
        <v>100.54324371321015</v>
      </c>
      <c r="Q182" s="125">
        <v>109.06074455418224</v>
      </c>
      <c r="R182" s="125">
        <v>102.19323815623058</v>
      </c>
      <c r="S182" s="125">
        <v>134</v>
      </c>
      <c r="T182" s="125">
        <v>61.871763378245326</v>
      </c>
      <c r="U182" s="125">
        <v>55.359958058751353</v>
      </c>
      <c r="V182" s="125">
        <v>142</v>
      </c>
      <c r="W182" s="125">
        <v>82.122988176615806</v>
      </c>
      <c r="X182" s="125">
        <v>102.19323815623058</v>
      </c>
      <c r="Y182" s="125">
        <v>127</v>
      </c>
      <c r="Z182" s="125">
        <v>119</v>
      </c>
      <c r="AA182" s="125">
        <v>48.606198472841378</v>
      </c>
      <c r="AB182" s="125">
        <v>117.11935029468179</v>
      </c>
      <c r="AC182" s="125">
        <v>125.00670834007232</v>
      </c>
      <c r="AD182" s="125">
        <v>102.19323815623058</v>
      </c>
      <c r="AE182" s="125">
        <v>53.709963615730928</v>
      </c>
      <c r="AF182" s="125">
        <v>135.61360412735803</v>
      </c>
      <c r="AG182" s="125">
        <v>111.05565212173821</v>
      </c>
      <c r="AH182" s="125">
        <v>100.54324371321016</v>
      </c>
      <c r="AI182" s="125">
        <v>1.6591715633204833</v>
      </c>
      <c r="AJ182" s="125">
        <v>102.19323815623058</v>
      </c>
      <c r="AK182" s="125">
        <v>155.89402465166145</v>
      </c>
      <c r="AL182" s="125">
        <v>104</v>
      </c>
      <c r="AM182" s="125">
        <v>130.33503810627292</v>
      </c>
      <c r="AN182" s="125">
        <v>102.19323815623058</v>
      </c>
      <c r="AO182" s="125">
        <v>48.492451660799716</v>
      </c>
      <c r="AP182" s="125">
        <v>107.41075011116179</v>
      </c>
      <c r="AQ182" s="125">
        <v>48.492451660799709</v>
      </c>
      <c r="AR182" s="125">
        <v>102.19323815623058</v>
      </c>
      <c r="AS182" s="125">
        <v>155.29054837343566</v>
      </c>
      <c r="AT182" s="125">
        <v>95</v>
      </c>
      <c r="AU182" s="125">
        <v>70.396110815812108</v>
      </c>
      <c r="AV182" s="125">
        <v>102.19323815623058</v>
      </c>
      <c r="AW182" s="125">
        <v>48.492451660799709</v>
      </c>
      <c r="AX182" s="125">
        <v>135.21878278875067</v>
      </c>
      <c r="AY182" s="125">
        <v>97.298487923212036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31</v>
      </c>
      <c r="H185" s="124">
        <v>149</v>
      </c>
      <c r="I185" s="124">
        <v>123</v>
      </c>
      <c r="J185" s="124">
        <v>86</v>
      </c>
      <c r="K185" s="124">
        <v>70</v>
      </c>
      <c r="L185" s="124">
        <v>94</v>
      </c>
      <c r="M185" s="124">
        <v>38</v>
      </c>
      <c r="N185" s="124">
        <v>3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40</v>
      </c>
      <c r="H186" s="106">
        <v>9</v>
      </c>
      <c r="I186" s="106">
        <v>11</v>
      </c>
      <c r="J186" s="106">
        <v>37</v>
      </c>
      <c r="K186" s="106">
        <v>74</v>
      </c>
      <c r="L186" s="106">
        <v>90</v>
      </c>
      <c r="M186" s="106">
        <v>66</v>
      </c>
      <c r="N186" s="106">
        <v>122</v>
      </c>
      <c r="O186" s="106">
        <v>139</v>
      </c>
      <c r="P186" s="106">
        <v>116</v>
      </c>
      <c r="Q186" s="106">
        <v>78</v>
      </c>
      <c r="R186" s="106">
        <v>55</v>
      </c>
      <c r="S186" s="106">
        <v>85</v>
      </c>
      <c r="T186" s="106">
        <v>43</v>
      </c>
      <c r="U186" s="106">
        <v>0</v>
      </c>
      <c r="V186" s="106">
        <v>21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43.866147256672093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5</v>
      </c>
      <c r="D187" s="106">
        <v>0</v>
      </c>
      <c r="E187" s="106">
        <v>0</v>
      </c>
      <c r="F187" s="106">
        <v>0</v>
      </c>
      <c r="G187" s="106">
        <v>40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18</v>
      </c>
      <c r="Q187" s="106">
        <v>44</v>
      </c>
      <c r="R187" s="106">
        <v>82</v>
      </c>
      <c r="S187" s="106">
        <v>105</v>
      </c>
      <c r="T187" s="106">
        <v>75</v>
      </c>
      <c r="U187" s="106">
        <v>106</v>
      </c>
      <c r="V187" s="106">
        <v>128</v>
      </c>
      <c r="W187" s="106">
        <v>106</v>
      </c>
      <c r="X187" s="106">
        <v>115</v>
      </c>
      <c r="Y187" s="106">
        <v>107</v>
      </c>
      <c r="Z187" s="106">
        <v>108</v>
      </c>
      <c r="AA187" s="106">
        <v>106</v>
      </c>
      <c r="AB187" s="106">
        <v>113</v>
      </c>
      <c r="AC187" s="106">
        <v>79</v>
      </c>
      <c r="AD187" s="106">
        <v>38</v>
      </c>
      <c r="AE187" s="106">
        <v>73</v>
      </c>
      <c r="AF187" s="106">
        <v>94</v>
      </c>
      <c r="AG187" s="106">
        <v>116</v>
      </c>
      <c r="AH187" s="106">
        <v>109</v>
      </c>
      <c r="AI187" s="106">
        <v>132</v>
      </c>
      <c r="AJ187" s="106">
        <v>109</v>
      </c>
      <c r="AK187" s="106">
        <v>86</v>
      </c>
      <c r="AL187" s="106">
        <v>106</v>
      </c>
      <c r="AM187" s="106">
        <v>121</v>
      </c>
      <c r="AN187" s="106">
        <v>84</v>
      </c>
      <c r="AO187" s="106">
        <v>40</v>
      </c>
      <c r="AP187" s="106">
        <v>34</v>
      </c>
      <c r="AQ187" s="106">
        <v>39</v>
      </c>
      <c r="AR187" s="106">
        <v>41</v>
      </c>
      <c r="AS187" s="106">
        <v>137.13385274332791</v>
      </c>
      <c r="AT187" s="106">
        <v>131</v>
      </c>
      <c r="AU187" s="106">
        <v>126.86614725667209</v>
      </c>
      <c r="AV187" s="106">
        <v>89.866147256672093</v>
      </c>
      <c r="AW187" s="106">
        <v>94.866147256672093</v>
      </c>
      <c r="AX187" s="106">
        <v>21.866147256672093</v>
      </c>
      <c r="AY187" s="106">
        <v>1.8661472566720931</v>
      </c>
    </row>
    <row r="188" spans="1:51">
      <c r="A188" s="128"/>
      <c r="B188" s="129">
        <v>4</v>
      </c>
      <c r="C188" s="106">
        <v>160</v>
      </c>
      <c r="D188" s="106">
        <v>133</v>
      </c>
      <c r="E188" s="106">
        <v>156</v>
      </c>
      <c r="F188" s="106">
        <v>135</v>
      </c>
      <c r="G188" s="106">
        <v>40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11</v>
      </c>
      <c r="W188" s="106">
        <v>0</v>
      </c>
      <c r="X188" s="106">
        <v>1</v>
      </c>
      <c r="Y188" s="106">
        <v>13</v>
      </c>
      <c r="Z188" s="106">
        <v>21</v>
      </c>
      <c r="AA188" s="106">
        <v>52</v>
      </c>
      <c r="AB188" s="106">
        <v>54</v>
      </c>
      <c r="AC188" s="106">
        <v>47</v>
      </c>
      <c r="AD188" s="106">
        <v>81</v>
      </c>
      <c r="AE188" s="106">
        <v>122</v>
      </c>
      <c r="AF188" s="106">
        <v>87</v>
      </c>
      <c r="AG188" s="106">
        <v>66</v>
      </c>
      <c r="AH188" s="106">
        <v>44</v>
      </c>
      <c r="AI188" s="106">
        <v>51</v>
      </c>
      <c r="AJ188" s="106">
        <v>28</v>
      </c>
      <c r="AK188" s="106">
        <v>51</v>
      </c>
      <c r="AL188" s="106">
        <v>74</v>
      </c>
      <c r="AM188" s="106">
        <v>54</v>
      </c>
      <c r="AN188" s="106">
        <v>39</v>
      </c>
      <c r="AO188" s="106">
        <v>76</v>
      </c>
      <c r="AP188" s="106">
        <v>120</v>
      </c>
      <c r="AQ188" s="106">
        <v>126</v>
      </c>
      <c r="AR188" s="106">
        <v>121</v>
      </c>
      <c r="AS188" s="106">
        <v>0</v>
      </c>
      <c r="AT188" s="106">
        <v>0</v>
      </c>
      <c r="AU188" s="106">
        <v>17.133852743327907</v>
      </c>
      <c r="AV188" s="106">
        <v>65.133852743327907</v>
      </c>
      <c r="AW188" s="106">
        <v>102.13385274332791</v>
      </c>
      <c r="AX188" s="106">
        <v>97.133852743327907</v>
      </c>
      <c r="AY188" s="106">
        <v>138.13385274332791</v>
      </c>
    </row>
    <row r="189" spans="1:51">
      <c r="A189" s="126" t="s">
        <v>133</v>
      </c>
      <c r="B189" s="123">
        <v>1</v>
      </c>
      <c r="C189" s="124">
        <v>78.286775537801248</v>
      </c>
      <c r="D189" s="124">
        <v>73.286775537801219</v>
      </c>
      <c r="E189" s="124">
        <v>46.286775537801191</v>
      </c>
      <c r="F189" s="124">
        <v>51.567502578773912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61.983179262957876</v>
      </c>
      <c r="Q189" s="124">
        <v>0</v>
      </c>
      <c r="R189" s="124">
        <v>0</v>
      </c>
      <c r="S189" s="124">
        <v>75.11524013146412</v>
      </c>
      <c r="T189" s="124">
        <v>12.549209697210756</v>
      </c>
      <c r="U189" s="124">
        <v>94.433969565746807</v>
      </c>
      <c r="V189" s="124">
        <v>102.43396956574672</v>
      </c>
      <c r="W189" s="124">
        <v>49.867939131493358</v>
      </c>
      <c r="X189" s="124">
        <v>180.00000000000009</v>
      </c>
      <c r="Y189" s="124">
        <v>108.56603043425319</v>
      </c>
      <c r="Z189" s="124">
        <v>69.566030434253108</v>
      </c>
      <c r="AA189" s="124">
        <v>24.566030434253022</v>
      </c>
      <c r="AB189" s="124">
        <v>86.566030434252923</v>
      </c>
      <c r="AC189" s="124">
        <v>78.566030434252838</v>
      </c>
      <c r="AD189" s="124">
        <v>103.56603043425275</v>
      </c>
      <c r="AE189" s="124">
        <v>94.433969565746807</v>
      </c>
      <c r="AF189" s="124">
        <v>126.43396956574672</v>
      </c>
      <c r="AG189" s="124">
        <v>131.43396956574662</v>
      </c>
      <c r="AH189" s="124">
        <v>86.433969565746537</v>
      </c>
      <c r="AI189" s="124">
        <v>0</v>
      </c>
      <c r="AJ189" s="124">
        <v>180.00000000000009</v>
      </c>
      <c r="AK189" s="124">
        <v>21.999999999999915</v>
      </c>
      <c r="AL189" s="124">
        <v>0</v>
      </c>
      <c r="AM189" s="124">
        <v>3.9999999999997726</v>
      </c>
      <c r="AN189" s="124">
        <v>0</v>
      </c>
      <c r="AO189" s="124">
        <v>3.9999999999996021</v>
      </c>
      <c r="AP189" s="124">
        <v>0</v>
      </c>
      <c r="AQ189" s="124">
        <v>0</v>
      </c>
      <c r="AR189" s="124">
        <v>94.433969565746807</v>
      </c>
      <c r="AS189" s="124">
        <v>0</v>
      </c>
      <c r="AT189" s="124">
        <v>0</v>
      </c>
      <c r="AU189" s="124">
        <v>26.999999999999773</v>
      </c>
      <c r="AV189" s="124">
        <v>86.433969565746494</v>
      </c>
      <c r="AW189" s="124">
        <v>85.566030434253278</v>
      </c>
      <c r="AX189" s="124">
        <v>96.566030434253193</v>
      </c>
      <c r="AY189" s="124">
        <v>134.4528243474025</v>
      </c>
    </row>
    <row r="190" spans="1:51">
      <c r="A190" s="109"/>
      <c r="B190" s="119">
        <v>2</v>
      </c>
      <c r="C190" s="106">
        <v>82.713224462198752</v>
      </c>
      <c r="D190" s="106">
        <v>101.71322446219878</v>
      </c>
      <c r="E190" s="106">
        <v>106.71322446219881</v>
      </c>
      <c r="F190" s="106">
        <v>134.43249742122609</v>
      </c>
      <c r="G190" s="106">
        <v>128.43249742122617</v>
      </c>
      <c r="H190" s="106">
        <v>156</v>
      </c>
      <c r="I190" s="106">
        <v>136.99999999999991</v>
      </c>
      <c r="J190" s="106">
        <v>92.999999999999829</v>
      </c>
      <c r="K190" s="106">
        <v>59.999999999999744</v>
      </c>
      <c r="L190" s="106">
        <v>78.887302424302618</v>
      </c>
      <c r="M190" s="106">
        <v>98.774604848605492</v>
      </c>
      <c r="N190" s="106">
        <v>131.66190727290837</v>
      </c>
      <c r="O190" s="106">
        <v>154.54920969721124</v>
      </c>
      <c r="P190" s="106">
        <v>85.566030434253278</v>
      </c>
      <c r="Q190" s="106">
        <v>83.566030434253193</v>
      </c>
      <c r="R190" s="106">
        <v>168.54920969721101</v>
      </c>
      <c r="S190" s="106">
        <v>94.433969565746807</v>
      </c>
      <c r="T190" s="106">
        <v>190.45079030278924</v>
      </c>
      <c r="U190" s="106">
        <v>81.884759868536051</v>
      </c>
      <c r="V190" s="106">
        <v>0</v>
      </c>
      <c r="W190" s="106">
        <v>163.13206086850664</v>
      </c>
      <c r="X190" s="106">
        <v>35.69809130275992</v>
      </c>
      <c r="Y190" s="106">
        <v>0</v>
      </c>
      <c r="Z190" s="106">
        <v>71.433969565746892</v>
      </c>
      <c r="AA190" s="106">
        <v>110.43396956574698</v>
      </c>
      <c r="AB190" s="106">
        <v>155.43396956574708</v>
      </c>
      <c r="AC190" s="106">
        <v>93.433969565747162</v>
      </c>
      <c r="AD190" s="106">
        <v>101.43396956574725</v>
      </c>
      <c r="AE190" s="106">
        <v>76.433969565747333</v>
      </c>
      <c r="AF190" s="106">
        <v>85.566030434253278</v>
      </c>
      <c r="AG190" s="106">
        <v>53.566030434253364</v>
      </c>
      <c r="AH190" s="106">
        <v>48.566030434253463</v>
      </c>
      <c r="AI190" s="106">
        <v>93.56603043425352</v>
      </c>
      <c r="AJ190" s="106">
        <v>0</v>
      </c>
      <c r="AK190" s="106">
        <v>0</v>
      </c>
      <c r="AL190" s="106">
        <v>155</v>
      </c>
      <c r="AM190" s="106">
        <v>180.00000000000006</v>
      </c>
      <c r="AN190" s="106">
        <v>162</v>
      </c>
      <c r="AO190" s="106">
        <v>180.00000000000009</v>
      </c>
      <c r="AP190" s="106">
        <v>162</v>
      </c>
      <c r="AQ190" s="106">
        <v>143.99999999999952</v>
      </c>
      <c r="AR190" s="106">
        <v>85.566030434253278</v>
      </c>
      <c r="AS190" s="106">
        <v>43.566030434253193</v>
      </c>
      <c r="AT190" s="106">
        <v>122.99999999999991</v>
      </c>
      <c r="AU190" s="106">
        <v>180.00000000000006</v>
      </c>
      <c r="AV190" s="106">
        <v>58.566030434253506</v>
      </c>
      <c r="AW190" s="106">
        <v>93.566030434253591</v>
      </c>
      <c r="AX190" s="106">
        <v>94.433969565746807</v>
      </c>
      <c r="AY190" s="106">
        <v>64.547175652597517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24.000000000000085</v>
      </c>
      <c r="J191" s="106">
        <v>43.000000000000171</v>
      </c>
      <c r="K191" s="106">
        <v>87.000000000000256</v>
      </c>
      <c r="L191" s="106">
        <v>137.11269757569738</v>
      </c>
      <c r="M191" s="106">
        <v>118.22539515139451</v>
      </c>
      <c r="N191" s="106">
        <v>98.338092727091635</v>
      </c>
      <c r="O191" s="106">
        <v>65.450790302788761</v>
      </c>
      <c r="P191" s="106">
        <v>25.450790302788846</v>
      </c>
      <c r="Q191" s="106">
        <v>94.433969565746807</v>
      </c>
      <c r="R191" s="106">
        <v>34.450790302788988</v>
      </c>
      <c r="S191" s="106">
        <v>11.450790302789073</v>
      </c>
      <c r="T191" s="106">
        <v>0</v>
      </c>
      <c r="U191" s="106">
        <v>0</v>
      </c>
      <c r="V191" s="106">
        <v>85.566030434253278</v>
      </c>
      <c r="W191" s="106">
        <v>0</v>
      </c>
      <c r="X191" s="106">
        <v>0</v>
      </c>
      <c r="Y191" s="106">
        <v>94.433969565746807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180.00000000000009</v>
      </c>
      <c r="AL191" s="106">
        <v>0</v>
      </c>
      <c r="AM191" s="106">
        <v>3.0000000000001705</v>
      </c>
      <c r="AN191" s="106">
        <v>0</v>
      </c>
      <c r="AO191" s="106">
        <v>14.000000000000313</v>
      </c>
      <c r="AP191" s="106">
        <v>0</v>
      </c>
      <c r="AQ191" s="106">
        <v>14.000000000000483</v>
      </c>
      <c r="AR191" s="106">
        <v>36.000000000000568</v>
      </c>
      <c r="AS191" s="106">
        <v>94.433969565746807</v>
      </c>
      <c r="AT191" s="106">
        <v>42.000000000000085</v>
      </c>
      <c r="AU191" s="106">
        <v>57.000000000000171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44.446048640673901</v>
      </c>
      <c r="D197" s="106">
        <v>98.936814975306945</v>
      </c>
      <c r="E197" s="106">
        <v>72.107987771614205</v>
      </c>
      <c r="F197" s="106">
        <v>38.337125945894527</v>
      </c>
      <c r="G197" s="106">
        <v>109.06961267995682</v>
      </c>
      <c r="H197" s="106">
        <v>9.7931006312502475</v>
      </c>
      <c r="I197" s="106">
        <v>96</v>
      </c>
      <c r="J197" s="106">
        <v>12.009574848851656</v>
      </c>
      <c r="K197" s="106">
        <v>0</v>
      </c>
      <c r="L197" s="106">
        <v>0</v>
      </c>
      <c r="M197" s="106">
        <v>2.4789118069805198</v>
      </c>
      <c r="N197" s="106">
        <v>25.484512834737473</v>
      </c>
      <c r="O197" s="106">
        <v>12.249667691465547</v>
      </c>
      <c r="P197" s="106">
        <v>14.255268719222499</v>
      </c>
      <c r="Q197" s="106">
        <v>50.11638459938348</v>
      </c>
      <c r="R197" s="106">
        <v>54.772362922543252</v>
      </c>
      <c r="S197" s="106">
        <v>36.469161477255554</v>
      </c>
      <c r="T197" s="106">
        <v>22.970738563893008</v>
      </c>
      <c r="U197" s="106">
        <v>15.208153431381945</v>
      </c>
      <c r="V197" s="106">
        <v>37.920225734537816</v>
      </c>
      <c r="W197" s="106">
        <v>80.188214055844426</v>
      </c>
      <c r="X197" s="106">
        <v>47.942784769606277</v>
      </c>
      <c r="Y197" s="106">
        <v>63.486300901424222</v>
      </c>
      <c r="Z197" s="106">
        <v>89.987877988061683</v>
      </c>
      <c r="AA197" s="106">
        <v>56.918265308104822</v>
      </c>
      <c r="AB197" s="106">
        <v>34.006814905983752</v>
      </c>
      <c r="AC197" s="106">
        <v>101</v>
      </c>
      <c r="AD197" s="106">
        <v>87.459627086500461</v>
      </c>
      <c r="AE197" s="106">
        <v>71.498422913362546</v>
      </c>
      <c r="AF197" s="106">
        <v>37.577610442171064</v>
      </c>
      <c r="AG197" s="106">
        <v>65</v>
      </c>
      <c r="AH197" s="106">
        <v>22.580764615445958</v>
      </c>
      <c r="AI197" s="106">
        <v>30.526295534172149</v>
      </c>
      <c r="AJ197" s="106">
        <v>1.1608219120990855</v>
      </c>
      <c r="AK197" s="106">
        <v>71.498422913362546</v>
      </c>
      <c r="AL197" s="106">
        <v>73</v>
      </c>
      <c r="AM197" s="106">
        <v>62.930387320043138</v>
      </c>
      <c r="AN197" s="106">
        <v>46.6655531720114</v>
      </c>
      <c r="AO197" s="106">
        <v>64.47801627543862</v>
      </c>
      <c r="AP197" s="106">
        <v>33.927233146768259</v>
      </c>
      <c r="AQ197" s="106">
        <v>75.148800208765365</v>
      </c>
      <c r="AR197" s="106">
        <v>33.927233146768252</v>
      </c>
      <c r="AS197" s="106">
        <v>71.498422913362546</v>
      </c>
      <c r="AT197" s="106">
        <v>97</v>
      </c>
      <c r="AU197" s="106">
        <v>23.009574848851656</v>
      </c>
      <c r="AV197" s="106">
        <v>27.459486583277069</v>
      </c>
      <c r="AW197" s="106">
        <v>71.498422913362546</v>
      </c>
      <c r="AX197" s="106">
        <v>33.927233146768252</v>
      </c>
      <c r="AY197" s="106">
        <v>69</v>
      </c>
    </row>
    <row r="198" spans="1:51">
      <c r="A198" s="109"/>
      <c r="B198" s="119">
        <v>2</v>
      </c>
      <c r="C198" s="106">
        <v>33.803406949398138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46.990425151148344</v>
      </c>
      <c r="K198" s="106">
        <v>59</v>
      </c>
      <c r="L198" s="106">
        <v>45.540897042105158</v>
      </c>
      <c r="M198" s="106">
        <v>40.711194052696413</v>
      </c>
      <c r="N198" s="106">
        <v>71.515487165262527</v>
      </c>
      <c r="O198" s="106">
        <v>62.750332308534453</v>
      </c>
      <c r="P198" s="106">
        <v>61.744731280777501</v>
      </c>
      <c r="Q198" s="106">
        <v>55.88361540061652</v>
      </c>
      <c r="R198" s="106">
        <v>20.227637077456748</v>
      </c>
      <c r="S198" s="106">
        <v>21.530838522744446</v>
      </c>
      <c r="T198" s="106">
        <v>35.029261436106992</v>
      </c>
      <c r="U198" s="106">
        <v>82.448496820661035</v>
      </c>
      <c r="V198" s="106">
        <v>28.079774265462184</v>
      </c>
      <c r="W198" s="106">
        <v>0.8117859441555737</v>
      </c>
      <c r="X198" s="106">
        <v>59.151833799901098</v>
      </c>
      <c r="Y198" s="106">
        <v>9.5136990985757777</v>
      </c>
      <c r="Z198" s="106">
        <v>8.0121220119383239</v>
      </c>
      <c r="AA198" s="106">
        <v>19.081734691895178</v>
      </c>
      <c r="AB198" s="106">
        <v>26.474091841892601</v>
      </c>
      <c r="AC198" s="106">
        <v>0</v>
      </c>
      <c r="AD198" s="106">
        <v>8.0696126799568617</v>
      </c>
      <c r="AE198" s="106">
        <v>0</v>
      </c>
      <c r="AF198" s="106">
        <v>0</v>
      </c>
      <c r="AG198" s="106">
        <v>0</v>
      </c>
      <c r="AH198" s="106">
        <v>40.419235384554042</v>
      </c>
      <c r="AI198" s="106">
        <v>55.118152901781173</v>
      </c>
      <c r="AJ198" s="106">
        <v>39.817726142668093</v>
      </c>
      <c r="AK198" s="106">
        <v>0</v>
      </c>
      <c r="AL198" s="106">
        <v>0</v>
      </c>
      <c r="AM198" s="106">
        <v>36.069612679956862</v>
      </c>
      <c r="AN198" s="106">
        <v>41.3344468279886</v>
      </c>
      <c r="AO198" s="106">
        <v>44.52198372456138</v>
      </c>
      <c r="AP198" s="106">
        <v>7.0204066379239265</v>
      </c>
      <c r="AQ198" s="106">
        <v>0</v>
      </c>
      <c r="AR198" s="106">
        <v>0</v>
      </c>
      <c r="AS198" s="106">
        <v>0</v>
      </c>
      <c r="AT198" s="106">
        <v>0</v>
      </c>
      <c r="AU198" s="106">
        <v>45.990425151148344</v>
      </c>
      <c r="AV198" s="106">
        <v>67.540513416722931</v>
      </c>
      <c r="AW198" s="106">
        <v>21.792411031222798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36.459102957894842</v>
      </c>
      <c r="M199" s="106">
        <v>47.809894140323067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102.43451980071467</v>
      </c>
      <c r="D209" s="124">
        <v>92.736327437251745</v>
      </c>
      <c r="E209" s="124">
        <v>48.900004847094522</v>
      </c>
      <c r="F209" s="124">
        <v>78.418382311966525</v>
      </c>
      <c r="G209" s="124">
        <v>9.1771203000461689E-3</v>
      </c>
      <c r="H209" s="124">
        <v>14.810425124128514</v>
      </c>
      <c r="I209" s="124">
        <v>65.587441861281903</v>
      </c>
      <c r="J209" s="124">
        <v>111.88960493262987</v>
      </c>
      <c r="K209" s="124">
        <v>58.188818437198996</v>
      </c>
      <c r="L209" s="124">
        <v>38.299213504569117</v>
      </c>
      <c r="M209" s="124">
        <v>58.188818437198996</v>
      </c>
      <c r="N209" s="124">
        <v>49.299213504569117</v>
      </c>
      <c r="O209" s="124">
        <v>48.492451660799709</v>
      </c>
      <c r="P209" s="124">
        <v>100.54324371321015</v>
      </c>
      <c r="Q209" s="124">
        <v>53.709963615730913</v>
      </c>
      <c r="R209" s="124">
        <v>53.709963615730913</v>
      </c>
      <c r="S209" s="124">
        <v>134</v>
      </c>
      <c r="T209" s="124">
        <v>52.059969172710481</v>
      </c>
      <c r="U209" s="124">
        <v>53.709963615730913</v>
      </c>
      <c r="V209" s="124">
        <v>93.516725459500336</v>
      </c>
      <c r="W209" s="124">
        <v>48.492451660799709</v>
      </c>
      <c r="X209" s="124">
        <v>102.19323815623058</v>
      </c>
      <c r="Y209" s="124">
        <v>73.299213504569124</v>
      </c>
      <c r="Z209" s="124">
        <v>101.99990958497341</v>
      </c>
      <c r="AA209" s="124">
        <v>48.492451660799709</v>
      </c>
      <c r="AB209" s="124">
        <v>63.418563799250911</v>
      </c>
      <c r="AC209" s="124">
        <v>102.19323815623056</v>
      </c>
      <c r="AD209" s="124">
        <v>102.19323815623056</v>
      </c>
      <c r="AE209" s="124">
        <v>53.709963615730913</v>
      </c>
      <c r="AF209" s="124">
        <v>87.130329586858366</v>
      </c>
      <c r="AG209" s="124">
        <v>102.19323815623056</v>
      </c>
      <c r="AH209" s="124">
        <v>100.54324371321015</v>
      </c>
      <c r="AI209" s="124">
        <v>9.1771203000461689E-3</v>
      </c>
      <c r="AJ209" s="124">
        <v>102.19323815623058</v>
      </c>
      <c r="AK209" s="124">
        <v>53.709963615730899</v>
      </c>
      <c r="AL209" s="124">
        <v>55.516725459500321</v>
      </c>
      <c r="AM209" s="124">
        <v>102.19323815623056</v>
      </c>
      <c r="AN209" s="124">
        <v>102.19323815623056</v>
      </c>
      <c r="AO209" s="124">
        <v>48.492451660799709</v>
      </c>
      <c r="AP209" s="124">
        <v>53.709963615730906</v>
      </c>
      <c r="AQ209" s="124">
        <v>9.1771203000448054E-3</v>
      </c>
      <c r="AR209" s="124">
        <v>53.709963615730913</v>
      </c>
      <c r="AS209" s="124">
        <v>53.106487337505115</v>
      </c>
      <c r="AT209" s="124">
        <v>66.119315770008896</v>
      </c>
      <c r="AU209" s="124">
        <v>48.492451660799709</v>
      </c>
      <c r="AV209" s="124">
        <v>102.19323815623058</v>
      </c>
      <c r="AW209" s="124">
        <v>48.492451660799709</v>
      </c>
      <c r="AX209" s="124">
        <v>81.517996293319783</v>
      </c>
      <c r="AY209" s="124">
        <v>91.453080857144414</v>
      </c>
    </row>
    <row r="210" spans="1:51">
      <c r="A210" s="109"/>
      <c r="B210" s="119">
        <v>2</v>
      </c>
      <c r="C210" s="106">
        <v>39.127751899837115</v>
      </c>
      <c r="D210" s="110">
        <v>0.30787385131480177</v>
      </c>
      <c r="E210" s="110">
        <v>5.8955400387213821</v>
      </c>
      <c r="F210" s="110">
        <v>53.700786495430833</v>
      </c>
      <c r="G210" s="110">
        <v>13.988175888590563</v>
      </c>
      <c r="H210" s="110">
        <v>102.18406103593055</v>
      </c>
      <c r="I210" s="110">
        <v>51.412558138718097</v>
      </c>
      <c r="J210" s="110">
        <v>21.537388931811176</v>
      </c>
      <c r="K210" s="110">
        <v>8.3610994987972137E-15</v>
      </c>
      <c r="L210" s="110">
        <v>53.700786495430883</v>
      </c>
      <c r="M210" s="110">
        <v>67.925914951127226</v>
      </c>
      <c r="N210" s="110">
        <v>53.700786495430883</v>
      </c>
      <c r="O210" s="110">
        <v>51.757587386304515</v>
      </c>
      <c r="P210" s="110">
        <v>0</v>
      </c>
      <c r="Q210" s="110">
        <v>1.649994443020437</v>
      </c>
      <c r="R210" s="110">
        <v>48.483274540499664</v>
      </c>
      <c r="S210" s="110">
        <v>0</v>
      </c>
      <c r="T210" s="110">
        <v>9.8117942055348486</v>
      </c>
      <c r="U210" s="110">
        <v>1.649994443020437</v>
      </c>
      <c r="V210" s="110">
        <v>0</v>
      </c>
      <c r="W210" s="110">
        <v>33.630536515816097</v>
      </c>
      <c r="X210" s="110">
        <v>0</v>
      </c>
      <c r="Y210" s="110">
        <v>0</v>
      </c>
      <c r="Z210" s="110">
        <v>17.000090415026584</v>
      </c>
      <c r="AA210" s="110">
        <v>0.11374681204166534</v>
      </c>
      <c r="AB210" s="110">
        <v>53.700786495430883</v>
      </c>
      <c r="AC210" s="110">
        <v>22.813470183841751</v>
      </c>
      <c r="AD210" s="110">
        <v>8.3610994987972137E-15</v>
      </c>
      <c r="AE210" s="110">
        <v>8.3610994987972137E-15</v>
      </c>
      <c r="AF210" s="110">
        <v>48.483274540499664</v>
      </c>
      <c r="AG210" s="110">
        <v>8.8624139655076348</v>
      </c>
      <c r="AH210" s="110">
        <v>8.3610994987972137E-15</v>
      </c>
      <c r="AI210" s="110">
        <v>1.649994443020437</v>
      </c>
      <c r="AJ210" s="110">
        <v>0</v>
      </c>
      <c r="AK210" s="110">
        <v>0</v>
      </c>
      <c r="AL210" s="110">
        <v>48.483274540499679</v>
      </c>
      <c r="AM210" s="110">
        <v>28.141799950042355</v>
      </c>
      <c r="AN210" s="110">
        <v>8.3610994987972137E-15</v>
      </c>
      <c r="AO210" s="110">
        <v>8.3610994987972137E-15</v>
      </c>
      <c r="AP210" s="110">
        <v>53.700786495430883</v>
      </c>
      <c r="AQ210" s="110">
        <v>48.483274540499664</v>
      </c>
      <c r="AR210" s="110">
        <v>48.483274540499664</v>
      </c>
      <c r="AS210" s="110">
        <v>48.483274540499664</v>
      </c>
      <c r="AT210" s="110">
        <v>28.8806842299911</v>
      </c>
      <c r="AU210" s="110">
        <v>21.903659155012395</v>
      </c>
      <c r="AV210" s="110">
        <v>0</v>
      </c>
      <c r="AW210" s="110">
        <v>0</v>
      </c>
      <c r="AX210" s="110">
        <v>53.700786495430883</v>
      </c>
      <c r="AY210" s="110">
        <v>5.8454070660676134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53.700786495430876</v>
      </c>
      <c r="R211" s="110">
        <v>0</v>
      </c>
      <c r="S211" s="110">
        <v>0</v>
      </c>
      <c r="T211" s="110">
        <v>0</v>
      </c>
      <c r="U211" s="110">
        <v>0</v>
      </c>
      <c r="V211" s="110">
        <v>48.483274540499664</v>
      </c>
      <c r="W211" s="110">
        <v>0</v>
      </c>
      <c r="X211" s="110">
        <v>0</v>
      </c>
      <c r="Y211" s="110">
        <v>53.700786495430876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102.18406103593055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53.700786495430876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46870.192051549231</v>
      </c>
      <c r="E259" s="124">
        <f t="shared" ref="E259:AX259" si="5">F$14*$B$259</f>
        <v>24919.131864831445</v>
      </c>
      <c r="F259" s="124">
        <f t="shared" si="5"/>
        <v>70895.248241971931</v>
      </c>
      <c r="G259" s="124">
        <f t="shared" si="5"/>
        <v>6365.5154103126606</v>
      </c>
      <c r="H259" s="124">
        <f t="shared" si="5"/>
        <v>92943.776348246422</v>
      </c>
      <c r="I259" s="124">
        <f t="shared" si="5"/>
        <v>69854.640574385223</v>
      </c>
      <c r="J259" s="124">
        <f t="shared" si="5"/>
        <v>60678.014268578343</v>
      </c>
      <c r="K259" s="124">
        <f t="shared" si="5"/>
        <v>26462.276134252668</v>
      </c>
      <c r="L259" s="124">
        <f t="shared" si="5"/>
        <v>48096.359331957981</v>
      </c>
      <c r="M259" s="124">
        <f t="shared" si="5"/>
        <v>57352.649343126752</v>
      </c>
      <c r="N259" s="124">
        <f t="shared" si="5"/>
        <v>48096.359331957981</v>
      </c>
      <c r="O259" s="124">
        <f t="shared" si="5"/>
        <v>45590.274677895366</v>
      </c>
      <c r="P259" s="124">
        <f t="shared" si="5"/>
        <v>45723.614089946146</v>
      </c>
      <c r="Q259" s="124">
        <f t="shared" si="5"/>
        <v>49597.080939437001</v>
      </c>
      <c r="R259" s="124">
        <f t="shared" si="5"/>
        <v>46473.974893685656</v>
      </c>
      <c r="S259" s="124">
        <f t="shared" si="5"/>
        <v>68522.502999960125</v>
      </c>
      <c r="T259" s="124">
        <f t="shared" si="5"/>
        <v>28137.153002948682</v>
      </c>
      <c r="U259" s="124">
        <f t="shared" si="5"/>
        <v>25175.807591150704</v>
      </c>
      <c r="V259" s="124">
        <f t="shared" si="5"/>
        <v>90571.031106234586</v>
      </c>
      <c r="W259" s="124">
        <f t="shared" si="5"/>
        <v>37346.714514318337</v>
      </c>
      <c r="X259" s="124">
        <f t="shared" si="5"/>
        <v>46473.974893685656</v>
      </c>
      <c r="Y259" s="124">
        <f t="shared" si="5"/>
        <v>70895.24824197196</v>
      </c>
      <c r="Z259" s="124">
        <f t="shared" si="5"/>
        <v>54205.032147498328</v>
      </c>
      <c r="AA259" s="124">
        <f t="shared" si="5"/>
        <v>22104.429688889439</v>
      </c>
      <c r="AB259" s="124">
        <f t="shared" si="5"/>
        <v>70895.24824197196</v>
      </c>
      <c r="AC259" s="124">
        <f t="shared" si="5"/>
        <v>56848.757606225299</v>
      </c>
      <c r="AD259" s="124">
        <f t="shared" si="5"/>
        <v>46473.974893685656</v>
      </c>
      <c r="AE259" s="124">
        <f t="shared" si="5"/>
        <v>24425.446787411191</v>
      </c>
      <c r="AF259" s="124">
        <f t="shared" si="5"/>
        <v>68522.502999960125</v>
      </c>
      <c r="AG259" s="124">
        <f t="shared" si="5"/>
        <v>50504.296386197631</v>
      </c>
      <c r="AH259" s="124">
        <f t="shared" si="5"/>
        <v>45723.614089946161</v>
      </c>
      <c r="AI259" s="124">
        <f t="shared" si="5"/>
        <v>754.53424286440554</v>
      </c>
      <c r="AJ259" s="124">
        <f t="shared" si="5"/>
        <v>46473.974893685656</v>
      </c>
      <c r="AK259" s="124">
        <f t="shared" si="5"/>
        <v>70895.24824197196</v>
      </c>
      <c r="AL259" s="124">
        <f t="shared" si="5"/>
        <v>67772.142196220637</v>
      </c>
      <c r="AM259" s="124">
        <f t="shared" si="5"/>
        <v>59271.898982772305</v>
      </c>
      <c r="AN259" s="124">
        <f t="shared" si="5"/>
        <v>46473.974893685656</v>
      </c>
      <c r="AO259" s="124">
        <f t="shared" si="5"/>
        <v>22052.70154539937</v>
      </c>
      <c r="AP259" s="124">
        <f t="shared" si="5"/>
        <v>48846.720135697491</v>
      </c>
      <c r="AQ259" s="124">
        <f t="shared" si="5"/>
        <v>22052.701545399363</v>
      </c>
      <c r="AR259" s="124">
        <f t="shared" si="5"/>
        <v>46473.974893685656</v>
      </c>
      <c r="AS259" s="124">
        <f t="shared" si="5"/>
        <v>92943.776348246422</v>
      </c>
      <c r="AT259" s="124">
        <f t="shared" si="5"/>
        <v>58857.55737262348</v>
      </c>
      <c r="AU259" s="124">
        <f t="shared" si="5"/>
        <v>32013.733449424915</v>
      </c>
      <c r="AV259" s="124">
        <f t="shared" si="5"/>
        <v>46473.974893685656</v>
      </c>
      <c r="AW259" s="124">
        <f t="shared" si="5"/>
        <v>22052.701545399363</v>
      </c>
      <c r="AX259" s="124">
        <f t="shared" si="5"/>
        <v>66010.993572314706</v>
      </c>
      <c r="AY259" s="124">
        <f>AZ$14*$B$259</f>
        <v>44248.010597570465</v>
      </c>
      <c r="AZ259" s="139">
        <f>SUM($D259:$AY259)</f>
        <v>2340413.4620448384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29924.011020303653</v>
      </c>
      <c r="E260" s="125">
        <f t="shared" ref="E260:AY260" si="6">(E$175-E$176+E$177-E$178+E$179-E$180+E$181-E$182)*$B$260</f>
        <v>17039.911671328762</v>
      </c>
      <c r="F260" s="125">
        <f t="shared" si="6"/>
        <v>17832.441195929408</v>
      </c>
      <c r="G260" s="125">
        <f t="shared" si="6"/>
        <v>540</v>
      </c>
      <c r="H260" s="125">
        <f t="shared" si="6"/>
        <v>18142.968781926134</v>
      </c>
      <c r="I260" s="125">
        <f t="shared" si="6"/>
        <v>20615.773286765831</v>
      </c>
      <c r="J260" s="125">
        <f t="shared" si="6"/>
        <v>27214.308032015542</v>
      </c>
      <c r="K260" s="125">
        <f t="shared" si="6"/>
        <v>27576.079183558246</v>
      </c>
      <c r="L260" s="125">
        <f t="shared" si="6"/>
        <v>22682.379505804376</v>
      </c>
      <c r="M260" s="125">
        <f t="shared" si="6"/>
        <v>23671.938474138267</v>
      </c>
      <c r="N260" s="125">
        <f t="shared" si="6"/>
        <v>22769.657861818931</v>
      </c>
      <c r="O260" s="125">
        <f t="shared" si="6"/>
        <v>21045.69312106918</v>
      </c>
      <c r="P260" s="125">
        <f t="shared" si="6"/>
        <v>22499.93315936577</v>
      </c>
      <c r="Q260" s="125">
        <f t="shared" si="6"/>
        <v>23466.743816759557</v>
      </c>
      <c r="R260" s="125">
        <f t="shared" si="6"/>
        <v>23544.935903476817</v>
      </c>
      <c r="S260" s="125">
        <f t="shared" si="6"/>
        <v>28629.393866137587</v>
      </c>
      <c r="T260" s="125">
        <f t="shared" si="6"/>
        <v>24385.902392458072</v>
      </c>
      <c r="U260" s="125">
        <f t="shared" si="6"/>
        <v>17704.78645592773</v>
      </c>
      <c r="V260" s="125">
        <f t="shared" si="6"/>
        <v>27366.218042993532</v>
      </c>
      <c r="W260" s="125">
        <f t="shared" si="6"/>
        <v>21110.995506159663</v>
      </c>
      <c r="X260" s="125">
        <f t="shared" si="6"/>
        <v>18630.821945914551</v>
      </c>
      <c r="Y260" s="125">
        <f t="shared" si="6"/>
        <v>26960.406973760801</v>
      </c>
      <c r="Z260" s="125">
        <f t="shared" si="6"/>
        <v>30102.54196973396</v>
      </c>
      <c r="AA260" s="125">
        <f t="shared" si="6"/>
        <v>27688.445510513568</v>
      </c>
      <c r="AB260" s="125">
        <f t="shared" si="6"/>
        <v>29952.518635363605</v>
      </c>
      <c r="AC260" s="125">
        <f t="shared" si="6"/>
        <v>30630.214934742249</v>
      </c>
      <c r="AD260" s="125">
        <f t="shared" si="6"/>
        <v>31106.038173944842</v>
      </c>
      <c r="AE260" s="125">
        <f t="shared" si="6"/>
        <v>24420</v>
      </c>
      <c r="AF260" s="125">
        <f t="shared" si="6"/>
        <v>27277.73634021754</v>
      </c>
      <c r="AG260" s="125">
        <f t="shared" si="6"/>
        <v>27179.115949128442</v>
      </c>
      <c r="AH260" s="125">
        <f t="shared" si="6"/>
        <v>31006.957991268326</v>
      </c>
      <c r="AI260" s="125">
        <f t="shared" si="6"/>
        <v>23269.063568560086</v>
      </c>
      <c r="AJ260" s="125">
        <f t="shared" si="6"/>
        <v>22260</v>
      </c>
      <c r="AK260" s="125">
        <f t="shared" si="6"/>
        <v>27986.038173944813</v>
      </c>
      <c r="AL260" s="125">
        <f t="shared" si="6"/>
        <v>38111.674847126262</v>
      </c>
      <c r="AM260" s="125">
        <f t="shared" si="6"/>
        <v>34580.066809679331</v>
      </c>
      <c r="AN260" s="125">
        <f t="shared" si="6"/>
        <v>38071.319023473705</v>
      </c>
      <c r="AO260" s="125">
        <f t="shared" si="6"/>
        <v>31715.186224330653</v>
      </c>
      <c r="AP260" s="125">
        <f t="shared" si="6"/>
        <v>33266.038173944835</v>
      </c>
      <c r="AQ260" s="125">
        <f t="shared" si="6"/>
        <v>28620.000000000033</v>
      </c>
      <c r="AR260" s="125">
        <f t="shared" si="6"/>
        <v>28260</v>
      </c>
      <c r="AS260" s="125">
        <f t="shared" si="6"/>
        <v>36673.236213723219</v>
      </c>
      <c r="AT260" s="125">
        <f t="shared" si="6"/>
        <v>42938.799341366917</v>
      </c>
      <c r="AU260" s="125">
        <f t="shared" si="6"/>
        <v>34514.423795658251</v>
      </c>
      <c r="AV260" s="125">
        <f t="shared" si="6"/>
        <v>34169.537652528263</v>
      </c>
      <c r="AW260" s="125">
        <f t="shared" si="6"/>
        <v>25028.031164599674</v>
      </c>
      <c r="AX260" s="125">
        <f t="shared" si="6"/>
        <v>31956.966777584999</v>
      </c>
      <c r="AY260" s="125">
        <f t="shared" si="6"/>
        <v>32240.976552564847</v>
      </c>
      <c r="AZ260" s="141">
        <f>SUM($D260:$AY260)</f>
        <v>1286380.2280216103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152.00000000000003</v>
      </c>
      <c r="AW9" s="117">
        <v>152.00000000000003</v>
      </c>
      <c r="AX9" s="117">
        <v>152.00000000000003</v>
      </c>
      <c r="AY9" s="117">
        <v>79.3614763376425</v>
      </c>
    </row>
    <row r="10" spans="1:53">
      <c r="A10" s="118" t="s">
        <v>133</v>
      </c>
      <c r="B10" s="119">
        <v>1</v>
      </c>
      <c r="C10" s="106" t="s">
        <v>293</v>
      </c>
      <c r="D10" s="100">
        <v>169.99999999999997</v>
      </c>
      <c r="E10" s="100">
        <v>24.620194031941654</v>
      </c>
      <c r="F10" s="100">
        <v>170</v>
      </c>
      <c r="G10" s="100">
        <v>170</v>
      </c>
      <c r="H10" s="100">
        <v>170</v>
      </c>
      <c r="I10" s="100">
        <v>170</v>
      </c>
      <c r="J10" s="100">
        <v>170</v>
      </c>
      <c r="K10" s="100">
        <v>170</v>
      </c>
      <c r="L10" s="100">
        <v>170</v>
      </c>
      <c r="M10" s="100">
        <v>170</v>
      </c>
      <c r="N10" s="100">
        <v>170</v>
      </c>
      <c r="O10" s="100">
        <v>24.620194031941665</v>
      </c>
      <c r="P10" s="100">
        <v>170</v>
      </c>
      <c r="Q10" s="100">
        <v>24.620194031941665</v>
      </c>
      <c r="R10" s="100">
        <v>170</v>
      </c>
      <c r="S10" s="100">
        <v>24.620194031941665</v>
      </c>
      <c r="T10" s="100">
        <v>170</v>
      </c>
      <c r="U10" s="100">
        <v>170</v>
      </c>
      <c r="V10" s="100">
        <v>170</v>
      </c>
      <c r="W10" s="100">
        <v>170</v>
      </c>
      <c r="X10" s="100">
        <v>170</v>
      </c>
      <c r="Y10" s="100">
        <v>170</v>
      </c>
      <c r="Z10" s="100">
        <v>170</v>
      </c>
      <c r="AA10" s="100">
        <v>170</v>
      </c>
      <c r="AB10" s="100">
        <v>170</v>
      </c>
      <c r="AC10" s="100">
        <v>170</v>
      </c>
      <c r="AD10" s="100">
        <v>170</v>
      </c>
      <c r="AE10" s="100">
        <v>170</v>
      </c>
      <c r="AF10" s="100">
        <v>170</v>
      </c>
      <c r="AG10" s="100">
        <v>24.620194031941665</v>
      </c>
      <c r="AH10" s="100">
        <v>170</v>
      </c>
      <c r="AI10" s="100">
        <v>170</v>
      </c>
      <c r="AJ10" s="100">
        <v>170</v>
      </c>
      <c r="AK10" s="100">
        <v>170</v>
      </c>
      <c r="AL10" s="100">
        <v>170</v>
      </c>
      <c r="AM10" s="100">
        <v>24.620194031941665</v>
      </c>
      <c r="AN10" s="100">
        <v>170</v>
      </c>
      <c r="AO10" s="100">
        <v>170</v>
      </c>
      <c r="AP10" s="100">
        <v>170</v>
      </c>
      <c r="AQ10" s="100">
        <v>24.620194031941665</v>
      </c>
      <c r="AR10" s="100">
        <v>170</v>
      </c>
      <c r="AS10" s="100">
        <v>24.620194031941665</v>
      </c>
      <c r="AT10" s="100">
        <v>170</v>
      </c>
      <c r="AU10" s="100">
        <v>0</v>
      </c>
      <c r="AV10" s="100">
        <v>170</v>
      </c>
      <c r="AW10" s="100">
        <v>12.310097015970831</v>
      </c>
      <c r="AX10" s="100">
        <v>135.99999999999997</v>
      </c>
      <c r="AY10" s="100">
        <v>61.550485079854155</v>
      </c>
      <c r="AZ10" s="100">
        <v>135.99999999999997</v>
      </c>
    </row>
    <row r="11" spans="1:53">
      <c r="B11" s="119">
        <v>2</v>
      </c>
      <c r="C11" s="106" t="s">
        <v>293</v>
      </c>
      <c r="D11" s="100">
        <v>143.21376972767348</v>
      </c>
      <c r="F11" s="100">
        <v>145.37980596805812</v>
      </c>
      <c r="G11" s="100">
        <v>0</v>
      </c>
      <c r="I11" s="100">
        <v>0</v>
      </c>
      <c r="K11" s="100">
        <v>0</v>
      </c>
      <c r="M11" s="100">
        <v>0</v>
      </c>
      <c r="N11" s="100">
        <v>0</v>
      </c>
      <c r="Q11" s="100">
        <v>0</v>
      </c>
      <c r="R11" s="100">
        <v>145.37980596805835</v>
      </c>
      <c r="T11" s="100">
        <v>145.37980596805835</v>
      </c>
      <c r="U11" s="100">
        <v>0</v>
      </c>
      <c r="AA11" s="100">
        <v>0</v>
      </c>
      <c r="AB11" s="100">
        <v>0</v>
      </c>
      <c r="AF11" s="100">
        <v>0</v>
      </c>
      <c r="AG11" s="100">
        <v>0</v>
      </c>
      <c r="AH11" s="100">
        <v>145.37980596805835</v>
      </c>
      <c r="AI11" s="100">
        <v>0</v>
      </c>
      <c r="AJ11" s="100">
        <v>0</v>
      </c>
      <c r="AM11" s="100">
        <v>0</v>
      </c>
      <c r="AN11" s="100">
        <v>145.37980596805835</v>
      </c>
      <c r="AO11" s="100">
        <v>0</v>
      </c>
      <c r="AR11" s="100">
        <v>145.37980596805835</v>
      </c>
      <c r="AU11" s="100">
        <v>0</v>
      </c>
      <c r="AY11" s="100">
        <v>0</v>
      </c>
      <c r="AZ11" s="100">
        <v>74.449514920145845</v>
      </c>
      <c r="BA11" s="100">
        <v>0</v>
      </c>
    </row>
    <row r="12" spans="1:53">
      <c r="B12" s="120">
        <v>3</v>
      </c>
      <c r="C12" s="106" t="s">
        <v>293</v>
      </c>
      <c r="D12" s="100">
        <v>0</v>
      </c>
      <c r="F12" s="100">
        <v>0</v>
      </c>
      <c r="L12" s="100">
        <v>0</v>
      </c>
      <c r="Q12" s="100">
        <v>145.37980596805835</v>
      </c>
      <c r="AD12" s="100">
        <v>0</v>
      </c>
      <c r="AU12" s="100">
        <v>145.37980596805835</v>
      </c>
      <c r="AX12" s="100">
        <v>0</v>
      </c>
      <c r="AY12" s="100">
        <v>157.68990298402917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26.336181042802409</v>
      </c>
      <c r="E14" s="117">
        <f t="shared" ref="E14:AZ14" si="0">D$172*SUM(D$122:D$169)</f>
        <v>190.76704158882714</v>
      </c>
      <c r="F14" s="117">
        <f t="shared" si="0"/>
        <v>17.386873403449869</v>
      </c>
      <c r="G14" s="117">
        <f t="shared" si="0"/>
        <v>222.61312659654996</v>
      </c>
      <c r="H14" s="117">
        <f t="shared" si="0"/>
        <v>142.9739859288745</v>
      </c>
      <c r="I14" s="117">
        <f t="shared" si="0"/>
        <v>123.0023375314653</v>
      </c>
      <c r="J14" s="117">
        <f t="shared" si="0"/>
        <v>119.99999999999994</v>
      </c>
      <c r="K14" s="117">
        <f t="shared" si="0"/>
        <v>121.62720483477763</v>
      </c>
      <c r="L14" s="117">
        <f t="shared" si="0"/>
        <v>119.99999999999994</v>
      </c>
      <c r="M14" s="117">
        <f t="shared" si="0"/>
        <v>119.99999999999997</v>
      </c>
      <c r="N14" s="117">
        <f t="shared" si="0"/>
        <v>119.99999999999994</v>
      </c>
      <c r="O14" s="117">
        <f t="shared" si="0"/>
        <v>119.99999999999997</v>
      </c>
      <c r="P14" s="117">
        <f t="shared" si="0"/>
        <v>17.386873403449862</v>
      </c>
      <c r="Q14" s="117">
        <f t="shared" si="0"/>
        <v>119.99999999999997</v>
      </c>
      <c r="R14" s="117">
        <f t="shared" si="0"/>
        <v>119.99999999999994</v>
      </c>
      <c r="S14" s="117">
        <f t="shared" si="0"/>
        <v>222.61312659655005</v>
      </c>
      <c r="T14" s="117">
        <f t="shared" si="0"/>
        <v>62.385242474402283</v>
      </c>
      <c r="U14" s="117">
        <f t="shared" si="0"/>
        <v>222.61312659655005</v>
      </c>
      <c r="V14" s="117">
        <f t="shared" si="0"/>
        <v>144.27494587340271</v>
      </c>
      <c r="W14" s="117">
        <f t="shared" si="0"/>
        <v>119.99999999999997</v>
      </c>
      <c r="X14" s="117">
        <f t="shared" si="0"/>
        <v>119.99999999999994</v>
      </c>
      <c r="Y14" s="117">
        <f t="shared" si="0"/>
        <v>119.99999999999997</v>
      </c>
      <c r="Z14" s="117">
        <f t="shared" si="0"/>
        <v>119.99999999999994</v>
      </c>
      <c r="AA14" s="117">
        <f t="shared" si="0"/>
        <v>119.99999999999997</v>
      </c>
      <c r="AB14" s="117">
        <f t="shared" si="0"/>
        <v>119.99999999999994</v>
      </c>
      <c r="AC14" s="117">
        <f t="shared" si="0"/>
        <v>119.99999999999997</v>
      </c>
      <c r="AD14" s="117">
        <f t="shared" si="0"/>
        <v>119.99999999999994</v>
      </c>
      <c r="AE14" s="117">
        <f t="shared" si="0"/>
        <v>119.99999999999997</v>
      </c>
      <c r="AF14" s="117">
        <f t="shared" si="0"/>
        <v>119.99999999999994</v>
      </c>
      <c r="AG14" s="117">
        <f t="shared" si="0"/>
        <v>119.99999999999997</v>
      </c>
      <c r="AH14" s="117">
        <f t="shared" si="0"/>
        <v>17.386873403449862</v>
      </c>
      <c r="AI14" s="117">
        <f t="shared" si="0"/>
        <v>222.61312659655005</v>
      </c>
      <c r="AJ14" s="117">
        <f t="shared" si="0"/>
        <v>151.39223597258308</v>
      </c>
      <c r="AK14" s="117">
        <f t="shared" si="0"/>
        <v>119.99999999999997</v>
      </c>
      <c r="AL14" s="117">
        <f t="shared" si="0"/>
        <v>119.99999999999994</v>
      </c>
      <c r="AM14" s="117">
        <f t="shared" si="0"/>
        <v>119.99999999999997</v>
      </c>
      <c r="AN14" s="117">
        <f t="shared" si="0"/>
        <v>17.386873403449862</v>
      </c>
      <c r="AO14" s="117">
        <f t="shared" si="0"/>
        <v>222.61312659655005</v>
      </c>
      <c r="AP14" s="117">
        <f t="shared" si="0"/>
        <v>155.22464910085091</v>
      </c>
      <c r="AQ14" s="117">
        <f t="shared" si="0"/>
        <v>119.99999999999999</v>
      </c>
      <c r="AR14" s="117">
        <f t="shared" si="0"/>
        <v>17.386873403449862</v>
      </c>
      <c r="AS14" s="117">
        <f t="shared" si="0"/>
        <v>222.61312659655005</v>
      </c>
      <c r="AT14" s="117">
        <f t="shared" si="0"/>
        <v>47.971236616690142</v>
      </c>
      <c r="AU14" s="117">
        <f t="shared" si="0"/>
        <v>119.99999999999997</v>
      </c>
      <c r="AV14" s="117">
        <f t="shared" si="0"/>
        <v>102.62237956496975</v>
      </c>
      <c r="AW14" s="117">
        <f t="shared" si="0"/>
        <v>119.99999999999997</v>
      </c>
      <c r="AX14" s="117">
        <f t="shared" si="0"/>
        <v>8.6980631859347621</v>
      </c>
      <c r="AY14" s="117">
        <f t="shared" si="0"/>
        <v>96.001850593683926</v>
      </c>
      <c r="AZ14" s="110">
        <f t="shared" si="0"/>
        <v>154.75524087006036</v>
      </c>
      <c r="BA14" s="107">
        <f>SUM($E14:$AZ14)</f>
        <v>5804.3095407330711</v>
      </c>
    </row>
    <row r="15" spans="1:53">
      <c r="A15" s="122" t="s">
        <v>123</v>
      </c>
      <c r="B15" s="123">
        <v>1</v>
      </c>
      <c r="C15" s="124" t="s">
        <v>293</v>
      </c>
      <c r="D15" s="124">
        <v>210.81150309610288</v>
      </c>
      <c r="E15" s="124">
        <v>35.398644463728111</v>
      </c>
      <c r="F15" s="124">
        <v>244.31289266789764</v>
      </c>
      <c r="G15" s="124">
        <v>244.31289266789759</v>
      </c>
      <c r="H15" s="124">
        <v>244.31289266789764</v>
      </c>
      <c r="I15" s="124">
        <v>244.31289266789759</v>
      </c>
      <c r="J15" s="124">
        <v>244.31289266789764</v>
      </c>
      <c r="K15" s="124">
        <v>244.31289266789759</v>
      </c>
      <c r="L15" s="124">
        <v>244.31289266789764</v>
      </c>
      <c r="M15" s="124">
        <v>244.31289266789759</v>
      </c>
      <c r="N15" s="124">
        <v>244.31289266789764</v>
      </c>
      <c r="O15" s="124">
        <v>35.398644463728097</v>
      </c>
      <c r="P15" s="124">
        <v>244.31289266789764</v>
      </c>
      <c r="Q15" s="124">
        <v>35.398644463728097</v>
      </c>
      <c r="R15" s="124">
        <v>244.31289266789764</v>
      </c>
      <c r="S15" s="124">
        <v>35.398644463728097</v>
      </c>
      <c r="T15" s="124">
        <v>244.31289266789764</v>
      </c>
      <c r="U15" s="124">
        <v>244.31289266789759</v>
      </c>
      <c r="V15" s="124">
        <v>244.31289266789764</v>
      </c>
      <c r="W15" s="124">
        <v>244.31289266789759</v>
      </c>
      <c r="X15" s="124">
        <v>244.31289266789764</v>
      </c>
      <c r="Y15" s="124">
        <v>244.31289266789759</v>
      </c>
      <c r="Z15" s="124">
        <v>244.31289266789764</v>
      </c>
      <c r="AA15" s="124">
        <v>244.31289266789759</v>
      </c>
      <c r="AB15" s="124">
        <v>244.31289266789764</v>
      </c>
      <c r="AC15" s="124">
        <v>244.31289266789759</v>
      </c>
      <c r="AD15" s="124">
        <v>244.31289266789764</v>
      </c>
      <c r="AE15" s="124">
        <v>244.31289266789759</v>
      </c>
      <c r="AF15" s="124">
        <v>244.31289266789764</v>
      </c>
      <c r="AG15" s="124">
        <v>35.398644463728097</v>
      </c>
      <c r="AH15" s="124">
        <v>244.31289266789764</v>
      </c>
      <c r="AI15" s="124">
        <v>244.31289266789759</v>
      </c>
      <c r="AJ15" s="124">
        <v>244.31289266789764</v>
      </c>
      <c r="AK15" s="124">
        <v>244.31289266789759</v>
      </c>
      <c r="AL15" s="124">
        <v>244.31289266789764</v>
      </c>
      <c r="AM15" s="124">
        <v>35.398644463728097</v>
      </c>
      <c r="AN15" s="124">
        <v>244.31289266789764</v>
      </c>
      <c r="AO15" s="124">
        <v>244.31289266789759</v>
      </c>
      <c r="AP15" s="124">
        <v>244.31289266789764</v>
      </c>
      <c r="AQ15" s="124">
        <v>35.398644463728097</v>
      </c>
      <c r="AR15" s="124">
        <v>244.31289266789764</v>
      </c>
      <c r="AS15" s="124">
        <v>35.398644463728097</v>
      </c>
      <c r="AT15" s="124">
        <v>244.31289266789764</v>
      </c>
      <c r="AU15" s="124">
        <v>1.8838495669764897E-2</v>
      </c>
      <c r="AV15" s="124">
        <v>244.31289266789764</v>
      </c>
      <c r="AW15" s="124">
        <v>17.708741479698933</v>
      </c>
      <c r="AX15" s="124">
        <v>195.45408183345211</v>
      </c>
      <c r="AY15" s="124">
        <v>88.468353415815614</v>
      </c>
      <c r="AZ15" s="100">
        <v>195.43524333778234</v>
      </c>
    </row>
    <row r="16" spans="1:53">
      <c r="A16" s="110"/>
      <c r="B16" s="119">
        <v>2</v>
      </c>
      <c r="C16" s="109" t="s">
        <v>293</v>
      </c>
      <c r="D16" s="106">
        <v>177.57889487275963</v>
      </c>
      <c r="E16" s="110"/>
      <c r="F16" s="110">
        <v>208.91424820416933</v>
      </c>
      <c r="G16" s="110">
        <v>0</v>
      </c>
      <c r="H16" s="110"/>
      <c r="I16" s="110">
        <v>0</v>
      </c>
      <c r="J16" s="110"/>
      <c r="K16" s="110">
        <v>0</v>
      </c>
      <c r="L16" s="110"/>
      <c r="M16" s="110">
        <v>0</v>
      </c>
      <c r="N16" s="110">
        <v>0</v>
      </c>
      <c r="O16" s="110"/>
      <c r="P16" s="110"/>
      <c r="Q16" s="110">
        <v>0</v>
      </c>
      <c r="R16" s="110">
        <v>208.9142482041695</v>
      </c>
      <c r="S16" s="110"/>
      <c r="T16" s="110">
        <v>208.9142482041695</v>
      </c>
      <c r="U16" s="110">
        <v>0</v>
      </c>
      <c r="V16" s="110"/>
      <c r="W16" s="110"/>
      <c r="X16" s="110"/>
      <c r="Y16" s="110"/>
      <c r="Z16" s="110"/>
      <c r="AA16" s="110">
        <v>0</v>
      </c>
      <c r="AB16" s="110">
        <v>0</v>
      </c>
      <c r="AC16" s="110"/>
      <c r="AD16" s="110"/>
      <c r="AE16" s="110"/>
      <c r="AF16" s="110">
        <v>0</v>
      </c>
      <c r="AG16" s="110">
        <v>0</v>
      </c>
      <c r="AH16" s="110">
        <v>208.9142482041695</v>
      </c>
      <c r="AI16" s="110">
        <v>0</v>
      </c>
      <c r="AJ16" s="110">
        <v>0</v>
      </c>
      <c r="AK16" s="110"/>
      <c r="AL16" s="110"/>
      <c r="AM16" s="110">
        <v>0</v>
      </c>
      <c r="AN16" s="110">
        <v>208.9142482041695</v>
      </c>
      <c r="AO16" s="110">
        <v>0</v>
      </c>
      <c r="AP16" s="110"/>
      <c r="AQ16" s="110"/>
      <c r="AR16" s="110">
        <v>208.9142482041695</v>
      </c>
      <c r="AS16" s="110"/>
      <c r="AT16" s="110"/>
      <c r="AU16" s="110">
        <v>0</v>
      </c>
      <c r="AV16" s="110"/>
      <c r="AW16" s="110"/>
      <c r="AX16" s="110"/>
      <c r="AY16" s="110">
        <v>0</v>
      </c>
      <c r="AZ16" s="100">
        <v>106.98572841763647</v>
      </c>
      <c r="BA16" s="100">
        <v>0</v>
      </c>
    </row>
    <row r="17" spans="1:51">
      <c r="A17" s="110"/>
      <c r="B17" s="119">
        <v>3</v>
      </c>
      <c r="C17" s="109" t="s">
        <v>293</v>
      </c>
      <c r="D17" s="106">
        <v>0</v>
      </c>
      <c r="E17" s="110"/>
      <c r="F17" s="110">
        <v>0</v>
      </c>
      <c r="G17" s="110"/>
      <c r="H17" s="110"/>
      <c r="I17" s="110"/>
      <c r="J17" s="110"/>
      <c r="K17" s="110"/>
      <c r="L17" s="110">
        <v>0</v>
      </c>
      <c r="M17" s="110"/>
      <c r="N17" s="110"/>
      <c r="O17" s="110"/>
      <c r="P17" s="110"/>
      <c r="Q17" s="110">
        <v>208.9142482041695</v>
      </c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>
        <v>208.9142482041695</v>
      </c>
      <c r="AV17" s="110"/>
      <c r="AW17" s="110"/>
      <c r="AX17" s="110">
        <v>0</v>
      </c>
      <c r="AY17" s="110">
        <v>226.60415118819867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190.00000000000003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152.00000000000003</v>
      </c>
      <c r="AW95" s="110">
        <v>152.00000000000003</v>
      </c>
      <c r="AX95" s="110">
        <v>152.00000000000003</v>
      </c>
      <c r="AY95" s="110">
        <v>79.3614763376425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23</v>
      </c>
      <c r="F96" s="110">
        <v>18</v>
      </c>
      <c r="G96" s="110">
        <v>0</v>
      </c>
      <c r="H96" s="110">
        <v>0</v>
      </c>
      <c r="I96" s="110">
        <v>0</v>
      </c>
      <c r="J96" s="110">
        <v>0</v>
      </c>
      <c r="K96" s="110">
        <v>52</v>
      </c>
      <c r="L96" s="110">
        <v>81</v>
      </c>
      <c r="M96" s="110">
        <v>83</v>
      </c>
      <c r="N96" s="110">
        <v>97</v>
      </c>
      <c r="O96" s="110">
        <v>112</v>
      </c>
      <c r="P96" s="110">
        <v>161</v>
      </c>
      <c r="Q96" s="110">
        <v>164</v>
      </c>
      <c r="R96" s="110">
        <v>142</v>
      </c>
      <c r="S96" s="110">
        <v>146</v>
      </c>
      <c r="T96" s="110">
        <v>151</v>
      </c>
      <c r="U96" s="110">
        <v>142</v>
      </c>
      <c r="V96" s="110">
        <v>138</v>
      </c>
      <c r="W96" s="110">
        <v>190</v>
      </c>
      <c r="X96" s="110">
        <v>188</v>
      </c>
      <c r="Y96" s="110">
        <v>190</v>
      </c>
      <c r="Z96" s="110">
        <v>183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151</v>
      </c>
      <c r="AG96" s="110">
        <v>126</v>
      </c>
      <c r="AH96" s="110">
        <v>99</v>
      </c>
      <c r="AI96" s="110">
        <v>110</v>
      </c>
      <c r="AJ96" s="110">
        <v>92</v>
      </c>
      <c r="AK96" s="110">
        <v>85</v>
      </c>
      <c r="AL96" s="110">
        <v>84</v>
      </c>
      <c r="AM96" s="110">
        <v>109</v>
      </c>
      <c r="AN96" s="110">
        <v>117</v>
      </c>
      <c r="AO96" s="110">
        <v>141</v>
      </c>
      <c r="AP96" s="110">
        <v>103</v>
      </c>
      <c r="AQ96" s="110">
        <v>70</v>
      </c>
      <c r="AR96" s="110">
        <v>52</v>
      </c>
      <c r="AS96" s="110">
        <v>44</v>
      </c>
      <c r="AT96" s="110">
        <v>41</v>
      </c>
      <c r="AU96" s="110">
        <v>50</v>
      </c>
      <c r="AV96" s="110">
        <v>52</v>
      </c>
      <c r="AW96" s="110">
        <v>2.0000000000000284</v>
      </c>
      <c r="AX96" s="110">
        <v>3.0000000000000568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4</v>
      </c>
      <c r="X97" s="110">
        <v>0</v>
      </c>
      <c r="Y97" s="110">
        <v>16</v>
      </c>
      <c r="Z97" s="110">
        <v>0</v>
      </c>
      <c r="AA97" s="110">
        <v>9</v>
      </c>
      <c r="AB97" s="110">
        <v>19</v>
      </c>
      <c r="AC97" s="110">
        <v>29</v>
      </c>
      <c r="AD97" s="110">
        <v>26</v>
      </c>
      <c r="AE97" s="110">
        <v>9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26.786230272326517</v>
      </c>
      <c r="D100" s="106">
        <v>169.99999999999997</v>
      </c>
      <c r="E100" s="106">
        <v>24.620194031941654</v>
      </c>
      <c r="F100" s="106">
        <v>170</v>
      </c>
      <c r="G100" s="106">
        <v>170</v>
      </c>
      <c r="H100" s="106">
        <v>170</v>
      </c>
      <c r="I100" s="106">
        <v>170</v>
      </c>
      <c r="J100" s="106">
        <v>170</v>
      </c>
      <c r="K100" s="106">
        <v>170</v>
      </c>
      <c r="L100" s="106">
        <v>170</v>
      </c>
      <c r="M100" s="106">
        <v>170</v>
      </c>
      <c r="N100" s="106">
        <v>170</v>
      </c>
      <c r="O100" s="106">
        <v>24.620194031941665</v>
      </c>
      <c r="P100" s="106">
        <v>170</v>
      </c>
      <c r="Q100" s="106">
        <v>24.620194031941665</v>
      </c>
      <c r="R100" s="106">
        <v>170</v>
      </c>
      <c r="S100" s="106">
        <v>24.620194031941665</v>
      </c>
      <c r="T100" s="106">
        <v>170</v>
      </c>
      <c r="U100" s="106">
        <v>170</v>
      </c>
      <c r="V100" s="106">
        <v>170</v>
      </c>
      <c r="W100" s="106">
        <v>170</v>
      </c>
      <c r="X100" s="106">
        <v>170</v>
      </c>
      <c r="Y100" s="106">
        <v>170</v>
      </c>
      <c r="Z100" s="106">
        <v>170</v>
      </c>
      <c r="AA100" s="106">
        <v>170</v>
      </c>
      <c r="AB100" s="106">
        <v>170</v>
      </c>
      <c r="AC100" s="106">
        <v>170</v>
      </c>
      <c r="AD100" s="106">
        <v>170</v>
      </c>
      <c r="AE100" s="106">
        <v>170</v>
      </c>
      <c r="AF100" s="106">
        <v>170</v>
      </c>
      <c r="AG100" s="106">
        <v>24.620194031941665</v>
      </c>
      <c r="AH100" s="106">
        <v>170</v>
      </c>
      <c r="AI100" s="106">
        <v>170</v>
      </c>
      <c r="AJ100" s="106">
        <v>170</v>
      </c>
      <c r="AK100" s="106">
        <v>170</v>
      </c>
      <c r="AL100" s="106">
        <v>170</v>
      </c>
      <c r="AM100" s="106">
        <v>24.620194031941665</v>
      </c>
      <c r="AN100" s="106">
        <v>170</v>
      </c>
      <c r="AO100" s="106">
        <v>170</v>
      </c>
      <c r="AP100" s="106">
        <v>170</v>
      </c>
      <c r="AQ100" s="106">
        <v>24.620194031941665</v>
      </c>
      <c r="AR100" s="106">
        <v>170</v>
      </c>
      <c r="AS100" s="106">
        <v>24.620194031941665</v>
      </c>
      <c r="AT100" s="106">
        <v>170</v>
      </c>
      <c r="AU100" s="106">
        <v>0</v>
      </c>
      <c r="AV100" s="106">
        <v>170</v>
      </c>
      <c r="AW100" s="106">
        <v>12.310097015970831</v>
      </c>
      <c r="AX100" s="106">
        <v>135.99999999999997</v>
      </c>
      <c r="AY100" s="106">
        <v>61.550485079854155</v>
      </c>
    </row>
    <row r="101" spans="1:52">
      <c r="A101" s="109"/>
      <c r="B101" s="119">
        <v>2</v>
      </c>
      <c r="C101" s="106">
        <v>99.213769727673451</v>
      </c>
      <c r="D101" s="106">
        <v>143.21376972767348</v>
      </c>
      <c r="E101" s="106">
        <v>154.21376972767345</v>
      </c>
      <c r="F101" s="106">
        <v>155.21376972767322</v>
      </c>
      <c r="G101" s="106">
        <v>111.21376972767322</v>
      </c>
      <c r="H101" s="106">
        <v>87.213769727673224</v>
      </c>
      <c r="I101" s="106">
        <v>100.21376972767322</v>
      </c>
      <c r="J101" s="106">
        <v>112.21376972767322</v>
      </c>
      <c r="K101" s="106">
        <v>104.21376972767322</v>
      </c>
      <c r="L101" s="106">
        <v>94.213769727673224</v>
      </c>
      <c r="M101" s="106">
        <v>53.213769727673224</v>
      </c>
      <c r="N101" s="106">
        <v>35.213769727673224</v>
      </c>
      <c r="O101" s="106">
        <v>24.213769727673224</v>
      </c>
      <c r="P101" s="106">
        <v>0</v>
      </c>
      <c r="Q101" s="106">
        <v>0</v>
      </c>
      <c r="R101" s="106">
        <v>145.37980596805835</v>
      </c>
      <c r="S101" s="106">
        <v>95.379805968058349</v>
      </c>
      <c r="T101" s="106">
        <v>145.37980596805835</v>
      </c>
      <c r="U101" s="106">
        <v>111.37980596805835</v>
      </c>
      <c r="V101" s="106">
        <v>100.37980596805835</v>
      </c>
      <c r="W101" s="106">
        <v>84.379805968058349</v>
      </c>
      <c r="X101" s="106">
        <v>78.379805968058349</v>
      </c>
      <c r="Y101" s="106">
        <v>40.379805968058349</v>
      </c>
      <c r="Z101" s="106">
        <v>46.379805968058349</v>
      </c>
      <c r="AA101" s="106">
        <v>13.379805968058349</v>
      </c>
      <c r="AB101" s="106">
        <v>39.379805968058349</v>
      </c>
      <c r="AC101" s="106">
        <v>53.379805968058349</v>
      </c>
      <c r="AD101" s="106">
        <v>23.379805968058349</v>
      </c>
      <c r="AE101" s="106">
        <v>25.379805968058349</v>
      </c>
      <c r="AF101" s="106">
        <v>59.379805968058349</v>
      </c>
      <c r="AG101" s="106">
        <v>32.379805968058349</v>
      </c>
      <c r="AH101" s="106">
        <v>145.37980596805835</v>
      </c>
      <c r="AI101" s="106">
        <v>96.379805968058349</v>
      </c>
      <c r="AJ101" s="106">
        <v>112.37980596805835</v>
      </c>
      <c r="AK101" s="106">
        <v>64.379805968058349</v>
      </c>
      <c r="AL101" s="106">
        <v>45.379805968058349</v>
      </c>
      <c r="AM101" s="106">
        <v>45.379805968058349</v>
      </c>
      <c r="AN101" s="106">
        <v>145.37980596805835</v>
      </c>
      <c r="AO101" s="106">
        <v>133.37980596805835</v>
      </c>
      <c r="AP101" s="106">
        <v>129.37980596805835</v>
      </c>
      <c r="AQ101" s="106">
        <v>141.37980596805835</v>
      </c>
      <c r="AR101" s="106">
        <v>145.37980596805835</v>
      </c>
      <c r="AS101" s="106">
        <v>87.379805968058349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145.37980596805835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145.37980596805835</v>
      </c>
      <c r="AV102" s="106">
        <v>0</v>
      </c>
      <c r="AW102" s="106">
        <v>0</v>
      </c>
      <c r="AX102" s="106">
        <v>0</v>
      </c>
      <c r="AY102" s="106">
        <v>157.68990298402917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158.2773274872138</v>
      </c>
      <c r="D109" s="106">
        <v>26.336181042802409</v>
      </c>
      <c r="E109" s="106">
        <v>190.76704158882714</v>
      </c>
      <c r="F109" s="106">
        <v>17.386873403449869</v>
      </c>
      <c r="G109" s="106">
        <v>222.61312659654996</v>
      </c>
      <c r="H109" s="106">
        <v>142.9739859288745</v>
      </c>
      <c r="I109" s="106">
        <v>123.0023375314653</v>
      </c>
      <c r="J109" s="106">
        <v>119.99999999999994</v>
      </c>
      <c r="K109" s="106">
        <v>121.62720483477763</v>
      </c>
      <c r="L109" s="106">
        <v>119.99999999999994</v>
      </c>
      <c r="M109" s="106">
        <v>119.99999999999997</v>
      </c>
      <c r="N109" s="106">
        <v>119.99999999999994</v>
      </c>
      <c r="O109" s="106">
        <v>119.99999999999997</v>
      </c>
      <c r="P109" s="106">
        <v>17.386873403449862</v>
      </c>
      <c r="Q109" s="106">
        <v>119.99999999999997</v>
      </c>
      <c r="R109" s="106">
        <v>119.99999999999994</v>
      </c>
      <c r="S109" s="106">
        <v>222.61312659655005</v>
      </c>
      <c r="T109" s="106">
        <v>62.385242474402283</v>
      </c>
      <c r="U109" s="106">
        <v>222.61312659655005</v>
      </c>
      <c r="V109" s="106">
        <v>144.27494587340271</v>
      </c>
      <c r="W109" s="106">
        <v>119.99999999999997</v>
      </c>
      <c r="X109" s="106">
        <v>119.99999999999994</v>
      </c>
      <c r="Y109" s="106">
        <v>119.99999999999997</v>
      </c>
      <c r="Z109" s="106">
        <v>119.99999999999994</v>
      </c>
      <c r="AA109" s="106">
        <v>119.99999999999997</v>
      </c>
      <c r="AB109" s="106">
        <v>119.99999999999994</v>
      </c>
      <c r="AC109" s="106">
        <v>119.99999999999997</v>
      </c>
      <c r="AD109" s="106">
        <v>119.99999999999994</v>
      </c>
      <c r="AE109" s="106">
        <v>119.99999999999997</v>
      </c>
      <c r="AF109" s="106">
        <v>119.99999999999994</v>
      </c>
      <c r="AG109" s="106">
        <v>119.99999999999997</v>
      </c>
      <c r="AH109" s="106">
        <v>17.386873403449862</v>
      </c>
      <c r="AI109" s="106">
        <v>222.61312659655005</v>
      </c>
      <c r="AJ109" s="106">
        <v>151.39223597258308</v>
      </c>
      <c r="AK109" s="106">
        <v>119.99999999999997</v>
      </c>
      <c r="AL109" s="106">
        <v>119.99999999999994</v>
      </c>
      <c r="AM109" s="106">
        <v>119.99999999999997</v>
      </c>
      <c r="AN109" s="106">
        <v>17.386873403449862</v>
      </c>
      <c r="AO109" s="106">
        <v>222.61312659655005</v>
      </c>
      <c r="AP109" s="106">
        <v>155.22464910085091</v>
      </c>
      <c r="AQ109" s="106">
        <v>119.99999999999999</v>
      </c>
      <c r="AR109" s="106">
        <v>17.386873403449862</v>
      </c>
      <c r="AS109" s="106">
        <v>222.61312659655005</v>
      </c>
      <c r="AT109" s="106">
        <v>47.971236616690142</v>
      </c>
      <c r="AU109" s="106">
        <v>119.99999999999997</v>
      </c>
      <c r="AV109" s="106">
        <v>102.62237956496975</v>
      </c>
      <c r="AW109" s="106">
        <v>119.99999999999997</v>
      </c>
      <c r="AX109" s="106">
        <v>8.6980631859347621</v>
      </c>
      <c r="AY109" s="106">
        <v>96.001850593683926</v>
      </c>
    </row>
    <row r="110" spans="1:52">
      <c r="A110" s="109"/>
      <c r="B110" s="119">
        <v>2</v>
      </c>
      <c r="C110" s="106">
        <v>0</v>
      </c>
      <c r="D110" s="106">
        <v>24.394128548968496</v>
      </c>
      <c r="E110" s="106">
        <v>0</v>
      </c>
      <c r="F110" s="106">
        <v>55.767041588827141</v>
      </c>
      <c r="G110" s="106">
        <v>0</v>
      </c>
      <c r="H110" s="106">
        <v>74.613126596549961</v>
      </c>
      <c r="I110" s="106">
        <v>71.587112525424459</v>
      </c>
      <c r="J110" s="106">
        <v>42.58945005688976</v>
      </c>
      <c r="K110" s="106">
        <v>27.589450056889703</v>
      </c>
      <c r="L110" s="106">
        <v>40.216654891667332</v>
      </c>
      <c r="M110" s="106">
        <v>29.216654891667275</v>
      </c>
      <c r="N110" s="106">
        <v>33.216654891667247</v>
      </c>
      <c r="O110" s="106">
        <v>1.21665489166719</v>
      </c>
      <c r="P110" s="106">
        <v>0</v>
      </c>
      <c r="Q110" s="106">
        <v>0</v>
      </c>
      <c r="R110" s="106">
        <v>0</v>
      </c>
      <c r="S110" s="106">
        <v>0</v>
      </c>
      <c r="T110" s="106">
        <v>96.356489428408452</v>
      </c>
      <c r="U110" s="106">
        <v>7.1054273576010019E-15</v>
      </c>
      <c r="V110" s="106">
        <v>63.613126596550046</v>
      </c>
      <c r="W110" s="106">
        <v>95.88807246995276</v>
      </c>
      <c r="X110" s="106">
        <v>60.888072469952732</v>
      </c>
      <c r="Y110" s="106">
        <v>22.888072469952675</v>
      </c>
      <c r="Z110" s="106">
        <v>2.8880724699526468</v>
      </c>
      <c r="AA110" s="106">
        <v>0</v>
      </c>
      <c r="AB110" s="106">
        <v>0</v>
      </c>
      <c r="AC110" s="106">
        <v>0</v>
      </c>
      <c r="AD110" s="106">
        <v>0</v>
      </c>
      <c r="AE110" s="106">
        <v>8.9999999999999432</v>
      </c>
      <c r="AF110" s="106">
        <v>0</v>
      </c>
      <c r="AG110" s="106">
        <v>0</v>
      </c>
      <c r="AH110" s="106">
        <v>0</v>
      </c>
      <c r="AI110" s="106">
        <v>0</v>
      </c>
      <c r="AJ110" s="106">
        <v>92.613126596550046</v>
      </c>
      <c r="AK110" s="106">
        <v>103.00536256913313</v>
      </c>
      <c r="AL110" s="106">
        <v>68.005362569133098</v>
      </c>
      <c r="AM110" s="106">
        <v>34.005362569133041</v>
      </c>
      <c r="AN110" s="106">
        <v>13.368998932769387</v>
      </c>
      <c r="AO110" s="106">
        <v>0</v>
      </c>
      <c r="AP110" s="106">
        <v>74.613126596550046</v>
      </c>
      <c r="AQ110" s="106">
        <v>99.837775697400957</v>
      </c>
      <c r="AR110" s="106">
        <v>62.658498127359124</v>
      </c>
      <c r="AS110" s="106">
        <v>7.1054273576010019E-15</v>
      </c>
      <c r="AT110" s="106">
        <v>73.604537639494822</v>
      </c>
      <c r="AU110" s="106">
        <v>7.1054273576010019E-15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33.232620211236906</v>
      </c>
      <c r="D122" s="106">
        <v>210.81150309610288</v>
      </c>
      <c r="E122" s="106">
        <v>35.398644463728111</v>
      </c>
      <c r="F122" s="106">
        <v>244.31289266789764</v>
      </c>
      <c r="G122" s="106">
        <v>244.31289266789759</v>
      </c>
      <c r="H122" s="106">
        <v>244.31289266789764</v>
      </c>
      <c r="I122" s="106">
        <v>244.31289266789759</v>
      </c>
      <c r="J122" s="106">
        <v>244.31289266789764</v>
      </c>
      <c r="K122" s="106">
        <v>244.31289266789759</v>
      </c>
      <c r="L122" s="106">
        <v>244.31289266789764</v>
      </c>
      <c r="M122" s="106">
        <v>244.31289266789759</v>
      </c>
      <c r="N122" s="106">
        <v>244.31289266789764</v>
      </c>
      <c r="O122" s="106">
        <v>35.398644463728097</v>
      </c>
      <c r="P122" s="106">
        <v>244.31289266789764</v>
      </c>
      <c r="Q122" s="106">
        <v>35.398644463728097</v>
      </c>
      <c r="R122" s="106">
        <v>244.31289266789764</v>
      </c>
      <c r="S122" s="106">
        <v>35.398644463728097</v>
      </c>
      <c r="T122" s="106">
        <v>244.31289266789764</v>
      </c>
      <c r="U122" s="106">
        <v>244.31289266789759</v>
      </c>
      <c r="V122" s="106">
        <v>244.31289266789764</v>
      </c>
      <c r="W122" s="106">
        <v>244.31289266789759</v>
      </c>
      <c r="X122" s="106">
        <v>244.31289266789764</v>
      </c>
      <c r="Y122" s="106">
        <v>244.31289266789759</v>
      </c>
      <c r="Z122" s="106">
        <v>244.31289266789764</v>
      </c>
      <c r="AA122" s="106">
        <v>244.31289266789759</v>
      </c>
      <c r="AB122" s="106">
        <v>244.31289266789764</v>
      </c>
      <c r="AC122" s="106">
        <v>244.31289266789759</v>
      </c>
      <c r="AD122" s="106">
        <v>244.31289266789764</v>
      </c>
      <c r="AE122" s="106">
        <v>244.31289266789759</v>
      </c>
      <c r="AF122" s="106">
        <v>244.31289266789764</v>
      </c>
      <c r="AG122" s="106">
        <v>35.398644463728097</v>
      </c>
      <c r="AH122" s="106">
        <v>244.31289266789764</v>
      </c>
      <c r="AI122" s="106">
        <v>244.31289266789759</v>
      </c>
      <c r="AJ122" s="106">
        <v>244.31289266789764</v>
      </c>
      <c r="AK122" s="106">
        <v>244.31289266789759</v>
      </c>
      <c r="AL122" s="106">
        <v>244.31289266789764</v>
      </c>
      <c r="AM122" s="106">
        <v>35.398644463728097</v>
      </c>
      <c r="AN122" s="106">
        <v>244.31289266789764</v>
      </c>
      <c r="AO122" s="106">
        <v>244.31289266789759</v>
      </c>
      <c r="AP122" s="106">
        <v>244.31289266789764</v>
      </c>
      <c r="AQ122" s="106">
        <v>35.398644463728097</v>
      </c>
      <c r="AR122" s="106">
        <v>244.31289266789764</v>
      </c>
      <c r="AS122" s="106">
        <v>35.398644463728097</v>
      </c>
      <c r="AT122" s="106">
        <v>244.31289266789764</v>
      </c>
      <c r="AU122" s="106">
        <v>1.8838495669764897E-2</v>
      </c>
      <c r="AV122" s="106">
        <v>244.31289266789764</v>
      </c>
      <c r="AW122" s="106">
        <v>17.708741479698933</v>
      </c>
      <c r="AX122" s="106">
        <v>195.45408183345211</v>
      </c>
      <c r="AY122" s="106">
        <v>88.468353415815614</v>
      </c>
    </row>
    <row r="123" spans="1:52">
      <c r="A123" s="109"/>
      <c r="B123" s="119">
        <v>2</v>
      </c>
      <c r="C123" s="106">
        <v>31.392682188664239</v>
      </c>
      <c r="D123" s="106">
        <v>177.57889487275963</v>
      </c>
      <c r="E123" s="106">
        <v>0</v>
      </c>
      <c r="F123" s="106">
        <v>208.91424820416933</v>
      </c>
      <c r="G123" s="106">
        <v>46.773674653291025</v>
      </c>
      <c r="H123" s="106">
        <v>6.1125813923140981</v>
      </c>
      <c r="I123" s="106">
        <v>0</v>
      </c>
      <c r="J123" s="106">
        <v>3.3128926678976427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208.9142482041695</v>
      </c>
      <c r="S123" s="106">
        <v>91.61401427551705</v>
      </c>
      <c r="T123" s="106">
        <v>208.9142482041695</v>
      </c>
      <c r="U123" s="106">
        <v>49.422352047397354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208.9142482041695</v>
      </c>
      <c r="AI123" s="106">
        <v>63.912733148125184</v>
      </c>
      <c r="AJ123" s="106">
        <v>0</v>
      </c>
      <c r="AK123" s="106">
        <v>0</v>
      </c>
      <c r="AL123" s="106">
        <v>0</v>
      </c>
      <c r="AM123" s="106">
        <v>0</v>
      </c>
      <c r="AN123" s="106">
        <v>208.9142482041695</v>
      </c>
      <c r="AO123" s="106">
        <v>71.715299292004673</v>
      </c>
      <c r="AP123" s="106">
        <v>2.8421709430404007E-14</v>
      </c>
      <c r="AQ123" s="106">
        <v>0</v>
      </c>
      <c r="AR123" s="106">
        <v>208.9142482041695</v>
      </c>
      <c r="AS123" s="106">
        <v>62.267952058603086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208.9142482041695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208.9142482041695</v>
      </c>
      <c r="AV124" s="106">
        <v>0</v>
      </c>
      <c r="AW124" s="106">
        <v>0</v>
      </c>
      <c r="AX124" s="106">
        <v>0</v>
      </c>
      <c r="AY124" s="106">
        <v>226.60415118819867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0.40752120399892616</v>
      </c>
      <c r="D172" s="134">
        <v>0.4911734239220843</v>
      </c>
      <c r="E172" s="134">
        <v>0.4911734239220843</v>
      </c>
      <c r="F172" s="134">
        <v>0.4911734239220843</v>
      </c>
      <c r="G172" s="134">
        <v>0.4911734239220843</v>
      </c>
      <c r="H172" s="134">
        <v>0.4911734239220843</v>
      </c>
      <c r="I172" s="134">
        <v>0.4911734239220843</v>
      </c>
      <c r="J172" s="134">
        <v>0.4911734239220843</v>
      </c>
      <c r="K172" s="134">
        <v>0.4911734239220843</v>
      </c>
      <c r="L172" s="134">
        <v>0.4911734239220843</v>
      </c>
      <c r="M172" s="134">
        <v>0.4911734239220843</v>
      </c>
      <c r="N172" s="134">
        <v>0.4911734239220843</v>
      </c>
      <c r="O172" s="134">
        <v>0.4911734239220843</v>
      </c>
      <c r="P172" s="134">
        <v>0.4911734239220843</v>
      </c>
      <c r="Q172" s="134">
        <v>0.4911734239220843</v>
      </c>
      <c r="R172" s="134">
        <v>0.4911734239220843</v>
      </c>
      <c r="S172" s="134">
        <v>0.4911734239220843</v>
      </c>
      <c r="T172" s="134">
        <v>0.4911734239220843</v>
      </c>
      <c r="U172" s="134">
        <v>0.4911734239220843</v>
      </c>
      <c r="V172" s="134">
        <v>0.4911734239220843</v>
      </c>
      <c r="W172" s="134">
        <v>0.4911734239220843</v>
      </c>
      <c r="X172" s="134">
        <v>0.4911734239220843</v>
      </c>
      <c r="Y172" s="134">
        <v>0.4911734239220843</v>
      </c>
      <c r="Z172" s="134">
        <v>0.4911734239220843</v>
      </c>
      <c r="AA172" s="134">
        <v>0.4911734239220843</v>
      </c>
      <c r="AB172" s="134">
        <v>0.4911734239220843</v>
      </c>
      <c r="AC172" s="134">
        <v>0.4911734239220843</v>
      </c>
      <c r="AD172" s="134">
        <v>0.4911734239220843</v>
      </c>
      <c r="AE172" s="134">
        <v>0.4911734239220843</v>
      </c>
      <c r="AF172" s="134">
        <v>0.4911734239220843</v>
      </c>
      <c r="AG172" s="134">
        <v>0.4911734239220843</v>
      </c>
      <c r="AH172" s="134">
        <v>0.4911734239220843</v>
      </c>
      <c r="AI172" s="134">
        <v>0.4911734239220843</v>
      </c>
      <c r="AJ172" s="134">
        <v>0.4911734239220843</v>
      </c>
      <c r="AK172" s="134">
        <v>0.4911734239220843</v>
      </c>
      <c r="AL172" s="134">
        <v>0.4911734239220843</v>
      </c>
      <c r="AM172" s="134">
        <v>0.4911734239220843</v>
      </c>
      <c r="AN172" s="134">
        <v>0.4911734239220843</v>
      </c>
      <c r="AO172" s="134">
        <v>0.4911734239220843</v>
      </c>
      <c r="AP172" s="134">
        <v>0.4911734239220843</v>
      </c>
      <c r="AQ172" s="134">
        <v>0.4911734239220843</v>
      </c>
      <c r="AR172" s="134">
        <v>0.4911734239220843</v>
      </c>
      <c r="AS172" s="134">
        <v>0.4911734239220843</v>
      </c>
      <c r="AT172" s="134">
        <v>0.4911734239220843</v>
      </c>
      <c r="AU172" s="134">
        <v>0.4911734239220843</v>
      </c>
      <c r="AV172" s="134">
        <v>0.4911734239220843</v>
      </c>
      <c r="AW172" s="134">
        <v>0.4911734239220843</v>
      </c>
      <c r="AX172" s="134">
        <v>0.4911734239220843</v>
      </c>
      <c r="AY172" s="134">
        <v>0.4911734239220843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190</v>
      </c>
      <c r="E175" s="124">
        <f t="shared" si="1"/>
        <v>213</v>
      </c>
      <c r="F175" s="124">
        <f t="shared" si="1"/>
        <v>208</v>
      </c>
      <c r="G175" s="124">
        <f t="shared" si="1"/>
        <v>190</v>
      </c>
      <c r="H175" s="124">
        <f t="shared" si="1"/>
        <v>190</v>
      </c>
      <c r="I175" s="124">
        <f t="shared" si="1"/>
        <v>190</v>
      </c>
      <c r="J175" s="124">
        <f t="shared" si="1"/>
        <v>190</v>
      </c>
      <c r="K175" s="124">
        <f t="shared" si="1"/>
        <v>242</v>
      </c>
      <c r="L175" s="124">
        <f t="shared" si="1"/>
        <v>271</v>
      </c>
      <c r="M175" s="124">
        <f t="shared" si="1"/>
        <v>273</v>
      </c>
      <c r="N175" s="124">
        <f t="shared" si="1"/>
        <v>287</v>
      </c>
      <c r="O175" s="124">
        <f t="shared" si="1"/>
        <v>302</v>
      </c>
      <c r="P175" s="124">
        <f t="shared" si="1"/>
        <v>351</v>
      </c>
      <c r="Q175" s="124">
        <f t="shared" si="1"/>
        <v>354</v>
      </c>
      <c r="R175" s="124">
        <f t="shared" si="1"/>
        <v>332</v>
      </c>
      <c r="S175" s="124">
        <f t="shared" si="1"/>
        <v>336</v>
      </c>
      <c r="T175" s="124">
        <f t="shared" si="1"/>
        <v>341</v>
      </c>
      <c r="U175" s="124">
        <f t="shared" si="1"/>
        <v>332</v>
      </c>
      <c r="V175" s="124">
        <f t="shared" si="1"/>
        <v>328</v>
      </c>
      <c r="W175" s="124">
        <f t="shared" si="1"/>
        <v>384</v>
      </c>
      <c r="X175" s="124">
        <f t="shared" si="1"/>
        <v>378</v>
      </c>
      <c r="Y175" s="124">
        <f t="shared" si="1"/>
        <v>396</v>
      </c>
      <c r="Z175" s="124">
        <f t="shared" si="1"/>
        <v>373</v>
      </c>
      <c r="AA175" s="124">
        <f t="shared" si="1"/>
        <v>389</v>
      </c>
      <c r="AB175" s="124">
        <f t="shared" si="1"/>
        <v>399</v>
      </c>
      <c r="AC175" s="124">
        <f t="shared" si="1"/>
        <v>409</v>
      </c>
      <c r="AD175" s="124">
        <f t="shared" si="1"/>
        <v>406</v>
      </c>
      <c r="AE175" s="124">
        <f t="shared" si="1"/>
        <v>389</v>
      </c>
      <c r="AF175" s="124">
        <f t="shared" si="1"/>
        <v>341</v>
      </c>
      <c r="AG175" s="124">
        <f t="shared" si="1"/>
        <v>316</v>
      </c>
      <c r="AH175" s="124">
        <f t="shared" si="1"/>
        <v>289</v>
      </c>
      <c r="AI175" s="124">
        <f t="shared" si="1"/>
        <v>300</v>
      </c>
      <c r="AJ175" s="124">
        <f t="shared" si="1"/>
        <v>282</v>
      </c>
      <c r="AK175" s="124">
        <f t="shared" si="1"/>
        <v>275</v>
      </c>
      <c r="AL175" s="124">
        <f t="shared" si="1"/>
        <v>274</v>
      </c>
      <c r="AM175" s="124">
        <f t="shared" si="1"/>
        <v>299</v>
      </c>
      <c r="AN175" s="124">
        <f t="shared" si="1"/>
        <v>307</v>
      </c>
      <c r="AO175" s="124">
        <f t="shared" si="1"/>
        <v>331</v>
      </c>
      <c r="AP175" s="124">
        <f t="shared" si="1"/>
        <v>293</v>
      </c>
      <c r="AQ175" s="124">
        <f t="shared" si="1"/>
        <v>260</v>
      </c>
      <c r="AR175" s="124">
        <f t="shared" si="1"/>
        <v>242</v>
      </c>
      <c r="AS175" s="124">
        <f t="shared" si="1"/>
        <v>234</v>
      </c>
      <c r="AT175" s="124">
        <f t="shared" si="1"/>
        <v>231</v>
      </c>
      <c r="AU175" s="124">
        <f t="shared" si="1"/>
        <v>240</v>
      </c>
      <c r="AV175" s="124">
        <f t="shared" si="1"/>
        <v>204.00000000000003</v>
      </c>
      <c r="AW175" s="124">
        <f t="shared" si="1"/>
        <v>154.00000000000006</v>
      </c>
      <c r="AX175" s="124">
        <f t="shared" si="1"/>
        <v>155.00000000000009</v>
      </c>
      <c r="AY175" s="124">
        <f t="shared" si="1"/>
        <v>79.3614763376425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195</v>
      </c>
      <c r="F176" s="125">
        <v>208</v>
      </c>
      <c r="G176" s="125">
        <v>190</v>
      </c>
      <c r="H176" s="125">
        <v>190</v>
      </c>
      <c r="I176" s="125">
        <v>190</v>
      </c>
      <c r="J176" s="125">
        <v>138</v>
      </c>
      <c r="K176" s="125">
        <v>161</v>
      </c>
      <c r="L176" s="125">
        <v>188</v>
      </c>
      <c r="M176" s="125">
        <v>176</v>
      </c>
      <c r="N176" s="125">
        <v>175</v>
      </c>
      <c r="O176" s="125">
        <v>141</v>
      </c>
      <c r="P176" s="125">
        <v>187</v>
      </c>
      <c r="Q176" s="125">
        <v>212</v>
      </c>
      <c r="R176" s="125">
        <v>186</v>
      </c>
      <c r="S176" s="125">
        <v>185</v>
      </c>
      <c r="T176" s="125">
        <v>199</v>
      </c>
      <c r="U176" s="125">
        <v>194</v>
      </c>
      <c r="V176" s="125">
        <v>134</v>
      </c>
      <c r="W176" s="125">
        <v>196</v>
      </c>
      <c r="X176" s="125">
        <v>172</v>
      </c>
      <c r="Y176" s="125">
        <v>213</v>
      </c>
      <c r="Z176" s="125">
        <v>174</v>
      </c>
      <c r="AA176" s="125">
        <v>180</v>
      </c>
      <c r="AB176" s="125">
        <v>180</v>
      </c>
      <c r="AC176" s="125">
        <v>193</v>
      </c>
      <c r="AD176" s="125">
        <v>207</v>
      </c>
      <c r="AE176" s="125">
        <v>238</v>
      </c>
      <c r="AF176" s="125">
        <v>215</v>
      </c>
      <c r="AG176" s="125">
        <v>217</v>
      </c>
      <c r="AH176" s="125">
        <v>179</v>
      </c>
      <c r="AI176" s="125">
        <v>208</v>
      </c>
      <c r="AJ176" s="125">
        <v>197</v>
      </c>
      <c r="AK176" s="125">
        <v>191</v>
      </c>
      <c r="AL176" s="125">
        <v>165</v>
      </c>
      <c r="AM176" s="125">
        <v>182</v>
      </c>
      <c r="AN176" s="125">
        <v>166</v>
      </c>
      <c r="AO176" s="125">
        <v>228</v>
      </c>
      <c r="AP176" s="125">
        <v>223</v>
      </c>
      <c r="AQ176" s="125">
        <v>208</v>
      </c>
      <c r="AR176" s="125">
        <v>198</v>
      </c>
      <c r="AS176" s="125">
        <v>193</v>
      </c>
      <c r="AT176" s="125">
        <v>181</v>
      </c>
      <c r="AU176" s="125">
        <v>188</v>
      </c>
      <c r="AV176" s="125">
        <v>202</v>
      </c>
      <c r="AW176" s="125">
        <v>151</v>
      </c>
      <c r="AX176" s="125">
        <v>155.00000000000009</v>
      </c>
      <c r="AY176" s="125">
        <v>79.3614763376425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313.21376972767348</v>
      </c>
      <c r="E177" s="124">
        <f t="shared" si="2"/>
        <v>178.8339637596151</v>
      </c>
      <c r="F177" s="124">
        <f t="shared" si="2"/>
        <v>325.21376972767325</v>
      </c>
      <c r="G177" s="124">
        <f t="shared" si="2"/>
        <v>281.21376972767325</v>
      </c>
      <c r="H177" s="124">
        <f t="shared" si="2"/>
        <v>257.21376972767325</v>
      </c>
      <c r="I177" s="124">
        <f t="shared" si="2"/>
        <v>270.21376972767325</v>
      </c>
      <c r="J177" s="124">
        <f t="shared" si="2"/>
        <v>282.21376972767325</v>
      </c>
      <c r="K177" s="124">
        <f t="shared" si="2"/>
        <v>274.21376972767325</v>
      </c>
      <c r="L177" s="124">
        <f t="shared" si="2"/>
        <v>264.21376972767325</v>
      </c>
      <c r="M177" s="124">
        <f t="shared" si="2"/>
        <v>223.21376972767322</v>
      </c>
      <c r="N177" s="124">
        <f t="shared" si="2"/>
        <v>205.21376972767322</v>
      </c>
      <c r="O177" s="124">
        <f t="shared" si="2"/>
        <v>48.833963759614889</v>
      </c>
      <c r="P177" s="124">
        <f t="shared" si="2"/>
        <v>170</v>
      </c>
      <c r="Q177" s="124">
        <f t="shared" si="2"/>
        <v>170</v>
      </c>
      <c r="R177" s="124">
        <f t="shared" si="2"/>
        <v>315.37980596805835</v>
      </c>
      <c r="S177" s="124">
        <f t="shared" si="2"/>
        <v>120.00000000000001</v>
      </c>
      <c r="T177" s="124">
        <f t="shared" si="2"/>
        <v>315.37980596805835</v>
      </c>
      <c r="U177" s="124">
        <f t="shared" si="2"/>
        <v>281.37980596805835</v>
      </c>
      <c r="V177" s="124">
        <f t="shared" si="2"/>
        <v>270.37980596805835</v>
      </c>
      <c r="W177" s="124">
        <f t="shared" si="2"/>
        <v>254.37980596805835</v>
      </c>
      <c r="X177" s="124">
        <f t="shared" si="2"/>
        <v>248.37980596805835</v>
      </c>
      <c r="Y177" s="124">
        <f t="shared" si="2"/>
        <v>210.37980596805835</v>
      </c>
      <c r="Z177" s="124">
        <f t="shared" si="2"/>
        <v>216.37980596805835</v>
      </c>
      <c r="AA177" s="124">
        <f t="shared" si="2"/>
        <v>183.37980596805835</v>
      </c>
      <c r="AB177" s="124">
        <f t="shared" si="2"/>
        <v>209.37980596805835</v>
      </c>
      <c r="AC177" s="124">
        <f t="shared" si="2"/>
        <v>223.37980596805835</v>
      </c>
      <c r="AD177" s="124">
        <f t="shared" si="2"/>
        <v>193.37980596805835</v>
      </c>
      <c r="AE177" s="124">
        <f t="shared" si="2"/>
        <v>195.37980596805835</v>
      </c>
      <c r="AF177" s="124">
        <f t="shared" si="2"/>
        <v>229.37980596805835</v>
      </c>
      <c r="AG177" s="124">
        <f t="shared" si="2"/>
        <v>57.000000000000014</v>
      </c>
      <c r="AH177" s="124">
        <f t="shared" si="2"/>
        <v>315.37980596805835</v>
      </c>
      <c r="AI177" s="124">
        <f t="shared" si="2"/>
        <v>266.37980596805835</v>
      </c>
      <c r="AJ177" s="124">
        <f t="shared" si="2"/>
        <v>282.37980596805835</v>
      </c>
      <c r="AK177" s="124">
        <f t="shared" si="2"/>
        <v>234.37980596805835</v>
      </c>
      <c r="AL177" s="124">
        <f t="shared" si="2"/>
        <v>215.37980596805835</v>
      </c>
      <c r="AM177" s="124">
        <f t="shared" si="2"/>
        <v>70.000000000000014</v>
      </c>
      <c r="AN177" s="124">
        <f t="shared" si="2"/>
        <v>315.37980596805835</v>
      </c>
      <c r="AO177" s="124">
        <f t="shared" si="2"/>
        <v>303.37980596805835</v>
      </c>
      <c r="AP177" s="124">
        <f t="shared" si="2"/>
        <v>299.37980596805835</v>
      </c>
      <c r="AQ177" s="124">
        <f t="shared" si="2"/>
        <v>166</v>
      </c>
      <c r="AR177" s="124">
        <f t="shared" si="2"/>
        <v>315.37980596805835</v>
      </c>
      <c r="AS177" s="124">
        <f t="shared" si="2"/>
        <v>112.00000000000001</v>
      </c>
      <c r="AT177" s="124">
        <f t="shared" si="2"/>
        <v>170</v>
      </c>
      <c r="AU177" s="124">
        <f t="shared" si="2"/>
        <v>145.37980596805835</v>
      </c>
      <c r="AV177" s="124">
        <f t="shared" si="2"/>
        <v>170</v>
      </c>
      <c r="AW177" s="124">
        <f t="shared" si="2"/>
        <v>12.310097015970831</v>
      </c>
      <c r="AX177" s="124">
        <f t="shared" si="2"/>
        <v>135.99999999999997</v>
      </c>
      <c r="AY177" s="124">
        <f t="shared" si="2"/>
        <v>219.24038806388333</v>
      </c>
    </row>
    <row r="178" spans="1:51">
      <c r="A178" s="125"/>
      <c r="B178" s="136" t="s">
        <v>299</v>
      </c>
      <c r="C178" s="125" t="s">
        <v>293</v>
      </c>
      <c r="D178" s="125">
        <v>159</v>
      </c>
      <c r="E178" s="125">
        <v>169</v>
      </c>
      <c r="F178" s="125">
        <v>214</v>
      </c>
      <c r="G178" s="125">
        <v>194</v>
      </c>
      <c r="H178" s="125">
        <v>157</v>
      </c>
      <c r="I178" s="125">
        <v>158</v>
      </c>
      <c r="J178" s="125">
        <v>178</v>
      </c>
      <c r="K178" s="125">
        <v>180</v>
      </c>
      <c r="L178" s="125">
        <v>211</v>
      </c>
      <c r="M178" s="125">
        <v>188</v>
      </c>
      <c r="N178" s="125">
        <v>181</v>
      </c>
      <c r="O178" s="125">
        <v>48.833963759614889</v>
      </c>
      <c r="P178" s="125">
        <v>170</v>
      </c>
      <c r="Q178" s="125">
        <v>170</v>
      </c>
      <c r="R178" s="125">
        <v>220</v>
      </c>
      <c r="S178" s="125">
        <v>120.00000000000001</v>
      </c>
      <c r="T178" s="125">
        <v>204</v>
      </c>
      <c r="U178" s="125">
        <v>181</v>
      </c>
      <c r="V178" s="125">
        <v>186</v>
      </c>
      <c r="W178" s="125">
        <v>176</v>
      </c>
      <c r="X178" s="125">
        <v>208</v>
      </c>
      <c r="Y178" s="125">
        <v>164</v>
      </c>
      <c r="Z178" s="125">
        <v>203</v>
      </c>
      <c r="AA178" s="125">
        <v>144</v>
      </c>
      <c r="AB178" s="125">
        <v>156</v>
      </c>
      <c r="AC178" s="125">
        <v>200</v>
      </c>
      <c r="AD178" s="125">
        <v>168</v>
      </c>
      <c r="AE178" s="125">
        <v>136</v>
      </c>
      <c r="AF178" s="125">
        <v>197</v>
      </c>
      <c r="AG178" s="125">
        <v>57.000000000000014</v>
      </c>
      <c r="AH178" s="125">
        <v>219</v>
      </c>
      <c r="AI178" s="125">
        <v>154</v>
      </c>
      <c r="AJ178" s="125">
        <v>218</v>
      </c>
      <c r="AK178" s="125">
        <v>189</v>
      </c>
      <c r="AL178" s="125">
        <v>170</v>
      </c>
      <c r="AM178" s="125">
        <v>70.000000000000014</v>
      </c>
      <c r="AN178" s="125">
        <v>182</v>
      </c>
      <c r="AO178" s="125">
        <v>174</v>
      </c>
      <c r="AP178" s="125">
        <v>158</v>
      </c>
      <c r="AQ178" s="125">
        <v>166</v>
      </c>
      <c r="AR178" s="125">
        <v>228</v>
      </c>
      <c r="AS178" s="125">
        <v>112.00000000000001</v>
      </c>
      <c r="AT178" s="125">
        <v>170</v>
      </c>
      <c r="AU178" s="125">
        <v>145.37980596805835</v>
      </c>
      <c r="AV178" s="125">
        <v>170</v>
      </c>
      <c r="AW178" s="125">
        <v>12.310097015970831</v>
      </c>
      <c r="AX178" s="125">
        <v>135.99999999999997</v>
      </c>
      <c r="AY178" s="125">
        <v>155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50.730309591770904</v>
      </c>
      <c r="E179" s="124">
        <f t="shared" si="3"/>
        <v>190.76704158882714</v>
      </c>
      <c r="F179" s="124">
        <f t="shared" si="3"/>
        <v>73.153914992277009</v>
      </c>
      <c r="G179" s="124">
        <f t="shared" si="3"/>
        <v>222.61312659654996</v>
      </c>
      <c r="H179" s="124">
        <f t="shared" si="3"/>
        <v>217.58711252542446</v>
      </c>
      <c r="I179" s="124">
        <f t="shared" si="3"/>
        <v>194.58945005688975</v>
      </c>
      <c r="J179" s="124">
        <f t="shared" si="3"/>
        <v>162.58945005688969</v>
      </c>
      <c r="K179" s="124">
        <f t="shared" si="3"/>
        <v>149.21665489166733</v>
      </c>
      <c r="L179" s="124">
        <f t="shared" si="3"/>
        <v>160.21665489166728</v>
      </c>
      <c r="M179" s="124">
        <f t="shared" si="3"/>
        <v>149.21665489166725</v>
      </c>
      <c r="N179" s="124">
        <f t="shared" si="3"/>
        <v>153.21665489166719</v>
      </c>
      <c r="O179" s="124">
        <f t="shared" si="3"/>
        <v>121.21665489166716</v>
      </c>
      <c r="P179" s="124">
        <f t="shared" si="3"/>
        <v>17.386873403449862</v>
      </c>
      <c r="Q179" s="124">
        <f t="shared" si="3"/>
        <v>119.99999999999997</v>
      </c>
      <c r="R179" s="124">
        <f t="shared" si="3"/>
        <v>119.99999999999994</v>
      </c>
      <c r="S179" s="124">
        <f t="shared" si="3"/>
        <v>222.61312659655005</v>
      </c>
      <c r="T179" s="124">
        <f t="shared" si="3"/>
        <v>158.74173190281073</v>
      </c>
      <c r="U179" s="124">
        <f t="shared" si="3"/>
        <v>222.61312659655005</v>
      </c>
      <c r="V179" s="124">
        <f t="shared" si="3"/>
        <v>207.88807246995276</v>
      </c>
      <c r="W179" s="124">
        <f t="shared" si="3"/>
        <v>215.88807246995273</v>
      </c>
      <c r="X179" s="124">
        <f t="shared" si="3"/>
        <v>180.88807246995268</v>
      </c>
      <c r="Y179" s="124">
        <f t="shared" si="3"/>
        <v>142.88807246995265</v>
      </c>
      <c r="Z179" s="124">
        <f t="shared" si="3"/>
        <v>122.88807246995259</v>
      </c>
      <c r="AA179" s="124">
        <f t="shared" si="3"/>
        <v>119.99999999999997</v>
      </c>
      <c r="AB179" s="124">
        <f t="shared" si="3"/>
        <v>119.99999999999994</v>
      </c>
      <c r="AC179" s="124">
        <f t="shared" si="3"/>
        <v>119.99999999999997</v>
      </c>
      <c r="AD179" s="124">
        <f t="shared" si="3"/>
        <v>119.99999999999994</v>
      </c>
      <c r="AE179" s="124">
        <f t="shared" si="3"/>
        <v>128.99999999999991</v>
      </c>
      <c r="AF179" s="124">
        <f t="shared" si="3"/>
        <v>119.99999999999994</v>
      </c>
      <c r="AG179" s="124">
        <f t="shared" si="3"/>
        <v>119.99999999999997</v>
      </c>
      <c r="AH179" s="124">
        <f t="shared" si="3"/>
        <v>17.386873403449862</v>
      </c>
      <c r="AI179" s="124">
        <f t="shared" si="3"/>
        <v>222.61312659655005</v>
      </c>
      <c r="AJ179" s="124">
        <f t="shared" si="3"/>
        <v>244.00536256913313</v>
      </c>
      <c r="AK179" s="124">
        <f t="shared" si="3"/>
        <v>223.0053625691331</v>
      </c>
      <c r="AL179" s="124">
        <f t="shared" si="3"/>
        <v>188.00536256913304</v>
      </c>
      <c r="AM179" s="124">
        <f t="shared" si="3"/>
        <v>154.00536256913301</v>
      </c>
      <c r="AN179" s="124">
        <f t="shared" si="3"/>
        <v>30.755872336219248</v>
      </c>
      <c r="AO179" s="124">
        <f t="shared" si="3"/>
        <v>222.61312659655005</v>
      </c>
      <c r="AP179" s="124">
        <f t="shared" si="3"/>
        <v>229.83777569740096</v>
      </c>
      <c r="AQ179" s="124">
        <f t="shared" si="3"/>
        <v>219.83777569740096</v>
      </c>
      <c r="AR179" s="124">
        <f t="shared" si="3"/>
        <v>80.045371530808978</v>
      </c>
      <c r="AS179" s="124">
        <f t="shared" si="3"/>
        <v>222.61312659655005</v>
      </c>
      <c r="AT179" s="124">
        <f t="shared" si="3"/>
        <v>121.57577425618496</v>
      </c>
      <c r="AU179" s="124">
        <f t="shared" si="3"/>
        <v>119.99999999999997</v>
      </c>
      <c r="AV179" s="124">
        <f t="shared" si="3"/>
        <v>102.62237956496975</v>
      </c>
      <c r="AW179" s="124">
        <f t="shared" si="3"/>
        <v>119.99999999999997</v>
      </c>
      <c r="AX179" s="124">
        <f t="shared" si="3"/>
        <v>8.6980631859347621</v>
      </c>
      <c r="AY179" s="124">
        <f t="shared" si="3"/>
        <v>96.001850593683926</v>
      </c>
    </row>
    <row r="180" spans="1:51">
      <c r="A180" s="125"/>
      <c r="B180" s="136" t="s">
        <v>299</v>
      </c>
      <c r="C180" s="125" t="s">
        <v>293</v>
      </c>
      <c r="D180" s="125">
        <v>50.730309591770904</v>
      </c>
      <c r="E180" s="125">
        <v>135</v>
      </c>
      <c r="F180" s="125">
        <v>73.153914992277009</v>
      </c>
      <c r="G180" s="125">
        <v>148</v>
      </c>
      <c r="H180" s="125">
        <v>146</v>
      </c>
      <c r="I180" s="125">
        <v>152</v>
      </c>
      <c r="J180" s="125">
        <v>135</v>
      </c>
      <c r="K180" s="125">
        <v>109</v>
      </c>
      <c r="L180" s="125">
        <v>131</v>
      </c>
      <c r="M180" s="125">
        <v>116</v>
      </c>
      <c r="N180" s="125">
        <v>152</v>
      </c>
      <c r="O180" s="125">
        <v>121.21665489166716</v>
      </c>
      <c r="P180" s="125">
        <v>17.386873403449862</v>
      </c>
      <c r="Q180" s="125">
        <v>119.99999999999997</v>
      </c>
      <c r="R180" s="125">
        <v>119.99999999999994</v>
      </c>
      <c r="S180" s="125">
        <v>126.25663716814159</v>
      </c>
      <c r="T180" s="125">
        <v>158.74173190281073</v>
      </c>
      <c r="U180" s="125">
        <v>159</v>
      </c>
      <c r="V180" s="125">
        <v>112</v>
      </c>
      <c r="W180" s="125">
        <v>155</v>
      </c>
      <c r="X180" s="125">
        <v>158</v>
      </c>
      <c r="Y180" s="125">
        <v>140</v>
      </c>
      <c r="Z180" s="125">
        <v>122.88807246995259</v>
      </c>
      <c r="AA180" s="125">
        <v>119.99999999999997</v>
      </c>
      <c r="AB180" s="125">
        <v>119.99999999999994</v>
      </c>
      <c r="AC180" s="125">
        <v>119.99999999999997</v>
      </c>
      <c r="AD180" s="125">
        <v>111</v>
      </c>
      <c r="AE180" s="125">
        <v>128.99999999999991</v>
      </c>
      <c r="AF180" s="125">
        <v>119.99999999999994</v>
      </c>
      <c r="AG180" s="125">
        <v>119.99999999999997</v>
      </c>
      <c r="AH180" s="125">
        <v>17.386873403449862</v>
      </c>
      <c r="AI180" s="125">
        <v>130</v>
      </c>
      <c r="AJ180" s="125">
        <v>141</v>
      </c>
      <c r="AK180" s="125">
        <v>155</v>
      </c>
      <c r="AL180" s="125">
        <v>154</v>
      </c>
      <c r="AM180" s="125">
        <v>140.63636363636363</v>
      </c>
      <c r="AN180" s="125">
        <v>30.755872336219248</v>
      </c>
      <c r="AO180" s="125">
        <v>148</v>
      </c>
      <c r="AP180" s="125">
        <v>130</v>
      </c>
      <c r="AQ180" s="125">
        <v>157.17927757004182</v>
      </c>
      <c r="AR180" s="125">
        <v>80.045371530808978</v>
      </c>
      <c r="AS180" s="125">
        <v>149.00858895705522</v>
      </c>
      <c r="AT180" s="125">
        <v>121.57577425618496</v>
      </c>
      <c r="AU180" s="125">
        <v>119.99999999999997</v>
      </c>
      <c r="AV180" s="125">
        <v>102.62237956496975</v>
      </c>
      <c r="AW180" s="125">
        <v>119.99999999999997</v>
      </c>
      <c r="AX180" s="125">
        <v>8.6980631859347621</v>
      </c>
      <c r="AY180" s="125">
        <v>96.001850593683926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197.6233563800354</v>
      </c>
      <c r="E181" s="124">
        <f t="shared" si="4"/>
        <v>18.011771060278242</v>
      </c>
      <c r="F181" s="124">
        <f t="shared" si="4"/>
        <v>230.61401427551701</v>
      </c>
      <c r="G181" s="124">
        <f t="shared" si="4"/>
        <v>148.11258139231413</v>
      </c>
      <c r="H181" s="124">
        <f t="shared" si="4"/>
        <v>127.42313652874644</v>
      </c>
      <c r="I181" s="124">
        <f t="shared" si="4"/>
        <v>124.31289266789764</v>
      </c>
      <c r="J181" s="124">
        <f t="shared" si="4"/>
        <v>125.99858050101766</v>
      </c>
      <c r="K181" s="124">
        <f t="shared" si="4"/>
        <v>124.31289266789764</v>
      </c>
      <c r="L181" s="124">
        <f t="shared" si="4"/>
        <v>124.31289266789767</v>
      </c>
      <c r="M181" s="124">
        <f t="shared" si="4"/>
        <v>124.31289266789764</v>
      </c>
      <c r="N181" s="124">
        <f t="shared" si="4"/>
        <v>124.31289266789767</v>
      </c>
      <c r="O181" s="124">
        <f t="shared" si="4"/>
        <v>18.011771060278235</v>
      </c>
      <c r="P181" s="124">
        <f t="shared" si="4"/>
        <v>124.31289266789767</v>
      </c>
      <c r="Q181" s="124">
        <f t="shared" si="4"/>
        <v>124.31289266789764</v>
      </c>
      <c r="R181" s="124">
        <f t="shared" si="4"/>
        <v>230.61401427551709</v>
      </c>
      <c r="S181" s="124">
        <f t="shared" si="4"/>
        <v>64.627416264842864</v>
      </c>
      <c r="T181" s="124">
        <f t="shared" si="4"/>
        <v>230.61401427551709</v>
      </c>
      <c r="U181" s="124">
        <f t="shared" si="4"/>
        <v>149.46029884189221</v>
      </c>
      <c r="V181" s="124">
        <f t="shared" si="4"/>
        <v>124.31289266789767</v>
      </c>
      <c r="W181" s="124">
        <f t="shared" si="4"/>
        <v>124.31289266789764</v>
      </c>
      <c r="X181" s="124">
        <f t="shared" si="4"/>
        <v>124.31289266789767</v>
      </c>
      <c r="Y181" s="124">
        <f t="shared" si="4"/>
        <v>124.31289266789764</v>
      </c>
      <c r="Z181" s="124">
        <f t="shared" si="4"/>
        <v>124.31289266789767</v>
      </c>
      <c r="AA181" s="124">
        <f t="shared" si="4"/>
        <v>124.31289266789764</v>
      </c>
      <c r="AB181" s="124">
        <f t="shared" si="4"/>
        <v>124.31289266789767</v>
      </c>
      <c r="AC181" s="124">
        <f t="shared" si="4"/>
        <v>124.31289266789764</v>
      </c>
      <c r="AD181" s="124">
        <f t="shared" si="4"/>
        <v>124.31289266789767</v>
      </c>
      <c r="AE181" s="124">
        <f t="shared" si="4"/>
        <v>124.31289266789764</v>
      </c>
      <c r="AF181" s="124">
        <f t="shared" si="4"/>
        <v>124.31289266789767</v>
      </c>
      <c r="AG181" s="124">
        <f t="shared" si="4"/>
        <v>18.011771060278235</v>
      </c>
      <c r="AH181" s="124">
        <f t="shared" si="4"/>
        <v>230.61401427551709</v>
      </c>
      <c r="AI181" s="124">
        <f t="shared" si="4"/>
        <v>156.8333898434397</v>
      </c>
      <c r="AJ181" s="124">
        <f t="shared" si="4"/>
        <v>124.31289266789767</v>
      </c>
      <c r="AK181" s="124">
        <f t="shared" si="4"/>
        <v>124.31289266789764</v>
      </c>
      <c r="AL181" s="124">
        <f t="shared" si="4"/>
        <v>124.31289266789767</v>
      </c>
      <c r="AM181" s="124">
        <f t="shared" si="4"/>
        <v>18.011771060278235</v>
      </c>
      <c r="AN181" s="124">
        <f t="shared" si="4"/>
        <v>230.61401427551709</v>
      </c>
      <c r="AO181" s="124">
        <f t="shared" si="4"/>
        <v>160.80354285905133</v>
      </c>
      <c r="AP181" s="124">
        <f t="shared" si="4"/>
        <v>124.31289266789769</v>
      </c>
      <c r="AQ181" s="124">
        <f t="shared" si="4"/>
        <v>18.011771060278235</v>
      </c>
      <c r="AR181" s="124">
        <f t="shared" si="4"/>
        <v>230.61401427551709</v>
      </c>
      <c r="AS181" s="124">
        <f t="shared" si="4"/>
        <v>49.695359905641048</v>
      </c>
      <c r="AT181" s="124">
        <f t="shared" si="4"/>
        <v>124.31289266789767</v>
      </c>
      <c r="AU181" s="124">
        <f t="shared" si="4"/>
        <v>106.31070713486952</v>
      </c>
      <c r="AV181" s="124">
        <f t="shared" si="4"/>
        <v>124.31289266789767</v>
      </c>
      <c r="AW181" s="124">
        <f t="shared" si="4"/>
        <v>9.0106782937641707</v>
      </c>
      <c r="AX181" s="124">
        <f t="shared" si="4"/>
        <v>99.452231239768182</v>
      </c>
      <c r="AY181" s="124">
        <f t="shared" si="4"/>
        <v>160.31726373395392</v>
      </c>
    </row>
    <row r="182" spans="1:51">
      <c r="A182" s="125"/>
      <c r="B182" s="136" t="s">
        <v>299</v>
      </c>
      <c r="C182" s="125" t="s">
        <v>293</v>
      </c>
      <c r="D182" s="125">
        <v>197.6233563800354</v>
      </c>
      <c r="E182" s="125">
        <v>18.011771060278242</v>
      </c>
      <c r="F182" s="125">
        <v>183.84033962222597</v>
      </c>
      <c r="G182" s="125">
        <v>142</v>
      </c>
      <c r="H182" s="125">
        <v>127.42313652874644</v>
      </c>
      <c r="I182" s="125">
        <v>121</v>
      </c>
      <c r="J182" s="125">
        <v>125.99858050101766</v>
      </c>
      <c r="K182" s="125">
        <v>124.31289266789764</v>
      </c>
      <c r="L182" s="125">
        <v>124.31289266789767</v>
      </c>
      <c r="M182" s="125">
        <v>124.31289266789764</v>
      </c>
      <c r="N182" s="125">
        <v>124.31289266789767</v>
      </c>
      <c r="O182" s="125">
        <v>18.011771060278235</v>
      </c>
      <c r="P182" s="125">
        <v>124.31289266789767</v>
      </c>
      <c r="Q182" s="125">
        <v>124.31289266789764</v>
      </c>
      <c r="R182" s="125">
        <v>139.00000000000003</v>
      </c>
      <c r="S182" s="125">
        <v>64.627416264842864</v>
      </c>
      <c r="T182" s="125">
        <v>181.19166222811972</v>
      </c>
      <c r="U182" s="125">
        <v>149.46029884189221</v>
      </c>
      <c r="V182" s="125">
        <v>124.31289266789767</v>
      </c>
      <c r="W182" s="125">
        <v>124.31289266789764</v>
      </c>
      <c r="X182" s="125">
        <v>124.31289266789767</v>
      </c>
      <c r="Y182" s="125">
        <v>124.31289266789764</v>
      </c>
      <c r="Z182" s="125">
        <v>124.31289266789767</v>
      </c>
      <c r="AA182" s="125">
        <v>124.31289266789764</v>
      </c>
      <c r="AB182" s="125">
        <v>124.31289266789767</v>
      </c>
      <c r="AC182" s="125">
        <v>124.31289266789764</v>
      </c>
      <c r="AD182" s="125">
        <v>124.31289266789767</v>
      </c>
      <c r="AE182" s="125">
        <v>124.31289266789764</v>
      </c>
      <c r="AF182" s="125">
        <v>124.31289266789767</v>
      </c>
      <c r="AG182" s="125">
        <v>18.011771060278235</v>
      </c>
      <c r="AH182" s="125">
        <v>166.70128112739189</v>
      </c>
      <c r="AI182" s="125">
        <v>156.8333898434397</v>
      </c>
      <c r="AJ182" s="125">
        <v>124.31289266789767</v>
      </c>
      <c r="AK182" s="125">
        <v>124.31289266789764</v>
      </c>
      <c r="AL182" s="125">
        <v>124.31289266789767</v>
      </c>
      <c r="AM182" s="125">
        <v>18.011771060278235</v>
      </c>
      <c r="AN182" s="125">
        <v>158.89871498351241</v>
      </c>
      <c r="AO182" s="125">
        <v>160.80354285905133</v>
      </c>
      <c r="AP182" s="125">
        <v>124.31289266789769</v>
      </c>
      <c r="AQ182" s="125">
        <v>18.011771060278235</v>
      </c>
      <c r="AR182" s="125">
        <v>168.34606221691399</v>
      </c>
      <c r="AS182" s="125">
        <v>49.695359905641048</v>
      </c>
      <c r="AT182" s="125">
        <v>124.31289266789767</v>
      </c>
      <c r="AU182" s="125">
        <v>106.31070713486952</v>
      </c>
      <c r="AV182" s="125">
        <v>124.31289266789767</v>
      </c>
      <c r="AW182" s="125">
        <v>9.0106782937641707</v>
      </c>
      <c r="AX182" s="125">
        <v>99.452231239768182</v>
      </c>
      <c r="AY182" s="125">
        <v>160.31726373395392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190.00000000000003</v>
      </c>
      <c r="D185" s="124">
        <v>167</v>
      </c>
      <c r="E185" s="124">
        <v>172</v>
      </c>
      <c r="F185" s="124">
        <v>190</v>
      </c>
      <c r="G185" s="124">
        <v>190</v>
      </c>
      <c r="H185" s="124">
        <v>190</v>
      </c>
      <c r="I185" s="124">
        <v>190</v>
      </c>
      <c r="J185" s="124">
        <v>138</v>
      </c>
      <c r="K185" s="124">
        <v>109</v>
      </c>
      <c r="L185" s="124">
        <v>107</v>
      </c>
      <c r="M185" s="124">
        <v>93</v>
      </c>
      <c r="N185" s="124">
        <v>78</v>
      </c>
      <c r="O185" s="124">
        <v>29</v>
      </c>
      <c r="P185" s="124">
        <v>26</v>
      </c>
      <c r="Q185" s="124">
        <v>48</v>
      </c>
      <c r="R185" s="124">
        <v>44</v>
      </c>
      <c r="S185" s="124">
        <v>39</v>
      </c>
      <c r="T185" s="124">
        <v>48</v>
      </c>
      <c r="U185" s="124">
        <v>52</v>
      </c>
      <c r="V185" s="124">
        <v>0</v>
      </c>
      <c r="W185" s="124">
        <v>2</v>
      </c>
      <c r="X185" s="124">
        <v>0</v>
      </c>
      <c r="Y185" s="124">
        <v>7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39</v>
      </c>
      <c r="AF185" s="124">
        <v>64</v>
      </c>
      <c r="AG185" s="124">
        <v>91</v>
      </c>
      <c r="AH185" s="124">
        <v>80</v>
      </c>
      <c r="AI185" s="124">
        <v>98</v>
      </c>
      <c r="AJ185" s="124">
        <v>105</v>
      </c>
      <c r="AK185" s="124">
        <v>106</v>
      </c>
      <c r="AL185" s="124">
        <v>81</v>
      </c>
      <c r="AM185" s="124">
        <v>73</v>
      </c>
      <c r="AN185" s="124">
        <v>49</v>
      </c>
      <c r="AO185" s="124">
        <v>87</v>
      </c>
      <c r="AP185" s="124">
        <v>120</v>
      </c>
      <c r="AQ185" s="124">
        <v>138</v>
      </c>
      <c r="AR185" s="124">
        <v>146</v>
      </c>
      <c r="AS185" s="124">
        <v>149</v>
      </c>
      <c r="AT185" s="124">
        <v>140</v>
      </c>
      <c r="AU185" s="124">
        <v>138</v>
      </c>
      <c r="AV185" s="124">
        <v>150</v>
      </c>
      <c r="AW185" s="124">
        <v>148.99999999999997</v>
      </c>
      <c r="AX185" s="124">
        <v>152.00000000000003</v>
      </c>
      <c r="AY185" s="124">
        <v>79.3614763376425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23</v>
      </c>
      <c r="F186" s="106">
        <v>18</v>
      </c>
      <c r="G186" s="106">
        <v>0</v>
      </c>
      <c r="H186" s="106">
        <v>0</v>
      </c>
      <c r="I186" s="106">
        <v>0</v>
      </c>
      <c r="J186" s="106">
        <v>0</v>
      </c>
      <c r="K186" s="106">
        <v>52</v>
      </c>
      <c r="L186" s="106">
        <v>81</v>
      </c>
      <c r="M186" s="106">
        <v>83</v>
      </c>
      <c r="N186" s="106">
        <v>97</v>
      </c>
      <c r="O186" s="106">
        <v>112</v>
      </c>
      <c r="P186" s="106">
        <v>161</v>
      </c>
      <c r="Q186" s="106">
        <v>164</v>
      </c>
      <c r="R186" s="106">
        <v>142</v>
      </c>
      <c r="S186" s="106">
        <v>146</v>
      </c>
      <c r="T186" s="106">
        <v>151</v>
      </c>
      <c r="U186" s="106">
        <v>142</v>
      </c>
      <c r="V186" s="106">
        <v>134</v>
      </c>
      <c r="W186" s="106">
        <v>190</v>
      </c>
      <c r="X186" s="106">
        <v>172</v>
      </c>
      <c r="Y186" s="106">
        <v>190</v>
      </c>
      <c r="Z186" s="106">
        <v>174</v>
      </c>
      <c r="AA186" s="106">
        <v>171</v>
      </c>
      <c r="AB186" s="106">
        <v>161</v>
      </c>
      <c r="AC186" s="106">
        <v>164</v>
      </c>
      <c r="AD186" s="106">
        <v>181</v>
      </c>
      <c r="AE186" s="106">
        <v>190</v>
      </c>
      <c r="AF186" s="106">
        <v>151</v>
      </c>
      <c r="AG186" s="106">
        <v>126</v>
      </c>
      <c r="AH186" s="106">
        <v>99</v>
      </c>
      <c r="AI186" s="106">
        <v>110</v>
      </c>
      <c r="AJ186" s="106">
        <v>92</v>
      </c>
      <c r="AK186" s="106">
        <v>85</v>
      </c>
      <c r="AL186" s="106">
        <v>84</v>
      </c>
      <c r="AM186" s="106">
        <v>109</v>
      </c>
      <c r="AN186" s="106">
        <v>117</v>
      </c>
      <c r="AO186" s="106">
        <v>141</v>
      </c>
      <c r="AP186" s="106">
        <v>103</v>
      </c>
      <c r="AQ186" s="106">
        <v>70</v>
      </c>
      <c r="AR186" s="106">
        <v>52</v>
      </c>
      <c r="AS186" s="106">
        <v>44</v>
      </c>
      <c r="AT186" s="106">
        <v>41</v>
      </c>
      <c r="AU186" s="106">
        <v>50</v>
      </c>
      <c r="AV186" s="106">
        <v>52</v>
      </c>
      <c r="AW186" s="106">
        <v>2.0000000000000284</v>
      </c>
      <c r="AX186" s="106">
        <v>3.0000000000000568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4</v>
      </c>
      <c r="X187" s="106">
        <v>0</v>
      </c>
      <c r="Y187" s="106">
        <v>16</v>
      </c>
      <c r="Z187" s="106">
        <v>0</v>
      </c>
      <c r="AA187" s="106">
        <v>9</v>
      </c>
      <c r="AB187" s="106">
        <v>19</v>
      </c>
      <c r="AC187" s="106">
        <v>29</v>
      </c>
      <c r="AD187" s="106">
        <v>26</v>
      </c>
      <c r="AE187" s="106">
        <v>9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26.786230272326517</v>
      </c>
      <c r="D189" s="124">
        <v>15.78623027232652</v>
      </c>
      <c r="E189" s="124">
        <v>14.786230272326549</v>
      </c>
      <c r="F189" s="124">
        <v>58.786230272326776</v>
      </c>
      <c r="G189" s="124">
        <v>82.786230272326776</v>
      </c>
      <c r="H189" s="124">
        <v>69.786230272326776</v>
      </c>
      <c r="I189" s="124">
        <v>57.786230272326776</v>
      </c>
      <c r="J189" s="124">
        <v>65.786230272326776</v>
      </c>
      <c r="K189" s="124">
        <v>75.786230272326776</v>
      </c>
      <c r="L189" s="124">
        <v>116.78623027232678</v>
      </c>
      <c r="M189" s="124">
        <v>134.78623027232678</v>
      </c>
      <c r="N189" s="124">
        <v>145.78623027232678</v>
      </c>
      <c r="O189" s="124">
        <v>24.620194031941665</v>
      </c>
      <c r="P189" s="124">
        <v>170</v>
      </c>
      <c r="Q189" s="124">
        <v>24.620194031941651</v>
      </c>
      <c r="R189" s="124">
        <v>74.620194031941651</v>
      </c>
      <c r="S189" s="124">
        <v>24.620194031941665</v>
      </c>
      <c r="T189" s="124">
        <v>58.620194031941651</v>
      </c>
      <c r="U189" s="124">
        <v>69.620194031941651</v>
      </c>
      <c r="V189" s="124">
        <v>85.620194031941651</v>
      </c>
      <c r="W189" s="124">
        <v>91.620194031941651</v>
      </c>
      <c r="X189" s="124">
        <v>129.62019403194165</v>
      </c>
      <c r="Y189" s="124">
        <v>123.62019403194165</v>
      </c>
      <c r="Z189" s="124">
        <v>156.62019403194165</v>
      </c>
      <c r="AA189" s="124">
        <v>130.62019403194165</v>
      </c>
      <c r="AB189" s="124">
        <v>116.62019403194165</v>
      </c>
      <c r="AC189" s="124">
        <v>146.62019403194165</v>
      </c>
      <c r="AD189" s="124">
        <v>144.62019403194165</v>
      </c>
      <c r="AE189" s="124">
        <v>110.62019403194165</v>
      </c>
      <c r="AF189" s="124">
        <v>137.62019403194165</v>
      </c>
      <c r="AG189" s="124">
        <v>24.620194031941665</v>
      </c>
      <c r="AH189" s="124">
        <v>73.620194031941651</v>
      </c>
      <c r="AI189" s="124">
        <v>57.620194031941651</v>
      </c>
      <c r="AJ189" s="124">
        <v>105.62019403194165</v>
      </c>
      <c r="AK189" s="124">
        <v>124.62019403194165</v>
      </c>
      <c r="AL189" s="124">
        <v>124.62019403194165</v>
      </c>
      <c r="AM189" s="124">
        <v>24.620194031941665</v>
      </c>
      <c r="AN189" s="124">
        <v>36.620194031941651</v>
      </c>
      <c r="AO189" s="124">
        <v>40.620194031941651</v>
      </c>
      <c r="AP189" s="124">
        <v>28.620194031941651</v>
      </c>
      <c r="AQ189" s="124">
        <v>24.620194031941651</v>
      </c>
      <c r="AR189" s="124">
        <v>82.620194031941651</v>
      </c>
      <c r="AS189" s="124">
        <v>24.620194031941665</v>
      </c>
      <c r="AT189" s="124">
        <v>170</v>
      </c>
      <c r="AU189" s="124">
        <v>0</v>
      </c>
      <c r="AV189" s="124">
        <v>170</v>
      </c>
      <c r="AW189" s="124">
        <v>12.310097015970831</v>
      </c>
      <c r="AX189" s="124">
        <v>135.99999999999997</v>
      </c>
      <c r="AY189" s="124">
        <v>0</v>
      </c>
    </row>
    <row r="190" spans="1:51">
      <c r="A190" s="109"/>
      <c r="B190" s="119">
        <v>2</v>
      </c>
      <c r="C190" s="106">
        <v>99.213769727673451</v>
      </c>
      <c r="D190" s="106">
        <v>143.21376972767348</v>
      </c>
      <c r="E190" s="106">
        <v>154.21376972767345</v>
      </c>
      <c r="F190" s="106">
        <v>155.21376972767322</v>
      </c>
      <c r="G190" s="106">
        <v>111.21376972767322</v>
      </c>
      <c r="H190" s="106">
        <v>87.213769727673224</v>
      </c>
      <c r="I190" s="106">
        <v>100.21376972767322</v>
      </c>
      <c r="J190" s="106">
        <v>112.21376972767322</v>
      </c>
      <c r="K190" s="106">
        <v>104.21376972767322</v>
      </c>
      <c r="L190" s="106">
        <v>94.213769727673224</v>
      </c>
      <c r="M190" s="106">
        <v>53.213769727673224</v>
      </c>
      <c r="N190" s="106">
        <v>35.213769727673224</v>
      </c>
      <c r="O190" s="106">
        <v>24.213769727673224</v>
      </c>
      <c r="P190" s="106">
        <v>0</v>
      </c>
      <c r="Q190" s="106">
        <v>0</v>
      </c>
      <c r="R190" s="106">
        <v>145.37980596805835</v>
      </c>
      <c r="S190" s="106">
        <v>95.379805968058349</v>
      </c>
      <c r="T190" s="106">
        <v>145.37980596805835</v>
      </c>
      <c r="U190" s="106">
        <v>111.37980596805835</v>
      </c>
      <c r="V190" s="106">
        <v>100.37980596805835</v>
      </c>
      <c r="W190" s="106">
        <v>84.379805968058349</v>
      </c>
      <c r="X190" s="106">
        <v>78.379805968058349</v>
      </c>
      <c r="Y190" s="106">
        <v>40.379805968058349</v>
      </c>
      <c r="Z190" s="106">
        <v>46.379805968058349</v>
      </c>
      <c r="AA190" s="106">
        <v>13.379805968058349</v>
      </c>
      <c r="AB190" s="106">
        <v>39.379805968058349</v>
      </c>
      <c r="AC190" s="106">
        <v>53.379805968058349</v>
      </c>
      <c r="AD190" s="106">
        <v>23.379805968058349</v>
      </c>
      <c r="AE190" s="106">
        <v>25.379805968058349</v>
      </c>
      <c r="AF190" s="106">
        <v>59.379805968058349</v>
      </c>
      <c r="AG190" s="106">
        <v>32.379805968058349</v>
      </c>
      <c r="AH190" s="106">
        <v>145.37980596805835</v>
      </c>
      <c r="AI190" s="106">
        <v>96.379805968058349</v>
      </c>
      <c r="AJ190" s="106">
        <v>112.37980596805835</v>
      </c>
      <c r="AK190" s="106">
        <v>64.379805968058349</v>
      </c>
      <c r="AL190" s="106">
        <v>45.379805968058349</v>
      </c>
      <c r="AM190" s="106">
        <v>45.379805968058349</v>
      </c>
      <c r="AN190" s="106">
        <v>145.37980596805835</v>
      </c>
      <c r="AO190" s="106">
        <v>133.37980596805835</v>
      </c>
      <c r="AP190" s="106">
        <v>129.37980596805835</v>
      </c>
      <c r="AQ190" s="106">
        <v>141.37980596805835</v>
      </c>
      <c r="AR190" s="106">
        <v>145.37980596805835</v>
      </c>
      <c r="AS190" s="106">
        <v>87.379805968058349</v>
      </c>
      <c r="AT190" s="106">
        <v>0</v>
      </c>
      <c r="AU190" s="106">
        <v>0</v>
      </c>
      <c r="AV190" s="106">
        <v>0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145.37980596805835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145.37980596805835</v>
      </c>
      <c r="AV191" s="106">
        <v>0</v>
      </c>
      <c r="AW191" s="106">
        <v>0</v>
      </c>
      <c r="AX191" s="106">
        <v>0</v>
      </c>
      <c r="AY191" s="106">
        <v>155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133.8831989382453</v>
      </c>
      <c r="D197" s="106">
        <v>26.336181042802409</v>
      </c>
      <c r="E197" s="106">
        <v>135</v>
      </c>
      <c r="F197" s="106">
        <v>17.386873403449869</v>
      </c>
      <c r="G197" s="106">
        <v>148</v>
      </c>
      <c r="H197" s="106">
        <v>71.386873403450039</v>
      </c>
      <c r="I197" s="106">
        <v>80.412887474575541</v>
      </c>
      <c r="J197" s="106">
        <v>92.41054994311024</v>
      </c>
      <c r="K197" s="106">
        <v>81.410549943110297</v>
      </c>
      <c r="L197" s="106">
        <v>90.783345108332668</v>
      </c>
      <c r="M197" s="106">
        <v>86.783345108332725</v>
      </c>
      <c r="N197" s="106">
        <v>118.78334510833275</v>
      </c>
      <c r="O197" s="106">
        <v>119.99999999999997</v>
      </c>
      <c r="P197" s="106">
        <v>17.386873403449862</v>
      </c>
      <c r="Q197" s="106">
        <v>119.99999999999997</v>
      </c>
      <c r="R197" s="106">
        <v>119.99999999999994</v>
      </c>
      <c r="S197" s="106">
        <v>126.25663716814159</v>
      </c>
      <c r="T197" s="106">
        <v>62.385242474402276</v>
      </c>
      <c r="U197" s="106">
        <v>159</v>
      </c>
      <c r="V197" s="106">
        <v>48.386873403449954</v>
      </c>
      <c r="W197" s="106">
        <v>59.11192753004724</v>
      </c>
      <c r="X197" s="106">
        <v>97.111927530047268</v>
      </c>
      <c r="Y197" s="106">
        <v>117.11192753004732</v>
      </c>
      <c r="Z197" s="106">
        <v>119.99999999999994</v>
      </c>
      <c r="AA197" s="106">
        <v>119.99999999999997</v>
      </c>
      <c r="AB197" s="106">
        <v>119.99999999999994</v>
      </c>
      <c r="AC197" s="106">
        <v>119.99999999999997</v>
      </c>
      <c r="AD197" s="106">
        <v>111</v>
      </c>
      <c r="AE197" s="106">
        <v>119.99999999999997</v>
      </c>
      <c r="AF197" s="106">
        <v>119.99999999999994</v>
      </c>
      <c r="AG197" s="106">
        <v>119.99999999999997</v>
      </c>
      <c r="AH197" s="106">
        <v>17.386873403449862</v>
      </c>
      <c r="AI197" s="106">
        <v>130</v>
      </c>
      <c r="AJ197" s="106">
        <v>48.386873403449954</v>
      </c>
      <c r="AK197" s="106">
        <v>51.994637430866874</v>
      </c>
      <c r="AL197" s="106">
        <v>85.994637430866902</v>
      </c>
      <c r="AM197" s="106">
        <v>106.63100106723059</v>
      </c>
      <c r="AN197" s="106">
        <v>17.386873403449862</v>
      </c>
      <c r="AO197" s="106">
        <v>148</v>
      </c>
      <c r="AP197" s="106">
        <v>55.386873403449954</v>
      </c>
      <c r="AQ197" s="106">
        <v>57.341501872640862</v>
      </c>
      <c r="AR197" s="106">
        <v>17.386873403449854</v>
      </c>
      <c r="AS197" s="106">
        <v>149.00858895705522</v>
      </c>
      <c r="AT197" s="106">
        <v>47.971236616690135</v>
      </c>
      <c r="AU197" s="106">
        <v>119.99999999999997</v>
      </c>
      <c r="AV197" s="106">
        <v>102.62237956496975</v>
      </c>
      <c r="AW197" s="106">
        <v>119.99999999999997</v>
      </c>
      <c r="AX197" s="106">
        <v>8.6980631859347621</v>
      </c>
      <c r="AY197" s="106">
        <v>96.001850593683926</v>
      </c>
    </row>
    <row r="198" spans="1:51">
      <c r="A198" s="109"/>
      <c r="B198" s="119">
        <v>2</v>
      </c>
      <c r="C198" s="106">
        <v>0</v>
      </c>
      <c r="D198" s="106">
        <v>24.394128548968496</v>
      </c>
      <c r="E198" s="106">
        <v>0</v>
      </c>
      <c r="F198" s="106">
        <v>55.767041588827141</v>
      </c>
      <c r="G198" s="106">
        <v>0</v>
      </c>
      <c r="H198" s="106">
        <v>74.613126596549961</v>
      </c>
      <c r="I198" s="106">
        <v>71.587112525424459</v>
      </c>
      <c r="J198" s="106">
        <v>42.58945005688976</v>
      </c>
      <c r="K198" s="106">
        <v>27.589450056889703</v>
      </c>
      <c r="L198" s="106">
        <v>40.216654891667332</v>
      </c>
      <c r="M198" s="106">
        <v>29.216654891667275</v>
      </c>
      <c r="N198" s="106">
        <v>33.216654891667247</v>
      </c>
      <c r="O198" s="106">
        <v>1.21665489166719</v>
      </c>
      <c r="P198" s="106">
        <v>0</v>
      </c>
      <c r="Q198" s="106">
        <v>0</v>
      </c>
      <c r="R198" s="106">
        <v>0</v>
      </c>
      <c r="S198" s="106">
        <v>0</v>
      </c>
      <c r="T198" s="106">
        <v>96.356489428408452</v>
      </c>
      <c r="U198" s="106">
        <v>7.1054273576010019E-15</v>
      </c>
      <c r="V198" s="106">
        <v>63.613126596550046</v>
      </c>
      <c r="W198" s="106">
        <v>95.88807246995276</v>
      </c>
      <c r="X198" s="106">
        <v>60.888072469952732</v>
      </c>
      <c r="Y198" s="106">
        <v>22.888072469952675</v>
      </c>
      <c r="Z198" s="106">
        <v>2.8880724699526468</v>
      </c>
      <c r="AA198" s="106">
        <v>0</v>
      </c>
      <c r="AB198" s="106">
        <v>0</v>
      </c>
      <c r="AC198" s="106">
        <v>0</v>
      </c>
      <c r="AD198" s="106">
        <v>0</v>
      </c>
      <c r="AE198" s="106">
        <v>8.9999999999999432</v>
      </c>
      <c r="AF198" s="106">
        <v>0</v>
      </c>
      <c r="AG198" s="106">
        <v>0</v>
      </c>
      <c r="AH198" s="106">
        <v>0</v>
      </c>
      <c r="AI198" s="106">
        <v>0</v>
      </c>
      <c r="AJ198" s="106">
        <v>92.613126596550046</v>
      </c>
      <c r="AK198" s="106">
        <v>103.00536256913313</v>
      </c>
      <c r="AL198" s="106">
        <v>68.005362569133098</v>
      </c>
      <c r="AM198" s="106">
        <v>34.005362569133041</v>
      </c>
      <c r="AN198" s="106">
        <v>13.368998932769387</v>
      </c>
      <c r="AO198" s="106">
        <v>0</v>
      </c>
      <c r="AP198" s="106">
        <v>74.613126596550046</v>
      </c>
      <c r="AQ198" s="106">
        <v>99.837775697400957</v>
      </c>
      <c r="AR198" s="106">
        <v>62.658498127359124</v>
      </c>
      <c r="AS198" s="106">
        <v>7.1054273576010019E-15</v>
      </c>
      <c r="AT198" s="106">
        <v>73.604537639494822</v>
      </c>
      <c r="AU198" s="106">
        <v>7.1054273576010019E-15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19.689622810714592</v>
      </c>
      <c r="D209" s="124">
        <v>107.26649531822896</v>
      </c>
      <c r="E209" s="124">
        <v>18.011771060278242</v>
      </c>
      <c r="F209" s="124">
        <v>77.539218014606647</v>
      </c>
      <c r="G209" s="124">
        <v>118.20031127558354</v>
      </c>
      <c r="H209" s="124">
        <v>124.31289266789767</v>
      </c>
      <c r="I209" s="124">
        <v>121</v>
      </c>
      <c r="J209" s="124">
        <v>124.31289266789767</v>
      </c>
      <c r="K209" s="124">
        <v>124.31289266789764</v>
      </c>
      <c r="L209" s="124">
        <v>124.31289266789767</v>
      </c>
      <c r="M209" s="124">
        <v>124.31289266789764</v>
      </c>
      <c r="N209" s="124">
        <v>124.31289266789767</v>
      </c>
      <c r="O209" s="124">
        <v>18.011771060278235</v>
      </c>
      <c r="P209" s="124">
        <v>124.31289266789767</v>
      </c>
      <c r="Q209" s="124">
        <v>18.011771060278235</v>
      </c>
      <c r="R209" s="124">
        <v>32.698878392380621</v>
      </c>
      <c r="S209" s="124">
        <v>18.011771060278235</v>
      </c>
      <c r="T209" s="124">
        <v>74.890540620500317</v>
      </c>
      <c r="U209" s="124">
        <v>124.31289266789764</v>
      </c>
      <c r="V209" s="124">
        <v>124.31289266789767</v>
      </c>
      <c r="W209" s="124">
        <v>124.31289266789764</v>
      </c>
      <c r="X209" s="124">
        <v>124.31289266789767</v>
      </c>
      <c r="Y209" s="124">
        <v>124.31289266789764</v>
      </c>
      <c r="Z209" s="124">
        <v>124.31289266789767</v>
      </c>
      <c r="AA209" s="124">
        <v>124.31289266789764</v>
      </c>
      <c r="AB209" s="124">
        <v>124.31289266789767</v>
      </c>
      <c r="AC209" s="124">
        <v>124.31289266789764</v>
      </c>
      <c r="AD209" s="124">
        <v>124.31289266789767</v>
      </c>
      <c r="AE209" s="124">
        <v>124.31289266789764</v>
      </c>
      <c r="AF209" s="124">
        <v>124.31289266789767</v>
      </c>
      <c r="AG209" s="124">
        <v>18.011771060278235</v>
      </c>
      <c r="AH209" s="124">
        <v>60.400159519772487</v>
      </c>
      <c r="AI209" s="124">
        <v>124.31289266789764</v>
      </c>
      <c r="AJ209" s="124">
        <v>124.31289266789767</v>
      </c>
      <c r="AK209" s="124">
        <v>124.31289266789764</v>
      </c>
      <c r="AL209" s="124">
        <v>124.31289266789767</v>
      </c>
      <c r="AM209" s="124">
        <v>18.011771060278235</v>
      </c>
      <c r="AN209" s="124">
        <v>52.597593375892998</v>
      </c>
      <c r="AO209" s="124">
        <v>124.31289266789761</v>
      </c>
      <c r="AP209" s="124">
        <v>124.31289266789767</v>
      </c>
      <c r="AQ209" s="124">
        <v>18.011771060278235</v>
      </c>
      <c r="AR209" s="124">
        <v>62.044940609294585</v>
      </c>
      <c r="AS209" s="124">
        <v>18.011771060278235</v>
      </c>
      <c r="AT209" s="124">
        <v>124.31289266789767</v>
      </c>
      <c r="AU209" s="124">
        <v>9.5855272501051136E-3</v>
      </c>
      <c r="AV209" s="124">
        <v>124.31289266789767</v>
      </c>
      <c r="AW209" s="124">
        <v>9.0106782937641707</v>
      </c>
      <c r="AX209" s="124">
        <v>99.452231239768182</v>
      </c>
      <c r="AY209" s="124">
        <v>45.015049359820438</v>
      </c>
    </row>
    <row r="210" spans="1:51">
      <c r="A210" s="109"/>
      <c r="B210" s="119">
        <v>2</v>
      </c>
      <c r="C210" s="106">
        <v>18.59949854638414</v>
      </c>
      <c r="D210" s="110">
        <v>90.356861061806427</v>
      </c>
      <c r="E210" s="110">
        <v>0</v>
      </c>
      <c r="F210" s="110">
        <v>106.30112160761932</v>
      </c>
      <c r="G210" s="110">
        <v>23.799688724416463</v>
      </c>
      <c r="H210" s="110">
        <v>3.1102438608487613</v>
      </c>
      <c r="I210" s="110">
        <v>0</v>
      </c>
      <c r="J210" s="110">
        <v>1.6856878331199889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106.30112160761941</v>
      </c>
      <c r="S210" s="110">
        <v>46.615645204564629</v>
      </c>
      <c r="T210" s="110">
        <v>106.30112160761941</v>
      </c>
      <c r="U210" s="110">
        <v>25.147406173994561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106.30112160761941</v>
      </c>
      <c r="AI210" s="110">
        <v>32.520497175542047</v>
      </c>
      <c r="AJ210" s="110">
        <v>0</v>
      </c>
      <c r="AK210" s="110">
        <v>0</v>
      </c>
      <c r="AL210" s="110">
        <v>0</v>
      </c>
      <c r="AM210" s="110">
        <v>0</v>
      </c>
      <c r="AN210" s="110">
        <v>106.30112160761941</v>
      </c>
      <c r="AO210" s="110">
        <v>36.490650191153712</v>
      </c>
      <c r="AP210" s="110">
        <v>1.4461721095753879E-14</v>
      </c>
      <c r="AQ210" s="110">
        <v>0</v>
      </c>
      <c r="AR210" s="110">
        <v>106.30112160761941</v>
      </c>
      <c r="AS210" s="110">
        <v>31.683588845362809</v>
      </c>
      <c r="AT210" s="110">
        <v>0</v>
      </c>
      <c r="AU210" s="110">
        <v>0</v>
      </c>
      <c r="AV210" s="110">
        <v>0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106.30112160761941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106.30112160761941</v>
      </c>
      <c r="AV211" s="110">
        <v>0</v>
      </c>
      <c r="AW211" s="110">
        <v>0</v>
      </c>
      <c r="AX211" s="110">
        <v>0</v>
      </c>
      <c r="AY211" s="110">
        <v>115.30221437413348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123998.57703273764</v>
      </c>
      <c r="E259" s="124">
        <f t="shared" ref="E259:AX259" si="5">F$14*$B$259</f>
        <v>11301.467712242415</v>
      </c>
      <c r="F259" s="124">
        <f t="shared" si="5"/>
        <v>144698.53228775747</v>
      </c>
      <c r="G259" s="124">
        <f t="shared" si="5"/>
        <v>92933.09085376843</v>
      </c>
      <c r="H259" s="124">
        <f t="shared" si="5"/>
        <v>79951.519395452444</v>
      </c>
      <c r="I259" s="124">
        <f t="shared" si="5"/>
        <v>77999.999999999956</v>
      </c>
      <c r="J259" s="124">
        <f t="shared" si="5"/>
        <v>79057.683142605456</v>
      </c>
      <c r="K259" s="124">
        <f t="shared" si="5"/>
        <v>77999.999999999956</v>
      </c>
      <c r="L259" s="124">
        <f t="shared" si="5"/>
        <v>77999.999999999985</v>
      </c>
      <c r="M259" s="124">
        <f t="shared" si="5"/>
        <v>77999.999999999956</v>
      </c>
      <c r="N259" s="124">
        <f t="shared" si="5"/>
        <v>77999.999999999985</v>
      </c>
      <c r="O259" s="124">
        <f t="shared" si="5"/>
        <v>11301.467712242409</v>
      </c>
      <c r="P259" s="124">
        <f t="shared" si="5"/>
        <v>77999.999999999985</v>
      </c>
      <c r="Q259" s="124">
        <f t="shared" si="5"/>
        <v>77999.999999999956</v>
      </c>
      <c r="R259" s="124">
        <f t="shared" si="5"/>
        <v>144698.53228775752</v>
      </c>
      <c r="S259" s="124">
        <f t="shared" si="5"/>
        <v>40550.407608361485</v>
      </c>
      <c r="T259" s="124">
        <f t="shared" si="5"/>
        <v>144698.53228775752</v>
      </c>
      <c r="U259" s="124">
        <f t="shared" si="5"/>
        <v>93778.714817711763</v>
      </c>
      <c r="V259" s="124">
        <f t="shared" si="5"/>
        <v>77999.999999999985</v>
      </c>
      <c r="W259" s="124">
        <f t="shared" si="5"/>
        <v>77999.999999999956</v>
      </c>
      <c r="X259" s="124">
        <f t="shared" si="5"/>
        <v>77999.999999999985</v>
      </c>
      <c r="Y259" s="124">
        <f t="shared" si="5"/>
        <v>77999.999999999956</v>
      </c>
      <c r="Z259" s="124">
        <f t="shared" si="5"/>
        <v>77999.999999999985</v>
      </c>
      <c r="AA259" s="124">
        <f t="shared" si="5"/>
        <v>77999.999999999956</v>
      </c>
      <c r="AB259" s="124">
        <f t="shared" si="5"/>
        <v>77999.999999999985</v>
      </c>
      <c r="AC259" s="124">
        <f t="shared" si="5"/>
        <v>77999.999999999956</v>
      </c>
      <c r="AD259" s="124">
        <f t="shared" si="5"/>
        <v>77999.999999999985</v>
      </c>
      <c r="AE259" s="124">
        <f t="shared" si="5"/>
        <v>77999.999999999956</v>
      </c>
      <c r="AF259" s="124">
        <f t="shared" si="5"/>
        <v>77999.999999999985</v>
      </c>
      <c r="AG259" s="124">
        <f t="shared" si="5"/>
        <v>11301.467712242409</v>
      </c>
      <c r="AH259" s="124">
        <f t="shared" si="5"/>
        <v>144698.53228775752</v>
      </c>
      <c r="AI259" s="124">
        <f t="shared" si="5"/>
        <v>98404.953382178996</v>
      </c>
      <c r="AJ259" s="124">
        <f t="shared" si="5"/>
        <v>77999.999999999985</v>
      </c>
      <c r="AK259" s="124">
        <f t="shared" si="5"/>
        <v>77999.999999999956</v>
      </c>
      <c r="AL259" s="124">
        <f t="shared" si="5"/>
        <v>77999.999999999985</v>
      </c>
      <c r="AM259" s="124">
        <f t="shared" si="5"/>
        <v>11301.467712242409</v>
      </c>
      <c r="AN259" s="124">
        <f t="shared" si="5"/>
        <v>144698.53228775752</v>
      </c>
      <c r="AO259" s="124">
        <f t="shared" si="5"/>
        <v>100896.02191555309</v>
      </c>
      <c r="AP259" s="124">
        <f t="shared" si="5"/>
        <v>77999.999999999985</v>
      </c>
      <c r="AQ259" s="124">
        <f t="shared" si="5"/>
        <v>11301.467712242409</v>
      </c>
      <c r="AR259" s="124">
        <f t="shared" si="5"/>
        <v>144698.53228775752</v>
      </c>
      <c r="AS259" s="124">
        <f t="shared" si="5"/>
        <v>31181.303800848593</v>
      </c>
      <c r="AT259" s="124">
        <f t="shared" si="5"/>
        <v>77999.999999999985</v>
      </c>
      <c r="AU259" s="124">
        <f t="shared" si="5"/>
        <v>66704.546717230332</v>
      </c>
      <c r="AV259" s="124">
        <f t="shared" si="5"/>
        <v>77999.999999999985</v>
      </c>
      <c r="AW259" s="124">
        <f t="shared" si="5"/>
        <v>5653.7410708575953</v>
      </c>
      <c r="AX259" s="124">
        <f t="shared" si="5"/>
        <v>62401.202885894549</v>
      </c>
      <c r="AY259" s="124">
        <f>AZ$14*$B$259</f>
        <v>100590.90656553923</v>
      </c>
      <c r="AZ259" s="139">
        <f>SUM($D259:$AY259)</f>
        <v>3772801.2014764971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10632.826183660407</v>
      </c>
      <c r="E260" s="125">
        <f t="shared" ref="E260:AY260" si="6">(E$175-E$176+E$177-E$178+E$179-E$180+E$181-E$182)*$B$260</f>
        <v>5016.0603209065348</v>
      </c>
      <c r="F260" s="125">
        <f t="shared" si="6"/>
        <v>9479.246662857855</v>
      </c>
      <c r="G260" s="125">
        <f t="shared" si="6"/>
        <v>10076.368662992241</v>
      </c>
      <c r="H260" s="125">
        <f t="shared" si="6"/>
        <v>10308.052935185862</v>
      </c>
      <c r="I260" s="125">
        <f t="shared" si="6"/>
        <v>9486.9667471476387</v>
      </c>
      <c r="J260" s="125">
        <f t="shared" si="6"/>
        <v>11028.193187073777</v>
      </c>
      <c r="K260" s="125">
        <f t="shared" si="6"/>
        <v>12925.825477160433</v>
      </c>
      <c r="L260" s="125">
        <f t="shared" si="6"/>
        <v>9925.8254771604352</v>
      </c>
      <c r="M260" s="125">
        <f t="shared" si="6"/>
        <v>9925.8254771604297</v>
      </c>
      <c r="N260" s="125">
        <f t="shared" si="6"/>
        <v>8245.8254771604279</v>
      </c>
      <c r="O260" s="125">
        <f t="shared" si="6"/>
        <v>9660</v>
      </c>
      <c r="P260" s="125">
        <f t="shared" si="6"/>
        <v>9840.0000000000018</v>
      </c>
      <c r="Q260" s="125">
        <f t="shared" si="6"/>
        <v>8520.0000000000036</v>
      </c>
      <c r="R260" s="125">
        <f t="shared" si="6"/>
        <v>19979.629214614528</v>
      </c>
      <c r="S260" s="125">
        <f t="shared" si="6"/>
        <v>14841.389365704506</v>
      </c>
      <c r="T260" s="125">
        <f t="shared" si="6"/>
        <v>18168.129480927342</v>
      </c>
      <c r="U260" s="125">
        <f t="shared" si="6"/>
        <v>18119.575953876505</v>
      </c>
      <c r="V260" s="125">
        <f t="shared" si="6"/>
        <v>22456.072706280662</v>
      </c>
      <c r="W260" s="125">
        <f t="shared" si="6"/>
        <v>19636.072706280662</v>
      </c>
      <c r="X260" s="125">
        <f t="shared" si="6"/>
        <v>16156.072706280664</v>
      </c>
      <c r="Y260" s="125">
        <f t="shared" si="6"/>
        <v>13936.07270628066</v>
      </c>
      <c r="Z260" s="125">
        <f t="shared" si="6"/>
        <v>12742.788358083502</v>
      </c>
      <c r="AA260" s="125">
        <f t="shared" si="6"/>
        <v>14902.788358083504</v>
      </c>
      <c r="AB260" s="125">
        <f t="shared" si="6"/>
        <v>16342.7883580835</v>
      </c>
      <c r="AC260" s="125">
        <f t="shared" si="6"/>
        <v>14362.788358083504</v>
      </c>
      <c r="AD260" s="125">
        <f t="shared" si="6"/>
        <v>14002.788358083495</v>
      </c>
      <c r="AE260" s="125">
        <f t="shared" si="6"/>
        <v>12622.788358083497</v>
      </c>
      <c r="AF260" s="125">
        <f t="shared" si="6"/>
        <v>9502.7883580835023</v>
      </c>
      <c r="AG260" s="125">
        <f t="shared" si="6"/>
        <v>5939.9999999999982</v>
      </c>
      <c r="AH260" s="125">
        <f t="shared" si="6"/>
        <v>16217.552346971013</v>
      </c>
      <c r="AI260" s="125">
        <f t="shared" si="6"/>
        <v>17819.575953876505</v>
      </c>
      <c r="AJ260" s="125">
        <f t="shared" si="6"/>
        <v>15143.11011223149</v>
      </c>
      <c r="AK260" s="125">
        <f t="shared" si="6"/>
        <v>11843.110112231489</v>
      </c>
      <c r="AL260" s="125">
        <f t="shared" si="6"/>
        <v>11303.110112231483</v>
      </c>
      <c r="AM260" s="125">
        <f t="shared" si="6"/>
        <v>7822.1399359661627</v>
      </c>
      <c r="AN260" s="125">
        <f t="shared" si="6"/>
        <v>20765.706315603784</v>
      </c>
      <c r="AO260" s="125">
        <f t="shared" si="6"/>
        <v>18419.575953876505</v>
      </c>
      <c r="AP260" s="125">
        <f t="shared" si="6"/>
        <v>18673.05489992756</v>
      </c>
      <c r="AQ260" s="125">
        <f t="shared" si="6"/>
        <v>6879.5098876415477</v>
      </c>
      <c r="AR260" s="125">
        <f t="shared" si="6"/>
        <v>11618.865481599687</v>
      </c>
      <c r="AS260" s="125">
        <f t="shared" si="6"/>
        <v>6876.2722583696896</v>
      </c>
      <c r="AT260" s="125">
        <f t="shared" si="6"/>
        <v>3000</v>
      </c>
      <c r="AU260" s="125">
        <f t="shared" si="6"/>
        <v>3120</v>
      </c>
      <c r="AV260" s="125">
        <f t="shared" si="6"/>
        <v>120.00000000000171</v>
      </c>
      <c r="AW260" s="125">
        <f t="shared" si="6"/>
        <v>180.00000000000341</v>
      </c>
      <c r="AX260" s="125">
        <f t="shared" si="6"/>
        <v>0</v>
      </c>
      <c r="AY260" s="125">
        <f t="shared" si="6"/>
        <v>3854.4232838329999</v>
      </c>
      <c r="AZ260" s="141">
        <f>SUM($D260:$AY260)</f>
        <v>552439.55660965608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1050.8810297577081</v>
      </c>
      <c r="E9" s="117">
        <v>1050.8810297577081</v>
      </c>
      <c r="F9" s="117">
        <v>1050.8810297577081</v>
      </c>
      <c r="G9" s="117">
        <v>1050.8810297577081</v>
      </c>
      <c r="H9" s="117">
        <v>1261.0509904186592</v>
      </c>
      <c r="I9" s="117">
        <v>1261.0509904186592</v>
      </c>
      <c r="J9" s="117">
        <v>1261.0509904186592</v>
      </c>
      <c r="K9" s="117">
        <v>1261.0509904186592</v>
      </c>
      <c r="L9" s="117">
        <v>1050.8810297577081</v>
      </c>
      <c r="M9" s="117">
        <v>1050.8810297577081</v>
      </c>
      <c r="N9" s="117">
        <v>1050.8810297577081</v>
      </c>
      <c r="O9" s="117">
        <v>1050.8810297577081</v>
      </c>
      <c r="P9" s="117">
        <v>1050.8810297577081</v>
      </c>
      <c r="Q9" s="117">
        <v>1050.8810297577081</v>
      </c>
      <c r="R9" s="117">
        <v>1050.8810297577081</v>
      </c>
      <c r="S9" s="117">
        <v>1050.8810297577081</v>
      </c>
      <c r="T9" s="117">
        <v>1050.8810297577081</v>
      </c>
      <c r="U9" s="117">
        <v>1050.8810297577081</v>
      </c>
      <c r="V9" s="117">
        <v>1050.8810297577081</v>
      </c>
      <c r="W9" s="117">
        <v>1050.8810297577081</v>
      </c>
      <c r="X9" s="117">
        <v>1050.8810297577081</v>
      </c>
      <c r="Y9" s="117">
        <v>1050.8810297577081</v>
      </c>
      <c r="Z9" s="117">
        <v>1050.8810297577081</v>
      </c>
      <c r="AA9" s="117">
        <v>1050.8810297577081</v>
      </c>
      <c r="AB9" s="117">
        <v>1050.8810297577081</v>
      </c>
      <c r="AC9" s="117">
        <v>1050.8810297577081</v>
      </c>
      <c r="AD9" s="117">
        <v>1050.8810297577081</v>
      </c>
      <c r="AE9" s="117">
        <v>1050.8810297577081</v>
      </c>
      <c r="AF9" s="117">
        <v>1050.8810297577081</v>
      </c>
      <c r="AG9" s="117">
        <v>1050.8810297577081</v>
      </c>
      <c r="AH9" s="117">
        <v>1050.8810297577081</v>
      </c>
      <c r="AI9" s="117">
        <v>1050.8810297577081</v>
      </c>
      <c r="AJ9" s="117">
        <v>1050.8810297577081</v>
      </c>
      <c r="AK9" s="117">
        <v>1050.8810297577081</v>
      </c>
      <c r="AL9" s="117">
        <v>1050.8810297577081</v>
      </c>
      <c r="AM9" s="117">
        <v>1050.8810297577081</v>
      </c>
      <c r="AN9" s="117">
        <v>1050.8810297577081</v>
      </c>
      <c r="AO9" s="117">
        <v>1050.8810297577081</v>
      </c>
      <c r="AP9" s="117">
        <v>1050.8810297577081</v>
      </c>
      <c r="AQ9" s="117">
        <v>1050.8810297577081</v>
      </c>
      <c r="AR9" s="117">
        <v>1050.8810297577081</v>
      </c>
      <c r="AS9" s="117">
        <v>1050.8810297577081</v>
      </c>
      <c r="AT9" s="117">
        <v>1050.8810297577081</v>
      </c>
      <c r="AU9" s="117">
        <v>1050.8810297577081</v>
      </c>
      <c r="AV9" s="117">
        <v>1050.8810297577081</v>
      </c>
      <c r="AW9" s="117">
        <v>1050.8810297577081</v>
      </c>
      <c r="AX9" s="117">
        <v>1050.8810297577081</v>
      </c>
      <c r="AY9" s="117">
        <v>1050.8810297577081</v>
      </c>
    </row>
    <row r="10" spans="1:53">
      <c r="A10" s="118" t="s">
        <v>133</v>
      </c>
      <c r="B10" s="119">
        <v>1</v>
      </c>
      <c r="C10" s="106" t="s">
        <v>293</v>
      </c>
      <c r="D10" s="100">
        <v>650.00000000000011</v>
      </c>
      <c r="E10" s="100">
        <v>610.52863494466521</v>
      </c>
      <c r="F10" s="100">
        <v>605.43927765486126</v>
      </c>
      <c r="G10" s="100">
        <v>605.43927765486126</v>
      </c>
      <c r="H10" s="100">
        <v>605.43927765486126</v>
      </c>
      <c r="I10" s="100">
        <v>190.39410418130845</v>
      </c>
      <c r="J10" s="100">
        <v>726.52353511515093</v>
      </c>
      <c r="K10" s="100">
        <v>190.39410418130839</v>
      </c>
      <c r="L10" s="100">
        <v>726.52353511515093</v>
      </c>
      <c r="M10" s="100">
        <v>726.52353511515093</v>
      </c>
      <c r="N10" s="100">
        <v>0</v>
      </c>
      <c r="O10" s="100">
        <v>190.39410418130845</v>
      </c>
      <c r="P10" s="100">
        <v>0</v>
      </c>
      <c r="Q10" s="100">
        <v>190.39410418130845</v>
      </c>
      <c r="R10" s="100">
        <v>0</v>
      </c>
      <c r="S10" s="100">
        <v>1210.8785553097225</v>
      </c>
      <c r="T10" s="100">
        <v>605.43927765486126</v>
      </c>
      <c r="U10" s="100">
        <v>0</v>
      </c>
      <c r="V10" s="100">
        <v>1210.8785553097225</v>
      </c>
      <c r="W10" s="100">
        <v>605.43927765486126</v>
      </c>
      <c r="X10" s="100">
        <v>605.43927765486126</v>
      </c>
      <c r="Y10" s="100">
        <v>605.43927765486126</v>
      </c>
      <c r="Z10" s="100">
        <v>605.43927765486126</v>
      </c>
      <c r="AA10" s="100">
        <v>605.43927765486126</v>
      </c>
      <c r="AB10" s="100">
        <v>190.39410418130845</v>
      </c>
      <c r="AC10" s="100">
        <v>605.43927765486126</v>
      </c>
      <c r="AD10" s="100">
        <v>605.43927765486126</v>
      </c>
      <c r="AE10" s="100">
        <v>605.43927765486126</v>
      </c>
      <c r="AF10" s="100">
        <v>190.39410418130845</v>
      </c>
      <c r="AG10" s="100">
        <v>605.43927765486126</v>
      </c>
      <c r="AH10" s="100">
        <v>605.43927765486126</v>
      </c>
      <c r="AI10" s="100">
        <v>605.43927765486126</v>
      </c>
      <c r="AJ10" s="100">
        <v>605.43927765486126</v>
      </c>
      <c r="AK10" s="100">
        <v>0</v>
      </c>
      <c r="AL10" s="100">
        <v>605.43927765486126</v>
      </c>
      <c r="AM10" s="100">
        <v>605.43927765486126</v>
      </c>
      <c r="AN10" s="100">
        <v>605.43927765486126</v>
      </c>
      <c r="AO10" s="100">
        <v>605.43927765486126</v>
      </c>
      <c r="AP10" s="100">
        <v>190.39410418130845</v>
      </c>
      <c r="AQ10" s="100">
        <v>0</v>
      </c>
      <c r="AR10" s="100">
        <v>605.43927765486126</v>
      </c>
      <c r="AS10" s="100">
        <v>605.43927765486126</v>
      </c>
      <c r="AT10" s="100">
        <v>605.43927765486126</v>
      </c>
      <c r="AU10" s="100">
        <v>605.43927765486126</v>
      </c>
      <c r="AV10" s="100">
        <v>605.43927765486126</v>
      </c>
      <c r="AW10" s="100">
        <v>605.43927765486126</v>
      </c>
      <c r="AX10" s="100">
        <v>190.39410418130845</v>
      </c>
      <c r="AY10" s="100">
        <v>0</v>
      </c>
      <c r="AZ10" s="100">
        <v>0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H11" s="100">
        <v>0</v>
      </c>
      <c r="I11" s="100">
        <v>0</v>
      </c>
      <c r="J11" s="100">
        <v>415.04517347355284</v>
      </c>
      <c r="K11" s="100">
        <v>0</v>
      </c>
      <c r="L11" s="100">
        <v>536.12943093384251</v>
      </c>
      <c r="M11" s="100">
        <v>0</v>
      </c>
      <c r="N11" s="100">
        <v>0</v>
      </c>
      <c r="O11" s="100">
        <v>605.43927765486126</v>
      </c>
      <c r="P11" s="100">
        <v>415.04517347355284</v>
      </c>
      <c r="Q11" s="100">
        <v>605.43927765486126</v>
      </c>
      <c r="R11" s="100">
        <v>415.04517347355284</v>
      </c>
      <c r="T11" s="100">
        <v>0</v>
      </c>
      <c r="W11" s="100">
        <v>0</v>
      </c>
      <c r="X11" s="100">
        <v>0</v>
      </c>
      <c r="Y11" s="100">
        <v>0</v>
      </c>
      <c r="AB11" s="100">
        <v>0</v>
      </c>
      <c r="AC11" s="100">
        <v>415.04517347355284</v>
      </c>
      <c r="AD11" s="100">
        <v>0</v>
      </c>
      <c r="AE11" s="100">
        <v>0</v>
      </c>
      <c r="AF11" s="100">
        <v>0</v>
      </c>
      <c r="AG11" s="100">
        <v>415.04517347355284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Q11" s="100">
        <v>0</v>
      </c>
      <c r="AR11" s="100">
        <v>605.43927765486126</v>
      </c>
      <c r="AS11" s="100">
        <v>0</v>
      </c>
      <c r="AT11" s="100">
        <v>0</v>
      </c>
      <c r="AV11" s="100">
        <v>0</v>
      </c>
      <c r="AW11" s="100">
        <v>0</v>
      </c>
      <c r="AX11" s="100">
        <v>0</v>
      </c>
      <c r="AY11" s="100">
        <v>415.04517347355284</v>
      </c>
      <c r="AZ11" s="100">
        <v>605.43927765486126</v>
      </c>
      <c r="BA11" s="100">
        <v>0</v>
      </c>
    </row>
    <row r="12" spans="1:53">
      <c r="B12" s="120">
        <v>3</v>
      </c>
      <c r="C12" s="106" t="s">
        <v>293</v>
      </c>
      <c r="H12" s="100">
        <v>0</v>
      </c>
      <c r="R12" s="100">
        <v>0</v>
      </c>
      <c r="T12" s="100">
        <v>0</v>
      </c>
      <c r="W12" s="100">
        <v>0</v>
      </c>
      <c r="AA12" s="100">
        <v>0</v>
      </c>
      <c r="AB12" s="100">
        <v>0</v>
      </c>
      <c r="AH12" s="100">
        <v>0</v>
      </c>
      <c r="AM12" s="100">
        <v>605.43927765486126</v>
      </c>
      <c r="AN12" s="100">
        <v>0</v>
      </c>
      <c r="AP12" s="100">
        <v>0</v>
      </c>
      <c r="AQ12" s="100">
        <v>0</v>
      </c>
      <c r="AR12" s="100">
        <v>415.04517347355284</v>
      </c>
      <c r="AV12" s="100">
        <v>0</v>
      </c>
      <c r="BA12" s="100">
        <v>0</v>
      </c>
    </row>
    <row r="13" spans="1:53">
      <c r="B13" s="120">
        <v>4</v>
      </c>
      <c r="C13" s="106" t="s">
        <v>293</v>
      </c>
      <c r="H13" s="100">
        <v>0</v>
      </c>
      <c r="U13" s="100">
        <v>0</v>
      </c>
      <c r="W13" s="100">
        <v>0</v>
      </c>
      <c r="AP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623.74221055959583</v>
      </c>
      <c r="E14" s="117">
        <f t="shared" ref="E14:AZ14" si="0">D$172*SUM(D$122:D$169)</f>
        <v>440.27678936539212</v>
      </c>
      <c r="F14" s="117">
        <f t="shared" si="0"/>
        <v>377.51739135596443</v>
      </c>
      <c r="G14" s="117">
        <f t="shared" si="0"/>
        <v>368.16770954440557</v>
      </c>
      <c r="H14" s="117">
        <f t="shared" si="0"/>
        <v>368.16770954440557</v>
      </c>
      <c r="I14" s="117">
        <f t="shared" si="0"/>
        <v>368.16770954440557</v>
      </c>
      <c r="J14" s="117">
        <f t="shared" si="0"/>
        <v>115.8013463691549</v>
      </c>
      <c r="K14" s="117">
        <f t="shared" si="0"/>
        <v>694.1588144249738</v>
      </c>
      <c r="L14" s="117">
        <f t="shared" si="0"/>
        <v>227.22417006162848</v>
      </c>
      <c r="M14" s="117">
        <f t="shared" si="0"/>
        <v>767.78355613029146</v>
      </c>
      <c r="N14" s="117">
        <f t="shared" si="0"/>
        <v>637.82750216647605</v>
      </c>
      <c r="O14" s="117">
        <f t="shared" si="0"/>
        <v>83.635833857472093</v>
      </c>
      <c r="P14" s="117">
        <f t="shared" si="0"/>
        <v>483.93599384974834</v>
      </c>
      <c r="Q14" s="117">
        <f t="shared" si="0"/>
        <v>276.15534827736576</v>
      </c>
      <c r="R14" s="117">
        <f t="shared" si="0"/>
        <v>483.93599384974834</v>
      </c>
      <c r="S14" s="117">
        <f t="shared" si="0"/>
        <v>252.39942523906271</v>
      </c>
      <c r="T14" s="117">
        <f t="shared" si="0"/>
        <v>736.30235702499908</v>
      </c>
      <c r="U14" s="117">
        <f t="shared" si="0"/>
        <v>484.42387394893143</v>
      </c>
      <c r="V14" s="117">
        <f t="shared" si="0"/>
        <v>3.3062063812051457E-2</v>
      </c>
      <c r="W14" s="117">
        <f t="shared" si="0"/>
        <v>736.30235702499908</v>
      </c>
      <c r="X14" s="117">
        <f t="shared" si="0"/>
        <v>519.29824968585751</v>
      </c>
      <c r="Y14" s="117">
        <f t="shared" si="0"/>
        <v>410.17867856049213</v>
      </c>
      <c r="Z14" s="117">
        <f t="shared" si="0"/>
        <v>368.16770954440557</v>
      </c>
      <c r="AA14" s="117">
        <f t="shared" si="0"/>
        <v>368.16770954440557</v>
      </c>
      <c r="AB14" s="117">
        <f t="shared" si="0"/>
        <v>374.33097594504738</v>
      </c>
      <c r="AC14" s="117">
        <f t="shared" si="0"/>
        <v>115.8013463691549</v>
      </c>
      <c r="AD14" s="117">
        <f t="shared" si="0"/>
        <v>620.53407271965614</v>
      </c>
      <c r="AE14" s="117">
        <f t="shared" si="0"/>
        <v>429.93763752473814</v>
      </c>
      <c r="AF14" s="117">
        <f t="shared" si="0"/>
        <v>368.16770954440557</v>
      </c>
      <c r="AG14" s="117">
        <f t="shared" si="0"/>
        <v>115.8013463691549</v>
      </c>
      <c r="AH14" s="117">
        <f t="shared" si="0"/>
        <v>620.53407271965614</v>
      </c>
      <c r="AI14" s="117">
        <f t="shared" si="0"/>
        <v>369.56390450249796</v>
      </c>
      <c r="AJ14" s="117">
        <f t="shared" si="0"/>
        <v>368.16770954440557</v>
      </c>
      <c r="AK14" s="117">
        <f t="shared" si="0"/>
        <v>368.16770954440557</v>
      </c>
      <c r="AL14" s="117">
        <f t="shared" si="0"/>
        <v>3.3062063812051457E-2</v>
      </c>
      <c r="AM14" s="117">
        <f t="shared" si="0"/>
        <v>368.16770954440557</v>
      </c>
      <c r="AN14" s="117">
        <f t="shared" si="0"/>
        <v>736.30235702499908</v>
      </c>
      <c r="AO14" s="117">
        <f t="shared" si="0"/>
        <v>491.76706162271239</v>
      </c>
      <c r="AP14" s="117">
        <f t="shared" si="0"/>
        <v>398.93815659477548</v>
      </c>
      <c r="AQ14" s="117">
        <f t="shared" si="0"/>
        <v>116.54393019485532</v>
      </c>
      <c r="AR14" s="117">
        <f t="shared" si="0"/>
        <v>3.3062063812064134E-2</v>
      </c>
      <c r="AS14" s="117">
        <f t="shared" si="0"/>
        <v>988.66872020024982</v>
      </c>
      <c r="AT14" s="117">
        <f t="shared" si="0"/>
        <v>619.39143046819811</v>
      </c>
      <c r="AU14" s="117">
        <f t="shared" si="0"/>
        <v>411.23194187869046</v>
      </c>
      <c r="AV14" s="117">
        <f t="shared" si="0"/>
        <v>368.16770954440557</v>
      </c>
      <c r="AW14" s="117">
        <f t="shared" si="0"/>
        <v>368.16770954440557</v>
      </c>
      <c r="AX14" s="117">
        <f t="shared" si="0"/>
        <v>368.16770954440557</v>
      </c>
      <c r="AY14" s="117">
        <f t="shared" si="0"/>
        <v>115.8013463691549</v>
      </c>
      <c r="AZ14" s="110">
        <f t="shared" si="0"/>
        <v>252.39942523906271</v>
      </c>
      <c r="BA14" s="107">
        <f>SUM($E14:$AZ14)</f>
        <v>18922.817107659459</v>
      </c>
    </row>
    <row r="15" spans="1:53">
      <c r="A15" s="122" t="s">
        <v>123</v>
      </c>
      <c r="B15" s="123">
        <v>1</v>
      </c>
      <c r="C15" s="124" t="s">
        <v>293</v>
      </c>
      <c r="D15" s="124">
        <v>827.02571390557375</v>
      </c>
      <c r="E15" s="124">
        <v>832.54126893298508</v>
      </c>
      <c r="F15" s="124">
        <v>825.60183578172098</v>
      </c>
      <c r="G15" s="124">
        <v>825.60183578172098</v>
      </c>
      <c r="H15" s="124">
        <v>825.60183578172098</v>
      </c>
      <c r="I15" s="124">
        <v>259.68003621685887</v>
      </c>
      <c r="J15" s="124">
        <v>990.70246882225615</v>
      </c>
      <c r="K15" s="124">
        <v>259.68003621685887</v>
      </c>
      <c r="L15" s="124">
        <v>990.70246882225615</v>
      </c>
      <c r="M15" s="124">
        <v>990.70246882225615</v>
      </c>
      <c r="N15" s="124">
        <v>7.4140398167291857E-2</v>
      </c>
      <c r="O15" s="124">
        <v>259.68003621685887</v>
      </c>
      <c r="P15" s="124">
        <v>7.4140398167291857E-2</v>
      </c>
      <c r="Q15" s="124">
        <v>259.68003621685887</v>
      </c>
      <c r="R15" s="124">
        <v>7.4140398167291857E-2</v>
      </c>
      <c r="S15" s="124">
        <v>1651.1295311652748</v>
      </c>
      <c r="T15" s="124">
        <v>825.60183578172098</v>
      </c>
      <c r="U15" s="124">
        <v>7.4140398167291857E-2</v>
      </c>
      <c r="V15" s="124">
        <v>1651.1295311652748</v>
      </c>
      <c r="W15" s="124">
        <v>825.60183578172098</v>
      </c>
      <c r="X15" s="124">
        <v>825.60183578172098</v>
      </c>
      <c r="Y15" s="124">
        <v>825.60183578172098</v>
      </c>
      <c r="Z15" s="124">
        <v>825.60183578172098</v>
      </c>
      <c r="AA15" s="124">
        <v>825.60183578172098</v>
      </c>
      <c r="AB15" s="124">
        <v>259.68003621685887</v>
      </c>
      <c r="AC15" s="124">
        <v>825.60183578172098</v>
      </c>
      <c r="AD15" s="124">
        <v>825.60183578172098</v>
      </c>
      <c r="AE15" s="124">
        <v>825.60183578172098</v>
      </c>
      <c r="AF15" s="124">
        <v>259.68003621685887</v>
      </c>
      <c r="AG15" s="124">
        <v>825.60183578172098</v>
      </c>
      <c r="AH15" s="124">
        <v>825.60183578172098</v>
      </c>
      <c r="AI15" s="124">
        <v>825.60183578172098</v>
      </c>
      <c r="AJ15" s="124">
        <v>825.60183578172098</v>
      </c>
      <c r="AK15" s="124">
        <v>7.4140398167291857E-2</v>
      </c>
      <c r="AL15" s="124">
        <v>825.60183578172098</v>
      </c>
      <c r="AM15" s="124">
        <v>825.60183578172098</v>
      </c>
      <c r="AN15" s="124">
        <v>825.60183578172098</v>
      </c>
      <c r="AO15" s="124">
        <v>825.60183578172098</v>
      </c>
      <c r="AP15" s="124">
        <v>259.68003621685887</v>
      </c>
      <c r="AQ15" s="124">
        <v>7.4140398167291857E-2</v>
      </c>
      <c r="AR15" s="124">
        <v>825.60183578172098</v>
      </c>
      <c r="AS15" s="124">
        <v>825.60183578172098</v>
      </c>
      <c r="AT15" s="124">
        <v>825.60183578172098</v>
      </c>
      <c r="AU15" s="124">
        <v>825.60183578172098</v>
      </c>
      <c r="AV15" s="124">
        <v>825.60183578172098</v>
      </c>
      <c r="AW15" s="124">
        <v>825.60183578172098</v>
      </c>
      <c r="AX15" s="124">
        <v>259.68003621685887</v>
      </c>
      <c r="AY15" s="124">
        <v>7.4140398167291857E-2</v>
      </c>
      <c r="AZ15" s="100">
        <v>0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/>
      <c r="G16" s="110"/>
      <c r="H16" s="110">
        <v>0</v>
      </c>
      <c r="I16" s="110">
        <v>0</v>
      </c>
      <c r="J16" s="110">
        <v>565.92179956486211</v>
      </c>
      <c r="K16" s="110">
        <v>0</v>
      </c>
      <c r="L16" s="110">
        <v>731.02243260539728</v>
      </c>
      <c r="M16" s="110">
        <v>0</v>
      </c>
      <c r="N16" s="110">
        <v>0</v>
      </c>
      <c r="O16" s="110">
        <v>825.52769538355369</v>
      </c>
      <c r="P16" s="110">
        <v>565.92179956486211</v>
      </c>
      <c r="Q16" s="110">
        <v>825.52769538355369</v>
      </c>
      <c r="R16" s="110">
        <v>565.92179956486211</v>
      </c>
      <c r="S16" s="110"/>
      <c r="T16" s="110">
        <v>0</v>
      </c>
      <c r="U16" s="110"/>
      <c r="V16" s="110"/>
      <c r="W16" s="110">
        <v>0</v>
      </c>
      <c r="X16" s="110">
        <v>0</v>
      </c>
      <c r="Y16" s="110">
        <v>0</v>
      </c>
      <c r="Z16" s="110"/>
      <c r="AA16" s="110"/>
      <c r="AB16" s="110">
        <v>0</v>
      </c>
      <c r="AC16" s="110">
        <v>565.92179956486211</v>
      </c>
      <c r="AD16" s="110">
        <v>0</v>
      </c>
      <c r="AE16" s="110">
        <v>0</v>
      </c>
      <c r="AF16" s="110">
        <v>0</v>
      </c>
      <c r="AG16" s="110">
        <v>565.92179956486211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/>
      <c r="AN16" s="110"/>
      <c r="AO16" s="110"/>
      <c r="AP16" s="110"/>
      <c r="AQ16" s="110">
        <v>0</v>
      </c>
      <c r="AR16" s="110">
        <v>825.52769538355369</v>
      </c>
      <c r="AS16" s="110">
        <v>0</v>
      </c>
      <c r="AT16" s="110">
        <v>0</v>
      </c>
      <c r="AU16" s="110"/>
      <c r="AV16" s="110">
        <v>0</v>
      </c>
      <c r="AW16" s="110">
        <v>0</v>
      </c>
      <c r="AX16" s="110">
        <v>0</v>
      </c>
      <c r="AY16" s="110">
        <v>565.92179956486211</v>
      </c>
      <c r="AZ16" s="100">
        <v>825.52769538355369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/>
      <c r="F17" s="110"/>
      <c r="G17" s="110"/>
      <c r="H17" s="110">
        <v>0</v>
      </c>
      <c r="I17" s="110"/>
      <c r="J17" s="110"/>
      <c r="K17" s="110"/>
      <c r="L17" s="110"/>
      <c r="M17" s="110"/>
      <c r="N17" s="110"/>
      <c r="O17" s="110"/>
      <c r="P17" s="110"/>
      <c r="Q17" s="110"/>
      <c r="R17" s="110">
        <v>0</v>
      </c>
      <c r="S17" s="110"/>
      <c r="T17" s="110">
        <v>0</v>
      </c>
      <c r="U17" s="110"/>
      <c r="V17" s="110"/>
      <c r="W17" s="110">
        <v>0</v>
      </c>
      <c r="X17" s="110"/>
      <c r="Y17" s="110"/>
      <c r="Z17" s="110"/>
      <c r="AA17" s="110">
        <v>0</v>
      </c>
      <c r="AB17" s="110">
        <v>0</v>
      </c>
      <c r="AC17" s="110"/>
      <c r="AD17" s="110"/>
      <c r="AE17" s="110"/>
      <c r="AF17" s="110"/>
      <c r="AG17" s="110"/>
      <c r="AH17" s="110">
        <v>0</v>
      </c>
      <c r="AI17" s="110"/>
      <c r="AJ17" s="110"/>
      <c r="AK17" s="110"/>
      <c r="AL17" s="110"/>
      <c r="AM17" s="110">
        <v>825.52769538355369</v>
      </c>
      <c r="AN17" s="110">
        <v>0</v>
      </c>
      <c r="AO17" s="110"/>
      <c r="AP17" s="110">
        <v>0</v>
      </c>
      <c r="AQ17" s="110">
        <v>0</v>
      </c>
      <c r="AR17" s="110">
        <v>565.92179956486211</v>
      </c>
      <c r="AS17" s="110"/>
      <c r="AT17" s="110"/>
      <c r="AU17" s="110"/>
      <c r="AV17" s="110">
        <v>0</v>
      </c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>
        <v>0</v>
      </c>
      <c r="V18" s="125"/>
      <c r="W18" s="125">
        <v>0</v>
      </c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>
        <v>0</v>
      </c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>
        <v>354.11781499766403</v>
      </c>
      <c r="M22" s="110">
        <v>140.99277464530678</v>
      </c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>
        <v>0</v>
      </c>
      <c r="M23" s="110">
        <v>0</v>
      </c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>
        <v>0</v>
      </c>
      <c r="M30" s="110">
        <v>0</v>
      </c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>
        <v>0</v>
      </c>
      <c r="M31" s="110">
        <v>0</v>
      </c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>
        <v>0</v>
      </c>
      <c r="M42" s="106">
        <v>0</v>
      </c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>
        <v>0</v>
      </c>
      <c r="M43" s="106">
        <v>0</v>
      </c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>
        <v>0</v>
      </c>
      <c r="M90" s="110">
        <v>0</v>
      </c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>
        <v>0</v>
      </c>
      <c r="M91" s="110">
        <v>0</v>
      </c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495.11058964297081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1051.0887666454175</v>
      </c>
      <c r="D95" s="110">
        <v>1050.8810297577081</v>
      </c>
      <c r="E95" s="110">
        <v>1050.8810297577081</v>
      </c>
      <c r="F95" s="110">
        <v>1050.8810297577081</v>
      </c>
      <c r="G95" s="110">
        <v>1050.8810297577081</v>
      </c>
      <c r="H95" s="110">
        <v>1261.0509904186592</v>
      </c>
      <c r="I95" s="110">
        <v>1261.0509904186592</v>
      </c>
      <c r="J95" s="110">
        <v>1261.0509904186592</v>
      </c>
      <c r="K95" s="110">
        <v>1261.0509904186592</v>
      </c>
      <c r="L95" s="110">
        <v>1050.8810297577081</v>
      </c>
      <c r="M95" s="110">
        <v>1050.8810297577081</v>
      </c>
      <c r="N95" s="110">
        <v>1050.8810297577081</v>
      </c>
      <c r="O95" s="110">
        <v>1050.8810297577081</v>
      </c>
      <c r="P95" s="110">
        <v>1050.8810297577081</v>
      </c>
      <c r="Q95" s="110">
        <v>1050.8810297577081</v>
      </c>
      <c r="R95" s="110">
        <v>1050.8810297577081</v>
      </c>
      <c r="S95" s="110">
        <v>1050.8810297577081</v>
      </c>
      <c r="T95" s="110">
        <v>1050.8810297577081</v>
      </c>
      <c r="U95" s="110">
        <v>1050.8810297577081</v>
      </c>
      <c r="V95" s="110">
        <v>1050.8810297577081</v>
      </c>
      <c r="W95" s="110">
        <v>1050.8810297577081</v>
      </c>
      <c r="X95" s="110">
        <v>1050.8810297577081</v>
      </c>
      <c r="Y95" s="110">
        <v>1050.8810297577081</v>
      </c>
      <c r="Z95" s="110">
        <v>1050.8810297577081</v>
      </c>
      <c r="AA95" s="110">
        <v>1050.8810297577081</v>
      </c>
      <c r="AB95" s="110">
        <v>1050.8810297577081</v>
      </c>
      <c r="AC95" s="110">
        <v>1050.8810297577081</v>
      </c>
      <c r="AD95" s="110">
        <v>1050.8810297577081</v>
      </c>
      <c r="AE95" s="110">
        <v>1050.8810297577081</v>
      </c>
      <c r="AF95" s="110">
        <v>1050.8810297577081</v>
      </c>
      <c r="AG95" s="110">
        <v>1050.8810297577081</v>
      </c>
      <c r="AH95" s="110">
        <v>1050.8810297577081</v>
      </c>
      <c r="AI95" s="110">
        <v>1050.8810297577081</v>
      </c>
      <c r="AJ95" s="110">
        <v>1050.8810297577081</v>
      </c>
      <c r="AK95" s="110">
        <v>1050.8810297577081</v>
      </c>
      <c r="AL95" s="110">
        <v>1050.8810297577081</v>
      </c>
      <c r="AM95" s="110">
        <v>1050.8810297577081</v>
      </c>
      <c r="AN95" s="110">
        <v>1050.8810297577081</v>
      </c>
      <c r="AO95" s="110">
        <v>1050.8810297577081</v>
      </c>
      <c r="AP95" s="110">
        <v>1050.8810297577081</v>
      </c>
      <c r="AQ95" s="110">
        <v>1050.8810297577081</v>
      </c>
      <c r="AR95" s="110">
        <v>1050.8810297577081</v>
      </c>
      <c r="AS95" s="110">
        <v>1050.8810297577081</v>
      </c>
      <c r="AT95" s="110">
        <v>1050.8810297577081</v>
      </c>
      <c r="AU95" s="110">
        <v>1050.8810297577081</v>
      </c>
      <c r="AV95" s="110">
        <v>1050.8810297577081</v>
      </c>
      <c r="AW95" s="110">
        <v>1050.8810297577081</v>
      </c>
      <c r="AX95" s="110">
        <v>1050.8810297577081</v>
      </c>
      <c r="AY95" s="110">
        <v>1050.8810297577081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105.88102975770812</v>
      </c>
      <c r="G96" s="110">
        <v>0</v>
      </c>
      <c r="H96" s="110">
        <v>57.88102975770812</v>
      </c>
      <c r="I96" s="110">
        <v>338.93202017636736</v>
      </c>
      <c r="J96" s="110">
        <v>413.9830105950266</v>
      </c>
      <c r="K96" s="110">
        <v>585.03400101368584</v>
      </c>
      <c r="L96" s="110">
        <v>536.96717643468105</v>
      </c>
      <c r="M96" s="110">
        <v>422.85543154708239</v>
      </c>
      <c r="N96" s="110">
        <v>326.73646130479051</v>
      </c>
      <c r="O96" s="110">
        <v>285.61749106249863</v>
      </c>
      <c r="P96" s="110">
        <v>94.49852082020675</v>
      </c>
      <c r="Q96" s="110">
        <v>0</v>
      </c>
      <c r="R96" s="110">
        <v>0</v>
      </c>
      <c r="S96" s="110">
        <v>0</v>
      </c>
      <c r="T96" s="110">
        <v>76.88102975770812</v>
      </c>
      <c r="U96" s="110">
        <v>87.76205951541624</v>
      </c>
      <c r="V96" s="110">
        <v>75.64308927312436</v>
      </c>
      <c r="W96" s="110">
        <v>198.52411903083248</v>
      </c>
      <c r="X96" s="110">
        <v>142.4051487885406</v>
      </c>
      <c r="Y96" s="110">
        <v>67.286178546248721</v>
      </c>
      <c r="Z96" s="110">
        <v>158.16720830395684</v>
      </c>
      <c r="AA96" s="110">
        <v>189.04823806166496</v>
      </c>
      <c r="AB96" s="110">
        <v>110.92926781937308</v>
      </c>
      <c r="AC96" s="110">
        <v>0</v>
      </c>
      <c r="AD96" s="110">
        <v>0</v>
      </c>
      <c r="AE96" s="110">
        <v>31.88102975770812</v>
      </c>
      <c r="AF96" s="110">
        <v>0</v>
      </c>
      <c r="AG96" s="110">
        <v>47.88102975770812</v>
      </c>
      <c r="AH96" s="110">
        <v>0</v>
      </c>
      <c r="AI96" s="110">
        <v>0</v>
      </c>
      <c r="AJ96" s="110">
        <v>8.8810297577081201</v>
      </c>
      <c r="AK96" s="110">
        <v>0</v>
      </c>
      <c r="AL96" s="110">
        <v>0</v>
      </c>
      <c r="AM96" s="110">
        <v>0</v>
      </c>
      <c r="AN96" s="110">
        <v>10.88102975770812</v>
      </c>
      <c r="AO96" s="110">
        <v>0</v>
      </c>
      <c r="AP96" s="110">
        <v>0</v>
      </c>
      <c r="AQ96" s="110">
        <v>0</v>
      </c>
      <c r="AR96" s="110">
        <v>67.88102975770812</v>
      </c>
      <c r="AS96" s="110">
        <v>0</v>
      </c>
      <c r="AT96" s="110">
        <v>0</v>
      </c>
      <c r="AU96" s="110">
        <v>0</v>
      </c>
      <c r="AV96" s="110">
        <v>0</v>
      </c>
      <c r="AW96" s="110">
        <v>137.88102975770812</v>
      </c>
      <c r="AX96" s="110">
        <v>84.76205951541624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650.00000000000011</v>
      </c>
      <c r="D100" s="106">
        <v>650.00000000000011</v>
      </c>
      <c r="E100" s="106">
        <v>610.52863494466521</v>
      </c>
      <c r="F100" s="106">
        <v>605.43927765486126</v>
      </c>
      <c r="G100" s="106">
        <v>605.43927765486126</v>
      </c>
      <c r="H100" s="106">
        <v>605.43927765486126</v>
      </c>
      <c r="I100" s="106">
        <v>190.39410418130845</v>
      </c>
      <c r="J100" s="106">
        <v>726.52353511515093</v>
      </c>
      <c r="K100" s="106">
        <v>190.39410418130839</v>
      </c>
      <c r="L100" s="106">
        <v>726.52353511515093</v>
      </c>
      <c r="M100" s="106">
        <v>726.52353511515093</v>
      </c>
      <c r="N100" s="106">
        <v>0</v>
      </c>
      <c r="O100" s="106">
        <v>190.39410418130845</v>
      </c>
      <c r="P100" s="106">
        <v>0</v>
      </c>
      <c r="Q100" s="106">
        <v>190.39410418130845</v>
      </c>
      <c r="R100" s="106">
        <v>0</v>
      </c>
      <c r="S100" s="106">
        <v>1210.8785553097225</v>
      </c>
      <c r="T100" s="106">
        <v>605.43927765486126</v>
      </c>
      <c r="U100" s="106">
        <v>0</v>
      </c>
      <c r="V100" s="106">
        <v>1210.8785553097225</v>
      </c>
      <c r="W100" s="106">
        <v>605.43927765486126</v>
      </c>
      <c r="X100" s="106">
        <v>605.43927765486126</v>
      </c>
      <c r="Y100" s="106">
        <v>605.43927765486126</v>
      </c>
      <c r="Z100" s="106">
        <v>605.43927765486126</v>
      </c>
      <c r="AA100" s="106">
        <v>605.43927765486126</v>
      </c>
      <c r="AB100" s="106">
        <v>190.39410418130845</v>
      </c>
      <c r="AC100" s="106">
        <v>605.43927765486126</v>
      </c>
      <c r="AD100" s="106">
        <v>605.43927765486126</v>
      </c>
      <c r="AE100" s="106">
        <v>605.43927765486126</v>
      </c>
      <c r="AF100" s="106">
        <v>190.39410418130845</v>
      </c>
      <c r="AG100" s="106">
        <v>605.43927765486126</v>
      </c>
      <c r="AH100" s="106">
        <v>605.43927765486126</v>
      </c>
      <c r="AI100" s="106">
        <v>605.43927765486126</v>
      </c>
      <c r="AJ100" s="106">
        <v>605.43927765486126</v>
      </c>
      <c r="AK100" s="106">
        <v>0</v>
      </c>
      <c r="AL100" s="106">
        <v>605.43927765486126</v>
      </c>
      <c r="AM100" s="106">
        <v>605.43927765486126</v>
      </c>
      <c r="AN100" s="106">
        <v>605.43927765486126</v>
      </c>
      <c r="AO100" s="106">
        <v>605.43927765486126</v>
      </c>
      <c r="AP100" s="106">
        <v>190.39410418130845</v>
      </c>
      <c r="AQ100" s="106">
        <v>0</v>
      </c>
      <c r="AR100" s="106">
        <v>605.43927765486126</v>
      </c>
      <c r="AS100" s="106">
        <v>605.43927765486126</v>
      </c>
      <c r="AT100" s="106">
        <v>605.43927765486126</v>
      </c>
      <c r="AU100" s="106">
        <v>605.43927765486126</v>
      </c>
      <c r="AV100" s="106">
        <v>605.43927765486126</v>
      </c>
      <c r="AW100" s="106">
        <v>605.43927765486126</v>
      </c>
      <c r="AX100" s="106">
        <v>190.39410418130845</v>
      </c>
      <c r="AY100" s="106">
        <v>0</v>
      </c>
    </row>
    <row r="101" spans="1:52">
      <c r="A101" s="109"/>
      <c r="B101" s="119">
        <v>2</v>
      </c>
      <c r="C101" s="106">
        <v>379.0000000000008</v>
      </c>
      <c r="D101" s="106">
        <v>650.00000000000011</v>
      </c>
      <c r="E101" s="106">
        <v>650.00000000000011</v>
      </c>
      <c r="F101" s="106">
        <v>610.52863494466521</v>
      </c>
      <c r="G101" s="106">
        <v>584.92485875356931</v>
      </c>
      <c r="H101" s="106">
        <v>475.36413640843057</v>
      </c>
      <c r="I101" s="106">
        <v>321.80341406329183</v>
      </c>
      <c r="J101" s="106">
        <v>415.04517347355284</v>
      </c>
      <c r="K101" s="106">
        <v>411.56870858870377</v>
      </c>
      <c r="L101" s="106">
        <v>536.12943093384251</v>
      </c>
      <c r="M101" s="106">
        <v>601.65296604899345</v>
      </c>
      <c r="N101" s="106">
        <v>565.17650116414438</v>
      </c>
      <c r="O101" s="106">
        <v>605.43927765486126</v>
      </c>
      <c r="P101" s="106">
        <v>605.43927765486126</v>
      </c>
      <c r="Q101" s="106">
        <v>605.43927765486126</v>
      </c>
      <c r="R101" s="106">
        <v>605.43927765486126</v>
      </c>
      <c r="S101" s="106">
        <v>0</v>
      </c>
      <c r="T101" s="106">
        <v>471.87855530972251</v>
      </c>
      <c r="U101" s="106">
        <v>441.31783296458377</v>
      </c>
      <c r="V101" s="106">
        <v>0</v>
      </c>
      <c r="W101" s="106">
        <v>598.87855530972251</v>
      </c>
      <c r="X101" s="106">
        <v>499.31783296458377</v>
      </c>
      <c r="Y101" s="106">
        <v>371.75711061944503</v>
      </c>
      <c r="Z101" s="106">
        <v>350.19638827430629</v>
      </c>
      <c r="AA101" s="106">
        <v>195.63566592916754</v>
      </c>
      <c r="AB101" s="106">
        <v>100.0749435840288</v>
      </c>
      <c r="AC101" s="106">
        <v>415.04517347355284</v>
      </c>
      <c r="AD101" s="106">
        <v>385.48445112841409</v>
      </c>
      <c r="AE101" s="106">
        <v>293.92372878327535</v>
      </c>
      <c r="AF101" s="106">
        <v>115.36300643813661</v>
      </c>
      <c r="AG101" s="106">
        <v>415.04517347355284</v>
      </c>
      <c r="AH101" s="106">
        <v>414.48445112841409</v>
      </c>
      <c r="AI101" s="106">
        <v>304.92372878327535</v>
      </c>
      <c r="AJ101" s="106">
        <v>229.36300643813661</v>
      </c>
      <c r="AK101" s="106">
        <v>92.802284092997866</v>
      </c>
      <c r="AL101" s="106">
        <v>0</v>
      </c>
      <c r="AM101" s="106">
        <v>0</v>
      </c>
      <c r="AN101" s="106">
        <v>440.87855530972251</v>
      </c>
      <c r="AO101" s="106">
        <v>370.31783296458377</v>
      </c>
      <c r="AP101" s="106">
        <v>302.75711061944503</v>
      </c>
      <c r="AQ101" s="106">
        <v>2.8421709430404007E-14</v>
      </c>
      <c r="AR101" s="106">
        <v>605.43927765486126</v>
      </c>
      <c r="AS101" s="106">
        <v>605.43927765486126</v>
      </c>
      <c r="AT101" s="106">
        <v>605.43927765486126</v>
      </c>
      <c r="AU101" s="106">
        <v>605.43927765486126</v>
      </c>
      <c r="AV101" s="106">
        <v>605.43927765486126</v>
      </c>
      <c r="AW101" s="106">
        <v>605.43927765486126</v>
      </c>
      <c r="AX101" s="106">
        <v>560.12011705758164</v>
      </c>
      <c r="AY101" s="106">
        <v>579.5593947124429</v>
      </c>
    </row>
    <row r="102" spans="1:52">
      <c r="A102" s="109"/>
      <c r="B102" s="120">
        <v>3</v>
      </c>
      <c r="C102" s="106">
        <v>451.95694615404182</v>
      </c>
      <c r="D102" s="106">
        <v>123.95694615404261</v>
      </c>
      <c r="E102" s="106">
        <v>111.95694615404273</v>
      </c>
      <c r="F102" s="106">
        <v>162.95694615404284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51.439277654861257</v>
      </c>
      <c r="Q102" s="106">
        <v>93.878555309722515</v>
      </c>
      <c r="R102" s="106">
        <v>122.31783296458377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605.43927765486126</v>
      </c>
      <c r="AN102" s="106">
        <v>0</v>
      </c>
      <c r="AO102" s="106">
        <v>0</v>
      </c>
      <c r="AP102" s="106">
        <v>0</v>
      </c>
      <c r="AQ102" s="106">
        <v>0</v>
      </c>
      <c r="AR102" s="106">
        <v>415.04517347355284</v>
      </c>
      <c r="AS102" s="106">
        <v>322.48445112841409</v>
      </c>
      <c r="AT102" s="106">
        <v>288.92372878327535</v>
      </c>
      <c r="AU102" s="106">
        <v>165.36300643813661</v>
      </c>
      <c r="AV102" s="106">
        <v>45.802284092997866</v>
      </c>
      <c r="AW102" s="106">
        <v>11.241561747859123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367.93389045994576</v>
      </c>
      <c r="D109" s="106">
        <v>623.74221055959583</v>
      </c>
      <c r="E109" s="106">
        <v>440.27678936539212</v>
      </c>
      <c r="F109" s="106">
        <v>377.51739135596443</v>
      </c>
      <c r="G109" s="106">
        <v>368.16770954440557</v>
      </c>
      <c r="H109" s="106">
        <v>368.16770954440557</v>
      </c>
      <c r="I109" s="106">
        <v>368.16770954440557</v>
      </c>
      <c r="J109" s="106">
        <v>115.8013463691549</v>
      </c>
      <c r="K109" s="106">
        <v>694.1588144249738</v>
      </c>
      <c r="L109" s="106">
        <v>227.22417006162848</v>
      </c>
      <c r="M109" s="106">
        <v>767.78355613029146</v>
      </c>
      <c r="N109" s="106">
        <v>637.82750216647605</v>
      </c>
      <c r="O109" s="106">
        <v>83.635833857472093</v>
      </c>
      <c r="P109" s="106">
        <v>483.93599384974834</v>
      </c>
      <c r="Q109" s="106">
        <v>276.15534827736576</v>
      </c>
      <c r="R109" s="106">
        <v>483.93599384974834</v>
      </c>
      <c r="S109" s="106">
        <v>252.39942523906271</v>
      </c>
      <c r="T109" s="106">
        <v>736.30235702499908</v>
      </c>
      <c r="U109" s="106">
        <v>484.42387394893143</v>
      </c>
      <c r="V109" s="106">
        <v>3.3062063812051457E-2</v>
      </c>
      <c r="W109" s="106">
        <v>736.30235702499908</v>
      </c>
      <c r="X109" s="106">
        <v>519.29824968585751</v>
      </c>
      <c r="Y109" s="106">
        <v>410.17867856049213</v>
      </c>
      <c r="Z109" s="106">
        <v>368.16770954440557</v>
      </c>
      <c r="AA109" s="106">
        <v>368.16770954440557</v>
      </c>
      <c r="AB109" s="106">
        <v>374.33097594504738</v>
      </c>
      <c r="AC109" s="106">
        <v>115.8013463691549</v>
      </c>
      <c r="AD109" s="106">
        <v>620.53407271965614</v>
      </c>
      <c r="AE109" s="106">
        <v>429.93763752473814</v>
      </c>
      <c r="AF109" s="106">
        <v>368.16770954440557</v>
      </c>
      <c r="AG109" s="106">
        <v>115.8013463691549</v>
      </c>
      <c r="AH109" s="106">
        <v>620.53407271965614</v>
      </c>
      <c r="AI109" s="106">
        <v>369.56390450249796</v>
      </c>
      <c r="AJ109" s="106">
        <v>368.16770954440557</v>
      </c>
      <c r="AK109" s="106">
        <v>368.16770954440557</v>
      </c>
      <c r="AL109" s="106">
        <v>3.3062063812051457E-2</v>
      </c>
      <c r="AM109" s="106">
        <v>368.16770954440557</v>
      </c>
      <c r="AN109" s="106">
        <v>736.30235702499908</v>
      </c>
      <c r="AO109" s="106">
        <v>491.76706162271239</v>
      </c>
      <c r="AP109" s="106">
        <v>398.93815659477548</v>
      </c>
      <c r="AQ109" s="106">
        <v>116.54393019485532</v>
      </c>
      <c r="AR109" s="106">
        <v>3.3062063812064134E-2</v>
      </c>
      <c r="AS109" s="106">
        <v>988.66872020024982</v>
      </c>
      <c r="AT109" s="106">
        <v>619.39143046819811</v>
      </c>
      <c r="AU109" s="106">
        <v>411.23194187869046</v>
      </c>
      <c r="AV109" s="106">
        <v>368.16770954440557</v>
      </c>
      <c r="AW109" s="106">
        <v>368.16770954440557</v>
      </c>
      <c r="AX109" s="106">
        <v>368.16770954440557</v>
      </c>
      <c r="AY109" s="106">
        <v>115.8013463691549</v>
      </c>
    </row>
    <row r="110" spans="1:52">
      <c r="A110" s="109"/>
      <c r="B110" s="119">
        <v>2</v>
      </c>
      <c r="C110" s="106">
        <v>148.29697131390546</v>
      </c>
      <c r="D110" s="106">
        <v>50.230861773851245</v>
      </c>
      <c r="E110" s="106">
        <v>277.97307233344708</v>
      </c>
      <c r="F110" s="106">
        <v>256.2498616988392</v>
      </c>
      <c r="G110" s="106">
        <v>181.76725305480363</v>
      </c>
      <c r="H110" s="106">
        <v>190.9349625992092</v>
      </c>
      <c r="I110" s="106">
        <v>56.102672143614768</v>
      </c>
      <c r="J110" s="106">
        <v>0</v>
      </c>
      <c r="K110" s="106">
        <v>0</v>
      </c>
      <c r="L110" s="106">
        <v>200.54975626933543</v>
      </c>
      <c r="M110" s="106">
        <v>0</v>
      </c>
      <c r="N110" s="106">
        <v>339.78355613029146</v>
      </c>
      <c r="O110" s="106">
        <v>468.45363691536761</v>
      </c>
      <c r="P110" s="106">
        <v>83.635833857472093</v>
      </c>
      <c r="Q110" s="106">
        <v>191.02546462258806</v>
      </c>
      <c r="R110" s="106">
        <v>0</v>
      </c>
      <c r="S110" s="106">
        <v>8.5191574473062701</v>
      </c>
      <c r="T110" s="106">
        <v>2.8421709430404007E-14</v>
      </c>
      <c r="U110" s="106">
        <v>242.30235702499908</v>
      </c>
      <c r="V110" s="106">
        <v>158.08159584618653</v>
      </c>
      <c r="W110" s="106">
        <v>0</v>
      </c>
      <c r="X110" s="106">
        <v>238.30235702499908</v>
      </c>
      <c r="Y110" s="106">
        <v>253.6006067108566</v>
      </c>
      <c r="Z110" s="106">
        <v>127.77928527134873</v>
      </c>
      <c r="AA110" s="106">
        <v>0</v>
      </c>
      <c r="AB110" s="106">
        <v>0</v>
      </c>
      <c r="AC110" s="106">
        <v>0</v>
      </c>
      <c r="AD110" s="106">
        <v>0</v>
      </c>
      <c r="AE110" s="106">
        <v>131.53407271965614</v>
      </c>
      <c r="AF110" s="106">
        <v>145.47171024439427</v>
      </c>
      <c r="AG110" s="106">
        <v>17.892185353593277</v>
      </c>
      <c r="AH110" s="106">
        <v>1.4210854715202004E-14</v>
      </c>
      <c r="AI110" s="106">
        <v>248.53407271965614</v>
      </c>
      <c r="AJ110" s="106">
        <v>216.0979772221541</v>
      </c>
      <c r="AK110" s="106">
        <v>215.26568676655967</v>
      </c>
      <c r="AL110" s="106">
        <v>54.163435219194753</v>
      </c>
      <c r="AM110" s="106">
        <v>0</v>
      </c>
      <c r="AN110" s="106">
        <v>0</v>
      </c>
      <c r="AO110" s="106">
        <v>280.30235702499908</v>
      </c>
      <c r="AP110" s="106">
        <v>292.06941864771147</v>
      </c>
      <c r="AQ110" s="106">
        <v>245.49690333200647</v>
      </c>
      <c r="AR110" s="106">
        <v>1.4210854715202004E-14</v>
      </c>
      <c r="AS110" s="106">
        <v>0</v>
      </c>
      <c r="AT110" s="106">
        <v>436.66872020024982</v>
      </c>
      <c r="AU110" s="106">
        <v>566.06015066844793</v>
      </c>
      <c r="AV110" s="106">
        <v>411.23194187869046</v>
      </c>
      <c r="AW110" s="106">
        <v>368.16770954440557</v>
      </c>
      <c r="AX110" s="106">
        <v>368.16770954440557</v>
      </c>
      <c r="AY110" s="106">
        <v>233.7952211803551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6.4536369153676105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139.06015066844793</v>
      </c>
      <c r="AW111" s="106">
        <v>142.2920925471384</v>
      </c>
      <c r="AX111" s="106">
        <v>34.459802091543963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827.02552502309936</v>
      </c>
      <c r="D122" s="106">
        <v>827.02571390557375</v>
      </c>
      <c r="E122" s="106">
        <v>832.54126893298508</v>
      </c>
      <c r="F122" s="106">
        <v>825.60183578172098</v>
      </c>
      <c r="G122" s="106">
        <v>825.60183578172098</v>
      </c>
      <c r="H122" s="106">
        <v>825.60183578172098</v>
      </c>
      <c r="I122" s="106">
        <v>259.68003621685887</v>
      </c>
      <c r="J122" s="106">
        <v>990.70246882225615</v>
      </c>
      <c r="K122" s="106">
        <v>259.68003621685887</v>
      </c>
      <c r="L122" s="106">
        <v>990.70246882225615</v>
      </c>
      <c r="M122" s="106">
        <v>990.70246882225615</v>
      </c>
      <c r="N122" s="106">
        <v>7.4140398167291857E-2</v>
      </c>
      <c r="O122" s="106">
        <v>259.68003621685887</v>
      </c>
      <c r="P122" s="106">
        <v>7.4140398167291857E-2</v>
      </c>
      <c r="Q122" s="106">
        <v>259.68003621685887</v>
      </c>
      <c r="R122" s="106">
        <v>7.4140398167291857E-2</v>
      </c>
      <c r="S122" s="106">
        <v>1651.1295311652748</v>
      </c>
      <c r="T122" s="106">
        <v>825.60183578172098</v>
      </c>
      <c r="U122" s="106">
        <v>7.4140398167291857E-2</v>
      </c>
      <c r="V122" s="106">
        <v>1651.1295311652748</v>
      </c>
      <c r="W122" s="106">
        <v>825.60183578172098</v>
      </c>
      <c r="X122" s="106">
        <v>825.60183578172098</v>
      </c>
      <c r="Y122" s="106">
        <v>825.60183578172098</v>
      </c>
      <c r="Z122" s="106">
        <v>825.60183578172098</v>
      </c>
      <c r="AA122" s="106">
        <v>825.60183578172098</v>
      </c>
      <c r="AB122" s="106">
        <v>259.68003621685887</v>
      </c>
      <c r="AC122" s="106">
        <v>825.60183578172098</v>
      </c>
      <c r="AD122" s="106">
        <v>825.60183578172098</v>
      </c>
      <c r="AE122" s="106">
        <v>825.60183578172098</v>
      </c>
      <c r="AF122" s="106">
        <v>259.68003621685887</v>
      </c>
      <c r="AG122" s="106">
        <v>825.60183578172098</v>
      </c>
      <c r="AH122" s="106">
        <v>825.60183578172098</v>
      </c>
      <c r="AI122" s="106">
        <v>825.60183578172098</v>
      </c>
      <c r="AJ122" s="106">
        <v>825.60183578172098</v>
      </c>
      <c r="AK122" s="106">
        <v>7.4140398167291857E-2</v>
      </c>
      <c r="AL122" s="106">
        <v>825.60183578172098</v>
      </c>
      <c r="AM122" s="106">
        <v>825.60183578172098</v>
      </c>
      <c r="AN122" s="106">
        <v>825.60183578172098</v>
      </c>
      <c r="AO122" s="106">
        <v>825.60183578172098</v>
      </c>
      <c r="AP122" s="106">
        <v>259.68003621685887</v>
      </c>
      <c r="AQ122" s="106">
        <v>7.4140398167291857E-2</v>
      </c>
      <c r="AR122" s="106">
        <v>825.60183578172098</v>
      </c>
      <c r="AS122" s="106">
        <v>825.60183578172098</v>
      </c>
      <c r="AT122" s="106">
        <v>825.60183578172098</v>
      </c>
      <c r="AU122" s="106">
        <v>825.60183578172098</v>
      </c>
      <c r="AV122" s="106">
        <v>825.60183578172098</v>
      </c>
      <c r="AW122" s="106">
        <v>825.60183578172098</v>
      </c>
      <c r="AX122" s="106">
        <v>259.68003621685887</v>
      </c>
      <c r="AY122" s="106">
        <v>7.4140398167291857E-2</v>
      </c>
    </row>
    <row r="123" spans="1:52">
      <c r="A123" s="109"/>
      <c r="B123" s="119">
        <v>2</v>
      </c>
      <c r="C123" s="106">
        <v>0</v>
      </c>
      <c r="D123" s="106">
        <v>160.27794181686824</v>
      </c>
      <c r="E123" s="106">
        <v>14.026866357049926</v>
      </c>
      <c r="F123" s="106">
        <v>0</v>
      </c>
      <c r="G123" s="106">
        <v>0</v>
      </c>
      <c r="H123" s="106">
        <v>0</v>
      </c>
      <c r="I123" s="106">
        <v>0</v>
      </c>
      <c r="J123" s="106">
        <v>565.92179956486211</v>
      </c>
      <c r="K123" s="106">
        <v>249.86136862009079</v>
      </c>
      <c r="L123" s="106">
        <v>731.02243260539728</v>
      </c>
      <c r="M123" s="106">
        <v>439.60101257851778</v>
      </c>
      <c r="N123" s="106">
        <v>187.47597923429794</v>
      </c>
      <c r="O123" s="106">
        <v>825.52769538355369</v>
      </c>
      <c r="P123" s="106">
        <v>619.19353731552633</v>
      </c>
      <c r="Q123" s="106">
        <v>825.52769538355369</v>
      </c>
      <c r="R123" s="106">
        <v>565.92179956486211</v>
      </c>
      <c r="S123" s="106">
        <v>6.5086824818649802E-15</v>
      </c>
      <c r="T123" s="106">
        <v>260.69994805381373</v>
      </c>
      <c r="U123" s="106">
        <v>0</v>
      </c>
      <c r="V123" s="106">
        <v>0</v>
      </c>
      <c r="W123" s="106">
        <v>338.90438555262995</v>
      </c>
      <c r="X123" s="106">
        <v>94.207971648493299</v>
      </c>
      <c r="Y123" s="106">
        <v>0</v>
      </c>
      <c r="Z123" s="106">
        <v>0</v>
      </c>
      <c r="AA123" s="106">
        <v>13.820886304989699</v>
      </c>
      <c r="AB123" s="106">
        <v>0</v>
      </c>
      <c r="AC123" s="106">
        <v>565.92179956486211</v>
      </c>
      <c r="AD123" s="106">
        <v>138.51667219750118</v>
      </c>
      <c r="AE123" s="106">
        <v>0</v>
      </c>
      <c r="AF123" s="106">
        <v>0</v>
      </c>
      <c r="AG123" s="106">
        <v>565.92179956486211</v>
      </c>
      <c r="AH123" s="106">
        <v>3.1309131426454542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277.16676213554138</v>
      </c>
      <c r="AO123" s="106">
        <v>69.001536294550021</v>
      </c>
      <c r="AP123" s="106">
        <v>1.6652154814955225</v>
      </c>
      <c r="AQ123" s="106">
        <v>2.8421709430404007E-14</v>
      </c>
      <c r="AR123" s="106">
        <v>825.52769538355369</v>
      </c>
      <c r="AS123" s="106">
        <v>457.43412623731541</v>
      </c>
      <c r="AT123" s="106">
        <v>96.569873864584395</v>
      </c>
      <c r="AU123" s="106">
        <v>0</v>
      </c>
      <c r="AV123" s="106">
        <v>0</v>
      </c>
      <c r="AW123" s="106">
        <v>0</v>
      </c>
      <c r="AX123" s="106">
        <v>0</v>
      </c>
      <c r="AY123" s="106">
        <v>565.92179956486211</v>
      </c>
    </row>
    <row r="124" spans="1:52">
      <c r="A124" s="109"/>
      <c r="B124" s="119">
        <v>3</v>
      </c>
      <c r="C124" s="106">
        <v>574.99462735336465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825.52769538355369</v>
      </c>
      <c r="AN124" s="106">
        <v>0</v>
      </c>
      <c r="AO124" s="106">
        <v>0</v>
      </c>
      <c r="AP124" s="106">
        <v>0</v>
      </c>
      <c r="AQ124" s="106">
        <v>0</v>
      </c>
      <c r="AR124" s="106">
        <v>565.92179956486211</v>
      </c>
      <c r="AS124" s="106">
        <v>105.92534231374611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0.44488819187251699</v>
      </c>
      <c r="D172" s="134">
        <v>0.44593857909219159</v>
      </c>
      <c r="E172" s="134">
        <v>0.44593857909219159</v>
      </c>
      <c r="F172" s="134">
        <v>0.44593857909219159</v>
      </c>
      <c r="G172" s="134">
        <v>0.44593857909219159</v>
      </c>
      <c r="H172" s="134">
        <v>0.44593857909219159</v>
      </c>
      <c r="I172" s="134">
        <v>0.44593857909219159</v>
      </c>
      <c r="J172" s="134">
        <v>0.44593857909219159</v>
      </c>
      <c r="K172" s="134">
        <v>0.44593857909219159</v>
      </c>
      <c r="L172" s="134">
        <v>0.44593857909219159</v>
      </c>
      <c r="M172" s="134">
        <v>0.44593857909219159</v>
      </c>
      <c r="N172" s="134">
        <v>0.44593857909219159</v>
      </c>
      <c r="O172" s="134">
        <v>0.44593857909219159</v>
      </c>
      <c r="P172" s="134">
        <v>0.44593857909219159</v>
      </c>
      <c r="Q172" s="134">
        <v>0.44593857909219159</v>
      </c>
      <c r="R172" s="134">
        <v>0.44593857909219159</v>
      </c>
      <c r="S172" s="134">
        <v>0.44593857909219159</v>
      </c>
      <c r="T172" s="134">
        <v>0.44593857909219159</v>
      </c>
      <c r="U172" s="134">
        <v>0.44593857909219159</v>
      </c>
      <c r="V172" s="134">
        <v>0.44593857909219159</v>
      </c>
      <c r="W172" s="134">
        <v>0.44593857909219159</v>
      </c>
      <c r="X172" s="134">
        <v>0.44593857909219159</v>
      </c>
      <c r="Y172" s="134">
        <v>0.44593857909219159</v>
      </c>
      <c r="Z172" s="134">
        <v>0.44593857909219159</v>
      </c>
      <c r="AA172" s="134">
        <v>0.44593857909219159</v>
      </c>
      <c r="AB172" s="134">
        <v>0.44593857909219159</v>
      </c>
      <c r="AC172" s="134">
        <v>0.44593857909219159</v>
      </c>
      <c r="AD172" s="134">
        <v>0.44593857909219159</v>
      </c>
      <c r="AE172" s="134">
        <v>0.44593857909219159</v>
      </c>
      <c r="AF172" s="134">
        <v>0.44593857909219159</v>
      </c>
      <c r="AG172" s="134">
        <v>0.44593857909219159</v>
      </c>
      <c r="AH172" s="134">
        <v>0.44593857909219159</v>
      </c>
      <c r="AI172" s="134">
        <v>0.44593857909219159</v>
      </c>
      <c r="AJ172" s="134">
        <v>0.44593857909219159</v>
      </c>
      <c r="AK172" s="134">
        <v>0.44593857909219159</v>
      </c>
      <c r="AL172" s="134">
        <v>0.44593857909219159</v>
      </c>
      <c r="AM172" s="134">
        <v>0.44593857909219159</v>
      </c>
      <c r="AN172" s="134">
        <v>0.44593857909219159</v>
      </c>
      <c r="AO172" s="134">
        <v>0.44593857909219159</v>
      </c>
      <c r="AP172" s="134">
        <v>0.44593857909219159</v>
      </c>
      <c r="AQ172" s="134">
        <v>0.44593857909219159</v>
      </c>
      <c r="AR172" s="134">
        <v>0.44593857909219159</v>
      </c>
      <c r="AS172" s="134">
        <v>0.44593857909219159</v>
      </c>
      <c r="AT172" s="134">
        <v>0.44593857909219159</v>
      </c>
      <c r="AU172" s="134">
        <v>0.44593857909219159</v>
      </c>
      <c r="AV172" s="134">
        <v>0.44593857909219159</v>
      </c>
      <c r="AW172" s="134">
        <v>0.44593857909219159</v>
      </c>
      <c r="AX172" s="134">
        <v>0.44593857909219159</v>
      </c>
      <c r="AY172" s="134">
        <v>0.44593857909219159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1050.8810297577081</v>
      </c>
      <c r="E175" s="124">
        <f t="shared" si="1"/>
        <v>1050.8810297577081</v>
      </c>
      <c r="F175" s="124">
        <f t="shared" si="1"/>
        <v>1156.7620595154162</v>
      </c>
      <c r="G175" s="124">
        <f t="shared" si="1"/>
        <v>1050.8810297577081</v>
      </c>
      <c r="H175" s="124">
        <f t="shared" si="1"/>
        <v>1318.9320201763674</v>
      </c>
      <c r="I175" s="124">
        <f t="shared" si="1"/>
        <v>1599.9830105950266</v>
      </c>
      <c r="J175" s="124">
        <f t="shared" si="1"/>
        <v>1675.0340010136858</v>
      </c>
      <c r="K175" s="124">
        <f t="shared" si="1"/>
        <v>1846.0849914323451</v>
      </c>
      <c r="L175" s="124">
        <f t="shared" si="1"/>
        <v>1587.8482061923892</v>
      </c>
      <c r="M175" s="124">
        <f t="shared" si="1"/>
        <v>1473.7364613047905</v>
      </c>
      <c r="N175" s="124">
        <f t="shared" si="1"/>
        <v>1377.6174910624986</v>
      </c>
      <c r="O175" s="124">
        <f t="shared" si="1"/>
        <v>1336.4985208202067</v>
      </c>
      <c r="P175" s="124">
        <f t="shared" si="1"/>
        <v>1145.3795505779149</v>
      </c>
      <c r="Q175" s="124">
        <f t="shared" si="1"/>
        <v>1050.8810297577081</v>
      </c>
      <c r="R175" s="124">
        <f t="shared" si="1"/>
        <v>1050.8810297577081</v>
      </c>
      <c r="S175" s="124">
        <f t="shared" si="1"/>
        <v>1050.8810297577081</v>
      </c>
      <c r="T175" s="124">
        <f t="shared" si="1"/>
        <v>1127.7620595154162</v>
      </c>
      <c r="U175" s="124">
        <f t="shared" si="1"/>
        <v>1138.6430892731244</v>
      </c>
      <c r="V175" s="124">
        <f t="shared" si="1"/>
        <v>1126.5241190308325</v>
      </c>
      <c r="W175" s="124">
        <f t="shared" si="1"/>
        <v>1249.4051487885406</v>
      </c>
      <c r="X175" s="124">
        <f t="shared" si="1"/>
        <v>1193.2861785462487</v>
      </c>
      <c r="Y175" s="124">
        <f t="shared" si="1"/>
        <v>1118.1672083039568</v>
      </c>
      <c r="Z175" s="124">
        <f t="shared" si="1"/>
        <v>1209.048238061665</v>
      </c>
      <c r="AA175" s="124">
        <f t="shared" si="1"/>
        <v>1239.9292678193731</v>
      </c>
      <c r="AB175" s="124">
        <f t="shared" si="1"/>
        <v>1161.8102975770812</v>
      </c>
      <c r="AC175" s="124">
        <f t="shared" si="1"/>
        <v>1050.8810297577081</v>
      </c>
      <c r="AD175" s="124">
        <f t="shared" si="1"/>
        <v>1050.8810297577081</v>
      </c>
      <c r="AE175" s="124">
        <f t="shared" si="1"/>
        <v>1082.7620595154162</v>
      </c>
      <c r="AF175" s="124">
        <f t="shared" si="1"/>
        <v>1050.8810297577081</v>
      </c>
      <c r="AG175" s="124">
        <f t="shared" si="1"/>
        <v>1098.7620595154162</v>
      </c>
      <c r="AH175" s="124">
        <f t="shared" si="1"/>
        <v>1050.8810297577081</v>
      </c>
      <c r="AI175" s="124">
        <f t="shared" si="1"/>
        <v>1050.8810297577081</v>
      </c>
      <c r="AJ175" s="124">
        <f t="shared" si="1"/>
        <v>1059.7620595154162</v>
      </c>
      <c r="AK175" s="124">
        <f t="shared" si="1"/>
        <v>1050.8810297577081</v>
      </c>
      <c r="AL175" s="124">
        <f t="shared" si="1"/>
        <v>1050.8810297577081</v>
      </c>
      <c r="AM175" s="124">
        <f t="shared" si="1"/>
        <v>1050.8810297577081</v>
      </c>
      <c r="AN175" s="124">
        <f t="shared" si="1"/>
        <v>1061.7620595154162</v>
      </c>
      <c r="AO175" s="124">
        <f t="shared" si="1"/>
        <v>1050.8810297577081</v>
      </c>
      <c r="AP175" s="124">
        <f t="shared" si="1"/>
        <v>1050.8810297577081</v>
      </c>
      <c r="AQ175" s="124">
        <f t="shared" si="1"/>
        <v>1050.8810297577081</v>
      </c>
      <c r="AR175" s="124">
        <f t="shared" si="1"/>
        <v>1118.7620595154162</v>
      </c>
      <c r="AS175" s="124">
        <f t="shared" si="1"/>
        <v>1050.8810297577081</v>
      </c>
      <c r="AT175" s="124">
        <f t="shared" si="1"/>
        <v>1050.8810297577081</v>
      </c>
      <c r="AU175" s="124">
        <f t="shared" si="1"/>
        <v>1050.8810297577081</v>
      </c>
      <c r="AV175" s="124">
        <f t="shared" si="1"/>
        <v>1050.8810297577081</v>
      </c>
      <c r="AW175" s="124">
        <f t="shared" si="1"/>
        <v>1188.7620595154162</v>
      </c>
      <c r="AX175" s="124">
        <f t="shared" si="1"/>
        <v>1135.6430892731244</v>
      </c>
      <c r="AY175" s="124">
        <f t="shared" si="1"/>
        <v>1050.8810297577081</v>
      </c>
    </row>
    <row r="176" spans="1:52">
      <c r="A176" s="125"/>
      <c r="B176" s="136" t="s">
        <v>299</v>
      </c>
      <c r="C176" s="125" t="s">
        <v>293</v>
      </c>
      <c r="D176" s="125">
        <v>1050.8810297577081</v>
      </c>
      <c r="E176" s="125">
        <v>945</v>
      </c>
      <c r="F176" s="125">
        <v>1156.7620595154162</v>
      </c>
      <c r="G176" s="125">
        <v>993</v>
      </c>
      <c r="H176" s="125">
        <v>980</v>
      </c>
      <c r="I176" s="125">
        <v>1186</v>
      </c>
      <c r="J176" s="125">
        <v>1090</v>
      </c>
      <c r="K176" s="125">
        <v>955</v>
      </c>
      <c r="L176" s="125">
        <v>1024</v>
      </c>
      <c r="M176" s="125">
        <v>1147</v>
      </c>
      <c r="N176" s="125">
        <v>1092</v>
      </c>
      <c r="O176" s="125">
        <v>1242</v>
      </c>
      <c r="P176" s="125">
        <v>1145.3795505779149</v>
      </c>
      <c r="Q176" s="125">
        <v>1050.8810297577081</v>
      </c>
      <c r="R176" s="125">
        <v>1050.8810297577081</v>
      </c>
      <c r="S176" s="125">
        <v>974</v>
      </c>
      <c r="T176" s="125">
        <v>1040</v>
      </c>
      <c r="U176" s="125">
        <v>1063</v>
      </c>
      <c r="V176" s="125">
        <v>928</v>
      </c>
      <c r="W176" s="125">
        <v>1107</v>
      </c>
      <c r="X176" s="125">
        <v>1126</v>
      </c>
      <c r="Y176" s="125">
        <v>960</v>
      </c>
      <c r="Z176" s="125">
        <v>1020</v>
      </c>
      <c r="AA176" s="125">
        <v>1129</v>
      </c>
      <c r="AB176" s="125">
        <v>1161.8102975770812</v>
      </c>
      <c r="AC176" s="125">
        <v>1050.8810297577081</v>
      </c>
      <c r="AD176" s="125">
        <v>1019</v>
      </c>
      <c r="AE176" s="125">
        <v>1082.7620595154162</v>
      </c>
      <c r="AF176" s="125">
        <v>1003</v>
      </c>
      <c r="AG176" s="125">
        <v>1098.7620595154162</v>
      </c>
      <c r="AH176" s="125">
        <v>1050.8810297577081</v>
      </c>
      <c r="AI176" s="125">
        <v>1042</v>
      </c>
      <c r="AJ176" s="125">
        <v>1059.7620595154162</v>
      </c>
      <c r="AK176" s="125">
        <v>1050.8810297577081</v>
      </c>
      <c r="AL176" s="125">
        <v>1050.8810297577081</v>
      </c>
      <c r="AM176" s="125">
        <v>1040</v>
      </c>
      <c r="AN176" s="125">
        <v>1061.7620595154162</v>
      </c>
      <c r="AO176" s="125">
        <v>1050.8810297577081</v>
      </c>
      <c r="AP176" s="125">
        <v>1050.8810297577081</v>
      </c>
      <c r="AQ176" s="125">
        <v>983</v>
      </c>
      <c r="AR176" s="125">
        <v>1118.7620595154162</v>
      </c>
      <c r="AS176" s="125">
        <v>1050.8810297577081</v>
      </c>
      <c r="AT176" s="125">
        <v>1050.8810297577081</v>
      </c>
      <c r="AU176" s="125">
        <v>1050.8810297577081</v>
      </c>
      <c r="AV176" s="125">
        <v>913</v>
      </c>
      <c r="AW176" s="125">
        <v>1104</v>
      </c>
      <c r="AX176" s="125">
        <v>1135.6430892731244</v>
      </c>
      <c r="AY176" s="125">
        <v>915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1423.9569461540427</v>
      </c>
      <c r="E177" s="124">
        <f t="shared" si="2"/>
        <v>1372.4855810987081</v>
      </c>
      <c r="F177" s="124">
        <f t="shared" si="2"/>
        <v>1378.9248587535694</v>
      </c>
      <c r="G177" s="124">
        <f t="shared" si="2"/>
        <v>1190.3641364084306</v>
      </c>
      <c r="H177" s="124">
        <f t="shared" si="2"/>
        <v>1080.8034140632917</v>
      </c>
      <c r="I177" s="124">
        <f t="shared" si="2"/>
        <v>512.19751824460025</v>
      </c>
      <c r="J177" s="124">
        <f t="shared" si="2"/>
        <v>1141.5687085887039</v>
      </c>
      <c r="K177" s="124">
        <f t="shared" si="2"/>
        <v>601.96281277001219</v>
      </c>
      <c r="L177" s="124">
        <f t="shared" si="2"/>
        <v>1262.6529660489934</v>
      </c>
      <c r="M177" s="124">
        <f t="shared" si="2"/>
        <v>1328.1765011641444</v>
      </c>
      <c r="N177" s="124">
        <f t="shared" si="2"/>
        <v>565.17650116414438</v>
      </c>
      <c r="O177" s="124">
        <f t="shared" si="2"/>
        <v>795.83338183616968</v>
      </c>
      <c r="P177" s="124">
        <f t="shared" si="2"/>
        <v>656.87855530972251</v>
      </c>
      <c r="Q177" s="124">
        <f t="shared" si="2"/>
        <v>889.71193714589219</v>
      </c>
      <c r="R177" s="124">
        <f t="shared" si="2"/>
        <v>727.75711061944503</v>
      </c>
      <c r="S177" s="124">
        <f t="shared" si="2"/>
        <v>1210.8785553097225</v>
      </c>
      <c r="T177" s="124">
        <f t="shared" si="2"/>
        <v>1077.3178329645839</v>
      </c>
      <c r="U177" s="124">
        <f t="shared" si="2"/>
        <v>441.31783296458377</v>
      </c>
      <c r="V177" s="124">
        <f t="shared" si="2"/>
        <v>1210.8785553097225</v>
      </c>
      <c r="W177" s="124">
        <f t="shared" si="2"/>
        <v>1204.3178329645839</v>
      </c>
      <c r="X177" s="124">
        <f t="shared" si="2"/>
        <v>1104.757110619445</v>
      </c>
      <c r="Y177" s="124">
        <f t="shared" si="2"/>
        <v>977.19638827430629</v>
      </c>
      <c r="Z177" s="124">
        <f t="shared" si="2"/>
        <v>955.63566592916754</v>
      </c>
      <c r="AA177" s="124">
        <f t="shared" si="2"/>
        <v>801.0749435840288</v>
      </c>
      <c r="AB177" s="124">
        <f t="shared" si="2"/>
        <v>290.46904776533722</v>
      </c>
      <c r="AC177" s="124">
        <f t="shared" si="2"/>
        <v>1020.4844511284141</v>
      </c>
      <c r="AD177" s="124">
        <f t="shared" si="2"/>
        <v>990.92372878327535</v>
      </c>
      <c r="AE177" s="124">
        <f t="shared" si="2"/>
        <v>899.36300643813661</v>
      </c>
      <c r="AF177" s="124">
        <f t="shared" si="2"/>
        <v>305.75711061944503</v>
      </c>
      <c r="AG177" s="124">
        <f t="shared" si="2"/>
        <v>1020.4844511284141</v>
      </c>
      <c r="AH177" s="124">
        <f t="shared" si="2"/>
        <v>1019.9237287832754</v>
      </c>
      <c r="AI177" s="124">
        <f t="shared" si="2"/>
        <v>910.36300643813661</v>
      </c>
      <c r="AJ177" s="124">
        <f t="shared" si="2"/>
        <v>834.80228409299787</v>
      </c>
      <c r="AK177" s="124">
        <f t="shared" si="2"/>
        <v>92.802284092997866</v>
      </c>
      <c r="AL177" s="124">
        <f t="shared" si="2"/>
        <v>605.43927765486126</v>
      </c>
      <c r="AM177" s="124">
        <f t="shared" si="2"/>
        <v>1210.8785553097225</v>
      </c>
      <c r="AN177" s="124">
        <f t="shared" si="2"/>
        <v>1046.3178329645839</v>
      </c>
      <c r="AO177" s="124">
        <f t="shared" si="2"/>
        <v>975.75711061944503</v>
      </c>
      <c r="AP177" s="124">
        <f t="shared" si="2"/>
        <v>493.15121480075345</v>
      </c>
      <c r="AQ177" s="124">
        <f t="shared" si="2"/>
        <v>2.8421709430404007E-14</v>
      </c>
      <c r="AR177" s="124">
        <f t="shared" si="2"/>
        <v>1625.9237287832752</v>
      </c>
      <c r="AS177" s="124">
        <f t="shared" si="2"/>
        <v>1533.3630064381366</v>
      </c>
      <c r="AT177" s="124">
        <f t="shared" si="2"/>
        <v>1499.802284092998</v>
      </c>
      <c r="AU177" s="124">
        <f t="shared" si="2"/>
        <v>1376.2415617478591</v>
      </c>
      <c r="AV177" s="124">
        <f t="shared" si="2"/>
        <v>1256.6808394027203</v>
      </c>
      <c r="AW177" s="124">
        <f t="shared" si="2"/>
        <v>1222.1201170575816</v>
      </c>
      <c r="AX177" s="124">
        <f t="shared" si="2"/>
        <v>750.51422123889006</v>
      </c>
      <c r="AY177" s="124">
        <f t="shared" si="2"/>
        <v>579.5593947124429</v>
      </c>
    </row>
    <row r="178" spans="1:51">
      <c r="A178" s="125"/>
      <c r="B178" s="136" t="s">
        <v>299</v>
      </c>
      <c r="C178" s="125" t="s">
        <v>293</v>
      </c>
      <c r="D178" s="125">
        <v>662</v>
      </c>
      <c r="E178" s="125">
        <v>599</v>
      </c>
      <c r="F178" s="125">
        <v>794</v>
      </c>
      <c r="G178" s="125">
        <v>715</v>
      </c>
      <c r="H178" s="125">
        <v>759</v>
      </c>
      <c r="I178" s="125">
        <v>512.19751824460025</v>
      </c>
      <c r="J178" s="125">
        <v>730</v>
      </c>
      <c r="K178" s="125">
        <v>601.96281277001219</v>
      </c>
      <c r="L178" s="125">
        <v>661</v>
      </c>
      <c r="M178" s="125">
        <v>763</v>
      </c>
      <c r="N178" s="125">
        <v>565.17650116414438</v>
      </c>
      <c r="O178" s="125">
        <v>554</v>
      </c>
      <c r="P178" s="125">
        <v>563</v>
      </c>
      <c r="Q178" s="125">
        <v>577</v>
      </c>
      <c r="R178" s="125">
        <v>727.75711061944503</v>
      </c>
      <c r="S178" s="125">
        <v>739</v>
      </c>
      <c r="T178" s="125">
        <v>636</v>
      </c>
      <c r="U178" s="125">
        <v>441.31783296458377</v>
      </c>
      <c r="V178" s="125">
        <v>612</v>
      </c>
      <c r="W178" s="125">
        <v>705</v>
      </c>
      <c r="X178" s="125">
        <v>733</v>
      </c>
      <c r="Y178" s="125">
        <v>627</v>
      </c>
      <c r="Z178" s="125">
        <v>760</v>
      </c>
      <c r="AA178" s="125">
        <v>701</v>
      </c>
      <c r="AB178" s="125">
        <v>290.46904776533722</v>
      </c>
      <c r="AC178" s="125">
        <v>635</v>
      </c>
      <c r="AD178" s="125">
        <v>697</v>
      </c>
      <c r="AE178" s="125">
        <v>784</v>
      </c>
      <c r="AF178" s="125">
        <v>305.75711061944503</v>
      </c>
      <c r="AG178" s="125">
        <v>606</v>
      </c>
      <c r="AH178" s="125">
        <v>715</v>
      </c>
      <c r="AI178" s="125">
        <v>681</v>
      </c>
      <c r="AJ178" s="125">
        <v>742</v>
      </c>
      <c r="AK178" s="125">
        <v>92.802284092997866</v>
      </c>
      <c r="AL178" s="125">
        <v>605.43927765486126</v>
      </c>
      <c r="AM178" s="125">
        <v>770</v>
      </c>
      <c r="AN178" s="125">
        <v>676</v>
      </c>
      <c r="AO178" s="125">
        <v>673</v>
      </c>
      <c r="AP178" s="125">
        <v>493.15121480075345</v>
      </c>
      <c r="AQ178" s="125">
        <v>2.8421709430404007E-14</v>
      </c>
      <c r="AR178" s="125">
        <v>698</v>
      </c>
      <c r="AS178" s="125">
        <v>639</v>
      </c>
      <c r="AT178" s="125">
        <v>729</v>
      </c>
      <c r="AU178" s="125">
        <v>725</v>
      </c>
      <c r="AV178" s="125">
        <v>640</v>
      </c>
      <c r="AW178" s="125">
        <v>662</v>
      </c>
      <c r="AX178" s="125">
        <v>586</v>
      </c>
      <c r="AY178" s="125">
        <v>579.5593947124429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673.97307233344713</v>
      </c>
      <c r="E179" s="124">
        <f t="shared" si="3"/>
        <v>718.24986169883914</v>
      </c>
      <c r="F179" s="124">
        <f t="shared" si="3"/>
        <v>633.76725305480363</v>
      </c>
      <c r="G179" s="124">
        <f t="shared" si="3"/>
        <v>549.93496259920926</v>
      </c>
      <c r="H179" s="124">
        <f t="shared" si="3"/>
        <v>559.10267214361477</v>
      </c>
      <c r="I179" s="124">
        <f t="shared" si="3"/>
        <v>424.27038168802034</v>
      </c>
      <c r="J179" s="124">
        <f t="shared" si="3"/>
        <v>115.8013463691549</v>
      </c>
      <c r="K179" s="124">
        <f t="shared" si="3"/>
        <v>694.1588144249738</v>
      </c>
      <c r="L179" s="124">
        <f t="shared" si="3"/>
        <v>427.77392633096395</v>
      </c>
      <c r="M179" s="124">
        <f t="shared" si="3"/>
        <v>767.78355613029146</v>
      </c>
      <c r="N179" s="124">
        <f t="shared" si="3"/>
        <v>977.61105829676751</v>
      </c>
      <c r="O179" s="124">
        <f t="shared" si="3"/>
        <v>552.08947077283972</v>
      </c>
      <c r="P179" s="124">
        <f t="shared" si="3"/>
        <v>574.02546462258806</v>
      </c>
      <c r="Q179" s="124">
        <f t="shared" si="3"/>
        <v>467.18081289995382</v>
      </c>
      <c r="R179" s="124">
        <f t="shared" si="3"/>
        <v>483.93599384974834</v>
      </c>
      <c r="S179" s="124">
        <f t="shared" si="3"/>
        <v>260.91858268636895</v>
      </c>
      <c r="T179" s="124">
        <f t="shared" si="3"/>
        <v>736.30235702499908</v>
      </c>
      <c r="U179" s="124">
        <f t="shared" si="3"/>
        <v>726.72623097393057</v>
      </c>
      <c r="V179" s="124">
        <f t="shared" si="3"/>
        <v>158.11465790999858</v>
      </c>
      <c r="W179" s="124">
        <f t="shared" si="3"/>
        <v>736.30235702499908</v>
      </c>
      <c r="X179" s="124">
        <f t="shared" si="3"/>
        <v>757.6006067108566</v>
      </c>
      <c r="Y179" s="124">
        <f t="shared" si="3"/>
        <v>663.77928527134873</v>
      </c>
      <c r="Z179" s="124">
        <f t="shared" si="3"/>
        <v>495.94699481575429</v>
      </c>
      <c r="AA179" s="124">
        <f t="shared" si="3"/>
        <v>368.16770954440557</v>
      </c>
      <c r="AB179" s="124">
        <f t="shared" si="3"/>
        <v>374.33097594504738</v>
      </c>
      <c r="AC179" s="124">
        <f t="shared" si="3"/>
        <v>115.8013463691549</v>
      </c>
      <c r="AD179" s="124">
        <f t="shared" si="3"/>
        <v>620.53407271965614</v>
      </c>
      <c r="AE179" s="124">
        <f t="shared" si="3"/>
        <v>561.47171024439422</v>
      </c>
      <c r="AF179" s="124">
        <f t="shared" si="3"/>
        <v>513.63941978879984</v>
      </c>
      <c r="AG179" s="124">
        <f t="shared" si="3"/>
        <v>133.69353172274816</v>
      </c>
      <c r="AH179" s="124">
        <f t="shared" si="3"/>
        <v>620.53407271965614</v>
      </c>
      <c r="AI179" s="124">
        <f t="shared" si="3"/>
        <v>618.0979772221541</v>
      </c>
      <c r="AJ179" s="124">
        <f t="shared" si="3"/>
        <v>584.26568676655961</v>
      </c>
      <c r="AK179" s="124">
        <f t="shared" si="3"/>
        <v>583.43339631096524</v>
      </c>
      <c r="AL179" s="124">
        <f t="shared" si="3"/>
        <v>54.196497283006806</v>
      </c>
      <c r="AM179" s="124">
        <f t="shared" si="3"/>
        <v>368.16770954440557</v>
      </c>
      <c r="AN179" s="124">
        <f t="shared" si="3"/>
        <v>736.30235702499908</v>
      </c>
      <c r="AO179" s="124">
        <f t="shared" si="3"/>
        <v>772.06941864771147</v>
      </c>
      <c r="AP179" s="124">
        <f t="shared" si="3"/>
        <v>691.00757524248695</v>
      </c>
      <c r="AQ179" s="124">
        <f t="shared" si="3"/>
        <v>362.04083352686177</v>
      </c>
      <c r="AR179" s="124">
        <f t="shared" si="3"/>
        <v>3.3062063812078345E-2</v>
      </c>
      <c r="AS179" s="124">
        <f t="shared" si="3"/>
        <v>988.66872020024982</v>
      </c>
      <c r="AT179" s="124">
        <f t="shared" si="3"/>
        <v>1056.0601506684479</v>
      </c>
      <c r="AU179" s="124">
        <f t="shared" si="3"/>
        <v>977.2920925471384</v>
      </c>
      <c r="AV179" s="124">
        <f t="shared" si="3"/>
        <v>918.45980209154391</v>
      </c>
      <c r="AW179" s="124">
        <f t="shared" si="3"/>
        <v>878.62751163594953</v>
      </c>
      <c r="AX179" s="124">
        <f t="shared" si="3"/>
        <v>770.79522118035516</v>
      </c>
      <c r="AY179" s="124">
        <f t="shared" si="3"/>
        <v>349.59656754950998</v>
      </c>
    </row>
    <row r="180" spans="1:51">
      <c r="A180" s="125"/>
      <c r="B180" s="136" t="s">
        <v>299</v>
      </c>
      <c r="C180" s="125" t="s">
        <v>293</v>
      </c>
      <c r="D180" s="125">
        <v>396</v>
      </c>
      <c r="E180" s="125">
        <v>462</v>
      </c>
      <c r="F180" s="125">
        <v>452</v>
      </c>
      <c r="G180" s="125">
        <v>359</v>
      </c>
      <c r="H180" s="125">
        <v>503</v>
      </c>
      <c r="I180" s="125">
        <v>424.27038168802034</v>
      </c>
      <c r="J180" s="125">
        <v>115.8013463691549</v>
      </c>
      <c r="K180" s="125">
        <v>493.60905815563837</v>
      </c>
      <c r="L180" s="125">
        <v>427.77392633096395</v>
      </c>
      <c r="M180" s="125">
        <v>428</v>
      </c>
      <c r="N180" s="125">
        <v>509.1574213813999</v>
      </c>
      <c r="O180" s="125">
        <v>462</v>
      </c>
      <c r="P180" s="125">
        <v>383</v>
      </c>
      <c r="Q180" s="125">
        <v>467.18081289995382</v>
      </c>
      <c r="R180" s="125">
        <v>475.41683640244207</v>
      </c>
      <c r="S180" s="125">
        <v>260.91858268636895</v>
      </c>
      <c r="T180" s="125">
        <v>494</v>
      </c>
      <c r="U180" s="125">
        <v>568.64463512774398</v>
      </c>
      <c r="V180" s="125">
        <v>158.11465790999858</v>
      </c>
      <c r="W180" s="125">
        <v>498</v>
      </c>
      <c r="X180" s="125">
        <v>504</v>
      </c>
      <c r="Y180" s="125">
        <v>536</v>
      </c>
      <c r="Z180" s="125">
        <v>495.94699481575429</v>
      </c>
      <c r="AA180" s="125">
        <v>368.16770954440557</v>
      </c>
      <c r="AB180" s="125">
        <v>374.33097594504738</v>
      </c>
      <c r="AC180" s="125">
        <v>115.8013463691549</v>
      </c>
      <c r="AD180" s="125">
        <v>489</v>
      </c>
      <c r="AE180" s="125">
        <v>416</v>
      </c>
      <c r="AF180" s="125">
        <v>495.74723443520656</v>
      </c>
      <c r="AG180" s="125">
        <v>133.69353172274816</v>
      </c>
      <c r="AH180" s="125">
        <v>372</v>
      </c>
      <c r="AI180" s="125">
        <v>402</v>
      </c>
      <c r="AJ180" s="125">
        <v>369</v>
      </c>
      <c r="AK180" s="125">
        <v>529.26996109177048</v>
      </c>
      <c r="AL180" s="125">
        <v>54.196497283006806</v>
      </c>
      <c r="AM180" s="125">
        <v>368.16770954440557</v>
      </c>
      <c r="AN180" s="125">
        <v>456</v>
      </c>
      <c r="AO180" s="125">
        <v>480</v>
      </c>
      <c r="AP180" s="125">
        <v>445.51067191048048</v>
      </c>
      <c r="AQ180" s="125">
        <v>362.04083352686177</v>
      </c>
      <c r="AR180" s="125">
        <v>3.3062063812078345E-2</v>
      </c>
      <c r="AS180" s="125">
        <v>552</v>
      </c>
      <c r="AT180" s="125">
        <v>490</v>
      </c>
      <c r="AU180" s="125">
        <v>427</v>
      </c>
      <c r="AV180" s="125">
        <v>408</v>
      </c>
      <c r="AW180" s="125">
        <v>476</v>
      </c>
      <c r="AX180" s="125">
        <v>537</v>
      </c>
      <c r="AY180" s="125">
        <v>349.59656754950998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547.02686635704993</v>
      </c>
      <c r="E181" s="124">
        <f t="shared" si="4"/>
        <v>469.05074393407057</v>
      </c>
      <c r="F181" s="124">
        <f t="shared" si="4"/>
        <v>457.43412623731541</v>
      </c>
      <c r="G181" s="124">
        <f t="shared" si="4"/>
        <v>457.43412623731541</v>
      </c>
      <c r="H181" s="124">
        <f t="shared" si="4"/>
        <v>457.43412623731541</v>
      </c>
      <c r="I181" s="124">
        <f t="shared" si="4"/>
        <v>143.87868984770398</v>
      </c>
      <c r="J181" s="124">
        <f t="shared" si="4"/>
        <v>862.46545396214447</v>
      </c>
      <c r="K181" s="124">
        <f t="shared" si="4"/>
        <v>282.31723477532114</v>
      </c>
      <c r="L181" s="124">
        <f t="shared" si="4"/>
        <v>953.94134529736209</v>
      </c>
      <c r="M181" s="124">
        <f t="shared" si="4"/>
        <v>792.47597923429794</v>
      </c>
      <c r="N181" s="124">
        <f t="shared" si="4"/>
        <v>103.91428577499313</v>
      </c>
      <c r="O181" s="124">
        <f t="shared" si="4"/>
        <v>601.2717377506641</v>
      </c>
      <c r="P181" s="124">
        <f t="shared" si="4"/>
        <v>343.11232943632785</v>
      </c>
      <c r="Q181" s="124">
        <f t="shared" si="4"/>
        <v>601.2717377506641</v>
      </c>
      <c r="R181" s="124">
        <f t="shared" si="4"/>
        <v>313.59651472396666</v>
      </c>
      <c r="S181" s="124">
        <f t="shared" si="4"/>
        <v>914.8271741402757</v>
      </c>
      <c r="T181" s="124">
        <f t="shared" si="4"/>
        <v>601.87790988660333</v>
      </c>
      <c r="U181" s="124">
        <f t="shared" si="4"/>
        <v>4.1078334355240401E-2</v>
      </c>
      <c r="V181" s="124">
        <f t="shared" si="4"/>
        <v>914.8271741402757</v>
      </c>
      <c r="W181" s="124">
        <f t="shared" si="4"/>
        <v>645.2079716484933</v>
      </c>
      <c r="X181" s="124">
        <f t="shared" si="4"/>
        <v>509.63112886972215</v>
      </c>
      <c r="Y181" s="124">
        <f t="shared" si="4"/>
        <v>457.43412623731541</v>
      </c>
      <c r="Z181" s="124">
        <f t="shared" si="4"/>
        <v>457.43412623731541</v>
      </c>
      <c r="AA181" s="124">
        <f t="shared" si="4"/>
        <v>465.09174614166329</v>
      </c>
      <c r="AB181" s="124">
        <f t="shared" si="4"/>
        <v>143.87868984770398</v>
      </c>
      <c r="AC181" s="124">
        <f t="shared" si="4"/>
        <v>770.98956262692684</v>
      </c>
      <c r="AD181" s="124">
        <f t="shared" si="4"/>
        <v>534.18087045448408</v>
      </c>
      <c r="AE181" s="124">
        <f t="shared" si="4"/>
        <v>457.43412623731541</v>
      </c>
      <c r="AF181" s="124">
        <f t="shared" si="4"/>
        <v>143.87868984770398</v>
      </c>
      <c r="AG181" s="124">
        <f t="shared" si="4"/>
        <v>770.98956262692684</v>
      </c>
      <c r="AH181" s="124">
        <f t="shared" si="4"/>
        <v>459.16884442186847</v>
      </c>
      <c r="AI181" s="124">
        <f t="shared" si="4"/>
        <v>457.43412623731541</v>
      </c>
      <c r="AJ181" s="124">
        <f t="shared" si="4"/>
        <v>457.43412623731541</v>
      </c>
      <c r="AK181" s="124">
        <f t="shared" si="4"/>
        <v>4.1078334355240401E-2</v>
      </c>
      <c r="AL181" s="124">
        <f t="shared" si="4"/>
        <v>457.43412623731541</v>
      </c>
      <c r="AM181" s="124">
        <f t="shared" si="4"/>
        <v>914.8271741402757</v>
      </c>
      <c r="AN181" s="124">
        <f t="shared" si="4"/>
        <v>611.00153629455008</v>
      </c>
      <c r="AO181" s="124">
        <f t="shared" si="4"/>
        <v>495.66521548149547</v>
      </c>
      <c r="AP181" s="124">
        <f t="shared" si="4"/>
        <v>144.80132150349905</v>
      </c>
      <c r="AQ181" s="124">
        <f t="shared" si="4"/>
        <v>4.1078334355256145E-2</v>
      </c>
      <c r="AR181" s="124">
        <f t="shared" si="4"/>
        <v>1228.3826105298872</v>
      </c>
      <c r="AS181" s="124">
        <f t="shared" si="4"/>
        <v>769.56987386458434</v>
      </c>
      <c r="AT181" s="124">
        <f t="shared" si="4"/>
        <v>510.93976776761485</v>
      </c>
      <c r="AU181" s="124">
        <f t="shared" si="4"/>
        <v>457.43412623731541</v>
      </c>
      <c r="AV181" s="124">
        <f t="shared" si="4"/>
        <v>457.43412623731541</v>
      </c>
      <c r="AW181" s="124">
        <f t="shared" si="4"/>
        <v>457.43412623731541</v>
      </c>
      <c r="AX181" s="124">
        <f t="shared" si="4"/>
        <v>143.87868984770398</v>
      </c>
      <c r="AY181" s="124">
        <f t="shared" si="4"/>
        <v>313.59651472396666</v>
      </c>
    </row>
    <row r="182" spans="1:51">
      <c r="A182" s="125"/>
      <c r="B182" s="136" t="s">
        <v>299</v>
      </c>
      <c r="C182" s="125" t="s">
        <v>293</v>
      </c>
      <c r="D182" s="125">
        <v>533</v>
      </c>
      <c r="E182" s="125">
        <v>469.05074393407057</v>
      </c>
      <c r="F182" s="125">
        <v>457.43412623731541</v>
      </c>
      <c r="G182" s="125">
        <v>457.43412623731541</v>
      </c>
      <c r="H182" s="125">
        <v>457.43412623731541</v>
      </c>
      <c r="I182" s="125">
        <v>143.87868984770398</v>
      </c>
      <c r="J182" s="125">
        <v>612.60408534205362</v>
      </c>
      <c r="K182" s="125">
        <v>282.31723477532114</v>
      </c>
      <c r="L182" s="125">
        <v>514.34033271884425</v>
      </c>
      <c r="M182" s="125">
        <v>605</v>
      </c>
      <c r="N182" s="125">
        <v>103.91428577499313</v>
      </c>
      <c r="O182" s="125">
        <v>548</v>
      </c>
      <c r="P182" s="125">
        <v>343.11232943632785</v>
      </c>
      <c r="Q182" s="125">
        <v>601.2717377506641</v>
      </c>
      <c r="R182" s="125">
        <v>313.59651472396666</v>
      </c>
      <c r="S182" s="125">
        <v>654.12722608646197</v>
      </c>
      <c r="T182" s="125">
        <v>601.87790988660333</v>
      </c>
      <c r="U182" s="125">
        <v>4.1078334355240401E-2</v>
      </c>
      <c r="V182" s="125">
        <v>575.92278858764575</v>
      </c>
      <c r="W182" s="125">
        <v>551</v>
      </c>
      <c r="X182" s="125">
        <v>509.63112886972215</v>
      </c>
      <c r="Y182" s="125">
        <v>457.43412623731541</v>
      </c>
      <c r="Z182" s="125">
        <v>443.61323993232571</v>
      </c>
      <c r="AA182" s="125">
        <v>465.09174614166329</v>
      </c>
      <c r="AB182" s="125">
        <v>143.87868984770398</v>
      </c>
      <c r="AC182" s="125">
        <v>632.47289042942566</v>
      </c>
      <c r="AD182" s="125">
        <v>534.18087045448408</v>
      </c>
      <c r="AE182" s="125">
        <v>457.43412623731541</v>
      </c>
      <c r="AF182" s="125">
        <v>143.87868984770398</v>
      </c>
      <c r="AG182" s="125">
        <v>767.85864948428139</v>
      </c>
      <c r="AH182" s="125">
        <v>459.16884442186847</v>
      </c>
      <c r="AI182" s="125">
        <v>457.43412623731541</v>
      </c>
      <c r="AJ182" s="125">
        <v>457.43412623731541</v>
      </c>
      <c r="AK182" s="125">
        <v>4.1078334355240401E-2</v>
      </c>
      <c r="AL182" s="125">
        <v>457.43412623731541</v>
      </c>
      <c r="AM182" s="125">
        <v>637.66041200473421</v>
      </c>
      <c r="AN182" s="125">
        <v>542</v>
      </c>
      <c r="AO182" s="125">
        <v>494</v>
      </c>
      <c r="AP182" s="125">
        <v>144.80132150349905</v>
      </c>
      <c r="AQ182" s="125">
        <v>4.1078334355256145E-2</v>
      </c>
      <c r="AR182" s="125">
        <v>665.02314197882549</v>
      </c>
      <c r="AS182" s="125">
        <v>673</v>
      </c>
      <c r="AT182" s="125">
        <v>510.93976776761485</v>
      </c>
      <c r="AU182" s="125">
        <v>457.43412623731541</v>
      </c>
      <c r="AV182" s="125">
        <v>457.43412623731541</v>
      </c>
      <c r="AW182" s="125">
        <v>457.43412623731541</v>
      </c>
      <c r="AX182" s="125">
        <v>143.87868984770398</v>
      </c>
      <c r="AY182" s="125">
        <v>313.59651472396666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1051.0887666454175</v>
      </c>
      <c r="D185" s="124">
        <v>1050.8810297577081</v>
      </c>
      <c r="E185" s="124">
        <v>945</v>
      </c>
      <c r="F185" s="124">
        <v>1050.8810297577081</v>
      </c>
      <c r="G185" s="124">
        <v>993</v>
      </c>
      <c r="H185" s="124">
        <v>922.11897024229188</v>
      </c>
      <c r="I185" s="124">
        <v>847.06797982363264</v>
      </c>
      <c r="J185" s="124">
        <v>676.0169894049734</v>
      </c>
      <c r="K185" s="124">
        <v>369.96599898631416</v>
      </c>
      <c r="L185" s="124">
        <v>487.03282356531895</v>
      </c>
      <c r="M185" s="124">
        <v>724.14456845291761</v>
      </c>
      <c r="N185" s="124">
        <v>765.26353869520949</v>
      </c>
      <c r="O185" s="124">
        <v>956.38250893750137</v>
      </c>
      <c r="P185" s="124">
        <v>1050.8810297577081</v>
      </c>
      <c r="Q185" s="124">
        <v>1050.8810297577081</v>
      </c>
      <c r="R185" s="124">
        <v>1050.8810297577081</v>
      </c>
      <c r="S185" s="124">
        <v>974</v>
      </c>
      <c r="T185" s="124">
        <v>963.11897024229188</v>
      </c>
      <c r="U185" s="124">
        <v>975.23794048458376</v>
      </c>
      <c r="V185" s="124">
        <v>852.35691072687564</v>
      </c>
      <c r="W185" s="124">
        <v>908.47588096916752</v>
      </c>
      <c r="X185" s="124">
        <v>983.5948512114594</v>
      </c>
      <c r="Y185" s="124">
        <v>892.71382145375128</v>
      </c>
      <c r="Z185" s="124">
        <v>861.83279169604316</v>
      </c>
      <c r="AA185" s="124">
        <v>939.95176193833504</v>
      </c>
      <c r="AB185" s="124">
        <v>1050.8810297577081</v>
      </c>
      <c r="AC185" s="124">
        <v>1050.8810297577081</v>
      </c>
      <c r="AD185" s="124">
        <v>1019</v>
      </c>
      <c r="AE185" s="124">
        <v>1050.8810297577081</v>
      </c>
      <c r="AF185" s="124">
        <v>1003</v>
      </c>
      <c r="AG185" s="124">
        <v>1050.8810297577081</v>
      </c>
      <c r="AH185" s="124">
        <v>1050.8810297577081</v>
      </c>
      <c r="AI185" s="124">
        <v>1042</v>
      </c>
      <c r="AJ185" s="124">
        <v>1050.8810297577081</v>
      </c>
      <c r="AK185" s="124">
        <v>1050.8810297577081</v>
      </c>
      <c r="AL185" s="124">
        <v>1050.8810297577081</v>
      </c>
      <c r="AM185" s="124">
        <v>1040</v>
      </c>
      <c r="AN185" s="124">
        <v>1050.8810297577081</v>
      </c>
      <c r="AO185" s="124">
        <v>1050.8810297577081</v>
      </c>
      <c r="AP185" s="124">
        <v>1050.8810297577081</v>
      </c>
      <c r="AQ185" s="124">
        <v>983</v>
      </c>
      <c r="AR185" s="124">
        <v>1050.8810297577081</v>
      </c>
      <c r="AS185" s="124">
        <v>1050.8810297577081</v>
      </c>
      <c r="AT185" s="124">
        <v>1050.8810297577081</v>
      </c>
      <c r="AU185" s="124">
        <v>1050.8810297577081</v>
      </c>
      <c r="AV185" s="124">
        <v>913</v>
      </c>
      <c r="AW185" s="124">
        <v>966.11897024229188</v>
      </c>
      <c r="AX185" s="124">
        <v>1050.8810297577081</v>
      </c>
      <c r="AY185" s="124">
        <v>915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105.88102975770812</v>
      </c>
      <c r="G186" s="106">
        <v>0</v>
      </c>
      <c r="H186" s="106">
        <v>57.88102975770812</v>
      </c>
      <c r="I186" s="106">
        <v>338.93202017636736</v>
      </c>
      <c r="J186" s="106">
        <v>413.9830105950266</v>
      </c>
      <c r="K186" s="106">
        <v>585.03400101368584</v>
      </c>
      <c r="L186" s="106">
        <v>536.96717643468105</v>
      </c>
      <c r="M186" s="106">
        <v>422.85543154708239</v>
      </c>
      <c r="N186" s="106">
        <v>326.73646130479051</v>
      </c>
      <c r="O186" s="106">
        <v>285.61749106249863</v>
      </c>
      <c r="P186" s="106">
        <v>94.49852082020675</v>
      </c>
      <c r="Q186" s="106">
        <v>0</v>
      </c>
      <c r="R186" s="106">
        <v>0</v>
      </c>
      <c r="S186" s="106">
        <v>0</v>
      </c>
      <c r="T186" s="106">
        <v>76.88102975770812</v>
      </c>
      <c r="U186" s="106">
        <v>87.76205951541624</v>
      </c>
      <c r="V186" s="106">
        <v>75.64308927312436</v>
      </c>
      <c r="W186" s="106">
        <v>198.52411903083248</v>
      </c>
      <c r="X186" s="106">
        <v>142.4051487885406</v>
      </c>
      <c r="Y186" s="106">
        <v>67.286178546248721</v>
      </c>
      <c r="Z186" s="106">
        <v>158.16720830395684</v>
      </c>
      <c r="AA186" s="106">
        <v>189.04823806166496</v>
      </c>
      <c r="AB186" s="106">
        <v>110.92926781937308</v>
      </c>
      <c r="AC186" s="106">
        <v>0</v>
      </c>
      <c r="AD186" s="106">
        <v>0</v>
      </c>
      <c r="AE186" s="106">
        <v>31.88102975770812</v>
      </c>
      <c r="AF186" s="106">
        <v>0</v>
      </c>
      <c r="AG186" s="106">
        <v>47.88102975770812</v>
      </c>
      <c r="AH186" s="106">
        <v>0</v>
      </c>
      <c r="AI186" s="106">
        <v>0</v>
      </c>
      <c r="AJ186" s="106">
        <v>8.8810297577081201</v>
      </c>
      <c r="AK186" s="106">
        <v>0</v>
      </c>
      <c r="AL186" s="106">
        <v>0</v>
      </c>
      <c r="AM186" s="106">
        <v>0</v>
      </c>
      <c r="AN186" s="106">
        <v>10.88102975770812</v>
      </c>
      <c r="AO186" s="106">
        <v>0</v>
      </c>
      <c r="AP186" s="106">
        <v>0</v>
      </c>
      <c r="AQ186" s="106">
        <v>0</v>
      </c>
      <c r="AR186" s="106">
        <v>67.88102975770812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137.88102975770812</v>
      </c>
      <c r="AX186" s="106">
        <v>84.76205951541624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20.514418901291947</v>
      </c>
      <c r="G189" s="124">
        <v>130.07514124643069</v>
      </c>
      <c r="H189" s="124">
        <v>283.63586359156943</v>
      </c>
      <c r="I189" s="124">
        <v>190.39410418130842</v>
      </c>
      <c r="J189" s="124">
        <v>314.95482652644716</v>
      </c>
      <c r="K189" s="124">
        <v>190.39410418130839</v>
      </c>
      <c r="L189" s="124">
        <v>124.87056906615749</v>
      </c>
      <c r="M189" s="124">
        <v>161.34703395100655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739</v>
      </c>
      <c r="T189" s="124">
        <v>164.12144469027749</v>
      </c>
      <c r="U189" s="124">
        <v>0</v>
      </c>
      <c r="V189" s="124">
        <v>612</v>
      </c>
      <c r="W189" s="124">
        <v>106.12144469027749</v>
      </c>
      <c r="X189" s="124">
        <v>233.68216703541623</v>
      </c>
      <c r="Y189" s="124">
        <v>255.24288938055497</v>
      </c>
      <c r="Z189" s="124">
        <v>409.80361172569371</v>
      </c>
      <c r="AA189" s="124">
        <v>505.36433407083246</v>
      </c>
      <c r="AB189" s="124">
        <v>190.39410418130842</v>
      </c>
      <c r="AC189" s="124">
        <v>219.95482652644716</v>
      </c>
      <c r="AD189" s="124">
        <v>311.51554887158591</v>
      </c>
      <c r="AE189" s="124">
        <v>490.07627121672465</v>
      </c>
      <c r="AF189" s="124">
        <v>190.39410418130842</v>
      </c>
      <c r="AG189" s="124">
        <v>190.95482652644716</v>
      </c>
      <c r="AH189" s="124">
        <v>300.51554887158591</v>
      </c>
      <c r="AI189" s="124">
        <v>376.07627121672465</v>
      </c>
      <c r="AJ189" s="124">
        <v>512.63699356186339</v>
      </c>
      <c r="AK189" s="124">
        <v>0</v>
      </c>
      <c r="AL189" s="124">
        <v>605.43927765486126</v>
      </c>
      <c r="AM189" s="124">
        <v>164.56072234513874</v>
      </c>
      <c r="AN189" s="124">
        <v>235.12144469027749</v>
      </c>
      <c r="AO189" s="124">
        <v>302.68216703541623</v>
      </c>
      <c r="AP189" s="124">
        <v>190.39410418130842</v>
      </c>
      <c r="AQ189" s="124">
        <v>0</v>
      </c>
      <c r="AR189" s="124">
        <v>0</v>
      </c>
      <c r="AS189" s="124">
        <v>0</v>
      </c>
      <c r="AT189" s="124">
        <v>0</v>
      </c>
      <c r="AU189" s="124">
        <v>0</v>
      </c>
      <c r="AV189" s="124">
        <v>0</v>
      </c>
      <c r="AW189" s="124">
        <v>45.31916059727962</v>
      </c>
      <c r="AX189" s="124">
        <v>25.879882942418362</v>
      </c>
      <c r="AY189" s="124">
        <v>0</v>
      </c>
    </row>
    <row r="190" spans="1:51">
      <c r="A190" s="109"/>
      <c r="B190" s="119">
        <v>2</v>
      </c>
      <c r="C190" s="106">
        <v>255.04305384595818</v>
      </c>
      <c r="D190" s="106">
        <v>538.04305384595739</v>
      </c>
      <c r="E190" s="106">
        <v>487.04305384595727</v>
      </c>
      <c r="F190" s="106">
        <v>610.52863494466521</v>
      </c>
      <c r="G190" s="106">
        <v>584.92485875356931</v>
      </c>
      <c r="H190" s="106">
        <v>475.36413640843057</v>
      </c>
      <c r="I190" s="106">
        <v>321.80341406329183</v>
      </c>
      <c r="J190" s="106">
        <v>415.04517347355284</v>
      </c>
      <c r="K190" s="106">
        <v>411.56870858870377</v>
      </c>
      <c r="L190" s="106">
        <v>536.12943093384251</v>
      </c>
      <c r="M190" s="106">
        <v>601.65296604899345</v>
      </c>
      <c r="N190" s="106">
        <v>565.17650116414438</v>
      </c>
      <c r="O190" s="106">
        <v>554</v>
      </c>
      <c r="P190" s="106">
        <v>511.56072234513874</v>
      </c>
      <c r="Q190" s="106">
        <v>483.12144469027749</v>
      </c>
      <c r="R190" s="106">
        <v>605.43927765486126</v>
      </c>
      <c r="S190" s="106">
        <v>0</v>
      </c>
      <c r="T190" s="106">
        <v>471.87855530972251</v>
      </c>
      <c r="U190" s="106">
        <v>441.31783296458377</v>
      </c>
      <c r="V190" s="106">
        <v>0</v>
      </c>
      <c r="W190" s="106">
        <v>598.87855530972251</v>
      </c>
      <c r="X190" s="106">
        <v>499.31783296458377</v>
      </c>
      <c r="Y190" s="106">
        <v>371.75711061944503</v>
      </c>
      <c r="Z190" s="106">
        <v>350.19638827430629</v>
      </c>
      <c r="AA190" s="106">
        <v>195.63566592916754</v>
      </c>
      <c r="AB190" s="106">
        <v>100.0749435840288</v>
      </c>
      <c r="AC190" s="106">
        <v>415.04517347355284</v>
      </c>
      <c r="AD190" s="106">
        <v>385.48445112841409</v>
      </c>
      <c r="AE190" s="106">
        <v>293.92372878327535</v>
      </c>
      <c r="AF190" s="106">
        <v>115.36300643813661</v>
      </c>
      <c r="AG190" s="106">
        <v>415.04517347355284</v>
      </c>
      <c r="AH190" s="106">
        <v>414.48445112841409</v>
      </c>
      <c r="AI190" s="106">
        <v>304.92372878327535</v>
      </c>
      <c r="AJ190" s="106">
        <v>229.36300643813661</v>
      </c>
      <c r="AK190" s="106">
        <v>92.802284092997866</v>
      </c>
      <c r="AL190" s="106">
        <v>0</v>
      </c>
      <c r="AM190" s="106">
        <v>0</v>
      </c>
      <c r="AN190" s="106">
        <v>440.87855530972251</v>
      </c>
      <c r="AO190" s="106">
        <v>370.31783296458377</v>
      </c>
      <c r="AP190" s="106">
        <v>302.75711061944503</v>
      </c>
      <c r="AQ190" s="106">
        <v>2.8421709430404007E-14</v>
      </c>
      <c r="AR190" s="106">
        <v>282.95482652644716</v>
      </c>
      <c r="AS190" s="106">
        <v>316.51554887158591</v>
      </c>
      <c r="AT190" s="106">
        <v>440.07627121672465</v>
      </c>
      <c r="AU190" s="106">
        <v>559.63699356186339</v>
      </c>
      <c r="AV190" s="106">
        <v>594.19771590700213</v>
      </c>
      <c r="AW190" s="106">
        <v>605.43927765486126</v>
      </c>
      <c r="AX190" s="106">
        <v>560.12011705758164</v>
      </c>
      <c r="AY190" s="106">
        <v>579.5593947124429</v>
      </c>
    </row>
    <row r="191" spans="1:51">
      <c r="A191" s="109"/>
      <c r="B191" s="120">
        <v>3</v>
      </c>
      <c r="C191" s="106">
        <v>451.95694615404182</v>
      </c>
      <c r="D191" s="106">
        <v>123.95694615404261</v>
      </c>
      <c r="E191" s="106">
        <v>111.95694615404273</v>
      </c>
      <c r="F191" s="106">
        <v>162.95694615404284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51.439277654861257</v>
      </c>
      <c r="Q191" s="106">
        <v>93.878555309722515</v>
      </c>
      <c r="R191" s="106">
        <v>122.31783296458377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605.43927765486126</v>
      </c>
      <c r="AN191" s="106">
        <v>0</v>
      </c>
      <c r="AO191" s="106">
        <v>0</v>
      </c>
      <c r="AP191" s="106">
        <v>0</v>
      </c>
      <c r="AQ191" s="106">
        <v>0</v>
      </c>
      <c r="AR191" s="106">
        <v>415.04517347355284</v>
      </c>
      <c r="AS191" s="106">
        <v>322.48445112841409</v>
      </c>
      <c r="AT191" s="106">
        <v>288.92372878327535</v>
      </c>
      <c r="AU191" s="106">
        <v>165.36300643813661</v>
      </c>
      <c r="AV191" s="106">
        <v>45.802284092997866</v>
      </c>
      <c r="AW191" s="106">
        <v>11.241561747859123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317.70302868609451</v>
      </c>
      <c r="D197" s="106">
        <v>345.76913822614875</v>
      </c>
      <c r="E197" s="106">
        <v>184.02692766655292</v>
      </c>
      <c r="F197" s="106">
        <v>195.7501383011608</v>
      </c>
      <c r="G197" s="106">
        <v>177.23274694519637</v>
      </c>
      <c r="H197" s="106">
        <v>312.0650374007908</v>
      </c>
      <c r="I197" s="106">
        <v>368.16770954440557</v>
      </c>
      <c r="J197" s="106">
        <v>115.8013463691549</v>
      </c>
      <c r="K197" s="106">
        <v>493.60905815563837</v>
      </c>
      <c r="L197" s="106">
        <v>227.22417006162848</v>
      </c>
      <c r="M197" s="106">
        <v>428</v>
      </c>
      <c r="N197" s="106">
        <v>169.37386525110844</v>
      </c>
      <c r="O197" s="106">
        <v>0</v>
      </c>
      <c r="P197" s="106">
        <v>292.91052922716028</v>
      </c>
      <c r="Q197" s="106">
        <v>276.15534827736576</v>
      </c>
      <c r="R197" s="106">
        <v>475.41683640244207</v>
      </c>
      <c r="S197" s="106">
        <v>252.39942523906268</v>
      </c>
      <c r="T197" s="106">
        <v>494</v>
      </c>
      <c r="U197" s="106">
        <v>326.3422781027449</v>
      </c>
      <c r="V197" s="106">
        <v>3.3062063812051457E-2</v>
      </c>
      <c r="W197" s="106">
        <v>498</v>
      </c>
      <c r="X197" s="106">
        <v>265.69764297500092</v>
      </c>
      <c r="Y197" s="106">
        <v>282.3993932891434</v>
      </c>
      <c r="Z197" s="106">
        <v>368.16770954440557</v>
      </c>
      <c r="AA197" s="106">
        <v>368.16770954440557</v>
      </c>
      <c r="AB197" s="106">
        <v>374.33097594504738</v>
      </c>
      <c r="AC197" s="106">
        <v>115.8013463691549</v>
      </c>
      <c r="AD197" s="106">
        <v>489</v>
      </c>
      <c r="AE197" s="106">
        <v>284.46592728034386</v>
      </c>
      <c r="AF197" s="106">
        <v>350.27552419081229</v>
      </c>
      <c r="AG197" s="106">
        <v>115.80134636915488</v>
      </c>
      <c r="AH197" s="106">
        <v>372</v>
      </c>
      <c r="AI197" s="106">
        <v>153.46592728034386</v>
      </c>
      <c r="AJ197" s="106">
        <v>152.9020227778459</v>
      </c>
      <c r="AK197" s="106">
        <v>314.00427432521082</v>
      </c>
      <c r="AL197" s="106">
        <v>3.3062063812051457E-2</v>
      </c>
      <c r="AM197" s="106">
        <v>368.16770954440557</v>
      </c>
      <c r="AN197" s="106">
        <v>456</v>
      </c>
      <c r="AO197" s="106">
        <v>199.69764297500092</v>
      </c>
      <c r="AP197" s="106">
        <v>153.44125326276901</v>
      </c>
      <c r="AQ197" s="106">
        <v>116.54393019485531</v>
      </c>
      <c r="AR197" s="106">
        <v>3.3062063812064134E-2</v>
      </c>
      <c r="AS197" s="106">
        <v>552</v>
      </c>
      <c r="AT197" s="106">
        <v>53.331279799750178</v>
      </c>
      <c r="AU197" s="106">
        <v>0</v>
      </c>
      <c r="AV197" s="106">
        <v>0</v>
      </c>
      <c r="AW197" s="106">
        <v>0</v>
      </c>
      <c r="AX197" s="106">
        <v>134.37248836405047</v>
      </c>
      <c r="AY197" s="106">
        <v>115.80134636915488</v>
      </c>
    </row>
    <row r="198" spans="1:51">
      <c r="A198" s="109"/>
      <c r="B198" s="119">
        <v>2</v>
      </c>
      <c r="C198" s="106">
        <v>148.29697131390546</v>
      </c>
      <c r="D198" s="106">
        <v>50.230861773851245</v>
      </c>
      <c r="E198" s="106">
        <v>277.97307233344708</v>
      </c>
      <c r="F198" s="106">
        <v>256.2498616988392</v>
      </c>
      <c r="G198" s="106">
        <v>181.76725305480363</v>
      </c>
      <c r="H198" s="106">
        <v>190.9349625992092</v>
      </c>
      <c r="I198" s="106">
        <v>56.102672143614768</v>
      </c>
      <c r="J198" s="106">
        <v>0</v>
      </c>
      <c r="K198" s="106">
        <v>0</v>
      </c>
      <c r="L198" s="106">
        <v>200.54975626933543</v>
      </c>
      <c r="M198" s="106">
        <v>0</v>
      </c>
      <c r="N198" s="106">
        <v>339.78355613029146</v>
      </c>
      <c r="O198" s="106">
        <v>462</v>
      </c>
      <c r="P198" s="106">
        <v>83.635833857472093</v>
      </c>
      <c r="Q198" s="106">
        <v>191.02546462258806</v>
      </c>
      <c r="R198" s="106">
        <v>0</v>
      </c>
      <c r="S198" s="106">
        <v>8.5191574473062701</v>
      </c>
      <c r="T198" s="106">
        <v>2.8421709430404007E-14</v>
      </c>
      <c r="U198" s="106">
        <v>242.30235702499908</v>
      </c>
      <c r="V198" s="106">
        <v>158.08159584618653</v>
      </c>
      <c r="W198" s="106">
        <v>0</v>
      </c>
      <c r="X198" s="106">
        <v>238.30235702499908</v>
      </c>
      <c r="Y198" s="106">
        <v>253.6006067108566</v>
      </c>
      <c r="Z198" s="106">
        <v>127.77928527134873</v>
      </c>
      <c r="AA198" s="106">
        <v>0</v>
      </c>
      <c r="AB198" s="106">
        <v>0</v>
      </c>
      <c r="AC198" s="106">
        <v>0</v>
      </c>
      <c r="AD198" s="106">
        <v>0</v>
      </c>
      <c r="AE198" s="106">
        <v>131.53407271965614</v>
      </c>
      <c r="AF198" s="106">
        <v>145.47171024439427</v>
      </c>
      <c r="AG198" s="106">
        <v>17.892185353593277</v>
      </c>
      <c r="AH198" s="106">
        <v>1.4210854715202004E-14</v>
      </c>
      <c r="AI198" s="106">
        <v>248.53407271965614</v>
      </c>
      <c r="AJ198" s="106">
        <v>216.0979772221541</v>
      </c>
      <c r="AK198" s="106">
        <v>215.26568676655967</v>
      </c>
      <c r="AL198" s="106">
        <v>54.163435219194753</v>
      </c>
      <c r="AM198" s="106">
        <v>0</v>
      </c>
      <c r="AN198" s="106">
        <v>0</v>
      </c>
      <c r="AO198" s="106">
        <v>280.30235702499908</v>
      </c>
      <c r="AP198" s="106">
        <v>292.06941864771147</v>
      </c>
      <c r="AQ198" s="106">
        <v>245.49690333200647</v>
      </c>
      <c r="AR198" s="106">
        <v>1.4210854715202004E-14</v>
      </c>
      <c r="AS198" s="106">
        <v>0</v>
      </c>
      <c r="AT198" s="106">
        <v>436.66872020024982</v>
      </c>
      <c r="AU198" s="106">
        <v>427</v>
      </c>
      <c r="AV198" s="106">
        <v>268.93984933155207</v>
      </c>
      <c r="AW198" s="106">
        <v>333.7079074528616</v>
      </c>
      <c r="AX198" s="106">
        <v>368.16770954440557</v>
      </c>
      <c r="AY198" s="106">
        <v>233.7952211803551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6.4536369153676105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139.06015066844793</v>
      </c>
      <c r="AW199" s="106">
        <v>142.2920925471384</v>
      </c>
      <c r="AX199" s="106">
        <v>34.459802091543963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298.81369274628543</v>
      </c>
      <c r="D209" s="124">
        <v>444.19617581676692</v>
      </c>
      <c r="E209" s="124">
        <v>461.27899842939956</v>
      </c>
      <c r="F209" s="124">
        <v>457.43412623731541</v>
      </c>
      <c r="G209" s="124">
        <v>457.43412623731541</v>
      </c>
      <c r="H209" s="124">
        <v>457.43412623731541</v>
      </c>
      <c r="I209" s="124">
        <v>143.87868984770398</v>
      </c>
      <c r="J209" s="124">
        <v>299.04864895244219</v>
      </c>
      <c r="K209" s="124">
        <v>143.87868984770395</v>
      </c>
      <c r="L209" s="124">
        <v>109.3090049940152</v>
      </c>
      <c r="M209" s="124">
        <v>361.43403833823504</v>
      </c>
      <c r="N209" s="124">
        <v>4.1078334355233892E-2</v>
      </c>
      <c r="O209" s="124">
        <v>90.606952097039823</v>
      </c>
      <c r="P209" s="124">
        <v>4.1078334355233892E-2</v>
      </c>
      <c r="Q209" s="124">
        <v>143.87868984770392</v>
      </c>
      <c r="R209" s="124">
        <v>4.1078334355233892E-2</v>
      </c>
      <c r="S209" s="124">
        <v>654.12722608646197</v>
      </c>
      <c r="T209" s="124">
        <v>457.43412623731541</v>
      </c>
      <c r="U209" s="124">
        <v>4.1078334355240401E-2</v>
      </c>
      <c r="V209" s="124">
        <v>575.92278858764575</v>
      </c>
      <c r="W209" s="124">
        <v>363.22615458882211</v>
      </c>
      <c r="X209" s="124">
        <v>457.43412623731541</v>
      </c>
      <c r="Y209" s="124">
        <v>457.43412623731541</v>
      </c>
      <c r="Z209" s="124">
        <v>443.61323993232571</v>
      </c>
      <c r="AA209" s="124">
        <v>457.43412623731541</v>
      </c>
      <c r="AB209" s="124">
        <v>143.87868984770398</v>
      </c>
      <c r="AC209" s="124">
        <v>318.91745403981423</v>
      </c>
      <c r="AD209" s="124">
        <v>457.43412623731541</v>
      </c>
      <c r="AE209" s="124">
        <v>457.43412623731541</v>
      </c>
      <c r="AF209" s="124">
        <v>143.87868984770398</v>
      </c>
      <c r="AG209" s="124">
        <v>454.30321309466996</v>
      </c>
      <c r="AH209" s="124">
        <v>457.43412623731541</v>
      </c>
      <c r="AI209" s="124">
        <v>457.43412623731541</v>
      </c>
      <c r="AJ209" s="124">
        <v>457.43412623731541</v>
      </c>
      <c r="AK209" s="124">
        <v>4.1078334355240401E-2</v>
      </c>
      <c r="AL209" s="124">
        <v>457.43412623731541</v>
      </c>
      <c r="AM209" s="124">
        <v>180.26736410177404</v>
      </c>
      <c r="AN209" s="124">
        <v>388.43258994276539</v>
      </c>
      <c r="AO209" s="124">
        <v>455.76891075581989</v>
      </c>
      <c r="AP209" s="124">
        <v>143.87868984770395</v>
      </c>
      <c r="AQ209" s="124">
        <v>4.1078334355240401E-2</v>
      </c>
      <c r="AR209" s="124">
        <v>0</v>
      </c>
      <c r="AS209" s="124">
        <v>360.86425237273102</v>
      </c>
      <c r="AT209" s="124">
        <v>457.43412623731541</v>
      </c>
      <c r="AU209" s="124">
        <v>457.43412623731541</v>
      </c>
      <c r="AV209" s="124">
        <v>457.43412623731541</v>
      </c>
      <c r="AW209" s="124">
        <v>457.43412623731541</v>
      </c>
      <c r="AX209" s="124">
        <v>143.87868984770398</v>
      </c>
      <c r="AY209" s="124">
        <v>4.1078334355233892E-2</v>
      </c>
    </row>
    <row r="210" spans="1:51">
      <c r="A210" s="109"/>
      <c r="B210" s="119">
        <v>2</v>
      </c>
      <c r="C210" s="106">
        <v>0</v>
      </c>
      <c r="D210" s="110">
        <v>88.803824183233061</v>
      </c>
      <c r="E210" s="110">
        <v>7.7717455046710162</v>
      </c>
      <c r="F210" s="110">
        <v>0</v>
      </c>
      <c r="G210" s="110">
        <v>0</v>
      </c>
      <c r="H210" s="110">
        <v>0</v>
      </c>
      <c r="I210" s="110">
        <v>0</v>
      </c>
      <c r="J210" s="110">
        <v>313.55543638961143</v>
      </c>
      <c r="K210" s="110">
        <v>138.43854492761719</v>
      </c>
      <c r="L210" s="110">
        <v>405.03132772482905</v>
      </c>
      <c r="M210" s="110">
        <v>243.56596166176493</v>
      </c>
      <c r="N210" s="110">
        <v>103.8732074406379</v>
      </c>
      <c r="O210" s="110">
        <v>457.39304790296018</v>
      </c>
      <c r="P210" s="110">
        <v>343.07125110197262</v>
      </c>
      <c r="Q210" s="110">
        <v>457.39304790296018</v>
      </c>
      <c r="R210" s="110">
        <v>313.55543638961143</v>
      </c>
      <c r="S210" s="110">
        <v>3.6062098641398717E-15</v>
      </c>
      <c r="T210" s="110">
        <v>144.44378364928787</v>
      </c>
      <c r="U210" s="110">
        <v>0</v>
      </c>
      <c r="V210" s="110">
        <v>0</v>
      </c>
      <c r="W210" s="110">
        <v>187.77384541117789</v>
      </c>
      <c r="X210" s="110">
        <v>52.197002632406729</v>
      </c>
      <c r="Y210" s="110">
        <v>0</v>
      </c>
      <c r="Z210" s="110">
        <v>0</v>
      </c>
      <c r="AA210" s="110">
        <v>7.6576199043478628</v>
      </c>
      <c r="AB210" s="110">
        <v>0</v>
      </c>
      <c r="AC210" s="110">
        <v>313.55543638961143</v>
      </c>
      <c r="AD210" s="110">
        <v>76.746744217168626</v>
      </c>
      <c r="AE210" s="110">
        <v>0</v>
      </c>
      <c r="AF210" s="110">
        <v>0</v>
      </c>
      <c r="AG210" s="110">
        <v>313.55543638961143</v>
      </c>
      <c r="AH210" s="110">
        <v>1.7347181845530721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153.56741005723461</v>
      </c>
      <c r="AO210" s="110">
        <v>38.231089244180097</v>
      </c>
      <c r="AP210" s="110">
        <v>0.92263165579508954</v>
      </c>
      <c r="AQ210" s="110">
        <v>1.5747372711638502E-14</v>
      </c>
      <c r="AR210" s="110">
        <v>351.46770558921406</v>
      </c>
      <c r="AS210" s="110">
        <v>253.44660195476877</v>
      </c>
      <c r="AT210" s="110">
        <v>53.505641530299464</v>
      </c>
      <c r="AU210" s="110">
        <v>0</v>
      </c>
      <c r="AV210" s="110">
        <v>0</v>
      </c>
      <c r="AW210" s="110">
        <v>0</v>
      </c>
      <c r="AX210" s="110">
        <v>0</v>
      </c>
      <c r="AY210" s="110">
        <v>313.55543638961143</v>
      </c>
    </row>
    <row r="211" spans="1:51">
      <c r="A211" s="109"/>
      <c r="B211" s="119">
        <v>3</v>
      </c>
      <c r="C211" s="106">
        <v>319.18630725371457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457.39304790296018</v>
      </c>
      <c r="AN211" s="110">
        <v>0</v>
      </c>
      <c r="AO211" s="110">
        <v>0</v>
      </c>
      <c r="AP211" s="110">
        <v>0</v>
      </c>
      <c r="AQ211" s="110">
        <v>0</v>
      </c>
      <c r="AR211" s="110">
        <v>313.55543638961143</v>
      </c>
      <c r="AS211" s="110">
        <v>58.689145672500175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286179.91308750486</v>
      </c>
      <c r="E259" s="124">
        <f t="shared" ref="E259:AX259" si="5">F$14*$B$259</f>
        <v>245386.30438137689</v>
      </c>
      <c r="F259" s="124">
        <f t="shared" si="5"/>
        <v>239309.01120386363</v>
      </c>
      <c r="G259" s="124">
        <f t="shared" si="5"/>
        <v>239309.01120386363</v>
      </c>
      <c r="H259" s="124">
        <f t="shared" si="5"/>
        <v>239309.01120386363</v>
      </c>
      <c r="I259" s="124">
        <f t="shared" si="5"/>
        <v>75270.875139950687</v>
      </c>
      <c r="J259" s="124">
        <f t="shared" si="5"/>
        <v>451203.22937623295</v>
      </c>
      <c r="K259" s="124">
        <f t="shared" si="5"/>
        <v>147695.71054005853</v>
      </c>
      <c r="L259" s="124">
        <f t="shared" si="5"/>
        <v>499059.31148468948</v>
      </c>
      <c r="M259" s="124">
        <f t="shared" si="5"/>
        <v>414587.87640820944</v>
      </c>
      <c r="N259" s="124">
        <f t="shared" si="5"/>
        <v>54363.29200735686</v>
      </c>
      <c r="O259" s="124">
        <f t="shared" si="5"/>
        <v>314558.39600233641</v>
      </c>
      <c r="P259" s="124">
        <f t="shared" si="5"/>
        <v>179500.97638028776</v>
      </c>
      <c r="Q259" s="124">
        <f t="shared" si="5"/>
        <v>314558.39600233641</v>
      </c>
      <c r="R259" s="124">
        <f t="shared" si="5"/>
        <v>164059.62640539077</v>
      </c>
      <c r="S259" s="124">
        <f t="shared" si="5"/>
        <v>478596.53206624941</v>
      </c>
      <c r="T259" s="124">
        <f t="shared" si="5"/>
        <v>314875.51806680544</v>
      </c>
      <c r="U259" s="124">
        <f t="shared" si="5"/>
        <v>21.490341477833447</v>
      </c>
      <c r="V259" s="124">
        <f t="shared" si="5"/>
        <v>478596.53206624941</v>
      </c>
      <c r="W259" s="124">
        <f t="shared" si="5"/>
        <v>337543.8622958074</v>
      </c>
      <c r="X259" s="124">
        <f t="shared" si="5"/>
        <v>266616.14106431988</v>
      </c>
      <c r="Y259" s="124">
        <f t="shared" si="5"/>
        <v>239309.01120386363</v>
      </c>
      <c r="Z259" s="124">
        <f t="shared" si="5"/>
        <v>239309.01120386363</v>
      </c>
      <c r="AA259" s="124">
        <f t="shared" si="5"/>
        <v>243315.13436428079</v>
      </c>
      <c r="AB259" s="124">
        <f t="shared" si="5"/>
        <v>75270.875139950687</v>
      </c>
      <c r="AC259" s="124">
        <f t="shared" si="5"/>
        <v>403347.14726777648</v>
      </c>
      <c r="AD259" s="124">
        <f t="shared" si="5"/>
        <v>279459.46439107979</v>
      </c>
      <c r="AE259" s="124">
        <f t="shared" si="5"/>
        <v>239309.01120386363</v>
      </c>
      <c r="AF259" s="124">
        <f t="shared" si="5"/>
        <v>75270.875139950687</v>
      </c>
      <c r="AG259" s="124">
        <f t="shared" si="5"/>
        <v>403347.14726777648</v>
      </c>
      <c r="AH259" s="124">
        <f t="shared" si="5"/>
        <v>240216.53792662369</v>
      </c>
      <c r="AI259" s="124">
        <f t="shared" si="5"/>
        <v>239309.01120386363</v>
      </c>
      <c r="AJ259" s="124">
        <f t="shared" si="5"/>
        <v>239309.01120386363</v>
      </c>
      <c r="AK259" s="124">
        <f t="shared" si="5"/>
        <v>21.490341477833447</v>
      </c>
      <c r="AL259" s="124">
        <f t="shared" si="5"/>
        <v>239309.01120386363</v>
      </c>
      <c r="AM259" s="124">
        <f t="shared" si="5"/>
        <v>478596.53206624941</v>
      </c>
      <c r="AN259" s="124">
        <f t="shared" si="5"/>
        <v>319648.59005476307</v>
      </c>
      <c r="AO259" s="124">
        <f t="shared" si="5"/>
        <v>259309.80178660405</v>
      </c>
      <c r="AP259" s="124">
        <f t="shared" si="5"/>
        <v>75753.554626655954</v>
      </c>
      <c r="AQ259" s="124">
        <f t="shared" si="5"/>
        <v>21.490341477841685</v>
      </c>
      <c r="AR259" s="124">
        <f t="shared" si="5"/>
        <v>642634.6681301624</v>
      </c>
      <c r="AS259" s="124">
        <f t="shared" si="5"/>
        <v>402604.42980432877</v>
      </c>
      <c r="AT259" s="124">
        <f t="shared" si="5"/>
        <v>267300.76222114882</v>
      </c>
      <c r="AU259" s="124">
        <f t="shared" si="5"/>
        <v>239309.01120386363</v>
      </c>
      <c r="AV259" s="124">
        <f t="shared" si="5"/>
        <v>239309.01120386363</v>
      </c>
      <c r="AW259" s="124">
        <f t="shared" si="5"/>
        <v>239309.01120386363</v>
      </c>
      <c r="AX259" s="124">
        <f t="shared" si="5"/>
        <v>75270.875139950687</v>
      </c>
      <c r="AY259" s="124">
        <f>AZ$14*$B$259</f>
        <v>164059.62640539077</v>
      </c>
      <c r="AZ259" s="139">
        <f>SUM($D259:$AY259)</f>
        <v>12299831.119978646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63237.41309067238</v>
      </c>
      <c r="E260" s="125">
        <f t="shared" ref="E260:AY260" si="6">(E$175-E$176+E$177-E$178+E$179-E$180+E$181-E$182)*$B$260</f>
        <v>68136.988353315319</v>
      </c>
      <c r="F260" s="125">
        <f t="shared" si="6"/>
        <v>46001.526708502381</v>
      </c>
      <c r="G260" s="125">
        <f t="shared" si="6"/>
        <v>43450.80772592088</v>
      </c>
      <c r="H260" s="125">
        <f t="shared" si="6"/>
        <v>43010.286382996434</v>
      </c>
      <c r="I260" s="125">
        <f t="shared" si="6"/>
        <v>24838.980635701595</v>
      </c>
      <c r="J260" s="125">
        <f t="shared" si="6"/>
        <v>74787.84469334883</v>
      </c>
      <c r="K260" s="125">
        <f t="shared" si="6"/>
        <v>65498.084862100826</v>
      </c>
      <c r="L260" s="125">
        <f t="shared" si="6"/>
        <v>96306.131089194008</v>
      </c>
      <c r="M260" s="125">
        <f t="shared" si="6"/>
        <v>85150.349870011443</v>
      </c>
      <c r="N260" s="125">
        <f t="shared" si="6"/>
        <v>45244.267678671982</v>
      </c>
      <c r="O260" s="125">
        <f t="shared" si="6"/>
        <v>28781.586670792822</v>
      </c>
      <c r="P260" s="125">
        <f t="shared" si="6"/>
        <v>17094.241195938634</v>
      </c>
      <c r="Q260" s="125">
        <f t="shared" si="6"/>
        <v>18762.716228753532</v>
      </c>
      <c r="R260" s="125">
        <f t="shared" si="6"/>
        <v>511.14944683837621</v>
      </c>
      <c r="S260" s="125">
        <f t="shared" si="6"/>
        <v>48567.571987274663</v>
      </c>
      <c r="T260" s="125">
        <f t="shared" si="6"/>
        <v>46282.934970299946</v>
      </c>
      <c r="U260" s="125">
        <f t="shared" si="6"/>
        <v>14023.481107158657</v>
      </c>
      <c r="V260" s="125">
        <f t="shared" si="6"/>
        <v>68178.423593591098</v>
      </c>
      <c r="W260" s="125">
        <f t="shared" si="6"/>
        <v>58453.998625597007</v>
      </c>
      <c r="X260" s="125">
        <f t="shared" si="6"/>
        <v>41558.633752593007</v>
      </c>
      <c r="Y260" s="125">
        <f t="shared" si="6"/>
        <v>38168.57291097672</v>
      </c>
      <c r="Z260" s="125">
        <f t="shared" si="6"/>
        <v>23910.287417749336</v>
      </c>
      <c r="AA260" s="125">
        <f t="shared" si="6"/>
        <v>12660.252684204113</v>
      </c>
      <c r="AB260" s="125">
        <f t="shared" si="6"/>
        <v>0</v>
      </c>
      <c r="AC260" s="125">
        <f t="shared" si="6"/>
        <v>31440.067399554908</v>
      </c>
      <c r="AD260" s="125">
        <f t="shared" si="6"/>
        <v>27440.329875638377</v>
      </c>
      <c r="AE260" s="125">
        <f t="shared" si="6"/>
        <v>15650.083000951852</v>
      </c>
      <c r="AF260" s="125">
        <f t="shared" si="6"/>
        <v>3946.3929066780838</v>
      </c>
      <c r="AG260" s="125">
        <f t="shared" si="6"/>
        <v>25056.921856263565</v>
      </c>
      <c r="AH260" s="125">
        <f t="shared" si="6"/>
        <v>33207.468090175891</v>
      </c>
      <c r="AI260" s="125">
        <f t="shared" si="6"/>
        <v>27260.520805079927</v>
      </c>
      <c r="AJ260" s="125">
        <f t="shared" si="6"/>
        <v>18484.078251573446</v>
      </c>
      <c r="AK260" s="125">
        <f t="shared" si="6"/>
        <v>3249.8061131516852</v>
      </c>
      <c r="AL260" s="125">
        <f t="shared" si="6"/>
        <v>0</v>
      </c>
      <c r="AM260" s="125">
        <f t="shared" si="6"/>
        <v>43735.580832178326</v>
      </c>
      <c r="AN260" s="125">
        <f t="shared" si="6"/>
        <v>43177.303577047984</v>
      </c>
      <c r="AO260" s="125">
        <f t="shared" si="6"/>
        <v>35789.504684919113</v>
      </c>
      <c r="AP260" s="125">
        <f t="shared" si="6"/>
        <v>14729.814199920387</v>
      </c>
      <c r="AQ260" s="125">
        <f t="shared" si="6"/>
        <v>4072.8617854624872</v>
      </c>
      <c r="AR260" s="125">
        <f t="shared" si="6"/>
        <v>89476.991840060204</v>
      </c>
      <c r="AS260" s="125">
        <f t="shared" si="6"/>
        <v>85656.096030178232</v>
      </c>
      <c r="AT260" s="125">
        <f t="shared" si="6"/>
        <v>80211.746085686755</v>
      </c>
      <c r="AU260" s="125">
        <f t="shared" si="6"/>
        <v>72092.019257699852</v>
      </c>
      <c r="AV260" s="125">
        <f t="shared" si="6"/>
        <v>75901.300275118338</v>
      </c>
      <c r="AW260" s="125">
        <f t="shared" si="6"/>
        <v>62850.581292536845</v>
      </c>
      <c r="AX260" s="125">
        <f t="shared" si="6"/>
        <v>23898.566545154714</v>
      </c>
      <c r="AY260" s="125">
        <f t="shared" si="6"/>
        <v>8152.8617854624872</v>
      </c>
      <c r="AZ260" s="141">
        <f>SUM($D260:$AY260)</f>
        <v>1898097.4281726978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19.777059584832831</v>
      </c>
      <c r="E6" s="100">
        <v>11439.051263867308</v>
      </c>
      <c r="F6" s="100">
        <v>16</v>
      </c>
      <c r="G6" s="100">
        <v>9254.4</v>
      </c>
      <c r="H6" s="100">
        <v>22.589332325768911</v>
      </c>
      <c r="I6" s="100">
        <v>13065.669817224738</v>
      </c>
      <c r="J6" s="100">
        <v>17</v>
      </c>
      <c r="K6" s="100">
        <v>9832.7999999999993</v>
      </c>
      <c r="L6" s="100">
        <v>14</v>
      </c>
      <c r="M6" s="100">
        <v>8097.5999999999995</v>
      </c>
      <c r="N6" s="100">
        <v>20</v>
      </c>
      <c r="O6" s="100">
        <v>11568</v>
      </c>
      <c r="P6" s="100">
        <v>21</v>
      </c>
      <c r="Q6" s="100">
        <v>12146.4</v>
      </c>
      <c r="R6" s="100">
        <v>16</v>
      </c>
      <c r="S6" s="100">
        <v>9254.4</v>
      </c>
      <c r="T6" s="100">
        <v>22</v>
      </c>
      <c r="U6" s="100">
        <v>12724.8</v>
      </c>
      <c r="V6" s="100">
        <v>21</v>
      </c>
      <c r="W6" s="100">
        <v>12146.4</v>
      </c>
      <c r="X6" s="100">
        <v>20</v>
      </c>
      <c r="Y6" s="100">
        <v>11568</v>
      </c>
      <c r="Z6" s="100">
        <v>23</v>
      </c>
      <c r="AA6" s="100">
        <v>13303.199999999999</v>
      </c>
      <c r="AB6" s="100">
        <v>21.676373023806111</v>
      </c>
      <c r="AC6" s="100">
        <v>12537.614156969454</v>
      </c>
      <c r="AD6" s="100">
        <v>20.433797800844324</v>
      </c>
      <c r="AE6" s="100">
        <v>11818.908648008357</v>
      </c>
      <c r="AF6" s="100">
        <v>18.799302857919642</v>
      </c>
      <c r="AG6" s="100">
        <v>10873.516773020721</v>
      </c>
      <c r="AH6" s="100">
        <v>20</v>
      </c>
      <c r="AI6" s="100">
        <v>11568</v>
      </c>
      <c r="AJ6" s="100">
        <v>22</v>
      </c>
      <c r="AK6" s="100">
        <v>12724.8</v>
      </c>
      <c r="AL6" s="100">
        <v>26</v>
      </c>
      <c r="AM6" s="100">
        <v>15038.4</v>
      </c>
      <c r="AN6" s="100">
        <v>17</v>
      </c>
      <c r="AO6" s="100">
        <v>9832.7999999999993</v>
      </c>
      <c r="AP6" s="100">
        <v>22</v>
      </c>
      <c r="AQ6" s="100">
        <v>12724.8</v>
      </c>
      <c r="AR6" s="100">
        <v>27</v>
      </c>
      <c r="AS6" s="100">
        <v>15616.8</v>
      </c>
      <c r="AT6" s="100">
        <v>19</v>
      </c>
      <c r="AU6" s="100">
        <v>10989.6</v>
      </c>
      <c r="AV6" s="100">
        <v>23</v>
      </c>
      <c r="AW6" s="100">
        <v>13303.199999999999</v>
      </c>
      <c r="AX6" s="100">
        <v>20</v>
      </c>
      <c r="AY6" s="100">
        <v>11568</v>
      </c>
      <c r="AZ6" s="100">
        <v>18.273506336063363</v>
      </c>
      <c r="BA6" s="100">
        <v>10569.396064779048</v>
      </c>
      <c r="BB6" s="100">
        <v>23.596366345802586</v>
      </c>
      <c r="BC6" s="100">
        <v>13648.138294412216</v>
      </c>
      <c r="BD6" s="100">
        <v>17</v>
      </c>
      <c r="BE6" s="100">
        <v>9832.7999999999993</v>
      </c>
      <c r="BF6" s="100">
        <v>22.891375465442202</v>
      </c>
      <c r="BG6" s="100">
        <v>13240.371569211769</v>
      </c>
      <c r="BH6" s="100">
        <v>18</v>
      </c>
      <c r="BI6" s="100">
        <v>10411.199999999999</v>
      </c>
      <c r="BJ6" s="100">
        <v>25.690479808813688</v>
      </c>
      <c r="BK6" s="100">
        <v>14859.373521417836</v>
      </c>
      <c r="BL6" s="100">
        <v>27.342958276436466</v>
      </c>
      <c r="BM6" s="100">
        <v>15815.167067090852</v>
      </c>
      <c r="BN6" s="100">
        <v>14</v>
      </c>
      <c r="BO6" s="100">
        <v>8097.5999999999995</v>
      </c>
      <c r="BP6" s="100">
        <v>18.115590760947288</v>
      </c>
      <c r="BQ6" s="100">
        <v>10478.057696131911</v>
      </c>
      <c r="BR6" s="100">
        <v>18.480721546498465</v>
      </c>
      <c r="BS6" s="100">
        <v>10689.249342494712</v>
      </c>
      <c r="BT6" s="100">
        <v>28.11397588835197</v>
      </c>
      <c r="BU6" s="100">
        <v>16261.123653822779</v>
      </c>
      <c r="BV6" s="100">
        <v>19</v>
      </c>
      <c r="BW6" s="100">
        <v>10989.6</v>
      </c>
      <c r="BX6" s="100">
        <v>26.658960801685776</v>
      </c>
      <c r="BY6" s="100">
        <v>15419.542927695053</v>
      </c>
      <c r="BZ6" s="100">
        <v>22.965749708344788</v>
      </c>
      <c r="CA6" s="100">
        <v>13283.389631306625</v>
      </c>
      <c r="CB6" s="100">
        <v>20.65223490075617</v>
      </c>
      <c r="CC6" s="100">
        <v>11945.252666597369</v>
      </c>
      <c r="CD6" s="100">
        <v>16</v>
      </c>
      <c r="CE6" s="100">
        <v>9254.4</v>
      </c>
      <c r="CF6" s="100">
        <v>31.332710068800786</v>
      </c>
      <c r="CG6" s="100">
        <v>18122.839503794374</v>
      </c>
      <c r="CH6" s="100">
        <v>19.44635510284434</v>
      </c>
      <c r="CI6" s="100">
        <v>11247.771791485166</v>
      </c>
      <c r="CJ6" s="100">
        <v>22.007979680789699</v>
      </c>
      <c r="CK6" s="100">
        <v>12729.415447368761</v>
      </c>
      <c r="CL6" s="100">
        <v>24.072314267751608</v>
      </c>
      <c r="CM6" s="100">
        <v>13923.42657246753</v>
      </c>
      <c r="CN6" s="100">
        <v>18</v>
      </c>
      <c r="CO6" s="100">
        <v>10411.199999999999</v>
      </c>
      <c r="CP6" s="100">
        <v>19</v>
      </c>
      <c r="CQ6" s="100">
        <v>10989.6</v>
      </c>
      <c r="CR6" s="100">
        <v>23.999219976186058</v>
      </c>
      <c r="CS6" s="100">
        <v>13881.148834226016</v>
      </c>
      <c r="CT6" s="100">
        <v>22</v>
      </c>
      <c r="CU6" s="100">
        <v>12724.8</v>
      </c>
    </row>
    <row r="7" spans="1:99">
      <c r="C7" s="99" t="s">
        <v>173</v>
      </c>
      <c r="D7" s="100">
        <v>19.777059584832831</v>
      </c>
      <c r="E7" s="100">
        <v>15592.233776682204</v>
      </c>
      <c r="F7" s="100">
        <v>15</v>
      </c>
      <c r="G7" s="100">
        <v>11826</v>
      </c>
      <c r="H7" s="100">
        <v>21.648110145528541</v>
      </c>
      <c r="I7" s="100">
        <v>17067.370038734702</v>
      </c>
      <c r="J7" s="100">
        <v>17</v>
      </c>
      <c r="K7" s="100">
        <v>13402.8</v>
      </c>
      <c r="L7" s="100">
        <v>13</v>
      </c>
      <c r="M7" s="100">
        <v>10249.199999999999</v>
      </c>
      <c r="N7" s="100">
        <v>17</v>
      </c>
      <c r="O7" s="100">
        <v>13402.8</v>
      </c>
      <c r="P7" s="100">
        <v>22</v>
      </c>
      <c r="Q7" s="100">
        <v>17344.8</v>
      </c>
      <c r="R7" s="100">
        <v>17</v>
      </c>
      <c r="S7" s="100">
        <v>13402.8</v>
      </c>
      <c r="T7" s="100">
        <v>20</v>
      </c>
      <c r="U7" s="100">
        <v>15768</v>
      </c>
      <c r="V7" s="100">
        <v>21</v>
      </c>
      <c r="W7" s="100">
        <v>16556.399999999998</v>
      </c>
      <c r="X7" s="100">
        <v>23</v>
      </c>
      <c r="Y7" s="100">
        <v>18133.2</v>
      </c>
      <c r="Z7" s="100">
        <v>24</v>
      </c>
      <c r="AA7" s="100">
        <v>18921.599999999999</v>
      </c>
      <c r="AB7" s="100">
        <v>23.410482865710598</v>
      </c>
      <c r="AC7" s="100">
        <v>18456.824691326234</v>
      </c>
      <c r="AD7" s="100">
        <v>18.487721819811533</v>
      </c>
      <c r="AE7" s="100">
        <v>14575.719882739411</v>
      </c>
      <c r="AF7" s="100">
        <v>20.67923314371161</v>
      </c>
      <c r="AG7" s="100">
        <v>16303.507410502232</v>
      </c>
      <c r="AH7" s="100">
        <v>24</v>
      </c>
      <c r="AI7" s="100">
        <v>18921.599999999999</v>
      </c>
      <c r="AJ7" s="100">
        <v>19</v>
      </c>
      <c r="AK7" s="100">
        <v>14979.6</v>
      </c>
      <c r="AL7" s="100">
        <v>26</v>
      </c>
      <c r="AM7" s="100">
        <v>20498.399999999998</v>
      </c>
      <c r="AN7" s="100">
        <v>14</v>
      </c>
      <c r="AO7" s="100">
        <v>11037.6</v>
      </c>
      <c r="AP7" s="100">
        <v>21</v>
      </c>
      <c r="AQ7" s="100">
        <v>16556.399999999998</v>
      </c>
      <c r="AR7" s="100">
        <v>27</v>
      </c>
      <c r="AS7" s="100">
        <v>21286.799999999999</v>
      </c>
      <c r="AT7" s="100">
        <v>19</v>
      </c>
      <c r="AU7" s="100">
        <v>14979.6</v>
      </c>
      <c r="AV7" s="100">
        <v>19</v>
      </c>
      <c r="AW7" s="100">
        <v>14979.6</v>
      </c>
      <c r="AX7" s="100">
        <v>18</v>
      </c>
      <c r="AY7" s="100">
        <v>14191.199999999999</v>
      </c>
      <c r="AZ7" s="100">
        <v>19.235269827435122</v>
      </c>
      <c r="BA7" s="100">
        <v>15165.08673194985</v>
      </c>
      <c r="BB7" s="100">
        <v>23.596366345802586</v>
      </c>
      <c r="BC7" s="100">
        <v>18603.37522703076</v>
      </c>
      <c r="BD7" s="100">
        <v>15</v>
      </c>
      <c r="BE7" s="100">
        <v>11826</v>
      </c>
      <c r="BF7" s="100">
        <v>21.365283767746057</v>
      </c>
      <c r="BG7" s="100">
        <v>16844.389722490992</v>
      </c>
      <c r="BH7" s="100">
        <v>19</v>
      </c>
      <c r="BI7" s="100">
        <v>14979.6</v>
      </c>
      <c r="BJ7" s="100">
        <v>23.714289054289562</v>
      </c>
      <c r="BK7" s="100">
        <v>18696.345490401891</v>
      </c>
      <c r="BL7" s="100">
        <v>26.431526333888584</v>
      </c>
      <c r="BM7" s="100">
        <v>20838.61536163776</v>
      </c>
      <c r="BN7" s="100">
        <v>15</v>
      </c>
      <c r="BO7" s="100">
        <v>11826</v>
      </c>
      <c r="BP7" s="100">
        <v>17.209811222899923</v>
      </c>
      <c r="BQ7" s="100">
        <v>13568.215168134298</v>
      </c>
      <c r="BR7" s="100">
        <v>17.640688748930351</v>
      </c>
      <c r="BS7" s="100">
        <v>13907.919009656689</v>
      </c>
      <c r="BT7" s="100">
        <v>28.11397588835197</v>
      </c>
      <c r="BU7" s="100">
        <v>22165.058590376691</v>
      </c>
      <c r="BV7" s="100">
        <v>17</v>
      </c>
      <c r="BW7" s="100">
        <v>13402.8</v>
      </c>
      <c r="BX7" s="100">
        <v>22.981862760073945</v>
      </c>
      <c r="BY7" s="100">
        <v>18118.900600042296</v>
      </c>
      <c r="BZ7" s="100">
        <v>22.965749708344788</v>
      </c>
      <c r="CA7" s="100">
        <v>18106.197070059032</v>
      </c>
      <c r="CB7" s="100">
        <v>23.035185081612649</v>
      </c>
      <c r="CC7" s="100">
        <v>18160.939918343411</v>
      </c>
      <c r="CD7" s="100">
        <v>18</v>
      </c>
      <c r="CE7" s="100">
        <v>14191.199999999999</v>
      </c>
      <c r="CF7" s="100">
        <v>25.803408291953588</v>
      </c>
      <c r="CG7" s="100">
        <v>20343.407097376206</v>
      </c>
      <c r="CH7" s="100">
        <v>16.334938286389246</v>
      </c>
      <c r="CI7" s="100">
        <v>12878.465344989281</v>
      </c>
      <c r="CJ7" s="100">
        <v>19.256982220690986</v>
      </c>
      <c r="CK7" s="100">
        <v>15182.204782792773</v>
      </c>
      <c r="CL7" s="100">
        <v>21.582074860742821</v>
      </c>
      <c r="CM7" s="100">
        <v>17015.30782020964</v>
      </c>
      <c r="CN7" s="100">
        <v>17</v>
      </c>
      <c r="CO7" s="100">
        <v>13402.8</v>
      </c>
      <c r="CP7" s="100">
        <v>20</v>
      </c>
      <c r="CQ7" s="100">
        <v>15768</v>
      </c>
      <c r="CR7" s="100">
        <v>24.959188775233503</v>
      </c>
      <c r="CS7" s="100">
        <v>19677.824430394092</v>
      </c>
      <c r="CT7" s="100">
        <v>18</v>
      </c>
      <c r="CU7" s="100">
        <v>14191.199999999999</v>
      </c>
    </row>
    <row r="8" spans="1:99">
      <c r="C8" s="99" t="s">
        <v>174</v>
      </c>
      <c r="D8" s="100">
        <v>19.777059584832831</v>
      </c>
      <c r="E8" s="100">
        <v>6122.977647464244</v>
      </c>
      <c r="F8" s="100">
        <v>15</v>
      </c>
      <c r="G8" s="100">
        <v>4643.9999999999991</v>
      </c>
      <c r="H8" s="100">
        <v>22.589332325768911</v>
      </c>
      <c r="I8" s="100">
        <v>6993.6572880580543</v>
      </c>
      <c r="J8" s="100">
        <v>20</v>
      </c>
      <c r="K8" s="100">
        <v>6191.9999999999991</v>
      </c>
      <c r="L8" s="100">
        <v>17</v>
      </c>
      <c r="M8" s="100">
        <v>5263.2</v>
      </c>
      <c r="N8" s="100">
        <v>18</v>
      </c>
      <c r="O8" s="100">
        <v>5572.7999999999993</v>
      </c>
      <c r="P8" s="100">
        <v>21</v>
      </c>
      <c r="Q8" s="100">
        <v>6501.5999999999995</v>
      </c>
      <c r="R8" s="100">
        <v>15</v>
      </c>
      <c r="S8" s="100">
        <v>4643.9999999999991</v>
      </c>
      <c r="T8" s="100">
        <v>22</v>
      </c>
      <c r="U8" s="100">
        <v>6811.1999999999989</v>
      </c>
      <c r="V8" s="100">
        <v>21</v>
      </c>
      <c r="W8" s="100">
        <v>6501.5999999999995</v>
      </c>
      <c r="X8" s="100">
        <v>22</v>
      </c>
      <c r="Y8" s="100">
        <v>6811.1999999999989</v>
      </c>
      <c r="Z8" s="100">
        <v>23</v>
      </c>
      <c r="AA8" s="100">
        <v>7120.7999999999993</v>
      </c>
      <c r="AB8" s="100">
        <v>24.277537786662844</v>
      </c>
      <c r="AC8" s="100">
        <v>7516.3256987508157</v>
      </c>
      <c r="AD8" s="100">
        <v>21.406835791360724</v>
      </c>
      <c r="AE8" s="100">
        <v>6627.5563610052795</v>
      </c>
      <c r="AF8" s="100">
        <v>20.67923314371161</v>
      </c>
      <c r="AG8" s="100">
        <v>6402.290581293114</v>
      </c>
      <c r="AH8" s="100">
        <v>25</v>
      </c>
      <c r="AI8" s="100">
        <v>7739.9999999999991</v>
      </c>
      <c r="AJ8" s="100">
        <v>22</v>
      </c>
      <c r="AK8" s="100">
        <v>6811.1999999999989</v>
      </c>
      <c r="AL8" s="100">
        <v>29</v>
      </c>
      <c r="AM8" s="100">
        <v>8978.4</v>
      </c>
      <c r="AN8" s="100">
        <v>16</v>
      </c>
      <c r="AO8" s="100">
        <v>4953.5999999999995</v>
      </c>
      <c r="AP8" s="100">
        <v>20</v>
      </c>
      <c r="AQ8" s="100">
        <v>6191.9999999999991</v>
      </c>
      <c r="AR8" s="100">
        <v>26</v>
      </c>
      <c r="AS8" s="100">
        <v>8049.5999999999995</v>
      </c>
      <c r="AT8" s="100">
        <v>18</v>
      </c>
      <c r="AU8" s="100">
        <v>5572.7999999999993</v>
      </c>
      <c r="AV8" s="100">
        <v>23</v>
      </c>
      <c r="AW8" s="100">
        <v>7120.7999999999993</v>
      </c>
      <c r="AX8" s="100">
        <v>20</v>
      </c>
      <c r="AY8" s="100">
        <v>6191.9999999999991</v>
      </c>
      <c r="AZ8" s="100">
        <v>21.158796810178629</v>
      </c>
      <c r="BA8" s="100">
        <v>6550.7634924313024</v>
      </c>
      <c r="BB8" s="100">
        <v>22.753638976309638</v>
      </c>
      <c r="BC8" s="100">
        <v>7044.5266270654629</v>
      </c>
      <c r="BD8" s="100">
        <v>17</v>
      </c>
      <c r="BE8" s="100">
        <v>5263.2</v>
      </c>
      <c r="BF8" s="100">
        <v>25.180513011986424</v>
      </c>
      <c r="BG8" s="100">
        <v>7795.8868285109957</v>
      </c>
      <c r="BH8" s="100">
        <v>17</v>
      </c>
      <c r="BI8" s="100">
        <v>5263.2</v>
      </c>
      <c r="BJ8" s="100">
        <v>26.678575186075754</v>
      </c>
      <c r="BK8" s="100">
        <v>8259.6868776090523</v>
      </c>
      <c r="BL8" s="100">
        <v>25.520094391340702</v>
      </c>
      <c r="BM8" s="100">
        <v>7901.0212235590807</v>
      </c>
      <c r="BN8" s="100">
        <v>15</v>
      </c>
      <c r="BO8" s="100">
        <v>4643.9999999999991</v>
      </c>
      <c r="BP8" s="100">
        <v>19.927149837042013</v>
      </c>
      <c r="BQ8" s="100">
        <v>6169.445589548206</v>
      </c>
      <c r="BR8" s="100">
        <v>18.480721546498465</v>
      </c>
      <c r="BS8" s="100">
        <v>5721.6313907959238</v>
      </c>
      <c r="BT8" s="100">
        <v>26.175080999500111</v>
      </c>
      <c r="BU8" s="100">
        <v>8103.8050774452331</v>
      </c>
      <c r="BV8" s="100">
        <v>19</v>
      </c>
      <c r="BW8" s="100">
        <v>5882.4</v>
      </c>
      <c r="BX8" s="100">
        <v>25.739686291282819</v>
      </c>
      <c r="BY8" s="100">
        <v>7969.0068757811596</v>
      </c>
      <c r="BZ8" s="100">
        <v>24.549594515816842</v>
      </c>
      <c r="CA8" s="100">
        <v>7600.554462096894</v>
      </c>
      <c r="CB8" s="100">
        <v>23.035185081612649</v>
      </c>
      <c r="CC8" s="100">
        <v>7131.6933012672753</v>
      </c>
      <c r="CD8" s="100">
        <v>17</v>
      </c>
      <c r="CE8" s="100">
        <v>5263.2</v>
      </c>
      <c r="CF8" s="100">
        <v>32.254260364941985</v>
      </c>
      <c r="CG8" s="100">
        <v>9985.9190089860367</v>
      </c>
      <c r="CH8" s="100">
        <v>17.112792490503018</v>
      </c>
      <c r="CI8" s="100">
        <v>5298.1205550597342</v>
      </c>
      <c r="CJ8" s="100">
        <v>22.007979680789699</v>
      </c>
      <c r="CK8" s="100">
        <v>6813.6705091724898</v>
      </c>
      <c r="CL8" s="100">
        <v>25.732473872424134</v>
      </c>
      <c r="CM8" s="100">
        <v>7966.7739109025106</v>
      </c>
      <c r="CN8" s="100">
        <v>16</v>
      </c>
      <c r="CO8" s="100">
        <v>4953.5999999999995</v>
      </c>
      <c r="CP8" s="100">
        <v>19</v>
      </c>
      <c r="CQ8" s="100">
        <v>5882.4</v>
      </c>
      <c r="CR8" s="100">
        <v>25.919157574280945</v>
      </c>
      <c r="CS8" s="100">
        <v>8024.5711849973795</v>
      </c>
      <c r="CT8" s="100">
        <v>22</v>
      </c>
      <c r="CU8" s="100">
        <v>6811.1999999999989</v>
      </c>
    </row>
    <row r="9" spans="1:99">
      <c r="C9" s="99" t="s">
        <v>175</v>
      </c>
      <c r="D9" s="100">
        <v>18.878102330976791</v>
      </c>
      <c r="E9" s="100">
        <v>13252.427836345707</v>
      </c>
      <c r="F9" s="100">
        <v>14</v>
      </c>
      <c r="G9" s="100">
        <v>9828</v>
      </c>
      <c r="H9" s="100">
        <v>20.706887965288164</v>
      </c>
      <c r="I9" s="100">
        <v>14536.235351632291</v>
      </c>
      <c r="J9" s="100">
        <v>19</v>
      </c>
      <c r="K9" s="100">
        <v>13338</v>
      </c>
      <c r="L9" s="100">
        <v>16</v>
      </c>
      <c r="M9" s="100">
        <v>11232</v>
      </c>
      <c r="N9" s="100">
        <v>18</v>
      </c>
      <c r="O9" s="100">
        <v>12636</v>
      </c>
      <c r="P9" s="100">
        <v>22</v>
      </c>
      <c r="Q9" s="100">
        <v>15444</v>
      </c>
      <c r="R9" s="100">
        <v>14</v>
      </c>
      <c r="S9" s="100">
        <v>9828</v>
      </c>
      <c r="T9" s="100">
        <v>20</v>
      </c>
      <c r="U9" s="100">
        <v>14040</v>
      </c>
      <c r="V9" s="100">
        <v>24</v>
      </c>
      <c r="W9" s="100">
        <v>16848</v>
      </c>
      <c r="X9" s="100">
        <v>21</v>
      </c>
      <c r="Y9" s="100">
        <v>14742</v>
      </c>
      <c r="Z9" s="100">
        <v>21</v>
      </c>
      <c r="AA9" s="100">
        <v>14742</v>
      </c>
      <c r="AB9" s="100">
        <v>19.94226318190162</v>
      </c>
      <c r="AC9" s="100">
        <v>13999.468753694937</v>
      </c>
      <c r="AD9" s="100">
        <v>18.487721819811533</v>
      </c>
      <c r="AE9" s="100">
        <v>12978.380717507696</v>
      </c>
      <c r="AF9" s="100">
        <v>21.619198286607592</v>
      </c>
      <c r="AG9" s="100">
        <v>15176.677197198529</v>
      </c>
      <c r="AH9" s="100">
        <v>24</v>
      </c>
      <c r="AI9" s="100">
        <v>16848</v>
      </c>
      <c r="AJ9" s="100">
        <v>21</v>
      </c>
      <c r="AK9" s="100">
        <v>14742</v>
      </c>
      <c r="AL9" s="100">
        <v>30</v>
      </c>
      <c r="AM9" s="100">
        <v>21060</v>
      </c>
      <c r="AN9" s="100">
        <v>14</v>
      </c>
      <c r="AO9" s="100">
        <v>9828</v>
      </c>
      <c r="AP9" s="100">
        <v>19</v>
      </c>
      <c r="AQ9" s="100">
        <v>13338</v>
      </c>
      <c r="AR9" s="100">
        <v>27</v>
      </c>
      <c r="AS9" s="100">
        <v>18954</v>
      </c>
      <c r="AT9" s="100">
        <v>18</v>
      </c>
      <c r="AU9" s="100">
        <v>12636</v>
      </c>
      <c r="AV9" s="100">
        <v>19</v>
      </c>
      <c r="AW9" s="100">
        <v>13338</v>
      </c>
      <c r="AX9" s="100">
        <v>20</v>
      </c>
      <c r="AY9" s="100">
        <v>14040</v>
      </c>
      <c r="AZ9" s="100">
        <v>20.197033318806874</v>
      </c>
      <c r="BA9" s="100">
        <v>14178.317389802425</v>
      </c>
      <c r="BB9" s="100">
        <v>20.22545686783079</v>
      </c>
      <c r="BC9" s="100">
        <v>14198.270721217214</v>
      </c>
      <c r="BD9" s="100">
        <v>17</v>
      </c>
      <c r="BE9" s="100">
        <v>11934</v>
      </c>
      <c r="BF9" s="100">
        <v>19.839192070049911</v>
      </c>
      <c r="BG9" s="100">
        <v>13927.112833175037</v>
      </c>
      <c r="BH9" s="100">
        <v>18</v>
      </c>
      <c r="BI9" s="100">
        <v>12636</v>
      </c>
      <c r="BJ9" s="100">
        <v>23.714289054289562</v>
      </c>
      <c r="BK9" s="100">
        <v>16647.430916111272</v>
      </c>
      <c r="BL9" s="100">
        <v>28.254390218984348</v>
      </c>
      <c r="BM9" s="100">
        <v>19834.581933727011</v>
      </c>
      <c r="BN9" s="100">
        <v>14</v>
      </c>
      <c r="BO9" s="100">
        <v>9828</v>
      </c>
      <c r="BP9" s="100">
        <v>19.02137029899465</v>
      </c>
      <c r="BQ9" s="100">
        <v>13353.001949894244</v>
      </c>
      <c r="BR9" s="100">
        <v>16.800655951362241</v>
      </c>
      <c r="BS9" s="100">
        <v>11794.060477856294</v>
      </c>
      <c r="BT9" s="100">
        <v>24.236186110648251</v>
      </c>
      <c r="BU9" s="100">
        <v>17013.802649675072</v>
      </c>
      <c r="BV9" s="100">
        <v>18</v>
      </c>
      <c r="BW9" s="100">
        <v>12636</v>
      </c>
      <c r="BX9" s="100">
        <v>22.981862760073945</v>
      </c>
      <c r="BY9" s="100">
        <v>16133.267657571909</v>
      </c>
      <c r="BZ9" s="100">
        <v>21.381904900872737</v>
      </c>
      <c r="CA9" s="100">
        <v>15010.097240412661</v>
      </c>
      <c r="CB9" s="100">
        <v>22.240868354660488</v>
      </c>
      <c r="CC9" s="100">
        <v>15613.089584971663</v>
      </c>
      <c r="CD9" s="100">
        <v>19</v>
      </c>
      <c r="CE9" s="100">
        <v>13338</v>
      </c>
      <c r="CF9" s="100">
        <v>30.411159772659584</v>
      </c>
      <c r="CG9" s="100">
        <v>21348.634160407029</v>
      </c>
      <c r="CH9" s="100">
        <v>19.44635510284434</v>
      </c>
      <c r="CI9" s="100">
        <v>13651.341282196727</v>
      </c>
      <c r="CJ9" s="100">
        <v>21.090980527423461</v>
      </c>
      <c r="CK9" s="100">
        <v>14805.868330251269</v>
      </c>
      <c r="CL9" s="100">
        <v>22.412154663079086</v>
      </c>
      <c r="CM9" s="100">
        <v>15733.332573481519</v>
      </c>
      <c r="CN9" s="100">
        <v>18</v>
      </c>
      <c r="CO9" s="100">
        <v>12636</v>
      </c>
      <c r="CP9" s="100">
        <v>19</v>
      </c>
      <c r="CQ9" s="100">
        <v>13338</v>
      </c>
      <c r="CR9" s="100">
        <v>23.039251177138617</v>
      </c>
      <c r="CS9" s="100">
        <v>16173.554326351308</v>
      </c>
      <c r="CT9" s="100">
        <v>19</v>
      </c>
      <c r="CU9" s="100">
        <v>13338</v>
      </c>
    </row>
    <row r="10" spans="1:99">
      <c r="C10" s="99" t="s">
        <v>176</v>
      </c>
      <c r="D10" s="100">
        <v>20.67601683868887</v>
      </c>
      <c r="E10" s="100">
        <v>11264.293973717695</v>
      </c>
      <c r="F10" s="100">
        <v>14</v>
      </c>
      <c r="G10" s="100">
        <v>7627.1999999999989</v>
      </c>
      <c r="H10" s="100">
        <v>23.530554506009281</v>
      </c>
      <c r="I10" s="100">
        <v>12819.446094873856</v>
      </c>
      <c r="J10" s="100">
        <v>18</v>
      </c>
      <c r="K10" s="100">
        <v>9806.4</v>
      </c>
      <c r="L10" s="100">
        <v>16</v>
      </c>
      <c r="M10" s="100">
        <v>8716.7999999999993</v>
      </c>
      <c r="N10" s="100">
        <v>20</v>
      </c>
      <c r="O10" s="100">
        <v>10896</v>
      </c>
      <c r="P10" s="100">
        <v>20</v>
      </c>
      <c r="Q10" s="100">
        <v>10896</v>
      </c>
      <c r="R10" s="100">
        <v>17</v>
      </c>
      <c r="S10" s="100">
        <v>9261.5999999999985</v>
      </c>
      <c r="T10" s="100">
        <v>19</v>
      </c>
      <c r="U10" s="100">
        <v>10351.199999999999</v>
      </c>
      <c r="V10" s="100">
        <v>21</v>
      </c>
      <c r="W10" s="100">
        <v>11440.8</v>
      </c>
      <c r="X10" s="100">
        <v>20</v>
      </c>
      <c r="Y10" s="100">
        <v>10896</v>
      </c>
      <c r="Z10" s="100">
        <v>25</v>
      </c>
      <c r="AA10" s="100">
        <v>13619.999999999998</v>
      </c>
      <c r="AB10" s="100">
        <v>22.543427944758356</v>
      </c>
      <c r="AC10" s="100">
        <v>12281.659544304352</v>
      </c>
      <c r="AD10" s="100">
        <v>20.433797800844324</v>
      </c>
      <c r="AE10" s="100">
        <v>11132.333041899987</v>
      </c>
      <c r="AF10" s="100">
        <v>17.859337715023663</v>
      </c>
      <c r="AG10" s="100">
        <v>9729.7671871448911</v>
      </c>
      <c r="AH10" s="100">
        <v>24</v>
      </c>
      <c r="AI10" s="100">
        <v>13075.199999999999</v>
      </c>
      <c r="AJ10" s="100">
        <v>21</v>
      </c>
      <c r="AK10" s="100">
        <v>11440.8</v>
      </c>
      <c r="AL10" s="100">
        <v>30</v>
      </c>
      <c r="AM10" s="100">
        <v>16343.999999999998</v>
      </c>
      <c r="AN10" s="100">
        <v>16</v>
      </c>
      <c r="AO10" s="100">
        <v>8716.7999999999993</v>
      </c>
      <c r="AP10" s="100">
        <v>22</v>
      </c>
      <c r="AQ10" s="100">
        <v>11985.599999999999</v>
      </c>
      <c r="AR10" s="100">
        <v>25</v>
      </c>
      <c r="AS10" s="100">
        <v>13619.999999999998</v>
      </c>
      <c r="AT10" s="100">
        <v>18</v>
      </c>
      <c r="AU10" s="100">
        <v>9806.4</v>
      </c>
      <c r="AV10" s="100">
        <v>20</v>
      </c>
      <c r="AW10" s="100">
        <v>10896</v>
      </c>
      <c r="AX10" s="100">
        <v>22</v>
      </c>
      <c r="AY10" s="100">
        <v>11985.599999999999</v>
      </c>
      <c r="AZ10" s="100">
        <v>23.082323792922143</v>
      </c>
      <c r="BA10" s="100">
        <v>12575.250002383982</v>
      </c>
      <c r="BB10" s="100">
        <v>21.91091160681669</v>
      </c>
      <c r="BC10" s="100">
        <v>11937.064643393731</v>
      </c>
      <c r="BD10" s="100">
        <v>16</v>
      </c>
      <c r="BE10" s="100">
        <v>8716.7999999999993</v>
      </c>
      <c r="BF10" s="100">
        <v>20.602237918897984</v>
      </c>
      <c r="BG10" s="100">
        <v>11224.099218215621</v>
      </c>
      <c r="BH10" s="100">
        <v>18</v>
      </c>
      <c r="BI10" s="100">
        <v>9806.4</v>
      </c>
      <c r="BJ10" s="100">
        <v>25.690479808813688</v>
      </c>
      <c r="BK10" s="100">
        <v>13996.173399841697</v>
      </c>
      <c r="BL10" s="100">
        <v>26.431526333888584</v>
      </c>
      <c r="BM10" s="100">
        <v>14399.895546702499</v>
      </c>
      <c r="BN10" s="100">
        <v>16</v>
      </c>
      <c r="BO10" s="100">
        <v>8716.7999999999993</v>
      </c>
      <c r="BP10" s="100">
        <v>18.115590760947288</v>
      </c>
      <c r="BQ10" s="100">
        <v>9869.3738465640818</v>
      </c>
      <c r="BR10" s="100">
        <v>16.800655951362241</v>
      </c>
      <c r="BS10" s="100">
        <v>9152.9973623021488</v>
      </c>
      <c r="BT10" s="100">
        <v>25.205633555074183</v>
      </c>
      <c r="BU10" s="100">
        <v>13732.029160804414</v>
      </c>
      <c r="BV10" s="100">
        <v>19</v>
      </c>
      <c r="BW10" s="100">
        <v>10351.199999999999</v>
      </c>
      <c r="BX10" s="100">
        <v>23.901137270476905</v>
      </c>
      <c r="BY10" s="100">
        <v>13021.339584955816</v>
      </c>
      <c r="BZ10" s="100">
        <v>22.965749708344788</v>
      </c>
      <c r="CA10" s="100">
        <v>12511.74044110624</v>
      </c>
      <c r="CB10" s="100">
        <v>20.65223490075617</v>
      </c>
      <c r="CC10" s="100">
        <v>11251.33757393196</v>
      </c>
      <c r="CD10" s="100">
        <v>17</v>
      </c>
      <c r="CE10" s="100">
        <v>9261.5999999999985</v>
      </c>
      <c r="CF10" s="100">
        <v>25.803408291953588</v>
      </c>
      <c r="CG10" s="100">
        <v>14057.696837456313</v>
      </c>
      <c r="CH10" s="100">
        <v>19.44635510284434</v>
      </c>
      <c r="CI10" s="100">
        <v>10594.374260029595</v>
      </c>
      <c r="CJ10" s="100">
        <v>21.090980527423461</v>
      </c>
      <c r="CK10" s="100">
        <v>11490.366191340301</v>
      </c>
      <c r="CL10" s="100">
        <v>22.412154663079086</v>
      </c>
      <c r="CM10" s="100">
        <v>12210.141860445485</v>
      </c>
      <c r="CN10" s="100">
        <v>17</v>
      </c>
      <c r="CO10" s="100">
        <v>9261.5999999999985</v>
      </c>
      <c r="CP10" s="100">
        <v>19</v>
      </c>
      <c r="CQ10" s="100">
        <v>10351.199999999999</v>
      </c>
      <c r="CR10" s="100">
        <v>22.079282378091175</v>
      </c>
      <c r="CS10" s="100">
        <v>12028.793039584072</v>
      </c>
      <c r="CT10" s="100">
        <v>21</v>
      </c>
      <c r="CU10" s="100">
        <v>11440.8</v>
      </c>
    </row>
    <row r="11" spans="1:99">
      <c r="C11" s="99" t="s">
        <v>177</v>
      </c>
      <c r="D11" s="100">
        <v>17.979145077120755</v>
      </c>
      <c r="E11" s="100">
        <v>9579.2884970899377</v>
      </c>
      <c r="F11" s="100">
        <v>16</v>
      </c>
      <c r="G11" s="100">
        <v>8524.7999999999993</v>
      </c>
      <c r="H11" s="100">
        <v>21.648110145528541</v>
      </c>
      <c r="I11" s="100">
        <v>11534.113085537605</v>
      </c>
      <c r="J11" s="100">
        <v>17</v>
      </c>
      <c r="K11" s="100">
        <v>9057.5999999999985</v>
      </c>
      <c r="L11" s="100">
        <v>15</v>
      </c>
      <c r="M11" s="100">
        <v>7991.9999999999991</v>
      </c>
      <c r="N11" s="100">
        <v>21</v>
      </c>
      <c r="O11" s="100">
        <v>11188.8</v>
      </c>
      <c r="P11" s="100">
        <v>21</v>
      </c>
      <c r="Q11" s="100">
        <v>11188.8</v>
      </c>
      <c r="R11" s="100">
        <v>14</v>
      </c>
      <c r="S11" s="100">
        <v>7459.1999999999989</v>
      </c>
      <c r="T11" s="100">
        <v>19</v>
      </c>
      <c r="U11" s="100">
        <v>10123.199999999999</v>
      </c>
      <c r="V11" s="100">
        <v>20</v>
      </c>
      <c r="W11" s="100">
        <v>10656</v>
      </c>
      <c r="X11" s="100">
        <v>24</v>
      </c>
      <c r="Y11" s="100">
        <v>12787.199999999999</v>
      </c>
      <c r="Z11" s="100">
        <v>23</v>
      </c>
      <c r="AA11" s="100">
        <v>12254.4</v>
      </c>
      <c r="AB11" s="100">
        <v>22.543427944758356</v>
      </c>
      <c r="AC11" s="100">
        <v>12011.138408967252</v>
      </c>
      <c r="AD11" s="100">
        <v>20.433797800844324</v>
      </c>
      <c r="AE11" s="100">
        <v>10887.127468289855</v>
      </c>
      <c r="AF11" s="100">
        <v>21.619198286607592</v>
      </c>
      <c r="AG11" s="100">
        <v>11518.708847104524</v>
      </c>
      <c r="AH11" s="100">
        <v>24</v>
      </c>
      <c r="AI11" s="100">
        <v>12787.199999999999</v>
      </c>
      <c r="AJ11" s="100">
        <v>20</v>
      </c>
      <c r="AK11" s="100">
        <v>10656</v>
      </c>
      <c r="AL11" s="100">
        <v>29</v>
      </c>
      <c r="AM11" s="100">
        <v>15451.199999999999</v>
      </c>
      <c r="AN11" s="100">
        <v>15</v>
      </c>
      <c r="AO11" s="100">
        <v>7991.9999999999991</v>
      </c>
      <c r="AP11" s="100">
        <v>21</v>
      </c>
      <c r="AQ11" s="100">
        <v>11188.8</v>
      </c>
      <c r="AR11" s="100">
        <v>26</v>
      </c>
      <c r="AS11" s="100">
        <v>13852.8</v>
      </c>
      <c r="AT11" s="100">
        <v>18</v>
      </c>
      <c r="AU11" s="100">
        <v>9590.4</v>
      </c>
      <c r="AV11" s="100">
        <v>21</v>
      </c>
      <c r="AW11" s="100">
        <v>11188.8</v>
      </c>
      <c r="AX11" s="100">
        <v>23</v>
      </c>
      <c r="AY11" s="100">
        <v>12254.4</v>
      </c>
      <c r="AZ11" s="100">
        <v>20.197033318806874</v>
      </c>
      <c r="BA11" s="100">
        <v>10760.979352260301</v>
      </c>
      <c r="BB11" s="100">
        <v>21.91091160681669</v>
      </c>
      <c r="BC11" s="100">
        <v>11674.133704111931</v>
      </c>
      <c r="BD11" s="100">
        <v>15</v>
      </c>
      <c r="BE11" s="100">
        <v>7991.9999999999991</v>
      </c>
      <c r="BF11" s="100">
        <v>22.128329616594133</v>
      </c>
      <c r="BG11" s="100">
        <v>11789.974019721352</v>
      </c>
      <c r="BH11" s="100">
        <v>18</v>
      </c>
      <c r="BI11" s="100">
        <v>9590.4</v>
      </c>
      <c r="BJ11" s="100">
        <v>26.678575186075754</v>
      </c>
      <c r="BK11" s="100">
        <v>14214.344859141162</v>
      </c>
      <c r="BL11" s="100">
        <v>25.520094391340702</v>
      </c>
      <c r="BM11" s="100">
        <v>13597.106291706325</v>
      </c>
      <c r="BN11" s="100">
        <v>14</v>
      </c>
      <c r="BO11" s="100">
        <v>7459.1999999999989</v>
      </c>
      <c r="BP11" s="100">
        <v>18.115590760947288</v>
      </c>
      <c r="BQ11" s="100">
        <v>9651.9867574327145</v>
      </c>
      <c r="BR11" s="100">
        <v>19.320754344066575</v>
      </c>
      <c r="BS11" s="100">
        <v>10294.09791451867</v>
      </c>
      <c r="BT11" s="100">
        <v>28.11397588835197</v>
      </c>
      <c r="BU11" s="100">
        <v>14979.126353313928</v>
      </c>
      <c r="BV11" s="100">
        <v>17</v>
      </c>
      <c r="BW11" s="100">
        <v>9057.5999999999985</v>
      </c>
      <c r="BX11" s="100">
        <v>26.658960801685776</v>
      </c>
      <c r="BY11" s="100">
        <v>14203.894315138181</v>
      </c>
      <c r="BZ11" s="100">
        <v>22.965749708344788</v>
      </c>
      <c r="CA11" s="100">
        <v>12236.151444606103</v>
      </c>
      <c r="CB11" s="100">
        <v>22.240868354660488</v>
      </c>
      <c r="CC11" s="100">
        <v>11849.934659363107</v>
      </c>
      <c r="CD11" s="100">
        <v>18</v>
      </c>
      <c r="CE11" s="100">
        <v>9590.4</v>
      </c>
      <c r="CF11" s="100">
        <v>31.332710068800786</v>
      </c>
      <c r="CG11" s="100">
        <v>16694.067924657058</v>
      </c>
      <c r="CH11" s="100">
        <v>17.890646694616795</v>
      </c>
      <c r="CI11" s="100">
        <v>9532.136558891827</v>
      </c>
      <c r="CJ11" s="100">
        <v>22.007979680789699</v>
      </c>
      <c r="CK11" s="100">
        <v>11725.85157392475</v>
      </c>
      <c r="CL11" s="100">
        <v>26.562553674760395</v>
      </c>
      <c r="CM11" s="100">
        <v>14152.528597912336</v>
      </c>
      <c r="CN11" s="100">
        <v>17</v>
      </c>
      <c r="CO11" s="100">
        <v>9057.5999999999985</v>
      </c>
      <c r="CP11" s="100">
        <v>18</v>
      </c>
      <c r="CQ11" s="100">
        <v>9590.4</v>
      </c>
      <c r="CR11" s="100">
        <v>24.959188775233503</v>
      </c>
      <c r="CS11" s="100">
        <v>13298.255779444409</v>
      </c>
      <c r="CT11" s="100">
        <v>20</v>
      </c>
      <c r="CU11" s="100">
        <v>10656</v>
      </c>
    </row>
    <row r="12" spans="1:99">
      <c r="C12" s="99" t="s">
        <v>178</v>
      </c>
      <c r="D12" s="100">
        <v>20.67601683868887</v>
      </c>
      <c r="E12" s="100">
        <v>11636.462276814094</v>
      </c>
      <c r="F12" s="100">
        <v>15</v>
      </c>
      <c r="G12" s="100">
        <v>8442</v>
      </c>
      <c r="H12" s="100">
        <v>23.530554506009281</v>
      </c>
      <c r="I12" s="100">
        <v>13242.996075982022</v>
      </c>
      <c r="J12" s="100">
        <v>20</v>
      </c>
      <c r="K12" s="100">
        <v>11256</v>
      </c>
      <c r="L12" s="100">
        <v>15</v>
      </c>
      <c r="M12" s="100">
        <v>8442</v>
      </c>
      <c r="N12" s="100">
        <v>18</v>
      </c>
      <c r="O12" s="100">
        <v>10130.4</v>
      </c>
      <c r="P12" s="100">
        <v>20</v>
      </c>
      <c r="Q12" s="100">
        <v>11256</v>
      </c>
      <c r="R12" s="100">
        <v>16</v>
      </c>
      <c r="S12" s="100">
        <v>9004.7999999999993</v>
      </c>
      <c r="T12" s="100">
        <v>19</v>
      </c>
      <c r="U12" s="100">
        <v>10693.199999999999</v>
      </c>
      <c r="V12" s="100">
        <v>23</v>
      </c>
      <c r="W12" s="100">
        <v>12944.4</v>
      </c>
      <c r="X12" s="100">
        <v>22</v>
      </c>
      <c r="Y12" s="100">
        <v>12381.599999999999</v>
      </c>
      <c r="Z12" s="100">
        <v>25</v>
      </c>
      <c r="AA12" s="100">
        <v>14069.999999999998</v>
      </c>
      <c r="AB12" s="100">
        <v>23.410482865710598</v>
      </c>
      <c r="AC12" s="100">
        <v>13175.419756821924</v>
      </c>
      <c r="AD12" s="100">
        <v>18.487721819811533</v>
      </c>
      <c r="AE12" s="100">
        <v>10404.88984018993</v>
      </c>
      <c r="AF12" s="100">
        <v>20.67923314371161</v>
      </c>
      <c r="AG12" s="100">
        <v>11638.272413280893</v>
      </c>
      <c r="AH12" s="100">
        <v>22</v>
      </c>
      <c r="AI12" s="100">
        <v>12381.599999999999</v>
      </c>
      <c r="AJ12" s="100">
        <v>22</v>
      </c>
      <c r="AK12" s="100">
        <v>12381.599999999999</v>
      </c>
      <c r="AL12" s="100">
        <v>27</v>
      </c>
      <c r="AM12" s="100">
        <v>15195.599999999999</v>
      </c>
      <c r="AN12" s="100">
        <v>16</v>
      </c>
      <c r="AO12" s="100">
        <v>9004.7999999999993</v>
      </c>
      <c r="AP12" s="100">
        <v>21</v>
      </c>
      <c r="AQ12" s="100">
        <v>11818.8</v>
      </c>
      <c r="AR12" s="100">
        <v>27</v>
      </c>
      <c r="AS12" s="100">
        <v>15195.599999999999</v>
      </c>
      <c r="AT12" s="100">
        <v>19</v>
      </c>
      <c r="AU12" s="100">
        <v>10693.199999999999</v>
      </c>
      <c r="AV12" s="100">
        <v>21</v>
      </c>
      <c r="AW12" s="100">
        <v>11818.8</v>
      </c>
      <c r="AX12" s="100">
        <v>21</v>
      </c>
      <c r="AY12" s="100">
        <v>11818.8</v>
      </c>
      <c r="AZ12" s="100">
        <v>22.120560301550388</v>
      </c>
      <c r="BA12" s="100">
        <v>12449.451337712557</v>
      </c>
      <c r="BB12" s="100">
        <v>21.91091160681669</v>
      </c>
      <c r="BC12" s="100">
        <v>12331.461052316432</v>
      </c>
      <c r="BD12" s="100">
        <v>18</v>
      </c>
      <c r="BE12" s="100">
        <v>10130.4</v>
      </c>
      <c r="BF12" s="100">
        <v>23.654421314290275</v>
      </c>
      <c r="BG12" s="100">
        <v>13312.708315682565</v>
      </c>
      <c r="BH12" s="100">
        <v>18</v>
      </c>
      <c r="BI12" s="100">
        <v>10130.4</v>
      </c>
      <c r="BJ12" s="100">
        <v>25.690479808813688</v>
      </c>
      <c r="BK12" s="100">
        <v>14458.602036400342</v>
      </c>
      <c r="BL12" s="100">
        <v>25.520094391340702</v>
      </c>
      <c r="BM12" s="100">
        <v>14362.709123446546</v>
      </c>
      <c r="BN12" s="100">
        <v>16</v>
      </c>
      <c r="BO12" s="100">
        <v>9004.7999999999993</v>
      </c>
      <c r="BP12" s="100">
        <v>19.927149837042013</v>
      </c>
      <c r="BQ12" s="100">
        <v>11214.999928287243</v>
      </c>
      <c r="BR12" s="100">
        <v>20.160787141634685</v>
      </c>
      <c r="BS12" s="100">
        <v>11346.491003312</v>
      </c>
      <c r="BT12" s="100">
        <v>27.144528443926042</v>
      </c>
      <c r="BU12" s="100">
        <v>15276.940608241575</v>
      </c>
      <c r="BV12" s="100">
        <v>18</v>
      </c>
      <c r="BW12" s="100">
        <v>10130.4</v>
      </c>
      <c r="BX12" s="100">
        <v>23.901137270476905</v>
      </c>
      <c r="BY12" s="100">
        <v>13451.5600558244</v>
      </c>
      <c r="BZ12" s="100">
        <v>23.757672112080819</v>
      </c>
      <c r="CA12" s="100">
        <v>13370.817864679084</v>
      </c>
      <c r="CB12" s="100">
        <v>23.035185081612649</v>
      </c>
      <c r="CC12" s="100">
        <v>12964.202163931597</v>
      </c>
      <c r="CD12" s="100">
        <v>19</v>
      </c>
      <c r="CE12" s="100">
        <v>10693.199999999999</v>
      </c>
      <c r="CF12" s="100">
        <v>27.646508884235988</v>
      </c>
      <c r="CG12" s="100">
        <v>15559.455200048013</v>
      </c>
      <c r="CH12" s="100">
        <v>17.112792490503018</v>
      </c>
      <c r="CI12" s="100">
        <v>9631.079613655098</v>
      </c>
      <c r="CJ12" s="100">
        <v>22.007979680789699</v>
      </c>
      <c r="CK12" s="100">
        <v>12386.090964348441</v>
      </c>
      <c r="CL12" s="100">
        <v>26.562553674760395</v>
      </c>
      <c r="CM12" s="100">
        <v>14949.405208155149</v>
      </c>
      <c r="CN12" s="100">
        <v>18</v>
      </c>
      <c r="CO12" s="100">
        <v>10130.4</v>
      </c>
      <c r="CP12" s="100">
        <v>20</v>
      </c>
      <c r="CQ12" s="100">
        <v>11256</v>
      </c>
      <c r="CR12" s="100">
        <v>23.999219976186058</v>
      </c>
      <c r="CS12" s="100">
        <v>13506.761002597512</v>
      </c>
      <c r="CT12" s="100">
        <v>21</v>
      </c>
      <c r="CU12" s="100">
        <v>11818.8</v>
      </c>
    </row>
    <row r="13" spans="1:99">
      <c r="C13" s="99" t="s">
        <v>179</v>
      </c>
      <c r="D13" s="100">
        <v>22.473931346400942</v>
      </c>
      <c r="E13" s="100">
        <v>1914.7789507133602</v>
      </c>
      <c r="F13" s="100">
        <v>17</v>
      </c>
      <c r="G13" s="100">
        <v>1448.4</v>
      </c>
      <c r="H13" s="100">
        <v>23.530554506009281</v>
      </c>
      <c r="I13" s="100">
        <v>2004.8032439119909</v>
      </c>
      <c r="J13" s="100">
        <v>19</v>
      </c>
      <c r="K13" s="100">
        <v>1618.8</v>
      </c>
      <c r="L13" s="100">
        <v>16</v>
      </c>
      <c r="M13" s="100">
        <v>1363.2</v>
      </c>
      <c r="N13" s="100">
        <v>21</v>
      </c>
      <c r="O13" s="100">
        <v>1789.2</v>
      </c>
      <c r="P13" s="100">
        <v>23</v>
      </c>
      <c r="Q13" s="100">
        <v>1959.6000000000001</v>
      </c>
      <c r="R13" s="100">
        <v>17</v>
      </c>
      <c r="S13" s="100">
        <v>1448.4</v>
      </c>
      <c r="T13" s="100">
        <v>21</v>
      </c>
      <c r="U13" s="100">
        <v>1789.2</v>
      </c>
      <c r="V13" s="100">
        <v>24</v>
      </c>
      <c r="W13" s="100">
        <v>2044.8000000000002</v>
      </c>
      <c r="X13" s="100">
        <v>23</v>
      </c>
      <c r="Y13" s="100">
        <v>1959.6000000000001</v>
      </c>
      <c r="Z13" s="100">
        <v>25</v>
      </c>
      <c r="AA13" s="100">
        <v>2130</v>
      </c>
      <c r="AB13" s="100">
        <v>23.410482865710598</v>
      </c>
      <c r="AC13" s="100">
        <v>1994.5731401585431</v>
      </c>
      <c r="AD13" s="100">
        <v>19.460759810327929</v>
      </c>
      <c r="AE13" s="100">
        <v>1658.0567358399396</v>
      </c>
      <c r="AF13" s="100">
        <v>19.739268000815628</v>
      </c>
      <c r="AG13" s="100">
        <v>1681.7856336694915</v>
      </c>
      <c r="AH13" s="100">
        <v>25</v>
      </c>
      <c r="AI13" s="100">
        <v>2130</v>
      </c>
      <c r="AJ13" s="100">
        <v>22</v>
      </c>
      <c r="AK13" s="100">
        <v>1874.4</v>
      </c>
      <c r="AL13" s="100">
        <v>27</v>
      </c>
      <c r="AM13" s="100">
        <v>2300.4</v>
      </c>
      <c r="AN13" s="100">
        <v>18</v>
      </c>
      <c r="AO13" s="100">
        <v>1533.6000000000001</v>
      </c>
      <c r="AP13" s="100">
        <v>23</v>
      </c>
      <c r="AQ13" s="100">
        <v>1959.6000000000001</v>
      </c>
      <c r="AR13" s="100">
        <v>28</v>
      </c>
      <c r="AS13" s="100">
        <v>2385.6</v>
      </c>
      <c r="AT13" s="100">
        <v>18</v>
      </c>
      <c r="AU13" s="100">
        <v>1533.6000000000001</v>
      </c>
      <c r="AV13" s="100">
        <v>24</v>
      </c>
      <c r="AW13" s="100">
        <v>2044.8000000000002</v>
      </c>
      <c r="AX13" s="100">
        <v>24</v>
      </c>
      <c r="AY13" s="100">
        <v>2044.8000000000002</v>
      </c>
      <c r="AZ13" s="100">
        <v>20.197033318806874</v>
      </c>
      <c r="BA13" s="100">
        <v>1720.7872387623456</v>
      </c>
      <c r="BB13" s="100">
        <v>22.753638976309638</v>
      </c>
      <c r="BC13" s="100">
        <v>1938.6100407815811</v>
      </c>
      <c r="BD13" s="100">
        <v>17</v>
      </c>
      <c r="BE13" s="100">
        <v>1448.4</v>
      </c>
      <c r="BF13" s="100">
        <v>22.891375465442202</v>
      </c>
      <c r="BG13" s="100">
        <v>1950.3451896556758</v>
      </c>
      <c r="BH13" s="100">
        <v>19</v>
      </c>
      <c r="BI13" s="100">
        <v>1618.8</v>
      </c>
      <c r="BJ13" s="100">
        <v>27.666670563337817</v>
      </c>
      <c r="BK13" s="100">
        <v>2357.2003319963819</v>
      </c>
      <c r="BL13" s="100">
        <v>27.342958276436466</v>
      </c>
      <c r="BM13" s="100">
        <v>2329.6200451523869</v>
      </c>
      <c r="BN13" s="100">
        <v>18</v>
      </c>
      <c r="BO13" s="100">
        <v>1533.6000000000001</v>
      </c>
      <c r="BP13" s="100">
        <v>19.02137029899465</v>
      </c>
      <c r="BQ13" s="100">
        <v>1620.6207494743442</v>
      </c>
      <c r="BR13" s="100">
        <v>20.160787141634685</v>
      </c>
      <c r="BS13" s="100">
        <v>1717.6990644672753</v>
      </c>
      <c r="BT13" s="100">
        <v>31.02231822162976</v>
      </c>
      <c r="BU13" s="100">
        <v>2643.1015124828555</v>
      </c>
      <c r="BV13" s="100">
        <v>20</v>
      </c>
      <c r="BW13" s="100">
        <v>1704</v>
      </c>
      <c r="BX13" s="100">
        <v>24.820411780879862</v>
      </c>
      <c r="BY13" s="100">
        <v>2114.6990837309645</v>
      </c>
      <c r="BZ13" s="100">
        <v>27.717284130760955</v>
      </c>
      <c r="CA13" s="100">
        <v>2361.5126079408333</v>
      </c>
      <c r="CB13" s="100">
        <v>25.418135262469132</v>
      </c>
      <c r="CC13" s="100">
        <v>2165.6251243623701</v>
      </c>
      <c r="CD13" s="100">
        <v>17</v>
      </c>
      <c r="CE13" s="100">
        <v>1448.4</v>
      </c>
      <c r="CF13" s="100">
        <v>31.332710068800786</v>
      </c>
      <c r="CG13" s="100">
        <v>2669.5468978618269</v>
      </c>
      <c r="CH13" s="100">
        <v>21.002063511071885</v>
      </c>
      <c r="CI13" s="100">
        <v>1789.3758111433247</v>
      </c>
      <c r="CJ13" s="100">
        <v>22.007979680789699</v>
      </c>
      <c r="CK13" s="100">
        <v>1875.0798688032824</v>
      </c>
      <c r="CL13" s="100">
        <v>27.392633477096656</v>
      </c>
      <c r="CM13" s="100">
        <v>2333.8523722486352</v>
      </c>
      <c r="CN13" s="100">
        <v>16</v>
      </c>
      <c r="CO13" s="100">
        <v>1363.2</v>
      </c>
      <c r="CP13" s="100">
        <v>20</v>
      </c>
      <c r="CQ13" s="100">
        <v>1704</v>
      </c>
      <c r="CR13" s="100">
        <v>24.959188775233503</v>
      </c>
      <c r="CS13" s="100">
        <v>2126.5228836498945</v>
      </c>
      <c r="CT13" s="100">
        <v>23</v>
      </c>
      <c r="CU13" s="100">
        <v>1959.6000000000001</v>
      </c>
    </row>
    <row r="14" spans="1:99">
      <c r="C14" s="99" t="s">
        <v>180</v>
      </c>
      <c r="D14" s="100">
        <v>20.67601683868887</v>
      </c>
      <c r="E14" s="100">
        <v>10098.166624015643</v>
      </c>
      <c r="F14" s="100">
        <v>15</v>
      </c>
      <c r="G14" s="100">
        <v>7326</v>
      </c>
      <c r="H14" s="100">
        <v>25.412998866490025</v>
      </c>
      <c r="I14" s="100">
        <v>12411.708646393727</v>
      </c>
      <c r="J14" s="100">
        <v>18</v>
      </c>
      <c r="K14" s="100">
        <v>8791.1999999999989</v>
      </c>
      <c r="L14" s="100">
        <v>16</v>
      </c>
      <c r="M14" s="100">
        <v>7814.4</v>
      </c>
      <c r="N14" s="100">
        <v>20</v>
      </c>
      <c r="O14" s="100">
        <v>9768</v>
      </c>
      <c r="P14" s="100">
        <v>22</v>
      </c>
      <c r="Q14" s="100">
        <v>10744.8</v>
      </c>
      <c r="R14" s="100">
        <v>16</v>
      </c>
      <c r="S14" s="100">
        <v>7814.4</v>
      </c>
      <c r="T14" s="100">
        <v>22</v>
      </c>
      <c r="U14" s="100">
        <v>10744.8</v>
      </c>
      <c r="V14" s="100">
        <v>21</v>
      </c>
      <c r="W14" s="100">
        <v>10256.4</v>
      </c>
      <c r="X14" s="100">
        <v>24</v>
      </c>
      <c r="Y14" s="100">
        <v>11721.599999999999</v>
      </c>
      <c r="Z14" s="100">
        <v>23</v>
      </c>
      <c r="AA14" s="100">
        <v>11233.199999999999</v>
      </c>
      <c r="AB14" s="100">
        <v>24.277537786662844</v>
      </c>
      <c r="AC14" s="100">
        <v>11857.149455006132</v>
      </c>
      <c r="AD14" s="100">
        <v>20.433797800844324</v>
      </c>
      <c r="AE14" s="100">
        <v>9979.8668459323671</v>
      </c>
      <c r="AF14" s="100">
        <v>18.799302857919642</v>
      </c>
      <c r="AG14" s="100">
        <v>9181.5795158079527</v>
      </c>
      <c r="AH14" s="100">
        <v>22</v>
      </c>
      <c r="AI14" s="100">
        <v>10744.8</v>
      </c>
      <c r="AJ14" s="100">
        <v>22</v>
      </c>
      <c r="AK14" s="100">
        <v>10744.8</v>
      </c>
      <c r="AL14" s="100">
        <v>28</v>
      </c>
      <c r="AM14" s="100">
        <v>13675.199999999999</v>
      </c>
      <c r="AN14" s="100">
        <v>16</v>
      </c>
      <c r="AO14" s="100">
        <v>7814.4</v>
      </c>
      <c r="AP14" s="100">
        <v>21</v>
      </c>
      <c r="AQ14" s="100">
        <v>10256.4</v>
      </c>
      <c r="AR14" s="100">
        <v>26</v>
      </c>
      <c r="AS14" s="100">
        <v>12698.4</v>
      </c>
      <c r="AT14" s="100">
        <v>18</v>
      </c>
      <c r="AU14" s="100">
        <v>8791.1999999999989</v>
      </c>
      <c r="AV14" s="100">
        <v>23</v>
      </c>
      <c r="AW14" s="100">
        <v>11233.199999999999</v>
      </c>
      <c r="AX14" s="100">
        <v>19</v>
      </c>
      <c r="AY14" s="100">
        <v>9279.6</v>
      </c>
      <c r="AZ14" s="100">
        <v>21.158796810178629</v>
      </c>
      <c r="BA14" s="100">
        <v>10333.956362091241</v>
      </c>
      <c r="BB14" s="100">
        <v>21.068184237323738</v>
      </c>
      <c r="BC14" s="100">
        <v>10289.701181508914</v>
      </c>
      <c r="BD14" s="100">
        <v>15</v>
      </c>
      <c r="BE14" s="100">
        <v>7326</v>
      </c>
      <c r="BF14" s="100">
        <v>22.891375465442202</v>
      </c>
      <c r="BG14" s="100">
        <v>11180.14777732197</v>
      </c>
      <c r="BH14" s="100">
        <v>19</v>
      </c>
      <c r="BI14" s="100">
        <v>9279.6</v>
      </c>
      <c r="BJ14" s="100">
        <v>23.714289054289562</v>
      </c>
      <c r="BK14" s="100">
        <v>11582.058774115021</v>
      </c>
      <c r="BL14" s="100">
        <v>27.342958276436466</v>
      </c>
      <c r="BM14" s="100">
        <v>13354.30082221157</v>
      </c>
      <c r="BN14" s="100">
        <v>16</v>
      </c>
      <c r="BO14" s="100">
        <v>7814.4</v>
      </c>
      <c r="BP14" s="100">
        <v>19.927149837042013</v>
      </c>
      <c r="BQ14" s="100">
        <v>9732.4199804113177</v>
      </c>
      <c r="BR14" s="100">
        <v>18.480721546498465</v>
      </c>
      <c r="BS14" s="100">
        <v>9025.9844033098507</v>
      </c>
      <c r="BT14" s="100">
        <v>28.11397588835197</v>
      </c>
      <c r="BU14" s="100">
        <v>13730.865823871101</v>
      </c>
      <c r="BV14" s="100">
        <v>18</v>
      </c>
      <c r="BW14" s="100">
        <v>8791.1999999999989</v>
      </c>
      <c r="BX14" s="100">
        <v>27.578235312088736</v>
      </c>
      <c r="BY14" s="100">
        <v>13469.210126424139</v>
      </c>
      <c r="BZ14" s="100">
        <v>22.965749708344788</v>
      </c>
      <c r="CA14" s="100">
        <v>11216.472157555594</v>
      </c>
      <c r="CB14" s="100">
        <v>20.65223490075617</v>
      </c>
      <c r="CC14" s="100">
        <v>10086.551525529312</v>
      </c>
      <c r="CD14" s="100">
        <v>17</v>
      </c>
      <c r="CE14" s="100">
        <v>8302.7999999999993</v>
      </c>
      <c r="CF14" s="100">
        <v>29.489609476518385</v>
      </c>
      <c r="CG14" s="100">
        <v>14402.725268331578</v>
      </c>
      <c r="CH14" s="100">
        <v>17.890646694616795</v>
      </c>
      <c r="CI14" s="100">
        <v>8737.7918456508414</v>
      </c>
      <c r="CJ14" s="100">
        <v>19.256982220690986</v>
      </c>
      <c r="CK14" s="100">
        <v>9405.110116585478</v>
      </c>
      <c r="CL14" s="100">
        <v>22.412154663079086</v>
      </c>
      <c r="CM14" s="100">
        <v>10946.096337447825</v>
      </c>
      <c r="CN14" s="100">
        <v>16</v>
      </c>
      <c r="CO14" s="100">
        <v>7814.4</v>
      </c>
      <c r="CP14" s="100">
        <v>21</v>
      </c>
      <c r="CQ14" s="100">
        <v>10256.4</v>
      </c>
      <c r="CR14" s="100">
        <v>23.039251177138617</v>
      </c>
      <c r="CS14" s="100">
        <v>11252.3702749145</v>
      </c>
      <c r="CT14" s="100">
        <v>21</v>
      </c>
      <c r="CU14" s="100">
        <v>10256.4</v>
      </c>
    </row>
    <row r="15" spans="1:99">
      <c r="C15" s="99" t="s">
        <v>181</v>
      </c>
      <c r="D15" s="100">
        <v>17.080187823264719</v>
      </c>
      <c r="E15" s="100">
        <v>13035.599346715633</v>
      </c>
      <c r="F15" s="100">
        <v>16</v>
      </c>
      <c r="G15" s="100">
        <v>12211.199999999999</v>
      </c>
      <c r="H15" s="100">
        <v>22.589332325768911</v>
      </c>
      <c r="I15" s="100">
        <v>17240.17843102683</v>
      </c>
      <c r="J15" s="100">
        <v>19</v>
      </c>
      <c r="K15" s="100">
        <v>14500.8</v>
      </c>
      <c r="L15" s="100">
        <v>15</v>
      </c>
      <c r="M15" s="100">
        <v>11447.999999999998</v>
      </c>
      <c r="N15" s="100">
        <v>17</v>
      </c>
      <c r="O15" s="100">
        <v>12974.4</v>
      </c>
      <c r="P15" s="100">
        <v>21</v>
      </c>
      <c r="Q15" s="100">
        <v>16027.199999999999</v>
      </c>
      <c r="R15" s="100">
        <v>16</v>
      </c>
      <c r="S15" s="100">
        <v>12211.199999999999</v>
      </c>
      <c r="T15" s="100">
        <v>19</v>
      </c>
      <c r="U15" s="100">
        <v>14500.8</v>
      </c>
      <c r="V15" s="100">
        <v>23</v>
      </c>
      <c r="W15" s="100">
        <v>17553.599999999999</v>
      </c>
      <c r="X15" s="100">
        <v>20</v>
      </c>
      <c r="Y15" s="100">
        <v>15263.999999999998</v>
      </c>
      <c r="Z15" s="100">
        <v>25</v>
      </c>
      <c r="AA15" s="100">
        <v>19080</v>
      </c>
      <c r="AB15" s="100">
        <v>19.94226318190162</v>
      </c>
      <c r="AC15" s="100">
        <v>15219.935260427315</v>
      </c>
      <c r="AD15" s="100">
        <v>20.433797800844324</v>
      </c>
      <c r="AE15" s="100">
        <v>15595.074481604386</v>
      </c>
      <c r="AF15" s="100">
        <v>18.799302857919642</v>
      </c>
      <c r="AG15" s="100">
        <v>14347.62794116427</v>
      </c>
      <c r="AH15" s="100">
        <v>22</v>
      </c>
      <c r="AI15" s="100">
        <v>16790.399999999998</v>
      </c>
      <c r="AJ15" s="100">
        <v>22</v>
      </c>
      <c r="AK15" s="100">
        <v>16790.399999999998</v>
      </c>
      <c r="AL15" s="100">
        <v>25</v>
      </c>
      <c r="AM15" s="100">
        <v>19080</v>
      </c>
      <c r="AN15" s="100">
        <v>17</v>
      </c>
      <c r="AO15" s="100">
        <v>12974.4</v>
      </c>
      <c r="AP15" s="100">
        <v>20</v>
      </c>
      <c r="AQ15" s="100">
        <v>15263.999999999998</v>
      </c>
      <c r="AR15" s="100">
        <v>24</v>
      </c>
      <c r="AS15" s="100">
        <v>18316.8</v>
      </c>
      <c r="AT15" s="100">
        <v>17</v>
      </c>
      <c r="AU15" s="100">
        <v>12974.4</v>
      </c>
      <c r="AV15" s="100">
        <v>22</v>
      </c>
      <c r="AW15" s="100">
        <v>16790.399999999998</v>
      </c>
      <c r="AX15" s="100">
        <v>21</v>
      </c>
      <c r="AY15" s="100">
        <v>16027.199999999999</v>
      </c>
      <c r="AZ15" s="100">
        <v>21.158796810178629</v>
      </c>
      <c r="BA15" s="100">
        <v>16148.393725528327</v>
      </c>
      <c r="BB15" s="100">
        <v>23.596366345802586</v>
      </c>
      <c r="BC15" s="100">
        <v>18008.746795116531</v>
      </c>
      <c r="BD15" s="100">
        <v>15</v>
      </c>
      <c r="BE15" s="100">
        <v>11447.999999999998</v>
      </c>
      <c r="BF15" s="100">
        <v>22.891375465442202</v>
      </c>
      <c r="BG15" s="100">
        <v>17470.697755225487</v>
      </c>
      <c r="BH15" s="100">
        <v>18</v>
      </c>
      <c r="BI15" s="100">
        <v>13737.599999999999</v>
      </c>
      <c r="BJ15" s="100">
        <v>22.726193677027492</v>
      </c>
      <c r="BK15" s="100">
        <v>17344.631014307379</v>
      </c>
      <c r="BL15" s="100">
        <v>24.608662448792817</v>
      </c>
      <c r="BM15" s="100">
        <v>18781.331180918678</v>
      </c>
      <c r="BN15" s="100">
        <v>14</v>
      </c>
      <c r="BO15" s="100">
        <v>10684.8</v>
      </c>
      <c r="BP15" s="100">
        <v>17.209811222899923</v>
      </c>
      <c r="BQ15" s="100">
        <v>13134.527925317219</v>
      </c>
      <c r="BR15" s="100">
        <v>16.800655951362241</v>
      </c>
      <c r="BS15" s="100">
        <v>12822.260622079661</v>
      </c>
      <c r="BT15" s="100">
        <v>24.236186110648251</v>
      </c>
      <c r="BU15" s="100">
        <v>18497.057239646743</v>
      </c>
      <c r="BV15" s="100">
        <v>16</v>
      </c>
      <c r="BW15" s="100">
        <v>12211.199999999999</v>
      </c>
      <c r="BX15" s="100">
        <v>25.739686291282819</v>
      </c>
      <c r="BY15" s="100">
        <v>19644.528577507044</v>
      </c>
      <c r="BZ15" s="100">
        <v>25.34151691955287</v>
      </c>
      <c r="CA15" s="100">
        <v>19340.645713002748</v>
      </c>
      <c r="CB15" s="100">
        <v>23.035185081612649</v>
      </c>
      <c r="CC15" s="100">
        <v>17580.453254286771</v>
      </c>
      <c r="CD15" s="100">
        <v>16</v>
      </c>
      <c r="CE15" s="100">
        <v>12211.199999999999</v>
      </c>
      <c r="CF15" s="100">
        <v>28.568059180377187</v>
      </c>
      <c r="CG15" s="100">
        <v>21803.142766463869</v>
      </c>
      <c r="CH15" s="100">
        <v>19.44635510284434</v>
      </c>
      <c r="CI15" s="100">
        <v>14841.458214490798</v>
      </c>
      <c r="CJ15" s="100">
        <v>21.090980527423461</v>
      </c>
      <c r="CK15" s="100">
        <v>16096.636338529584</v>
      </c>
      <c r="CL15" s="100">
        <v>24.902394070087869</v>
      </c>
      <c r="CM15" s="100">
        <v>19005.507154291059</v>
      </c>
      <c r="CN15" s="100">
        <v>15</v>
      </c>
      <c r="CO15" s="100">
        <v>11447.999999999998</v>
      </c>
      <c r="CP15" s="100">
        <v>21</v>
      </c>
      <c r="CQ15" s="100">
        <v>16027.199999999999</v>
      </c>
      <c r="CR15" s="100">
        <v>24.959188775233503</v>
      </c>
      <c r="CS15" s="100">
        <v>19048.852873258209</v>
      </c>
      <c r="CT15" s="100">
        <v>18</v>
      </c>
      <c r="CU15" s="100">
        <v>13737.599999999999</v>
      </c>
    </row>
    <row r="16" spans="1:99">
      <c r="C16" s="99" t="s">
        <v>182</v>
      </c>
      <c r="D16" s="100">
        <v>19.777059584832831</v>
      </c>
      <c r="E16" s="100">
        <v>6740.0219065110286</v>
      </c>
      <c r="F16" s="100">
        <v>14</v>
      </c>
      <c r="G16" s="100">
        <v>4771.2</v>
      </c>
      <c r="H16" s="100">
        <v>22.589332325768911</v>
      </c>
      <c r="I16" s="100">
        <v>7698.4444566220454</v>
      </c>
      <c r="J16" s="100">
        <v>18</v>
      </c>
      <c r="K16" s="100">
        <v>6134.4000000000005</v>
      </c>
      <c r="L16" s="100">
        <v>15</v>
      </c>
      <c r="M16" s="100">
        <v>5112</v>
      </c>
      <c r="N16" s="100">
        <v>21</v>
      </c>
      <c r="O16" s="100">
        <v>7156.8</v>
      </c>
      <c r="P16" s="100">
        <v>20</v>
      </c>
      <c r="Q16" s="100">
        <v>6816</v>
      </c>
      <c r="R16" s="100">
        <v>17</v>
      </c>
      <c r="S16" s="100">
        <v>5793.6</v>
      </c>
      <c r="T16" s="100">
        <v>20</v>
      </c>
      <c r="U16" s="100">
        <v>6816</v>
      </c>
      <c r="V16" s="100">
        <v>24</v>
      </c>
      <c r="W16" s="100">
        <v>8179.2000000000007</v>
      </c>
      <c r="X16" s="100">
        <v>23</v>
      </c>
      <c r="Y16" s="100">
        <v>7838.4000000000005</v>
      </c>
      <c r="Z16" s="100">
        <v>23</v>
      </c>
      <c r="AA16" s="100">
        <v>7838.4000000000005</v>
      </c>
      <c r="AB16" s="100">
        <v>23.410482865710598</v>
      </c>
      <c r="AC16" s="100">
        <v>7978.2925606341723</v>
      </c>
      <c r="AD16" s="100">
        <v>21.406835791360724</v>
      </c>
      <c r="AE16" s="100">
        <v>7295.449637695735</v>
      </c>
      <c r="AF16" s="100">
        <v>20.67923314371161</v>
      </c>
      <c r="AG16" s="100">
        <v>7047.4826553769171</v>
      </c>
      <c r="AH16" s="100">
        <v>25</v>
      </c>
      <c r="AI16" s="100">
        <v>8520</v>
      </c>
      <c r="AJ16" s="100">
        <v>21</v>
      </c>
      <c r="AK16" s="100">
        <v>7156.8</v>
      </c>
      <c r="AL16" s="100">
        <v>27</v>
      </c>
      <c r="AM16" s="100">
        <v>9201.6</v>
      </c>
      <c r="AN16" s="100">
        <v>18</v>
      </c>
      <c r="AO16" s="100">
        <v>6134.4000000000005</v>
      </c>
      <c r="AP16" s="100">
        <v>21</v>
      </c>
      <c r="AQ16" s="100">
        <v>7156.8</v>
      </c>
      <c r="AR16" s="100">
        <v>24</v>
      </c>
      <c r="AS16" s="100">
        <v>8179.2000000000007</v>
      </c>
      <c r="AT16" s="100">
        <v>19</v>
      </c>
      <c r="AU16" s="100">
        <v>6475.2</v>
      </c>
      <c r="AV16" s="100">
        <v>20</v>
      </c>
      <c r="AW16" s="100">
        <v>6816</v>
      </c>
      <c r="AX16" s="100">
        <v>22</v>
      </c>
      <c r="AY16" s="100">
        <v>7497.6</v>
      </c>
      <c r="AZ16" s="100">
        <v>20.197033318806874</v>
      </c>
      <c r="BA16" s="100">
        <v>6883.1489550493825</v>
      </c>
      <c r="BB16" s="100">
        <v>22.753638976309638</v>
      </c>
      <c r="BC16" s="100">
        <v>7754.4401631263245</v>
      </c>
      <c r="BD16" s="100">
        <v>18</v>
      </c>
      <c r="BE16" s="100">
        <v>6134.4000000000005</v>
      </c>
      <c r="BF16" s="100">
        <v>23.654421314290275</v>
      </c>
      <c r="BG16" s="100">
        <v>8061.4267839101258</v>
      </c>
      <c r="BH16" s="100">
        <v>17</v>
      </c>
      <c r="BI16" s="100">
        <v>5793.6</v>
      </c>
      <c r="BJ16" s="100">
        <v>22.726193677027492</v>
      </c>
      <c r="BK16" s="100">
        <v>7745.0868051309699</v>
      </c>
      <c r="BL16" s="100">
        <v>24.608662448792817</v>
      </c>
      <c r="BM16" s="100">
        <v>8386.6321625485925</v>
      </c>
      <c r="BN16" s="100">
        <v>16</v>
      </c>
      <c r="BO16" s="100">
        <v>5452.8</v>
      </c>
      <c r="BP16" s="100">
        <v>18.115590760947288</v>
      </c>
      <c r="BQ16" s="100">
        <v>6173.7933313308358</v>
      </c>
      <c r="BR16" s="100">
        <v>21.000819939202799</v>
      </c>
      <c r="BS16" s="100">
        <v>7157.0794352803141</v>
      </c>
      <c r="BT16" s="100">
        <v>28.11397588835197</v>
      </c>
      <c r="BU16" s="100">
        <v>9581.2429827503511</v>
      </c>
      <c r="BV16" s="100">
        <v>17</v>
      </c>
      <c r="BW16" s="100">
        <v>5793.6</v>
      </c>
      <c r="BX16" s="100">
        <v>25.739686291282819</v>
      </c>
      <c r="BY16" s="100">
        <v>8772.0850880691851</v>
      </c>
      <c r="BZ16" s="100">
        <v>24.549594515816842</v>
      </c>
      <c r="CA16" s="100">
        <v>8366.5018109903795</v>
      </c>
      <c r="CB16" s="100">
        <v>21.446551627708327</v>
      </c>
      <c r="CC16" s="100">
        <v>7308.9847947229982</v>
      </c>
      <c r="CD16" s="100">
        <v>18</v>
      </c>
      <c r="CE16" s="100">
        <v>6134.4000000000005</v>
      </c>
      <c r="CF16" s="100">
        <v>32.254260364941985</v>
      </c>
      <c r="CG16" s="100">
        <v>10992.251932372228</v>
      </c>
      <c r="CH16" s="100">
        <v>17.890646694616795</v>
      </c>
      <c r="CI16" s="100">
        <v>6097.132393525404</v>
      </c>
      <c r="CJ16" s="100">
        <v>22.924978834155937</v>
      </c>
      <c r="CK16" s="100">
        <v>7812.8327866803438</v>
      </c>
      <c r="CL16" s="100">
        <v>24.902394070087869</v>
      </c>
      <c r="CM16" s="100">
        <v>8486.7358990859466</v>
      </c>
      <c r="CN16" s="100">
        <v>16</v>
      </c>
      <c r="CO16" s="100">
        <v>5452.8</v>
      </c>
      <c r="CP16" s="100">
        <v>22</v>
      </c>
      <c r="CQ16" s="100">
        <v>7497.6</v>
      </c>
      <c r="CR16" s="100">
        <v>23.999219976186058</v>
      </c>
      <c r="CS16" s="100">
        <v>8178.9341678842093</v>
      </c>
      <c r="CT16" s="100">
        <v>22</v>
      </c>
      <c r="CU16" s="100">
        <v>7497.6</v>
      </c>
    </row>
    <row r="17" spans="2:99">
      <c r="C17" s="99" t="s">
        <v>183</v>
      </c>
      <c r="D17" s="100">
        <v>21.574974092544906</v>
      </c>
      <c r="E17" s="100">
        <v>9113.2690566909678</v>
      </c>
      <c r="F17" s="100">
        <v>14</v>
      </c>
      <c r="G17" s="100">
        <v>5913.5999999999995</v>
      </c>
      <c r="H17" s="100">
        <v>24.471776686249651</v>
      </c>
      <c r="I17" s="100">
        <v>10336.878472271852</v>
      </c>
      <c r="J17" s="100">
        <v>19</v>
      </c>
      <c r="K17" s="100">
        <v>8025.5999999999995</v>
      </c>
      <c r="L17" s="100">
        <v>14</v>
      </c>
      <c r="M17" s="100">
        <v>5913.5999999999995</v>
      </c>
      <c r="N17" s="100">
        <v>19</v>
      </c>
      <c r="O17" s="100">
        <v>8025.5999999999995</v>
      </c>
      <c r="P17" s="100">
        <v>21</v>
      </c>
      <c r="Q17" s="100">
        <v>8870.4</v>
      </c>
      <c r="R17" s="100">
        <v>15</v>
      </c>
      <c r="S17" s="100">
        <v>6336</v>
      </c>
      <c r="T17" s="100">
        <v>19</v>
      </c>
      <c r="U17" s="100">
        <v>8025.5999999999995</v>
      </c>
      <c r="V17" s="100">
        <v>25</v>
      </c>
      <c r="W17" s="100">
        <v>10560</v>
      </c>
      <c r="X17" s="100">
        <v>20</v>
      </c>
      <c r="Y17" s="100">
        <v>8448</v>
      </c>
      <c r="Z17" s="100">
        <v>23</v>
      </c>
      <c r="AA17" s="100">
        <v>9715.1999999999989</v>
      </c>
      <c r="AB17" s="100">
        <v>23.410482865710598</v>
      </c>
      <c r="AC17" s="100">
        <v>9888.5879624761565</v>
      </c>
      <c r="AD17" s="100">
        <v>19.460759810327929</v>
      </c>
      <c r="AE17" s="100">
        <v>8220.2249438825165</v>
      </c>
      <c r="AF17" s="100">
        <v>18.799302857919642</v>
      </c>
      <c r="AG17" s="100">
        <v>7940.8255271852568</v>
      </c>
      <c r="AH17" s="100">
        <v>24</v>
      </c>
      <c r="AI17" s="100">
        <v>10137.599999999999</v>
      </c>
      <c r="AJ17" s="100">
        <v>21</v>
      </c>
      <c r="AK17" s="100">
        <v>8870.4</v>
      </c>
      <c r="AL17" s="100">
        <v>27</v>
      </c>
      <c r="AM17" s="100">
        <v>11404.8</v>
      </c>
      <c r="AN17" s="100">
        <v>16</v>
      </c>
      <c r="AO17" s="100">
        <v>6758.4</v>
      </c>
      <c r="AP17" s="100">
        <v>21</v>
      </c>
      <c r="AQ17" s="100">
        <v>8870.4</v>
      </c>
      <c r="AR17" s="100">
        <v>25</v>
      </c>
      <c r="AS17" s="100">
        <v>10560</v>
      </c>
      <c r="AT17" s="100">
        <v>18</v>
      </c>
      <c r="AU17" s="100">
        <v>7603.2</v>
      </c>
      <c r="AV17" s="100">
        <v>23</v>
      </c>
      <c r="AW17" s="100">
        <v>9715.1999999999989</v>
      </c>
      <c r="AX17" s="100">
        <v>20</v>
      </c>
      <c r="AY17" s="100">
        <v>8448</v>
      </c>
      <c r="AZ17" s="100">
        <v>19.235269827435122</v>
      </c>
      <c r="BA17" s="100">
        <v>8124.9779751085953</v>
      </c>
      <c r="BB17" s="100">
        <v>21.91091160681669</v>
      </c>
      <c r="BC17" s="100">
        <v>9255.1690627193693</v>
      </c>
      <c r="BD17" s="100">
        <v>16</v>
      </c>
      <c r="BE17" s="100">
        <v>6758.4</v>
      </c>
      <c r="BF17" s="100">
        <v>23.654421314290275</v>
      </c>
      <c r="BG17" s="100">
        <v>9991.6275631562112</v>
      </c>
      <c r="BH17" s="100">
        <v>18</v>
      </c>
      <c r="BI17" s="100">
        <v>7603.2</v>
      </c>
      <c r="BJ17" s="100">
        <v>24.702384431551621</v>
      </c>
      <c r="BK17" s="100">
        <v>10434.287183887403</v>
      </c>
      <c r="BL17" s="100">
        <v>29.165822161532226</v>
      </c>
      <c r="BM17" s="100">
        <v>12319.643281031211</v>
      </c>
      <c r="BN17" s="100">
        <v>14</v>
      </c>
      <c r="BO17" s="100">
        <v>5913.5999999999995</v>
      </c>
      <c r="BP17" s="100">
        <v>21.738708913136744</v>
      </c>
      <c r="BQ17" s="100">
        <v>9182.4306449089599</v>
      </c>
      <c r="BR17" s="100">
        <v>20.160787141634685</v>
      </c>
      <c r="BS17" s="100">
        <v>8515.9164886264898</v>
      </c>
      <c r="BT17" s="100">
        <v>28.11397588835197</v>
      </c>
      <c r="BU17" s="100">
        <v>11875.343415239871</v>
      </c>
      <c r="BV17" s="100">
        <v>16</v>
      </c>
      <c r="BW17" s="100">
        <v>6758.4</v>
      </c>
      <c r="BX17" s="100">
        <v>22.981862760073945</v>
      </c>
      <c r="BY17" s="100">
        <v>9707.5388298552334</v>
      </c>
      <c r="BZ17" s="100">
        <v>24.549594515816842</v>
      </c>
      <c r="CA17" s="100">
        <v>10369.748723481034</v>
      </c>
      <c r="CB17" s="100">
        <v>20.65223490075617</v>
      </c>
      <c r="CC17" s="100">
        <v>8723.5040220794053</v>
      </c>
      <c r="CD17" s="100">
        <v>19</v>
      </c>
      <c r="CE17" s="100">
        <v>8025.5999999999995</v>
      </c>
      <c r="CF17" s="100">
        <v>30.411159772659584</v>
      </c>
      <c r="CG17" s="100">
        <v>12845.673887971407</v>
      </c>
      <c r="CH17" s="100">
        <v>19.44635510284434</v>
      </c>
      <c r="CI17" s="100">
        <v>8214.1403954414491</v>
      </c>
      <c r="CJ17" s="100">
        <v>22.007979680789699</v>
      </c>
      <c r="CK17" s="100">
        <v>9296.1706171655678</v>
      </c>
      <c r="CL17" s="100">
        <v>24.902394070087869</v>
      </c>
      <c r="CM17" s="100">
        <v>10518.771255205116</v>
      </c>
      <c r="CN17" s="100">
        <v>18</v>
      </c>
      <c r="CO17" s="100">
        <v>7603.2</v>
      </c>
      <c r="CP17" s="100">
        <v>21</v>
      </c>
      <c r="CQ17" s="100">
        <v>8870.4</v>
      </c>
      <c r="CR17" s="100">
        <v>24.959188775233503</v>
      </c>
      <c r="CS17" s="100">
        <v>10542.761338658631</v>
      </c>
      <c r="CT17" s="100">
        <v>20</v>
      </c>
      <c r="CU17" s="100">
        <v>8448</v>
      </c>
    </row>
    <row r="18" spans="2:99">
      <c r="C18" s="99" t="s">
        <v>184</v>
      </c>
      <c r="D18" s="100">
        <v>20.67601683868887</v>
      </c>
      <c r="E18" s="100">
        <v>13497.303792296094</v>
      </c>
      <c r="F18" s="100">
        <v>14</v>
      </c>
      <c r="G18" s="100">
        <v>9139.1999999999989</v>
      </c>
      <c r="H18" s="100">
        <v>23.530554506009281</v>
      </c>
      <c r="I18" s="100">
        <v>15360.745981522858</v>
      </c>
      <c r="J18" s="100">
        <v>17</v>
      </c>
      <c r="K18" s="100">
        <v>11097.599999999999</v>
      </c>
      <c r="L18" s="100">
        <v>14</v>
      </c>
      <c r="M18" s="100">
        <v>9139.1999999999989</v>
      </c>
      <c r="N18" s="100">
        <v>18</v>
      </c>
      <c r="O18" s="100">
        <v>11750.4</v>
      </c>
      <c r="P18" s="100">
        <v>20</v>
      </c>
      <c r="Q18" s="100">
        <v>13056</v>
      </c>
      <c r="R18" s="100">
        <v>15</v>
      </c>
      <c r="S18" s="100">
        <v>9792</v>
      </c>
      <c r="T18" s="100">
        <v>21</v>
      </c>
      <c r="U18" s="100">
        <v>13708.8</v>
      </c>
      <c r="V18" s="100">
        <v>21</v>
      </c>
      <c r="W18" s="100">
        <v>13708.8</v>
      </c>
      <c r="X18" s="100">
        <v>23</v>
      </c>
      <c r="Y18" s="100">
        <v>15014.4</v>
      </c>
      <c r="Z18" s="100">
        <v>22</v>
      </c>
      <c r="AA18" s="100">
        <v>14361.599999999999</v>
      </c>
      <c r="AB18" s="100">
        <v>23.410482865710598</v>
      </c>
      <c r="AC18" s="100">
        <v>15282.363214735877</v>
      </c>
      <c r="AD18" s="100">
        <v>18.487721819811533</v>
      </c>
      <c r="AE18" s="100">
        <v>12068.784803972967</v>
      </c>
      <c r="AF18" s="100">
        <v>21.619198286607592</v>
      </c>
      <c r="AG18" s="100">
        <v>14113.012641497435</v>
      </c>
      <c r="AH18" s="100">
        <v>23</v>
      </c>
      <c r="AI18" s="100">
        <v>15014.4</v>
      </c>
      <c r="AJ18" s="100">
        <v>19</v>
      </c>
      <c r="AK18" s="100">
        <v>12403.199999999999</v>
      </c>
      <c r="AL18" s="100">
        <v>30</v>
      </c>
      <c r="AM18" s="100">
        <v>19584</v>
      </c>
      <c r="AN18" s="100">
        <v>15</v>
      </c>
      <c r="AO18" s="100">
        <v>9792</v>
      </c>
      <c r="AP18" s="100">
        <v>22</v>
      </c>
      <c r="AQ18" s="100">
        <v>14361.599999999999</v>
      </c>
      <c r="AR18" s="100">
        <v>27</v>
      </c>
      <c r="AS18" s="100">
        <v>17625.599999999999</v>
      </c>
      <c r="AT18" s="100">
        <v>18</v>
      </c>
      <c r="AU18" s="100">
        <v>11750.4</v>
      </c>
      <c r="AV18" s="100">
        <v>21</v>
      </c>
      <c r="AW18" s="100">
        <v>13708.8</v>
      </c>
      <c r="AX18" s="100">
        <v>21</v>
      </c>
      <c r="AY18" s="100">
        <v>13708.8</v>
      </c>
      <c r="AZ18" s="100">
        <v>22.120560301550388</v>
      </c>
      <c r="BA18" s="100">
        <v>14440.301764852093</v>
      </c>
      <c r="BB18" s="100">
        <v>21.068184237323738</v>
      </c>
      <c r="BC18" s="100">
        <v>13753.310670124934</v>
      </c>
      <c r="BD18" s="100">
        <v>18</v>
      </c>
      <c r="BE18" s="100">
        <v>11750.4</v>
      </c>
      <c r="BF18" s="100">
        <v>23.654421314290275</v>
      </c>
      <c r="BG18" s="100">
        <v>15441.606233968691</v>
      </c>
      <c r="BH18" s="100">
        <v>18</v>
      </c>
      <c r="BI18" s="100">
        <v>11750.4</v>
      </c>
      <c r="BJ18" s="100">
        <v>22.726193677027492</v>
      </c>
      <c r="BK18" s="100">
        <v>14835.659232363545</v>
      </c>
      <c r="BL18" s="100">
        <v>26.431526333888584</v>
      </c>
      <c r="BM18" s="100">
        <v>17254.500390762467</v>
      </c>
      <c r="BN18" s="100">
        <v>16</v>
      </c>
      <c r="BO18" s="100">
        <v>10444.799999999999</v>
      </c>
      <c r="BP18" s="100">
        <v>18.115590760947288</v>
      </c>
      <c r="BQ18" s="100">
        <v>11825.857648746389</v>
      </c>
      <c r="BR18" s="100">
        <v>20.160787141634685</v>
      </c>
      <c r="BS18" s="100">
        <v>13160.961846059121</v>
      </c>
      <c r="BT18" s="100">
        <v>27.144528443926042</v>
      </c>
      <c r="BU18" s="100">
        <v>17719.948168194918</v>
      </c>
      <c r="BV18" s="100">
        <v>16</v>
      </c>
      <c r="BW18" s="100">
        <v>10444.799999999999</v>
      </c>
      <c r="BX18" s="100">
        <v>23.901137270476905</v>
      </c>
      <c r="BY18" s="100">
        <v>15602.662410167322</v>
      </c>
      <c r="BZ18" s="100">
        <v>22.173827304608761</v>
      </c>
      <c r="CA18" s="100">
        <v>14475.074464448599</v>
      </c>
      <c r="CB18" s="100">
        <v>21.446551627708327</v>
      </c>
      <c r="CC18" s="100">
        <v>14000.308902567995</v>
      </c>
      <c r="CD18" s="100">
        <v>17</v>
      </c>
      <c r="CE18" s="100">
        <v>11097.599999999999</v>
      </c>
      <c r="CF18" s="100">
        <v>31.332710068800786</v>
      </c>
      <c r="CG18" s="100">
        <v>20453.99313291315</v>
      </c>
      <c r="CH18" s="100">
        <v>17.112792490503018</v>
      </c>
      <c r="CI18" s="100">
        <v>11171.23093780037</v>
      </c>
      <c r="CJ18" s="100">
        <v>22.007979680789699</v>
      </c>
      <c r="CK18" s="100">
        <v>14366.809135619515</v>
      </c>
      <c r="CL18" s="100">
        <v>23.242234465415347</v>
      </c>
      <c r="CM18" s="100">
        <v>15172.530659023138</v>
      </c>
      <c r="CN18" s="100">
        <v>17</v>
      </c>
      <c r="CO18" s="100">
        <v>11097.599999999999</v>
      </c>
      <c r="CP18" s="100">
        <v>20</v>
      </c>
      <c r="CQ18" s="100">
        <v>13056</v>
      </c>
      <c r="CR18" s="100">
        <v>22.079282378091175</v>
      </c>
      <c r="CS18" s="100">
        <v>14413.355536417917</v>
      </c>
      <c r="CT18" s="100">
        <v>21</v>
      </c>
      <c r="CU18" s="100">
        <v>13708.8</v>
      </c>
    </row>
    <row r="19" spans="2:99">
      <c r="C19" s="99" t="s">
        <v>185</v>
      </c>
      <c r="D19" s="100">
        <v>19.777059584832831</v>
      </c>
      <c r="E19" s="100">
        <v>6526.429662994834</v>
      </c>
      <c r="F19" s="100">
        <v>14</v>
      </c>
      <c r="G19" s="100">
        <v>4620</v>
      </c>
      <c r="H19" s="100">
        <v>24.471776686249651</v>
      </c>
      <c r="I19" s="100">
        <v>8075.6863064623849</v>
      </c>
      <c r="J19" s="100">
        <v>20</v>
      </c>
      <c r="K19" s="100">
        <v>6600</v>
      </c>
      <c r="L19" s="100">
        <v>16</v>
      </c>
      <c r="M19" s="100">
        <v>5280</v>
      </c>
      <c r="N19" s="100">
        <v>20</v>
      </c>
      <c r="O19" s="100">
        <v>6600</v>
      </c>
      <c r="P19" s="100">
        <v>21</v>
      </c>
      <c r="Q19" s="100">
        <v>6930</v>
      </c>
      <c r="R19" s="100">
        <v>17</v>
      </c>
      <c r="S19" s="100">
        <v>5610</v>
      </c>
      <c r="T19" s="100">
        <v>23</v>
      </c>
      <c r="U19" s="100">
        <v>7590</v>
      </c>
      <c r="V19" s="100">
        <v>23</v>
      </c>
      <c r="W19" s="100">
        <v>7590</v>
      </c>
      <c r="X19" s="100">
        <v>22</v>
      </c>
      <c r="Y19" s="100">
        <v>7260</v>
      </c>
      <c r="Z19" s="100">
        <v>25</v>
      </c>
      <c r="AA19" s="100">
        <v>8250</v>
      </c>
      <c r="AB19" s="100">
        <v>23.410482865710598</v>
      </c>
      <c r="AC19" s="100">
        <v>7725.4593456844977</v>
      </c>
      <c r="AD19" s="100">
        <v>19.460759810327929</v>
      </c>
      <c r="AE19" s="100">
        <v>6422.0507374082163</v>
      </c>
      <c r="AF19" s="100">
        <v>18.799302857919642</v>
      </c>
      <c r="AG19" s="100">
        <v>6203.7699431134815</v>
      </c>
      <c r="AH19" s="100">
        <v>23</v>
      </c>
      <c r="AI19" s="100">
        <v>7590</v>
      </c>
      <c r="AJ19" s="100">
        <v>23</v>
      </c>
      <c r="AK19" s="100">
        <v>7590</v>
      </c>
      <c r="AL19" s="100">
        <v>31</v>
      </c>
      <c r="AM19" s="100">
        <v>10230</v>
      </c>
      <c r="AN19" s="100">
        <v>17</v>
      </c>
      <c r="AO19" s="100">
        <v>5610</v>
      </c>
      <c r="AP19" s="100">
        <v>23</v>
      </c>
      <c r="AQ19" s="100">
        <v>7590</v>
      </c>
      <c r="AR19" s="100">
        <v>26</v>
      </c>
      <c r="AS19" s="100">
        <v>8580</v>
      </c>
      <c r="AT19" s="100">
        <v>18</v>
      </c>
      <c r="AU19" s="100">
        <v>5940</v>
      </c>
      <c r="AV19" s="100">
        <v>20</v>
      </c>
      <c r="AW19" s="100">
        <v>6600</v>
      </c>
      <c r="AX19" s="100">
        <v>21</v>
      </c>
      <c r="AY19" s="100">
        <v>6930</v>
      </c>
      <c r="AZ19" s="100">
        <v>20.197033318806874</v>
      </c>
      <c r="BA19" s="100">
        <v>6665.0209952062687</v>
      </c>
      <c r="BB19" s="100">
        <v>21.91091160681669</v>
      </c>
      <c r="BC19" s="100">
        <v>7230.6008302495075</v>
      </c>
      <c r="BD19" s="100">
        <v>18</v>
      </c>
      <c r="BE19" s="100">
        <v>5940</v>
      </c>
      <c r="BF19" s="100">
        <v>23.654421314290275</v>
      </c>
      <c r="BG19" s="100">
        <v>7805.9590337157906</v>
      </c>
      <c r="BH19" s="100">
        <v>19</v>
      </c>
      <c r="BI19" s="100">
        <v>6270</v>
      </c>
      <c r="BJ19" s="100">
        <v>24.702384431551621</v>
      </c>
      <c r="BK19" s="100">
        <v>8151.7868624120347</v>
      </c>
      <c r="BL19" s="100">
        <v>30.077254104080108</v>
      </c>
      <c r="BM19" s="100">
        <v>9925.4938543464359</v>
      </c>
      <c r="BN19" s="100">
        <v>17</v>
      </c>
      <c r="BO19" s="100">
        <v>5610</v>
      </c>
      <c r="BP19" s="100">
        <v>19.02137029899465</v>
      </c>
      <c r="BQ19" s="100">
        <v>6277.0521986682343</v>
      </c>
      <c r="BR19" s="100">
        <v>19.320754344066575</v>
      </c>
      <c r="BS19" s="100">
        <v>6375.8489335419699</v>
      </c>
      <c r="BT19" s="100">
        <v>30.052870777203832</v>
      </c>
      <c r="BU19" s="100">
        <v>9917.4473564772652</v>
      </c>
      <c r="BV19" s="100">
        <v>17</v>
      </c>
      <c r="BW19" s="100">
        <v>5610</v>
      </c>
      <c r="BX19" s="100">
        <v>26.658960801685776</v>
      </c>
      <c r="BY19" s="100">
        <v>8797.4570645563053</v>
      </c>
      <c r="BZ19" s="100">
        <v>22.965749708344788</v>
      </c>
      <c r="CA19" s="100">
        <v>7578.6974037537802</v>
      </c>
      <c r="CB19" s="100">
        <v>25.418135262469132</v>
      </c>
      <c r="CC19" s="100">
        <v>8387.984636614814</v>
      </c>
      <c r="CD19" s="100">
        <v>17</v>
      </c>
      <c r="CE19" s="100">
        <v>5610</v>
      </c>
      <c r="CF19" s="100">
        <v>29.489609476518385</v>
      </c>
      <c r="CG19" s="100">
        <v>9731.5711272510671</v>
      </c>
      <c r="CH19" s="100">
        <v>18.668500898730564</v>
      </c>
      <c r="CI19" s="100">
        <v>6160.6052965810859</v>
      </c>
      <c r="CJ19" s="100">
        <v>20.173981374057224</v>
      </c>
      <c r="CK19" s="100">
        <v>6657.413853438884</v>
      </c>
      <c r="CL19" s="100">
        <v>24.902394070087869</v>
      </c>
      <c r="CM19" s="100">
        <v>8217.7900431289963</v>
      </c>
      <c r="CN19" s="100">
        <v>18</v>
      </c>
      <c r="CO19" s="100">
        <v>5940</v>
      </c>
      <c r="CP19" s="100">
        <v>22</v>
      </c>
      <c r="CQ19" s="100">
        <v>7260</v>
      </c>
      <c r="CR19" s="100">
        <v>25.919157574280945</v>
      </c>
      <c r="CS19" s="100">
        <v>8553.321999512711</v>
      </c>
      <c r="CT19" s="100">
        <v>19</v>
      </c>
      <c r="CU19" s="100">
        <v>6270</v>
      </c>
    </row>
    <row r="20" spans="2:99">
      <c r="B20" s="99" t="s">
        <v>127</v>
      </c>
      <c r="C20" s="99" t="s">
        <v>186</v>
      </c>
      <c r="D20" s="100">
        <v>26.968717615681133</v>
      </c>
      <c r="E20" s="100">
        <v>7734.6282121773493</v>
      </c>
      <c r="F20" s="100">
        <v>18</v>
      </c>
      <c r="G20" s="100">
        <v>5162.4000000000005</v>
      </c>
      <c r="H20" s="100">
        <v>22.589332325768911</v>
      </c>
      <c r="I20" s="100">
        <v>6478.6205110305236</v>
      </c>
      <c r="J20" s="100">
        <v>23</v>
      </c>
      <c r="K20" s="100">
        <v>6596.4000000000005</v>
      </c>
      <c r="L20" s="100">
        <v>20</v>
      </c>
      <c r="M20" s="100">
        <v>5736</v>
      </c>
      <c r="N20" s="100">
        <v>30</v>
      </c>
      <c r="O20" s="100">
        <v>8604</v>
      </c>
      <c r="P20" s="100">
        <v>26</v>
      </c>
      <c r="Q20" s="100">
        <v>7456.8</v>
      </c>
      <c r="R20" s="100">
        <v>19</v>
      </c>
      <c r="S20" s="100">
        <v>5449.2</v>
      </c>
      <c r="T20" s="100">
        <v>24</v>
      </c>
      <c r="U20" s="100">
        <v>6883.2000000000007</v>
      </c>
      <c r="V20" s="100">
        <v>31</v>
      </c>
      <c r="W20" s="100">
        <v>8890.8000000000011</v>
      </c>
      <c r="X20" s="100">
        <v>22</v>
      </c>
      <c r="Y20" s="100">
        <v>6309.6</v>
      </c>
      <c r="Z20" s="100">
        <v>26</v>
      </c>
      <c r="AA20" s="100">
        <v>7456.8</v>
      </c>
      <c r="AB20" s="100">
        <v>27.745757470471823</v>
      </c>
      <c r="AC20" s="100">
        <v>7957.4832425313189</v>
      </c>
      <c r="AD20" s="100">
        <v>24.325949762909907</v>
      </c>
      <c r="AE20" s="100">
        <v>6976.6823920025618</v>
      </c>
      <c r="AF20" s="100">
        <v>21.619198286607592</v>
      </c>
      <c r="AG20" s="100">
        <v>6200.3860685990576</v>
      </c>
      <c r="AH20" s="100">
        <v>18</v>
      </c>
      <c r="AI20" s="100">
        <v>5162.4000000000005</v>
      </c>
      <c r="AJ20" s="100">
        <v>21</v>
      </c>
      <c r="AK20" s="100">
        <v>6022.8</v>
      </c>
      <c r="AL20" s="100">
        <v>17</v>
      </c>
      <c r="AM20" s="100">
        <v>4875.6000000000004</v>
      </c>
      <c r="AN20" s="100">
        <v>23</v>
      </c>
      <c r="AO20" s="100">
        <v>6596.4000000000005</v>
      </c>
      <c r="AP20" s="100">
        <v>24</v>
      </c>
      <c r="AQ20" s="100">
        <v>6883.2000000000007</v>
      </c>
      <c r="AR20" s="100">
        <v>21</v>
      </c>
      <c r="AS20" s="100">
        <v>6022.8</v>
      </c>
      <c r="AT20" s="100">
        <v>17</v>
      </c>
      <c r="AU20" s="100">
        <v>4875.6000000000004</v>
      </c>
      <c r="AV20" s="100">
        <v>20</v>
      </c>
      <c r="AW20" s="100">
        <v>5736</v>
      </c>
      <c r="AX20" s="100">
        <v>25</v>
      </c>
      <c r="AY20" s="100">
        <v>7170</v>
      </c>
      <c r="AZ20" s="100">
        <v>27.891141249780926</v>
      </c>
      <c r="BA20" s="100">
        <v>7999.17931043717</v>
      </c>
      <c r="BB20" s="100">
        <v>27.810003193267335</v>
      </c>
      <c r="BC20" s="100">
        <v>7975.9089158290717</v>
      </c>
      <c r="BD20" s="100">
        <v>24</v>
      </c>
      <c r="BE20" s="100">
        <v>6883.2000000000007</v>
      </c>
      <c r="BF20" s="100">
        <v>22.891375465442202</v>
      </c>
      <c r="BG20" s="100">
        <v>6565.2464834888242</v>
      </c>
      <c r="BH20" s="100">
        <v>25</v>
      </c>
      <c r="BI20" s="100">
        <v>7170</v>
      </c>
      <c r="BJ20" s="100">
        <v>20.750002922503366</v>
      </c>
      <c r="BK20" s="100">
        <v>5951.1008381739657</v>
      </c>
      <c r="BL20" s="100">
        <v>20.051502736053408</v>
      </c>
      <c r="BM20" s="100">
        <v>5750.7709847001179</v>
      </c>
      <c r="BN20" s="100">
        <v>22</v>
      </c>
      <c r="BO20" s="100">
        <v>6309.6</v>
      </c>
      <c r="BP20" s="100">
        <v>23.550267989231472</v>
      </c>
      <c r="BQ20" s="100">
        <v>6754.2168593115866</v>
      </c>
      <c r="BR20" s="100">
        <v>21.840852736770913</v>
      </c>
      <c r="BS20" s="100">
        <v>6263.9565649058977</v>
      </c>
      <c r="BT20" s="100">
        <v>18.419501444092667</v>
      </c>
      <c r="BU20" s="100">
        <v>5282.7130141657772</v>
      </c>
      <c r="BV20" s="100">
        <v>29</v>
      </c>
      <c r="BW20" s="100">
        <v>8317.2000000000007</v>
      </c>
      <c r="BX20" s="100">
        <v>23.901137270476905</v>
      </c>
      <c r="BY20" s="100">
        <v>6854.8461691727771</v>
      </c>
      <c r="BZ20" s="100">
        <v>26.925361727024924</v>
      </c>
      <c r="CA20" s="100">
        <v>7722.1937433107487</v>
      </c>
      <c r="CB20" s="100">
        <v>24.623818535516971</v>
      </c>
      <c r="CC20" s="100">
        <v>7062.1111559862675</v>
      </c>
      <c r="CD20" s="100">
        <v>18</v>
      </c>
      <c r="CE20" s="100">
        <v>5162.4000000000005</v>
      </c>
      <c r="CF20" s="100">
        <v>16.587905330541592</v>
      </c>
      <c r="CG20" s="100">
        <v>4757.4112487993289</v>
      </c>
      <c r="CH20" s="100">
        <v>23.33562612341321</v>
      </c>
      <c r="CI20" s="100">
        <v>6692.6575721949084</v>
      </c>
      <c r="CJ20" s="100">
        <v>22.007979680789699</v>
      </c>
      <c r="CK20" s="100">
        <v>6311.8885724504862</v>
      </c>
      <c r="CL20" s="100">
        <v>20.75199505840656</v>
      </c>
      <c r="CM20" s="100">
        <v>5951.6721827510019</v>
      </c>
      <c r="CN20" s="100">
        <v>21</v>
      </c>
      <c r="CO20" s="100">
        <v>6022.8</v>
      </c>
      <c r="CP20" s="100">
        <v>28</v>
      </c>
      <c r="CQ20" s="100">
        <v>8030.4000000000005</v>
      </c>
      <c r="CR20" s="100">
        <v>22.079282378091175</v>
      </c>
      <c r="CS20" s="100">
        <v>6332.3381860365489</v>
      </c>
      <c r="CT20" s="100">
        <v>19</v>
      </c>
      <c r="CU20" s="100">
        <v>5449.2</v>
      </c>
    </row>
    <row r="21" spans="2:99">
      <c r="C21" s="99" t="s">
        <v>187</v>
      </c>
      <c r="D21" s="100">
        <v>23.372888600256982</v>
      </c>
      <c r="E21" s="100">
        <v>1458.4682486560357</v>
      </c>
      <c r="F21" s="100">
        <v>18</v>
      </c>
      <c r="G21" s="100">
        <v>1123.2</v>
      </c>
      <c r="H21" s="100">
        <v>26.354221046730395</v>
      </c>
      <c r="I21" s="100">
        <v>1644.5033933159766</v>
      </c>
      <c r="J21" s="100">
        <v>23</v>
      </c>
      <c r="K21" s="100">
        <v>1435.2</v>
      </c>
      <c r="L21" s="100">
        <v>20</v>
      </c>
      <c r="M21" s="100">
        <v>1248</v>
      </c>
      <c r="N21" s="100">
        <v>29</v>
      </c>
      <c r="O21" s="100">
        <v>1809.6</v>
      </c>
      <c r="P21" s="100">
        <v>29</v>
      </c>
      <c r="Q21" s="100">
        <v>1809.6</v>
      </c>
      <c r="R21" s="100">
        <v>19</v>
      </c>
      <c r="S21" s="100">
        <v>1185.5999999999999</v>
      </c>
      <c r="T21" s="100">
        <v>25</v>
      </c>
      <c r="U21" s="100">
        <v>1560</v>
      </c>
      <c r="V21" s="100">
        <v>29</v>
      </c>
      <c r="W21" s="100">
        <v>1809.6</v>
      </c>
      <c r="X21" s="100">
        <v>22</v>
      </c>
      <c r="Y21" s="100">
        <v>1372.8</v>
      </c>
      <c r="Z21" s="100">
        <v>31</v>
      </c>
      <c r="AA21" s="100">
        <v>1934.3999999999999</v>
      </c>
      <c r="AB21" s="100">
        <v>24.277537786662844</v>
      </c>
      <c r="AC21" s="100">
        <v>1514.9183578877614</v>
      </c>
      <c r="AD21" s="100">
        <v>27.245063734459098</v>
      </c>
      <c r="AE21" s="100">
        <v>1700.0919770302478</v>
      </c>
      <c r="AF21" s="100">
        <v>25.37905885819152</v>
      </c>
      <c r="AG21" s="100">
        <v>1583.6532727511508</v>
      </c>
      <c r="AH21" s="100">
        <v>16</v>
      </c>
      <c r="AI21" s="100">
        <v>998.4</v>
      </c>
      <c r="AJ21" s="100">
        <v>20</v>
      </c>
      <c r="AK21" s="100">
        <v>1248</v>
      </c>
      <c r="AL21" s="100">
        <v>18</v>
      </c>
      <c r="AM21" s="100">
        <v>1123.2</v>
      </c>
      <c r="AN21" s="100">
        <v>27</v>
      </c>
      <c r="AO21" s="100">
        <v>1684.8</v>
      </c>
      <c r="AP21" s="100">
        <v>23</v>
      </c>
      <c r="AQ21" s="100">
        <v>1435.2</v>
      </c>
      <c r="AR21" s="100">
        <v>25</v>
      </c>
      <c r="AS21" s="100">
        <v>1560</v>
      </c>
      <c r="AT21" s="100">
        <v>18</v>
      </c>
      <c r="AU21" s="100">
        <v>1123.2</v>
      </c>
      <c r="AV21" s="100">
        <v>21</v>
      </c>
      <c r="AW21" s="100">
        <v>1310.3999999999999</v>
      </c>
      <c r="AX21" s="100">
        <v>25</v>
      </c>
      <c r="AY21" s="100">
        <v>1560</v>
      </c>
      <c r="AZ21" s="100">
        <v>30.776431723896192</v>
      </c>
      <c r="BA21" s="100">
        <v>1920.4493395711222</v>
      </c>
      <c r="BB21" s="100">
        <v>23.596366345802586</v>
      </c>
      <c r="BC21" s="100">
        <v>1472.4132599780814</v>
      </c>
      <c r="BD21" s="100">
        <v>23</v>
      </c>
      <c r="BE21" s="100">
        <v>1435.2</v>
      </c>
      <c r="BF21" s="100">
        <v>24.417467163138351</v>
      </c>
      <c r="BG21" s="100">
        <v>1523.649950979833</v>
      </c>
      <c r="BH21" s="100">
        <v>27</v>
      </c>
      <c r="BI21" s="100">
        <v>1684.8</v>
      </c>
      <c r="BJ21" s="100">
        <v>19.7619075452413</v>
      </c>
      <c r="BK21" s="100">
        <v>1233.1430308230572</v>
      </c>
      <c r="BL21" s="100">
        <v>21.874366621149171</v>
      </c>
      <c r="BM21" s="100">
        <v>1364.9604771597083</v>
      </c>
      <c r="BN21" s="100">
        <v>24</v>
      </c>
      <c r="BO21" s="100">
        <v>1497.6</v>
      </c>
      <c r="BP21" s="100">
        <v>25.361827065326203</v>
      </c>
      <c r="BQ21" s="100">
        <v>1582.5780088763549</v>
      </c>
      <c r="BR21" s="100">
        <v>24.36095112947525</v>
      </c>
      <c r="BS21" s="100">
        <v>1520.1233504792556</v>
      </c>
      <c r="BT21" s="100">
        <v>18.419501444092667</v>
      </c>
      <c r="BU21" s="100">
        <v>1149.3768901113824</v>
      </c>
      <c r="BV21" s="100">
        <v>33</v>
      </c>
      <c r="BW21" s="100">
        <v>2059.1999999999998</v>
      </c>
      <c r="BX21" s="100">
        <v>22.981862760073945</v>
      </c>
      <c r="BY21" s="100">
        <v>1434.0682362286141</v>
      </c>
      <c r="BZ21" s="100">
        <v>27.717284130760955</v>
      </c>
      <c r="CA21" s="100">
        <v>1729.5585297594835</v>
      </c>
      <c r="CB21" s="100">
        <v>26.212451989421293</v>
      </c>
      <c r="CC21" s="100">
        <v>1635.6570041398886</v>
      </c>
      <c r="CD21" s="100">
        <v>20</v>
      </c>
      <c r="CE21" s="100">
        <v>1248</v>
      </c>
      <c r="CF21" s="100">
        <v>17.50945562668279</v>
      </c>
      <c r="CG21" s="100">
        <v>1092.5900311050061</v>
      </c>
      <c r="CH21" s="100">
        <v>26.4470429398683</v>
      </c>
      <c r="CI21" s="100">
        <v>1650.2954794477819</v>
      </c>
      <c r="CJ21" s="100">
        <v>21.090980527423461</v>
      </c>
      <c r="CK21" s="100">
        <v>1316.0771849112239</v>
      </c>
      <c r="CL21" s="100">
        <v>23.242234465415347</v>
      </c>
      <c r="CM21" s="100">
        <v>1450.3154306419176</v>
      </c>
      <c r="CN21" s="100">
        <v>21</v>
      </c>
      <c r="CO21" s="100">
        <v>1310.3999999999999</v>
      </c>
      <c r="CP21" s="100">
        <v>26</v>
      </c>
      <c r="CQ21" s="100">
        <v>1622.3999999999999</v>
      </c>
      <c r="CR21" s="100">
        <v>23.039251177138617</v>
      </c>
      <c r="CS21" s="100">
        <v>1437.6492734534497</v>
      </c>
      <c r="CT21" s="100">
        <v>17</v>
      </c>
      <c r="CU21" s="100">
        <v>1060.8</v>
      </c>
    </row>
    <row r="22" spans="2:99">
      <c r="C22" s="99" t="s">
        <v>188</v>
      </c>
      <c r="D22" s="100">
        <v>27.867674869537169</v>
      </c>
      <c r="E22" s="100">
        <v>5216.8287355773573</v>
      </c>
      <c r="F22" s="100">
        <v>20</v>
      </c>
      <c r="G22" s="100">
        <v>3744</v>
      </c>
      <c r="H22" s="100">
        <v>22.589332325768911</v>
      </c>
      <c r="I22" s="100">
        <v>4228.7230113839396</v>
      </c>
      <c r="J22" s="100">
        <v>25</v>
      </c>
      <c r="K22" s="100">
        <v>4680</v>
      </c>
      <c r="L22" s="100">
        <v>20</v>
      </c>
      <c r="M22" s="100">
        <v>3744</v>
      </c>
      <c r="N22" s="100">
        <v>25</v>
      </c>
      <c r="O22" s="100">
        <v>4680</v>
      </c>
      <c r="P22" s="100">
        <v>28</v>
      </c>
      <c r="Q22" s="100">
        <v>5241.5999999999995</v>
      </c>
      <c r="R22" s="100">
        <v>20</v>
      </c>
      <c r="S22" s="100">
        <v>3744</v>
      </c>
      <c r="T22" s="100">
        <v>23</v>
      </c>
      <c r="U22" s="100">
        <v>4305.5999999999995</v>
      </c>
      <c r="V22" s="100">
        <v>31</v>
      </c>
      <c r="W22" s="100">
        <v>5803.2</v>
      </c>
      <c r="X22" s="100">
        <v>24</v>
      </c>
      <c r="Y22" s="100">
        <v>4492.7999999999993</v>
      </c>
      <c r="Z22" s="100">
        <v>29</v>
      </c>
      <c r="AA22" s="100">
        <v>5428.7999999999993</v>
      </c>
      <c r="AB22" s="100">
        <v>26.878702549519577</v>
      </c>
      <c r="AC22" s="100">
        <v>5031.6931172700642</v>
      </c>
      <c r="AD22" s="100">
        <v>26.272025743942706</v>
      </c>
      <c r="AE22" s="100">
        <v>4918.1232192660746</v>
      </c>
      <c r="AF22" s="100">
        <v>21.619198286607592</v>
      </c>
      <c r="AG22" s="100">
        <v>4047.1139192529408</v>
      </c>
      <c r="AH22" s="100">
        <v>16</v>
      </c>
      <c r="AI22" s="100">
        <v>2995.2</v>
      </c>
      <c r="AJ22" s="100">
        <v>20</v>
      </c>
      <c r="AK22" s="100">
        <v>3744</v>
      </c>
      <c r="AL22" s="100">
        <v>20</v>
      </c>
      <c r="AM22" s="100">
        <v>3744</v>
      </c>
      <c r="AN22" s="100">
        <v>24</v>
      </c>
      <c r="AO22" s="100">
        <v>4492.7999999999993</v>
      </c>
      <c r="AP22" s="100">
        <v>24</v>
      </c>
      <c r="AQ22" s="100">
        <v>4492.7999999999993</v>
      </c>
      <c r="AR22" s="100">
        <v>21</v>
      </c>
      <c r="AS22" s="100">
        <v>3931.2</v>
      </c>
      <c r="AT22" s="100">
        <v>20</v>
      </c>
      <c r="AU22" s="100">
        <v>3744</v>
      </c>
      <c r="AV22" s="100">
        <v>21</v>
      </c>
      <c r="AW22" s="100">
        <v>3931.2</v>
      </c>
      <c r="AX22" s="100">
        <v>23</v>
      </c>
      <c r="AY22" s="100">
        <v>4305.5999999999995</v>
      </c>
      <c r="AZ22" s="100">
        <v>28.852904741152678</v>
      </c>
      <c r="BA22" s="100">
        <v>5401.2637675437809</v>
      </c>
      <c r="BB22" s="100">
        <v>24.439093715295538</v>
      </c>
      <c r="BC22" s="100">
        <v>4574.9983435033246</v>
      </c>
      <c r="BD22" s="100">
        <v>23</v>
      </c>
      <c r="BE22" s="100">
        <v>4305.5999999999995</v>
      </c>
      <c r="BF22" s="100">
        <v>22.128329616594133</v>
      </c>
      <c r="BG22" s="100">
        <v>4142.4233042264214</v>
      </c>
      <c r="BH22" s="100">
        <v>26</v>
      </c>
      <c r="BI22" s="100">
        <v>4867.2</v>
      </c>
      <c r="BJ22" s="100">
        <v>22.726193677027492</v>
      </c>
      <c r="BK22" s="100">
        <v>4254.3434563395467</v>
      </c>
      <c r="BL22" s="100">
        <v>18.22863885095764</v>
      </c>
      <c r="BM22" s="100">
        <v>3412.40119289927</v>
      </c>
      <c r="BN22" s="100">
        <v>22</v>
      </c>
      <c r="BO22" s="100">
        <v>4118.3999999999996</v>
      </c>
      <c r="BP22" s="100">
        <v>24.456047527278837</v>
      </c>
      <c r="BQ22" s="100">
        <v>4578.1720971065979</v>
      </c>
      <c r="BR22" s="100">
        <v>23.520918331907136</v>
      </c>
      <c r="BS22" s="100">
        <v>4403.1159117330153</v>
      </c>
      <c r="BT22" s="100">
        <v>16.480606555240808</v>
      </c>
      <c r="BU22" s="100">
        <v>3085.169547141079</v>
      </c>
      <c r="BV22" s="100">
        <v>29</v>
      </c>
      <c r="BW22" s="100">
        <v>5428.7999999999993</v>
      </c>
      <c r="BX22" s="100">
        <v>25.739686291282819</v>
      </c>
      <c r="BY22" s="100">
        <v>4818.469273728143</v>
      </c>
      <c r="BZ22" s="100">
        <v>26.133439323288901</v>
      </c>
      <c r="CA22" s="100">
        <v>4892.1798413196821</v>
      </c>
      <c r="CB22" s="100">
        <v>26.212451989421293</v>
      </c>
      <c r="CC22" s="100">
        <v>4906.9710124196654</v>
      </c>
      <c r="CD22" s="100">
        <v>20</v>
      </c>
      <c r="CE22" s="100">
        <v>3744</v>
      </c>
      <c r="CF22" s="100">
        <v>16.587905330541592</v>
      </c>
      <c r="CG22" s="100">
        <v>3105.255877877386</v>
      </c>
      <c r="CH22" s="100">
        <v>26.4470429398683</v>
      </c>
      <c r="CI22" s="100">
        <v>4950.8864383433456</v>
      </c>
      <c r="CJ22" s="100">
        <v>22.007979680789699</v>
      </c>
      <c r="CK22" s="100">
        <v>4119.8937962438313</v>
      </c>
      <c r="CL22" s="100">
        <v>23.242234465415347</v>
      </c>
      <c r="CM22" s="100">
        <v>4350.946291925753</v>
      </c>
      <c r="CN22" s="100">
        <v>19</v>
      </c>
      <c r="CO22" s="100">
        <v>3556.7999999999997</v>
      </c>
      <c r="CP22" s="100">
        <v>26</v>
      </c>
      <c r="CQ22" s="100">
        <v>4867.2</v>
      </c>
      <c r="CR22" s="100">
        <v>23.999219976186058</v>
      </c>
      <c r="CS22" s="100">
        <v>4492.6539795420294</v>
      </c>
      <c r="CT22" s="100">
        <v>19</v>
      </c>
      <c r="CU22" s="100">
        <v>3556.7999999999997</v>
      </c>
    </row>
    <row r="23" spans="2:99">
      <c r="C23" s="99" t="s">
        <v>189</v>
      </c>
      <c r="D23" s="100">
        <v>24.271845854113018</v>
      </c>
      <c r="E23" s="100">
        <v>7135.9226811092276</v>
      </c>
      <c r="F23" s="100">
        <v>20</v>
      </c>
      <c r="G23" s="100">
        <v>5880</v>
      </c>
      <c r="H23" s="100">
        <v>26.354221046730395</v>
      </c>
      <c r="I23" s="100">
        <v>7748.1409877387359</v>
      </c>
      <c r="J23" s="100">
        <v>24</v>
      </c>
      <c r="K23" s="100">
        <v>7056</v>
      </c>
      <c r="L23" s="100">
        <v>18</v>
      </c>
      <c r="M23" s="100">
        <v>5292</v>
      </c>
      <c r="N23" s="100">
        <v>29</v>
      </c>
      <c r="O23" s="100">
        <v>8526</v>
      </c>
      <c r="P23" s="100">
        <v>26</v>
      </c>
      <c r="Q23" s="100">
        <v>7644</v>
      </c>
      <c r="R23" s="100">
        <v>18</v>
      </c>
      <c r="S23" s="100">
        <v>5292</v>
      </c>
      <c r="T23" s="100">
        <v>20</v>
      </c>
      <c r="U23" s="100">
        <v>5880</v>
      </c>
      <c r="V23" s="100">
        <v>29</v>
      </c>
      <c r="W23" s="100">
        <v>8526</v>
      </c>
      <c r="X23" s="100">
        <v>22</v>
      </c>
      <c r="Y23" s="100">
        <v>6468</v>
      </c>
      <c r="Z23" s="100">
        <v>30</v>
      </c>
      <c r="AA23" s="100">
        <v>8820</v>
      </c>
      <c r="AB23" s="100">
        <v>24.277537786662844</v>
      </c>
      <c r="AC23" s="100">
        <v>7137.5961092788757</v>
      </c>
      <c r="AD23" s="100">
        <v>24.325949762909907</v>
      </c>
      <c r="AE23" s="100">
        <v>7151.8292302955124</v>
      </c>
      <c r="AF23" s="100">
        <v>23.499128572399556</v>
      </c>
      <c r="AG23" s="100">
        <v>6908.7438002854697</v>
      </c>
      <c r="AH23" s="100">
        <v>16</v>
      </c>
      <c r="AI23" s="100">
        <v>4704</v>
      </c>
      <c r="AJ23" s="100">
        <v>22</v>
      </c>
      <c r="AK23" s="100">
        <v>6468</v>
      </c>
      <c r="AL23" s="100">
        <v>20</v>
      </c>
      <c r="AM23" s="100">
        <v>5880</v>
      </c>
      <c r="AN23" s="100">
        <v>25</v>
      </c>
      <c r="AO23" s="100">
        <v>7350</v>
      </c>
      <c r="AP23" s="100">
        <v>23</v>
      </c>
      <c r="AQ23" s="100">
        <v>6762</v>
      </c>
      <c r="AR23" s="100">
        <v>22</v>
      </c>
      <c r="AS23" s="100">
        <v>6468</v>
      </c>
      <c r="AT23" s="100">
        <v>19</v>
      </c>
      <c r="AU23" s="100">
        <v>5586</v>
      </c>
      <c r="AV23" s="100">
        <v>19</v>
      </c>
      <c r="AW23" s="100">
        <v>5586</v>
      </c>
      <c r="AX23" s="100">
        <v>23</v>
      </c>
      <c r="AY23" s="100">
        <v>6762</v>
      </c>
      <c r="AZ23" s="100">
        <v>29.814668232524433</v>
      </c>
      <c r="BA23" s="100">
        <v>8765.5124603621825</v>
      </c>
      <c r="BB23" s="100">
        <v>22.753638976309638</v>
      </c>
      <c r="BC23" s="100">
        <v>6689.5698590350339</v>
      </c>
      <c r="BD23" s="100">
        <v>23</v>
      </c>
      <c r="BE23" s="100">
        <v>6762</v>
      </c>
      <c r="BF23" s="100">
        <v>20.602237918897984</v>
      </c>
      <c r="BG23" s="100">
        <v>6057.0579481560071</v>
      </c>
      <c r="BH23" s="100">
        <v>26</v>
      </c>
      <c r="BI23" s="100">
        <v>7644</v>
      </c>
      <c r="BJ23" s="100">
        <v>19.7619075452413</v>
      </c>
      <c r="BK23" s="100">
        <v>5810.0008183009422</v>
      </c>
      <c r="BL23" s="100">
        <v>17.317206908409759</v>
      </c>
      <c r="BM23" s="100">
        <v>5091.2588310724686</v>
      </c>
      <c r="BN23" s="100">
        <v>22</v>
      </c>
      <c r="BO23" s="100">
        <v>6468</v>
      </c>
      <c r="BP23" s="100">
        <v>23.550267989231472</v>
      </c>
      <c r="BQ23" s="100">
        <v>6923.7787888340526</v>
      </c>
      <c r="BR23" s="100">
        <v>23.520918331907136</v>
      </c>
      <c r="BS23" s="100">
        <v>6915.1499895806983</v>
      </c>
      <c r="BT23" s="100">
        <v>17.450053999666739</v>
      </c>
      <c r="BU23" s="100">
        <v>5130.3158759020216</v>
      </c>
      <c r="BV23" s="100">
        <v>32</v>
      </c>
      <c r="BW23" s="100">
        <v>9408</v>
      </c>
      <c r="BX23" s="100">
        <v>24.820411780879862</v>
      </c>
      <c r="BY23" s="100">
        <v>7297.2010635786792</v>
      </c>
      <c r="BZ23" s="100">
        <v>26.925361727024924</v>
      </c>
      <c r="CA23" s="100">
        <v>7916.0563477453279</v>
      </c>
      <c r="CB23" s="100">
        <v>26.212451989421293</v>
      </c>
      <c r="CC23" s="100">
        <v>7706.4608848898606</v>
      </c>
      <c r="CD23" s="100">
        <v>19</v>
      </c>
      <c r="CE23" s="100">
        <v>5586</v>
      </c>
      <c r="CF23" s="100">
        <v>18.431005922823989</v>
      </c>
      <c r="CG23" s="100">
        <v>5418.7157413102523</v>
      </c>
      <c r="CH23" s="100">
        <v>23.33562612341321</v>
      </c>
      <c r="CI23" s="100">
        <v>6860.6740802834838</v>
      </c>
      <c r="CJ23" s="100">
        <v>22.924978834155937</v>
      </c>
      <c r="CK23" s="100">
        <v>6739.9437772418451</v>
      </c>
      <c r="CL23" s="100">
        <v>21.582074860742821</v>
      </c>
      <c r="CM23" s="100">
        <v>6345.1300090583891</v>
      </c>
      <c r="CN23" s="100">
        <v>22</v>
      </c>
      <c r="CO23" s="100">
        <v>6468</v>
      </c>
      <c r="CP23" s="100">
        <v>25</v>
      </c>
      <c r="CQ23" s="100">
        <v>7350</v>
      </c>
      <c r="CR23" s="100">
        <v>22.079282378091175</v>
      </c>
      <c r="CS23" s="100">
        <v>6491.3090191588053</v>
      </c>
      <c r="CT23" s="100">
        <v>17</v>
      </c>
      <c r="CU23" s="100">
        <v>4998</v>
      </c>
    </row>
    <row r="24" spans="2:99">
      <c r="C24" s="99" t="s">
        <v>190</v>
      </c>
      <c r="D24" s="100">
        <v>25.170803107969057</v>
      </c>
      <c r="E24" s="100">
        <v>9242.7189012462368</v>
      </c>
      <c r="F24" s="100">
        <v>19</v>
      </c>
      <c r="G24" s="100">
        <v>6976.8</v>
      </c>
      <c r="H24" s="100">
        <v>21.648110145528541</v>
      </c>
      <c r="I24" s="100">
        <v>7949.1860454380803</v>
      </c>
      <c r="J24" s="100">
        <v>25</v>
      </c>
      <c r="K24" s="100">
        <v>9180</v>
      </c>
      <c r="L24" s="100">
        <v>20</v>
      </c>
      <c r="M24" s="100">
        <v>7344</v>
      </c>
      <c r="N24" s="100">
        <v>30</v>
      </c>
      <c r="O24" s="100">
        <v>11016</v>
      </c>
      <c r="P24" s="100">
        <v>26</v>
      </c>
      <c r="Q24" s="100">
        <v>9547.1999999999989</v>
      </c>
      <c r="R24" s="100">
        <v>20</v>
      </c>
      <c r="S24" s="100">
        <v>7344</v>
      </c>
      <c r="T24" s="100">
        <v>23</v>
      </c>
      <c r="U24" s="100">
        <v>8445.6</v>
      </c>
      <c r="V24" s="100">
        <v>28</v>
      </c>
      <c r="W24" s="100">
        <v>10281.6</v>
      </c>
      <c r="X24" s="100">
        <v>21</v>
      </c>
      <c r="Y24" s="100">
        <v>7711.2</v>
      </c>
      <c r="Z24" s="100">
        <v>29</v>
      </c>
      <c r="AA24" s="100">
        <v>10648.8</v>
      </c>
      <c r="AB24" s="100">
        <v>27.745757470471823</v>
      </c>
      <c r="AC24" s="100">
        <v>10188.242143157253</v>
      </c>
      <c r="AD24" s="100">
        <v>28.218101724975497</v>
      </c>
      <c r="AE24" s="100">
        <v>10361.686953411003</v>
      </c>
      <c r="AF24" s="100">
        <v>23.499128572399556</v>
      </c>
      <c r="AG24" s="100">
        <v>8628.8800117851169</v>
      </c>
      <c r="AH24" s="100">
        <v>17</v>
      </c>
      <c r="AI24" s="100">
        <v>6242.4</v>
      </c>
      <c r="AJ24" s="100">
        <v>20</v>
      </c>
      <c r="AK24" s="100">
        <v>7344</v>
      </c>
      <c r="AL24" s="100">
        <v>19</v>
      </c>
      <c r="AM24" s="100">
        <v>6976.8</v>
      </c>
      <c r="AN24" s="100">
        <v>22</v>
      </c>
      <c r="AO24" s="100">
        <v>8078.4</v>
      </c>
      <c r="AP24" s="100">
        <v>26</v>
      </c>
      <c r="AQ24" s="100">
        <v>9547.1999999999989</v>
      </c>
      <c r="AR24" s="100">
        <v>21</v>
      </c>
      <c r="AS24" s="100">
        <v>7711.2</v>
      </c>
      <c r="AT24" s="100">
        <v>19</v>
      </c>
      <c r="AU24" s="100">
        <v>6976.8</v>
      </c>
      <c r="AV24" s="100">
        <v>19</v>
      </c>
      <c r="AW24" s="100">
        <v>6976.8</v>
      </c>
      <c r="AX24" s="100">
        <v>21</v>
      </c>
      <c r="AY24" s="100">
        <v>7711.2</v>
      </c>
      <c r="AZ24" s="100">
        <v>27.891141249780926</v>
      </c>
      <c r="BA24" s="100">
        <v>10241.627066919556</v>
      </c>
      <c r="BB24" s="100">
        <v>23.596366345802586</v>
      </c>
      <c r="BC24" s="100">
        <v>8664.5857221787101</v>
      </c>
      <c r="BD24" s="100">
        <v>23</v>
      </c>
      <c r="BE24" s="100">
        <v>8445.6</v>
      </c>
      <c r="BF24" s="100">
        <v>22.128329616594133</v>
      </c>
      <c r="BG24" s="100">
        <v>8125.522635213365</v>
      </c>
      <c r="BH24" s="100">
        <v>22</v>
      </c>
      <c r="BI24" s="100">
        <v>8078.4</v>
      </c>
      <c r="BJ24" s="100">
        <v>19.7619075452413</v>
      </c>
      <c r="BK24" s="100">
        <v>7256.5724506126053</v>
      </c>
      <c r="BL24" s="100">
        <v>19.140070793505522</v>
      </c>
      <c r="BM24" s="100">
        <v>7028.233995375228</v>
      </c>
      <c r="BN24" s="100">
        <v>24</v>
      </c>
      <c r="BO24" s="100">
        <v>8812.7999999999993</v>
      </c>
      <c r="BP24" s="100">
        <v>23.550267989231472</v>
      </c>
      <c r="BQ24" s="100">
        <v>8647.6584056457959</v>
      </c>
      <c r="BR24" s="100">
        <v>23.520918331907136</v>
      </c>
      <c r="BS24" s="100">
        <v>8636.8812114763005</v>
      </c>
      <c r="BT24" s="100">
        <v>19.388948888518598</v>
      </c>
      <c r="BU24" s="100">
        <v>7119.6220318640289</v>
      </c>
      <c r="BV24" s="100">
        <v>30</v>
      </c>
      <c r="BW24" s="100">
        <v>11016</v>
      </c>
      <c r="BX24" s="100">
        <v>21.143313739268031</v>
      </c>
      <c r="BY24" s="100">
        <v>7763.824805059221</v>
      </c>
      <c r="BZ24" s="100">
        <v>24.549594515816842</v>
      </c>
      <c r="CA24" s="100">
        <v>9014.6111062079435</v>
      </c>
      <c r="CB24" s="100">
        <v>26.212451989421293</v>
      </c>
      <c r="CC24" s="100">
        <v>9625.2123705154991</v>
      </c>
      <c r="CD24" s="100">
        <v>20</v>
      </c>
      <c r="CE24" s="100">
        <v>7344</v>
      </c>
      <c r="CF24" s="100">
        <v>18.431005922823989</v>
      </c>
      <c r="CG24" s="100">
        <v>6767.8653748609686</v>
      </c>
      <c r="CH24" s="100">
        <v>23.33562612341321</v>
      </c>
      <c r="CI24" s="100">
        <v>8568.8419125173295</v>
      </c>
      <c r="CJ24" s="100">
        <v>21.090980527423461</v>
      </c>
      <c r="CK24" s="100">
        <v>7744.6080496698951</v>
      </c>
      <c r="CL24" s="100">
        <v>20.75199505840656</v>
      </c>
      <c r="CM24" s="100">
        <v>7620.1325854468887</v>
      </c>
      <c r="CN24" s="100">
        <v>20</v>
      </c>
      <c r="CO24" s="100">
        <v>7344</v>
      </c>
      <c r="CP24" s="100">
        <v>27</v>
      </c>
      <c r="CQ24" s="100">
        <v>9914.4</v>
      </c>
      <c r="CR24" s="100">
        <v>24.959188775233503</v>
      </c>
      <c r="CS24" s="100">
        <v>9165.0141182657426</v>
      </c>
      <c r="CT24" s="100">
        <v>17</v>
      </c>
      <c r="CU24" s="100">
        <v>6242.4</v>
      </c>
    </row>
    <row r="25" spans="2:99">
      <c r="C25" s="99" t="s">
        <v>191</v>
      </c>
      <c r="D25" s="100">
        <v>26.069760361825097</v>
      </c>
      <c r="E25" s="100">
        <v>13827.400895912031</v>
      </c>
      <c r="F25" s="100">
        <v>20</v>
      </c>
      <c r="G25" s="100">
        <v>10608</v>
      </c>
      <c r="H25" s="100">
        <v>21.648110145528541</v>
      </c>
      <c r="I25" s="100">
        <v>11482.157621188338</v>
      </c>
      <c r="J25" s="100">
        <v>23</v>
      </c>
      <c r="K25" s="100">
        <v>12199.199999999999</v>
      </c>
      <c r="L25" s="100">
        <v>18</v>
      </c>
      <c r="M25" s="100">
        <v>9547.1999999999989</v>
      </c>
      <c r="N25" s="100">
        <v>24</v>
      </c>
      <c r="O25" s="100">
        <v>12729.599999999999</v>
      </c>
      <c r="P25" s="100">
        <v>24</v>
      </c>
      <c r="Q25" s="100">
        <v>12729.599999999999</v>
      </c>
      <c r="R25" s="100">
        <v>17</v>
      </c>
      <c r="S25" s="100">
        <v>9016.7999999999993</v>
      </c>
      <c r="T25" s="100">
        <v>21</v>
      </c>
      <c r="U25" s="100">
        <v>11138.4</v>
      </c>
      <c r="V25" s="100">
        <v>29</v>
      </c>
      <c r="W25" s="100">
        <v>15381.599999999999</v>
      </c>
      <c r="X25" s="100">
        <v>22</v>
      </c>
      <c r="Y25" s="100">
        <v>11668.8</v>
      </c>
      <c r="Z25" s="100">
        <v>26</v>
      </c>
      <c r="AA25" s="100">
        <v>13790.4</v>
      </c>
      <c r="AB25" s="100">
        <v>26.011647628567335</v>
      </c>
      <c r="AC25" s="100">
        <v>13796.577902192113</v>
      </c>
      <c r="AD25" s="100">
        <v>26.272025743942706</v>
      </c>
      <c r="AE25" s="100">
        <v>13934.682454587211</v>
      </c>
      <c r="AF25" s="100">
        <v>20.67923314371161</v>
      </c>
      <c r="AG25" s="100">
        <v>10968.265259424637</v>
      </c>
      <c r="AH25" s="100">
        <v>16</v>
      </c>
      <c r="AI25" s="100">
        <v>8486.4</v>
      </c>
      <c r="AJ25" s="100">
        <v>19</v>
      </c>
      <c r="AK25" s="100">
        <v>10077.6</v>
      </c>
      <c r="AL25" s="100">
        <v>18</v>
      </c>
      <c r="AM25" s="100">
        <v>9547.1999999999989</v>
      </c>
      <c r="AN25" s="100">
        <v>22</v>
      </c>
      <c r="AO25" s="100">
        <v>11668.8</v>
      </c>
      <c r="AP25" s="100">
        <v>24</v>
      </c>
      <c r="AQ25" s="100">
        <v>12729.599999999999</v>
      </c>
      <c r="AR25" s="100">
        <v>20</v>
      </c>
      <c r="AS25" s="100">
        <v>10608</v>
      </c>
      <c r="AT25" s="100">
        <v>18</v>
      </c>
      <c r="AU25" s="100">
        <v>9547.1999999999989</v>
      </c>
      <c r="AV25" s="100">
        <v>19</v>
      </c>
      <c r="AW25" s="100">
        <v>10077.6</v>
      </c>
      <c r="AX25" s="100">
        <v>21</v>
      </c>
      <c r="AY25" s="100">
        <v>11138.4</v>
      </c>
      <c r="AZ25" s="100">
        <v>28.852904741152678</v>
      </c>
      <c r="BA25" s="100">
        <v>15303.58067470738</v>
      </c>
      <c r="BB25" s="100">
        <v>24.439093715295538</v>
      </c>
      <c r="BC25" s="100">
        <v>12962.495306592753</v>
      </c>
      <c r="BD25" s="100">
        <v>23</v>
      </c>
      <c r="BE25" s="100">
        <v>12199.199999999999</v>
      </c>
      <c r="BF25" s="100">
        <v>20.602237918897984</v>
      </c>
      <c r="BG25" s="100">
        <v>10927.426992183491</v>
      </c>
      <c r="BH25" s="100">
        <v>23</v>
      </c>
      <c r="BI25" s="100">
        <v>12199.199999999999</v>
      </c>
      <c r="BJ25" s="100">
        <v>21.738098299765426</v>
      </c>
      <c r="BK25" s="100">
        <v>11529.887338195582</v>
      </c>
      <c r="BL25" s="100">
        <v>19.140070793505522</v>
      </c>
      <c r="BM25" s="100">
        <v>10151.893548875329</v>
      </c>
      <c r="BN25" s="100">
        <v>22</v>
      </c>
      <c r="BO25" s="100">
        <v>11668.8</v>
      </c>
      <c r="BP25" s="100">
        <v>19.927149837042013</v>
      </c>
      <c r="BQ25" s="100">
        <v>10569.360273567083</v>
      </c>
      <c r="BR25" s="100">
        <v>20.160787141634685</v>
      </c>
      <c r="BS25" s="100">
        <v>10693.281499923036</v>
      </c>
      <c r="BT25" s="100">
        <v>18.419501444092667</v>
      </c>
      <c r="BU25" s="100">
        <v>9769.703565946751</v>
      </c>
      <c r="BV25" s="100">
        <v>31</v>
      </c>
      <c r="BW25" s="100">
        <v>16442.399999999998</v>
      </c>
      <c r="BX25" s="100">
        <v>21.143313739268031</v>
      </c>
      <c r="BY25" s="100">
        <v>11214.413607307763</v>
      </c>
      <c r="BZ25" s="100">
        <v>23.757672112080819</v>
      </c>
      <c r="CA25" s="100">
        <v>12601.069288247665</v>
      </c>
      <c r="CB25" s="100">
        <v>26.212451989421293</v>
      </c>
      <c r="CC25" s="100">
        <v>13903.084535189053</v>
      </c>
      <c r="CD25" s="100">
        <v>18</v>
      </c>
      <c r="CE25" s="100">
        <v>9547.1999999999989</v>
      </c>
      <c r="CF25" s="100">
        <v>17.50945562668279</v>
      </c>
      <c r="CG25" s="100">
        <v>9287.0152643925521</v>
      </c>
      <c r="CH25" s="100">
        <v>24.891334531640755</v>
      </c>
      <c r="CI25" s="100">
        <v>13202.363835582257</v>
      </c>
      <c r="CJ25" s="100">
        <v>22.007979680789699</v>
      </c>
      <c r="CK25" s="100">
        <v>11673.032422690856</v>
      </c>
      <c r="CL25" s="100">
        <v>21.582074860742821</v>
      </c>
      <c r="CM25" s="100">
        <v>11447.132506137992</v>
      </c>
      <c r="CN25" s="100">
        <v>19</v>
      </c>
      <c r="CO25" s="100">
        <v>10077.6</v>
      </c>
      <c r="CP25" s="100">
        <v>29</v>
      </c>
      <c r="CQ25" s="100">
        <v>15381.599999999999</v>
      </c>
      <c r="CR25" s="100">
        <v>24.959188775233503</v>
      </c>
      <c r="CS25" s="100">
        <v>13238.35372638385</v>
      </c>
      <c r="CT25" s="100">
        <v>17</v>
      </c>
      <c r="CU25" s="100">
        <v>9016.7999999999993</v>
      </c>
    </row>
    <row r="26" spans="2:99">
      <c r="C26" s="99" t="s">
        <v>192</v>
      </c>
      <c r="D26" s="100">
        <v>22.473931346400942</v>
      </c>
      <c r="E26" s="100">
        <v>10922.330634350858</v>
      </c>
      <c r="F26" s="100">
        <v>17</v>
      </c>
      <c r="G26" s="100">
        <v>8262</v>
      </c>
      <c r="H26" s="100">
        <v>25.412998866490025</v>
      </c>
      <c r="I26" s="100">
        <v>12350.717449114152</v>
      </c>
      <c r="J26" s="100">
        <v>22</v>
      </c>
      <c r="K26" s="100">
        <v>10692</v>
      </c>
      <c r="L26" s="100">
        <v>21</v>
      </c>
      <c r="M26" s="100">
        <v>10206</v>
      </c>
      <c r="N26" s="100">
        <v>30</v>
      </c>
      <c r="O26" s="100">
        <v>14580</v>
      </c>
      <c r="P26" s="100">
        <v>27</v>
      </c>
      <c r="Q26" s="100">
        <v>13122</v>
      </c>
      <c r="R26" s="100">
        <v>19</v>
      </c>
      <c r="S26" s="100">
        <v>9234</v>
      </c>
      <c r="T26" s="100">
        <v>21</v>
      </c>
      <c r="U26" s="100">
        <v>10206</v>
      </c>
      <c r="V26" s="100">
        <v>29</v>
      </c>
      <c r="W26" s="100">
        <v>14094</v>
      </c>
      <c r="X26" s="100">
        <v>22</v>
      </c>
      <c r="Y26" s="100">
        <v>10692</v>
      </c>
      <c r="Z26" s="100">
        <v>28</v>
      </c>
      <c r="AA26" s="100">
        <v>13608</v>
      </c>
      <c r="AB26" s="100">
        <v>24.277537786662844</v>
      </c>
      <c r="AC26" s="100">
        <v>11798.883364318142</v>
      </c>
      <c r="AD26" s="100">
        <v>26.272025743942706</v>
      </c>
      <c r="AE26" s="100">
        <v>12768.204511556156</v>
      </c>
      <c r="AF26" s="100">
        <v>20.67923314371161</v>
      </c>
      <c r="AG26" s="100">
        <v>10050.107307843842</v>
      </c>
      <c r="AH26" s="100">
        <v>17</v>
      </c>
      <c r="AI26" s="100">
        <v>8262</v>
      </c>
      <c r="AJ26" s="100">
        <v>18</v>
      </c>
      <c r="AK26" s="100">
        <v>8748</v>
      </c>
      <c r="AL26" s="100">
        <v>17</v>
      </c>
      <c r="AM26" s="100">
        <v>8262</v>
      </c>
      <c r="AN26" s="100">
        <v>26</v>
      </c>
      <c r="AO26" s="100">
        <v>12636</v>
      </c>
      <c r="AP26" s="100">
        <v>23</v>
      </c>
      <c r="AQ26" s="100">
        <v>11178</v>
      </c>
      <c r="AR26" s="100">
        <v>23</v>
      </c>
      <c r="AS26" s="100">
        <v>11178</v>
      </c>
      <c r="AT26" s="100">
        <v>19</v>
      </c>
      <c r="AU26" s="100">
        <v>9234</v>
      </c>
      <c r="AV26" s="100">
        <v>19</v>
      </c>
      <c r="AW26" s="100">
        <v>9234</v>
      </c>
      <c r="AX26" s="100">
        <v>24</v>
      </c>
      <c r="AY26" s="100">
        <v>11664</v>
      </c>
      <c r="AZ26" s="100">
        <v>25.005850775665653</v>
      </c>
      <c r="BA26" s="100">
        <v>12152.843476973507</v>
      </c>
      <c r="BB26" s="100">
        <v>24.439093715295538</v>
      </c>
      <c r="BC26" s="100">
        <v>11877.399545633631</v>
      </c>
      <c r="BD26" s="100">
        <v>21</v>
      </c>
      <c r="BE26" s="100">
        <v>10206</v>
      </c>
      <c r="BF26" s="100">
        <v>22.128329616594133</v>
      </c>
      <c r="BG26" s="100">
        <v>10754.368193664748</v>
      </c>
      <c r="BH26" s="100">
        <v>26</v>
      </c>
      <c r="BI26" s="100">
        <v>12636</v>
      </c>
      <c r="BJ26" s="100">
        <v>19.7619075452413</v>
      </c>
      <c r="BK26" s="100">
        <v>9604.2870669872718</v>
      </c>
      <c r="BL26" s="100">
        <v>19.140070793505522</v>
      </c>
      <c r="BM26" s="100">
        <v>9302.0744056436833</v>
      </c>
      <c r="BN26" s="100">
        <v>21</v>
      </c>
      <c r="BO26" s="100">
        <v>10206</v>
      </c>
      <c r="BP26" s="100">
        <v>20.832929375089378</v>
      </c>
      <c r="BQ26" s="100">
        <v>10124.803676293437</v>
      </c>
      <c r="BR26" s="100">
        <v>20.160787141634685</v>
      </c>
      <c r="BS26" s="100">
        <v>9798.1425508344564</v>
      </c>
      <c r="BT26" s="100">
        <v>16.480606555240808</v>
      </c>
      <c r="BU26" s="100">
        <v>8009.5747858470322</v>
      </c>
      <c r="BV26" s="100">
        <v>27</v>
      </c>
      <c r="BW26" s="100">
        <v>13122</v>
      </c>
      <c r="BX26" s="100">
        <v>21.143313739268031</v>
      </c>
      <c r="BY26" s="100">
        <v>10275.650477284264</v>
      </c>
      <c r="BZ26" s="100">
        <v>22.965749708344788</v>
      </c>
      <c r="CA26" s="100">
        <v>11161.354358255567</v>
      </c>
      <c r="CB26" s="100">
        <v>23.035185081612649</v>
      </c>
      <c r="CC26" s="100">
        <v>11195.099949663747</v>
      </c>
      <c r="CD26" s="100">
        <v>18</v>
      </c>
      <c r="CE26" s="100">
        <v>8748</v>
      </c>
      <c r="CF26" s="100">
        <v>17.50945562668279</v>
      </c>
      <c r="CG26" s="100">
        <v>8509.5954345678365</v>
      </c>
      <c r="CH26" s="100">
        <v>22.557771919299434</v>
      </c>
      <c r="CI26" s="100">
        <v>10963.077152779524</v>
      </c>
      <c r="CJ26" s="100">
        <v>20.173981374057224</v>
      </c>
      <c r="CK26" s="100">
        <v>9804.5549477918103</v>
      </c>
      <c r="CL26" s="100">
        <v>19.921915256070296</v>
      </c>
      <c r="CM26" s="100">
        <v>9682.0508144501637</v>
      </c>
      <c r="CN26" s="100">
        <v>21</v>
      </c>
      <c r="CO26" s="100">
        <v>10206</v>
      </c>
      <c r="CP26" s="100">
        <v>25</v>
      </c>
      <c r="CQ26" s="100">
        <v>12150</v>
      </c>
      <c r="CR26" s="100">
        <v>24.959188775233503</v>
      </c>
      <c r="CS26" s="100">
        <v>12130.165744763483</v>
      </c>
      <c r="CT26" s="100">
        <v>17</v>
      </c>
      <c r="CU26" s="100">
        <v>8262</v>
      </c>
    </row>
    <row r="27" spans="2:99">
      <c r="C27" s="99" t="s">
        <v>193</v>
      </c>
      <c r="D27" s="100">
        <v>25.170803107969057</v>
      </c>
      <c r="E27" s="100">
        <v>10752.967087724381</v>
      </c>
      <c r="F27" s="100">
        <v>18</v>
      </c>
      <c r="G27" s="100">
        <v>7689.5999999999995</v>
      </c>
      <c r="H27" s="100">
        <v>23.530554506009281</v>
      </c>
      <c r="I27" s="100">
        <v>10052.252884967165</v>
      </c>
      <c r="J27" s="100">
        <v>25</v>
      </c>
      <c r="K27" s="100">
        <v>10680</v>
      </c>
      <c r="L27" s="100">
        <v>21</v>
      </c>
      <c r="M27" s="100">
        <v>8971.1999999999989</v>
      </c>
      <c r="N27" s="100">
        <v>25</v>
      </c>
      <c r="O27" s="100">
        <v>10680</v>
      </c>
      <c r="P27" s="100">
        <v>24</v>
      </c>
      <c r="Q27" s="100">
        <v>10252.799999999999</v>
      </c>
      <c r="R27" s="100">
        <v>20</v>
      </c>
      <c r="S27" s="100">
        <v>8544</v>
      </c>
      <c r="T27" s="100">
        <v>23</v>
      </c>
      <c r="U27" s="100">
        <v>9825.6</v>
      </c>
      <c r="V27" s="100">
        <v>30</v>
      </c>
      <c r="W27" s="100">
        <v>12816</v>
      </c>
      <c r="X27" s="100">
        <v>24</v>
      </c>
      <c r="Y27" s="100">
        <v>10252.799999999999</v>
      </c>
      <c r="Z27" s="100">
        <v>30</v>
      </c>
      <c r="AA27" s="100">
        <v>12816</v>
      </c>
      <c r="AB27" s="100">
        <v>23.410482865710598</v>
      </c>
      <c r="AC27" s="100">
        <v>10000.958280231567</v>
      </c>
      <c r="AD27" s="100">
        <v>23.352911772393515</v>
      </c>
      <c r="AE27" s="100">
        <v>9976.36390916651</v>
      </c>
      <c r="AF27" s="100">
        <v>22.55916342950357</v>
      </c>
      <c r="AG27" s="100">
        <v>9637.2746170839255</v>
      </c>
      <c r="AH27" s="100">
        <v>17</v>
      </c>
      <c r="AI27" s="100">
        <v>7262.4</v>
      </c>
      <c r="AJ27" s="100">
        <v>19</v>
      </c>
      <c r="AK27" s="100">
        <v>8116.8</v>
      </c>
      <c r="AL27" s="100">
        <v>17</v>
      </c>
      <c r="AM27" s="100">
        <v>7262.4</v>
      </c>
      <c r="AN27" s="100">
        <v>24</v>
      </c>
      <c r="AO27" s="100">
        <v>10252.799999999999</v>
      </c>
      <c r="AP27" s="100">
        <v>25</v>
      </c>
      <c r="AQ27" s="100">
        <v>10680</v>
      </c>
      <c r="AR27" s="100">
        <v>25</v>
      </c>
      <c r="AS27" s="100">
        <v>10680</v>
      </c>
      <c r="AT27" s="100">
        <v>19</v>
      </c>
      <c r="AU27" s="100">
        <v>8116.8</v>
      </c>
      <c r="AV27" s="100">
        <v>20</v>
      </c>
      <c r="AW27" s="100">
        <v>8544</v>
      </c>
      <c r="AX27" s="100">
        <v>21</v>
      </c>
      <c r="AY27" s="100">
        <v>8971.1999999999989</v>
      </c>
      <c r="AZ27" s="100">
        <v>26.929377758409167</v>
      </c>
      <c r="BA27" s="100">
        <v>11504.230178392396</v>
      </c>
      <c r="BB27" s="100">
        <v>26.124548454281438</v>
      </c>
      <c r="BC27" s="100">
        <v>11160.40709966903</v>
      </c>
      <c r="BD27" s="100">
        <v>24</v>
      </c>
      <c r="BE27" s="100">
        <v>10252.799999999999</v>
      </c>
      <c r="BF27" s="100">
        <v>21.365283767746057</v>
      </c>
      <c r="BG27" s="100">
        <v>9127.2492255811158</v>
      </c>
      <c r="BH27" s="100">
        <v>26</v>
      </c>
      <c r="BI27" s="100">
        <v>11107.199999999999</v>
      </c>
      <c r="BJ27" s="100">
        <v>18.773812167979237</v>
      </c>
      <c r="BK27" s="100">
        <v>8020.1725581607297</v>
      </c>
      <c r="BL27" s="100">
        <v>20.96293467860129</v>
      </c>
      <c r="BM27" s="100">
        <v>8955.3656946984702</v>
      </c>
      <c r="BN27" s="100">
        <v>20</v>
      </c>
      <c r="BO27" s="100">
        <v>8544</v>
      </c>
      <c r="BP27" s="100">
        <v>23.550267989231472</v>
      </c>
      <c r="BQ27" s="100">
        <v>10060.674484999685</v>
      </c>
      <c r="BR27" s="100">
        <v>20.160787141634685</v>
      </c>
      <c r="BS27" s="100">
        <v>8612.688266906338</v>
      </c>
      <c r="BT27" s="100">
        <v>19.388948888518598</v>
      </c>
      <c r="BU27" s="100">
        <v>8282.9589651751448</v>
      </c>
      <c r="BV27" s="100">
        <v>29</v>
      </c>
      <c r="BW27" s="100">
        <v>12388.8</v>
      </c>
      <c r="BX27" s="100">
        <v>22.981862760073945</v>
      </c>
      <c r="BY27" s="100">
        <v>9817.8517711035893</v>
      </c>
      <c r="BZ27" s="100">
        <v>23.757672112080819</v>
      </c>
      <c r="CA27" s="100">
        <v>10149.277526280926</v>
      </c>
      <c r="CB27" s="100">
        <v>24.623818535516971</v>
      </c>
      <c r="CC27" s="100">
        <v>10519.295278372851</v>
      </c>
      <c r="CD27" s="100">
        <v>17</v>
      </c>
      <c r="CE27" s="100">
        <v>7262.4</v>
      </c>
      <c r="CF27" s="100">
        <v>15.666355034400393</v>
      </c>
      <c r="CG27" s="100">
        <v>6692.666870695848</v>
      </c>
      <c r="CH27" s="100">
        <v>21.779917715185661</v>
      </c>
      <c r="CI27" s="100">
        <v>9304.3808479273139</v>
      </c>
      <c r="CJ27" s="100">
        <v>22.007979680789699</v>
      </c>
      <c r="CK27" s="100">
        <v>9401.8089196333585</v>
      </c>
      <c r="CL27" s="100">
        <v>21.582074860742821</v>
      </c>
      <c r="CM27" s="100">
        <v>9219.8623805093339</v>
      </c>
      <c r="CN27" s="100">
        <v>22</v>
      </c>
      <c r="CO27" s="100">
        <v>9398.4</v>
      </c>
      <c r="CP27" s="100">
        <v>27</v>
      </c>
      <c r="CQ27" s="100">
        <v>11534.4</v>
      </c>
      <c r="CR27" s="100">
        <v>23.039251177138617</v>
      </c>
      <c r="CS27" s="100">
        <v>9842.3681028736173</v>
      </c>
      <c r="CT27" s="100">
        <v>17</v>
      </c>
      <c r="CU27" s="100">
        <v>7262.4</v>
      </c>
    </row>
    <row r="28" spans="2:99">
      <c r="C28" s="99" t="s">
        <v>194</v>
      </c>
      <c r="D28" s="100">
        <v>24.271845854113018</v>
      </c>
      <c r="E28" s="100">
        <v>17912.622240335408</v>
      </c>
      <c r="F28" s="100">
        <v>19</v>
      </c>
      <c r="G28" s="100">
        <v>14022</v>
      </c>
      <c r="H28" s="100">
        <v>22.589332325768911</v>
      </c>
      <c r="I28" s="100">
        <v>16670.927256417457</v>
      </c>
      <c r="J28" s="100">
        <v>21</v>
      </c>
      <c r="K28" s="100">
        <v>15498</v>
      </c>
      <c r="L28" s="100">
        <v>20</v>
      </c>
      <c r="M28" s="100">
        <v>14760</v>
      </c>
      <c r="N28" s="100">
        <v>25</v>
      </c>
      <c r="O28" s="100">
        <v>18450</v>
      </c>
      <c r="P28" s="100">
        <v>25</v>
      </c>
      <c r="Q28" s="100">
        <v>18450</v>
      </c>
      <c r="R28" s="100">
        <v>17</v>
      </c>
      <c r="S28" s="100">
        <v>12546</v>
      </c>
      <c r="T28" s="100">
        <v>21</v>
      </c>
      <c r="U28" s="100">
        <v>15498</v>
      </c>
      <c r="V28" s="100">
        <v>25</v>
      </c>
      <c r="W28" s="100">
        <v>18450</v>
      </c>
      <c r="X28" s="100">
        <v>20</v>
      </c>
      <c r="Y28" s="100">
        <v>14760</v>
      </c>
      <c r="Z28" s="100">
        <v>25</v>
      </c>
      <c r="AA28" s="100">
        <v>18450</v>
      </c>
      <c r="AB28" s="100">
        <v>25.144592707615089</v>
      </c>
      <c r="AC28" s="100">
        <v>18556.709418219936</v>
      </c>
      <c r="AD28" s="100">
        <v>24.325949762909907</v>
      </c>
      <c r="AE28" s="100">
        <v>17952.55092502751</v>
      </c>
      <c r="AF28" s="100">
        <v>20.67923314371161</v>
      </c>
      <c r="AG28" s="100">
        <v>15261.274060059168</v>
      </c>
      <c r="AH28" s="100">
        <v>16</v>
      </c>
      <c r="AI28" s="100">
        <v>11808</v>
      </c>
      <c r="AJ28" s="100">
        <v>21</v>
      </c>
      <c r="AK28" s="100">
        <v>15498</v>
      </c>
      <c r="AL28" s="100">
        <v>18</v>
      </c>
      <c r="AM28" s="100">
        <v>13284</v>
      </c>
      <c r="AN28" s="100">
        <v>25</v>
      </c>
      <c r="AO28" s="100">
        <v>18450</v>
      </c>
      <c r="AP28" s="100">
        <v>26</v>
      </c>
      <c r="AQ28" s="100">
        <v>19188</v>
      </c>
      <c r="AR28" s="100">
        <v>20</v>
      </c>
      <c r="AS28" s="100">
        <v>14760</v>
      </c>
      <c r="AT28" s="100">
        <v>18</v>
      </c>
      <c r="AU28" s="100">
        <v>13284</v>
      </c>
      <c r="AV28" s="100">
        <v>20</v>
      </c>
      <c r="AW28" s="100">
        <v>14760</v>
      </c>
      <c r="AX28" s="100">
        <v>22</v>
      </c>
      <c r="AY28" s="100">
        <v>16236</v>
      </c>
      <c r="AZ28" s="100">
        <v>25.967614267037412</v>
      </c>
      <c r="BA28" s="100">
        <v>19164.099329073611</v>
      </c>
      <c r="BB28" s="100">
        <v>23.596366345802586</v>
      </c>
      <c r="BC28" s="100">
        <v>17414.118363202309</v>
      </c>
      <c r="BD28" s="100">
        <v>22</v>
      </c>
      <c r="BE28" s="100">
        <v>16236</v>
      </c>
      <c r="BF28" s="100">
        <v>19.839192070049911</v>
      </c>
      <c r="BG28" s="100">
        <v>14641.323747696835</v>
      </c>
      <c r="BH28" s="100">
        <v>25</v>
      </c>
      <c r="BI28" s="100">
        <v>18450</v>
      </c>
      <c r="BJ28" s="100">
        <v>20.750002922503366</v>
      </c>
      <c r="BK28" s="100">
        <v>15313.502156807484</v>
      </c>
      <c r="BL28" s="100">
        <v>17.317206908409759</v>
      </c>
      <c r="BM28" s="100">
        <v>12780.098698406402</v>
      </c>
      <c r="BN28" s="100">
        <v>21</v>
      </c>
      <c r="BO28" s="100">
        <v>15498</v>
      </c>
      <c r="BP28" s="100">
        <v>19.02137029899465</v>
      </c>
      <c r="BQ28" s="100">
        <v>14037.771280658051</v>
      </c>
      <c r="BR28" s="100">
        <v>19.320754344066575</v>
      </c>
      <c r="BS28" s="100">
        <v>14258.716705921133</v>
      </c>
      <c r="BT28" s="100">
        <v>17.450053999666739</v>
      </c>
      <c r="BU28" s="100">
        <v>12878.139851754053</v>
      </c>
      <c r="BV28" s="100">
        <v>27</v>
      </c>
      <c r="BW28" s="100">
        <v>19926</v>
      </c>
      <c r="BX28" s="100">
        <v>23.901137270476905</v>
      </c>
      <c r="BY28" s="100">
        <v>17639.039305611957</v>
      </c>
      <c r="BZ28" s="100">
        <v>23.757672112080819</v>
      </c>
      <c r="CA28" s="100">
        <v>17533.162018715644</v>
      </c>
      <c r="CB28" s="100">
        <v>25.418135262469132</v>
      </c>
      <c r="CC28" s="100">
        <v>18758.583823702218</v>
      </c>
      <c r="CD28" s="100">
        <v>16</v>
      </c>
      <c r="CE28" s="100">
        <v>11808</v>
      </c>
      <c r="CF28" s="100">
        <v>15.666355034400393</v>
      </c>
      <c r="CG28" s="100">
        <v>11561.77001538749</v>
      </c>
      <c r="CH28" s="100">
        <v>21.779917715185661</v>
      </c>
      <c r="CI28" s="100">
        <v>16073.579273807018</v>
      </c>
      <c r="CJ28" s="100">
        <v>22.007979680789699</v>
      </c>
      <c r="CK28" s="100">
        <v>16241.889004422797</v>
      </c>
      <c r="CL28" s="100">
        <v>19.091835453734031</v>
      </c>
      <c r="CM28" s="100">
        <v>14089.774564855716</v>
      </c>
      <c r="CN28" s="100">
        <v>21</v>
      </c>
      <c r="CO28" s="100">
        <v>15498</v>
      </c>
      <c r="CP28" s="100">
        <v>25</v>
      </c>
      <c r="CQ28" s="100">
        <v>18450</v>
      </c>
      <c r="CR28" s="100">
        <v>23.999219976186058</v>
      </c>
      <c r="CS28" s="100">
        <v>17711.424342425311</v>
      </c>
      <c r="CT28" s="100">
        <v>19</v>
      </c>
      <c r="CU28" s="100">
        <v>14022</v>
      </c>
    </row>
    <row r="29" spans="2:99">
      <c r="C29" s="99" t="s">
        <v>195</v>
      </c>
      <c r="D29" s="100">
        <v>24.271845854113018</v>
      </c>
      <c r="E29" s="100">
        <v>8213.5926370318448</v>
      </c>
      <c r="F29" s="100">
        <v>19</v>
      </c>
      <c r="G29" s="100">
        <v>6429.5999999999995</v>
      </c>
      <c r="H29" s="100">
        <v>22.589332325768911</v>
      </c>
      <c r="I29" s="100">
        <v>7644.2300590401992</v>
      </c>
      <c r="J29" s="100">
        <v>22</v>
      </c>
      <c r="K29" s="100">
        <v>7444.7999999999993</v>
      </c>
      <c r="L29" s="100">
        <v>21</v>
      </c>
      <c r="M29" s="100">
        <v>7106.4</v>
      </c>
      <c r="N29" s="100">
        <v>28</v>
      </c>
      <c r="O29" s="100">
        <v>9475.1999999999989</v>
      </c>
      <c r="P29" s="100">
        <v>26</v>
      </c>
      <c r="Q29" s="100">
        <v>8798.4</v>
      </c>
      <c r="R29" s="100">
        <v>20</v>
      </c>
      <c r="S29" s="100">
        <v>6768</v>
      </c>
      <c r="T29" s="100">
        <v>22</v>
      </c>
      <c r="U29" s="100">
        <v>7444.7999999999993</v>
      </c>
      <c r="V29" s="100">
        <v>30</v>
      </c>
      <c r="W29" s="100">
        <v>10152</v>
      </c>
      <c r="X29" s="100">
        <v>23</v>
      </c>
      <c r="Y29" s="100">
        <v>7783.2</v>
      </c>
      <c r="Z29" s="100">
        <v>30</v>
      </c>
      <c r="AA29" s="100">
        <v>10152</v>
      </c>
      <c r="AB29" s="100">
        <v>23.410482865710598</v>
      </c>
      <c r="AC29" s="100">
        <v>7922.1074017564661</v>
      </c>
      <c r="AD29" s="100">
        <v>23.352911772393515</v>
      </c>
      <c r="AE29" s="100">
        <v>7902.6253437779651</v>
      </c>
      <c r="AF29" s="100">
        <v>25.37905885819152</v>
      </c>
      <c r="AG29" s="100">
        <v>8588.2735176120095</v>
      </c>
      <c r="AH29" s="100">
        <v>16</v>
      </c>
      <c r="AI29" s="100">
        <v>5414.4</v>
      </c>
      <c r="AJ29" s="100">
        <v>19</v>
      </c>
      <c r="AK29" s="100">
        <v>6429.5999999999995</v>
      </c>
      <c r="AL29" s="100">
        <v>19</v>
      </c>
      <c r="AM29" s="100">
        <v>6429.5999999999995</v>
      </c>
      <c r="AN29" s="100">
        <v>24</v>
      </c>
      <c r="AO29" s="100">
        <v>8121.5999999999995</v>
      </c>
      <c r="AP29" s="100">
        <v>25</v>
      </c>
      <c r="AQ29" s="100">
        <v>8460</v>
      </c>
      <c r="AR29" s="100">
        <v>21</v>
      </c>
      <c r="AS29" s="100">
        <v>7106.4</v>
      </c>
      <c r="AT29" s="100">
        <v>17</v>
      </c>
      <c r="AU29" s="100">
        <v>5752.7999999999993</v>
      </c>
      <c r="AV29" s="100">
        <v>20</v>
      </c>
      <c r="AW29" s="100">
        <v>6768</v>
      </c>
      <c r="AX29" s="100">
        <v>22</v>
      </c>
      <c r="AY29" s="100">
        <v>7444.7999999999993</v>
      </c>
      <c r="AZ29" s="100">
        <v>27.891141249780926</v>
      </c>
      <c r="BA29" s="100">
        <v>9438.3621989258645</v>
      </c>
      <c r="BB29" s="100">
        <v>22.753638976309638</v>
      </c>
      <c r="BC29" s="100">
        <v>7699.8314295831806</v>
      </c>
      <c r="BD29" s="100">
        <v>23</v>
      </c>
      <c r="BE29" s="100">
        <v>7783.2</v>
      </c>
      <c r="BF29" s="100">
        <v>21.365283767746057</v>
      </c>
      <c r="BG29" s="100">
        <v>7230.0120270052648</v>
      </c>
      <c r="BH29" s="100">
        <v>25</v>
      </c>
      <c r="BI29" s="100">
        <v>8460</v>
      </c>
      <c r="BJ29" s="100">
        <v>22.726193677027492</v>
      </c>
      <c r="BK29" s="100">
        <v>7690.5439403061027</v>
      </c>
      <c r="BL29" s="100">
        <v>20.051502736053408</v>
      </c>
      <c r="BM29" s="100">
        <v>6785.428525880473</v>
      </c>
      <c r="BN29" s="100">
        <v>24</v>
      </c>
      <c r="BO29" s="100">
        <v>8121.5999999999995</v>
      </c>
      <c r="BP29" s="100">
        <v>22.64448845118411</v>
      </c>
      <c r="BQ29" s="100">
        <v>7662.8948918807018</v>
      </c>
      <c r="BR29" s="100">
        <v>21.840852736770913</v>
      </c>
      <c r="BS29" s="100">
        <v>7390.9445661232767</v>
      </c>
      <c r="BT29" s="100">
        <v>18.419501444092667</v>
      </c>
      <c r="BU29" s="100">
        <v>6233.1592886809585</v>
      </c>
      <c r="BV29" s="100">
        <v>28</v>
      </c>
      <c r="BW29" s="100">
        <v>9475.1999999999989</v>
      </c>
      <c r="BX29" s="100">
        <v>24.820411780879862</v>
      </c>
      <c r="BY29" s="100">
        <v>8399.2273466497445</v>
      </c>
      <c r="BZ29" s="100">
        <v>23.757672112080819</v>
      </c>
      <c r="CA29" s="100">
        <v>8039.5962427281484</v>
      </c>
      <c r="CB29" s="100">
        <v>24.623818535516971</v>
      </c>
      <c r="CC29" s="100">
        <v>8332.7001924189426</v>
      </c>
      <c r="CD29" s="100">
        <v>19</v>
      </c>
      <c r="CE29" s="100">
        <v>6429.5999999999995</v>
      </c>
      <c r="CF29" s="100">
        <v>16.587905330541592</v>
      </c>
      <c r="CG29" s="100">
        <v>5613.3471638552746</v>
      </c>
      <c r="CH29" s="100">
        <v>24.113480327526982</v>
      </c>
      <c r="CI29" s="100">
        <v>8160.0017428351302</v>
      </c>
      <c r="CJ29" s="100">
        <v>19.256982220690986</v>
      </c>
      <c r="CK29" s="100">
        <v>6516.5627834818297</v>
      </c>
      <c r="CL29" s="100">
        <v>18.26175565139777</v>
      </c>
      <c r="CM29" s="100">
        <v>6179.7781124330049</v>
      </c>
      <c r="CN29" s="100">
        <v>21</v>
      </c>
      <c r="CO29" s="100">
        <v>7106.4</v>
      </c>
      <c r="CP29" s="100">
        <v>28</v>
      </c>
      <c r="CQ29" s="100">
        <v>9475.1999999999989</v>
      </c>
      <c r="CR29" s="100">
        <v>25.919157574280945</v>
      </c>
      <c r="CS29" s="100">
        <v>8771.0429231366707</v>
      </c>
      <c r="CT29" s="100">
        <v>17</v>
      </c>
      <c r="CU29" s="100">
        <v>5752.7999999999993</v>
      </c>
    </row>
    <row r="30" spans="2:99">
      <c r="C30" s="99" t="s">
        <v>196</v>
      </c>
      <c r="D30" s="100">
        <v>26.069760361825097</v>
      </c>
      <c r="E30" s="100">
        <v>3628.9106423660533</v>
      </c>
      <c r="F30" s="100">
        <v>19</v>
      </c>
      <c r="G30" s="100">
        <v>2644.7999999999997</v>
      </c>
      <c r="H30" s="100">
        <v>22.589332325768911</v>
      </c>
      <c r="I30" s="100">
        <v>3144.435059747032</v>
      </c>
      <c r="J30" s="100">
        <v>22</v>
      </c>
      <c r="K30" s="100">
        <v>3062.3999999999996</v>
      </c>
      <c r="L30" s="100">
        <v>20</v>
      </c>
      <c r="M30" s="100">
        <v>2784</v>
      </c>
      <c r="N30" s="100">
        <v>30</v>
      </c>
      <c r="O30" s="100">
        <v>4176</v>
      </c>
      <c r="P30" s="100">
        <v>28</v>
      </c>
      <c r="Q30" s="100">
        <v>3897.5999999999995</v>
      </c>
      <c r="R30" s="100">
        <v>21</v>
      </c>
      <c r="S30" s="100">
        <v>2923.2</v>
      </c>
      <c r="T30" s="100">
        <v>21</v>
      </c>
      <c r="U30" s="100">
        <v>2923.2</v>
      </c>
      <c r="V30" s="100">
        <v>30</v>
      </c>
      <c r="W30" s="100">
        <v>4176</v>
      </c>
      <c r="X30" s="100">
        <v>25</v>
      </c>
      <c r="Y30" s="100">
        <v>3479.9999999999995</v>
      </c>
      <c r="Z30" s="100">
        <v>28</v>
      </c>
      <c r="AA30" s="100">
        <v>3897.5999999999995</v>
      </c>
      <c r="AB30" s="100">
        <v>26.878702549519577</v>
      </c>
      <c r="AC30" s="100">
        <v>3741.5153948931247</v>
      </c>
      <c r="AD30" s="100">
        <v>27.245063734459098</v>
      </c>
      <c r="AE30" s="100">
        <v>3792.5128718367059</v>
      </c>
      <c r="AF30" s="100">
        <v>26.319024001087502</v>
      </c>
      <c r="AG30" s="100">
        <v>3663.6081409513799</v>
      </c>
      <c r="AH30" s="100">
        <v>17</v>
      </c>
      <c r="AI30" s="100">
        <v>2366.3999999999996</v>
      </c>
      <c r="AJ30" s="100">
        <v>23</v>
      </c>
      <c r="AK30" s="100">
        <v>3201.6</v>
      </c>
      <c r="AL30" s="100">
        <v>17</v>
      </c>
      <c r="AM30" s="100">
        <v>2366.3999999999996</v>
      </c>
      <c r="AN30" s="100">
        <v>23</v>
      </c>
      <c r="AO30" s="100">
        <v>3201.6</v>
      </c>
      <c r="AP30" s="100">
        <v>27</v>
      </c>
      <c r="AQ30" s="100">
        <v>3758.3999999999996</v>
      </c>
      <c r="AR30" s="100">
        <v>23</v>
      </c>
      <c r="AS30" s="100">
        <v>3201.6</v>
      </c>
      <c r="AT30" s="100">
        <v>19</v>
      </c>
      <c r="AU30" s="100">
        <v>2644.7999999999997</v>
      </c>
      <c r="AV30" s="100">
        <v>20</v>
      </c>
      <c r="AW30" s="100">
        <v>2784</v>
      </c>
      <c r="AX30" s="100">
        <v>23</v>
      </c>
      <c r="AY30" s="100">
        <v>3201.6</v>
      </c>
      <c r="AZ30" s="100">
        <v>31.738195215267947</v>
      </c>
      <c r="BA30" s="100">
        <v>4417.9567739652975</v>
      </c>
      <c r="BB30" s="100">
        <v>25.281821084788486</v>
      </c>
      <c r="BC30" s="100">
        <v>3519.2294950025571</v>
      </c>
      <c r="BD30" s="100">
        <v>24</v>
      </c>
      <c r="BE30" s="100">
        <v>3340.7999999999997</v>
      </c>
      <c r="BF30" s="100">
        <v>22.891375465442202</v>
      </c>
      <c r="BG30" s="100">
        <v>3186.4794647895542</v>
      </c>
      <c r="BH30" s="100">
        <v>23</v>
      </c>
      <c r="BI30" s="100">
        <v>3201.6</v>
      </c>
      <c r="BJ30" s="100">
        <v>19.7619075452413</v>
      </c>
      <c r="BK30" s="100">
        <v>2750.8575302975887</v>
      </c>
      <c r="BL30" s="100">
        <v>19.140070793505522</v>
      </c>
      <c r="BM30" s="100">
        <v>2664.2978544559683</v>
      </c>
      <c r="BN30" s="100">
        <v>21</v>
      </c>
      <c r="BO30" s="100">
        <v>2923.2</v>
      </c>
      <c r="BP30" s="100">
        <v>21.738708913136744</v>
      </c>
      <c r="BQ30" s="100">
        <v>3026.0282807086346</v>
      </c>
      <c r="BR30" s="100">
        <v>23.520918331907136</v>
      </c>
      <c r="BS30" s="100">
        <v>3274.1118318014733</v>
      </c>
      <c r="BT30" s="100">
        <v>18.419501444092667</v>
      </c>
      <c r="BU30" s="100">
        <v>2563.9946010176991</v>
      </c>
      <c r="BV30" s="100">
        <v>34</v>
      </c>
      <c r="BW30" s="100">
        <v>4732.7999999999993</v>
      </c>
      <c r="BX30" s="100">
        <v>22.981862760073945</v>
      </c>
      <c r="BY30" s="100">
        <v>3199.075296202293</v>
      </c>
      <c r="BZ30" s="100">
        <v>27.717284130760955</v>
      </c>
      <c r="CA30" s="100">
        <v>3858.2459510019248</v>
      </c>
      <c r="CB30" s="100">
        <v>27.006768716373454</v>
      </c>
      <c r="CC30" s="100">
        <v>3759.3422053191844</v>
      </c>
      <c r="CD30" s="100">
        <v>20</v>
      </c>
      <c r="CE30" s="100">
        <v>2784</v>
      </c>
      <c r="CF30" s="100">
        <v>19.352556218965191</v>
      </c>
      <c r="CG30" s="100">
        <v>2693.8758256799542</v>
      </c>
      <c r="CH30" s="100">
        <v>24.113480327526982</v>
      </c>
      <c r="CI30" s="100">
        <v>3356.5964615917555</v>
      </c>
      <c r="CJ30" s="100">
        <v>22.007979680789699</v>
      </c>
      <c r="CK30" s="100">
        <v>3063.510771565926</v>
      </c>
      <c r="CL30" s="100">
        <v>19.921915256070296</v>
      </c>
      <c r="CM30" s="100">
        <v>2773.1306036449851</v>
      </c>
      <c r="CN30" s="100">
        <v>22</v>
      </c>
      <c r="CO30" s="100">
        <v>3062.3999999999996</v>
      </c>
      <c r="CP30" s="100">
        <v>27</v>
      </c>
      <c r="CQ30" s="100">
        <v>3758.3999999999996</v>
      </c>
      <c r="CR30" s="100">
        <v>25.919157574280945</v>
      </c>
      <c r="CS30" s="100">
        <v>3607.9467343399074</v>
      </c>
      <c r="CT30" s="100">
        <v>17</v>
      </c>
      <c r="CU30" s="100">
        <v>2366.3999999999996</v>
      </c>
    </row>
    <row r="31" spans="2:99">
      <c r="C31" s="99" t="s">
        <v>197</v>
      </c>
      <c r="D31" s="100">
        <v>26.069760361825097</v>
      </c>
      <c r="E31" s="100">
        <v>8884.5743313099938</v>
      </c>
      <c r="F31" s="100">
        <v>18</v>
      </c>
      <c r="G31" s="100">
        <v>6134.4000000000005</v>
      </c>
      <c r="H31" s="100">
        <v>22.589332325768911</v>
      </c>
      <c r="I31" s="100">
        <v>7698.4444566220454</v>
      </c>
      <c r="J31" s="100">
        <v>22</v>
      </c>
      <c r="K31" s="100">
        <v>7497.6</v>
      </c>
      <c r="L31" s="100">
        <v>21</v>
      </c>
      <c r="M31" s="100">
        <v>7156.8</v>
      </c>
      <c r="N31" s="100">
        <v>25</v>
      </c>
      <c r="O31" s="100">
        <v>8520</v>
      </c>
      <c r="P31" s="100">
        <v>27</v>
      </c>
      <c r="Q31" s="100">
        <v>9201.6</v>
      </c>
      <c r="R31" s="100">
        <v>20</v>
      </c>
      <c r="S31" s="100">
        <v>6816</v>
      </c>
      <c r="T31" s="100">
        <v>24</v>
      </c>
      <c r="U31" s="100">
        <v>8179.2000000000007</v>
      </c>
      <c r="V31" s="100">
        <v>30</v>
      </c>
      <c r="W31" s="100">
        <v>10224</v>
      </c>
      <c r="X31" s="100">
        <v>23</v>
      </c>
      <c r="Y31" s="100">
        <v>7838.4000000000005</v>
      </c>
      <c r="Z31" s="100">
        <v>28</v>
      </c>
      <c r="AA31" s="100">
        <v>9542.4</v>
      </c>
      <c r="AB31" s="100">
        <v>24.277537786662844</v>
      </c>
      <c r="AC31" s="100">
        <v>8273.7848776946976</v>
      </c>
      <c r="AD31" s="100">
        <v>27.245063734459098</v>
      </c>
      <c r="AE31" s="100">
        <v>9285.1177207036617</v>
      </c>
      <c r="AF31" s="100">
        <v>23.499128572399556</v>
      </c>
      <c r="AG31" s="100">
        <v>8008.5030174737685</v>
      </c>
      <c r="AH31" s="100">
        <v>17</v>
      </c>
      <c r="AI31" s="100">
        <v>5793.6</v>
      </c>
      <c r="AJ31" s="100">
        <v>19</v>
      </c>
      <c r="AK31" s="100">
        <v>6475.2</v>
      </c>
      <c r="AL31" s="100">
        <v>19</v>
      </c>
      <c r="AM31" s="100">
        <v>6475.2</v>
      </c>
      <c r="AN31" s="100">
        <v>23</v>
      </c>
      <c r="AO31" s="100">
        <v>7838.4000000000005</v>
      </c>
      <c r="AP31" s="100">
        <v>27</v>
      </c>
      <c r="AQ31" s="100">
        <v>9201.6</v>
      </c>
      <c r="AR31" s="100">
        <v>23</v>
      </c>
      <c r="AS31" s="100">
        <v>7838.4000000000005</v>
      </c>
      <c r="AT31" s="100">
        <v>20</v>
      </c>
      <c r="AU31" s="100">
        <v>6816</v>
      </c>
      <c r="AV31" s="100">
        <v>19</v>
      </c>
      <c r="AW31" s="100">
        <v>6475.2</v>
      </c>
      <c r="AX31" s="100">
        <v>23</v>
      </c>
      <c r="AY31" s="100">
        <v>7838.4000000000005</v>
      </c>
      <c r="AZ31" s="100">
        <v>28.852904741152678</v>
      </c>
      <c r="BA31" s="100">
        <v>9833.0699357848334</v>
      </c>
      <c r="BB31" s="100">
        <v>24.439093715295538</v>
      </c>
      <c r="BC31" s="100">
        <v>8328.8431381727205</v>
      </c>
      <c r="BD31" s="100">
        <v>23</v>
      </c>
      <c r="BE31" s="100">
        <v>7838.4000000000005</v>
      </c>
      <c r="BF31" s="100">
        <v>24.417467163138351</v>
      </c>
      <c r="BG31" s="100">
        <v>8321.4728091975503</v>
      </c>
      <c r="BH31" s="100">
        <v>25</v>
      </c>
      <c r="BI31" s="100">
        <v>8520</v>
      </c>
      <c r="BJ31" s="100">
        <v>21.738098299765426</v>
      </c>
      <c r="BK31" s="100">
        <v>7408.3439005600576</v>
      </c>
      <c r="BL31" s="100">
        <v>20.96293467860129</v>
      </c>
      <c r="BM31" s="100">
        <v>7144.1681384673193</v>
      </c>
      <c r="BN31" s="100">
        <v>23</v>
      </c>
      <c r="BO31" s="100">
        <v>7838.4000000000005</v>
      </c>
      <c r="BP31" s="100">
        <v>24.456047527278837</v>
      </c>
      <c r="BQ31" s="100">
        <v>8334.620997296628</v>
      </c>
      <c r="BR31" s="100">
        <v>22.680885534339026</v>
      </c>
      <c r="BS31" s="100">
        <v>7729.6457901027406</v>
      </c>
      <c r="BT31" s="100">
        <v>18.419501444092667</v>
      </c>
      <c r="BU31" s="100">
        <v>6277.3660921467808</v>
      </c>
      <c r="BV31" s="100">
        <v>30</v>
      </c>
      <c r="BW31" s="100">
        <v>10224</v>
      </c>
      <c r="BX31" s="100">
        <v>22.062588249670988</v>
      </c>
      <c r="BY31" s="100">
        <v>7518.9300754878732</v>
      </c>
      <c r="BZ31" s="100">
        <v>26.925361727024924</v>
      </c>
      <c r="CA31" s="100">
        <v>9176.1632765700942</v>
      </c>
      <c r="CB31" s="100">
        <v>27.801085443325611</v>
      </c>
      <c r="CC31" s="100">
        <v>9474.6099190853693</v>
      </c>
      <c r="CD31" s="100">
        <v>18</v>
      </c>
      <c r="CE31" s="100">
        <v>6134.4000000000005</v>
      </c>
      <c r="CF31" s="100">
        <v>15.666355034400393</v>
      </c>
      <c r="CG31" s="100">
        <v>5339.0937957236538</v>
      </c>
      <c r="CH31" s="100">
        <v>24.891334531640755</v>
      </c>
      <c r="CI31" s="100">
        <v>8482.9668083831693</v>
      </c>
      <c r="CJ31" s="100">
        <v>22.007979680789699</v>
      </c>
      <c r="CK31" s="100">
        <v>7500.3194752131294</v>
      </c>
      <c r="CL31" s="100">
        <v>19.091835453734031</v>
      </c>
      <c r="CM31" s="100">
        <v>6506.4975226325578</v>
      </c>
      <c r="CN31" s="100">
        <v>22</v>
      </c>
      <c r="CO31" s="100">
        <v>7497.6</v>
      </c>
      <c r="CP31" s="100">
        <v>26</v>
      </c>
      <c r="CQ31" s="100">
        <v>8860.8000000000011</v>
      </c>
      <c r="CR31" s="100">
        <v>23.039251177138617</v>
      </c>
      <c r="CS31" s="100">
        <v>7851.7768011688413</v>
      </c>
      <c r="CT31" s="100">
        <v>17</v>
      </c>
      <c r="CU31" s="100">
        <v>5793.6</v>
      </c>
    </row>
    <row r="32" spans="2:99">
      <c r="C32" s="99" t="s">
        <v>198</v>
      </c>
      <c r="D32" s="100">
        <v>22.473931346400942</v>
      </c>
      <c r="E32" s="100">
        <v>18878.102330976792</v>
      </c>
      <c r="F32" s="100">
        <v>19</v>
      </c>
      <c r="G32" s="100">
        <v>15960</v>
      </c>
      <c r="H32" s="100">
        <v>20.706887965288164</v>
      </c>
      <c r="I32" s="100">
        <v>17393.785890842057</v>
      </c>
      <c r="J32" s="100">
        <v>20</v>
      </c>
      <c r="K32" s="100">
        <v>16800</v>
      </c>
      <c r="L32" s="100">
        <v>20</v>
      </c>
      <c r="M32" s="100">
        <v>16800</v>
      </c>
      <c r="N32" s="100">
        <v>24</v>
      </c>
      <c r="O32" s="100">
        <v>20160</v>
      </c>
      <c r="P32" s="100">
        <v>25</v>
      </c>
      <c r="Q32" s="100">
        <v>21000</v>
      </c>
      <c r="R32" s="100">
        <v>18</v>
      </c>
      <c r="S32" s="100">
        <v>15120</v>
      </c>
      <c r="T32" s="100">
        <v>20</v>
      </c>
      <c r="U32" s="100">
        <v>16800</v>
      </c>
      <c r="V32" s="100">
        <v>28</v>
      </c>
      <c r="W32" s="100">
        <v>23520</v>
      </c>
      <c r="X32" s="100">
        <v>23</v>
      </c>
      <c r="Y32" s="100">
        <v>19320</v>
      </c>
      <c r="Z32" s="100">
        <v>24</v>
      </c>
      <c r="AA32" s="100">
        <v>20160</v>
      </c>
      <c r="AB32" s="100">
        <v>22.543427944758356</v>
      </c>
      <c r="AC32" s="100">
        <v>18936.479473597021</v>
      </c>
      <c r="AD32" s="100">
        <v>24.325949762909907</v>
      </c>
      <c r="AE32" s="100">
        <v>20433.797800844321</v>
      </c>
      <c r="AF32" s="100">
        <v>19.739268000815628</v>
      </c>
      <c r="AG32" s="100">
        <v>16580.985120685127</v>
      </c>
      <c r="AH32" s="100">
        <v>16</v>
      </c>
      <c r="AI32" s="100">
        <v>13440</v>
      </c>
      <c r="AJ32" s="100">
        <v>18</v>
      </c>
      <c r="AK32" s="100">
        <v>15120</v>
      </c>
      <c r="AL32" s="100">
        <v>16</v>
      </c>
      <c r="AM32" s="100">
        <v>13440</v>
      </c>
      <c r="AN32" s="100">
        <v>21</v>
      </c>
      <c r="AO32" s="100">
        <v>17640</v>
      </c>
      <c r="AP32" s="100">
        <v>22</v>
      </c>
      <c r="AQ32" s="100">
        <v>18480</v>
      </c>
      <c r="AR32" s="100">
        <v>23</v>
      </c>
      <c r="AS32" s="100">
        <v>19320</v>
      </c>
      <c r="AT32" s="100">
        <v>18</v>
      </c>
      <c r="AU32" s="100">
        <v>15120</v>
      </c>
      <c r="AV32" s="100">
        <v>20</v>
      </c>
      <c r="AW32" s="100">
        <v>16800</v>
      </c>
      <c r="AX32" s="100">
        <v>22</v>
      </c>
      <c r="AY32" s="100">
        <v>18480</v>
      </c>
      <c r="AZ32" s="100">
        <v>28.852904741152678</v>
      </c>
      <c r="BA32" s="100">
        <v>24236.439982568249</v>
      </c>
      <c r="BB32" s="100">
        <v>26.124548454281438</v>
      </c>
      <c r="BC32" s="100">
        <v>21944.620701596406</v>
      </c>
      <c r="BD32" s="100">
        <v>19</v>
      </c>
      <c r="BE32" s="100">
        <v>15960</v>
      </c>
      <c r="BF32" s="100">
        <v>22.891375465442202</v>
      </c>
      <c r="BG32" s="100">
        <v>19228.755390971452</v>
      </c>
      <c r="BH32" s="100">
        <v>23</v>
      </c>
      <c r="BI32" s="100">
        <v>19320</v>
      </c>
      <c r="BJ32" s="100">
        <v>21.738098299765426</v>
      </c>
      <c r="BK32" s="100">
        <v>18260.002571802957</v>
      </c>
      <c r="BL32" s="100">
        <v>17.317206908409759</v>
      </c>
      <c r="BM32" s="100">
        <v>14546.453803064198</v>
      </c>
      <c r="BN32" s="100">
        <v>21</v>
      </c>
      <c r="BO32" s="100">
        <v>17640</v>
      </c>
      <c r="BP32" s="100">
        <v>20.832929375089378</v>
      </c>
      <c r="BQ32" s="100">
        <v>17499.660675075076</v>
      </c>
      <c r="BR32" s="100">
        <v>18.480721546498465</v>
      </c>
      <c r="BS32" s="100">
        <v>15523.806099058711</v>
      </c>
      <c r="BT32" s="100">
        <v>15.51115911081488</v>
      </c>
      <c r="BU32" s="100">
        <v>13029.3736530845</v>
      </c>
      <c r="BV32" s="100">
        <v>27</v>
      </c>
      <c r="BW32" s="100">
        <v>22680</v>
      </c>
      <c r="BX32" s="100">
        <v>22.062588249670988</v>
      </c>
      <c r="BY32" s="100">
        <v>18532.574129723631</v>
      </c>
      <c r="BZ32" s="100">
        <v>25.34151691955287</v>
      </c>
      <c r="CA32" s="100">
        <v>21286.874212424409</v>
      </c>
      <c r="CB32" s="100">
        <v>21.446551627708327</v>
      </c>
      <c r="CC32" s="100">
        <v>18015.103367274995</v>
      </c>
      <c r="CD32" s="100">
        <v>17</v>
      </c>
      <c r="CE32" s="100">
        <v>14280</v>
      </c>
      <c r="CF32" s="100">
        <v>16.587905330541592</v>
      </c>
      <c r="CG32" s="100">
        <v>13933.840477654938</v>
      </c>
      <c r="CH32" s="100">
        <v>21.779917715185661</v>
      </c>
      <c r="CI32" s="100">
        <v>18295.130880755954</v>
      </c>
      <c r="CJ32" s="100">
        <v>20.173981374057224</v>
      </c>
      <c r="CK32" s="100">
        <v>16946.144354208067</v>
      </c>
      <c r="CL32" s="100">
        <v>17.431675849061509</v>
      </c>
      <c r="CM32" s="100">
        <v>14642.607713211668</v>
      </c>
      <c r="CN32" s="100">
        <v>20</v>
      </c>
      <c r="CO32" s="100">
        <v>16800</v>
      </c>
      <c r="CP32" s="100">
        <v>27</v>
      </c>
      <c r="CQ32" s="100">
        <v>22680</v>
      </c>
      <c r="CR32" s="100">
        <v>23.999219976186058</v>
      </c>
      <c r="CS32" s="100">
        <v>20159.344779996289</v>
      </c>
      <c r="CT32" s="100">
        <v>17</v>
      </c>
      <c r="CU32" s="100">
        <v>14280</v>
      </c>
    </row>
    <row r="33" spans="2:99">
      <c r="C33" s="99" t="s">
        <v>199</v>
      </c>
      <c r="D33" s="100">
        <v>23.372888600256982</v>
      </c>
      <c r="E33" s="100">
        <v>11078.749196521809</v>
      </c>
      <c r="F33" s="100">
        <v>20</v>
      </c>
      <c r="G33" s="100">
        <v>9480</v>
      </c>
      <c r="H33" s="100">
        <v>24.471776686249651</v>
      </c>
      <c r="I33" s="100">
        <v>11599.622149282335</v>
      </c>
      <c r="J33" s="100">
        <v>24</v>
      </c>
      <c r="K33" s="100">
        <v>11376</v>
      </c>
      <c r="L33" s="100">
        <v>18</v>
      </c>
      <c r="M33" s="100">
        <v>8532</v>
      </c>
      <c r="N33" s="100">
        <v>28</v>
      </c>
      <c r="O33" s="100">
        <v>13272</v>
      </c>
      <c r="P33" s="100">
        <v>27</v>
      </c>
      <c r="Q33" s="100">
        <v>12798</v>
      </c>
      <c r="R33" s="100">
        <v>19</v>
      </c>
      <c r="S33" s="100">
        <v>9006</v>
      </c>
      <c r="T33" s="100">
        <v>21</v>
      </c>
      <c r="U33" s="100">
        <v>9954</v>
      </c>
      <c r="V33" s="100">
        <v>29</v>
      </c>
      <c r="W33" s="100">
        <v>13746</v>
      </c>
      <c r="X33" s="100">
        <v>22</v>
      </c>
      <c r="Y33" s="100">
        <v>10428</v>
      </c>
      <c r="Z33" s="100">
        <v>25</v>
      </c>
      <c r="AA33" s="100">
        <v>11850</v>
      </c>
      <c r="AB33" s="100">
        <v>26.011647628567335</v>
      </c>
      <c r="AC33" s="100">
        <v>12329.520975940917</v>
      </c>
      <c r="AD33" s="100">
        <v>22.379873781877116</v>
      </c>
      <c r="AE33" s="100">
        <v>10608.060172609752</v>
      </c>
      <c r="AF33" s="100">
        <v>23.499128572399556</v>
      </c>
      <c r="AG33" s="100">
        <v>11138.58694331739</v>
      </c>
      <c r="AH33" s="100">
        <v>18</v>
      </c>
      <c r="AI33" s="100">
        <v>8532</v>
      </c>
      <c r="AJ33" s="100">
        <v>21</v>
      </c>
      <c r="AK33" s="100">
        <v>9954</v>
      </c>
      <c r="AL33" s="100">
        <v>17</v>
      </c>
      <c r="AM33" s="100">
        <v>8058</v>
      </c>
      <c r="AN33" s="100">
        <v>23</v>
      </c>
      <c r="AO33" s="100">
        <v>10902</v>
      </c>
      <c r="AP33" s="100">
        <v>24</v>
      </c>
      <c r="AQ33" s="100">
        <v>11376</v>
      </c>
      <c r="AR33" s="100">
        <v>22</v>
      </c>
      <c r="AS33" s="100">
        <v>10428</v>
      </c>
      <c r="AT33" s="100">
        <v>17</v>
      </c>
      <c r="AU33" s="100">
        <v>8058</v>
      </c>
      <c r="AV33" s="100">
        <v>21</v>
      </c>
      <c r="AW33" s="100">
        <v>9954</v>
      </c>
      <c r="AX33" s="100">
        <v>21</v>
      </c>
      <c r="AY33" s="100">
        <v>9954</v>
      </c>
      <c r="AZ33" s="100">
        <v>25.967614267037412</v>
      </c>
      <c r="BA33" s="100">
        <v>12308.649162575733</v>
      </c>
      <c r="BB33" s="100">
        <v>26.967275823774386</v>
      </c>
      <c r="BC33" s="100">
        <v>12782.48874046906</v>
      </c>
      <c r="BD33" s="100">
        <v>22</v>
      </c>
      <c r="BE33" s="100">
        <v>10428</v>
      </c>
      <c r="BF33" s="100">
        <v>22.128329616594133</v>
      </c>
      <c r="BG33" s="100">
        <v>10488.82823826562</v>
      </c>
      <c r="BH33" s="100">
        <v>23</v>
      </c>
      <c r="BI33" s="100">
        <v>10902</v>
      </c>
      <c r="BJ33" s="100">
        <v>19.7619075452413</v>
      </c>
      <c r="BK33" s="100">
        <v>9367.1441764443771</v>
      </c>
      <c r="BL33" s="100">
        <v>17.317206908409759</v>
      </c>
      <c r="BM33" s="100">
        <v>8208.3560745862251</v>
      </c>
      <c r="BN33" s="100">
        <v>20</v>
      </c>
      <c r="BO33" s="100">
        <v>9480</v>
      </c>
      <c r="BP33" s="100">
        <v>23.550267989231472</v>
      </c>
      <c r="BQ33" s="100">
        <v>11162.827026895717</v>
      </c>
      <c r="BR33" s="100">
        <v>22.680885534339026</v>
      </c>
      <c r="BS33" s="100">
        <v>10750.739743276699</v>
      </c>
      <c r="BT33" s="100">
        <v>18.419501444092667</v>
      </c>
      <c r="BU33" s="100">
        <v>8730.8436844999233</v>
      </c>
      <c r="BV33" s="100">
        <v>31</v>
      </c>
      <c r="BW33" s="100">
        <v>14694</v>
      </c>
      <c r="BX33" s="100">
        <v>22.062588249670988</v>
      </c>
      <c r="BY33" s="100">
        <v>10457.666830344047</v>
      </c>
      <c r="BZ33" s="100">
        <v>24.549594515816842</v>
      </c>
      <c r="CA33" s="100">
        <v>11636.507800497184</v>
      </c>
      <c r="CB33" s="100">
        <v>24.623818535516971</v>
      </c>
      <c r="CC33" s="100">
        <v>11671.689985835044</v>
      </c>
      <c r="CD33" s="100">
        <v>19</v>
      </c>
      <c r="CE33" s="100">
        <v>9006</v>
      </c>
      <c r="CF33" s="100">
        <v>18.431005922823989</v>
      </c>
      <c r="CG33" s="100">
        <v>8736.2968074185701</v>
      </c>
      <c r="CH33" s="100">
        <v>24.891334531640755</v>
      </c>
      <c r="CI33" s="100">
        <v>11798.492567997719</v>
      </c>
      <c r="CJ33" s="100">
        <v>22.924978834155937</v>
      </c>
      <c r="CK33" s="100">
        <v>10866.439967389913</v>
      </c>
      <c r="CL33" s="100">
        <v>18.26175565139777</v>
      </c>
      <c r="CM33" s="100">
        <v>8656.0721787625425</v>
      </c>
      <c r="CN33" s="100">
        <v>19</v>
      </c>
      <c r="CO33" s="100">
        <v>9006</v>
      </c>
      <c r="CP33" s="100">
        <v>25</v>
      </c>
      <c r="CQ33" s="100">
        <v>11850</v>
      </c>
      <c r="CR33" s="100">
        <v>24.959188775233503</v>
      </c>
      <c r="CS33" s="100">
        <v>11830.65547946068</v>
      </c>
      <c r="CT33" s="100">
        <v>19</v>
      </c>
      <c r="CU33" s="100">
        <v>9006</v>
      </c>
    </row>
    <row r="34" spans="2:99">
      <c r="C34" s="99" t="s">
        <v>200</v>
      </c>
      <c r="D34" s="100">
        <v>26.069760361825097</v>
      </c>
      <c r="E34" s="100">
        <v>14296.656582424883</v>
      </c>
      <c r="F34" s="100">
        <v>19</v>
      </c>
      <c r="G34" s="100">
        <v>10419.6</v>
      </c>
      <c r="H34" s="100">
        <v>23.530554506009281</v>
      </c>
      <c r="I34" s="100">
        <v>12904.156091095489</v>
      </c>
      <c r="J34" s="100">
        <v>24</v>
      </c>
      <c r="K34" s="100">
        <v>13161.599999999999</v>
      </c>
      <c r="L34" s="100">
        <v>18</v>
      </c>
      <c r="M34" s="100">
        <v>9871.1999999999989</v>
      </c>
      <c r="N34" s="100">
        <v>26</v>
      </c>
      <c r="O34" s="100">
        <v>14258.4</v>
      </c>
      <c r="P34" s="100">
        <v>24</v>
      </c>
      <c r="Q34" s="100">
        <v>13161.599999999999</v>
      </c>
      <c r="R34" s="100">
        <v>18</v>
      </c>
      <c r="S34" s="100">
        <v>9871.1999999999989</v>
      </c>
      <c r="T34" s="100">
        <v>22</v>
      </c>
      <c r="U34" s="100">
        <v>12064.8</v>
      </c>
      <c r="V34" s="100">
        <v>29</v>
      </c>
      <c r="W34" s="100">
        <v>15903.599999999999</v>
      </c>
      <c r="X34" s="100">
        <v>20</v>
      </c>
      <c r="Y34" s="100">
        <v>10968</v>
      </c>
      <c r="Z34" s="100">
        <v>29</v>
      </c>
      <c r="AA34" s="100">
        <v>15903.599999999999</v>
      </c>
      <c r="AB34" s="100">
        <v>25.144592707615089</v>
      </c>
      <c r="AC34" s="100">
        <v>13789.294640856115</v>
      </c>
      <c r="AD34" s="100">
        <v>25.298987753426307</v>
      </c>
      <c r="AE34" s="100">
        <v>13873.964883978986</v>
      </c>
      <c r="AF34" s="100">
        <v>23.499128572399556</v>
      </c>
      <c r="AG34" s="100">
        <v>12886.922109103916</v>
      </c>
      <c r="AH34" s="100">
        <v>16</v>
      </c>
      <c r="AI34" s="100">
        <v>8774.4</v>
      </c>
      <c r="AJ34" s="100">
        <v>19</v>
      </c>
      <c r="AK34" s="100">
        <v>10419.6</v>
      </c>
      <c r="AL34" s="100">
        <v>18</v>
      </c>
      <c r="AM34" s="100">
        <v>9871.1999999999989</v>
      </c>
      <c r="AN34" s="100">
        <v>23</v>
      </c>
      <c r="AO34" s="100">
        <v>12613.199999999999</v>
      </c>
      <c r="AP34" s="100">
        <v>23</v>
      </c>
      <c r="AQ34" s="100">
        <v>12613.199999999999</v>
      </c>
      <c r="AR34" s="100">
        <v>20</v>
      </c>
      <c r="AS34" s="100">
        <v>10968</v>
      </c>
      <c r="AT34" s="100">
        <v>19</v>
      </c>
      <c r="AU34" s="100">
        <v>10419.6</v>
      </c>
      <c r="AV34" s="100">
        <v>20</v>
      </c>
      <c r="AW34" s="100">
        <v>10968</v>
      </c>
      <c r="AX34" s="100">
        <v>23</v>
      </c>
      <c r="AY34" s="100">
        <v>12613.199999999999</v>
      </c>
      <c r="AZ34" s="100">
        <v>25.967614267037412</v>
      </c>
      <c r="BA34" s="100">
        <v>14240.639664043316</v>
      </c>
      <c r="BB34" s="100">
        <v>25.281821084788486</v>
      </c>
      <c r="BC34" s="100">
        <v>13864.550682898005</v>
      </c>
      <c r="BD34" s="100">
        <v>24</v>
      </c>
      <c r="BE34" s="100">
        <v>13161.599999999999</v>
      </c>
      <c r="BF34" s="100">
        <v>19.839192070049911</v>
      </c>
      <c r="BG34" s="100">
        <v>10879.812931215371</v>
      </c>
      <c r="BH34" s="100">
        <v>24</v>
      </c>
      <c r="BI34" s="100">
        <v>13161.599999999999</v>
      </c>
      <c r="BJ34" s="100">
        <v>20.750002922503366</v>
      </c>
      <c r="BK34" s="100">
        <v>11379.301602700845</v>
      </c>
      <c r="BL34" s="100">
        <v>17.317206908409759</v>
      </c>
      <c r="BM34" s="100">
        <v>9496.7562685719113</v>
      </c>
      <c r="BN34" s="100">
        <v>23</v>
      </c>
      <c r="BO34" s="100">
        <v>12613.199999999999</v>
      </c>
      <c r="BP34" s="100">
        <v>20.832929375089378</v>
      </c>
      <c r="BQ34" s="100">
        <v>11424.778469299015</v>
      </c>
      <c r="BR34" s="100">
        <v>22.680885534339026</v>
      </c>
      <c r="BS34" s="100">
        <v>12438.197627031521</v>
      </c>
      <c r="BT34" s="100">
        <v>18.419501444092667</v>
      </c>
      <c r="BU34" s="100">
        <v>10101.254591940418</v>
      </c>
      <c r="BV34" s="100">
        <v>28</v>
      </c>
      <c r="BW34" s="100">
        <v>15355.199999999999</v>
      </c>
      <c r="BX34" s="100">
        <v>22.981862760073945</v>
      </c>
      <c r="BY34" s="100">
        <v>12603.253537624551</v>
      </c>
      <c r="BZ34" s="100">
        <v>25.34151691955287</v>
      </c>
      <c r="CA34" s="100">
        <v>13897.287878682793</v>
      </c>
      <c r="CB34" s="100">
        <v>24.623818535516971</v>
      </c>
      <c r="CC34" s="100">
        <v>13503.702084877506</v>
      </c>
      <c r="CD34" s="100">
        <v>19</v>
      </c>
      <c r="CE34" s="100">
        <v>10419.6</v>
      </c>
      <c r="CF34" s="100">
        <v>16.587905330541592</v>
      </c>
      <c r="CG34" s="100">
        <v>9096.8072832690086</v>
      </c>
      <c r="CH34" s="100">
        <v>22.557771919299434</v>
      </c>
      <c r="CI34" s="100">
        <v>12370.682120543808</v>
      </c>
      <c r="CJ34" s="100">
        <v>22.007979680789699</v>
      </c>
      <c r="CK34" s="100">
        <v>12069.176056945071</v>
      </c>
      <c r="CL34" s="100">
        <v>19.921915256070296</v>
      </c>
      <c r="CM34" s="100">
        <v>10925.17832642895</v>
      </c>
      <c r="CN34" s="100">
        <v>20</v>
      </c>
      <c r="CO34" s="100">
        <v>10968</v>
      </c>
      <c r="CP34" s="100">
        <v>27</v>
      </c>
      <c r="CQ34" s="100">
        <v>14806.8</v>
      </c>
      <c r="CR34" s="100">
        <v>22.079282378091175</v>
      </c>
      <c r="CS34" s="100">
        <v>12108.278456145201</v>
      </c>
      <c r="CT34" s="100">
        <v>18</v>
      </c>
      <c r="CU34" s="100">
        <v>9871.1999999999989</v>
      </c>
    </row>
    <row r="35" spans="2:99">
      <c r="C35" s="99" t="s">
        <v>201</v>
      </c>
      <c r="D35" s="100">
        <v>26.069760361825097</v>
      </c>
      <c r="E35" s="100">
        <v>13107.875509925656</v>
      </c>
      <c r="F35" s="100">
        <v>17</v>
      </c>
      <c r="G35" s="100">
        <v>8547.5999999999985</v>
      </c>
      <c r="H35" s="100">
        <v>23.530554506009281</v>
      </c>
      <c r="I35" s="100">
        <v>11831.162805621465</v>
      </c>
      <c r="J35" s="100">
        <v>22</v>
      </c>
      <c r="K35" s="100">
        <v>11061.599999999999</v>
      </c>
      <c r="L35" s="100">
        <v>20</v>
      </c>
      <c r="M35" s="100">
        <v>10055.999999999998</v>
      </c>
      <c r="N35" s="100">
        <v>27</v>
      </c>
      <c r="O35" s="100">
        <v>13575.599999999997</v>
      </c>
      <c r="P35" s="100">
        <v>25</v>
      </c>
      <c r="Q35" s="100">
        <v>12569.999999999998</v>
      </c>
      <c r="R35" s="100">
        <v>17</v>
      </c>
      <c r="S35" s="100">
        <v>8547.5999999999985</v>
      </c>
      <c r="T35" s="100">
        <v>22</v>
      </c>
      <c r="U35" s="100">
        <v>11061.599999999999</v>
      </c>
      <c r="V35" s="100">
        <v>27</v>
      </c>
      <c r="W35" s="100">
        <v>13575.599999999997</v>
      </c>
      <c r="X35" s="100">
        <v>23</v>
      </c>
      <c r="Y35" s="100">
        <v>11564.399999999998</v>
      </c>
      <c r="Z35" s="100">
        <v>30</v>
      </c>
      <c r="AA35" s="100">
        <v>15083.999999999996</v>
      </c>
      <c r="AB35" s="100">
        <v>25.144592707615089</v>
      </c>
      <c r="AC35" s="100">
        <v>12642.701213388864</v>
      </c>
      <c r="AD35" s="100">
        <v>25.298987753426307</v>
      </c>
      <c r="AE35" s="100">
        <v>12720.331042422744</v>
      </c>
      <c r="AF35" s="100">
        <v>22.55916342950357</v>
      </c>
      <c r="AG35" s="100">
        <v>11342.747372354394</v>
      </c>
      <c r="AH35" s="100">
        <v>16</v>
      </c>
      <c r="AI35" s="100">
        <v>8044.7999999999984</v>
      </c>
      <c r="AJ35" s="100">
        <v>21</v>
      </c>
      <c r="AK35" s="100">
        <v>10558.799999999997</v>
      </c>
      <c r="AL35" s="100">
        <v>17</v>
      </c>
      <c r="AM35" s="100">
        <v>8547.5999999999985</v>
      </c>
      <c r="AN35" s="100">
        <v>24</v>
      </c>
      <c r="AO35" s="100">
        <v>12067.199999999997</v>
      </c>
      <c r="AP35" s="100">
        <v>23</v>
      </c>
      <c r="AQ35" s="100">
        <v>11564.399999999998</v>
      </c>
      <c r="AR35" s="100">
        <v>22</v>
      </c>
      <c r="AS35" s="100">
        <v>11061.599999999999</v>
      </c>
      <c r="AT35" s="100">
        <v>16</v>
      </c>
      <c r="AU35" s="100">
        <v>8044.7999999999984</v>
      </c>
      <c r="AV35" s="100">
        <v>18</v>
      </c>
      <c r="AW35" s="100">
        <v>9050.3999999999978</v>
      </c>
      <c r="AX35" s="100">
        <v>20</v>
      </c>
      <c r="AY35" s="100">
        <v>10055.999999999998</v>
      </c>
      <c r="AZ35" s="100">
        <v>28.852904741152678</v>
      </c>
      <c r="BA35" s="100">
        <v>14507.240503851563</v>
      </c>
      <c r="BB35" s="100">
        <v>24.439093715295538</v>
      </c>
      <c r="BC35" s="100">
        <v>12287.976320050595</v>
      </c>
      <c r="BD35" s="100">
        <v>20</v>
      </c>
      <c r="BE35" s="100">
        <v>10055.999999999998</v>
      </c>
      <c r="BF35" s="100">
        <v>20.602237918897984</v>
      </c>
      <c r="BG35" s="100">
        <v>10358.805225621903</v>
      </c>
      <c r="BH35" s="100">
        <v>24</v>
      </c>
      <c r="BI35" s="100">
        <v>12067.199999999997</v>
      </c>
      <c r="BJ35" s="100">
        <v>20.750002922503366</v>
      </c>
      <c r="BK35" s="100">
        <v>10433.10146943469</v>
      </c>
      <c r="BL35" s="100">
        <v>18.22863885095764</v>
      </c>
      <c r="BM35" s="100">
        <v>9165.3596142615006</v>
      </c>
      <c r="BN35" s="100">
        <v>21</v>
      </c>
      <c r="BO35" s="100">
        <v>10558.799999999997</v>
      </c>
      <c r="BP35" s="100">
        <v>21.738708913136744</v>
      </c>
      <c r="BQ35" s="100">
        <v>10930.222841525152</v>
      </c>
      <c r="BR35" s="100">
        <v>20.160787141634685</v>
      </c>
      <c r="BS35" s="100">
        <v>10136.843774813919</v>
      </c>
      <c r="BT35" s="100">
        <v>16.480606555240808</v>
      </c>
      <c r="BU35" s="100">
        <v>8286.4489759750759</v>
      </c>
      <c r="BV35" s="100">
        <v>32</v>
      </c>
      <c r="BW35" s="100">
        <v>16089.599999999997</v>
      </c>
      <c r="BX35" s="100">
        <v>21.143313739268031</v>
      </c>
      <c r="BY35" s="100">
        <v>10630.858148103964</v>
      </c>
      <c r="BZ35" s="100">
        <v>22.173827304608761</v>
      </c>
      <c r="CA35" s="100">
        <v>11149.000368757283</v>
      </c>
      <c r="CB35" s="100">
        <v>23.82950180856481</v>
      </c>
      <c r="CC35" s="100">
        <v>11981.473509346384</v>
      </c>
      <c r="CD35" s="100">
        <v>17</v>
      </c>
      <c r="CE35" s="100">
        <v>8547.5999999999985</v>
      </c>
      <c r="CF35" s="100">
        <v>17.50945562668279</v>
      </c>
      <c r="CG35" s="100">
        <v>8803.7542890961049</v>
      </c>
      <c r="CH35" s="100">
        <v>26.4470429398683</v>
      </c>
      <c r="CI35" s="100">
        <v>13297.573190165778</v>
      </c>
      <c r="CJ35" s="100">
        <v>22.007979680789699</v>
      </c>
      <c r="CK35" s="100">
        <v>11065.612183501058</v>
      </c>
      <c r="CL35" s="100">
        <v>18.26175565139777</v>
      </c>
      <c r="CM35" s="100">
        <v>9182.0107415227976</v>
      </c>
      <c r="CN35" s="100">
        <v>21</v>
      </c>
      <c r="CO35" s="100">
        <v>10558.799999999997</v>
      </c>
      <c r="CP35" s="100">
        <v>26</v>
      </c>
      <c r="CQ35" s="100">
        <v>13072.799999999997</v>
      </c>
      <c r="CR35" s="100">
        <v>21.11931357904373</v>
      </c>
      <c r="CS35" s="100">
        <v>10618.790867543186</v>
      </c>
      <c r="CT35" s="100">
        <v>19</v>
      </c>
      <c r="CU35" s="100">
        <v>9553.1999999999989</v>
      </c>
    </row>
    <row r="36" spans="2:99">
      <c r="C36" s="99" t="s">
        <v>202</v>
      </c>
      <c r="D36" s="100">
        <v>24.271845854113018</v>
      </c>
      <c r="E36" s="100">
        <v>18466.020325809182</v>
      </c>
      <c r="F36" s="100">
        <v>19</v>
      </c>
      <c r="G36" s="100">
        <v>14455.199999999999</v>
      </c>
      <c r="H36" s="100">
        <v>21.648110145528541</v>
      </c>
      <c r="I36" s="100">
        <v>16469.882198718115</v>
      </c>
      <c r="J36" s="100">
        <v>23</v>
      </c>
      <c r="K36" s="100">
        <v>17498.399999999998</v>
      </c>
      <c r="L36" s="100">
        <v>17</v>
      </c>
      <c r="M36" s="100">
        <v>12933.599999999999</v>
      </c>
      <c r="N36" s="100">
        <v>26</v>
      </c>
      <c r="O36" s="100">
        <v>19780.8</v>
      </c>
      <c r="P36" s="100">
        <v>24</v>
      </c>
      <c r="Q36" s="100">
        <v>18259.199999999997</v>
      </c>
      <c r="R36" s="100">
        <v>18</v>
      </c>
      <c r="S36" s="100">
        <v>13694.4</v>
      </c>
      <c r="T36" s="100">
        <v>22</v>
      </c>
      <c r="U36" s="100">
        <v>16737.599999999999</v>
      </c>
      <c r="V36" s="100">
        <v>28</v>
      </c>
      <c r="W36" s="100">
        <v>21302.399999999998</v>
      </c>
      <c r="X36" s="100">
        <v>22</v>
      </c>
      <c r="Y36" s="100">
        <v>16737.599999999999</v>
      </c>
      <c r="Z36" s="100">
        <v>24</v>
      </c>
      <c r="AA36" s="100">
        <v>18259.199999999997</v>
      </c>
      <c r="AB36" s="100">
        <v>26.011647628567335</v>
      </c>
      <c r="AC36" s="100">
        <v>19789.661515814027</v>
      </c>
      <c r="AD36" s="100">
        <v>26.272025743942706</v>
      </c>
      <c r="AE36" s="100">
        <v>19987.75718599161</v>
      </c>
      <c r="AF36" s="100">
        <v>22.55916342950357</v>
      </c>
      <c r="AG36" s="100">
        <v>17163.011537166316</v>
      </c>
      <c r="AH36" s="100">
        <v>18</v>
      </c>
      <c r="AI36" s="100">
        <v>13694.4</v>
      </c>
      <c r="AJ36" s="100">
        <v>20</v>
      </c>
      <c r="AK36" s="100">
        <v>15216</v>
      </c>
      <c r="AL36" s="100">
        <v>19</v>
      </c>
      <c r="AM36" s="100">
        <v>14455.199999999999</v>
      </c>
      <c r="AN36" s="100">
        <v>25</v>
      </c>
      <c r="AO36" s="100">
        <v>19020</v>
      </c>
      <c r="AP36" s="100">
        <v>25</v>
      </c>
      <c r="AQ36" s="100">
        <v>19020</v>
      </c>
      <c r="AR36" s="100">
        <v>21</v>
      </c>
      <c r="AS36" s="100">
        <v>15976.8</v>
      </c>
      <c r="AT36" s="100">
        <v>18</v>
      </c>
      <c r="AU36" s="100">
        <v>13694.4</v>
      </c>
      <c r="AV36" s="100">
        <v>18</v>
      </c>
      <c r="AW36" s="100">
        <v>13694.4</v>
      </c>
      <c r="AX36" s="100">
        <v>21</v>
      </c>
      <c r="AY36" s="100">
        <v>15976.8</v>
      </c>
      <c r="AZ36" s="100">
        <v>26.929377758409167</v>
      </c>
      <c r="BA36" s="100">
        <v>20487.870598597692</v>
      </c>
      <c r="BB36" s="100">
        <v>22.753638976309638</v>
      </c>
      <c r="BC36" s="100">
        <v>17310.968533176372</v>
      </c>
      <c r="BD36" s="100">
        <v>19</v>
      </c>
      <c r="BE36" s="100">
        <v>14455.199999999999</v>
      </c>
      <c r="BF36" s="100">
        <v>19.839192070049911</v>
      </c>
      <c r="BG36" s="100">
        <v>15093.657326893972</v>
      </c>
      <c r="BH36" s="100">
        <v>25</v>
      </c>
      <c r="BI36" s="100">
        <v>19020</v>
      </c>
      <c r="BJ36" s="100">
        <v>20.750002922503366</v>
      </c>
      <c r="BK36" s="100">
        <v>15786.602223440561</v>
      </c>
      <c r="BL36" s="100">
        <v>17.317206908409759</v>
      </c>
      <c r="BM36" s="100">
        <v>13174.931015918144</v>
      </c>
      <c r="BN36" s="100">
        <v>20</v>
      </c>
      <c r="BO36" s="100">
        <v>15216</v>
      </c>
      <c r="BP36" s="100">
        <v>20.832929375089378</v>
      </c>
      <c r="BQ36" s="100">
        <v>15849.692668567997</v>
      </c>
      <c r="BR36" s="100">
        <v>21.000819939202799</v>
      </c>
      <c r="BS36" s="100">
        <v>15977.423809745489</v>
      </c>
      <c r="BT36" s="100">
        <v>17.450053999666739</v>
      </c>
      <c r="BU36" s="100">
        <v>13276.001082946454</v>
      </c>
      <c r="BV36" s="100">
        <v>26</v>
      </c>
      <c r="BW36" s="100">
        <v>19780.8</v>
      </c>
      <c r="BX36" s="100">
        <v>22.062588249670988</v>
      </c>
      <c r="BY36" s="100">
        <v>16785.217140349687</v>
      </c>
      <c r="BZ36" s="100">
        <v>25.34151691955287</v>
      </c>
      <c r="CA36" s="100">
        <v>19279.826072395823</v>
      </c>
      <c r="CB36" s="100">
        <v>24.623818535516971</v>
      </c>
      <c r="CC36" s="100">
        <v>18733.80114182131</v>
      </c>
      <c r="CD36" s="100">
        <v>16</v>
      </c>
      <c r="CE36" s="100">
        <v>12172.8</v>
      </c>
      <c r="CF36" s="100">
        <v>15.666355034400393</v>
      </c>
      <c r="CG36" s="100">
        <v>11918.962910171818</v>
      </c>
      <c r="CH36" s="100">
        <v>25.669188735754531</v>
      </c>
      <c r="CI36" s="100">
        <v>19529.118790162047</v>
      </c>
      <c r="CJ36" s="100">
        <v>22.007979680789699</v>
      </c>
      <c r="CK36" s="100">
        <v>16743.670941144803</v>
      </c>
      <c r="CL36" s="100">
        <v>19.091835453734031</v>
      </c>
      <c r="CM36" s="100">
        <v>14525.06841320085</v>
      </c>
      <c r="CN36" s="100">
        <v>19</v>
      </c>
      <c r="CO36" s="100">
        <v>14455.199999999999</v>
      </c>
      <c r="CP36" s="100">
        <v>24</v>
      </c>
      <c r="CQ36" s="100">
        <v>18259.199999999997</v>
      </c>
      <c r="CR36" s="100">
        <v>24.959188775233503</v>
      </c>
      <c r="CS36" s="100">
        <v>18988.95082019765</v>
      </c>
      <c r="CT36" s="100">
        <v>17</v>
      </c>
      <c r="CU36" s="100">
        <v>12933.599999999999</v>
      </c>
    </row>
    <row r="37" spans="2:99">
      <c r="B37" s="99" t="s">
        <v>128</v>
      </c>
      <c r="C37" s="99" t="s">
        <v>203</v>
      </c>
      <c r="D37" s="100">
        <v>17.979145077120755</v>
      </c>
      <c r="E37" s="100">
        <v>15469.256424354697</v>
      </c>
      <c r="F37" s="100">
        <v>13</v>
      </c>
      <c r="G37" s="100">
        <v>11185.199999999999</v>
      </c>
      <c r="H37" s="100">
        <v>13.177110523365197</v>
      </c>
      <c r="I37" s="100">
        <v>11337.585894303415</v>
      </c>
      <c r="J37" s="100">
        <v>14</v>
      </c>
      <c r="K37" s="100">
        <v>12045.6</v>
      </c>
      <c r="L37" s="100">
        <v>13</v>
      </c>
      <c r="M37" s="100">
        <v>11185.199999999999</v>
      </c>
      <c r="N37" s="100">
        <v>16</v>
      </c>
      <c r="O37" s="100">
        <v>13766.4</v>
      </c>
      <c r="P37" s="100">
        <v>14</v>
      </c>
      <c r="Q37" s="100">
        <v>12045.6</v>
      </c>
      <c r="R37" s="100">
        <v>16</v>
      </c>
      <c r="S37" s="100">
        <v>13766.4</v>
      </c>
      <c r="T37" s="100">
        <v>10</v>
      </c>
      <c r="U37" s="100">
        <v>8604</v>
      </c>
      <c r="V37" s="100">
        <v>14</v>
      </c>
      <c r="W37" s="100">
        <v>12045.6</v>
      </c>
      <c r="X37" s="100">
        <v>16</v>
      </c>
      <c r="Y37" s="100">
        <v>13766.4</v>
      </c>
      <c r="Z37" s="100">
        <v>17</v>
      </c>
      <c r="AA37" s="100">
        <v>14626.8</v>
      </c>
      <c r="AB37" s="100">
        <v>14.739933656188157</v>
      </c>
      <c r="AC37" s="100">
        <v>12682.238917784291</v>
      </c>
      <c r="AD37" s="100">
        <v>11.676455886196758</v>
      </c>
      <c r="AE37" s="100">
        <v>10046.42264448369</v>
      </c>
      <c r="AF37" s="100">
        <v>10.339616571855805</v>
      </c>
      <c r="AG37" s="100">
        <v>8896.2060984247346</v>
      </c>
      <c r="AH37" s="100">
        <v>12</v>
      </c>
      <c r="AI37" s="100">
        <v>10324.799999999999</v>
      </c>
      <c r="AJ37" s="100">
        <v>11</v>
      </c>
      <c r="AK37" s="100">
        <v>9464.4</v>
      </c>
      <c r="AL37" s="100">
        <v>17</v>
      </c>
      <c r="AM37" s="100">
        <v>14626.8</v>
      </c>
      <c r="AN37" s="100">
        <v>11</v>
      </c>
      <c r="AO37" s="100">
        <v>9464.4</v>
      </c>
      <c r="AP37" s="100">
        <v>17</v>
      </c>
      <c r="AQ37" s="100">
        <v>14626.8</v>
      </c>
      <c r="AR37" s="100">
        <v>19</v>
      </c>
      <c r="AS37" s="100">
        <v>16347.6</v>
      </c>
      <c r="AT37" s="100">
        <v>12</v>
      </c>
      <c r="AU37" s="100">
        <v>10324.799999999999</v>
      </c>
      <c r="AV37" s="100">
        <v>19</v>
      </c>
      <c r="AW37" s="100">
        <v>16347.6</v>
      </c>
      <c r="AX37" s="100">
        <v>19</v>
      </c>
      <c r="AY37" s="100">
        <v>16347.6</v>
      </c>
      <c r="AZ37" s="100">
        <v>10.579398405089314</v>
      </c>
      <c r="BA37" s="100">
        <v>9102.5143877388455</v>
      </c>
      <c r="BB37" s="100">
        <v>8.4272736949294949</v>
      </c>
      <c r="BC37" s="100">
        <v>7250.8262871173374</v>
      </c>
      <c r="BD37" s="100">
        <v>15</v>
      </c>
      <c r="BE37" s="100">
        <v>12906</v>
      </c>
      <c r="BF37" s="100">
        <v>13.734825279265323</v>
      </c>
      <c r="BG37" s="100">
        <v>11817.443670279883</v>
      </c>
      <c r="BH37" s="100">
        <v>13</v>
      </c>
      <c r="BI37" s="100">
        <v>11185.199999999999</v>
      </c>
      <c r="BJ37" s="100">
        <v>17.785716790717171</v>
      </c>
      <c r="BK37" s="100">
        <v>15302.830726733053</v>
      </c>
      <c r="BL37" s="100">
        <v>10.025751368026704</v>
      </c>
      <c r="BM37" s="100">
        <v>8626.1564770501755</v>
      </c>
      <c r="BN37" s="100">
        <v>18</v>
      </c>
      <c r="BO37" s="100">
        <v>15487.199999999999</v>
      </c>
      <c r="BP37" s="100">
        <v>13.586693070710464</v>
      </c>
      <c r="BQ37" s="100">
        <v>11689.990718039282</v>
      </c>
      <c r="BR37" s="100">
        <v>15.960623153794128</v>
      </c>
      <c r="BS37" s="100">
        <v>13732.520161524468</v>
      </c>
      <c r="BT37" s="100">
        <v>9.6944744442592992</v>
      </c>
      <c r="BU37" s="100">
        <v>8341.1258118407004</v>
      </c>
      <c r="BV37" s="100">
        <v>10</v>
      </c>
      <c r="BW37" s="100">
        <v>8604</v>
      </c>
      <c r="BX37" s="100">
        <v>11.950568635238453</v>
      </c>
      <c r="BY37" s="100">
        <v>10282.269253759165</v>
      </c>
      <c r="BZ37" s="100">
        <v>12.670758459776435</v>
      </c>
      <c r="CA37" s="100">
        <v>10901.920578791643</v>
      </c>
      <c r="CB37" s="100">
        <v>10.326117450378085</v>
      </c>
      <c r="CC37" s="100">
        <v>8884.5914543053041</v>
      </c>
      <c r="CD37" s="100">
        <v>15</v>
      </c>
      <c r="CE37" s="100">
        <v>12906</v>
      </c>
      <c r="CF37" s="100">
        <v>11.980153849835595</v>
      </c>
      <c r="CG37" s="100">
        <v>10307.724372398547</v>
      </c>
      <c r="CH37" s="100">
        <v>14.001375674047924</v>
      </c>
      <c r="CI37" s="100">
        <v>12046.783629950834</v>
      </c>
      <c r="CJ37" s="100">
        <v>11.920988993761085</v>
      </c>
      <c r="CK37" s="100">
        <v>10256.818930232037</v>
      </c>
      <c r="CL37" s="100">
        <v>14.11135663971646</v>
      </c>
      <c r="CM37" s="100">
        <v>12141.411252812042</v>
      </c>
      <c r="CN37" s="100">
        <v>12</v>
      </c>
      <c r="CO37" s="100">
        <v>10324.799999999999</v>
      </c>
      <c r="CP37" s="100">
        <v>10</v>
      </c>
      <c r="CQ37" s="100">
        <v>8604</v>
      </c>
      <c r="CR37" s="100">
        <v>12.479594387616752</v>
      </c>
      <c r="CS37" s="100">
        <v>10737.443011105453</v>
      </c>
      <c r="CT37" s="100">
        <v>14</v>
      </c>
      <c r="CU37" s="100">
        <v>12045.6</v>
      </c>
    </row>
    <row r="38" spans="2:99">
      <c r="C38" s="99" t="s">
        <v>204</v>
      </c>
      <c r="D38" s="100">
        <v>15.282273315552642</v>
      </c>
      <c r="E38" s="100">
        <v>18980.583457916382</v>
      </c>
      <c r="F38" s="100">
        <v>13</v>
      </c>
      <c r="G38" s="100">
        <v>16146</v>
      </c>
      <c r="H38" s="100">
        <v>13.177110523365197</v>
      </c>
      <c r="I38" s="100">
        <v>16365.971270019574</v>
      </c>
      <c r="J38" s="100">
        <v>13</v>
      </c>
      <c r="K38" s="100">
        <v>16146</v>
      </c>
      <c r="L38" s="100">
        <v>11</v>
      </c>
      <c r="M38" s="100">
        <v>13662</v>
      </c>
      <c r="N38" s="100">
        <v>15</v>
      </c>
      <c r="O38" s="100">
        <v>18630</v>
      </c>
      <c r="P38" s="100">
        <v>14</v>
      </c>
      <c r="Q38" s="100">
        <v>17388</v>
      </c>
      <c r="R38" s="100">
        <v>14</v>
      </c>
      <c r="S38" s="100">
        <v>17388</v>
      </c>
      <c r="T38" s="100">
        <v>9</v>
      </c>
      <c r="U38" s="100">
        <v>11178</v>
      </c>
      <c r="V38" s="100">
        <v>14</v>
      </c>
      <c r="W38" s="100">
        <v>17388</v>
      </c>
      <c r="X38" s="100">
        <v>16</v>
      </c>
      <c r="Y38" s="100">
        <v>19872</v>
      </c>
      <c r="Z38" s="100">
        <v>14</v>
      </c>
      <c r="AA38" s="100">
        <v>17388</v>
      </c>
      <c r="AB38" s="100">
        <v>13.872878735235911</v>
      </c>
      <c r="AC38" s="100">
        <v>17230.115389163002</v>
      </c>
      <c r="AD38" s="100">
        <v>11.676455886196758</v>
      </c>
      <c r="AE38" s="100">
        <v>14502.158210656373</v>
      </c>
      <c r="AF38" s="100">
        <v>9.399651428959821</v>
      </c>
      <c r="AG38" s="100">
        <v>11674.367074768097</v>
      </c>
      <c r="AH38" s="100">
        <v>11</v>
      </c>
      <c r="AI38" s="100">
        <v>13662</v>
      </c>
      <c r="AJ38" s="100">
        <v>12</v>
      </c>
      <c r="AK38" s="100">
        <v>14904</v>
      </c>
      <c r="AL38" s="100">
        <v>17</v>
      </c>
      <c r="AM38" s="100">
        <v>21114</v>
      </c>
      <c r="AN38" s="100">
        <v>10</v>
      </c>
      <c r="AO38" s="100">
        <v>12420</v>
      </c>
      <c r="AP38" s="100">
        <v>17</v>
      </c>
      <c r="AQ38" s="100">
        <v>21114</v>
      </c>
      <c r="AR38" s="100">
        <v>18</v>
      </c>
      <c r="AS38" s="100">
        <v>22356</v>
      </c>
      <c r="AT38" s="100">
        <v>13</v>
      </c>
      <c r="AU38" s="100">
        <v>16146</v>
      </c>
      <c r="AV38" s="100">
        <v>17</v>
      </c>
      <c r="AW38" s="100">
        <v>21114</v>
      </c>
      <c r="AX38" s="100">
        <v>16</v>
      </c>
      <c r="AY38" s="100">
        <v>19872</v>
      </c>
      <c r="AZ38" s="100">
        <v>11.541161896461071</v>
      </c>
      <c r="BA38" s="100">
        <v>14334.12307540465</v>
      </c>
      <c r="BB38" s="100">
        <v>9.2700010644224449</v>
      </c>
      <c r="BC38" s="100">
        <v>11513.341322012677</v>
      </c>
      <c r="BD38" s="100">
        <v>14</v>
      </c>
      <c r="BE38" s="100">
        <v>17388</v>
      </c>
      <c r="BF38" s="100">
        <v>12.971779430417248</v>
      </c>
      <c r="BG38" s="100">
        <v>16110.950052578222</v>
      </c>
      <c r="BH38" s="100">
        <v>14</v>
      </c>
      <c r="BI38" s="100">
        <v>17388</v>
      </c>
      <c r="BJ38" s="100">
        <v>13.833335281668909</v>
      </c>
      <c r="BK38" s="100">
        <v>17181.002419832785</v>
      </c>
      <c r="BL38" s="100">
        <v>9.1143194254788202</v>
      </c>
      <c r="BM38" s="100">
        <v>11319.984726444694</v>
      </c>
      <c r="BN38" s="100">
        <v>18</v>
      </c>
      <c r="BO38" s="100">
        <v>22356</v>
      </c>
      <c r="BP38" s="100">
        <v>11.775133994615736</v>
      </c>
      <c r="BQ38" s="100">
        <v>14624.716421312743</v>
      </c>
      <c r="BR38" s="100">
        <v>14.280557558657904</v>
      </c>
      <c r="BS38" s="100">
        <v>17736.452487853116</v>
      </c>
      <c r="BT38" s="100">
        <v>9.6944744442592992</v>
      </c>
      <c r="BU38" s="100">
        <v>12040.53725977005</v>
      </c>
      <c r="BV38" s="100">
        <v>9</v>
      </c>
      <c r="BW38" s="100">
        <v>11178</v>
      </c>
      <c r="BX38" s="100">
        <v>13.789117656044368</v>
      </c>
      <c r="BY38" s="100">
        <v>17126.084128807106</v>
      </c>
      <c r="BZ38" s="100">
        <v>13.462680863512462</v>
      </c>
      <c r="CA38" s="100">
        <v>16720.649632482477</v>
      </c>
      <c r="CB38" s="100">
        <v>11.120434177330244</v>
      </c>
      <c r="CC38" s="100">
        <v>13811.579248244163</v>
      </c>
      <c r="CD38" s="100">
        <v>14</v>
      </c>
      <c r="CE38" s="100">
        <v>17388</v>
      </c>
      <c r="CF38" s="100">
        <v>13.823254442117994</v>
      </c>
      <c r="CG38" s="100">
        <v>17168.482017110549</v>
      </c>
      <c r="CH38" s="100">
        <v>11.667813061706605</v>
      </c>
      <c r="CI38" s="100">
        <v>14491.423822639603</v>
      </c>
      <c r="CJ38" s="100">
        <v>11.920988993761085</v>
      </c>
      <c r="CK38" s="100">
        <v>14805.868330251267</v>
      </c>
      <c r="CL38" s="100">
        <v>15.771516244388984</v>
      </c>
      <c r="CM38" s="100">
        <v>19588.223175531119</v>
      </c>
      <c r="CN38" s="100">
        <v>11</v>
      </c>
      <c r="CO38" s="100">
        <v>13662</v>
      </c>
      <c r="CP38" s="100">
        <v>11</v>
      </c>
      <c r="CQ38" s="100">
        <v>13662</v>
      </c>
      <c r="CR38" s="100">
        <v>11.519625588569308</v>
      </c>
      <c r="CS38" s="100">
        <v>14307.37498100308</v>
      </c>
      <c r="CT38" s="100">
        <v>14</v>
      </c>
      <c r="CU38" s="100">
        <v>17388</v>
      </c>
    </row>
    <row r="39" spans="2:99">
      <c r="C39" s="99" t="s">
        <v>205</v>
      </c>
      <c r="D39" s="100">
        <v>16.18123056940868</v>
      </c>
      <c r="E39" s="100">
        <v>23029.127346382433</v>
      </c>
      <c r="F39" s="100">
        <v>12</v>
      </c>
      <c r="G39" s="100">
        <v>17078.400000000001</v>
      </c>
      <c r="H39" s="100">
        <v>12.235888343124826</v>
      </c>
      <c r="I39" s="100">
        <v>17414.116289935253</v>
      </c>
      <c r="J39" s="100">
        <v>12</v>
      </c>
      <c r="K39" s="100">
        <v>17078.400000000001</v>
      </c>
      <c r="L39" s="100">
        <v>11</v>
      </c>
      <c r="M39" s="100">
        <v>15655.2</v>
      </c>
      <c r="N39" s="100">
        <v>14</v>
      </c>
      <c r="O39" s="100">
        <v>19924.8</v>
      </c>
      <c r="P39" s="100">
        <v>14</v>
      </c>
      <c r="Q39" s="100">
        <v>19924.8</v>
      </c>
      <c r="R39" s="100">
        <v>13</v>
      </c>
      <c r="S39" s="100">
        <v>18501.600000000002</v>
      </c>
      <c r="T39" s="100">
        <v>11</v>
      </c>
      <c r="U39" s="100">
        <v>15655.2</v>
      </c>
      <c r="V39" s="100">
        <v>14</v>
      </c>
      <c r="W39" s="100">
        <v>19924.8</v>
      </c>
      <c r="X39" s="100">
        <v>14</v>
      </c>
      <c r="Y39" s="100">
        <v>19924.8</v>
      </c>
      <c r="Z39" s="100">
        <v>15</v>
      </c>
      <c r="AA39" s="100">
        <v>21348</v>
      </c>
      <c r="AB39" s="100">
        <v>15.606988577140399</v>
      </c>
      <c r="AC39" s="100">
        <v>22211.866142986215</v>
      </c>
      <c r="AD39" s="100">
        <v>11.676455886196758</v>
      </c>
      <c r="AE39" s="100">
        <v>16617.932017235227</v>
      </c>
      <c r="AF39" s="100">
        <v>10.339616571855805</v>
      </c>
      <c r="AG39" s="100">
        <v>14715.342305065182</v>
      </c>
      <c r="AH39" s="100">
        <v>12</v>
      </c>
      <c r="AI39" s="100">
        <v>17078.400000000001</v>
      </c>
      <c r="AJ39" s="100">
        <v>10</v>
      </c>
      <c r="AK39" s="100">
        <v>14232</v>
      </c>
      <c r="AL39" s="100">
        <v>15</v>
      </c>
      <c r="AM39" s="100">
        <v>21348</v>
      </c>
      <c r="AN39" s="100">
        <v>9</v>
      </c>
      <c r="AO39" s="100">
        <v>12808.800000000001</v>
      </c>
      <c r="AP39" s="100">
        <v>18</v>
      </c>
      <c r="AQ39" s="100">
        <v>25617.600000000002</v>
      </c>
      <c r="AR39" s="100">
        <v>19</v>
      </c>
      <c r="AS39" s="100">
        <v>27040.799999999999</v>
      </c>
      <c r="AT39" s="100">
        <v>13</v>
      </c>
      <c r="AU39" s="100">
        <v>18501.600000000002</v>
      </c>
      <c r="AV39" s="100">
        <v>17</v>
      </c>
      <c r="AW39" s="100">
        <v>24194.400000000001</v>
      </c>
      <c r="AX39" s="100">
        <v>18</v>
      </c>
      <c r="AY39" s="100">
        <v>25617.600000000002</v>
      </c>
      <c r="AZ39" s="100">
        <v>10.579398405089314</v>
      </c>
      <c r="BA39" s="100">
        <v>15056.599810123113</v>
      </c>
      <c r="BB39" s="100">
        <v>9.2700010644224449</v>
      </c>
      <c r="BC39" s="100">
        <v>13193.065514886024</v>
      </c>
      <c r="BD39" s="100">
        <v>12</v>
      </c>
      <c r="BE39" s="100">
        <v>17078.400000000001</v>
      </c>
      <c r="BF39" s="100">
        <v>13.734825279265323</v>
      </c>
      <c r="BG39" s="100">
        <v>19547.403337450407</v>
      </c>
      <c r="BH39" s="100">
        <v>12</v>
      </c>
      <c r="BI39" s="100">
        <v>17078.400000000001</v>
      </c>
      <c r="BJ39" s="100">
        <v>15.80952603619304</v>
      </c>
      <c r="BK39" s="100">
        <v>22500.117454709936</v>
      </c>
      <c r="BL39" s="100">
        <v>9.1143194254788202</v>
      </c>
      <c r="BM39" s="100">
        <v>12971.499406341458</v>
      </c>
      <c r="BN39" s="100">
        <v>15</v>
      </c>
      <c r="BO39" s="100">
        <v>21348</v>
      </c>
      <c r="BP39" s="100">
        <v>11.775133994615736</v>
      </c>
      <c r="BQ39" s="100">
        <v>16758.370701137115</v>
      </c>
      <c r="BR39" s="100">
        <v>15.120590356226018</v>
      </c>
      <c r="BS39" s="100">
        <v>21519.624194980868</v>
      </c>
      <c r="BT39" s="100">
        <v>9.6944744442592992</v>
      </c>
      <c r="BU39" s="100">
        <v>13797.176029069835</v>
      </c>
      <c r="BV39" s="100">
        <v>10</v>
      </c>
      <c r="BW39" s="100">
        <v>14232</v>
      </c>
      <c r="BX39" s="100">
        <v>12.86984314564141</v>
      </c>
      <c r="BY39" s="100">
        <v>18316.360764876856</v>
      </c>
      <c r="BZ39" s="100">
        <v>11.878836056040409</v>
      </c>
      <c r="CA39" s="100">
        <v>16905.959474956711</v>
      </c>
      <c r="CB39" s="100">
        <v>11.120434177330244</v>
      </c>
      <c r="CC39" s="100">
        <v>15826.601921176403</v>
      </c>
      <c r="CD39" s="100">
        <v>15</v>
      </c>
      <c r="CE39" s="100">
        <v>21348</v>
      </c>
      <c r="CF39" s="100">
        <v>11.058603553694393</v>
      </c>
      <c r="CG39" s="100">
        <v>15738.604577617862</v>
      </c>
      <c r="CH39" s="100">
        <v>13.22352146993415</v>
      </c>
      <c r="CI39" s="100">
        <v>18819.715756010282</v>
      </c>
      <c r="CJ39" s="100">
        <v>11.920988993761085</v>
      </c>
      <c r="CK39" s="100">
        <v>16965.951535920776</v>
      </c>
      <c r="CL39" s="100">
        <v>14.11135663971646</v>
      </c>
      <c r="CM39" s="100">
        <v>20083.282769644466</v>
      </c>
      <c r="CN39" s="100">
        <v>12</v>
      </c>
      <c r="CO39" s="100">
        <v>17078.400000000001</v>
      </c>
      <c r="CP39" s="100">
        <v>11</v>
      </c>
      <c r="CQ39" s="100">
        <v>15655.2</v>
      </c>
      <c r="CR39" s="100">
        <v>10.559656789521865</v>
      </c>
      <c r="CS39" s="100">
        <v>15028.503542847518</v>
      </c>
      <c r="CT39" s="100">
        <v>14</v>
      </c>
      <c r="CU39" s="100">
        <v>19924.8</v>
      </c>
    </row>
    <row r="40" spans="2:99">
      <c r="C40" s="99" t="s">
        <v>206</v>
      </c>
      <c r="D40" s="100">
        <v>18.878102330976791</v>
      </c>
      <c r="E40" s="100">
        <v>13682.848569491976</v>
      </c>
      <c r="F40" s="100">
        <v>13</v>
      </c>
      <c r="G40" s="100">
        <v>9422.4</v>
      </c>
      <c r="H40" s="100">
        <v>14.118332703605569</v>
      </c>
      <c r="I40" s="100">
        <v>10232.967543573315</v>
      </c>
      <c r="J40" s="100">
        <v>12</v>
      </c>
      <c r="K40" s="100">
        <v>8697.5999999999985</v>
      </c>
      <c r="L40" s="100">
        <v>12</v>
      </c>
      <c r="M40" s="100">
        <v>8697.5999999999985</v>
      </c>
      <c r="N40" s="100">
        <v>16</v>
      </c>
      <c r="O40" s="100">
        <v>11596.8</v>
      </c>
      <c r="P40" s="100">
        <v>16</v>
      </c>
      <c r="Q40" s="100">
        <v>11596.8</v>
      </c>
      <c r="R40" s="100">
        <v>15</v>
      </c>
      <c r="S40" s="100">
        <v>10872</v>
      </c>
      <c r="T40" s="100">
        <v>12</v>
      </c>
      <c r="U40" s="100">
        <v>8697.5999999999985</v>
      </c>
      <c r="V40" s="100">
        <v>16</v>
      </c>
      <c r="W40" s="100">
        <v>11596.8</v>
      </c>
      <c r="X40" s="100">
        <v>18</v>
      </c>
      <c r="Y40" s="100">
        <v>13046.4</v>
      </c>
      <c r="Z40" s="100">
        <v>16</v>
      </c>
      <c r="AA40" s="100">
        <v>11596.8</v>
      </c>
      <c r="AB40" s="100">
        <v>17.34109841904489</v>
      </c>
      <c r="AC40" s="100">
        <v>12568.828134123736</v>
      </c>
      <c r="AD40" s="100">
        <v>12.649493876713153</v>
      </c>
      <c r="AE40" s="100">
        <v>9168.3531618416928</v>
      </c>
      <c r="AF40" s="100">
        <v>11.279581714751785</v>
      </c>
      <c r="AG40" s="100">
        <v>8175.4408268520938</v>
      </c>
      <c r="AH40" s="100">
        <v>13</v>
      </c>
      <c r="AI40" s="100">
        <v>9422.4</v>
      </c>
      <c r="AJ40" s="100">
        <v>11</v>
      </c>
      <c r="AK40" s="100">
        <v>7972.7999999999993</v>
      </c>
      <c r="AL40" s="100">
        <v>16</v>
      </c>
      <c r="AM40" s="100">
        <v>11596.8</v>
      </c>
      <c r="AN40" s="100">
        <v>10</v>
      </c>
      <c r="AO40" s="100">
        <v>7248</v>
      </c>
      <c r="AP40" s="100">
        <v>19</v>
      </c>
      <c r="AQ40" s="100">
        <v>13771.199999999999</v>
      </c>
      <c r="AR40" s="100">
        <v>20</v>
      </c>
      <c r="AS40" s="100">
        <v>14496</v>
      </c>
      <c r="AT40" s="100">
        <v>15</v>
      </c>
      <c r="AU40" s="100">
        <v>10872</v>
      </c>
      <c r="AV40" s="100">
        <v>18</v>
      </c>
      <c r="AW40" s="100">
        <v>13046.4</v>
      </c>
      <c r="AX40" s="100">
        <v>20</v>
      </c>
      <c r="AY40" s="100">
        <v>14496</v>
      </c>
      <c r="AZ40" s="100">
        <v>11.541161896461071</v>
      </c>
      <c r="BA40" s="100">
        <v>8365.0341425549832</v>
      </c>
      <c r="BB40" s="100">
        <v>9.2700010644224449</v>
      </c>
      <c r="BC40" s="100">
        <v>6718.8967714933879</v>
      </c>
      <c r="BD40" s="100">
        <v>15</v>
      </c>
      <c r="BE40" s="100">
        <v>10872</v>
      </c>
      <c r="BF40" s="100">
        <v>13.734825279265323</v>
      </c>
      <c r="BG40" s="100">
        <v>9955.0013624115054</v>
      </c>
      <c r="BH40" s="100">
        <v>12</v>
      </c>
      <c r="BI40" s="100">
        <v>8697.5999999999985</v>
      </c>
      <c r="BJ40" s="100">
        <v>17.785716790717171</v>
      </c>
      <c r="BK40" s="100">
        <v>12891.087529911805</v>
      </c>
      <c r="BL40" s="100">
        <v>9.1143194254788202</v>
      </c>
      <c r="BM40" s="100">
        <v>6606.0587195870485</v>
      </c>
      <c r="BN40" s="100">
        <v>16</v>
      </c>
      <c r="BO40" s="100">
        <v>11596.8</v>
      </c>
      <c r="BP40" s="100">
        <v>12.680913532663102</v>
      </c>
      <c r="BQ40" s="100">
        <v>9191.1261284742159</v>
      </c>
      <c r="BR40" s="100">
        <v>16.800655951362241</v>
      </c>
      <c r="BS40" s="100">
        <v>12177.115433547351</v>
      </c>
      <c r="BT40" s="100">
        <v>10.663921888685229</v>
      </c>
      <c r="BU40" s="100">
        <v>7729.210584919053</v>
      </c>
      <c r="BV40" s="100">
        <v>9</v>
      </c>
      <c r="BW40" s="100">
        <v>6523.2</v>
      </c>
      <c r="BX40" s="100">
        <v>12.86984314564141</v>
      </c>
      <c r="BY40" s="100">
        <v>9328.0623119608936</v>
      </c>
      <c r="BZ40" s="100">
        <v>12.670758459776435</v>
      </c>
      <c r="CA40" s="100">
        <v>9183.765731645959</v>
      </c>
      <c r="CB40" s="100">
        <v>11.914750904282405</v>
      </c>
      <c r="CC40" s="100">
        <v>8635.8114554238873</v>
      </c>
      <c r="CD40" s="100">
        <v>17</v>
      </c>
      <c r="CE40" s="100">
        <v>12321.599999999999</v>
      </c>
      <c r="CF40" s="100">
        <v>11.980153849835595</v>
      </c>
      <c r="CG40" s="100">
        <v>8683.2155103608384</v>
      </c>
      <c r="CH40" s="100">
        <v>14.779229878161699</v>
      </c>
      <c r="CI40" s="100">
        <v>10711.985815691598</v>
      </c>
      <c r="CJ40" s="100">
        <v>12.837988147127325</v>
      </c>
      <c r="CK40" s="100">
        <v>9304.9738090378851</v>
      </c>
      <c r="CL40" s="100">
        <v>15.771516244388984</v>
      </c>
      <c r="CM40" s="100">
        <v>11431.194973933134</v>
      </c>
      <c r="CN40" s="100">
        <v>13</v>
      </c>
      <c r="CO40" s="100">
        <v>9422.4</v>
      </c>
      <c r="CP40" s="100">
        <v>11</v>
      </c>
      <c r="CQ40" s="100">
        <v>7972.7999999999993</v>
      </c>
      <c r="CR40" s="100">
        <v>12.479594387616752</v>
      </c>
      <c r="CS40" s="100">
        <v>9045.2100121446219</v>
      </c>
      <c r="CT40" s="100">
        <v>13</v>
      </c>
      <c r="CU40" s="100">
        <v>9422.4</v>
      </c>
    </row>
    <row r="41" spans="2:99">
      <c r="C41" s="99" t="s">
        <v>207</v>
      </c>
      <c r="D41" s="100">
        <v>16.18123056940868</v>
      </c>
      <c r="E41" s="100">
        <v>10679.612175809729</v>
      </c>
      <c r="F41" s="100">
        <v>12</v>
      </c>
      <c r="G41" s="100">
        <v>7920</v>
      </c>
      <c r="H41" s="100">
        <v>14.118332703605569</v>
      </c>
      <c r="I41" s="100">
        <v>9318.0995843796754</v>
      </c>
      <c r="J41" s="100">
        <v>13</v>
      </c>
      <c r="K41" s="100">
        <v>8580</v>
      </c>
      <c r="L41" s="100">
        <v>13</v>
      </c>
      <c r="M41" s="100">
        <v>8580</v>
      </c>
      <c r="N41" s="100">
        <v>17</v>
      </c>
      <c r="O41" s="100">
        <v>11220</v>
      </c>
      <c r="P41" s="100">
        <v>15</v>
      </c>
      <c r="Q41" s="100">
        <v>9900</v>
      </c>
      <c r="R41" s="100">
        <v>14</v>
      </c>
      <c r="S41" s="100">
        <v>9240</v>
      </c>
      <c r="T41" s="100">
        <v>10</v>
      </c>
      <c r="U41" s="100">
        <v>6600</v>
      </c>
      <c r="V41" s="100">
        <v>16</v>
      </c>
      <c r="W41" s="100">
        <v>10560</v>
      </c>
      <c r="X41" s="100">
        <v>16</v>
      </c>
      <c r="Y41" s="100">
        <v>10560</v>
      </c>
      <c r="Z41" s="100">
        <v>17</v>
      </c>
      <c r="AA41" s="100">
        <v>11220</v>
      </c>
      <c r="AB41" s="100">
        <v>15.606988577140399</v>
      </c>
      <c r="AC41" s="100">
        <v>10300.612460912664</v>
      </c>
      <c r="AD41" s="100">
        <v>12.649493876713153</v>
      </c>
      <c r="AE41" s="100">
        <v>8348.6659586306814</v>
      </c>
      <c r="AF41" s="100">
        <v>10.339616571855805</v>
      </c>
      <c r="AG41" s="100">
        <v>6824.1469374248309</v>
      </c>
      <c r="AH41" s="100">
        <v>14</v>
      </c>
      <c r="AI41" s="100">
        <v>9240</v>
      </c>
      <c r="AJ41" s="100">
        <v>11</v>
      </c>
      <c r="AK41" s="100">
        <v>7260</v>
      </c>
      <c r="AL41" s="100">
        <v>18</v>
      </c>
      <c r="AM41" s="100">
        <v>11880</v>
      </c>
      <c r="AN41" s="100">
        <v>11</v>
      </c>
      <c r="AO41" s="100">
        <v>7260</v>
      </c>
      <c r="AP41" s="100">
        <v>20</v>
      </c>
      <c r="AQ41" s="100">
        <v>13200</v>
      </c>
      <c r="AR41" s="100">
        <v>18</v>
      </c>
      <c r="AS41" s="100">
        <v>11880</v>
      </c>
      <c r="AT41" s="100">
        <v>13</v>
      </c>
      <c r="AU41" s="100">
        <v>8580</v>
      </c>
      <c r="AV41" s="100">
        <v>20</v>
      </c>
      <c r="AW41" s="100">
        <v>13200</v>
      </c>
      <c r="AX41" s="100">
        <v>18</v>
      </c>
      <c r="AY41" s="100">
        <v>11880</v>
      </c>
      <c r="AZ41" s="100">
        <v>11.541161896461071</v>
      </c>
      <c r="BA41" s="100">
        <v>7617.1668516643067</v>
      </c>
      <c r="BB41" s="100">
        <v>9.2700010644224449</v>
      </c>
      <c r="BC41" s="100">
        <v>6118.2007025188141</v>
      </c>
      <c r="BD41" s="100">
        <v>13</v>
      </c>
      <c r="BE41" s="100">
        <v>8580</v>
      </c>
      <c r="BF41" s="100">
        <v>15.26091697696147</v>
      </c>
      <c r="BG41" s="100">
        <v>10072.205204794571</v>
      </c>
      <c r="BH41" s="100">
        <v>14</v>
      </c>
      <c r="BI41" s="100">
        <v>9240</v>
      </c>
      <c r="BJ41" s="100">
        <v>14.821430658930973</v>
      </c>
      <c r="BK41" s="100">
        <v>9782.144234894442</v>
      </c>
      <c r="BL41" s="100">
        <v>10.937183310574586</v>
      </c>
      <c r="BM41" s="100">
        <v>7218.5409849792268</v>
      </c>
      <c r="BN41" s="100">
        <v>17</v>
      </c>
      <c r="BO41" s="100">
        <v>11220</v>
      </c>
      <c r="BP41" s="100">
        <v>13.586693070710464</v>
      </c>
      <c r="BQ41" s="100">
        <v>8967.2174266689053</v>
      </c>
      <c r="BR41" s="100">
        <v>15.960623153794128</v>
      </c>
      <c r="BS41" s="100">
        <v>10534.011281504125</v>
      </c>
      <c r="BT41" s="100">
        <v>11.63336933311116</v>
      </c>
      <c r="BU41" s="100">
        <v>7678.0237598533658</v>
      </c>
      <c r="BV41" s="100">
        <v>11</v>
      </c>
      <c r="BW41" s="100">
        <v>7260</v>
      </c>
      <c r="BX41" s="100">
        <v>12.86984314564141</v>
      </c>
      <c r="BY41" s="100">
        <v>8494.0964761233299</v>
      </c>
      <c r="BZ41" s="100">
        <v>12.670758459776435</v>
      </c>
      <c r="CA41" s="100">
        <v>8362.7005834524462</v>
      </c>
      <c r="CB41" s="100">
        <v>11.120434177330244</v>
      </c>
      <c r="CC41" s="100">
        <v>7339.4865570379616</v>
      </c>
      <c r="CD41" s="100">
        <v>15</v>
      </c>
      <c r="CE41" s="100">
        <v>9900</v>
      </c>
      <c r="CF41" s="100">
        <v>13.823254442117994</v>
      </c>
      <c r="CG41" s="100">
        <v>9123.3479317978763</v>
      </c>
      <c r="CH41" s="100">
        <v>14.779229878161699</v>
      </c>
      <c r="CI41" s="100">
        <v>9754.2917195867212</v>
      </c>
      <c r="CJ41" s="100">
        <v>13.754987300493562</v>
      </c>
      <c r="CK41" s="100">
        <v>9078.2916183257512</v>
      </c>
      <c r="CL41" s="100">
        <v>15.771516244388984</v>
      </c>
      <c r="CM41" s="100">
        <v>10409.200721296729</v>
      </c>
      <c r="CN41" s="100">
        <v>14</v>
      </c>
      <c r="CO41" s="100">
        <v>9240</v>
      </c>
      <c r="CP41" s="100">
        <v>11</v>
      </c>
      <c r="CQ41" s="100">
        <v>7260</v>
      </c>
      <c r="CR41" s="100">
        <v>10.559656789521865</v>
      </c>
      <c r="CS41" s="100">
        <v>6969.3734810844308</v>
      </c>
      <c r="CT41" s="100">
        <v>13</v>
      </c>
      <c r="CU41" s="100">
        <v>8580</v>
      </c>
    </row>
    <row r="42" spans="2:99">
      <c r="C42" s="99" t="s">
        <v>208</v>
      </c>
      <c r="D42" s="100">
        <v>17.080187823264719</v>
      </c>
      <c r="E42" s="100">
        <v>14449.838898481952</v>
      </c>
      <c r="F42" s="100">
        <v>13</v>
      </c>
      <c r="G42" s="100">
        <v>10998</v>
      </c>
      <c r="H42" s="100">
        <v>12.235888343124826</v>
      </c>
      <c r="I42" s="100">
        <v>10351.561538283602</v>
      </c>
      <c r="J42" s="100">
        <v>13</v>
      </c>
      <c r="K42" s="100">
        <v>10998</v>
      </c>
      <c r="L42" s="100">
        <v>13</v>
      </c>
      <c r="M42" s="100">
        <v>10998</v>
      </c>
      <c r="N42" s="100">
        <v>17</v>
      </c>
      <c r="O42" s="100">
        <v>14382</v>
      </c>
      <c r="P42" s="100">
        <v>15</v>
      </c>
      <c r="Q42" s="100">
        <v>12690</v>
      </c>
      <c r="R42" s="100">
        <v>15</v>
      </c>
      <c r="S42" s="100">
        <v>12690</v>
      </c>
      <c r="T42" s="100">
        <v>10</v>
      </c>
      <c r="U42" s="100">
        <v>8460</v>
      </c>
      <c r="V42" s="100">
        <v>14</v>
      </c>
      <c r="W42" s="100">
        <v>11844</v>
      </c>
      <c r="X42" s="100">
        <v>17</v>
      </c>
      <c r="Y42" s="100">
        <v>14382</v>
      </c>
      <c r="Z42" s="100">
        <v>15</v>
      </c>
      <c r="AA42" s="100">
        <v>12690</v>
      </c>
      <c r="AB42" s="100">
        <v>17.34109841904489</v>
      </c>
      <c r="AC42" s="100">
        <v>14670.569262511977</v>
      </c>
      <c r="AD42" s="100">
        <v>12.649493876713153</v>
      </c>
      <c r="AE42" s="100">
        <v>10701.471819699327</v>
      </c>
      <c r="AF42" s="100">
        <v>11.279581714751785</v>
      </c>
      <c r="AG42" s="100">
        <v>9542.5261306800094</v>
      </c>
      <c r="AH42" s="100">
        <v>12</v>
      </c>
      <c r="AI42" s="100">
        <v>10152</v>
      </c>
      <c r="AJ42" s="100">
        <v>11</v>
      </c>
      <c r="AK42" s="100">
        <v>9306</v>
      </c>
      <c r="AL42" s="100">
        <v>17</v>
      </c>
      <c r="AM42" s="100">
        <v>14382</v>
      </c>
      <c r="AN42" s="100">
        <v>11</v>
      </c>
      <c r="AO42" s="100">
        <v>9306</v>
      </c>
      <c r="AP42" s="100">
        <v>20</v>
      </c>
      <c r="AQ42" s="100">
        <v>16920</v>
      </c>
      <c r="AR42" s="100">
        <v>17</v>
      </c>
      <c r="AS42" s="100">
        <v>14382</v>
      </c>
      <c r="AT42" s="100">
        <v>13</v>
      </c>
      <c r="AU42" s="100">
        <v>10998</v>
      </c>
      <c r="AV42" s="100">
        <v>19</v>
      </c>
      <c r="AW42" s="100">
        <v>16074</v>
      </c>
      <c r="AX42" s="100">
        <v>16</v>
      </c>
      <c r="AY42" s="100">
        <v>13536</v>
      </c>
      <c r="AZ42" s="100">
        <v>10.579398405089314</v>
      </c>
      <c r="BA42" s="100">
        <v>8950.1710507055595</v>
      </c>
      <c r="BB42" s="100">
        <v>8.4272736949294949</v>
      </c>
      <c r="BC42" s="100">
        <v>7129.4735459103531</v>
      </c>
      <c r="BD42" s="100">
        <v>13</v>
      </c>
      <c r="BE42" s="100">
        <v>10998</v>
      </c>
      <c r="BF42" s="100">
        <v>16.023962825809541</v>
      </c>
      <c r="BG42" s="100">
        <v>13556.272550634871</v>
      </c>
      <c r="BH42" s="100">
        <v>13</v>
      </c>
      <c r="BI42" s="100">
        <v>10998</v>
      </c>
      <c r="BJ42" s="100">
        <v>15.80952603619304</v>
      </c>
      <c r="BK42" s="100">
        <v>13374.859026619311</v>
      </c>
      <c r="BL42" s="100">
        <v>10.025751368026704</v>
      </c>
      <c r="BM42" s="100">
        <v>8481.7856573505924</v>
      </c>
      <c r="BN42" s="100">
        <v>17</v>
      </c>
      <c r="BO42" s="100">
        <v>14382</v>
      </c>
      <c r="BP42" s="100">
        <v>11.775133994615736</v>
      </c>
      <c r="BQ42" s="100">
        <v>9961.7633594449126</v>
      </c>
      <c r="BR42" s="100">
        <v>15.120590356226018</v>
      </c>
      <c r="BS42" s="100">
        <v>12792.019441367211</v>
      </c>
      <c r="BT42" s="100">
        <v>10.663921888685229</v>
      </c>
      <c r="BU42" s="100">
        <v>9021.6779178277029</v>
      </c>
      <c r="BV42" s="100">
        <v>9</v>
      </c>
      <c r="BW42" s="100">
        <v>7614</v>
      </c>
      <c r="BX42" s="100">
        <v>13.789117656044368</v>
      </c>
      <c r="BY42" s="100">
        <v>11665.593537013536</v>
      </c>
      <c r="BZ42" s="100">
        <v>14.254603267248489</v>
      </c>
      <c r="CA42" s="100">
        <v>12059.394364092223</v>
      </c>
      <c r="CB42" s="100">
        <v>10.326117450378085</v>
      </c>
      <c r="CC42" s="100">
        <v>8735.8953630198594</v>
      </c>
      <c r="CD42" s="100">
        <v>16</v>
      </c>
      <c r="CE42" s="100">
        <v>13536</v>
      </c>
      <c r="CF42" s="100">
        <v>12.901704145976794</v>
      </c>
      <c r="CG42" s="100">
        <v>10914.841707496367</v>
      </c>
      <c r="CH42" s="100">
        <v>14.779229878161699</v>
      </c>
      <c r="CI42" s="100">
        <v>12503.228476924798</v>
      </c>
      <c r="CJ42" s="100">
        <v>12.837988147127325</v>
      </c>
      <c r="CK42" s="100">
        <v>10860.937972469717</v>
      </c>
      <c r="CL42" s="100">
        <v>14.941436442052721</v>
      </c>
      <c r="CM42" s="100">
        <v>12640.455229976602</v>
      </c>
      <c r="CN42" s="100">
        <v>12</v>
      </c>
      <c r="CO42" s="100">
        <v>10152</v>
      </c>
      <c r="CP42" s="100">
        <v>10</v>
      </c>
      <c r="CQ42" s="100">
        <v>8460</v>
      </c>
      <c r="CR42" s="100">
        <v>11.519625588569308</v>
      </c>
      <c r="CS42" s="100">
        <v>9745.6032479296355</v>
      </c>
      <c r="CT42" s="100">
        <v>13</v>
      </c>
      <c r="CU42" s="100">
        <v>10998</v>
      </c>
    </row>
    <row r="43" spans="2:99">
      <c r="C43" s="99" t="s">
        <v>209</v>
      </c>
      <c r="D43" s="100">
        <v>15.282273315552642</v>
      </c>
      <c r="E43" s="100">
        <v>15624.596237821021</v>
      </c>
      <c r="F43" s="100">
        <v>12</v>
      </c>
      <c r="G43" s="100">
        <v>12268.8</v>
      </c>
      <c r="H43" s="100">
        <v>13.177110523365197</v>
      </c>
      <c r="I43" s="100">
        <v>13472.277799088577</v>
      </c>
      <c r="J43" s="100">
        <v>14</v>
      </c>
      <c r="K43" s="100">
        <v>14313.6</v>
      </c>
      <c r="L43" s="100">
        <v>12</v>
      </c>
      <c r="M43" s="100">
        <v>12268.8</v>
      </c>
      <c r="N43" s="100">
        <v>16</v>
      </c>
      <c r="O43" s="100">
        <v>16358.4</v>
      </c>
      <c r="P43" s="100">
        <v>14</v>
      </c>
      <c r="Q43" s="100">
        <v>14313.6</v>
      </c>
      <c r="R43" s="100">
        <v>15</v>
      </c>
      <c r="S43" s="100">
        <v>15336</v>
      </c>
      <c r="T43" s="100">
        <v>11</v>
      </c>
      <c r="U43" s="100">
        <v>11246.4</v>
      </c>
      <c r="V43" s="100">
        <v>16</v>
      </c>
      <c r="W43" s="100">
        <v>16358.4</v>
      </c>
      <c r="X43" s="100">
        <v>15</v>
      </c>
      <c r="Y43" s="100">
        <v>15336</v>
      </c>
      <c r="Z43" s="100">
        <v>16</v>
      </c>
      <c r="AA43" s="100">
        <v>16358.4</v>
      </c>
      <c r="AB43" s="100">
        <v>16.474043498092644</v>
      </c>
      <c r="AC43" s="100">
        <v>16843.06207244992</v>
      </c>
      <c r="AD43" s="100">
        <v>10.703417895680362</v>
      </c>
      <c r="AE43" s="100">
        <v>10943.174456543602</v>
      </c>
      <c r="AF43" s="100">
        <v>10.339616571855805</v>
      </c>
      <c r="AG43" s="100">
        <v>10571.223983065374</v>
      </c>
      <c r="AH43" s="100">
        <v>12</v>
      </c>
      <c r="AI43" s="100">
        <v>12268.8</v>
      </c>
      <c r="AJ43" s="100">
        <v>11</v>
      </c>
      <c r="AK43" s="100">
        <v>11246.4</v>
      </c>
      <c r="AL43" s="100">
        <v>17</v>
      </c>
      <c r="AM43" s="100">
        <v>17380.8</v>
      </c>
      <c r="AN43" s="100">
        <v>11</v>
      </c>
      <c r="AO43" s="100">
        <v>11246.4</v>
      </c>
      <c r="AP43" s="100">
        <v>19</v>
      </c>
      <c r="AQ43" s="100">
        <v>19425.599999999999</v>
      </c>
      <c r="AR43" s="100">
        <v>18</v>
      </c>
      <c r="AS43" s="100">
        <v>18403.2</v>
      </c>
      <c r="AT43" s="100">
        <v>13</v>
      </c>
      <c r="AU43" s="100">
        <v>13291.199999999999</v>
      </c>
      <c r="AV43" s="100">
        <v>17</v>
      </c>
      <c r="AW43" s="100">
        <v>17380.8</v>
      </c>
      <c r="AX43" s="100">
        <v>16</v>
      </c>
      <c r="AY43" s="100">
        <v>16358.4</v>
      </c>
      <c r="AZ43" s="100">
        <v>10.579398405089314</v>
      </c>
      <c r="BA43" s="100">
        <v>10816.376929363314</v>
      </c>
      <c r="BB43" s="100">
        <v>8.4272736949294949</v>
      </c>
      <c r="BC43" s="100">
        <v>8616.0446256959149</v>
      </c>
      <c r="BD43" s="100">
        <v>14</v>
      </c>
      <c r="BE43" s="100">
        <v>14313.6</v>
      </c>
      <c r="BF43" s="100">
        <v>14.497871128113395</v>
      </c>
      <c r="BG43" s="100">
        <v>14822.623441383135</v>
      </c>
      <c r="BH43" s="100">
        <v>13</v>
      </c>
      <c r="BI43" s="100">
        <v>13291.199999999999</v>
      </c>
      <c r="BJ43" s="100">
        <v>15.80952603619304</v>
      </c>
      <c r="BK43" s="100">
        <v>16163.659419403763</v>
      </c>
      <c r="BL43" s="100">
        <v>9.1143194254788202</v>
      </c>
      <c r="BM43" s="100">
        <v>9318.4801806095456</v>
      </c>
      <c r="BN43" s="100">
        <v>18</v>
      </c>
      <c r="BO43" s="100">
        <v>18403.2</v>
      </c>
      <c r="BP43" s="100">
        <v>12.680913532663102</v>
      </c>
      <c r="BQ43" s="100">
        <v>12964.965995794755</v>
      </c>
      <c r="BR43" s="100">
        <v>15.960623153794128</v>
      </c>
      <c r="BS43" s="100">
        <v>16318.141112439116</v>
      </c>
      <c r="BT43" s="100">
        <v>10.663921888685229</v>
      </c>
      <c r="BU43" s="100">
        <v>10902.793738991777</v>
      </c>
      <c r="BV43" s="100">
        <v>9</v>
      </c>
      <c r="BW43" s="100">
        <v>9201.6</v>
      </c>
      <c r="BX43" s="100">
        <v>11.950568635238453</v>
      </c>
      <c r="BY43" s="100">
        <v>12218.261372667794</v>
      </c>
      <c r="BZ43" s="100">
        <v>13.462680863512462</v>
      </c>
      <c r="CA43" s="100">
        <v>13764.24491485514</v>
      </c>
      <c r="CB43" s="100">
        <v>11.914750904282405</v>
      </c>
      <c r="CC43" s="100">
        <v>12181.64132453833</v>
      </c>
      <c r="CD43" s="100">
        <v>15</v>
      </c>
      <c r="CE43" s="100">
        <v>15336</v>
      </c>
      <c r="CF43" s="100">
        <v>11.058603553694393</v>
      </c>
      <c r="CG43" s="100">
        <v>11306.316273297147</v>
      </c>
      <c r="CH43" s="100">
        <v>11.667813061706605</v>
      </c>
      <c r="CI43" s="100">
        <v>11929.172074288832</v>
      </c>
      <c r="CJ43" s="100">
        <v>11.920988993761085</v>
      </c>
      <c r="CK43" s="100">
        <v>12188.019147221334</v>
      </c>
      <c r="CL43" s="100">
        <v>14.941436442052721</v>
      </c>
      <c r="CM43" s="100">
        <v>15276.124618354701</v>
      </c>
      <c r="CN43" s="100">
        <v>12</v>
      </c>
      <c r="CO43" s="100">
        <v>12268.8</v>
      </c>
      <c r="CP43" s="100">
        <v>12</v>
      </c>
      <c r="CQ43" s="100">
        <v>12268.8</v>
      </c>
      <c r="CR43" s="100">
        <v>10.559656789521865</v>
      </c>
      <c r="CS43" s="100">
        <v>10796.193101607154</v>
      </c>
      <c r="CT43" s="100">
        <v>14</v>
      </c>
      <c r="CU43" s="100">
        <v>14313.6</v>
      </c>
    </row>
    <row r="44" spans="2:99">
      <c r="C44" s="99" t="s">
        <v>210</v>
      </c>
      <c r="D44" s="100">
        <v>17.979145077120755</v>
      </c>
      <c r="E44" s="100">
        <v>18381.877926848261</v>
      </c>
      <c r="F44" s="100">
        <v>14</v>
      </c>
      <c r="G44" s="100">
        <v>14313.6</v>
      </c>
      <c r="H44" s="100">
        <v>13.177110523365197</v>
      </c>
      <c r="I44" s="100">
        <v>13472.277799088577</v>
      </c>
      <c r="J44" s="100">
        <v>12</v>
      </c>
      <c r="K44" s="100">
        <v>12268.8</v>
      </c>
      <c r="L44" s="100">
        <v>12</v>
      </c>
      <c r="M44" s="100">
        <v>12268.8</v>
      </c>
      <c r="N44" s="100">
        <v>17</v>
      </c>
      <c r="O44" s="100">
        <v>17380.8</v>
      </c>
      <c r="P44" s="100">
        <v>13</v>
      </c>
      <c r="Q44" s="100">
        <v>13291.199999999999</v>
      </c>
      <c r="R44" s="100">
        <v>14</v>
      </c>
      <c r="S44" s="100">
        <v>14313.6</v>
      </c>
      <c r="T44" s="100">
        <v>10</v>
      </c>
      <c r="U44" s="100">
        <v>10224</v>
      </c>
      <c r="V44" s="100">
        <v>15</v>
      </c>
      <c r="W44" s="100">
        <v>15336</v>
      </c>
      <c r="X44" s="100">
        <v>16</v>
      </c>
      <c r="Y44" s="100">
        <v>16358.4</v>
      </c>
      <c r="Z44" s="100">
        <v>16</v>
      </c>
      <c r="AA44" s="100">
        <v>16358.4</v>
      </c>
      <c r="AB44" s="100">
        <v>15.606988577140399</v>
      </c>
      <c r="AC44" s="100">
        <v>15956.585121268343</v>
      </c>
      <c r="AD44" s="100">
        <v>12.649493876713153</v>
      </c>
      <c r="AE44" s="100">
        <v>12932.842539551528</v>
      </c>
      <c r="AF44" s="100">
        <v>10.339616571855805</v>
      </c>
      <c r="AG44" s="100">
        <v>10571.223983065374</v>
      </c>
      <c r="AH44" s="100">
        <v>12</v>
      </c>
      <c r="AI44" s="100">
        <v>12268.8</v>
      </c>
      <c r="AJ44" s="100">
        <v>12</v>
      </c>
      <c r="AK44" s="100">
        <v>12268.8</v>
      </c>
      <c r="AL44" s="100">
        <v>17</v>
      </c>
      <c r="AM44" s="100">
        <v>17380.8</v>
      </c>
      <c r="AN44" s="100">
        <v>10</v>
      </c>
      <c r="AO44" s="100">
        <v>10224</v>
      </c>
      <c r="AP44" s="100">
        <v>19</v>
      </c>
      <c r="AQ44" s="100">
        <v>19425.599999999999</v>
      </c>
      <c r="AR44" s="100">
        <v>17</v>
      </c>
      <c r="AS44" s="100">
        <v>17380.8</v>
      </c>
      <c r="AT44" s="100">
        <v>12</v>
      </c>
      <c r="AU44" s="100">
        <v>12268.8</v>
      </c>
      <c r="AV44" s="100">
        <v>19</v>
      </c>
      <c r="AW44" s="100">
        <v>19425.599999999999</v>
      </c>
      <c r="AX44" s="100">
        <v>18</v>
      </c>
      <c r="AY44" s="100">
        <v>18403.2</v>
      </c>
      <c r="AZ44" s="100">
        <v>12.502925387832827</v>
      </c>
      <c r="BA44" s="100">
        <v>12782.990916520281</v>
      </c>
      <c r="BB44" s="100">
        <v>8.4272736949294949</v>
      </c>
      <c r="BC44" s="100">
        <v>8616.0446256959149</v>
      </c>
      <c r="BD44" s="100">
        <v>13</v>
      </c>
      <c r="BE44" s="100">
        <v>13291.199999999999</v>
      </c>
      <c r="BF44" s="100">
        <v>15.26091697696147</v>
      </c>
      <c r="BG44" s="100">
        <v>15602.761517245406</v>
      </c>
      <c r="BH44" s="100">
        <v>14</v>
      </c>
      <c r="BI44" s="100">
        <v>14313.6</v>
      </c>
      <c r="BJ44" s="100">
        <v>16.797621413455104</v>
      </c>
      <c r="BK44" s="100">
        <v>17173.888133116499</v>
      </c>
      <c r="BL44" s="100">
        <v>10.025751368026704</v>
      </c>
      <c r="BM44" s="100">
        <v>10250.328198670502</v>
      </c>
      <c r="BN44" s="100">
        <v>18</v>
      </c>
      <c r="BO44" s="100">
        <v>18403.2</v>
      </c>
      <c r="BP44" s="100">
        <v>12.680913532663102</v>
      </c>
      <c r="BQ44" s="100">
        <v>12964.965995794755</v>
      </c>
      <c r="BR44" s="100">
        <v>14.280557558657904</v>
      </c>
      <c r="BS44" s="100">
        <v>14600.442047971841</v>
      </c>
      <c r="BT44" s="100">
        <v>10.663921888685229</v>
      </c>
      <c r="BU44" s="100">
        <v>10902.793738991777</v>
      </c>
      <c r="BV44" s="100">
        <v>10</v>
      </c>
      <c r="BW44" s="100">
        <v>10224</v>
      </c>
      <c r="BX44" s="100">
        <v>13.789117656044368</v>
      </c>
      <c r="BY44" s="100">
        <v>14097.993891539762</v>
      </c>
      <c r="BZ44" s="100">
        <v>12.670758459776435</v>
      </c>
      <c r="CA44" s="100">
        <v>12954.583449275427</v>
      </c>
      <c r="CB44" s="100">
        <v>10.326117450378085</v>
      </c>
      <c r="CC44" s="100">
        <v>10557.422481266554</v>
      </c>
      <c r="CD44" s="100">
        <v>16</v>
      </c>
      <c r="CE44" s="100">
        <v>16358.4</v>
      </c>
      <c r="CF44" s="100">
        <v>12.901704145976794</v>
      </c>
      <c r="CG44" s="100">
        <v>13190.702318846674</v>
      </c>
      <c r="CH44" s="100">
        <v>14.001375674047924</v>
      </c>
      <c r="CI44" s="100">
        <v>14315.006489146597</v>
      </c>
      <c r="CJ44" s="100">
        <v>12.837988147127325</v>
      </c>
      <c r="CK44" s="100">
        <v>13125.559081622976</v>
      </c>
      <c r="CL44" s="100">
        <v>13.281276837380197</v>
      </c>
      <c r="CM44" s="100">
        <v>13578.777438537514</v>
      </c>
      <c r="CN44" s="100">
        <v>13</v>
      </c>
      <c r="CO44" s="100">
        <v>13291.199999999999</v>
      </c>
      <c r="CP44" s="100">
        <v>12</v>
      </c>
      <c r="CQ44" s="100">
        <v>12268.8</v>
      </c>
      <c r="CR44" s="100">
        <v>9.5996879904744254</v>
      </c>
      <c r="CS44" s="100">
        <v>9814.7210014610519</v>
      </c>
      <c r="CT44" s="100">
        <v>14</v>
      </c>
      <c r="CU44" s="100">
        <v>14313.6</v>
      </c>
    </row>
    <row r="45" spans="2:99">
      <c r="C45" s="99" t="s">
        <v>211</v>
      </c>
      <c r="D45" s="100">
        <v>17.080187823264719</v>
      </c>
      <c r="E45" s="100">
        <v>21336.570628822286</v>
      </c>
      <c r="F45" s="100">
        <v>12</v>
      </c>
      <c r="G45" s="100">
        <v>14990.400000000001</v>
      </c>
      <c r="H45" s="100">
        <v>11.294666162884456</v>
      </c>
      <c r="I45" s="100">
        <v>14109.296970675263</v>
      </c>
      <c r="J45" s="100">
        <v>13</v>
      </c>
      <c r="K45" s="100">
        <v>16239.6</v>
      </c>
      <c r="L45" s="100">
        <v>13</v>
      </c>
      <c r="M45" s="100">
        <v>16239.6</v>
      </c>
      <c r="N45" s="100">
        <v>17</v>
      </c>
      <c r="O45" s="100">
        <v>21236.400000000001</v>
      </c>
      <c r="P45" s="100">
        <v>14</v>
      </c>
      <c r="Q45" s="100">
        <v>17488.8</v>
      </c>
      <c r="R45" s="100">
        <v>16</v>
      </c>
      <c r="S45" s="100">
        <v>19987.2</v>
      </c>
      <c r="T45" s="100">
        <v>10</v>
      </c>
      <c r="U45" s="100">
        <v>12492</v>
      </c>
      <c r="V45" s="100">
        <v>16</v>
      </c>
      <c r="W45" s="100">
        <v>19987.2</v>
      </c>
      <c r="X45" s="100">
        <v>14</v>
      </c>
      <c r="Y45" s="100">
        <v>17488.8</v>
      </c>
      <c r="Z45" s="100">
        <v>14</v>
      </c>
      <c r="AA45" s="100">
        <v>17488.8</v>
      </c>
      <c r="AB45" s="100">
        <v>15.606988577140399</v>
      </c>
      <c r="AC45" s="100">
        <v>19496.250130563785</v>
      </c>
      <c r="AD45" s="100">
        <v>12.649493876713153</v>
      </c>
      <c r="AE45" s="100">
        <v>15801.747750790071</v>
      </c>
      <c r="AF45" s="100">
        <v>9.399651428959821</v>
      </c>
      <c r="AG45" s="100">
        <v>11742.044565056609</v>
      </c>
      <c r="AH45" s="100">
        <v>11</v>
      </c>
      <c r="AI45" s="100">
        <v>13741.2</v>
      </c>
      <c r="AJ45" s="100">
        <v>12</v>
      </c>
      <c r="AK45" s="100">
        <v>14990.400000000001</v>
      </c>
      <c r="AL45" s="100">
        <v>16</v>
      </c>
      <c r="AM45" s="100">
        <v>19987.2</v>
      </c>
      <c r="AN45" s="100">
        <v>9</v>
      </c>
      <c r="AO45" s="100">
        <v>11242.800000000001</v>
      </c>
      <c r="AP45" s="100">
        <v>19</v>
      </c>
      <c r="AQ45" s="100">
        <v>23734.799999999999</v>
      </c>
      <c r="AR45" s="100">
        <v>17</v>
      </c>
      <c r="AS45" s="100">
        <v>21236.400000000001</v>
      </c>
      <c r="AT45" s="100">
        <v>12</v>
      </c>
      <c r="AU45" s="100">
        <v>14990.400000000001</v>
      </c>
      <c r="AV45" s="100">
        <v>19</v>
      </c>
      <c r="AW45" s="100">
        <v>23734.799999999999</v>
      </c>
      <c r="AX45" s="100">
        <v>17</v>
      </c>
      <c r="AY45" s="100">
        <v>21236.400000000001</v>
      </c>
      <c r="AZ45" s="100">
        <v>10.579398405089314</v>
      </c>
      <c r="BA45" s="100">
        <v>13215.784487637571</v>
      </c>
      <c r="BB45" s="100">
        <v>7.5845463254365457</v>
      </c>
      <c r="BC45" s="100">
        <v>9474.6152697353336</v>
      </c>
      <c r="BD45" s="100">
        <v>12</v>
      </c>
      <c r="BE45" s="100">
        <v>14990.400000000001</v>
      </c>
      <c r="BF45" s="100">
        <v>15.26091697696147</v>
      </c>
      <c r="BG45" s="100">
        <v>19063.937487620267</v>
      </c>
      <c r="BH45" s="100">
        <v>13</v>
      </c>
      <c r="BI45" s="100">
        <v>16239.6</v>
      </c>
      <c r="BJ45" s="100">
        <v>15.80952603619304</v>
      </c>
      <c r="BK45" s="100">
        <v>19749.259924412345</v>
      </c>
      <c r="BL45" s="100">
        <v>9.1143194254788202</v>
      </c>
      <c r="BM45" s="100">
        <v>11385.607826308144</v>
      </c>
      <c r="BN45" s="100">
        <v>17</v>
      </c>
      <c r="BO45" s="100">
        <v>21236.400000000001</v>
      </c>
      <c r="BP45" s="100">
        <v>11.775133994615736</v>
      </c>
      <c r="BQ45" s="100">
        <v>14709.497386073977</v>
      </c>
      <c r="BR45" s="100">
        <v>15.960623153794128</v>
      </c>
      <c r="BS45" s="100">
        <v>19938.010443719624</v>
      </c>
      <c r="BT45" s="100">
        <v>11.63336933311116</v>
      </c>
      <c r="BU45" s="100">
        <v>14532.404970922462</v>
      </c>
      <c r="BV45" s="100">
        <v>9</v>
      </c>
      <c r="BW45" s="100">
        <v>11242.800000000001</v>
      </c>
      <c r="BX45" s="100">
        <v>12.86984314564141</v>
      </c>
      <c r="BY45" s="100">
        <v>16077.008057535249</v>
      </c>
      <c r="BZ45" s="100">
        <v>12.670758459776435</v>
      </c>
      <c r="CA45" s="100">
        <v>15828.311467952723</v>
      </c>
      <c r="CB45" s="100">
        <v>9.5318007234259241</v>
      </c>
      <c r="CC45" s="100">
        <v>11907.125463703665</v>
      </c>
      <c r="CD45" s="100">
        <v>14</v>
      </c>
      <c r="CE45" s="100">
        <v>17488.8</v>
      </c>
      <c r="CF45" s="100">
        <v>11.058603553694393</v>
      </c>
      <c r="CG45" s="100">
        <v>13814.407559275036</v>
      </c>
      <c r="CH45" s="100">
        <v>12.445667265820378</v>
      </c>
      <c r="CI45" s="100">
        <v>15547.127548462817</v>
      </c>
      <c r="CJ45" s="100">
        <v>13.754987300493562</v>
      </c>
      <c r="CK45" s="100">
        <v>17182.730135776557</v>
      </c>
      <c r="CL45" s="100">
        <v>14.941436442052721</v>
      </c>
      <c r="CM45" s="100">
        <v>18664.842403412258</v>
      </c>
      <c r="CN45" s="100">
        <v>11</v>
      </c>
      <c r="CO45" s="100">
        <v>13741.2</v>
      </c>
      <c r="CP45" s="100">
        <v>10</v>
      </c>
      <c r="CQ45" s="100">
        <v>12492</v>
      </c>
      <c r="CR45" s="100">
        <v>11.519625588569308</v>
      </c>
      <c r="CS45" s="100">
        <v>14390.31628524078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14.383316061696604</v>
      </c>
      <c r="E46" s="100">
        <v>17432.579066776285</v>
      </c>
      <c r="F46" s="100">
        <v>13</v>
      </c>
      <c r="G46" s="100">
        <v>15756</v>
      </c>
      <c r="H46" s="100">
        <v>12.235888343124826</v>
      </c>
      <c r="I46" s="100">
        <v>14829.896671867289</v>
      </c>
      <c r="J46" s="100">
        <v>12</v>
      </c>
      <c r="K46" s="100">
        <v>14544</v>
      </c>
      <c r="L46" s="100">
        <v>12</v>
      </c>
      <c r="M46" s="100">
        <v>14544</v>
      </c>
      <c r="N46" s="100">
        <v>16</v>
      </c>
      <c r="O46" s="100">
        <v>19392</v>
      </c>
      <c r="P46" s="100">
        <v>13</v>
      </c>
      <c r="Q46" s="100">
        <v>15756</v>
      </c>
      <c r="R46" s="100">
        <v>13</v>
      </c>
      <c r="S46" s="100">
        <v>15756</v>
      </c>
      <c r="T46" s="100">
        <v>10</v>
      </c>
      <c r="U46" s="100">
        <v>12120</v>
      </c>
      <c r="V46" s="100">
        <v>14</v>
      </c>
      <c r="W46" s="100">
        <v>16968</v>
      </c>
      <c r="X46" s="100">
        <v>16</v>
      </c>
      <c r="Y46" s="100">
        <v>19392</v>
      </c>
      <c r="Z46" s="100">
        <v>14</v>
      </c>
      <c r="AA46" s="100">
        <v>16968</v>
      </c>
      <c r="AB46" s="100">
        <v>14.739933656188157</v>
      </c>
      <c r="AC46" s="100">
        <v>17864.799591300045</v>
      </c>
      <c r="AD46" s="100">
        <v>12.649493876713153</v>
      </c>
      <c r="AE46" s="100">
        <v>15331.186578576342</v>
      </c>
      <c r="AF46" s="100">
        <v>10.339616571855805</v>
      </c>
      <c r="AG46" s="100">
        <v>12531.615285089236</v>
      </c>
      <c r="AH46" s="100">
        <v>11</v>
      </c>
      <c r="AI46" s="100">
        <v>13332</v>
      </c>
      <c r="AJ46" s="100">
        <v>12</v>
      </c>
      <c r="AK46" s="100">
        <v>14544</v>
      </c>
      <c r="AL46" s="100">
        <v>16</v>
      </c>
      <c r="AM46" s="100">
        <v>19392</v>
      </c>
      <c r="AN46" s="100">
        <v>10</v>
      </c>
      <c r="AO46" s="100">
        <v>12120</v>
      </c>
      <c r="AP46" s="100">
        <v>18</v>
      </c>
      <c r="AQ46" s="100">
        <v>21816</v>
      </c>
      <c r="AR46" s="100">
        <v>18</v>
      </c>
      <c r="AS46" s="100">
        <v>21816</v>
      </c>
      <c r="AT46" s="100">
        <v>13</v>
      </c>
      <c r="AU46" s="100">
        <v>15756</v>
      </c>
      <c r="AV46" s="100">
        <v>16</v>
      </c>
      <c r="AW46" s="100">
        <v>19392</v>
      </c>
      <c r="AX46" s="100">
        <v>17</v>
      </c>
      <c r="AY46" s="100">
        <v>20604</v>
      </c>
      <c r="AZ46" s="100">
        <v>11.541161896461071</v>
      </c>
      <c r="BA46" s="100">
        <v>13987.888218510818</v>
      </c>
      <c r="BB46" s="100">
        <v>9.2700010644224449</v>
      </c>
      <c r="BC46" s="100">
        <v>11235.241290080003</v>
      </c>
      <c r="BD46" s="100">
        <v>14</v>
      </c>
      <c r="BE46" s="100">
        <v>16968</v>
      </c>
      <c r="BF46" s="100">
        <v>16.023962825809541</v>
      </c>
      <c r="BG46" s="100">
        <v>19421.042944881163</v>
      </c>
      <c r="BH46" s="100">
        <v>13</v>
      </c>
      <c r="BI46" s="100">
        <v>15756</v>
      </c>
      <c r="BJ46" s="100">
        <v>15.80952603619304</v>
      </c>
      <c r="BK46" s="100">
        <v>19161.145555865965</v>
      </c>
      <c r="BL46" s="100">
        <v>10.025751368026704</v>
      </c>
      <c r="BM46" s="100">
        <v>12151.210658048365</v>
      </c>
      <c r="BN46" s="100">
        <v>18</v>
      </c>
      <c r="BO46" s="100">
        <v>21816</v>
      </c>
      <c r="BP46" s="100">
        <v>11.775133994615736</v>
      </c>
      <c r="BQ46" s="100">
        <v>14271.462401474271</v>
      </c>
      <c r="BR46" s="100">
        <v>15.120590356226018</v>
      </c>
      <c r="BS46" s="100">
        <v>18326.155511745932</v>
      </c>
      <c r="BT46" s="100">
        <v>10.663921888685229</v>
      </c>
      <c r="BU46" s="100">
        <v>12924.673329086498</v>
      </c>
      <c r="BV46" s="100">
        <v>9</v>
      </c>
      <c r="BW46" s="100">
        <v>10908</v>
      </c>
      <c r="BX46" s="100">
        <v>12.86984314564141</v>
      </c>
      <c r="BY46" s="100">
        <v>15598.249892517388</v>
      </c>
      <c r="BZ46" s="100">
        <v>12.670758459776435</v>
      </c>
      <c r="CA46" s="100">
        <v>15356.959253249039</v>
      </c>
      <c r="CB46" s="100">
        <v>11.120434177330244</v>
      </c>
      <c r="CC46" s="100">
        <v>13477.966222924257</v>
      </c>
      <c r="CD46" s="100">
        <v>15</v>
      </c>
      <c r="CE46" s="100">
        <v>18180</v>
      </c>
      <c r="CF46" s="100">
        <v>11.980153849835595</v>
      </c>
      <c r="CG46" s="100">
        <v>14519.946466000742</v>
      </c>
      <c r="CH46" s="100">
        <v>12.445667265820378</v>
      </c>
      <c r="CI46" s="100">
        <v>15084.148726174297</v>
      </c>
      <c r="CJ46" s="100">
        <v>11.920988993761085</v>
      </c>
      <c r="CK46" s="100">
        <v>14448.238660438436</v>
      </c>
      <c r="CL46" s="100">
        <v>14.11135663971646</v>
      </c>
      <c r="CM46" s="100">
        <v>17102.964247336349</v>
      </c>
      <c r="CN46" s="100">
        <v>13</v>
      </c>
      <c r="CO46" s="100">
        <v>15756</v>
      </c>
      <c r="CP46" s="100">
        <v>11</v>
      </c>
      <c r="CQ46" s="100">
        <v>13332</v>
      </c>
      <c r="CR46" s="100">
        <v>11.519625588569308</v>
      </c>
      <c r="CS46" s="100">
        <v>13961.786213346002</v>
      </c>
      <c r="CT46" s="100">
        <v>14</v>
      </c>
      <c r="CU46" s="100">
        <v>16968</v>
      </c>
    </row>
    <row r="47" spans="2:99">
      <c r="C47" s="99" t="s">
        <v>213</v>
      </c>
      <c r="D47" s="100">
        <v>16.18123056940868</v>
      </c>
      <c r="E47" s="100">
        <v>24718.447817828699</v>
      </c>
      <c r="F47" s="100">
        <v>12</v>
      </c>
      <c r="G47" s="100">
        <v>18331.199999999997</v>
      </c>
      <c r="H47" s="100">
        <v>12.235888343124826</v>
      </c>
      <c r="I47" s="100">
        <v>18691.543032957481</v>
      </c>
      <c r="J47" s="100">
        <v>13</v>
      </c>
      <c r="K47" s="100">
        <v>19858.8</v>
      </c>
      <c r="L47" s="100">
        <v>12</v>
      </c>
      <c r="M47" s="100">
        <v>18331.199999999997</v>
      </c>
      <c r="N47" s="100">
        <v>16</v>
      </c>
      <c r="O47" s="100">
        <v>24441.599999999999</v>
      </c>
      <c r="P47" s="100">
        <v>14</v>
      </c>
      <c r="Q47" s="100">
        <v>21386.399999999998</v>
      </c>
      <c r="R47" s="100">
        <v>15</v>
      </c>
      <c r="S47" s="100">
        <v>22914</v>
      </c>
      <c r="T47" s="100">
        <v>10</v>
      </c>
      <c r="U47" s="100">
        <v>15276</v>
      </c>
      <c r="V47" s="100">
        <v>15</v>
      </c>
      <c r="W47" s="100">
        <v>22914</v>
      </c>
      <c r="X47" s="100">
        <v>16</v>
      </c>
      <c r="Y47" s="100">
        <v>24441.599999999999</v>
      </c>
      <c r="Z47" s="100">
        <v>16</v>
      </c>
      <c r="AA47" s="100">
        <v>24441.599999999999</v>
      </c>
      <c r="AB47" s="100">
        <v>14.739933656188157</v>
      </c>
      <c r="AC47" s="100">
        <v>22516.722653193028</v>
      </c>
      <c r="AD47" s="100">
        <v>12.649493876713153</v>
      </c>
      <c r="AE47" s="100">
        <v>19323.366846067012</v>
      </c>
      <c r="AF47" s="100">
        <v>10.339616571855805</v>
      </c>
      <c r="AG47" s="100">
        <v>15794.798275166926</v>
      </c>
      <c r="AH47" s="100">
        <v>12</v>
      </c>
      <c r="AI47" s="100">
        <v>18331.199999999997</v>
      </c>
      <c r="AJ47" s="100">
        <v>11</v>
      </c>
      <c r="AK47" s="100">
        <v>16803.599999999999</v>
      </c>
      <c r="AL47" s="100">
        <v>15</v>
      </c>
      <c r="AM47" s="100">
        <v>22914</v>
      </c>
      <c r="AN47" s="100">
        <v>10</v>
      </c>
      <c r="AO47" s="100">
        <v>15276</v>
      </c>
      <c r="AP47" s="100">
        <v>18</v>
      </c>
      <c r="AQ47" s="100">
        <v>27496.799999999999</v>
      </c>
      <c r="AR47" s="100">
        <v>19</v>
      </c>
      <c r="AS47" s="100">
        <v>29024.399999999998</v>
      </c>
      <c r="AT47" s="100">
        <v>12</v>
      </c>
      <c r="AU47" s="100">
        <v>18331.199999999997</v>
      </c>
      <c r="AV47" s="100">
        <v>17</v>
      </c>
      <c r="AW47" s="100">
        <v>25969.199999999997</v>
      </c>
      <c r="AX47" s="100">
        <v>16</v>
      </c>
      <c r="AY47" s="100">
        <v>24441.599999999999</v>
      </c>
      <c r="AZ47" s="100">
        <v>9.617634913717561</v>
      </c>
      <c r="BA47" s="100">
        <v>14691.899094194945</v>
      </c>
      <c r="BB47" s="100">
        <v>8.4272736949294949</v>
      </c>
      <c r="BC47" s="100">
        <v>12873.503296374296</v>
      </c>
      <c r="BD47" s="100">
        <v>13</v>
      </c>
      <c r="BE47" s="100">
        <v>19858.8</v>
      </c>
      <c r="BF47" s="100">
        <v>13.734825279265323</v>
      </c>
      <c r="BG47" s="100">
        <v>20981.319096605705</v>
      </c>
      <c r="BH47" s="100">
        <v>13</v>
      </c>
      <c r="BI47" s="100">
        <v>19858.8</v>
      </c>
      <c r="BJ47" s="100">
        <v>15.80952603619304</v>
      </c>
      <c r="BK47" s="100">
        <v>24150.631972888485</v>
      </c>
      <c r="BL47" s="100">
        <v>9.1143194254788202</v>
      </c>
      <c r="BM47" s="100">
        <v>13923.034354361445</v>
      </c>
      <c r="BN47" s="100">
        <v>17</v>
      </c>
      <c r="BO47" s="100">
        <v>25969.199999999997</v>
      </c>
      <c r="BP47" s="100">
        <v>12.680913532663102</v>
      </c>
      <c r="BQ47" s="100">
        <v>19371.363512496151</v>
      </c>
      <c r="BR47" s="100">
        <v>14.280557558657904</v>
      </c>
      <c r="BS47" s="100">
        <v>21814.979726605812</v>
      </c>
      <c r="BT47" s="100">
        <v>9.6944744442592992</v>
      </c>
      <c r="BU47" s="100">
        <v>14809.279161050505</v>
      </c>
      <c r="BV47" s="100">
        <v>9</v>
      </c>
      <c r="BW47" s="100">
        <v>13748.4</v>
      </c>
      <c r="BX47" s="100">
        <v>11.950568635238453</v>
      </c>
      <c r="BY47" s="100">
        <v>18255.688647190258</v>
      </c>
      <c r="BZ47" s="100">
        <v>13.462680863512462</v>
      </c>
      <c r="CA47" s="100">
        <v>20565.591287101637</v>
      </c>
      <c r="CB47" s="100">
        <v>11.120434177330244</v>
      </c>
      <c r="CC47" s="100">
        <v>16987.575249289679</v>
      </c>
      <c r="CD47" s="100">
        <v>16</v>
      </c>
      <c r="CE47" s="100">
        <v>24441.599999999999</v>
      </c>
      <c r="CF47" s="100">
        <v>11.980153849835595</v>
      </c>
      <c r="CG47" s="100">
        <v>18300.883021008853</v>
      </c>
      <c r="CH47" s="100">
        <v>14.001375674047924</v>
      </c>
      <c r="CI47" s="100">
        <v>21388.501479675608</v>
      </c>
      <c r="CJ47" s="100">
        <v>12.837988147127325</v>
      </c>
      <c r="CK47" s="100">
        <v>19611.310693551699</v>
      </c>
      <c r="CL47" s="100">
        <v>14.941436442052721</v>
      </c>
      <c r="CM47" s="100">
        <v>22824.538308879735</v>
      </c>
      <c r="CN47" s="100">
        <v>12</v>
      </c>
      <c r="CO47" s="100">
        <v>18331.199999999997</v>
      </c>
      <c r="CP47" s="100">
        <v>10</v>
      </c>
      <c r="CQ47" s="100">
        <v>15276</v>
      </c>
      <c r="CR47" s="100">
        <v>9.5996879904744254</v>
      </c>
      <c r="CS47" s="100">
        <v>14664.483374248732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15.282273315552642</v>
      </c>
      <c r="E48" s="100">
        <v>13258.900328573473</v>
      </c>
      <c r="F48" s="100">
        <v>14</v>
      </c>
      <c r="G48" s="100">
        <v>12146.4</v>
      </c>
      <c r="H48" s="100">
        <v>12.235888343124826</v>
      </c>
      <c r="I48" s="100">
        <v>10615.8567264951</v>
      </c>
      <c r="J48" s="100">
        <v>14</v>
      </c>
      <c r="K48" s="100">
        <v>12146.4</v>
      </c>
      <c r="L48" s="100">
        <v>12</v>
      </c>
      <c r="M48" s="100">
        <v>10411.200000000001</v>
      </c>
      <c r="N48" s="100">
        <v>17</v>
      </c>
      <c r="O48" s="100">
        <v>14749.2</v>
      </c>
      <c r="P48" s="100">
        <v>14</v>
      </c>
      <c r="Q48" s="100">
        <v>12146.4</v>
      </c>
      <c r="R48" s="100">
        <v>16</v>
      </c>
      <c r="S48" s="100">
        <v>13881.6</v>
      </c>
      <c r="T48" s="100">
        <v>12</v>
      </c>
      <c r="U48" s="100">
        <v>10411.200000000001</v>
      </c>
      <c r="V48" s="100">
        <v>14</v>
      </c>
      <c r="W48" s="100">
        <v>12146.4</v>
      </c>
      <c r="X48" s="100">
        <v>15</v>
      </c>
      <c r="Y48" s="100">
        <v>13014</v>
      </c>
      <c r="Z48" s="100">
        <v>16</v>
      </c>
      <c r="AA48" s="100">
        <v>13881.6</v>
      </c>
      <c r="AB48" s="100">
        <v>15.606988577140399</v>
      </c>
      <c r="AC48" s="100">
        <v>13540.62328952701</v>
      </c>
      <c r="AD48" s="100">
        <v>11.676455886196758</v>
      </c>
      <c r="AE48" s="100">
        <v>10130.493126864307</v>
      </c>
      <c r="AF48" s="100">
        <v>11.279581714751785</v>
      </c>
      <c r="AG48" s="100">
        <v>9786.1650957186484</v>
      </c>
      <c r="AH48" s="100">
        <v>12</v>
      </c>
      <c r="AI48" s="100">
        <v>10411.200000000001</v>
      </c>
      <c r="AJ48" s="100">
        <v>11</v>
      </c>
      <c r="AK48" s="100">
        <v>9543.6</v>
      </c>
      <c r="AL48" s="100">
        <v>17</v>
      </c>
      <c r="AM48" s="100">
        <v>14749.2</v>
      </c>
      <c r="AN48" s="100">
        <v>11</v>
      </c>
      <c r="AO48" s="100">
        <v>9543.6</v>
      </c>
      <c r="AP48" s="100">
        <v>17</v>
      </c>
      <c r="AQ48" s="100">
        <v>14749.2</v>
      </c>
      <c r="AR48" s="100">
        <v>19</v>
      </c>
      <c r="AS48" s="100">
        <v>16484.400000000001</v>
      </c>
      <c r="AT48" s="100">
        <v>12</v>
      </c>
      <c r="AU48" s="100">
        <v>10411.200000000001</v>
      </c>
      <c r="AV48" s="100">
        <v>20</v>
      </c>
      <c r="AW48" s="100">
        <v>17352</v>
      </c>
      <c r="AX48" s="100">
        <v>16</v>
      </c>
      <c r="AY48" s="100">
        <v>13881.6</v>
      </c>
      <c r="AZ48" s="100">
        <v>12.502925387832827</v>
      </c>
      <c r="BA48" s="100">
        <v>10847.538066483761</v>
      </c>
      <c r="BB48" s="100">
        <v>9.2700010644224449</v>
      </c>
      <c r="BC48" s="100">
        <v>8042.652923492913</v>
      </c>
      <c r="BD48" s="100">
        <v>14</v>
      </c>
      <c r="BE48" s="100">
        <v>12146.4</v>
      </c>
      <c r="BF48" s="100">
        <v>14.497871128113395</v>
      </c>
      <c r="BG48" s="100">
        <v>12578.352990751182</v>
      </c>
      <c r="BH48" s="100">
        <v>14</v>
      </c>
      <c r="BI48" s="100">
        <v>12146.4</v>
      </c>
      <c r="BJ48" s="100">
        <v>16.797621413455104</v>
      </c>
      <c r="BK48" s="100">
        <v>14573.616338313648</v>
      </c>
      <c r="BL48" s="100">
        <v>10.937183310574586</v>
      </c>
      <c r="BM48" s="100">
        <v>9489.1002402545109</v>
      </c>
      <c r="BN48" s="100">
        <v>16</v>
      </c>
      <c r="BO48" s="100">
        <v>13881.6</v>
      </c>
      <c r="BP48" s="100">
        <v>13.586693070710464</v>
      </c>
      <c r="BQ48" s="100">
        <v>11787.814908148399</v>
      </c>
      <c r="BR48" s="100">
        <v>14.280557558657904</v>
      </c>
      <c r="BS48" s="100">
        <v>12389.811737891598</v>
      </c>
      <c r="BT48" s="100">
        <v>10.663921888685229</v>
      </c>
      <c r="BU48" s="100">
        <v>9252.0186306233045</v>
      </c>
      <c r="BV48" s="100">
        <v>11</v>
      </c>
      <c r="BW48" s="100">
        <v>9543.6</v>
      </c>
      <c r="BX48" s="100">
        <v>13.789117656044368</v>
      </c>
      <c r="BY48" s="100">
        <v>11963.438478384094</v>
      </c>
      <c r="BZ48" s="100">
        <v>14.254603267248489</v>
      </c>
      <c r="CA48" s="100">
        <v>12367.293794664789</v>
      </c>
      <c r="CB48" s="100">
        <v>11.120434177330244</v>
      </c>
      <c r="CC48" s="100">
        <v>9648.0886922517202</v>
      </c>
      <c r="CD48" s="100">
        <v>17</v>
      </c>
      <c r="CE48" s="100">
        <v>14749.2</v>
      </c>
      <c r="CF48" s="100">
        <v>13.823254442117994</v>
      </c>
      <c r="CG48" s="100">
        <v>11993.055553981572</v>
      </c>
      <c r="CH48" s="100">
        <v>13.22352146993415</v>
      </c>
      <c r="CI48" s="100">
        <v>11472.727227314868</v>
      </c>
      <c r="CJ48" s="100">
        <v>12.837988147127325</v>
      </c>
      <c r="CK48" s="100">
        <v>11138.238516447667</v>
      </c>
      <c r="CL48" s="100">
        <v>14.941436442052721</v>
      </c>
      <c r="CM48" s="100">
        <v>12963.190257124941</v>
      </c>
      <c r="CN48" s="100">
        <v>12</v>
      </c>
      <c r="CO48" s="100">
        <v>10411.200000000001</v>
      </c>
      <c r="CP48" s="100">
        <v>12</v>
      </c>
      <c r="CQ48" s="100">
        <v>10411.200000000001</v>
      </c>
      <c r="CR48" s="100">
        <v>11.519625588569308</v>
      </c>
      <c r="CS48" s="100">
        <v>9994.4271606427319</v>
      </c>
      <c r="CT48" s="100">
        <v>13</v>
      </c>
      <c r="CU48" s="100">
        <v>11278.800000000001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14</v>
      </c>
      <c r="G49" s="100">
        <v>13792.8</v>
      </c>
      <c r="H49" s="100">
        <v>18</v>
      </c>
      <c r="I49" s="100">
        <v>17733.599999999999</v>
      </c>
      <c r="J49" s="100">
        <v>11</v>
      </c>
      <c r="K49" s="100">
        <v>10837.199999999999</v>
      </c>
      <c r="L49" s="100">
        <v>15</v>
      </c>
      <c r="M49" s="100">
        <v>14777.999999999998</v>
      </c>
      <c r="N49" s="100">
        <v>15</v>
      </c>
      <c r="O49" s="100">
        <v>14777.999999999998</v>
      </c>
      <c r="P49" s="100">
        <v>10</v>
      </c>
      <c r="Q49" s="100">
        <v>9852</v>
      </c>
      <c r="R49" s="100">
        <v>12</v>
      </c>
      <c r="S49" s="100">
        <v>11822.4</v>
      </c>
      <c r="T49" s="100">
        <v>13</v>
      </c>
      <c r="U49" s="100">
        <v>12807.599999999999</v>
      </c>
      <c r="V49" s="100">
        <v>10</v>
      </c>
      <c r="W49" s="100">
        <v>9852</v>
      </c>
      <c r="X49" s="100">
        <v>12</v>
      </c>
      <c r="Y49" s="100">
        <v>11822.4</v>
      </c>
      <c r="Z49" s="100">
        <v>13</v>
      </c>
      <c r="AA49" s="100">
        <v>12807.599999999999</v>
      </c>
      <c r="AB49" s="100">
        <v>14</v>
      </c>
      <c r="AC49" s="100">
        <v>13792.8</v>
      </c>
      <c r="AD49" s="100">
        <v>11</v>
      </c>
      <c r="AE49" s="100">
        <v>10837.199999999999</v>
      </c>
      <c r="AF49" s="100">
        <v>16</v>
      </c>
      <c r="AG49" s="100">
        <v>15763.199999999999</v>
      </c>
      <c r="AH49" s="100">
        <v>12</v>
      </c>
      <c r="AI49" s="100">
        <v>11822.4</v>
      </c>
      <c r="AJ49" s="100">
        <v>16</v>
      </c>
      <c r="AK49" s="100">
        <v>15763.199999999999</v>
      </c>
      <c r="AL49" s="100">
        <v>9</v>
      </c>
      <c r="AM49" s="100">
        <v>8866.7999999999993</v>
      </c>
      <c r="AN49" s="100">
        <v>10</v>
      </c>
      <c r="AO49" s="100">
        <v>9852</v>
      </c>
      <c r="AP49" s="100">
        <v>10</v>
      </c>
      <c r="AQ49" s="100">
        <v>9852</v>
      </c>
      <c r="AR49" s="100">
        <v>9</v>
      </c>
      <c r="AS49" s="100">
        <v>8866.7999999999993</v>
      </c>
      <c r="AT49" s="100">
        <v>13</v>
      </c>
      <c r="AU49" s="100">
        <v>12807.599999999999</v>
      </c>
      <c r="AV49" s="100">
        <v>10</v>
      </c>
      <c r="AW49" s="100">
        <v>9852</v>
      </c>
      <c r="AX49" s="100">
        <v>13</v>
      </c>
      <c r="AY49" s="100">
        <v>12807.599999999999</v>
      </c>
      <c r="AZ49" s="100">
        <v>13</v>
      </c>
      <c r="BA49" s="100">
        <v>12807.599999999999</v>
      </c>
      <c r="BB49" s="100">
        <v>13</v>
      </c>
      <c r="BC49" s="100">
        <v>12807.599999999999</v>
      </c>
      <c r="BD49" s="100">
        <v>15</v>
      </c>
      <c r="BE49" s="100">
        <v>14777.999999999998</v>
      </c>
      <c r="BF49" s="100">
        <v>17</v>
      </c>
      <c r="BG49" s="100">
        <v>16748.399999999998</v>
      </c>
      <c r="BH49" s="100">
        <v>9</v>
      </c>
      <c r="BI49" s="100">
        <v>8866.7999999999993</v>
      </c>
      <c r="BJ49" s="100">
        <v>11</v>
      </c>
      <c r="BK49" s="100">
        <v>10837.199999999999</v>
      </c>
      <c r="BL49" s="100">
        <v>14</v>
      </c>
      <c r="BM49" s="100">
        <v>13792.8</v>
      </c>
      <c r="BN49" s="100">
        <v>14</v>
      </c>
      <c r="BO49" s="100">
        <v>13792.8</v>
      </c>
      <c r="BP49" s="100">
        <v>16</v>
      </c>
      <c r="BQ49" s="100">
        <v>15763.199999999999</v>
      </c>
      <c r="BR49" s="100">
        <v>15</v>
      </c>
      <c r="BS49" s="100">
        <v>14777.999999999998</v>
      </c>
      <c r="BT49" s="100">
        <v>14</v>
      </c>
      <c r="BU49" s="100">
        <v>13792.8</v>
      </c>
      <c r="BV49" s="100">
        <v>9</v>
      </c>
      <c r="BW49" s="100">
        <v>8866.7999999999993</v>
      </c>
      <c r="BX49" s="100">
        <v>11</v>
      </c>
      <c r="BY49" s="100">
        <v>10837.199999999999</v>
      </c>
      <c r="BZ49" s="100">
        <v>9</v>
      </c>
      <c r="CA49" s="100">
        <v>8866.7999999999993</v>
      </c>
      <c r="CB49" s="100">
        <v>12</v>
      </c>
      <c r="CC49" s="100">
        <v>11822.4</v>
      </c>
      <c r="CD49" s="100">
        <v>14</v>
      </c>
      <c r="CE49" s="100">
        <v>13792.8</v>
      </c>
      <c r="CF49" s="100">
        <v>17</v>
      </c>
      <c r="CG49" s="100">
        <v>16748.399999999998</v>
      </c>
      <c r="CH49" s="100">
        <v>15</v>
      </c>
      <c r="CI49" s="100">
        <v>14777.999999999998</v>
      </c>
      <c r="CJ49" s="100">
        <v>13</v>
      </c>
      <c r="CK49" s="100">
        <v>12807.599999999999</v>
      </c>
      <c r="CL49" s="100">
        <v>12</v>
      </c>
      <c r="CM49" s="100">
        <v>11822.4</v>
      </c>
      <c r="CN49" s="100">
        <v>10</v>
      </c>
      <c r="CO49" s="100">
        <v>9852</v>
      </c>
      <c r="CP49" s="100">
        <v>14</v>
      </c>
      <c r="CQ49" s="100">
        <v>13792.8</v>
      </c>
      <c r="CR49" s="100">
        <v>14</v>
      </c>
      <c r="CS49" s="100">
        <v>13792.8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8.0906152847043398</v>
      </c>
      <c r="E50" s="100">
        <v>2281.5535102866238</v>
      </c>
      <c r="F50" s="100">
        <v>16</v>
      </c>
      <c r="G50" s="100">
        <v>4512</v>
      </c>
      <c r="H50" s="100">
        <v>16.941999244326681</v>
      </c>
      <c r="I50" s="100">
        <v>4777.6437869001238</v>
      </c>
      <c r="J50" s="100">
        <v>10</v>
      </c>
      <c r="K50" s="100">
        <v>2820</v>
      </c>
      <c r="L50" s="100">
        <v>17</v>
      </c>
      <c r="M50" s="100">
        <v>4794</v>
      </c>
      <c r="N50" s="100">
        <v>14</v>
      </c>
      <c r="O50" s="100">
        <v>3948</v>
      </c>
      <c r="P50" s="100">
        <v>10</v>
      </c>
      <c r="Q50" s="100">
        <v>2820</v>
      </c>
      <c r="R50" s="100">
        <v>14</v>
      </c>
      <c r="S50" s="100">
        <v>3948</v>
      </c>
      <c r="T50" s="100">
        <v>13</v>
      </c>
      <c r="U50" s="100">
        <v>3666</v>
      </c>
      <c r="V50" s="100">
        <v>10</v>
      </c>
      <c r="W50" s="100">
        <v>2820</v>
      </c>
      <c r="X50" s="100">
        <v>11</v>
      </c>
      <c r="Y50" s="100">
        <v>3102</v>
      </c>
      <c r="Z50" s="100">
        <v>13</v>
      </c>
      <c r="AA50" s="100">
        <v>3666</v>
      </c>
      <c r="AB50" s="100">
        <v>12.138768893331422</v>
      </c>
      <c r="AC50" s="100">
        <v>3423.1328279194609</v>
      </c>
      <c r="AD50" s="100">
        <v>10.703417895680362</v>
      </c>
      <c r="AE50" s="100">
        <v>3018.3638465818622</v>
      </c>
      <c r="AF50" s="100">
        <v>15.039442286335715</v>
      </c>
      <c r="AG50" s="100">
        <v>4241.1227247466713</v>
      </c>
      <c r="AH50" s="100">
        <v>12</v>
      </c>
      <c r="AI50" s="100">
        <v>3384</v>
      </c>
      <c r="AJ50" s="100">
        <v>15</v>
      </c>
      <c r="AK50" s="100">
        <v>4230</v>
      </c>
      <c r="AL50" s="100">
        <v>10</v>
      </c>
      <c r="AM50" s="100">
        <v>2820</v>
      </c>
      <c r="AN50" s="100">
        <v>10</v>
      </c>
      <c r="AO50" s="100">
        <v>2820</v>
      </c>
      <c r="AP50" s="100">
        <v>9</v>
      </c>
      <c r="AQ50" s="100">
        <v>2538</v>
      </c>
      <c r="AR50" s="100">
        <v>10</v>
      </c>
      <c r="AS50" s="100">
        <v>2820</v>
      </c>
      <c r="AT50" s="100">
        <v>14</v>
      </c>
      <c r="AU50" s="100">
        <v>3948</v>
      </c>
      <c r="AV50" s="100">
        <v>9</v>
      </c>
      <c r="AW50" s="100">
        <v>2538</v>
      </c>
      <c r="AX50" s="100">
        <v>13</v>
      </c>
      <c r="AY50" s="100">
        <v>3666</v>
      </c>
      <c r="AZ50" s="100">
        <v>14.426452370576339</v>
      </c>
      <c r="BA50" s="100">
        <v>4068.2595685025276</v>
      </c>
      <c r="BB50" s="100">
        <v>11.798183172901293</v>
      </c>
      <c r="BC50" s="100">
        <v>3327.0876547581647</v>
      </c>
      <c r="BD50" s="100">
        <v>13</v>
      </c>
      <c r="BE50" s="100">
        <v>3666</v>
      </c>
      <c r="BF50" s="100">
        <v>12.971779430417248</v>
      </c>
      <c r="BG50" s="100">
        <v>3658.0417993776641</v>
      </c>
      <c r="BH50" s="100">
        <v>10</v>
      </c>
      <c r="BI50" s="100">
        <v>2820</v>
      </c>
      <c r="BJ50" s="100">
        <v>12.845239904406844</v>
      </c>
      <c r="BK50" s="100">
        <v>3622.3576530427299</v>
      </c>
      <c r="BL50" s="100">
        <v>14.582911080766113</v>
      </c>
      <c r="BM50" s="100">
        <v>4112.3809247760437</v>
      </c>
      <c r="BN50" s="100">
        <v>14</v>
      </c>
      <c r="BO50" s="100">
        <v>3948</v>
      </c>
      <c r="BP50" s="100">
        <v>14.492472608757829</v>
      </c>
      <c r="BQ50" s="100">
        <v>4086.8772756697081</v>
      </c>
      <c r="BR50" s="100">
        <v>14.280557558657904</v>
      </c>
      <c r="BS50" s="100">
        <v>4027.1172315415288</v>
      </c>
      <c r="BT50" s="100">
        <v>13.572264221963021</v>
      </c>
      <c r="BU50" s="100">
        <v>3827.3785105935717</v>
      </c>
      <c r="BV50" s="100">
        <v>11</v>
      </c>
      <c r="BW50" s="100">
        <v>3102</v>
      </c>
      <c r="BX50" s="100">
        <v>11.031294124835494</v>
      </c>
      <c r="BY50" s="100">
        <v>3110.8249432036091</v>
      </c>
      <c r="BZ50" s="100">
        <v>7.1273016336242447</v>
      </c>
      <c r="CA50" s="100">
        <v>2009.8990606820371</v>
      </c>
      <c r="CB50" s="100">
        <v>11.120434177330244</v>
      </c>
      <c r="CC50" s="100">
        <v>3135.9624380071286</v>
      </c>
      <c r="CD50" s="100">
        <v>14</v>
      </c>
      <c r="CE50" s="100">
        <v>3948</v>
      </c>
      <c r="CF50" s="100">
        <v>15.666355034400393</v>
      </c>
      <c r="CG50" s="100">
        <v>4417.9121197009108</v>
      </c>
      <c r="CH50" s="100">
        <v>14.001375674047924</v>
      </c>
      <c r="CI50" s="100">
        <v>3948.3879400815149</v>
      </c>
      <c r="CJ50" s="100">
        <v>12.837988147127325</v>
      </c>
      <c r="CK50" s="100">
        <v>3620.3126574899056</v>
      </c>
      <c r="CL50" s="100">
        <v>10.791037430371411</v>
      </c>
      <c r="CM50" s="100">
        <v>3043.072555364738</v>
      </c>
      <c r="CN50" s="100">
        <v>10</v>
      </c>
      <c r="CO50" s="100">
        <v>2820</v>
      </c>
      <c r="CP50" s="100">
        <v>13</v>
      </c>
      <c r="CQ50" s="100">
        <v>3666</v>
      </c>
      <c r="CR50" s="100">
        <v>14.399531985711636</v>
      </c>
      <c r="CS50" s="100">
        <v>4060.6680199706816</v>
      </c>
      <c r="CT50" s="100">
        <v>10</v>
      </c>
      <c r="CU50" s="100">
        <v>2820</v>
      </c>
    </row>
    <row r="51" spans="2:99">
      <c r="C51" s="99" t="s">
        <v>217</v>
      </c>
      <c r="D51" s="100">
        <v>7.191658030848302</v>
      </c>
      <c r="E51" s="100">
        <v>6144.5526215567888</v>
      </c>
      <c r="F51" s="100">
        <v>14</v>
      </c>
      <c r="G51" s="100">
        <v>11961.6</v>
      </c>
      <c r="H51" s="100">
        <v>16.000777064086311</v>
      </c>
      <c r="I51" s="100">
        <v>13671.063923555343</v>
      </c>
      <c r="J51" s="100">
        <v>12</v>
      </c>
      <c r="K51" s="100">
        <v>10252.799999999999</v>
      </c>
      <c r="L51" s="100">
        <v>16</v>
      </c>
      <c r="M51" s="100">
        <v>13670.4</v>
      </c>
      <c r="N51" s="100">
        <v>15</v>
      </c>
      <c r="O51" s="100">
        <v>12816</v>
      </c>
      <c r="P51" s="100">
        <v>10</v>
      </c>
      <c r="Q51" s="100">
        <v>8544</v>
      </c>
      <c r="R51" s="100">
        <v>12</v>
      </c>
      <c r="S51" s="100">
        <v>10252.799999999999</v>
      </c>
      <c r="T51" s="100">
        <v>14</v>
      </c>
      <c r="U51" s="100">
        <v>11961.6</v>
      </c>
      <c r="V51" s="100">
        <v>10</v>
      </c>
      <c r="W51" s="100">
        <v>8544</v>
      </c>
      <c r="X51" s="100">
        <v>12</v>
      </c>
      <c r="Y51" s="100">
        <v>10252.799999999999</v>
      </c>
      <c r="Z51" s="100">
        <v>15</v>
      </c>
      <c r="AA51" s="100">
        <v>12816</v>
      </c>
      <c r="AB51" s="100">
        <v>11.271713972379178</v>
      </c>
      <c r="AC51" s="100">
        <v>9630.5524180007687</v>
      </c>
      <c r="AD51" s="100">
        <v>11.676455886196758</v>
      </c>
      <c r="AE51" s="100">
        <v>9976.36390916651</v>
      </c>
      <c r="AF51" s="100">
        <v>14.099477143439733</v>
      </c>
      <c r="AG51" s="100">
        <v>12046.593271354908</v>
      </c>
      <c r="AH51" s="100">
        <v>13</v>
      </c>
      <c r="AI51" s="100">
        <v>11107.199999999999</v>
      </c>
      <c r="AJ51" s="100">
        <v>14</v>
      </c>
      <c r="AK51" s="100">
        <v>11961.6</v>
      </c>
      <c r="AL51" s="100">
        <v>9</v>
      </c>
      <c r="AM51" s="100">
        <v>7689.5999999999995</v>
      </c>
      <c r="AN51" s="100">
        <v>9</v>
      </c>
      <c r="AO51" s="100">
        <v>7689.5999999999995</v>
      </c>
      <c r="AP51" s="100">
        <v>10</v>
      </c>
      <c r="AQ51" s="100">
        <v>8544</v>
      </c>
      <c r="AR51" s="100">
        <v>9</v>
      </c>
      <c r="AS51" s="100">
        <v>7689.5999999999995</v>
      </c>
      <c r="AT51" s="100">
        <v>14</v>
      </c>
      <c r="AU51" s="100">
        <v>11961.6</v>
      </c>
      <c r="AV51" s="100">
        <v>10</v>
      </c>
      <c r="AW51" s="100">
        <v>8544</v>
      </c>
      <c r="AX51" s="100">
        <v>15</v>
      </c>
      <c r="AY51" s="100">
        <v>12816</v>
      </c>
      <c r="AZ51" s="100">
        <v>15.388215861948096</v>
      </c>
      <c r="BA51" s="100">
        <v>13147.691632448452</v>
      </c>
      <c r="BB51" s="100">
        <v>10.955455803408345</v>
      </c>
      <c r="BC51" s="100">
        <v>9360.3414384320895</v>
      </c>
      <c r="BD51" s="100">
        <v>12</v>
      </c>
      <c r="BE51" s="100">
        <v>10252.799999999999</v>
      </c>
      <c r="BF51" s="100">
        <v>12.208733581569176</v>
      </c>
      <c r="BG51" s="100">
        <v>10431.141972092702</v>
      </c>
      <c r="BH51" s="100">
        <v>9</v>
      </c>
      <c r="BI51" s="100">
        <v>7689.5999999999995</v>
      </c>
      <c r="BJ51" s="100">
        <v>11.857144527144781</v>
      </c>
      <c r="BK51" s="100">
        <v>10130.744283992501</v>
      </c>
      <c r="BL51" s="100">
        <v>12.760047195670351</v>
      </c>
      <c r="BM51" s="100">
        <v>10902.184323980748</v>
      </c>
      <c r="BN51" s="100">
        <v>15</v>
      </c>
      <c r="BO51" s="100">
        <v>12816</v>
      </c>
      <c r="BP51" s="100">
        <v>16.304031684852557</v>
      </c>
      <c r="BQ51" s="100">
        <v>13930.164671538025</v>
      </c>
      <c r="BR51" s="100">
        <v>13.440524761089792</v>
      </c>
      <c r="BS51" s="100">
        <v>11483.584355875118</v>
      </c>
      <c r="BT51" s="100">
        <v>13.572264221963021</v>
      </c>
      <c r="BU51" s="100">
        <v>11596.142551245204</v>
      </c>
      <c r="BV51" s="100">
        <v>9</v>
      </c>
      <c r="BW51" s="100">
        <v>7689.5999999999995</v>
      </c>
      <c r="BX51" s="100">
        <v>9.1927451040295782</v>
      </c>
      <c r="BY51" s="100">
        <v>7854.2814168828718</v>
      </c>
      <c r="BZ51" s="100">
        <v>7.1273016336242447</v>
      </c>
      <c r="CA51" s="100">
        <v>6089.5665157685544</v>
      </c>
      <c r="CB51" s="100">
        <v>10.326117450378085</v>
      </c>
      <c r="CC51" s="100">
        <v>8822.6347496030357</v>
      </c>
      <c r="CD51" s="100">
        <v>13</v>
      </c>
      <c r="CE51" s="100">
        <v>11107.199999999999</v>
      </c>
      <c r="CF51" s="100">
        <v>13.823254442117994</v>
      </c>
      <c r="CG51" s="100">
        <v>11810.588595345615</v>
      </c>
      <c r="CH51" s="100">
        <v>13.22352146993415</v>
      </c>
      <c r="CI51" s="100">
        <v>11298.176743911738</v>
      </c>
      <c r="CJ51" s="100">
        <v>12.837988147127325</v>
      </c>
      <c r="CK51" s="100">
        <v>10968.777072905586</v>
      </c>
      <c r="CL51" s="100">
        <v>10.791037430371411</v>
      </c>
      <c r="CM51" s="100">
        <v>9219.8623805093339</v>
      </c>
      <c r="CN51" s="100">
        <v>10</v>
      </c>
      <c r="CO51" s="100">
        <v>8544</v>
      </c>
      <c r="CP51" s="100">
        <v>13</v>
      </c>
      <c r="CQ51" s="100">
        <v>11107.199999999999</v>
      </c>
      <c r="CR51" s="100">
        <v>14.399531985711636</v>
      </c>
      <c r="CS51" s="100">
        <v>12302.960128592022</v>
      </c>
      <c r="CT51" s="100">
        <v>10</v>
      </c>
      <c r="CU51" s="100">
        <v>8544</v>
      </c>
    </row>
    <row r="52" spans="2:99">
      <c r="C52" s="99" t="s">
        <v>218</v>
      </c>
      <c r="D52" s="100">
        <v>8.0906152847043398</v>
      </c>
      <c r="E52" s="100">
        <v>4368.9322537403432</v>
      </c>
      <c r="F52" s="100">
        <v>14</v>
      </c>
      <c r="G52" s="100">
        <v>7560</v>
      </c>
      <c r="H52" s="100">
        <v>16.941999244326681</v>
      </c>
      <c r="I52" s="100">
        <v>9148.6795919364067</v>
      </c>
      <c r="J52" s="100">
        <v>11</v>
      </c>
      <c r="K52" s="100">
        <v>5940</v>
      </c>
      <c r="L52" s="100">
        <v>16</v>
      </c>
      <c r="M52" s="100">
        <v>8640</v>
      </c>
      <c r="N52" s="100">
        <v>14</v>
      </c>
      <c r="O52" s="100">
        <v>7560</v>
      </c>
      <c r="P52" s="100">
        <v>11</v>
      </c>
      <c r="Q52" s="100">
        <v>5940</v>
      </c>
      <c r="R52" s="100">
        <v>15</v>
      </c>
      <c r="S52" s="100">
        <v>8100</v>
      </c>
      <c r="T52" s="100">
        <v>12</v>
      </c>
      <c r="U52" s="100">
        <v>6480</v>
      </c>
      <c r="V52" s="100">
        <v>10</v>
      </c>
      <c r="W52" s="100">
        <v>5400</v>
      </c>
      <c r="X52" s="100">
        <v>14</v>
      </c>
      <c r="Y52" s="100">
        <v>7560</v>
      </c>
      <c r="Z52" s="100">
        <v>14</v>
      </c>
      <c r="AA52" s="100">
        <v>7560</v>
      </c>
      <c r="AB52" s="100">
        <v>13.005823814283668</v>
      </c>
      <c r="AC52" s="100">
        <v>7023.1448597131803</v>
      </c>
      <c r="AD52" s="100">
        <v>11.676455886196758</v>
      </c>
      <c r="AE52" s="100">
        <v>6305.2861785462492</v>
      </c>
      <c r="AF52" s="100">
        <v>15.039442286335715</v>
      </c>
      <c r="AG52" s="100">
        <v>8121.298834621286</v>
      </c>
      <c r="AH52" s="100">
        <v>13</v>
      </c>
      <c r="AI52" s="100">
        <v>7020</v>
      </c>
      <c r="AJ52" s="100">
        <v>16</v>
      </c>
      <c r="AK52" s="100">
        <v>8640</v>
      </c>
      <c r="AL52" s="100">
        <v>9</v>
      </c>
      <c r="AM52" s="100">
        <v>4860</v>
      </c>
      <c r="AN52" s="100">
        <v>11</v>
      </c>
      <c r="AO52" s="100">
        <v>5940</v>
      </c>
      <c r="AP52" s="100">
        <v>9</v>
      </c>
      <c r="AQ52" s="100">
        <v>4860</v>
      </c>
      <c r="AR52" s="100">
        <v>9</v>
      </c>
      <c r="AS52" s="100">
        <v>4860</v>
      </c>
      <c r="AT52" s="100">
        <v>13</v>
      </c>
      <c r="AU52" s="100">
        <v>7020</v>
      </c>
      <c r="AV52" s="100">
        <v>9</v>
      </c>
      <c r="AW52" s="100">
        <v>4860</v>
      </c>
      <c r="AX52" s="100">
        <v>14</v>
      </c>
      <c r="AY52" s="100">
        <v>7560</v>
      </c>
      <c r="AZ52" s="100">
        <v>15.388215861948096</v>
      </c>
      <c r="BA52" s="100">
        <v>8309.6365654519723</v>
      </c>
      <c r="BB52" s="100">
        <v>13.483637911887193</v>
      </c>
      <c r="BC52" s="100">
        <v>7281.1644724190846</v>
      </c>
      <c r="BD52" s="100">
        <v>13</v>
      </c>
      <c r="BE52" s="100">
        <v>7020</v>
      </c>
      <c r="BF52" s="100">
        <v>11.445687732721101</v>
      </c>
      <c r="BG52" s="100">
        <v>6180.6713756693944</v>
      </c>
      <c r="BH52" s="100">
        <v>10</v>
      </c>
      <c r="BI52" s="100">
        <v>5400</v>
      </c>
      <c r="BJ52" s="100">
        <v>10.869049149882713</v>
      </c>
      <c r="BK52" s="100">
        <v>5869.286540936665</v>
      </c>
      <c r="BL52" s="100">
        <v>12.760047195670351</v>
      </c>
      <c r="BM52" s="100">
        <v>6890.42548566199</v>
      </c>
      <c r="BN52" s="100">
        <v>15</v>
      </c>
      <c r="BO52" s="100">
        <v>8100</v>
      </c>
      <c r="BP52" s="100">
        <v>16.304031684852557</v>
      </c>
      <c r="BQ52" s="100">
        <v>8804.1771098203808</v>
      </c>
      <c r="BR52" s="100">
        <v>13.440524761089792</v>
      </c>
      <c r="BS52" s="100">
        <v>7257.8833709884875</v>
      </c>
      <c r="BT52" s="100">
        <v>11.63336933311116</v>
      </c>
      <c r="BU52" s="100">
        <v>6282.0194398800268</v>
      </c>
      <c r="BV52" s="100">
        <v>9</v>
      </c>
      <c r="BW52" s="100">
        <v>4860</v>
      </c>
      <c r="BX52" s="100">
        <v>9.1927451040295782</v>
      </c>
      <c r="BY52" s="100">
        <v>4964.0823561759726</v>
      </c>
      <c r="BZ52" s="100">
        <v>7.919224037360272</v>
      </c>
      <c r="CA52" s="100">
        <v>4276.3809801745465</v>
      </c>
      <c r="CB52" s="100">
        <v>9.5318007234259241</v>
      </c>
      <c r="CC52" s="100">
        <v>5147.1723906499992</v>
      </c>
      <c r="CD52" s="100">
        <v>14</v>
      </c>
      <c r="CE52" s="100">
        <v>7560</v>
      </c>
      <c r="CF52" s="100">
        <v>14.744804738259193</v>
      </c>
      <c r="CG52" s="100">
        <v>7962.1945586599641</v>
      </c>
      <c r="CH52" s="100">
        <v>13.22352146993415</v>
      </c>
      <c r="CI52" s="100">
        <v>7140.701593764441</v>
      </c>
      <c r="CJ52" s="100">
        <v>13.754987300493562</v>
      </c>
      <c r="CK52" s="100">
        <v>7427.6931422665239</v>
      </c>
      <c r="CL52" s="100">
        <v>11.621117232707673</v>
      </c>
      <c r="CM52" s="100">
        <v>6275.4033056621438</v>
      </c>
      <c r="CN52" s="100">
        <v>10</v>
      </c>
      <c r="CO52" s="100">
        <v>5400</v>
      </c>
      <c r="CP52" s="100">
        <v>14</v>
      </c>
      <c r="CQ52" s="100">
        <v>7560</v>
      </c>
      <c r="CR52" s="100">
        <v>15.359500784759078</v>
      </c>
      <c r="CS52" s="100">
        <v>8294.1304237699023</v>
      </c>
      <c r="CT52" s="100">
        <v>10</v>
      </c>
      <c r="CU52" s="100">
        <v>5400</v>
      </c>
    </row>
    <row r="53" spans="2:99">
      <c r="C53" s="99" t="s">
        <v>219</v>
      </c>
      <c r="D53" s="100">
        <v>8.9895725385603775</v>
      </c>
      <c r="E53" s="100">
        <v>3656.9581086863618</v>
      </c>
      <c r="F53" s="100">
        <v>14</v>
      </c>
      <c r="G53" s="100">
        <v>5695.2</v>
      </c>
      <c r="H53" s="100">
        <v>16.000777064086311</v>
      </c>
      <c r="I53" s="100">
        <v>6509.1161096703117</v>
      </c>
      <c r="J53" s="100">
        <v>11</v>
      </c>
      <c r="K53" s="100">
        <v>4474.8</v>
      </c>
      <c r="L53" s="100">
        <v>18</v>
      </c>
      <c r="M53" s="100">
        <v>7322.4000000000005</v>
      </c>
      <c r="N53" s="100">
        <v>14</v>
      </c>
      <c r="O53" s="100">
        <v>5695.2</v>
      </c>
      <c r="P53" s="100">
        <v>10</v>
      </c>
      <c r="Q53" s="100">
        <v>4068</v>
      </c>
      <c r="R53" s="100">
        <v>13</v>
      </c>
      <c r="S53" s="100">
        <v>5288.4000000000005</v>
      </c>
      <c r="T53" s="100">
        <v>15</v>
      </c>
      <c r="U53" s="100">
        <v>6102</v>
      </c>
      <c r="V53" s="100">
        <v>10</v>
      </c>
      <c r="W53" s="100">
        <v>4068</v>
      </c>
      <c r="X53" s="100">
        <v>12</v>
      </c>
      <c r="Y53" s="100">
        <v>4881.6000000000004</v>
      </c>
      <c r="Z53" s="100">
        <v>16</v>
      </c>
      <c r="AA53" s="100">
        <v>6508.8</v>
      </c>
      <c r="AB53" s="100">
        <v>11.271713972379178</v>
      </c>
      <c r="AC53" s="100">
        <v>4585.3332439638498</v>
      </c>
      <c r="AD53" s="100">
        <v>11.676455886196758</v>
      </c>
      <c r="AE53" s="100">
        <v>4749.982254504841</v>
      </c>
      <c r="AF53" s="100">
        <v>14.099477143439733</v>
      </c>
      <c r="AG53" s="100">
        <v>5735.6673019512837</v>
      </c>
      <c r="AH53" s="100">
        <v>12</v>
      </c>
      <c r="AI53" s="100">
        <v>4881.6000000000004</v>
      </c>
      <c r="AJ53" s="100">
        <v>14</v>
      </c>
      <c r="AK53" s="100">
        <v>5695.2</v>
      </c>
      <c r="AL53" s="100">
        <v>9</v>
      </c>
      <c r="AM53" s="100">
        <v>3661.2000000000003</v>
      </c>
      <c r="AN53" s="100">
        <v>9</v>
      </c>
      <c r="AO53" s="100">
        <v>3661.2000000000003</v>
      </c>
      <c r="AP53" s="100">
        <v>9</v>
      </c>
      <c r="AQ53" s="100">
        <v>3661.2000000000003</v>
      </c>
      <c r="AR53" s="100">
        <v>10</v>
      </c>
      <c r="AS53" s="100">
        <v>4068</v>
      </c>
      <c r="AT53" s="100">
        <v>15</v>
      </c>
      <c r="AU53" s="100">
        <v>6102</v>
      </c>
      <c r="AV53" s="100">
        <v>10</v>
      </c>
      <c r="AW53" s="100">
        <v>4068</v>
      </c>
      <c r="AX53" s="100">
        <v>13</v>
      </c>
      <c r="AY53" s="100">
        <v>5288.4000000000005</v>
      </c>
      <c r="AZ53" s="100">
        <v>16.349979353319853</v>
      </c>
      <c r="BA53" s="100">
        <v>6651.1716009305164</v>
      </c>
      <c r="BB53" s="100">
        <v>11.798183172901293</v>
      </c>
      <c r="BC53" s="100">
        <v>4799.5009147362462</v>
      </c>
      <c r="BD53" s="100">
        <v>15</v>
      </c>
      <c r="BE53" s="100">
        <v>6102</v>
      </c>
      <c r="BF53" s="100">
        <v>12.971779430417248</v>
      </c>
      <c r="BG53" s="100">
        <v>5276.9198722937372</v>
      </c>
      <c r="BH53" s="100">
        <v>9</v>
      </c>
      <c r="BI53" s="100">
        <v>3661.2000000000003</v>
      </c>
      <c r="BJ53" s="100">
        <v>11.857144527144781</v>
      </c>
      <c r="BK53" s="100">
        <v>4823.4863936424972</v>
      </c>
      <c r="BL53" s="100">
        <v>13.671479138218233</v>
      </c>
      <c r="BM53" s="100">
        <v>5561.5577134271771</v>
      </c>
      <c r="BN53" s="100">
        <v>15</v>
      </c>
      <c r="BO53" s="100">
        <v>6102</v>
      </c>
      <c r="BP53" s="100">
        <v>15.398252146805193</v>
      </c>
      <c r="BQ53" s="100">
        <v>6264.0089733203531</v>
      </c>
      <c r="BR53" s="100">
        <v>13.440524761089792</v>
      </c>
      <c r="BS53" s="100">
        <v>5467.6054728113277</v>
      </c>
      <c r="BT53" s="100">
        <v>14.541711666388951</v>
      </c>
      <c r="BU53" s="100">
        <v>5915.5683058870254</v>
      </c>
      <c r="BV53" s="100">
        <v>11</v>
      </c>
      <c r="BW53" s="100">
        <v>4474.8</v>
      </c>
      <c r="BX53" s="100">
        <v>10.112019614432537</v>
      </c>
      <c r="BY53" s="100">
        <v>4113.5695791511562</v>
      </c>
      <c r="BZ53" s="100">
        <v>8.7111464410963002</v>
      </c>
      <c r="CA53" s="100">
        <v>3543.6943722379751</v>
      </c>
      <c r="CB53" s="100">
        <v>10.326117450378085</v>
      </c>
      <c r="CC53" s="100">
        <v>4200.6645788138048</v>
      </c>
      <c r="CD53" s="100">
        <v>15</v>
      </c>
      <c r="CE53" s="100">
        <v>6102</v>
      </c>
      <c r="CF53" s="100">
        <v>14.744804738259193</v>
      </c>
      <c r="CG53" s="100">
        <v>5998.1865675238396</v>
      </c>
      <c r="CH53" s="100">
        <v>12.445667265820378</v>
      </c>
      <c r="CI53" s="100">
        <v>5062.8974437357301</v>
      </c>
      <c r="CJ53" s="100">
        <v>13.754987300493562</v>
      </c>
      <c r="CK53" s="100">
        <v>5595.5288338407809</v>
      </c>
      <c r="CL53" s="100">
        <v>11.621117232707673</v>
      </c>
      <c r="CM53" s="100">
        <v>4727.4704902654821</v>
      </c>
      <c r="CN53" s="100">
        <v>11</v>
      </c>
      <c r="CO53" s="100">
        <v>4474.8</v>
      </c>
      <c r="CP53" s="100">
        <v>13</v>
      </c>
      <c r="CQ53" s="100">
        <v>5288.4000000000005</v>
      </c>
      <c r="CR53" s="100">
        <v>14.399531985711636</v>
      </c>
      <c r="CS53" s="100">
        <v>5857.7296117874939</v>
      </c>
      <c r="CT53" s="100">
        <v>10</v>
      </c>
      <c r="CU53" s="100">
        <v>4068</v>
      </c>
    </row>
    <row r="54" spans="2:99">
      <c r="C54" s="99" t="s">
        <v>220</v>
      </c>
      <c r="D54" s="100">
        <v>8.0906152847043398</v>
      </c>
      <c r="E54" s="100">
        <v>2708.7379973190132</v>
      </c>
      <c r="F54" s="100">
        <v>15</v>
      </c>
      <c r="G54" s="100">
        <v>5022</v>
      </c>
      <c r="H54" s="100">
        <v>16.000777064086311</v>
      </c>
      <c r="I54" s="100">
        <v>5357.0601610560971</v>
      </c>
      <c r="J54" s="100">
        <v>12</v>
      </c>
      <c r="K54" s="100">
        <v>4017.6000000000004</v>
      </c>
      <c r="L54" s="100">
        <v>17</v>
      </c>
      <c r="M54" s="100">
        <v>5691.6</v>
      </c>
      <c r="N54" s="100">
        <v>16</v>
      </c>
      <c r="O54" s="100">
        <v>5356.8</v>
      </c>
      <c r="P54" s="100">
        <v>10</v>
      </c>
      <c r="Q54" s="100">
        <v>3348</v>
      </c>
      <c r="R54" s="100">
        <v>13</v>
      </c>
      <c r="S54" s="100">
        <v>4352.4000000000005</v>
      </c>
      <c r="T54" s="100">
        <v>15</v>
      </c>
      <c r="U54" s="100">
        <v>5022</v>
      </c>
      <c r="V54" s="100">
        <v>10</v>
      </c>
      <c r="W54" s="100">
        <v>3348</v>
      </c>
      <c r="X54" s="100">
        <v>13</v>
      </c>
      <c r="Y54" s="100">
        <v>4352.4000000000005</v>
      </c>
      <c r="Z54" s="100">
        <v>15</v>
      </c>
      <c r="AA54" s="100">
        <v>5022</v>
      </c>
      <c r="AB54" s="100">
        <v>11.271713972379178</v>
      </c>
      <c r="AC54" s="100">
        <v>3773.7698379525491</v>
      </c>
      <c r="AD54" s="100">
        <v>12.649493876713153</v>
      </c>
      <c r="AE54" s="100">
        <v>4235.0505499235642</v>
      </c>
      <c r="AF54" s="100">
        <v>14.099477143439733</v>
      </c>
      <c r="AG54" s="100">
        <v>4720.5049476236227</v>
      </c>
      <c r="AH54" s="100">
        <v>13</v>
      </c>
      <c r="AI54" s="100">
        <v>4352.4000000000005</v>
      </c>
      <c r="AJ54" s="100">
        <v>14</v>
      </c>
      <c r="AK54" s="100">
        <v>4687.2</v>
      </c>
      <c r="AL54" s="100">
        <v>10</v>
      </c>
      <c r="AM54" s="100">
        <v>3348</v>
      </c>
      <c r="AN54" s="100">
        <v>11</v>
      </c>
      <c r="AO54" s="100">
        <v>3682.8</v>
      </c>
      <c r="AP54" s="100">
        <v>10</v>
      </c>
      <c r="AQ54" s="100">
        <v>3348</v>
      </c>
      <c r="AR54" s="100">
        <v>10</v>
      </c>
      <c r="AS54" s="100">
        <v>3348</v>
      </c>
      <c r="AT54" s="100">
        <v>14</v>
      </c>
      <c r="AU54" s="100">
        <v>4687.2</v>
      </c>
      <c r="AV54" s="100">
        <v>10</v>
      </c>
      <c r="AW54" s="100">
        <v>3348</v>
      </c>
      <c r="AX54" s="100">
        <v>16</v>
      </c>
      <c r="AY54" s="100">
        <v>5356.8</v>
      </c>
      <c r="AZ54" s="100">
        <v>13.464688879204584</v>
      </c>
      <c r="BA54" s="100">
        <v>4507.9778367576946</v>
      </c>
      <c r="BB54" s="100">
        <v>11.798183172901293</v>
      </c>
      <c r="BC54" s="100">
        <v>3950.0317262873532</v>
      </c>
      <c r="BD54" s="100">
        <v>15</v>
      </c>
      <c r="BE54" s="100">
        <v>5022</v>
      </c>
      <c r="BF54" s="100">
        <v>12.208733581569176</v>
      </c>
      <c r="BG54" s="100">
        <v>4087.4840031093599</v>
      </c>
      <c r="BH54" s="100">
        <v>10</v>
      </c>
      <c r="BI54" s="100">
        <v>3348</v>
      </c>
      <c r="BJ54" s="100">
        <v>12.845239904406844</v>
      </c>
      <c r="BK54" s="100">
        <v>4300.5863199954119</v>
      </c>
      <c r="BL54" s="100">
        <v>12.760047195670351</v>
      </c>
      <c r="BM54" s="100">
        <v>4272.0638011104338</v>
      </c>
      <c r="BN54" s="100">
        <v>15</v>
      </c>
      <c r="BO54" s="100">
        <v>5022</v>
      </c>
      <c r="BP54" s="100">
        <v>14.492472608757829</v>
      </c>
      <c r="BQ54" s="100">
        <v>4852.0798294121214</v>
      </c>
      <c r="BR54" s="100">
        <v>12.60049196352168</v>
      </c>
      <c r="BS54" s="100">
        <v>4218.6447093870584</v>
      </c>
      <c r="BT54" s="100">
        <v>13.572264221963021</v>
      </c>
      <c r="BU54" s="100">
        <v>4543.99406151322</v>
      </c>
      <c r="BV54" s="100">
        <v>10</v>
      </c>
      <c r="BW54" s="100">
        <v>3348</v>
      </c>
      <c r="BX54" s="100">
        <v>10.112019614432537</v>
      </c>
      <c r="BY54" s="100">
        <v>3385.5041669120133</v>
      </c>
      <c r="BZ54" s="100">
        <v>7.919224037360272</v>
      </c>
      <c r="CA54" s="100">
        <v>2651.3562077082192</v>
      </c>
      <c r="CB54" s="100">
        <v>11.120434177330244</v>
      </c>
      <c r="CC54" s="100">
        <v>3723.1213625701657</v>
      </c>
      <c r="CD54" s="100">
        <v>14</v>
      </c>
      <c r="CE54" s="100">
        <v>4687.2</v>
      </c>
      <c r="CF54" s="100">
        <v>14.744804738259193</v>
      </c>
      <c r="CG54" s="100">
        <v>4936.560626369178</v>
      </c>
      <c r="CH54" s="100">
        <v>12.445667265820378</v>
      </c>
      <c r="CI54" s="100">
        <v>4166.8094005966623</v>
      </c>
      <c r="CJ54" s="100">
        <v>14.6719864538598</v>
      </c>
      <c r="CK54" s="100">
        <v>4912.1810647522616</v>
      </c>
      <c r="CL54" s="100">
        <v>9.9609576280351479</v>
      </c>
      <c r="CM54" s="100">
        <v>3334.9286138661678</v>
      </c>
      <c r="CN54" s="100">
        <v>10</v>
      </c>
      <c r="CO54" s="100">
        <v>3348</v>
      </c>
      <c r="CP54" s="100">
        <v>15</v>
      </c>
      <c r="CQ54" s="100">
        <v>5022</v>
      </c>
      <c r="CR54" s="100">
        <v>13.439563186664193</v>
      </c>
      <c r="CS54" s="100">
        <v>4499.5657548951722</v>
      </c>
      <c r="CT54" s="100">
        <v>10</v>
      </c>
      <c r="CU54" s="100">
        <v>3348</v>
      </c>
    </row>
    <row r="55" spans="2:99">
      <c r="C55" s="99" t="s">
        <v>221</v>
      </c>
      <c r="D55" s="100">
        <v>8.9895725385603775</v>
      </c>
      <c r="E55" s="100">
        <v>5965.4803365886664</v>
      </c>
      <c r="F55" s="100">
        <v>16</v>
      </c>
      <c r="G55" s="100">
        <v>10617.6</v>
      </c>
      <c r="H55" s="100">
        <v>16.000777064086311</v>
      </c>
      <c r="I55" s="100">
        <v>10618.115659727677</v>
      </c>
      <c r="J55" s="100">
        <v>11</v>
      </c>
      <c r="K55" s="100">
        <v>7299.6</v>
      </c>
      <c r="L55" s="100">
        <v>16</v>
      </c>
      <c r="M55" s="100">
        <v>10617.6</v>
      </c>
      <c r="N55" s="100">
        <v>16</v>
      </c>
      <c r="O55" s="100">
        <v>10617.6</v>
      </c>
      <c r="P55" s="100">
        <v>10</v>
      </c>
      <c r="Q55" s="100">
        <v>6636</v>
      </c>
      <c r="R55" s="100">
        <v>13</v>
      </c>
      <c r="S55" s="100">
        <v>8626.8000000000011</v>
      </c>
      <c r="T55" s="100">
        <v>13</v>
      </c>
      <c r="U55" s="100">
        <v>8626.8000000000011</v>
      </c>
      <c r="V55" s="100">
        <v>8</v>
      </c>
      <c r="W55" s="100">
        <v>5308.8</v>
      </c>
      <c r="X55" s="100">
        <v>11</v>
      </c>
      <c r="Y55" s="100">
        <v>7299.6</v>
      </c>
      <c r="Z55" s="100">
        <v>13</v>
      </c>
      <c r="AA55" s="100">
        <v>8626.8000000000011</v>
      </c>
      <c r="AB55" s="100">
        <v>11.271713972379178</v>
      </c>
      <c r="AC55" s="100">
        <v>7479.9093920708228</v>
      </c>
      <c r="AD55" s="100">
        <v>10.703417895680362</v>
      </c>
      <c r="AE55" s="100">
        <v>7102.7881155734885</v>
      </c>
      <c r="AF55" s="100">
        <v>15.979407429231699</v>
      </c>
      <c r="AG55" s="100">
        <v>10603.934770038157</v>
      </c>
      <c r="AH55" s="100">
        <v>12</v>
      </c>
      <c r="AI55" s="100">
        <v>7963.2000000000007</v>
      </c>
      <c r="AJ55" s="100">
        <v>15</v>
      </c>
      <c r="AK55" s="100">
        <v>9954</v>
      </c>
      <c r="AL55" s="100">
        <v>9</v>
      </c>
      <c r="AM55" s="100">
        <v>5972.4000000000005</v>
      </c>
      <c r="AN55" s="100">
        <v>10</v>
      </c>
      <c r="AO55" s="100">
        <v>6636</v>
      </c>
      <c r="AP55" s="100">
        <v>9</v>
      </c>
      <c r="AQ55" s="100">
        <v>5972.4000000000005</v>
      </c>
      <c r="AR55" s="100">
        <v>10</v>
      </c>
      <c r="AS55" s="100">
        <v>6636</v>
      </c>
      <c r="AT55" s="100">
        <v>13</v>
      </c>
      <c r="AU55" s="100">
        <v>8626.8000000000011</v>
      </c>
      <c r="AV55" s="100">
        <v>10</v>
      </c>
      <c r="AW55" s="100">
        <v>6636</v>
      </c>
      <c r="AX55" s="100">
        <v>15</v>
      </c>
      <c r="AY55" s="100">
        <v>9954</v>
      </c>
      <c r="AZ55" s="100">
        <v>14.426452370576339</v>
      </c>
      <c r="BA55" s="100">
        <v>9573.3937931144592</v>
      </c>
      <c r="BB55" s="100">
        <v>11.798183172901293</v>
      </c>
      <c r="BC55" s="100">
        <v>7829.2743535372983</v>
      </c>
      <c r="BD55" s="100">
        <v>14</v>
      </c>
      <c r="BE55" s="100">
        <v>9290.4</v>
      </c>
      <c r="BF55" s="100">
        <v>12.208733581569176</v>
      </c>
      <c r="BG55" s="100">
        <v>8101.7156047293056</v>
      </c>
      <c r="BH55" s="100">
        <v>10</v>
      </c>
      <c r="BI55" s="100">
        <v>6636</v>
      </c>
      <c r="BJ55" s="100">
        <v>12.845239904406844</v>
      </c>
      <c r="BK55" s="100">
        <v>8524.1012005643825</v>
      </c>
      <c r="BL55" s="100">
        <v>13.671479138218233</v>
      </c>
      <c r="BM55" s="100">
        <v>9072.3935561216203</v>
      </c>
      <c r="BN55" s="100">
        <v>13</v>
      </c>
      <c r="BO55" s="100">
        <v>8626.8000000000011</v>
      </c>
      <c r="BP55" s="100">
        <v>14.492472608757829</v>
      </c>
      <c r="BQ55" s="100">
        <v>9617.2048231716963</v>
      </c>
      <c r="BR55" s="100">
        <v>11.760459165953568</v>
      </c>
      <c r="BS55" s="100">
        <v>7804.2407025267885</v>
      </c>
      <c r="BT55" s="100">
        <v>11.63336933311116</v>
      </c>
      <c r="BU55" s="100">
        <v>7719.9038894525656</v>
      </c>
      <c r="BV55" s="100">
        <v>9</v>
      </c>
      <c r="BW55" s="100">
        <v>5972.4000000000005</v>
      </c>
      <c r="BX55" s="100">
        <v>9.1927451040295782</v>
      </c>
      <c r="BY55" s="100">
        <v>6100.3056510340284</v>
      </c>
      <c r="BZ55" s="100">
        <v>7.919224037360272</v>
      </c>
      <c r="CA55" s="100">
        <v>5255.1970711922768</v>
      </c>
      <c r="CB55" s="100">
        <v>9.5318007234259241</v>
      </c>
      <c r="CC55" s="100">
        <v>6325.3029600654436</v>
      </c>
      <c r="CD55" s="100">
        <v>13</v>
      </c>
      <c r="CE55" s="100">
        <v>8626.8000000000011</v>
      </c>
      <c r="CF55" s="100">
        <v>14.744804738259193</v>
      </c>
      <c r="CG55" s="100">
        <v>9784.6524243088006</v>
      </c>
      <c r="CH55" s="100">
        <v>11.667813061706605</v>
      </c>
      <c r="CI55" s="100">
        <v>7742.7607477485035</v>
      </c>
      <c r="CJ55" s="100">
        <v>11.920988993761085</v>
      </c>
      <c r="CK55" s="100">
        <v>7910.7682962598565</v>
      </c>
      <c r="CL55" s="100">
        <v>9.9609576280351479</v>
      </c>
      <c r="CM55" s="100">
        <v>6610.0914819641248</v>
      </c>
      <c r="CN55" s="100">
        <v>9</v>
      </c>
      <c r="CO55" s="100">
        <v>5972.4000000000005</v>
      </c>
      <c r="CP55" s="100">
        <v>14</v>
      </c>
      <c r="CQ55" s="100">
        <v>9290.4</v>
      </c>
      <c r="CR55" s="100">
        <v>14.399531985711636</v>
      </c>
      <c r="CS55" s="100">
        <v>9555.5294257182431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10</v>
      </c>
      <c r="E56" s="100">
        <v>9816</v>
      </c>
      <c r="F56" s="100">
        <v>14</v>
      </c>
      <c r="G56" s="100">
        <v>13742.399999999998</v>
      </c>
      <c r="H56" s="100">
        <v>16.278260869565219</v>
      </c>
      <c r="I56" s="100">
        <v>15978.740869565218</v>
      </c>
      <c r="J56" s="100">
        <v>8.92018779342723</v>
      </c>
      <c r="K56" s="100">
        <v>8756.0563380281674</v>
      </c>
      <c r="L56" s="100">
        <v>13.636363636363637</v>
      </c>
      <c r="M56" s="100">
        <v>13385.454545454544</v>
      </c>
      <c r="N56" s="100">
        <v>12.167487684729066</v>
      </c>
      <c r="O56" s="100">
        <v>11943.605911330051</v>
      </c>
      <c r="P56" s="100">
        <v>10</v>
      </c>
      <c r="Q56" s="100">
        <v>9816</v>
      </c>
      <c r="R56" s="100">
        <v>12</v>
      </c>
      <c r="S56" s="100">
        <v>11779.199999999999</v>
      </c>
      <c r="T56" s="100">
        <v>14</v>
      </c>
      <c r="U56" s="100">
        <v>13742.399999999998</v>
      </c>
      <c r="V56" s="100">
        <v>10</v>
      </c>
      <c r="W56" s="100">
        <v>9816</v>
      </c>
      <c r="X56" s="100">
        <v>13</v>
      </c>
      <c r="Y56" s="100">
        <v>12760.8</v>
      </c>
      <c r="Z56" s="100">
        <v>13</v>
      </c>
      <c r="AA56" s="100">
        <v>12760.8</v>
      </c>
      <c r="AB56" s="100">
        <v>13</v>
      </c>
      <c r="AC56" s="100">
        <v>12760.8</v>
      </c>
      <c r="AD56" s="100">
        <v>12</v>
      </c>
      <c r="AE56" s="100">
        <v>11779.199999999999</v>
      </c>
      <c r="AF56" s="100">
        <v>14</v>
      </c>
      <c r="AG56" s="100">
        <v>13742.399999999998</v>
      </c>
      <c r="AH56" s="100">
        <v>13</v>
      </c>
      <c r="AI56" s="100">
        <v>12760.8</v>
      </c>
      <c r="AJ56" s="100">
        <v>14</v>
      </c>
      <c r="AK56" s="100">
        <v>13742.399999999998</v>
      </c>
      <c r="AL56" s="100">
        <v>10</v>
      </c>
      <c r="AM56" s="100">
        <v>9816</v>
      </c>
      <c r="AN56" s="100">
        <v>10</v>
      </c>
      <c r="AO56" s="100">
        <v>9816</v>
      </c>
      <c r="AP56" s="100">
        <v>9</v>
      </c>
      <c r="AQ56" s="100">
        <v>8834.4</v>
      </c>
      <c r="AR56" s="100">
        <v>8</v>
      </c>
      <c r="AS56" s="100">
        <v>7852.7999999999993</v>
      </c>
      <c r="AT56" s="100">
        <v>13</v>
      </c>
      <c r="AU56" s="100">
        <v>12760.8</v>
      </c>
      <c r="AV56" s="100">
        <v>9</v>
      </c>
      <c r="AW56" s="100">
        <v>8834.4</v>
      </c>
      <c r="AX56" s="100">
        <v>15</v>
      </c>
      <c r="AY56" s="100">
        <v>14723.999999999998</v>
      </c>
      <c r="AZ56" s="100">
        <v>15</v>
      </c>
      <c r="BA56" s="100">
        <v>14723.999999999998</v>
      </c>
      <c r="BB56" s="100">
        <v>14</v>
      </c>
      <c r="BC56" s="100">
        <v>13742.399999999998</v>
      </c>
      <c r="BD56" s="100">
        <v>14</v>
      </c>
      <c r="BE56" s="100">
        <v>13742.399999999998</v>
      </c>
      <c r="BF56" s="100">
        <v>15</v>
      </c>
      <c r="BG56" s="100">
        <v>14723.999999999998</v>
      </c>
      <c r="BH56" s="100">
        <v>9</v>
      </c>
      <c r="BI56" s="100">
        <v>8834.4</v>
      </c>
      <c r="BJ56" s="100">
        <v>11</v>
      </c>
      <c r="BK56" s="100">
        <v>10797.599999999999</v>
      </c>
      <c r="BL56" s="100">
        <v>14</v>
      </c>
      <c r="BM56" s="100">
        <v>13742.399999999998</v>
      </c>
      <c r="BN56" s="100">
        <v>14</v>
      </c>
      <c r="BO56" s="100">
        <v>13742.399999999998</v>
      </c>
      <c r="BP56" s="100">
        <v>15</v>
      </c>
      <c r="BQ56" s="100">
        <v>14723.999999999998</v>
      </c>
      <c r="BR56" s="100">
        <v>15</v>
      </c>
      <c r="BS56" s="100">
        <v>14723.999999999998</v>
      </c>
      <c r="BT56" s="100">
        <v>13</v>
      </c>
      <c r="BU56" s="100">
        <v>12760.8</v>
      </c>
      <c r="BV56" s="100">
        <v>10</v>
      </c>
      <c r="BW56" s="100">
        <v>9816</v>
      </c>
      <c r="BX56" s="100">
        <v>9</v>
      </c>
      <c r="BY56" s="100">
        <v>8834.4</v>
      </c>
      <c r="BZ56" s="100">
        <v>9</v>
      </c>
      <c r="CA56" s="100">
        <v>8834.4</v>
      </c>
      <c r="CB56" s="100">
        <v>12</v>
      </c>
      <c r="CC56" s="100">
        <v>11779.199999999999</v>
      </c>
      <c r="CD56" s="100">
        <v>13</v>
      </c>
      <c r="CE56" s="100">
        <v>12760.8</v>
      </c>
      <c r="CF56" s="100">
        <v>17</v>
      </c>
      <c r="CG56" s="100">
        <v>16687.199999999997</v>
      </c>
      <c r="CH56" s="100">
        <v>17</v>
      </c>
      <c r="CI56" s="100">
        <v>16687.199999999997</v>
      </c>
      <c r="CJ56" s="100">
        <v>13</v>
      </c>
      <c r="CK56" s="100">
        <v>12760.8</v>
      </c>
      <c r="CL56" s="100">
        <v>12</v>
      </c>
      <c r="CM56" s="100">
        <v>11779.199999999999</v>
      </c>
      <c r="CN56" s="100">
        <v>10</v>
      </c>
      <c r="CO56" s="100">
        <v>9816</v>
      </c>
      <c r="CP56" s="100">
        <v>15</v>
      </c>
      <c r="CQ56" s="100">
        <v>14723.999999999998</v>
      </c>
      <c r="CR56" s="100">
        <v>12.994011976047911</v>
      </c>
      <c r="CS56" s="100">
        <v>12754.922155688628</v>
      </c>
      <c r="CT56" s="100">
        <v>3.5184890987132142</v>
      </c>
      <c r="CU56" s="100">
        <v>3453.7488992968906</v>
      </c>
    </row>
    <row r="57" spans="2:99">
      <c r="C57" s="99" t="s">
        <v>223</v>
      </c>
      <c r="D57" s="100">
        <v>8.0906152847043398</v>
      </c>
      <c r="E57" s="100">
        <v>11417.476289774764</v>
      </c>
      <c r="F57" s="100">
        <v>13</v>
      </c>
      <c r="G57" s="100">
        <v>18345.600000000002</v>
      </c>
      <c r="H57" s="100">
        <v>14.118332703605569</v>
      </c>
      <c r="I57" s="100">
        <v>19923.791111328181</v>
      </c>
      <c r="J57" s="100">
        <v>11</v>
      </c>
      <c r="K57" s="100">
        <v>15523.2</v>
      </c>
      <c r="L57" s="100">
        <v>15</v>
      </c>
      <c r="M57" s="100">
        <v>21168</v>
      </c>
      <c r="N57" s="100">
        <v>13</v>
      </c>
      <c r="O57" s="100">
        <v>18345.600000000002</v>
      </c>
      <c r="P57" s="100">
        <v>9</v>
      </c>
      <c r="Q57" s="100">
        <v>12700.800000000001</v>
      </c>
      <c r="R57" s="100">
        <v>12</v>
      </c>
      <c r="S57" s="100">
        <v>16934.400000000001</v>
      </c>
      <c r="T57" s="100">
        <v>13</v>
      </c>
      <c r="U57" s="100">
        <v>18345.600000000002</v>
      </c>
      <c r="V57" s="100">
        <v>8</v>
      </c>
      <c r="W57" s="100">
        <v>11289.6</v>
      </c>
      <c r="X57" s="100">
        <v>13</v>
      </c>
      <c r="Y57" s="100">
        <v>18345.600000000002</v>
      </c>
      <c r="Z57" s="100">
        <v>14</v>
      </c>
      <c r="AA57" s="100">
        <v>19756.8</v>
      </c>
      <c r="AB57" s="100">
        <v>10.404659051426933</v>
      </c>
      <c r="AC57" s="100">
        <v>14683.054853373687</v>
      </c>
      <c r="AD57" s="100">
        <v>9.7303799051639643</v>
      </c>
      <c r="AE57" s="100">
        <v>13731.512122167387</v>
      </c>
      <c r="AF57" s="100">
        <v>15.039442286335715</v>
      </c>
      <c r="AG57" s="100">
        <v>21223.660954476964</v>
      </c>
      <c r="AH57" s="100">
        <v>12</v>
      </c>
      <c r="AI57" s="100">
        <v>16934.400000000001</v>
      </c>
      <c r="AJ57" s="100">
        <v>15</v>
      </c>
      <c r="AK57" s="100">
        <v>21168</v>
      </c>
      <c r="AL57" s="100">
        <v>9</v>
      </c>
      <c r="AM57" s="100">
        <v>12700.800000000001</v>
      </c>
      <c r="AN57" s="100">
        <v>10</v>
      </c>
      <c r="AO57" s="100">
        <v>14112</v>
      </c>
      <c r="AP57" s="100">
        <v>9</v>
      </c>
      <c r="AQ57" s="100">
        <v>12700.800000000001</v>
      </c>
      <c r="AR57" s="100">
        <v>8</v>
      </c>
      <c r="AS57" s="100">
        <v>11289.6</v>
      </c>
      <c r="AT57" s="100">
        <v>12</v>
      </c>
      <c r="AU57" s="100">
        <v>16934.400000000001</v>
      </c>
      <c r="AV57" s="100">
        <v>9</v>
      </c>
      <c r="AW57" s="100">
        <v>12700.800000000001</v>
      </c>
      <c r="AX57" s="100">
        <v>13</v>
      </c>
      <c r="AY57" s="100">
        <v>18345.600000000002</v>
      </c>
      <c r="AZ57" s="100">
        <v>14.426452370576339</v>
      </c>
      <c r="BA57" s="100">
        <v>20358.609585357332</v>
      </c>
      <c r="BB57" s="100">
        <v>11.798183172901293</v>
      </c>
      <c r="BC57" s="100">
        <v>16649.596093598306</v>
      </c>
      <c r="BD57" s="100">
        <v>12</v>
      </c>
      <c r="BE57" s="100">
        <v>16934.400000000001</v>
      </c>
      <c r="BF57" s="100">
        <v>11.445687732721101</v>
      </c>
      <c r="BG57" s="100">
        <v>16152.154528416018</v>
      </c>
      <c r="BH57" s="100">
        <v>9</v>
      </c>
      <c r="BI57" s="100">
        <v>12700.800000000001</v>
      </c>
      <c r="BJ57" s="100">
        <v>10.869049149882713</v>
      </c>
      <c r="BK57" s="100">
        <v>15338.402160314485</v>
      </c>
      <c r="BL57" s="100">
        <v>12.760047195670351</v>
      </c>
      <c r="BM57" s="100">
        <v>18006.978602530002</v>
      </c>
      <c r="BN57" s="100">
        <v>13</v>
      </c>
      <c r="BO57" s="100">
        <v>18345.600000000002</v>
      </c>
      <c r="BP57" s="100">
        <v>14.492472608757829</v>
      </c>
      <c r="BQ57" s="100">
        <v>20451.777345479048</v>
      </c>
      <c r="BR57" s="100">
        <v>12.60049196352168</v>
      </c>
      <c r="BS57" s="100">
        <v>17781.814258921797</v>
      </c>
      <c r="BT57" s="100">
        <v>12.602816777537091</v>
      </c>
      <c r="BU57" s="100">
        <v>17785.095036460345</v>
      </c>
      <c r="BV57" s="100">
        <v>8</v>
      </c>
      <c r="BW57" s="100">
        <v>11289.6</v>
      </c>
      <c r="BX57" s="100">
        <v>9.1927451040295782</v>
      </c>
      <c r="BY57" s="100">
        <v>12972.801890806541</v>
      </c>
      <c r="BZ57" s="100">
        <v>7.1273016336242447</v>
      </c>
      <c r="CA57" s="100">
        <v>10058.048065370534</v>
      </c>
      <c r="CB57" s="100">
        <v>10.326117450378085</v>
      </c>
      <c r="CC57" s="100">
        <v>14572.216945973554</v>
      </c>
      <c r="CD57" s="100">
        <v>13</v>
      </c>
      <c r="CE57" s="100">
        <v>18345.600000000002</v>
      </c>
      <c r="CF57" s="100">
        <v>14.744804738259193</v>
      </c>
      <c r="CG57" s="100">
        <v>20807.868446631372</v>
      </c>
      <c r="CH57" s="100">
        <v>10.889958857592831</v>
      </c>
      <c r="CI57" s="100">
        <v>15367.909939835003</v>
      </c>
      <c r="CJ57" s="100">
        <v>11.920988993761085</v>
      </c>
      <c r="CK57" s="100">
        <v>16822.899667995644</v>
      </c>
      <c r="CL57" s="100">
        <v>9.1308778256988852</v>
      </c>
      <c r="CM57" s="100">
        <v>12885.494787626267</v>
      </c>
      <c r="CN57" s="100">
        <v>9</v>
      </c>
      <c r="CO57" s="100">
        <v>12700.800000000001</v>
      </c>
      <c r="CP57" s="100">
        <v>13</v>
      </c>
      <c r="CQ57" s="100">
        <v>18345.600000000002</v>
      </c>
      <c r="CR57" s="100">
        <v>14.399531985711636</v>
      </c>
      <c r="CS57" s="100">
        <v>20320.61953823626</v>
      </c>
      <c r="CT57" s="100">
        <v>9</v>
      </c>
      <c r="CU57" s="100">
        <v>12700.800000000001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14</v>
      </c>
      <c r="G58" s="100">
        <v>16480.8</v>
      </c>
      <c r="H58" s="100">
        <v>17</v>
      </c>
      <c r="I58" s="100">
        <v>20012.400000000001</v>
      </c>
      <c r="J58" s="100">
        <v>9</v>
      </c>
      <c r="K58" s="100">
        <v>10594.800000000001</v>
      </c>
      <c r="L58" s="100">
        <v>16</v>
      </c>
      <c r="M58" s="100">
        <v>18835.2</v>
      </c>
      <c r="N58" s="100">
        <v>13</v>
      </c>
      <c r="O58" s="100">
        <v>15303.6</v>
      </c>
      <c r="P58" s="100">
        <v>9</v>
      </c>
      <c r="Q58" s="100">
        <v>10594.800000000001</v>
      </c>
      <c r="R58" s="100">
        <v>13</v>
      </c>
      <c r="S58" s="100">
        <v>15303.6</v>
      </c>
      <c r="T58" s="100">
        <v>14</v>
      </c>
      <c r="U58" s="100">
        <v>16480.8</v>
      </c>
      <c r="V58" s="100">
        <v>8</v>
      </c>
      <c r="W58" s="100">
        <v>9417.6</v>
      </c>
      <c r="X58" s="100">
        <v>12</v>
      </c>
      <c r="Y58" s="100">
        <v>14126.400000000001</v>
      </c>
      <c r="Z58" s="100">
        <v>15</v>
      </c>
      <c r="AA58" s="100">
        <v>17658</v>
      </c>
      <c r="AB58" s="100">
        <v>13</v>
      </c>
      <c r="AC58" s="100">
        <v>15303.6</v>
      </c>
      <c r="AD58" s="100">
        <v>11</v>
      </c>
      <c r="AE58" s="100">
        <v>12949.2</v>
      </c>
      <c r="AF58" s="100">
        <v>15</v>
      </c>
      <c r="AG58" s="100">
        <v>17658</v>
      </c>
      <c r="AH58" s="100">
        <v>13</v>
      </c>
      <c r="AI58" s="100">
        <v>15303.6</v>
      </c>
      <c r="AJ58" s="100">
        <v>14</v>
      </c>
      <c r="AK58" s="100">
        <v>16480.8</v>
      </c>
      <c r="AL58" s="100">
        <v>9</v>
      </c>
      <c r="AM58" s="100">
        <v>10594.800000000001</v>
      </c>
      <c r="AN58" s="100">
        <v>10</v>
      </c>
      <c r="AO58" s="100">
        <v>11772</v>
      </c>
      <c r="AP58" s="100">
        <v>10</v>
      </c>
      <c r="AQ58" s="100">
        <v>11772</v>
      </c>
      <c r="AR58" s="100">
        <v>10</v>
      </c>
      <c r="AS58" s="100">
        <v>11772</v>
      </c>
      <c r="AT58" s="100">
        <v>12</v>
      </c>
      <c r="AU58" s="100">
        <v>14126.400000000001</v>
      </c>
      <c r="AV58" s="100">
        <v>9</v>
      </c>
      <c r="AW58" s="100">
        <v>10594.800000000001</v>
      </c>
      <c r="AX58" s="100">
        <v>13</v>
      </c>
      <c r="AY58" s="100">
        <v>15303.6</v>
      </c>
      <c r="AZ58" s="100">
        <v>14</v>
      </c>
      <c r="BA58" s="100">
        <v>16480.8</v>
      </c>
      <c r="BB58" s="100">
        <v>13</v>
      </c>
      <c r="BC58" s="100">
        <v>15303.6</v>
      </c>
      <c r="BD58" s="100">
        <v>12</v>
      </c>
      <c r="BE58" s="100">
        <v>14126.400000000001</v>
      </c>
      <c r="BF58" s="100">
        <v>16</v>
      </c>
      <c r="BG58" s="100">
        <v>18835.2</v>
      </c>
      <c r="BH58" s="100">
        <v>8</v>
      </c>
      <c r="BI58" s="100">
        <v>9417.6</v>
      </c>
      <c r="BJ58" s="100">
        <v>11</v>
      </c>
      <c r="BK58" s="100">
        <v>12949.2</v>
      </c>
      <c r="BL58" s="100">
        <v>13</v>
      </c>
      <c r="BM58" s="100">
        <v>15303.6</v>
      </c>
      <c r="BN58" s="100">
        <v>14</v>
      </c>
      <c r="BO58" s="100">
        <v>16480.8</v>
      </c>
      <c r="BP58" s="100">
        <v>17</v>
      </c>
      <c r="BQ58" s="100">
        <v>20012.400000000001</v>
      </c>
      <c r="BR58" s="100">
        <v>14</v>
      </c>
      <c r="BS58" s="100">
        <v>16480.8</v>
      </c>
      <c r="BT58" s="100">
        <v>13</v>
      </c>
      <c r="BU58" s="100">
        <v>15303.6</v>
      </c>
      <c r="BV58" s="100">
        <v>10</v>
      </c>
      <c r="BW58" s="100">
        <v>11772</v>
      </c>
      <c r="BX58" s="100">
        <v>10</v>
      </c>
      <c r="BY58" s="100">
        <v>11772</v>
      </c>
      <c r="BZ58" s="100">
        <v>10</v>
      </c>
      <c r="CA58" s="100">
        <v>11772</v>
      </c>
      <c r="CB58" s="100">
        <v>13</v>
      </c>
      <c r="CC58" s="100">
        <v>15303.6</v>
      </c>
      <c r="CD58" s="100">
        <v>14</v>
      </c>
      <c r="CE58" s="100">
        <v>16480.8</v>
      </c>
      <c r="CF58" s="100">
        <v>16</v>
      </c>
      <c r="CG58" s="100">
        <v>18835.2</v>
      </c>
      <c r="CH58" s="100">
        <v>15</v>
      </c>
      <c r="CI58" s="100">
        <v>17658</v>
      </c>
      <c r="CJ58" s="100">
        <v>12</v>
      </c>
      <c r="CK58" s="100">
        <v>14126.400000000001</v>
      </c>
      <c r="CL58" s="100">
        <v>11</v>
      </c>
      <c r="CM58" s="100">
        <v>12949.2</v>
      </c>
      <c r="CN58" s="100">
        <v>9</v>
      </c>
      <c r="CO58" s="100">
        <v>10594.800000000001</v>
      </c>
      <c r="CP58" s="100">
        <v>14</v>
      </c>
      <c r="CQ58" s="100">
        <v>16480.8</v>
      </c>
      <c r="CR58" s="100">
        <v>13</v>
      </c>
      <c r="CS58" s="100">
        <v>15303.6</v>
      </c>
      <c r="CT58" s="100">
        <v>10</v>
      </c>
      <c r="CU58" s="100">
        <v>11772</v>
      </c>
    </row>
    <row r="59" spans="2:99">
      <c r="C59" s="99" t="s">
        <v>225</v>
      </c>
      <c r="D59" s="100">
        <v>8.0906152847043398</v>
      </c>
      <c r="E59" s="100">
        <v>2456.3108004362371</v>
      </c>
      <c r="F59" s="100">
        <v>15</v>
      </c>
      <c r="G59" s="100">
        <v>4553.9999999999991</v>
      </c>
      <c r="H59" s="100">
        <v>16.000777064086311</v>
      </c>
      <c r="I59" s="100">
        <v>4857.8359166566033</v>
      </c>
      <c r="J59" s="100">
        <v>11</v>
      </c>
      <c r="K59" s="100">
        <v>3339.5999999999995</v>
      </c>
      <c r="L59" s="100">
        <v>16</v>
      </c>
      <c r="M59" s="100">
        <v>4857.5999999999995</v>
      </c>
      <c r="N59" s="100">
        <v>16</v>
      </c>
      <c r="O59" s="100">
        <v>4857.5999999999995</v>
      </c>
      <c r="P59" s="100">
        <v>12</v>
      </c>
      <c r="Q59" s="100">
        <v>3643.2</v>
      </c>
      <c r="R59" s="100">
        <v>14</v>
      </c>
      <c r="S59" s="100">
        <v>4250.3999999999996</v>
      </c>
      <c r="T59" s="100">
        <v>14</v>
      </c>
      <c r="U59" s="100">
        <v>4250.3999999999996</v>
      </c>
      <c r="V59" s="100">
        <v>9</v>
      </c>
      <c r="W59" s="100">
        <v>2732.3999999999996</v>
      </c>
      <c r="X59" s="100">
        <v>13</v>
      </c>
      <c r="Y59" s="100">
        <v>3946.7999999999997</v>
      </c>
      <c r="Z59" s="100">
        <v>14</v>
      </c>
      <c r="AA59" s="100">
        <v>4250.3999999999996</v>
      </c>
      <c r="AB59" s="100">
        <v>13.005823814283668</v>
      </c>
      <c r="AC59" s="100">
        <v>3948.5681100165211</v>
      </c>
      <c r="AD59" s="100">
        <v>11.676455886196758</v>
      </c>
      <c r="AE59" s="100">
        <v>3544.9720070493354</v>
      </c>
      <c r="AF59" s="100">
        <v>14.099477143439733</v>
      </c>
      <c r="AG59" s="100">
        <v>4280.6012607483026</v>
      </c>
      <c r="AH59" s="100">
        <v>12</v>
      </c>
      <c r="AI59" s="100">
        <v>3643.2</v>
      </c>
      <c r="AJ59" s="100">
        <v>14</v>
      </c>
      <c r="AK59" s="100">
        <v>4250.3999999999996</v>
      </c>
      <c r="AL59" s="100">
        <v>10</v>
      </c>
      <c r="AM59" s="100">
        <v>3035.9999999999995</v>
      </c>
      <c r="AN59" s="100">
        <v>11</v>
      </c>
      <c r="AO59" s="100">
        <v>3339.5999999999995</v>
      </c>
      <c r="AP59" s="100">
        <v>11</v>
      </c>
      <c r="AQ59" s="100">
        <v>3339.5999999999995</v>
      </c>
      <c r="AR59" s="100">
        <v>10</v>
      </c>
      <c r="AS59" s="100">
        <v>3035.9999999999995</v>
      </c>
      <c r="AT59" s="100">
        <v>13</v>
      </c>
      <c r="AU59" s="100">
        <v>3946.7999999999997</v>
      </c>
      <c r="AV59" s="100">
        <v>10</v>
      </c>
      <c r="AW59" s="100">
        <v>3035.9999999999995</v>
      </c>
      <c r="AX59" s="100">
        <v>14</v>
      </c>
      <c r="AY59" s="100">
        <v>4250.3999999999996</v>
      </c>
      <c r="AZ59" s="100">
        <v>14.426452370576339</v>
      </c>
      <c r="BA59" s="100">
        <v>4379.8709397069761</v>
      </c>
      <c r="BB59" s="100">
        <v>13.483637911887193</v>
      </c>
      <c r="BC59" s="100">
        <v>4093.6324700489513</v>
      </c>
      <c r="BD59" s="100">
        <v>13</v>
      </c>
      <c r="BE59" s="100">
        <v>3946.7999999999997</v>
      </c>
      <c r="BF59" s="100">
        <v>13.734825279265323</v>
      </c>
      <c r="BG59" s="100">
        <v>4169.8929547849511</v>
      </c>
      <c r="BH59" s="100">
        <v>11</v>
      </c>
      <c r="BI59" s="100">
        <v>3339.5999999999995</v>
      </c>
      <c r="BJ59" s="100">
        <v>11.857144527144781</v>
      </c>
      <c r="BK59" s="100">
        <v>3599.8290784411552</v>
      </c>
      <c r="BL59" s="100">
        <v>14.582911080766113</v>
      </c>
      <c r="BM59" s="100">
        <v>4427.3718041205912</v>
      </c>
      <c r="BN59" s="100">
        <v>14</v>
      </c>
      <c r="BO59" s="100">
        <v>4250.3999999999996</v>
      </c>
      <c r="BP59" s="100">
        <v>14.492472608757829</v>
      </c>
      <c r="BQ59" s="100">
        <v>4399.9146840188769</v>
      </c>
      <c r="BR59" s="100">
        <v>14.280557558657904</v>
      </c>
      <c r="BS59" s="100">
        <v>4335.5772748085392</v>
      </c>
      <c r="BT59" s="100">
        <v>14.541711666388951</v>
      </c>
      <c r="BU59" s="100">
        <v>4414.863661915685</v>
      </c>
      <c r="BV59" s="100">
        <v>11</v>
      </c>
      <c r="BW59" s="100">
        <v>3339.5999999999995</v>
      </c>
      <c r="BX59" s="100">
        <v>11.031294124835494</v>
      </c>
      <c r="BY59" s="100">
        <v>3349.1008963000554</v>
      </c>
      <c r="BZ59" s="100">
        <v>7.919224037360272</v>
      </c>
      <c r="CA59" s="100">
        <v>2404.2764177425784</v>
      </c>
      <c r="CB59" s="100">
        <v>9.5318007234259241</v>
      </c>
      <c r="CC59" s="100">
        <v>2893.8546996321102</v>
      </c>
      <c r="CD59" s="100">
        <v>13</v>
      </c>
      <c r="CE59" s="100">
        <v>3946.7999999999997</v>
      </c>
      <c r="CF59" s="100">
        <v>15.666355034400393</v>
      </c>
      <c r="CG59" s="100">
        <v>4756.3053884439587</v>
      </c>
      <c r="CH59" s="100">
        <v>12.445667265820378</v>
      </c>
      <c r="CI59" s="100">
        <v>3778.5045819030661</v>
      </c>
      <c r="CJ59" s="100">
        <v>14.6719864538598</v>
      </c>
      <c r="CK59" s="100">
        <v>4454.4150873918352</v>
      </c>
      <c r="CL59" s="100">
        <v>10.791037430371411</v>
      </c>
      <c r="CM59" s="100">
        <v>3276.1589638607597</v>
      </c>
      <c r="CN59" s="100">
        <v>11</v>
      </c>
      <c r="CO59" s="100">
        <v>3339.5999999999995</v>
      </c>
      <c r="CP59" s="100">
        <v>14</v>
      </c>
      <c r="CQ59" s="100">
        <v>4250.3999999999996</v>
      </c>
      <c r="CR59" s="100">
        <v>13.439563186664193</v>
      </c>
      <c r="CS59" s="100">
        <v>4080.2513834712486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8.0906152847043398</v>
      </c>
      <c r="E60" s="100">
        <v>5271.844919513348</v>
      </c>
      <c r="F60" s="100">
        <v>15</v>
      </c>
      <c r="G60" s="100">
        <v>9774</v>
      </c>
      <c r="H60" s="100">
        <v>15.059554883845939</v>
      </c>
      <c r="I60" s="100">
        <v>9812.8059623140143</v>
      </c>
      <c r="J60" s="100">
        <v>11</v>
      </c>
      <c r="K60" s="100">
        <v>7167.6</v>
      </c>
      <c r="L60" s="100">
        <v>17</v>
      </c>
      <c r="M60" s="100">
        <v>11077.2</v>
      </c>
      <c r="N60" s="100">
        <v>14</v>
      </c>
      <c r="O60" s="100">
        <v>9122.4</v>
      </c>
      <c r="P60" s="100">
        <v>9</v>
      </c>
      <c r="Q60" s="100">
        <v>5864.4000000000005</v>
      </c>
      <c r="R60" s="100">
        <v>13</v>
      </c>
      <c r="S60" s="100">
        <v>8470.8000000000011</v>
      </c>
      <c r="T60" s="100">
        <v>13</v>
      </c>
      <c r="U60" s="100">
        <v>8470.8000000000011</v>
      </c>
      <c r="V60" s="100">
        <v>10</v>
      </c>
      <c r="W60" s="100">
        <v>6516</v>
      </c>
      <c r="X60" s="100">
        <v>11</v>
      </c>
      <c r="Y60" s="100">
        <v>7167.6</v>
      </c>
      <c r="Z60" s="100">
        <v>14</v>
      </c>
      <c r="AA60" s="100">
        <v>9122.4</v>
      </c>
      <c r="AB60" s="100">
        <v>11.271713972379178</v>
      </c>
      <c r="AC60" s="100">
        <v>7344.648824402273</v>
      </c>
      <c r="AD60" s="100">
        <v>11.676455886196758</v>
      </c>
      <c r="AE60" s="100">
        <v>7608.3786554458075</v>
      </c>
      <c r="AF60" s="100">
        <v>15.979407429231699</v>
      </c>
      <c r="AG60" s="100">
        <v>10412.181880887376</v>
      </c>
      <c r="AH60" s="100">
        <v>12</v>
      </c>
      <c r="AI60" s="100">
        <v>7819.2000000000007</v>
      </c>
      <c r="AJ60" s="100">
        <v>16</v>
      </c>
      <c r="AK60" s="100">
        <v>10425.6</v>
      </c>
      <c r="AL60" s="100">
        <v>10</v>
      </c>
      <c r="AM60" s="100">
        <v>6516</v>
      </c>
      <c r="AN60" s="100">
        <v>9</v>
      </c>
      <c r="AO60" s="100">
        <v>5864.4000000000005</v>
      </c>
      <c r="AP60" s="100">
        <v>10</v>
      </c>
      <c r="AQ60" s="100">
        <v>6516</v>
      </c>
      <c r="AR60" s="100">
        <v>9</v>
      </c>
      <c r="AS60" s="100">
        <v>5864.4000000000005</v>
      </c>
      <c r="AT60" s="100">
        <v>15</v>
      </c>
      <c r="AU60" s="100">
        <v>9774</v>
      </c>
      <c r="AV60" s="100">
        <v>9</v>
      </c>
      <c r="AW60" s="100">
        <v>5864.4000000000005</v>
      </c>
      <c r="AX60" s="100">
        <v>14</v>
      </c>
      <c r="AY60" s="100">
        <v>9122.4</v>
      </c>
      <c r="AZ60" s="100">
        <v>16.349979353319853</v>
      </c>
      <c r="BA60" s="100">
        <v>10653.646546623217</v>
      </c>
      <c r="BB60" s="100">
        <v>12.640910542394243</v>
      </c>
      <c r="BC60" s="100">
        <v>8236.8173094240883</v>
      </c>
      <c r="BD60" s="100">
        <v>15</v>
      </c>
      <c r="BE60" s="100">
        <v>9774</v>
      </c>
      <c r="BF60" s="100">
        <v>12.971779430417248</v>
      </c>
      <c r="BG60" s="100">
        <v>8452.4114768598793</v>
      </c>
      <c r="BH60" s="100">
        <v>10</v>
      </c>
      <c r="BI60" s="100">
        <v>6516</v>
      </c>
      <c r="BJ60" s="100">
        <v>12.845239904406844</v>
      </c>
      <c r="BK60" s="100">
        <v>8369.9583217114996</v>
      </c>
      <c r="BL60" s="100">
        <v>13.671479138218233</v>
      </c>
      <c r="BM60" s="100">
        <v>8908.3358064630011</v>
      </c>
      <c r="BN60" s="100">
        <v>13</v>
      </c>
      <c r="BO60" s="100">
        <v>8470.8000000000011</v>
      </c>
      <c r="BP60" s="100">
        <v>13.586693070710464</v>
      </c>
      <c r="BQ60" s="100">
        <v>8853.0892048749392</v>
      </c>
      <c r="BR60" s="100">
        <v>12.60049196352168</v>
      </c>
      <c r="BS60" s="100">
        <v>8210.4805634307268</v>
      </c>
      <c r="BT60" s="100">
        <v>14.541711666388951</v>
      </c>
      <c r="BU60" s="100">
        <v>9475.3793218190403</v>
      </c>
      <c r="BV60" s="100">
        <v>10</v>
      </c>
      <c r="BW60" s="100">
        <v>6516</v>
      </c>
      <c r="BX60" s="100">
        <v>8.2734705936266195</v>
      </c>
      <c r="BY60" s="100">
        <v>5390.9934388071051</v>
      </c>
      <c r="BZ60" s="100">
        <v>7.1273016336242447</v>
      </c>
      <c r="CA60" s="100">
        <v>4644.1497444695578</v>
      </c>
      <c r="CB60" s="100">
        <v>11.120434177330244</v>
      </c>
      <c r="CC60" s="100">
        <v>7246.0749099483874</v>
      </c>
      <c r="CD60" s="100">
        <v>13</v>
      </c>
      <c r="CE60" s="100">
        <v>8470.8000000000011</v>
      </c>
      <c r="CF60" s="100">
        <v>14.744804738259193</v>
      </c>
      <c r="CG60" s="100">
        <v>9607.71476744969</v>
      </c>
      <c r="CH60" s="100">
        <v>11.667813061706605</v>
      </c>
      <c r="CI60" s="100">
        <v>7602.7469910080245</v>
      </c>
      <c r="CJ60" s="100">
        <v>11.920988993761085</v>
      </c>
      <c r="CK60" s="100">
        <v>7767.7164283347238</v>
      </c>
      <c r="CL60" s="100">
        <v>10.791037430371411</v>
      </c>
      <c r="CM60" s="100">
        <v>7031.439989630011</v>
      </c>
      <c r="CN60" s="100">
        <v>10</v>
      </c>
      <c r="CO60" s="100">
        <v>6516</v>
      </c>
      <c r="CP60" s="100">
        <v>15</v>
      </c>
      <c r="CQ60" s="100">
        <v>9774</v>
      </c>
      <c r="CR60" s="100">
        <v>15.359500784759078</v>
      </c>
      <c r="CS60" s="100">
        <v>10008.250711349016</v>
      </c>
      <c r="CT60" s="100">
        <v>9</v>
      </c>
      <c r="CU60" s="100">
        <v>5864.4000000000005</v>
      </c>
    </row>
    <row r="61" spans="2:99">
      <c r="C61" s="99" t="s">
        <v>227</v>
      </c>
      <c r="D61" s="100">
        <v>8.9895725385603775</v>
      </c>
      <c r="E61" s="100">
        <v>8554.4772276940548</v>
      </c>
      <c r="F61" s="100">
        <v>13</v>
      </c>
      <c r="G61" s="100">
        <v>12370.8</v>
      </c>
      <c r="H61" s="100">
        <v>15.059554883845939</v>
      </c>
      <c r="I61" s="100">
        <v>14330.672427467794</v>
      </c>
      <c r="J61" s="100">
        <v>10</v>
      </c>
      <c r="K61" s="100">
        <v>9516</v>
      </c>
      <c r="L61" s="100">
        <v>15</v>
      </c>
      <c r="M61" s="100">
        <v>14273.999999999998</v>
      </c>
      <c r="N61" s="100">
        <v>13</v>
      </c>
      <c r="O61" s="100">
        <v>12370.8</v>
      </c>
      <c r="P61" s="100">
        <v>10</v>
      </c>
      <c r="Q61" s="100">
        <v>9516</v>
      </c>
      <c r="R61" s="100">
        <v>13</v>
      </c>
      <c r="S61" s="100">
        <v>12370.8</v>
      </c>
      <c r="T61" s="100">
        <v>13</v>
      </c>
      <c r="U61" s="100">
        <v>12370.8</v>
      </c>
      <c r="V61" s="100">
        <v>10</v>
      </c>
      <c r="W61" s="100">
        <v>9516</v>
      </c>
      <c r="X61" s="100">
        <v>11</v>
      </c>
      <c r="Y61" s="100">
        <v>10467.599999999999</v>
      </c>
      <c r="Z61" s="100">
        <v>15</v>
      </c>
      <c r="AA61" s="100">
        <v>14273.999999999998</v>
      </c>
      <c r="AB61" s="100">
        <v>11.271713972379178</v>
      </c>
      <c r="AC61" s="100">
        <v>10726.163016116025</v>
      </c>
      <c r="AD61" s="100">
        <v>10.703417895680362</v>
      </c>
      <c r="AE61" s="100">
        <v>10185.372469529431</v>
      </c>
      <c r="AF61" s="100">
        <v>13.159512000543751</v>
      </c>
      <c r="AG61" s="100">
        <v>12522.591619717432</v>
      </c>
      <c r="AH61" s="100">
        <v>12</v>
      </c>
      <c r="AI61" s="100">
        <v>11419.199999999999</v>
      </c>
      <c r="AJ61" s="100">
        <v>15</v>
      </c>
      <c r="AK61" s="100">
        <v>14273.999999999998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10</v>
      </c>
      <c r="AQ61" s="100">
        <v>9516</v>
      </c>
      <c r="AR61" s="100">
        <v>10</v>
      </c>
      <c r="AS61" s="100">
        <v>9516</v>
      </c>
      <c r="AT61" s="100">
        <v>12</v>
      </c>
      <c r="AU61" s="100">
        <v>11419.199999999999</v>
      </c>
      <c r="AV61" s="100">
        <v>9</v>
      </c>
      <c r="AW61" s="100">
        <v>8564.4</v>
      </c>
      <c r="AX61" s="100">
        <v>14</v>
      </c>
      <c r="AY61" s="100">
        <v>13322.399999999998</v>
      </c>
      <c r="AZ61" s="100">
        <v>15.388215861948096</v>
      </c>
      <c r="BA61" s="100">
        <v>14643.426214229807</v>
      </c>
      <c r="BB61" s="100">
        <v>12.640910542394243</v>
      </c>
      <c r="BC61" s="100">
        <v>12029.090472142361</v>
      </c>
      <c r="BD61" s="100">
        <v>15</v>
      </c>
      <c r="BE61" s="100">
        <v>14273.999999999998</v>
      </c>
      <c r="BF61" s="100">
        <v>12.208733581569176</v>
      </c>
      <c r="BG61" s="100">
        <v>11617.830876221225</v>
      </c>
      <c r="BH61" s="100">
        <v>10</v>
      </c>
      <c r="BI61" s="100">
        <v>9516</v>
      </c>
      <c r="BJ61" s="100">
        <v>10.869049149882713</v>
      </c>
      <c r="BK61" s="100">
        <v>10342.987171028388</v>
      </c>
      <c r="BL61" s="100">
        <v>11.848615253122468</v>
      </c>
      <c r="BM61" s="100">
        <v>11275.142274871339</v>
      </c>
      <c r="BN61" s="100">
        <v>14</v>
      </c>
      <c r="BO61" s="100">
        <v>13322.399999999998</v>
      </c>
      <c r="BP61" s="100">
        <v>14.492472608757829</v>
      </c>
      <c r="BQ61" s="100">
        <v>13791.036934493948</v>
      </c>
      <c r="BR61" s="100">
        <v>13.440524761089792</v>
      </c>
      <c r="BS61" s="100">
        <v>12790.003362653044</v>
      </c>
      <c r="BT61" s="100">
        <v>13.572264221963021</v>
      </c>
      <c r="BU61" s="100">
        <v>12915.366633620009</v>
      </c>
      <c r="BV61" s="100">
        <v>10</v>
      </c>
      <c r="BW61" s="100">
        <v>9516</v>
      </c>
      <c r="BX61" s="100">
        <v>9.1927451040295782</v>
      </c>
      <c r="BY61" s="100">
        <v>8747.8162409945453</v>
      </c>
      <c r="BZ61" s="100">
        <v>7.1273016336242447</v>
      </c>
      <c r="CA61" s="100">
        <v>6782.3402345568311</v>
      </c>
      <c r="CB61" s="100">
        <v>9.5318007234259241</v>
      </c>
      <c r="CC61" s="100">
        <v>9070.461568412109</v>
      </c>
      <c r="CD61" s="100">
        <v>14</v>
      </c>
      <c r="CE61" s="100">
        <v>13322.399999999998</v>
      </c>
      <c r="CF61" s="100">
        <v>15.666355034400393</v>
      </c>
      <c r="CG61" s="100">
        <v>14908.103450735412</v>
      </c>
      <c r="CH61" s="100">
        <v>12.445667265820378</v>
      </c>
      <c r="CI61" s="100">
        <v>11843.29697015467</v>
      </c>
      <c r="CJ61" s="100">
        <v>12.837988147127325</v>
      </c>
      <c r="CK61" s="100">
        <v>12216.62952080636</v>
      </c>
      <c r="CL61" s="100">
        <v>10.791037430371411</v>
      </c>
      <c r="CM61" s="100">
        <v>10268.751218741434</v>
      </c>
      <c r="CN61" s="100">
        <v>10</v>
      </c>
      <c r="CO61" s="100">
        <v>9516</v>
      </c>
      <c r="CP61" s="100">
        <v>13</v>
      </c>
      <c r="CQ61" s="100">
        <v>12370.8</v>
      </c>
      <c r="CR61" s="100">
        <v>14.399531985711636</v>
      </c>
      <c r="CS61" s="100">
        <v>13702.594637603192</v>
      </c>
      <c r="CT61" s="100">
        <v>8</v>
      </c>
      <c r="CU61" s="100">
        <v>7612.7999999999993</v>
      </c>
    </row>
    <row r="62" spans="2:99">
      <c r="C62" s="99" t="s">
        <v>228</v>
      </c>
      <c r="D62" s="100">
        <v>8</v>
      </c>
      <c r="E62" s="100">
        <v>13353.6</v>
      </c>
      <c r="F62" s="100">
        <v>14</v>
      </c>
      <c r="G62" s="100">
        <v>23368.799999999999</v>
      </c>
      <c r="H62" s="100">
        <v>12.660869565217391</v>
      </c>
      <c r="I62" s="100">
        <v>21133.523478260871</v>
      </c>
      <c r="J62" s="100">
        <v>8.0281690140845061</v>
      </c>
      <c r="K62" s="100">
        <v>13400.619718309857</v>
      </c>
      <c r="L62" s="100">
        <v>13.636363636363637</v>
      </c>
      <c r="M62" s="100">
        <v>22761.818181818184</v>
      </c>
      <c r="N62" s="100">
        <v>13.103448275862069</v>
      </c>
      <c r="O62" s="100">
        <v>21872.275862068967</v>
      </c>
      <c r="P62" s="100">
        <v>10</v>
      </c>
      <c r="Q62" s="100">
        <v>16692</v>
      </c>
      <c r="R62" s="100">
        <v>12</v>
      </c>
      <c r="S62" s="100">
        <v>20030.400000000001</v>
      </c>
      <c r="T62" s="100">
        <v>12</v>
      </c>
      <c r="U62" s="100">
        <v>20030.400000000001</v>
      </c>
      <c r="V62" s="100">
        <v>8</v>
      </c>
      <c r="W62" s="100">
        <v>13353.6</v>
      </c>
      <c r="X62" s="100">
        <v>12</v>
      </c>
      <c r="Y62" s="100">
        <v>20030.400000000001</v>
      </c>
      <c r="Z62" s="100">
        <v>14</v>
      </c>
      <c r="AA62" s="100">
        <v>23368.799999999999</v>
      </c>
      <c r="AB62" s="100">
        <v>13</v>
      </c>
      <c r="AC62" s="100">
        <v>21699.600000000002</v>
      </c>
      <c r="AD62" s="100">
        <v>11</v>
      </c>
      <c r="AE62" s="100">
        <v>18361.2</v>
      </c>
      <c r="AF62" s="100">
        <v>14</v>
      </c>
      <c r="AG62" s="100">
        <v>23368.799999999999</v>
      </c>
      <c r="AH62" s="100">
        <v>10</v>
      </c>
      <c r="AI62" s="100">
        <v>16692</v>
      </c>
      <c r="AJ62" s="100">
        <v>13</v>
      </c>
      <c r="AK62" s="100">
        <v>21699.600000000002</v>
      </c>
      <c r="AL62" s="100">
        <v>8</v>
      </c>
      <c r="AM62" s="100">
        <v>13353.6</v>
      </c>
      <c r="AN62" s="100">
        <v>10</v>
      </c>
      <c r="AO62" s="100">
        <v>16692</v>
      </c>
      <c r="AP62" s="100">
        <v>9</v>
      </c>
      <c r="AQ62" s="100">
        <v>15022.800000000001</v>
      </c>
      <c r="AR62" s="100">
        <v>8</v>
      </c>
      <c r="AS62" s="100">
        <v>13353.6</v>
      </c>
      <c r="AT62" s="100">
        <v>14</v>
      </c>
      <c r="AU62" s="100">
        <v>23368.799999999999</v>
      </c>
      <c r="AV62" s="100">
        <v>9</v>
      </c>
      <c r="AW62" s="100">
        <v>15022.800000000001</v>
      </c>
      <c r="AX62" s="100">
        <v>13</v>
      </c>
      <c r="AY62" s="100">
        <v>21699.600000000002</v>
      </c>
      <c r="AZ62" s="100">
        <v>15</v>
      </c>
      <c r="BA62" s="100">
        <v>25038</v>
      </c>
      <c r="BB62" s="100">
        <v>13</v>
      </c>
      <c r="BC62" s="100">
        <v>21699.600000000002</v>
      </c>
      <c r="BD62" s="100">
        <v>12</v>
      </c>
      <c r="BE62" s="100">
        <v>20030.400000000001</v>
      </c>
      <c r="BF62" s="100">
        <v>15</v>
      </c>
      <c r="BG62" s="100">
        <v>25038</v>
      </c>
      <c r="BH62" s="100">
        <v>9</v>
      </c>
      <c r="BI62" s="100">
        <v>15022.800000000001</v>
      </c>
      <c r="BJ62" s="100">
        <v>11</v>
      </c>
      <c r="BK62" s="100">
        <v>18361.2</v>
      </c>
      <c r="BL62" s="100">
        <v>13</v>
      </c>
      <c r="BM62" s="100">
        <v>21699.600000000002</v>
      </c>
      <c r="BN62" s="100">
        <v>13</v>
      </c>
      <c r="BO62" s="100">
        <v>21699.600000000002</v>
      </c>
      <c r="BP62" s="100">
        <v>14</v>
      </c>
      <c r="BQ62" s="100">
        <v>23368.799999999999</v>
      </c>
      <c r="BR62" s="100">
        <v>13</v>
      </c>
      <c r="BS62" s="100">
        <v>21699.600000000002</v>
      </c>
      <c r="BT62" s="100">
        <v>12</v>
      </c>
      <c r="BU62" s="100">
        <v>20030.400000000001</v>
      </c>
      <c r="BV62" s="100">
        <v>9</v>
      </c>
      <c r="BW62" s="100">
        <v>15022.800000000001</v>
      </c>
      <c r="BX62" s="100">
        <v>10</v>
      </c>
      <c r="BY62" s="100">
        <v>16692</v>
      </c>
      <c r="BZ62" s="100">
        <v>8</v>
      </c>
      <c r="CA62" s="100">
        <v>13353.6</v>
      </c>
      <c r="CB62" s="100">
        <v>12</v>
      </c>
      <c r="CC62" s="100">
        <v>20030.400000000001</v>
      </c>
      <c r="CD62" s="100">
        <v>13</v>
      </c>
      <c r="CE62" s="100">
        <v>21699.600000000002</v>
      </c>
      <c r="CF62" s="100">
        <v>15</v>
      </c>
      <c r="CG62" s="100">
        <v>25038</v>
      </c>
      <c r="CH62" s="100">
        <v>13</v>
      </c>
      <c r="CI62" s="100">
        <v>21699.600000000002</v>
      </c>
      <c r="CJ62" s="100">
        <v>14</v>
      </c>
      <c r="CK62" s="100">
        <v>23368.799999999999</v>
      </c>
      <c r="CL62" s="100">
        <v>12</v>
      </c>
      <c r="CM62" s="100">
        <v>20030.400000000001</v>
      </c>
      <c r="CN62" s="100">
        <v>9</v>
      </c>
      <c r="CO62" s="100">
        <v>15022.800000000001</v>
      </c>
      <c r="CP62" s="100">
        <v>14</v>
      </c>
      <c r="CQ62" s="100">
        <v>23368.799999999999</v>
      </c>
      <c r="CR62" s="100">
        <v>12.06586826347306</v>
      </c>
      <c r="CS62" s="100">
        <v>20140.347305389234</v>
      </c>
      <c r="CT62" s="100">
        <v>3.1275458655228574</v>
      </c>
      <c r="CU62" s="100">
        <v>5220.499558730754</v>
      </c>
    </row>
    <row r="63" spans="2:99">
      <c r="C63" s="99" t="s">
        <v>229</v>
      </c>
      <c r="D63" s="100">
        <v>8.0906152847043398</v>
      </c>
      <c r="E63" s="100">
        <v>6436.8935205107728</v>
      </c>
      <c r="F63" s="100">
        <v>14</v>
      </c>
      <c r="G63" s="100">
        <v>11138.4</v>
      </c>
      <c r="H63" s="100">
        <v>16.000777064086311</v>
      </c>
      <c r="I63" s="100">
        <v>12730.21823218707</v>
      </c>
      <c r="J63" s="100">
        <v>10</v>
      </c>
      <c r="K63" s="100">
        <v>7956</v>
      </c>
      <c r="L63" s="100">
        <v>17</v>
      </c>
      <c r="M63" s="100">
        <v>13525.2</v>
      </c>
      <c r="N63" s="100">
        <v>15</v>
      </c>
      <c r="O63" s="100">
        <v>11934</v>
      </c>
      <c r="P63" s="100">
        <v>11</v>
      </c>
      <c r="Q63" s="100">
        <v>8751.6</v>
      </c>
      <c r="R63" s="100">
        <v>14</v>
      </c>
      <c r="S63" s="100">
        <v>11138.4</v>
      </c>
      <c r="T63" s="100">
        <v>13</v>
      </c>
      <c r="U63" s="100">
        <v>10342.800000000001</v>
      </c>
      <c r="V63" s="100">
        <v>9</v>
      </c>
      <c r="W63" s="100">
        <v>7160.4000000000005</v>
      </c>
      <c r="X63" s="100">
        <v>13</v>
      </c>
      <c r="Y63" s="100">
        <v>10342.800000000001</v>
      </c>
      <c r="Z63" s="100">
        <v>14</v>
      </c>
      <c r="AA63" s="100">
        <v>11138.4</v>
      </c>
      <c r="AB63" s="100">
        <v>11.271713972379178</v>
      </c>
      <c r="AC63" s="100">
        <v>8967.7756364248744</v>
      </c>
      <c r="AD63" s="100">
        <v>9.7303799051639643</v>
      </c>
      <c r="AE63" s="100">
        <v>7741.4902525484504</v>
      </c>
      <c r="AF63" s="100">
        <v>13.159512000543751</v>
      </c>
      <c r="AG63" s="100">
        <v>10469.707747632609</v>
      </c>
      <c r="AH63" s="100">
        <v>11</v>
      </c>
      <c r="AI63" s="100">
        <v>8751.6</v>
      </c>
      <c r="AJ63" s="100">
        <v>14</v>
      </c>
      <c r="AK63" s="100">
        <v>11138.4</v>
      </c>
      <c r="AL63" s="100">
        <v>9</v>
      </c>
      <c r="AM63" s="100">
        <v>7160.4000000000005</v>
      </c>
      <c r="AN63" s="100">
        <v>11</v>
      </c>
      <c r="AO63" s="100">
        <v>8751.6</v>
      </c>
      <c r="AP63" s="100">
        <v>9</v>
      </c>
      <c r="AQ63" s="100">
        <v>7160.4000000000005</v>
      </c>
      <c r="AR63" s="100">
        <v>10</v>
      </c>
      <c r="AS63" s="100">
        <v>7956</v>
      </c>
      <c r="AT63" s="100">
        <v>12</v>
      </c>
      <c r="AU63" s="100">
        <v>9547.2000000000007</v>
      </c>
      <c r="AV63" s="100">
        <v>10</v>
      </c>
      <c r="AW63" s="100">
        <v>7956</v>
      </c>
      <c r="AX63" s="100">
        <v>14</v>
      </c>
      <c r="AY63" s="100">
        <v>11138.4</v>
      </c>
      <c r="AZ63" s="100">
        <v>15.388215861948096</v>
      </c>
      <c r="BA63" s="100">
        <v>12242.864539765906</v>
      </c>
      <c r="BB63" s="100">
        <v>10.955455803408345</v>
      </c>
      <c r="BC63" s="100">
        <v>8716.1606371916787</v>
      </c>
      <c r="BD63" s="100">
        <v>14</v>
      </c>
      <c r="BE63" s="100">
        <v>11138.4</v>
      </c>
      <c r="BF63" s="100">
        <v>12.971779430417248</v>
      </c>
      <c r="BG63" s="100">
        <v>10320.347714839963</v>
      </c>
      <c r="BH63" s="100">
        <v>9</v>
      </c>
      <c r="BI63" s="100">
        <v>7160.4000000000005</v>
      </c>
      <c r="BJ63" s="100">
        <v>10.869049149882713</v>
      </c>
      <c r="BK63" s="100">
        <v>8647.4155036466873</v>
      </c>
      <c r="BL63" s="100">
        <v>12.760047195670351</v>
      </c>
      <c r="BM63" s="100">
        <v>10151.893548875332</v>
      </c>
      <c r="BN63" s="100">
        <v>14</v>
      </c>
      <c r="BO63" s="100">
        <v>11138.4</v>
      </c>
      <c r="BP63" s="100">
        <v>15.398252146805193</v>
      </c>
      <c r="BQ63" s="100">
        <v>12250.849407998212</v>
      </c>
      <c r="BR63" s="100">
        <v>12.60049196352168</v>
      </c>
      <c r="BS63" s="100">
        <v>10024.951406177848</v>
      </c>
      <c r="BT63" s="100">
        <v>12.602816777537091</v>
      </c>
      <c r="BU63" s="100">
        <v>10026.801028208511</v>
      </c>
      <c r="BV63" s="100">
        <v>10</v>
      </c>
      <c r="BW63" s="100">
        <v>7956</v>
      </c>
      <c r="BX63" s="100">
        <v>8.2734705936266195</v>
      </c>
      <c r="BY63" s="100">
        <v>6582.3732042893389</v>
      </c>
      <c r="BZ63" s="100">
        <v>7.1273016336242447</v>
      </c>
      <c r="CA63" s="100">
        <v>5670.4811797114489</v>
      </c>
      <c r="CB63" s="100">
        <v>9.5318007234259241</v>
      </c>
      <c r="CC63" s="100">
        <v>7583.5006555576656</v>
      </c>
      <c r="CD63" s="100">
        <v>13</v>
      </c>
      <c r="CE63" s="100">
        <v>10342.800000000001</v>
      </c>
      <c r="CF63" s="100">
        <v>15.666355034400393</v>
      </c>
      <c r="CG63" s="100">
        <v>12464.152065368953</v>
      </c>
      <c r="CH63" s="100">
        <v>13.22352146993415</v>
      </c>
      <c r="CI63" s="100">
        <v>10520.63368147961</v>
      </c>
      <c r="CJ63" s="100">
        <v>12.837988147127325</v>
      </c>
      <c r="CK63" s="100">
        <v>10213.903369854499</v>
      </c>
      <c r="CL63" s="100">
        <v>9.9609576280351479</v>
      </c>
      <c r="CM63" s="100">
        <v>7924.9378888647643</v>
      </c>
      <c r="CN63" s="100">
        <v>11</v>
      </c>
      <c r="CO63" s="100">
        <v>8751.6</v>
      </c>
      <c r="CP63" s="100">
        <v>13</v>
      </c>
      <c r="CQ63" s="100">
        <v>10342.800000000001</v>
      </c>
      <c r="CR63" s="100">
        <v>13.439563186664193</v>
      </c>
      <c r="CS63" s="100">
        <v>10692.516471310033</v>
      </c>
      <c r="CT63" s="100">
        <v>10</v>
      </c>
      <c r="CU63" s="100">
        <v>7956</v>
      </c>
    </row>
    <row r="64" spans="2:99">
      <c r="C64" s="99" t="s">
        <v>230</v>
      </c>
      <c r="D64" s="100">
        <v>8.9895725385603775</v>
      </c>
      <c r="E64" s="100">
        <v>9072.2766059151309</v>
      </c>
      <c r="F64" s="100">
        <v>16</v>
      </c>
      <c r="G64" s="100">
        <v>16147.199999999997</v>
      </c>
      <c r="H64" s="100">
        <v>16.941999244326681</v>
      </c>
      <c r="I64" s="100">
        <v>17097.865637374482</v>
      </c>
      <c r="J64" s="100">
        <v>10</v>
      </c>
      <c r="K64" s="100">
        <v>10091.999999999998</v>
      </c>
      <c r="L64" s="100">
        <v>15</v>
      </c>
      <c r="M64" s="100">
        <v>15137.999999999996</v>
      </c>
      <c r="N64" s="100">
        <v>15</v>
      </c>
      <c r="O64" s="100">
        <v>15137.999999999996</v>
      </c>
      <c r="P64" s="100">
        <v>11</v>
      </c>
      <c r="Q64" s="100">
        <v>11101.199999999997</v>
      </c>
      <c r="R64" s="100">
        <v>14</v>
      </c>
      <c r="S64" s="100">
        <v>14128.799999999997</v>
      </c>
      <c r="T64" s="100">
        <v>14</v>
      </c>
      <c r="U64" s="100">
        <v>14128.799999999997</v>
      </c>
      <c r="V64" s="100">
        <v>9</v>
      </c>
      <c r="W64" s="100">
        <v>9082.7999999999993</v>
      </c>
      <c r="X64" s="100">
        <v>13</v>
      </c>
      <c r="Y64" s="100">
        <v>13119.599999999999</v>
      </c>
      <c r="Z64" s="100">
        <v>14</v>
      </c>
      <c r="AA64" s="100">
        <v>14128.799999999997</v>
      </c>
      <c r="AB64" s="100">
        <v>12.138768893331422</v>
      </c>
      <c r="AC64" s="100">
        <v>12250.445567150069</v>
      </c>
      <c r="AD64" s="100">
        <v>10.703417895680362</v>
      </c>
      <c r="AE64" s="100">
        <v>10801.889340320618</v>
      </c>
      <c r="AF64" s="100">
        <v>14.099477143439733</v>
      </c>
      <c r="AG64" s="100">
        <v>14229.192333159377</v>
      </c>
      <c r="AH64" s="100">
        <v>12</v>
      </c>
      <c r="AI64" s="100">
        <v>12110.399999999998</v>
      </c>
      <c r="AJ64" s="100">
        <v>15</v>
      </c>
      <c r="AK64" s="100">
        <v>15137.999999999996</v>
      </c>
      <c r="AL64" s="100">
        <v>9</v>
      </c>
      <c r="AM64" s="100">
        <v>9082.7999999999993</v>
      </c>
      <c r="AN64" s="100">
        <v>10</v>
      </c>
      <c r="AO64" s="100">
        <v>10091.999999999998</v>
      </c>
      <c r="AP64" s="100">
        <v>10</v>
      </c>
      <c r="AQ64" s="100">
        <v>10091.999999999998</v>
      </c>
      <c r="AR64" s="100">
        <v>10</v>
      </c>
      <c r="AS64" s="100">
        <v>10091.999999999998</v>
      </c>
      <c r="AT64" s="100">
        <v>13</v>
      </c>
      <c r="AU64" s="100">
        <v>13119.599999999999</v>
      </c>
      <c r="AV64" s="100">
        <v>9</v>
      </c>
      <c r="AW64" s="100">
        <v>9082.7999999999993</v>
      </c>
      <c r="AX64" s="100">
        <v>13</v>
      </c>
      <c r="AY64" s="100">
        <v>13119.599999999999</v>
      </c>
      <c r="AZ64" s="100">
        <v>14.426452370576339</v>
      </c>
      <c r="BA64" s="100">
        <v>14559.175732385638</v>
      </c>
      <c r="BB64" s="100">
        <v>11.798183172901293</v>
      </c>
      <c r="BC64" s="100">
        <v>11906.726458091984</v>
      </c>
      <c r="BD64" s="100">
        <v>14</v>
      </c>
      <c r="BE64" s="100">
        <v>14128.799999999997</v>
      </c>
      <c r="BF64" s="100">
        <v>11.445687732721101</v>
      </c>
      <c r="BG64" s="100">
        <v>11550.988059862133</v>
      </c>
      <c r="BH64" s="100">
        <v>10</v>
      </c>
      <c r="BI64" s="100">
        <v>10091.999999999998</v>
      </c>
      <c r="BJ64" s="100">
        <v>10.869049149882713</v>
      </c>
      <c r="BK64" s="100">
        <v>10969.044402061632</v>
      </c>
      <c r="BL64" s="100">
        <v>14.582911080766113</v>
      </c>
      <c r="BM64" s="100">
        <v>14717.07386270916</v>
      </c>
      <c r="BN64" s="100">
        <v>13</v>
      </c>
      <c r="BO64" s="100">
        <v>13119.599999999999</v>
      </c>
      <c r="BP64" s="100">
        <v>13.586693070710464</v>
      </c>
      <c r="BQ64" s="100">
        <v>13711.690646960997</v>
      </c>
      <c r="BR64" s="100">
        <v>12.60049196352168</v>
      </c>
      <c r="BS64" s="100">
        <v>12716.416489586078</v>
      </c>
      <c r="BT64" s="100">
        <v>12.602816777537091</v>
      </c>
      <c r="BU64" s="100">
        <v>12718.76269189043</v>
      </c>
      <c r="BV64" s="100">
        <v>9</v>
      </c>
      <c r="BW64" s="100">
        <v>9082.7999999999993</v>
      </c>
      <c r="BX64" s="100">
        <v>9.1927451040295782</v>
      </c>
      <c r="BY64" s="100">
        <v>9277.3183589866494</v>
      </c>
      <c r="BZ64" s="100">
        <v>7.919224037360272</v>
      </c>
      <c r="CA64" s="100">
        <v>7992.0808985039848</v>
      </c>
      <c r="CB64" s="100">
        <v>10.326117450378085</v>
      </c>
      <c r="CC64" s="100">
        <v>10421.117730921562</v>
      </c>
      <c r="CD64" s="100">
        <v>12</v>
      </c>
      <c r="CE64" s="100">
        <v>12110.399999999998</v>
      </c>
      <c r="CF64" s="100">
        <v>13.823254442117994</v>
      </c>
      <c r="CG64" s="100">
        <v>13950.428382985478</v>
      </c>
      <c r="CH64" s="100">
        <v>13.22352146993415</v>
      </c>
      <c r="CI64" s="100">
        <v>13345.177867457542</v>
      </c>
      <c r="CJ64" s="100">
        <v>12.837988147127325</v>
      </c>
      <c r="CK64" s="100">
        <v>12956.097638080893</v>
      </c>
      <c r="CL64" s="100">
        <v>10.791037430371411</v>
      </c>
      <c r="CM64" s="100">
        <v>10890.314974730825</v>
      </c>
      <c r="CN64" s="100">
        <v>11</v>
      </c>
      <c r="CO64" s="100">
        <v>11101.199999999997</v>
      </c>
      <c r="CP64" s="100">
        <v>13</v>
      </c>
      <c r="CQ64" s="100">
        <v>13119.599999999999</v>
      </c>
      <c r="CR64" s="100">
        <v>15.359500784759078</v>
      </c>
      <c r="CS64" s="100">
        <v>15500.808191978858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8.0906152847043398</v>
      </c>
      <c r="E65" s="100">
        <v>8300.9712821066532</v>
      </c>
      <c r="F65" s="100">
        <v>15</v>
      </c>
      <c r="G65" s="100">
        <v>15390</v>
      </c>
      <c r="H65" s="100">
        <v>16.000777064086311</v>
      </c>
      <c r="I65" s="100">
        <v>16416.797267752554</v>
      </c>
      <c r="J65" s="100">
        <v>10</v>
      </c>
      <c r="K65" s="100">
        <v>10260</v>
      </c>
      <c r="L65" s="100">
        <v>15</v>
      </c>
      <c r="M65" s="100">
        <v>15390</v>
      </c>
      <c r="N65" s="100">
        <v>15</v>
      </c>
      <c r="O65" s="100">
        <v>15390</v>
      </c>
      <c r="P65" s="100">
        <v>9</v>
      </c>
      <c r="Q65" s="100">
        <v>9234</v>
      </c>
      <c r="R65" s="100">
        <v>12</v>
      </c>
      <c r="S65" s="100">
        <v>12312</v>
      </c>
      <c r="T65" s="100">
        <v>14</v>
      </c>
      <c r="U65" s="100">
        <v>14364</v>
      </c>
      <c r="V65" s="100">
        <v>8</v>
      </c>
      <c r="W65" s="100">
        <v>8208</v>
      </c>
      <c r="X65" s="100">
        <v>11</v>
      </c>
      <c r="Y65" s="100">
        <v>11286</v>
      </c>
      <c r="Z65" s="100">
        <v>13</v>
      </c>
      <c r="AA65" s="100">
        <v>13338</v>
      </c>
      <c r="AB65" s="100">
        <v>11.271713972379178</v>
      </c>
      <c r="AC65" s="100">
        <v>11564.778535661037</v>
      </c>
      <c r="AD65" s="100">
        <v>10.703417895680362</v>
      </c>
      <c r="AE65" s="100">
        <v>10981.706760968051</v>
      </c>
      <c r="AF65" s="100">
        <v>14.099477143439733</v>
      </c>
      <c r="AG65" s="100">
        <v>14466.063549169166</v>
      </c>
      <c r="AH65" s="100">
        <v>13</v>
      </c>
      <c r="AI65" s="100">
        <v>13338</v>
      </c>
      <c r="AJ65" s="100">
        <v>15</v>
      </c>
      <c r="AK65" s="100">
        <v>15390</v>
      </c>
      <c r="AL65" s="100">
        <v>9</v>
      </c>
      <c r="AM65" s="100">
        <v>9234</v>
      </c>
      <c r="AN65" s="100">
        <v>9</v>
      </c>
      <c r="AO65" s="100">
        <v>9234</v>
      </c>
      <c r="AP65" s="100">
        <v>10</v>
      </c>
      <c r="AQ65" s="100">
        <v>10260</v>
      </c>
      <c r="AR65" s="100">
        <v>9</v>
      </c>
      <c r="AS65" s="100">
        <v>9234</v>
      </c>
      <c r="AT65" s="100">
        <v>13</v>
      </c>
      <c r="AU65" s="100">
        <v>13338</v>
      </c>
      <c r="AV65" s="100">
        <v>9</v>
      </c>
      <c r="AW65" s="100">
        <v>9234</v>
      </c>
      <c r="AX65" s="100">
        <v>13</v>
      </c>
      <c r="AY65" s="100">
        <v>13338</v>
      </c>
      <c r="AZ65" s="100">
        <v>12.502925387832827</v>
      </c>
      <c r="BA65" s="100">
        <v>12828.00144791648</v>
      </c>
      <c r="BB65" s="100">
        <v>10.955455803408345</v>
      </c>
      <c r="BC65" s="100">
        <v>11240.297654296963</v>
      </c>
      <c r="BD65" s="100">
        <v>13</v>
      </c>
      <c r="BE65" s="100">
        <v>13338</v>
      </c>
      <c r="BF65" s="100">
        <v>11.445687732721101</v>
      </c>
      <c r="BG65" s="100">
        <v>11743.27561377185</v>
      </c>
      <c r="BH65" s="100">
        <v>10</v>
      </c>
      <c r="BI65" s="100">
        <v>10260</v>
      </c>
      <c r="BJ65" s="100">
        <v>10.869049149882713</v>
      </c>
      <c r="BK65" s="100">
        <v>11151.644427779664</v>
      </c>
      <c r="BL65" s="100">
        <v>14.582911080766113</v>
      </c>
      <c r="BM65" s="100">
        <v>14962.066768866032</v>
      </c>
      <c r="BN65" s="100">
        <v>13</v>
      </c>
      <c r="BO65" s="100">
        <v>13338</v>
      </c>
      <c r="BP65" s="100">
        <v>12.680913532663102</v>
      </c>
      <c r="BQ65" s="100">
        <v>13010.617284512342</v>
      </c>
      <c r="BR65" s="100">
        <v>12.60049196352168</v>
      </c>
      <c r="BS65" s="100">
        <v>12928.104754573244</v>
      </c>
      <c r="BT65" s="100">
        <v>11.63336933311116</v>
      </c>
      <c r="BU65" s="100">
        <v>11935.836935772049</v>
      </c>
      <c r="BV65" s="100">
        <v>10</v>
      </c>
      <c r="BW65" s="100">
        <v>10260</v>
      </c>
      <c r="BX65" s="100">
        <v>8.2734705936266195</v>
      </c>
      <c r="BY65" s="100">
        <v>8488.5808290609111</v>
      </c>
      <c r="BZ65" s="100">
        <v>7.919224037360272</v>
      </c>
      <c r="CA65" s="100">
        <v>8125.1238623316394</v>
      </c>
      <c r="CB65" s="100">
        <v>8.7374839964737632</v>
      </c>
      <c r="CC65" s="100">
        <v>8964.6585803820817</v>
      </c>
      <c r="CD65" s="100">
        <v>14</v>
      </c>
      <c r="CE65" s="100">
        <v>14364</v>
      </c>
      <c r="CF65" s="100">
        <v>12.901704145976794</v>
      </c>
      <c r="CG65" s="100">
        <v>13237.14845377219</v>
      </c>
      <c r="CH65" s="100">
        <v>10.889958857592831</v>
      </c>
      <c r="CI65" s="100">
        <v>11173.097787890245</v>
      </c>
      <c r="CJ65" s="100">
        <v>12.837988147127325</v>
      </c>
      <c r="CK65" s="100">
        <v>13171.775838952635</v>
      </c>
      <c r="CL65" s="100">
        <v>10.791037430371411</v>
      </c>
      <c r="CM65" s="100">
        <v>11071.604403561067</v>
      </c>
      <c r="CN65" s="100">
        <v>10</v>
      </c>
      <c r="CO65" s="100">
        <v>10260</v>
      </c>
      <c r="CP65" s="100">
        <v>14</v>
      </c>
      <c r="CQ65" s="100">
        <v>14364</v>
      </c>
      <c r="CR65" s="100">
        <v>14.399531985711636</v>
      </c>
      <c r="CS65" s="100">
        <v>14773.919817340138</v>
      </c>
      <c r="CT65" s="100">
        <v>9</v>
      </c>
      <c r="CU65" s="100">
        <v>9234</v>
      </c>
    </row>
    <row r="66" spans="2:99">
      <c r="C66" s="99" t="s">
        <v>232</v>
      </c>
      <c r="D66" s="100">
        <v>8.0906152847043398</v>
      </c>
      <c r="E66" s="100">
        <v>9631.0684349120456</v>
      </c>
      <c r="F66" s="100">
        <v>15</v>
      </c>
      <c r="G66" s="100">
        <v>17855.999999999996</v>
      </c>
      <c r="H66" s="100">
        <v>15.059554883845939</v>
      </c>
      <c r="I66" s="100">
        <v>17926.894133730202</v>
      </c>
      <c r="J66" s="100">
        <v>10</v>
      </c>
      <c r="K66" s="100">
        <v>11903.999999999998</v>
      </c>
      <c r="L66" s="100">
        <v>14</v>
      </c>
      <c r="M66" s="100">
        <v>16665.599999999999</v>
      </c>
      <c r="N66" s="100">
        <v>13</v>
      </c>
      <c r="O66" s="100">
        <v>15475.199999999999</v>
      </c>
      <c r="P66" s="100">
        <v>10</v>
      </c>
      <c r="Q66" s="100">
        <v>11903.999999999998</v>
      </c>
      <c r="R66" s="100">
        <v>13</v>
      </c>
      <c r="S66" s="100">
        <v>15475.199999999999</v>
      </c>
      <c r="T66" s="100">
        <v>12</v>
      </c>
      <c r="U66" s="100">
        <v>14284.8</v>
      </c>
      <c r="V66" s="100">
        <v>8</v>
      </c>
      <c r="W66" s="100">
        <v>9523.1999999999989</v>
      </c>
      <c r="X66" s="100">
        <v>11</v>
      </c>
      <c r="Y66" s="100">
        <v>13094.399999999998</v>
      </c>
      <c r="Z66" s="100">
        <v>15</v>
      </c>
      <c r="AA66" s="100">
        <v>17855.999999999996</v>
      </c>
      <c r="AB66" s="100">
        <v>10.404659051426933</v>
      </c>
      <c r="AC66" s="100">
        <v>12385.70613481862</v>
      </c>
      <c r="AD66" s="100">
        <v>10.703417895680362</v>
      </c>
      <c r="AE66" s="100">
        <v>12741.348663017901</v>
      </c>
      <c r="AF66" s="100">
        <v>14.099477143439733</v>
      </c>
      <c r="AG66" s="100">
        <v>16784.017591550655</v>
      </c>
      <c r="AH66" s="100">
        <v>12</v>
      </c>
      <c r="AI66" s="100">
        <v>14284.8</v>
      </c>
      <c r="AJ66" s="100">
        <v>15</v>
      </c>
      <c r="AK66" s="100">
        <v>17855.999999999996</v>
      </c>
      <c r="AL66" s="100">
        <v>9</v>
      </c>
      <c r="AM66" s="100">
        <v>10713.599999999999</v>
      </c>
      <c r="AN66" s="100">
        <v>9</v>
      </c>
      <c r="AO66" s="100">
        <v>10713.599999999999</v>
      </c>
      <c r="AP66" s="100">
        <v>10</v>
      </c>
      <c r="AQ66" s="100">
        <v>11903.999999999998</v>
      </c>
      <c r="AR66" s="100">
        <v>9</v>
      </c>
      <c r="AS66" s="100">
        <v>10713.599999999999</v>
      </c>
      <c r="AT66" s="100">
        <v>13</v>
      </c>
      <c r="AU66" s="100">
        <v>15475.199999999999</v>
      </c>
      <c r="AV66" s="100">
        <v>9</v>
      </c>
      <c r="AW66" s="100">
        <v>10713.599999999999</v>
      </c>
      <c r="AX66" s="100">
        <v>14</v>
      </c>
      <c r="AY66" s="100">
        <v>16665.599999999999</v>
      </c>
      <c r="AZ66" s="100">
        <v>13.464688879204584</v>
      </c>
      <c r="BA66" s="100">
        <v>16028.365641805134</v>
      </c>
      <c r="BB66" s="100">
        <v>11.798183172901293</v>
      </c>
      <c r="BC66" s="100">
        <v>14044.557249021698</v>
      </c>
      <c r="BD66" s="100">
        <v>12</v>
      </c>
      <c r="BE66" s="100">
        <v>14284.8</v>
      </c>
      <c r="BF66" s="100">
        <v>12.208733581569176</v>
      </c>
      <c r="BG66" s="100">
        <v>14533.276455499945</v>
      </c>
      <c r="BH66" s="100">
        <v>9</v>
      </c>
      <c r="BI66" s="100">
        <v>10713.599999999999</v>
      </c>
      <c r="BJ66" s="100">
        <v>10.869049149882713</v>
      </c>
      <c r="BK66" s="100">
        <v>12938.51610802038</v>
      </c>
      <c r="BL66" s="100">
        <v>11.848615253122468</v>
      </c>
      <c r="BM66" s="100">
        <v>14104.591597316983</v>
      </c>
      <c r="BN66" s="100">
        <v>14</v>
      </c>
      <c r="BO66" s="100">
        <v>16665.599999999999</v>
      </c>
      <c r="BP66" s="100">
        <v>15.398252146805193</v>
      </c>
      <c r="BQ66" s="100">
        <v>18330.0793555569</v>
      </c>
      <c r="BR66" s="100">
        <v>12.60049196352168</v>
      </c>
      <c r="BS66" s="100">
        <v>14999.625633376207</v>
      </c>
      <c r="BT66" s="100">
        <v>11.63336933311116</v>
      </c>
      <c r="BU66" s="100">
        <v>13848.362854135523</v>
      </c>
      <c r="BV66" s="100">
        <v>9</v>
      </c>
      <c r="BW66" s="100">
        <v>10713.599999999999</v>
      </c>
      <c r="BX66" s="100">
        <v>8.2734705936266195</v>
      </c>
      <c r="BY66" s="100">
        <v>9848.7393946531265</v>
      </c>
      <c r="BZ66" s="100">
        <v>6.3353792298882174</v>
      </c>
      <c r="CA66" s="100">
        <v>7541.6354352589333</v>
      </c>
      <c r="CB66" s="100">
        <v>10.326117450378085</v>
      </c>
      <c r="CC66" s="100">
        <v>12292.210212930071</v>
      </c>
      <c r="CD66" s="100">
        <v>14</v>
      </c>
      <c r="CE66" s="100">
        <v>16665.599999999999</v>
      </c>
      <c r="CF66" s="100">
        <v>13.823254442117994</v>
      </c>
      <c r="CG66" s="100">
        <v>16455.202087897258</v>
      </c>
      <c r="CH66" s="100">
        <v>10.889958857592831</v>
      </c>
      <c r="CI66" s="100">
        <v>12963.407024078504</v>
      </c>
      <c r="CJ66" s="100">
        <v>12.837988147127325</v>
      </c>
      <c r="CK66" s="100">
        <v>15282.341090340366</v>
      </c>
      <c r="CL66" s="100">
        <v>9.1308778256988852</v>
      </c>
      <c r="CM66" s="100">
        <v>10869.396963711952</v>
      </c>
      <c r="CN66" s="100">
        <v>10</v>
      </c>
      <c r="CO66" s="100">
        <v>11903.999999999998</v>
      </c>
      <c r="CP66" s="100">
        <v>13</v>
      </c>
      <c r="CQ66" s="100">
        <v>15475.199999999999</v>
      </c>
      <c r="CR66" s="100">
        <v>14.399531985711636</v>
      </c>
      <c r="CS66" s="100">
        <v>17141.202875791128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8.0906152847043398</v>
      </c>
      <c r="E67" s="100">
        <v>9087.3790877799147</v>
      </c>
      <c r="F67" s="100">
        <v>16</v>
      </c>
      <c r="G67" s="100">
        <v>17971.2</v>
      </c>
      <c r="H67" s="100">
        <v>16.941999244326681</v>
      </c>
      <c r="I67" s="100">
        <v>19029.253551227728</v>
      </c>
      <c r="J67" s="100">
        <v>10</v>
      </c>
      <c r="K67" s="100">
        <v>11232</v>
      </c>
      <c r="L67" s="100">
        <v>15</v>
      </c>
      <c r="M67" s="100">
        <v>16848</v>
      </c>
      <c r="N67" s="100">
        <v>15</v>
      </c>
      <c r="O67" s="100">
        <v>16848</v>
      </c>
      <c r="P67" s="100">
        <v>11</v>
      </c>
      <c r="Q67" s="100">
        <v>12355.2</v>
      </c>
      <c r="R67" s="100">
        <v>13</v>
      </c>
      <c r="S67" s="100">
        <v>14601.6</v>
      </c>
      <c r="T67" s="100">
        <v>12</v>
      </c>
      <c r="U67" s="100">
        <v>13478.400000000001</v>
      </c>
      <c r="V67" s="100">
        <v>8</v>
      </c>
      <c r="W67" s="100">
        <v>8985.6</v>
      </c>
      <c r="X67" s="100">
        <v>11</v>
      </c>
      <c r="Y67" s="100">
        <v>12355.2</v>
      </c>
      <c r="Z67" s="100">
        <v>13</v>
      </c>
      <c r="AA67" s="100">
        <v>14601.6</v>
      </c>
      <c r="AB67" s="100">
        <v>12.138768893331422</v>
      </c>
      <c r="AC67" s="100">
        <v>13634.265220989853</v>
      </c>
      <c r="AD67" s="100">
        <v>9.7303799051639643</v>
      </c>
      <c r="AE67" s="100">
        <v>10929.162709480166</v>
      </c>
      <c r="AF67" s="100">
        <v>14.099477143439733</v>
      </c>
      <c r="AG67" s="100">
        <v>15836.532727511509</v>
      </c>
      <c r="AH67" s="100">
        <v>13</v>
      </c>
      <c r="AI67" s="100">
        <v>14601.6</v>
      </c>
      <c r="AJ67" s="100">
        <v>15</v>
      </c>
      <c r="AK67" s="100">
        <v>16848</v>
      </c>
      <c r="AL67" s="100">
        <v>9</v>
      </c>
      <c r="AM67" s="100">
        <v>10108.800000000001</v>
      </c>
      <c r="AN67" s="100">
        <v>9</v>
      </c>
      <c r="AO67" s="100">
        <v>10108.800000000001</v>
      </c>
      <c r="AP67" s="100">
        <v>10</v>
      </c>
      <c r="AQ67" s="100">
        <v>11232</v>
      </c>
      <c r="AR67" s="100">
        <v>9</v>
      </c>
      <c r="AS67" s="100">
        <v>10108.800000000001</v>
      </c>
      <c r="AT67" s="100">
        <v>14</v>
      </c>
      <c r="AU67" s="100">
        <v>15724.800000000001</v>
      </c>
      <c r="AV67" s="100">
        <v>9</v>
      </c>
      <c r="AW67" s="100">
        <v>10108.800000000001</v>
      </c>
      <c r="AX67" s="100">
        <v>14</v>
      </c>
      <c r="AY67" s="100">
        <v>15724.800000000001</v>
      </c>
      <c r="AZ67" s="100">
        <v>15.388215861948096</v>
      </c>
      <c r="BA67" s="100">
        <v>17284.044056140101</v>
      </c>
      <c r="BB67" s="100">
        <v>11.798183172901293</v>
      </c>
      <c r="BC67" s="100">
        <v>13251.719339802734</v>
      </c>
      <c r="BD67" s="100">
        <v>13</v>
      </c>
      <c r="BE67" s="100">
        <v>14601.6</v>
      </c>
      <c r="BF67" s="100">
        <v>11.445687732721101</v>
      </c>
      <c r="BG67" s="100">
        <v>12855.796461392341</v>
      </c>
      <c r="BH67" s="100">
        <v>10</v>
      </c>
      <c r="BI67" s="100">
        <v>11232</v>
      </c>
      <c r="BJ67" s="100">
        <v>10.869049149882713</v>
      </c>
      <c r="BK67" s="100">
        <v>12208.116005148264</v>
      </c>
      <c r="BL67" s="100">
        <v>11.848615253122468</v>
      </c>
      <c r="BM67" s="100">
        <v>13308.364652307157</v>
      </c>
      <c r="BN67" s="100">
        <v>13</v>
      </c>
      <c r="BO67" s="100">
        <v>14601.6</v>
      </c>
      <c r="BP67" s="100">
        <v>15.398252146805193</v>
      </c>
      <c r="BQ67" s="100">
        <v>17295.316811291592</v>
      </c>
      <c r="BR67" s="100">
        <v>11.760459165953568</v>
      </c>
      <c r="BS67" s="100">
        <v>13209.347735199048</v>
      </c>
      <c r="BT67" s="100">
        <v>13.572264221963021</v>
      </c>
      <c r="BU67" s="100">
        <v>15244.367174108866</v>
      </c>
      <c r="BV67" s="100">
        <v>10</v>
      </c>
      <c r="BW67" s="100">
        <v>11232</v>
      </c>
      <c r="BX67" s="100">
        <v>10.112019614432537</v>
      </c>
      <c r="BY67" s="100">
        <v>11357.820430930626</v>
      </c>
      <c r="BZ67" s="100">
        <v>7.1273016336242447</v>
      </c>
      <c r="CA67" s="100">
        <v>8005.3851948867523</v>
      </c>
      <c r="CB67" s="100">
        <v>8.7374839964737632</v>
      </c>
      <c r="CC67" s="100">
        <v>9813.9420248393308</v>
      </c>
      <c r="CD67" s="100">
        <v>14</v>
      </c>
      <c r="CE67" s="100">
        <v>15724.800000000001</v>
      </c>
      <c r="CF67" s="100">
        <v>13.823254442117994</v>
      </c>
      <c r="CG67" s="100">
        <v>15526.279389386931</v>
      </c>
      <c r="CH67" s="100">
        <v>13.22352146993415</v>
      </c>
      <c r="CI67" s="100">
        <v>14852.659315030038</v>
      </c>
      <c r="CJ67" s="100">
        <v>12.837988147127325</v>
      </c>
      <c r="CK67" s="100">
        <v>14419.628286853411</v>
      </c>
      <c r="CL67" s="100">
        <v>10.791037430371411</v>
      </c>
      <c r="CM67" s="100">
        <v>12120.493241793169</v>
      </c>
      <c r="CN67" s="100">
        <v>9</v>
      </c>
      <c r="CO67" s="100">
        <v>10108.800000000001</v>
      </c>
      <c r="CP67" s="100">
        <v>14</v>
      </c>
      <c r="CQ67" s="100">
        <v>15724.800000000001</v>
      </c>
      <c r="CR67" s="100">
        <v>13.439563186664193</v>
      </c>
      <c r="CS67" s="100">
        <v>15095.317371261222</v>
      </c>
      <c r="CT67" s="100">
        <v>10</v>
      </c>
      <c r="CU67" s="100">
        <v>11232</v>
      </c>
    </row>
    <row r="68" spans="2:99">
      <c r="C68" s="99" t="s">
        <v>234</v>
      </c>
      <c r="D68" s="100">
        <v>8.0906152847043398</v>
      </c>
      <c r="E68" s="100">
        <v>8359.2237121565249</v>
      </c>
      <c r="F68" s="100">
        <v>14</v>
      </c>
      <c r="G68" s="100">
        <v>14464.800000000001</v>
      </c>
      <c r="H68" s="100">
        <v>15.059554883845939</v>
      </c>
      <c r="I68" s="100">
        <v>15559.532105989625</v>
      </c>
      <c r="J68" s="100">
        <v>9</v>
      </c>
      <c r="K68" s="100">
        <v>9298.8000000000011</v>
      </c>
      <c r="L68" s="100">
        <v>17</v>
      </c>
      <c r="M68" s="100">
        <v>17564.400000000001</v>
      </c>
      <c r="N68" s="100">
        <v>15</v>
      </c>
      <c r="O68" s="100">
        <v>15498</v>
      </c>
      <c r="P68" s="100">
        <v>11</v>
      </c>
      <c r="Q68" s="100">
        <v>11365.2</v>
      </c>
      <c r="R68" s="100">
        <v>13</v>
      </c>
      <c r="S68" s="100">
        <v>13431.6</v>
      </c>
      <c r="T68" s="100">
        <v>12</v>
      </c>
      <c r="U68" s="100">
        <v>12398.400000000001</v>
      </c>
      <c r="V68" s="100">
        <v>9</v>
      </c>
      <c r="W68" s="100">
        <v>9298.8000000000011</v>
      </c>
      <c r="X68" s="100">
        <v>11</v>
      </c>
      <c r="Y68" s="100">
        <v>11365.2</v>
      </c>
      <c r="Z68" s="100">
        <v>13</v>
      </c>
      <c r="AA68" s="100">
        <v>13431.6</v>
      </c>
      <c r="AB68" s="100">
        <v>11.271713972379178</v>
      </c>
      <c r="AC68" s="100">
        <v>11645.934876262167</v>
      </c>
      <c r="AD68" s="100">
        <v>9.7303799051639643</v>
      </c>
      <c r="AE68" s="100">
        <v>10053.428518015409</v>
      </c>
      <c r="AF68" s="100">
        <v>15.039442286335715</v>
      </c>
      <c r="AG68" s="100">
        <v>15538.751770242061</v>
      </c>
      <c r="AH68" s="100">
        <v>11</v>
      </c>
      <c r="AI68" s="100">
        <v>11365.2</v>
      </c>
      <c r="AJ68" s="100">
        <v>14</v>
      </c>
      <c r="AK68" s="100">
        <v>14464.800000000001</v>
      </c>
      <c r="AL68" s="100">
        <v>9</v>
      </c>
      <c r="AM68" s="100">
        <v>9298.8000000000011</v>
      </c>
      <c r="AN68" s="100">
        <v>9</v>
      </c>
      <c r="AO68" s="100">
        <v>9298.8000000000011</v>
      </c>
      <c r="AP68" s="100">
        <v>10</v>
      </c>
      <c r="AQ68" s="100">
        <v>10332</v>
      </c>
      <c r="AR68" s="100">
        <v>8</v>
      </c>
      <c r="AS68" s="100">
        <v>8265.6</v>
      </c>
      <c r="AT68" s="100">
        <v>12</v>
      </c>
      <c r="AU68" s="100">
        <v>12398.400000000001</v>
      </c>
      <c r="AV68" s="100">
        <v>9</v>
      </c>
      <c r="AW68" s="100">
        <v>9298.8000000000011</v>
      </c>
      <c r="AX68" s="100">
        <v>13</v>
      </c>
      <c r="AY68" s="100">
        <v>13431.6</v>
      </c>
      <c r="AZ68" s="100">
        <v>14.426452370576339</v>
      </c>
      <c r="BA68" s="100">
        <v>14905.410589279474</v>
      </c>
      <c r="BB68" s="100">
        <v>12.640910542394243</v>
      </c>
      <c r="BC68" s="100">
        <v>13060.588772401732</v>
      </c>
      <c r="BD68" s="100">
        <v>14</v>
      </c>
      <c r="BE68" s="100">
        <v>14464.800000000001</v>
      </c>
      <c r="BF68" s="100">
        <v>11.445687732721101</v>
      </c>
      <c r="BG68" s="100">
        <v>11825.684565447442</v>
      </c>
      <c r="BH68" s="100">
        <v>8</v>
      </c>
      <c r="BI68" s="100">
        <v>8265.6</v>
      </c>
      <c r="BJ68" s="100">
        <v>9.88095377262065</v>
      </c>
      <c r="BK68" s="100">
        <v>10209.001437871657</v>
      </c>
      <c r="BL68" s="100">
        <v>13.671479138218233</v>
      </c>
      <c r="BM68" s="100">
        <v>14125.372245607079</v>
      </c>
      <c r="BN68" s="100">
        <v>14</v>
      </c>
      <c r="BO68" s="100">
        <v>14464.800000000001</v>
      </c>
      <c r="BP68" s="100">
        <v>15.398252146805193</v>
      </c>
      <c r="BQ68" s="100">
        <v>15909.474118079126</v>
      </c>
      <c r="BR68" s="100">
        <v>11.760459165953568</v>
      </c>
      <c r="BS68" s="100">
        <v>12150.906410263227</v>
      </c>
      <c r="BT68" s="100">
        <v>13.572264221963021</v>
      </c>
      <c r="BU68" s="100">
        <v>14022.863394132193</v>
      </c>
      <c r="BV68" s="100">
        <v>10</v>
      </c>
      <c r="BW68" s="100">
        <v>10332</v>
      </c>
      <c r="BX68" s="100">
        <v>9.1927451040295782</v>
      </c>
      <c r="BY68" s="100">
        <v>9497.9442414833611</v>
      </c>
      <c r="BZ68" s="100">
        <v>7.1273016336242447</v>
      </c>
      <c r="CA68" s="100">
        <v>7363.9280478605697</v>
      </c>
      <c r="CB68" s="100">
        <v>9.5318007234259241</v>
      </c>
      <c r="CC68" s="100">
        <v>9848.2565074436661</v>
      </c>
      <c r="CD68" s="100">
        <v>13</v>
      </c>
      <c r="CE68" s="100">
        <v>13431.6</v>
      </c>
      <c r="CF68" s="100">
        <v>13.823254442117994</v>
      </c>
      <c r="CG68" s="100">
        <v>14282.186489596312</v>
      </c>
      <c r="CH68" s="100">
        <v>11.667813061706605</v>
      </c>
      <c r="CI68" s="100">
        <v>12055.184455355266</v>
      </c>
      <c r="CJ68" s="100">
        <v>11.920988993761085</v>
      </c>
      <c r="CK68" s="100">
        <v>12316.765828353953</v>
      </c>
      <c r="CL68" s="100">
        <v>10.791037430371411</v>
      </c>
      <c r="CM68" s="100">
        <v>11149.299873059743</v>
      </c>
      <c r="CN68" s="100">
        <v>9</v>
      </c>
      <c r="CO68" s="100">
        <v>9298.8000000000011</v>
      </c>
      <c r="CP68" s="100">
        <v>13</v>
      </c>
      <c r="CQ68" s="100">
        <v>13431.6</v>
      </c>
      <c r="CR68" s="100">
        <v>13.439563186664193</v>
      </c>
      <c r="CS68" s="100">
        <v>13885.756684461445</v>
      </c>
      <c r="CT68" s="100">
        <v>8</v>
      </c>
      <c r="CU68" s="100">
        <v>8265.6</v>
      </c>
    </row>
    <row r="69" spans="2:99">
      <c r="C69" s="99" t="s">
        <v>235</v>
      </c>
      <c r="D69" s="100">
        <v>8.9895725385603775</v>
      </c>
      <c r="E69" s="100">
        <v>6817.6918132441897</v>
      </c>
      <c r="F69" s="100">
        <v>15</v>
      </c>
      <c r="G69" s="100">
        <v>11376</v>
      </c>
      <c r="H69" s="100">
        <v>16.000777064086311</v>
      </c>
      <c r="I69" s="100">
        <v>12134.989325403058</v>
      </c>
      <c r="J69" s="100">
        <v>11</v>
      </c>
      <c r="K69" s="100">
        <v>8342.4</v>
      </c>
      <c r="L69" s="100">
        <v>17</v>
      </c>
      <c r="M69" s="100">
        <v>12892.8</v>
      </c>
      <c r="N69" s="100">
        <v>16</v>
      </c>
      <c r="O69" s="100">
        <v>12134.4</v>
      </c>
      <c r="P69" s="100">
        <v>10</v>
      </c>
      <c r="Q69" s="100">
        <v>7584</v>
      </c>
      <c r="R69" s="100">
        <v>13</v>
      </c>
      <c r="S69" s="100">
        <v>9859.1999999999989</v>
      </c>
      <c r="T69" s="100">
        <v>12</v>
      </c>
      <c r="U69" s="100">
        <v>9100.7999999999993</v>
      </c>
      <c r="V69" s="100">
        <v>9</v>
      </c>
      <c r="W69" s="100">
        <v>6825.5999999999995</v>
      </c>
      <c r="X69" s="100">
        <v>12</v>
      </c>
      <c r="Y69" s="100">
        <v>9100.7999999999993</v>
      </c>
      <c r="Z69" s="100">
        <v>14</v>
      </c>
      <c r="AA69" s="100">
        <v>10617.6</v>
      </c>
      <c r="AB69" s="100">
        <v>12.138768893331422</v>
      </c>
      <c r="AC69" s="100">
        <v>9206.0423287025496</v>
      </c>
      <c r="AD69" s="100">
        <v>11.676455886196758</v>
      </c>
      <c r="AE69" s="100">
        <v>8855.4241440916212</v>
      </c>
      <c r="AF69" s="100">
        <v>15.039442286335715</v>
      </c>
      <c r="AG69" s="100">
        <v>11405.913029957006</v>
      </c>
      <c r="AH69" s="100">
        <v>12</v>
      </c>
      <c r="AI69" s="100">
        <v>9100.7999999999993</v>
      </c>
      <c r="AJ69" s="100">
        <v>16</v>
      </c>
      <c r="AK69" s="100">
        <v>12134.4</v>
      </c>
      <c r="AL69" s="100">
        <v>9</v>
      </c>
      <c r="AM69" s="100">
        <v>6825.5999999999995</v>
      </c>
      <c r="AN69" s="100">
        <v>9</v>
      </c>
      <c r="AO69" s="100">
        <v>6825.5999999999995</v>
      </c>
      <c r="AP69" s="100">
        <v>10</v>
      </c>
      <c r="AQ69" s="100">
        <v>7584</v>
      </c>
      <c r="AR69" s="100">
        <v>10</v>
      </c>
      <c r="AS69" s="100">
        <v>7584</v>
      </c>
      <c r="AT69" s="100">
        <v>15</v>
      </c>
      <c r="AU69" s="100">
        <v>11376</v>
      </c>
      <c r="AV69" s="100">
        <v>10</v>
      </c>
      <c r="AW69" s="100">
        <v>7584</v>
      </c>
      <c r="AX69" s="100">
        <v>14</v>
      </c>
      <c r="AY69" s="100">
        <v>10617.6</v>
      </c>
      <c r="AZ69" s="100">
        <v>13.464688879204584</v>
      </c>
      <c r="BA69" s="100">
        <v>10211.620045988755</v>
      </c>
      <c r="BB69" s="100">
        <v>11.798183172901293</v>
      </c>
      <c r="BC69" s="100">
        <v>8947.7421183283404</v>
      </c>
      <c r="BD69" s="100">
        <v>13</v>
      </c>
      <c r="BE69" s="100">
        <v>9859.1999999999989</v>
      </c>
      <c r="BF69" s="100">
        <v>11.445687732721101</v>
      </c>
      <c r="BG69" s="100">
        <v>8680.4095764956819</v>
      </c>
      <c r="BH69" s="100">
        <v>10</v>
      </c>
      <c r="BI69" s="100">
        <v>7584</v>
      </c>
      <c r="BJ69" s="100">
        <v>12.845239904406844</v>
      </c>
      <c r="BK69" s="100">
        <v>9741.8299435021509</v>
      </c>
      <c r="BL69" s="100">
        <v>11.848615253122468</v>
      </c>
      <c r="BM69" s="100">
        <v>8985.9898079680788</v>
      </c>
      <c r="BN69" s="100">
        <v>15</v>
      </c>
      <c r="BO69" s="100">
        <v>11376</v>
      </c>
      <c r="BP69" s="100">
        <v>14.492472608757829</v>
      </c>
      <c r="BQ69" s="100">
        <v>10991.091226481938</v>
      </c>
      <c r="BR69" s="100">
        <v>14.280557558657904</v>
      </c>
      <c r="BS69" s="100">
        <v>10830.374852486155</v>
      </c>
      <c r="BT69" s="100">
        <v>13.572264221963021</v>
      </c>
      <c r="BU69" s="100">
        <v>10293.205185936755</v>
      </c>
      <c r="BV69" s="100">
        <v>9</v>
      </c>
      <c r="BW69" s="100">
        <v>6825.5999999999995</v>
      </c>
      <c r="BX69" s="100">
        <v>9.1927451040295782</v>
      </c>
      <c r="BY69" s="100">
        <v>6971.7778868960322</v>
      </c>
      <c r="BZ69" s="100">
        <v>7.1273016336242447</v>
      </c>
      <c r="CA69" s="100">
        <v>5405.3455589406267</v>
      </c>
      <c r="CB69" s="100">
        <v>10.326117450378085</v>
      </c>
      <c r="CC69" s="100">
        <v>7831.3274743667398</v>
      </c>
      <c r="CD69" s="100">
        <v>13</v>
      </c>
      <c r="CE69" s="100">
        <v>9859.1999999999989</v>
      </c>
      <c r="CF69" s="100">
        <v>13.823254442117994</v>
      </c>
      <c r="CG69" s="100">
        <v>10483.556168902287</v>
      </c>
      <c r="CH69" s="100">
        <v>14.001375674047924</v>
      </c>
      <c r="CI69" s="100">
        <v>10618.643311197946</v>
      </c>
      <c r="CJ69" s="100">
        <v>12.837988147127325</v>
      </c>
      <c r="CK69" s="100">
        <v>9736.3302107813633</v>
      </c>
      <c r="CL69" s="100">
        <v>10.791037430371411</v>
      </c>
      <c r="CM69" s="100">
        <v>8183.9227871936773</v>
      </c>
      <c r="CN69" s="100">
        <v>9</v>
      </c>
      <c r="CO69" s="100">
        <v>6825.5999999999995</v>
      </c>
      <c r="CP69" s="100">
        <v>13</v>
      </c>
      <c r="CQ69" s="100">
        <v>9859.1999999999989</v>
      </c>
      <c r="CR69" s="100">
        <v>14.399531985711636</v>
      </c>
      <c r="CS69" s="100">
        <v>10920.605057963705</v>
      </c>
      <c r="CT69" s="100">
        <v>10</v>
      </c>
      <c r="CU69" s="100">
        <v>7584</v>
      </c>
    </row>
    <row r="70" spans="2:99">
      <c r="C70" s="99" t="s">
        <v>236</v>
      </c>
      <c r="D70" s="100">
        <v>8.0906152847043398</v>
      </c>
      <c r="E70" s="100">
        <v>4330.0973003737618</v>
      </c>
      <c r="F70" s="100">
        <v>14</v>
      </c>
      <c r="G70" s="100">
        <v>7492.7999999999993</v>
      </c>
      <c r="H70" s="100">
        <v>16.000777064086311</v>
      </c>
      <c r="I70" s="100">
        <v>8563.6158846989929</v>
      </c>
      <c r="J70" s="100">
        <v>10</v>
      </c>
      <c r="K70" s="100">
        <v>5351.9999999999991</v>
      </c>
      <c r="L70" s="100">
        <v>16</v>
      </c>
      <c r="M70" s="100">
        <v>8563.1999999999989</v>
      </c>
      <c r="N70" s="100">
        <v>14</v>
      </c>
      <c r="O70" s="100">
        <v>7492.7999999999993</v>
      </c>
      <c r="P70" s="100">
        <v>10</v>
      </c>
      <c r="Q70" s="100">
        <v>5351.9999999999991</v>
      </c>
      <c r="R70" s="100">
        <v>13</v>
      </c>
      <c r="S70" s="100">
        <v>6957.5999999999995</v>
      </c>
      <c r="T70" s="100">
        <v>14</v>
      </c>
      <c r="U70" s="100">
        <v>7492.7999999999993</v>
      </c>
      <c r="V70" s="100">
        <v>10</v>
      </c>
      <c r="W70" s="100">
        <v>5351.9999999999991</v>
      </c>
      <c r="X70" s="100">
        <v>13</v>
      </c>
      <c r="Y70" s="100">
        <v>6957.5999999999995</v>
      </c>
      <c r="Z70" s="100">
        <v>15</v>
      </c>
      <c r="AA70" s="100">
        <v>8027.9999999999991</v>
      </c>
      <c r="AB70" s="100">
        <v>13.005823814283668</v>
      </c>
      <c r="AC70" s="100">
        <v>6960.716905404618</v>
      </c>
      <c r="AD70" s="100">
        <v>9.7303799051639643</v>
      </c>
      <c r="AE70" s="100">
        <v>5207.6993252437533</v>
      </c>
      <c r="AF70" s="100">
        <v>13.159512000543751</v>
      </c>
      <c r="AG70" s="100">
        <v>7042.9708226910143</v>
      </c>
      <c r="AH70" s="100">
        <v>13</v>
      </c>
      <c r="AI70" s="100">
        <v>6957.5999999999995</v>
      </c>
      <c r="AJ70" s="100">
        <v>16</v>
      </c>
      <c r="AK70" s="100">
        <v>8563.1999999999989</v>
      </c>
      <c r="AL70" s="100">
        <v>10</v>
      </c>
      <c r="AM70" s="100">
        <v>5351.9999999999991</v>
      </c>
      <c r="AN70" s="100">
        <v>11</v>
      </c>
      <c r="AO70" s="100">
        <v>5887.1999999999989</v>
      </c>
      <c r="AP70" s="100">
        <v>10</v>
      </c>
      <c r="AQ70" s="100">
        <v>5351.9999999999991</v>
      </c>
      <c r="AR70" s="100">
        <v>9</v>
      </c>
      <c r="AS70" s="100">
        <v>4816.7999999999993</v>
      </c>
      <c r="AT70" s="100">
        <v>14</v>
      </c>
      <c r="AU70" s="100">
        <v>7492.7999999999993</v>
      </c>
      <c r="AV70" s="100">
        <v>9</v>
      </c>
      <c r="AW70" s="100">
        <v>4816.7999999999993</v>
      </c>
      <c r="AX70" s="100">
        <v>14</v>
      </c>
      <c r="AY70" s="100">
        <v>7492.7999999999993</v>
      </c>
      <c r="AZ70" s="100">
        <v>13.464688879204584</v>
      </c>
      <c r="BA70" s="100">
        <v>7206.3014881502922</v>
      </c>
      <c r="BB70" s="100">
        <v>11.798183172901293</v>
      </c>
      <c r="BC70" s="100">
        <v>6314.3876341367713</v>
      </c>
      <c r="BD70" s="100">
        <v>15</v>
      </c>
      <c r="BE70" s="100">
        <v>8027.9999999999991</v>
      </c>
      <c r="BF70" s="100">
        <v>12.208733581569176</v>
      </c>
      <c r="BG70" s="100">
        <v>6534.1142128558222</v>
      </c>
      <c r="BH70" s="100">
        <v>9</v>
      </c>
      <c r="BI70" s="100">
        <v>4816.7999999999993</v>
      </c>
      <c r="BJ70" s="100">
        <v>10.869049149882713</v>
      </c>
      <c r="BK70" s="100">
        <v>5817.1151050172275</v>
      </c>
      <c r="BL70" s="100">
        <v>14.582911080766113</v>
      </c>
      <c r="BM70" s="100">
        <v>7804.7740104260229</v>
      </c>
      <c r="BN70" s="100">
        <v>14</v>
      </c>
      <c r="BO70" s="100">
        <v>7492.7999999999993</v>
      </c>
      <c r="BP70" s="100">
        <v>14.492472608757829</v>
      </c>
      <c r="BQ70" s="100">
        <v>7756.371340207189</v>
      </c>
      <c r="BR70" s="100">
        <v>14.280557558657904</v>
      </c>
      <c r="BS70" s="100">
        <v>7642.9544053937088</v>
      </c>
      <c r="BT70" s="100">
        <v>14.541711666388951</v>
      </c>
      <c r="BU70" s="100">
        <v>7782.7240838513653</v>
      </c>
      <c r="BV70" s="100">
        <v>10</v>
      </c>
      <c r="BW70" s="100">
        <v>5351.9999999999991</v>
      </c>
      <c r="BX70" s="100">
        <v>9.1927451040295782</v>
      </c>
      <c r="BY70" s="100">
        <v>4919.9571796766295</v>
      </c>
      <c r="BZ70" s="100">
        <v>7.919224037360272</v>
      </c>
      <c r="CA70" s="100">
        <v>4238.3687047952171</v>
      </c>
      <c r="CB70" s="100">
        <v>9.5318007234259241</v>
      </c>
      <c r="CC70" s="100">
        <v>5101.4197471775542</v>
      </c>
      <c r="CD70" s="100">
        <v>13</v>
      </c>
      <c r="CE70" s="100">
        <v>6957.5999999999995</v>
      </c>
      <c r="CF70" s="100">
        <v>15.666355034400393</v>
      </c>
      <c r="CG70" s="100">
        <v>8384.6332144110893</v>
      </c>
      <c r="CH70" s="100">
        <v>11.667813061706605</v>
      </c>
      <c r="CI70" s="100">
        <v>6244.613550625374</v>
      </c>
      <c r="CJ70" s="100">
        <v>12.837988147127325</v>
      </c>
      <c r="CK70" s="100">
        <v>6870.8912563425429</v>
      </c>
      <c r="CL70" s="100">
        <v>9.9609576280351479</v>
      </c>
      <c r="CM70" s="100">
        <v>5331.1045225244106</v>
      </c>
      <c r="CN70" s="100">
        <v>10</v>
      </c>
      <c r="CO70" s="100">
        <v>5351.9999999999991</v>
      </c>
      <c r="CP70" s="100">
        <v>14</v>
      </c>
      <c r="CQ70" s="100">
        <v>7492.7999999999993</v>
      </c>
      <c r="CR70" s="100">
        <v>15.359500784759078</v>
      </c>
      <c r="CS70" s="100">
        <v>8220.4048200030575</v>
      </c>
      <c r="CT70" s="100">
        <v>10</v>
      </c>
      <c r="CU70" s="100">
        <v>5351.9999999999991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8</v>
      </c>
      <c r="G71" s="100">
        <v>4512</v>
      </c>
      <c r="H71" s="100">
        <v>6</v>
      </c>
      <c r="I71" s="100">
        <v>3384</v>
      </c>
      <c r="J71" s="100">
        <v>9</v>
      </c>
      <c r="K71" s="100">
        <v>5076</v>
      </c>
      <c r="L71" s="100">
        <v>8</v>
      </c>
      <c r="M71" s="100">
        <v>4512</v>
      </c>
      <c r="N71" s="100">
        <v>7</v>
      </c>
      <c r="O71" s="100">
        <v>3948</v>
      </c>
      <c r="P71" s="100">
        <v>6</v>
      </c>
      <c r="Q71" s="100">
        <v>3384</v>
      </c>
      <c r="R71" s="100">
        <v>7</v>
      </c>
      <c r="S71" s="100">
        <v>3948</v>
      </c>
      <c r="T71" s="100">
        <v>9</v>
      </c>
      <c r="U71" s="100">
        <v>5076</v>
      </c>
      <c r="V71" s="100">
        <v>5</v>
      </c>
      <c r="W71" s="100">
        <v>2820</v>
      </c>
      <c r="X71" s="100">
        <v>6</v>
      </c>
      <c r="Y71" s="100">
        <v>3384</v>
      </c>
      <c r="Z71" s="100">
        <v>7</v>
      </c>
      <c r="AA71" s="100">
        <v>3948</v>
      </c>
      <c r="AB71" s="100">
        <v>7</v>
      </c>
      <c r="AC71" s="100">
        <v>3948</v>
      </c>
      <c r="AD71" s="100">
        <v>6</v>
      </c>
      <c r="AE71" s="100">
        <v>3384</v>
      </c>
      <c r="AF71" s="100">
        <v>7</v>
      </c>
      <c r="AG71" s="100">
        <v>3948</v>
      </c>
      <c r="AH71" s="100">
        <v>11</v>
      </c>
      <c r="AI71" s="100">
        <v>6204</v>
      </c>
      <c r="AJ71" s="100">
        <v>5</v>
      </c>
      <c r="AK71" s="100">
        <v>2820</v>
      </c>
      <c r="AL71" s="100">
        <v>5</v>
      </c>
      <c r="AM71" s="100">
        <v>2820</v>
      </c>
      <c r="AN71" s="100">
        <v>9</v>
      </c>
      <c r="AO71" s="100">
        <v>5076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5</v>
      </c>
      <c r="AU71" s="100">
        <v>2820</v>
      </c>
      <c r="AV71" s="100">
        <v>7</v>
      </c>
      <c r="AW71" s="100">
        <v>3948</v>
      </c>
      <c r="AX71" s="100">
        <v>7</v>
      </c>
      <c r="AY71" s="100">
        <v>3948</v>
      </c>
      <c r="AZ71" s="100">
        <v>9</v>
      </c>
      <c r="BA71" s="100">
        <v>5076</v>
      </c>
      <c r="BB71" s="100">
        <v>6</v>
      </c>
      <c r="BC71" s="100">
        <v>3384</v>
      </c>
      <c r="BD71" s="100">
        <v>5</v>
      </c>
      <c r="BE71" s="100">
        <v>2820</v>
      </c>
      <c r="BF71" s="100">
        <v>11</v>
      </c>
      <c r="BG71" s="100">
        <v>6204</v>
      </c>
      <c r="BH71" s="100">
        <v>11</v>
      </c>
      <c r="BI71" s="100">
        <v>6204</v>
      </c>
      <c r="BJ71" s="100">
        <v>10</v>
      </c>
      <c r="BK71" s="100">
        <v>5640</v>
      </c>
      <c r="BL71" s="100">
        <v>7</v>
      </c>
      <c r="BM71" s="100">
        <v>3948</v>
      </c>
      <c r="BN71" s="100">
        <v>10</v>
      </c>
      <c r="BO71" s="100">
        <v>5640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10</v>
      </c>
      <c r="BU71" s="100">
        <v>5640</v>
      </c>
      <c r="BV71" s="100">
        <v>10</v>
      </c>
      <c r="BW71" s="100">
        <v>5640</v>
      </c>
      <c r="BX71" s="100">
        <v>6</v>
      </c>
      <c r="BY71" s="100">
        <v>3384</v>
      </c>
      <c r="BZ71" s="100">
        <v>6</v>
      </c>
      <c r="CA71" s="100">
        <v>3384</v>
      </c>
      <c r="CB71" s="100">
        <v>8</v>
      </c>
      <c r="CC71" s="100">
        <v>4512</v>
      </c>
      <c r="CD71" s="100">
        <v>8</v>
      </c>
      <c r="CE71" s="100">
        <v>4512</v>
      </c>
      <c r="CF71" s="100">
        <v>8</v>
      </c>
      <c r="CG71" s="100">
        <v>4512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9</v>
      </c>
      <c r="CO71" s="100">
        <v>5076</v>
      </c>
      <c r="CP71" s="100">
        <v>11</v>
      </c>
      <c r="CQ71" s="100">
        <v>6204</v>
      </c>
      <c r="CR71" s="100">
        <v>6</v>
      </c>
      <c r="CS71" s="100">
        <v>3384</v>
      </c>
      <c r="CT71" s="100">
        <v>9</v>
      </c>
      <c r="CU71" s="100">
        <v>5076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9</v>
      </c>
      <c r="G72" s="100">
        <v>669.59999999999991</v>
      </c>
      <c r="H72" s="100">
        <v>6</v>
      </c>
      <c r="I72" s="100">
        <v>446.4</v>
      </c>
      <c r="J72" s="100">
        <v>8</v>
      </c>
      <c r="K72" s="100">
        <v>595.19999999999993</v>
      </c>
      <c r="L72" s="100">
        <v>8</v>
      </c>
      <c r="M72" s="100">
        <v>595.19999999999993</v>
      </c>
      <c r="N72" s="100">
        <v>7</v>
      </c>
      <c r="O72" s="100">
        <v>520.79999999999995</v>
      </c>
      <c r="P72" s="100">
        <v>7</v>
      </c>
      <c r="Q72" s="100">
        <v>520.79999999999995</v>
      </c>
      <c r="R72" s="100">
        <v>8</v>
      </c>
      <c r="S72" s="100">
        <v>595.19999999999993</v>
      </c>
      <c r="T72" s="100">
        <v>10</v>
      </c>
      <c r="U72" s="100">
        <v>743.99999999999989</v>
      </c>
      <c r="V72" s="100">
        <v>6</v>
      </c>
      <c r="W72" s="100">
        <v>446.4</v>
      </c>
      <c r="X72" s="100">
        <v>7</v>
      </c>
      <c r="Y72" s="100">
        <v>520.79999999999995</v>
      </c>
      <c r="Z72" s="100">
        <v>8</v>
      </c>
      <c r="AA72" s="100">
        <v>595.19999999999993</v>
      </c>
      <c r="AB72" s="100">
        <v>7</v>
      </c>
      <c r="AC72" s="100">
        <v>520.79999999999995</v>
      </c>
      <c r="AD72" s="100">
        <v>7</v>
      </c>
      <c r="AE72" s="100">
        <v>520.79999999999995</v>
      </c>
      <c r="AF72" s="100">
        <v>7</v>
      </c>
      <c r="AG72" s="100">
        <v>520.79999999999995</v>
      </c>
      <c r="AH72" s="100">
        <v>10</v>
      </c>
      <c r="AI72" s="100">
        <v>743.99999999999989</v>
      </c>
      <c r="AJ72" s="100">
        <v>5</v>
      </c>
      <c r="AK72" s="100">
        <v>371.99999999999994</v>
      </c>
      <c r="AL72" s="100">
        <v>6</v>
      </c>
      <c r="AM72" s="100">
        <v>446.4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7</v>
      </c>
      <c r="AS72" s="100">
        <v>520.79999999999995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8</v>
      </c>
      <c r="AY72" s="100">
        <v>595.19999999999993</v>
      </c>
      <c r="AZ72" s="100">
        <v>10</v>
      </c>
      <c r="BA72" s="100">
        <v>743.99999999999989</v>
      </c>
      <c r="BB72" s="100">
        <v>7</v>
      </c>
      <c r="BC72" s="100">
        <v>520.79999999999995</v>
      </c>
      <c r="BD72" s="100">
        <v>6</v>
      </c>
      <c r="BE72" s="100">
        <v>446.4</v>
      </c>
      <c r="BF72" s="100">
        <v>11</v>
      </c>
      <c r="BG72" s="100">
        <v>818.39999999999986</v>
      </c>
      <c r="BH72" s="100">
        <v>11</v>
      </c>
      <c r="BI72" s="100">
        <v>818.39999999999986</v>
      </c>
      <c r="BJ72" s="100">
        <v>10</v>
      </c>
      <c r="BK72" s="100">
        <v>743.99999999999989</v>
      </c>
      <c r="BL72" s="100">
        <v>8</v>
      </c>
      <c r="BM72" s="100">
        <v>595.19999999999993</v>
      </c>
      <c r="BN72" s="100">
        <v>10</v>
      </c>
      <c r="BO72" s="100">
        <v>743.99999999999989</v>
      </c>
      <c r="BP72" s="100">
        <v>7</v>
      </c>
      <c r="BQ72" s="100">
        <v>520.79999999999995</v>
      </c>
      <c r="BR72" s="100">
        <v>7</v>
      </c>
      <c r="BS72" s="100">
        <v>520.79999999999995</v>
      </c>
      <c r="BT72" s="100">
        <v>9</v>
      </c>
      <c r="BU72" s="100">
        <v>669.59999999999991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9</v>
      </c>
      <c r="CC72" s="100">
        <v>669.59999999999991</v>
      </c>
      <c r="CD72" s="100">
        <v>10</v>
      </c>
      <c r="CE72" s="100">
        <v>743.99999999999989</v>
      </c>
      <c r="CF72" s="100">
        <v>8</v>
      </c>
      <c r="CG72" s="100">
        <v>595.19999999999993</v>
      </c>
      <c r="CH72" s="100">
        <v>10</v>
      </c>
      <c r="CI72" s="100">
        <v>743.99999999999989</v>
      </c>
      <c r="CJ72" s="100">
        <v>7</v>
      </c>
      <c r="CK72" s="100">
        <v>520.79999999999995</v>
      </c>
      <c r="CL72" s="100">
        <v>7</v>
      </c>
      <c r="CM72" s="100">
        <v>520.79999999999995</v>
      </c>
      <c r="CN72" s="100">
        <v>9</v>
      </c>
      <c r="CO72" s="100">
        <v>669.59999999999991</v>
      </c>
      <c r="CP72" s="100">
        <v>12</v>
      </c>
      <c r="CQ72" s="100">
        <v>892.8</v>
      </c>
      <c r="CR72" s="100">
        <v>6</v>
      </c>
      <c r="CS72" s="100">
        <v>446.4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7</v>
      </c>
      <c r="G73" s="100">
        <v>3914.3999999999996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8</v>
      </c>
      <c r="M73" s="100">
        <v>4473.5999999999995</v>
      </c>
      <c r="N73" s="100">
        <v>6</v>
      </c>
      <c r="O73" s="100">
        <v>3355.2</v>
      </c>
      <c r="P73" s="100">
        <v>7</v>
      </c>
      <c r="Q73" s="100">
        <v>3914.3999999999996</v>
      </c>
      <c r="R73" s="100">
        <v>7</v>
      </c>
      <c r="S73" s="100">
        <v>3914.3999999999996</v>
      </c>
      <c r="T73" s="100">
        <v>10</v>
      </c>
      <c r="U73" s="100">
        <v>5591.9999999999991</v>
      </c>
      <c r="V73" s="100">
        <v>5</v>
      </c>
      <c r="W73" s="100">
        <v>2795.9999999999995</v>
      </c>
      <c r="X73" s="100">
        <v>6</v>
      </c>
      <c r="Y73" s="100">
        <v>3355.2</v>
      </c>
      <c r="Z73" s="100">
        <v>7</v>
      </c>
      <c r="AA73" s="100">
        <v>3914.3999999999996</v>
      </c>
      <c r="AB73" s="100">
        <v>7</v>
      </c>
      <c r="AC73" s="100">
        <v>3914.3999999999996</v>
      </c>
      <c r="AD73" s="100">
        <v>6</v>
      </c>
      <c r="AE73" s="100">
        <v>3355.2</v>
      </c>
      <c r="AF73" s="100">
        <v>6</v>
      </c>
      <c r="AG73" s="100">
        <v>3355.2</v>
      </c>
      <c r="AH73" s="100">
        <v>10</v>
      </c>
      <c r="AI73" s="100">
        <v>5591.9999999999991</v>
      </c>
      <c r="AJ73" s="100">
        <v>5</v>
      </c>
      <c r="AK73" s="100">
        <v>2795.9999999999995</v>
      </c>
      <c r="AL73" s="100">
        <v>6</v>
      </c>
      <c r="AM73" s="100">
        <v>3355.2</v>
      </c>
      <c r="AN73" s="100">
        <v>9</v>
      </c>
      <c r="AO73" s="100">
        <v>5032.7999999999993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8</v>
      </c>
      <c r="AY73" s="100">
        <v>4473.5999999999995</v>
      </c>
      <c r="AZ73" s="100">
        <v>8</v>
      </c>
      <c r="BA73" s="100">
        <v>4473.5999999999995</v>
      </c>
      <c r="BB73" s="100">
        <v>6</v>
      </c>
      <c r="BC73" s="100">
        <v>3355.2</v>
      </c>
      <c r="BD73" s="100">
        <v>5</v>
      </c>
      <c r="BE73" s="100">
        <v>2795.9999999999995</v>
      </c>
      <c r="BF73" s="100">
        <v>11</v>
      </c>
      <c r="BG73" s="100">
        <v>6151.1999999999989</v>
      </c>
      <c r="BH73" s="100">
        <v>11</v>
      </c>
      <c r="BI73" s="100">
        <v>6151.1999999999989</v>
      </c>
      <c r="BJ73" s="100">
        <v>11</v>
      </c>
      <c r="BK73" s="100">
        <v>6151.1999999999989</v>
      </c>
      <c r="BL73" s="100">
        <v>7</v>
      </c>
      <c r="BM73" s="100">
        <v>3914.3999999999996</v>
      </c>
      <c r="BN73" s="100">
        <v>10</v>
      </c>
      <c r="BO73" s="100">
        <v>5591.9999999999991</v>
      </c>
      <c r="BP73" s="100">
        <v>7</v>
      </c>
      <c r="BQ73" s="100">
        <v>3914.3999999999996</v>
      </c>
      <c r="BR73" s="100">
        <v>7</v>
      </c>
      <c r="BS73" s="100">
        <v>3914.3999999999996</v>
      </c>
      <c r="BT73" s="100">
        <v>10</v>
      </c>
      <c r="BU73" s="100">
        <v>5591.9999999999991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6</v>
      </c>
      <c r="CA73" s="100">
        <v>3355.2</v>
      </c>
      <c r="CB73" s="100">
        <v>8</v>
      </c>
      <c r="CC73" s="100">
        <v>4473.5999999999995</v>
      </c>
      <c r="CD73" s="100">
        <v>9</v>
      </c>
      <c r="CE73" s="100">
        <v>5032.7999999999993</v>
      </c>
      <c r="CF73" s="100">
        <v>8</v>
      </c>
      <c r="CG73" s="100">
        <v>4473.5999999999995</v>
      </c>
      <c r="CH73" s="100">
        <v>10</v>
      </c>
      <c r="CI73" s="100">
        <v>5591.9999999999991</v>
      </c>
      <c r="CJ73" s="100">
        <v>7</v>
      </c>
      <c r="CK73" s="100">
        <v>3914.3999999999996</v>
      </c>
      <c r="CL73" s="100">
        <v>8</v>
      </c>
      <c r="CM73" s="100">
        <v>4473.5999999999995</v>
      </c>
      <c r="CN73" s="100">
        <v>8</v>
      </c>
      <c r="CO73" s="100">
        <v>4473.5999999999995</v>
      </c>
      <c r="CP73" s="100">
        <v>10</v>
      </c>
      <c r="CQ73" s="100">
        <v>5591.9999999999991</v>
      </c>
      <c r="CR73" s="100">
        <v>6</v>
      </c>
      <c r="CS73" s="100">
        <v>3355.2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7</v>
      </c>
      <c r="E74" s="100">
        <v>2822.4</v>
      </c>
      <c r="F74" s="100">
        <v>9</v>
      </c>
      <c r="G74" s="100">
        <v>3628.7999999999997</v>
      </c>
      <c r="H74" s="100">
        <v>7</v>
      </c>
      <c r="I74" s="100">
        <v>2822.4</v>
      </c>
      <c r="J74" s="100">
        <v>9</v>
      </c>
      <c r="K74" s="100">
        <v>3628.7999999999997</v>
      </c>
      <c r="L74" s="100">
        <v>9</v>
      </c>
      <c r="M74" s="100">
        <v>3628.7999999999997</v>
      </c>
      <c r="N74" s="100">
        <v>7</v>
      </c>
      <c r="O74" s="100">
        <v>2822.4</v>
      </c>
      <c r="P74" s="100">
        <v>7</v>
      </c>
      <c r="Q74" s="100">
        <v>2822.4</v>
      </c>
      <c r="R74" s="100">
        <v>8</v>
      </c>
      <c r="S74" s="100">
        <v>3225.6</v>
      </c>
      <c r="T74" s="100">
        <v>10</v>
      </c>
      <c r="U74" s="100">
        <v>4032</v>
      </c>
      <c r="V74" s="100">
        <v>5</v>
      </c>
      <c r="W74" s="100">
        <v>2016</v>
      </c>
      <c r="X74" s="100">
        <v>7</v>
      </c>
      <c r="Y74" s="100">
        <v>2822.4</v>
      </c>
      <c r="Z74" s="100">
        <v>7</v>
      </c>
      <c r="AA74" s="100">
        <v>2822.4</v>
      </c>
      <c r="AB74" s="100">
        <v>7</v>
      </c>
      <c r="AC74" s="100">
        <v>2822.4</v>
      </c>
      <c r="AD74" s="100">
        <v>7</v>
      </c>
      <c r="AE74" s="100">
        <v>2822.4</v>
      </c>
      <c r="AF74" s="100">
        <v>7</v>
      </c>
      <c r="AG74" s="100">
        <v>2822.4</v>
      </c>
      <c r="AH74" s="100">
        <v>10</v>
      </c>
      <c r="AI74" s="100">
        <v>4032</v>
      </c>
      <c r="AJ74" s="100">
        <v>5</v>
      </c>
      <c r="AK74" s="100">
        <v>2016</v>
      </c>
      <c r="AL74" s="100">
        <v>6</v>
      </c>
      <c r="AM74" s="100">
        <v>2419.1999999999998</v>
      </c>
      <c r="AN74" s="100">
        <v>9</v>
      </c>
      <c r="AO74" s="100">
        <v>3628.7999999999997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6</v>
      </c>
      <c r="AU74" s="100">
        <v>2419.1999999999998</v>
      </c>
      <c r="AV74" s="100">
        <v>7</v>
      </c>
      <c r="AW74" s="100">
        <v>2822.4</v>
      </c>
      <c r="AX74" s="100">
        <v>9</v>
      </c>
      <c r="AY74" s="100">
        <v>3628.7999999999997</v>
      </c>
      <c r="AZ74" s="100">
        <v>9</v>
      </c>
      <c r="BA74" s="100">
        <v>3628.7999999999997</v>
      </c>
      <c r="BB74" s="100">
        <v>7</v>
      </c>
      <c r="BC74" s="100">
        <v>2822.4</v>
      </c>
      <c r="BD74" s="100">
        <v>6</v>
      </c>
      <c r="BE74" s="100">
        <v>2419.1999999999998</v>
      </c>
      <c r="BF74" s="100">
        <v>10</v>
      </c>
      <c r="BG74" s="100">
        <v>4032</v>
      </c>
      <c r="BH74" s="100">
        <v>9</v>
      </c>
      <c r="BI74" s="100">
        <v>3628.7999999999997</v>
      </c>
      <c r="BJ74" s="100">
        <v>11</v>
      </c>
      <c r="BK74" s="100">
        <v>4435.2</v>
      </c>
      <c r="BL74" s="100">
        <v>8</v>
      </c>
      <c r="BM74" s="100">
        <v>3225.6</v>
      </c>
      <c r="BN74" s="100">
        <v>10</v>
      </c>
      <c r="BO74" s="100">
        <v>4032</v>
      </c>
      <c r="BP74" s="100">
        <v>7</v>
      </c>
      <c r="BQ74" s="100">
        <v>2822.4</v>
      </c>
      <c r="BR74" s="100">
        <v>7</v>
      </c>
      <c r="BS74" s="100">
        <v>2822.4</v>
      </c>
      <c r="BT74" s="100">
        <v>10</v>
      </c>
      <c r="BU74" s="100">
        <v>4032</v>
      </c>
      <c r="BV74" s="100">
        <v>9</v>
      </c>
      <c r="BW74" s="100">
        <v>3628.7999999999997</v>
      </c>
      <c r="BX74" s="100">
        <v>7</v>
      </c>
      <c r="BY74" s="100">
        <v>2822.4</v>
      </c>
      <c r="BZ74" s="100">
        <v>6</v>
      </c>
      <c r="CA74" s="100">
        <v>2419.1999999999998</v>
      </c>
      <c r="CB74" s="100">
        <v>8</v>
      </c>
      <c r="CC74" s="100">
        <v>3225.6</v>
      </c>
      <c r="CD74" s="100">
        <v>9</v>
      </c>
      <c r="CE74" s="100">
        <v>3628.7999999999997</v>
      </c>
      <c r="CF74" s="100">
        <v>8</v>
      </c>
      <c r="CG74" s="100">
        <v>3225.6</v>
      </c>
      <c r="CH74" s="100">
        <v>10</v>
      </c>
      <c r="CI74" s="100">
        <v>4032</v>
      </c>
      <c r="CJ74" s="100">
        <v>7</v>
      </c>
      <c r="CK74" s="100">
        <v>2822.4</v>
      </c>
      <c r="CL74" s="100">
        <v>8</v>
      </c>
      <c r="CM74" s="100">
        <v>3225.6</v>
      </c>
      <c r="CN74" s="100">
        <v>9</v>
      </c>
      <c r="CO74" s="100">
        <v>3628.7999999999997</v>
      </c>
      <c r="CP74" s="100">
        <v>11</v>
      </c>
      <c r="CQ74" s="100">
        <v>4435.2</v>
      </c>
      <c r="CR74" s="100">
        <v>6</v>
      </c>
      <c r="CS74" s="100">
        <v>2419.1999999999998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8</v>
      </c>
      <c r="G75" s="100">
        <v>5145.5999999999995</v>
      </c>
      <c r="H75" s="100">
        <v>6</v>
      </c>
      <c r="I75" s="100">
        <v>3859.2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7</v>
      </c>
      <c r="O75" s="100">
        <v>4502.3999999999996</v>
      </c>
      <c r="P75" s="100">
        <v>7</v>
      </c>
      <c r="Q75" s="100">
        <v>4502.3999999999996</v>
      </c>
      <c r="R75" s="100">
        <v>8</v>
      </c>
      <c r="S75" s="100">
        <v>5145.5999999999995</v>
      </c>
      <c r="T75" s="100">
        <v>9</v>
      </c>
      <c r="U75" s="100">
        <v>5788.7999999999993</v>
      </c>
      <c r="V75" s="100">
        <v>6</v>
      </c>
      <c r="W75" s="100">
        <v>3859.2</v>
      </c>
      <c r="X75" s="100">
        <v>7</v>
      </c>
      <c r="Y75" s="100">
        <v>4502.3999999999996</v>
      </c>
      <c r="Z75" s="100">
        <v>6</v>
      </c>
      <c r="AA75" s="100">
        <v>3859.2</v>
      </c>
      <c r="AB75" s="100">
        <v>7</v>
      </c>
      <c r="AC75" s="100">
        <v>4502.3999999999996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11</v>
      </c>
      <c r="AI75" s="100">
        <v>7075.1999999999989</v>
      </c>
      <c r="AJ75" s="100">
        <v>5</v>
      </c>
      <c r="AK75" s="100">
        <v>3215.9999999999995</v>
      </c>
      <c r="AL75" s="100">
        <v>5</v>
      </c>
      <c r="AM75" s="100">
        <v>3215.9999999999995</v>
      </c>
      <c r="AN75" s="100">
        <v>9</v>
      </c>
      <c r="AO75" s="100">
        <v>5788.7999999999993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6</v>
      </c>
      <c r="AU75" s="100">
        <v>3859.2</v>
      </c>
      <c r="AV75" s="100">
        <v>7</v>
      </c>
      <c r="AW75" s="100">
        <v>4502.3999999999996</v>
      </c>
      <c r="AX75" s="100">
        <v>9</v>
      </c>
      <c r="AY75" s="100">
        <v>5788.7999999999993</v>
      </c>
      <c r="AZ75" s="100">
        <v>8</v>
      </c>
      <c r="BA75" s="100">
        <v>5145.5999999999995</v>
      </c>
      <c r="BB75" s="100">
        <v>6</v>
      </c>
      <c r="BC75" s="100">
        <v>3859.2</v>
      </c>
      <c r="BD75" s="100">
        <v>6</v>
      </c>
      <c r="BE75" s="100">
        <v>3859.2</v>
      </c>
      <c r="BF75" s="100">
        <v>10</v>
      </c>
      <c r="BG75" s="100">
        <v>6431.9999999999991</v>
      </c>
      <c r="BH75" s="100">
        <v>11</v>
      </c>
      <c r="BI75" s="100">
        <v>7075.1999999999989</v>
      </c>
      <c r="BJ75" s="100">
        <v>9</v>
      </c>
      <c r="BK75" s="100">
        <v>5788.7999999999993</v>
      </c>
      <c r="BL75" s="100">
        <v>8</v>
      </c>
      <c r="BM75" s="100">
        <v>5145.5999999999995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7</v>
      </c>
      <c r="BS75" s="100">
        <v>4502.3999999999996</v>
      </c>
      <c r="BT75" s="100">
        <v>9</v>
      </c>
      <c r="BU75" s="100">
        <v>5788.7999999999993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6</v>
      </c>
      <c r="CA75" s="100">
        <v>3859.2</v>
      </c>
      <c r="CB75" s="100">
        <v>9</v>
      </c>
      <c r="CC75" s="100">
        <v>5788.7999999999993</v>
      </c>
      <c r="CD75" s="100">
        <v>8</v>
      </c>
      <c r="CE75" s="100">
        <v>5145.5999999999995</v>
      </c>
      <c r="CF75" s="100">
        <v>8</v>
      </c>
      <c r="CG75" s="100">
        <v>5145.5999999999995</v>
      </c>
      <c r="CH75" s="100">
        <v>9</v>
      </c>
      <c r="CI75" s="100">
        <v>5788.7999999999993</v>
      </c>
      <c r="CJ75" s="100">
        <v>7</v>
      </c>
      <c r="CK75" s="100">
        <v>4502.3999999999996</v>
      </c>
      <c r="CL75" s="100">
        <v>8</v>
      </c>
      <c r="CM75" s="100">
        <v>5145.5999999999995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5</v>
      </c>
      <c r="CS75" s="100">
        <v>3215.9999999999995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8</v>
      </c>
      <c r="G76" s="100">
        <v>6230.4</v>
      </c>
      <c r="H76" s="100">
        <v>7</v>
      </c>
      <c r="I76" s="100">
        <v>5451.5999999999995</v>
      </c>
      <c r="J76" s="100">
        <v>8</v>
      </c>
      <c r="K76" s="100">
        <v>6230.4</v>
      </c>
      <c r="L76" s="100">
        <v>8</v>
      </c>
      <c r="M76" s="100">
        <v>6230.4</v>
      </c>
      <c r="N76" s="100">
        <v>6</v>
      </c>
      <c r="O76" s="100">
        <v>4672.7999999999993</v>
      </c>
      <c r="P76" s="100">
        <v>6</v>
      </c>
      <c r="Q76" s="100">
        <v>4672.7999999999993</v>
      </c>
      <c r="R76" s="100">
        <v>7</v>
      </c>
      <c r="S76" s="100">
        <v>5451.5999999999995</v>
      </c>
      <c r="T76" s="100">
        <v>10</v>
      </c>
      <c r="U76" s="100">
        <v>7788</v>
      </c>
      <c r="V76" s="100">
        <v>5</v>
      </c>
      <c r="W76" s="100">
        <v>3894</v>
      </c>
      <c r="X76" s="100">
        <v>6</v>
      </c>
      <c r="Y76" s="100">
        <v>4672.7999999999993</v>
      </c>
      <c r="Z76" s="100">
        <v>6</v>
      </c>
      <c r="AA76" s="100">
        <v>4672.7999999999993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6</v>
      </c>
      <c r="AG76" s="100">
        <v>4672.7999999999993</v>
      </c>
      <c r="AH76" s="100">
        <v>10</v>
      </c>
      <c r="AI76" s="100">
        <v>7788</v>
      </c>
      <c r="AJ76" s="100">
        <v>6</v>
      </c>
      <c r="AK76" s="100">
        <v>4672.7999999999993</v>
      </c>
      <c r="AL76" s="100">
        <v>5</v>
      </c>
      <c r="AM76" s="100">
        <v>3894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6</v>
      </c>
      <c r="AS76" s="100">
        <v>4672.7999999999993</v>
      </c>
      <c r="AT76" s="100">
        <v>5</v>
      </c>
      <c r="AU76" s="100">
        <v>3894</v>
      </c>
      <c r="AV76" s="100">
        <v>7</v>
      </c>
      <c r="AW76" s="100">
        <v>5451.5999999999995</v>
      </c>
      <c r="AX76" s="100">
        <v>9</v>
      </c>
      <c r="AY76" s="100">
        <v>7009.2</v>
      </c>
      <c r="AZ76" s="100">
        <v>8</v>
      </c>
      <c r="BA76" s="100">
        <v>6230.4</v>
      </c>
      <c r="BB76" s="100">
        <v>6</v>
      </c>
      <c r="BC76" s="100">
        <v>4672.7999999999993</v>
      </c>
      <c r="BD76" s="100">
        <v>6</v>
      </c>
      <c r="BE76" s="100">
        <v>4672.7999999999993</v>
      </c>
      <c r="BF76" s="100">
        <v>11</v>
      </c>
      <c r="BG76" s="100">
        <v>8566.7999999999993</v>
      </c>
      <c r="BH76" s="100">
        <v>10</v>
      </c>
      <c r="BI76" s="100">
        <v>7788</v>
      </c>
      <c r="BJ76" s="100">
        <v>10</v>
      </c>
      <c r="BK76" s="100">
        <v>7788</v>
      </c>
      <c r="BL76" s="100">
        <v>8</v>
      </c>
      <c r="BM76" s="100">
        <v>6230.4</v>
      </c>
      <c r="BN76" s="100">
        <v>10</v>
      </c>
      <c r="BO76" s="100">
        <v>7788</v>
      </c>
      <c r="BP76" s="100">
        <v>6</v>
      </c>
      <c r="BQ76" s="100">
        <v>4672.7999999999993</v>
      </c>
      <c r="BR76" s="100">
        <v>7</v>
      </c>
      <c r="BS76" s="100">
        <v>5451.5999999999995</v>
      </c>
      <c r="BT76" s="100">
        <v>9</v>
      </c>
      <c r="BU76" s="100">
        <v>7009.2</v>
      </c>
      <c r="BV76" s="100">
        <v>9</v>
      </c>
      <c r="BW76" s="100">
        <v>7009.2</v>
      </c>
      <c r="BX76" s="100">
        <v>6</v>
      </c>
      <c r="BY76" s="100">
        <v>4672.7999999999993</v>
      </c>
      <c r="BZ76" s="100">
        <v>6</v>
      </c>
      <c r="CA76" s="100">
        <v>4672.7999999999993</v>
      </c>
      <c r="CB76" s="100">
        <v>8</v>
      </c>
      <c r="CC76" s="100">
        <v>6230.4</v>
      </c>
      <c r="CD76" s="100">
        <v>9</v>
      </c>
      <c r="CE76" s="100">
        <v>7009.2</v>
      </c>
      <c r="CF76" s="100">
        <v>8</v>
      </c>
      <c r="CG76" s="100">
        <v>6230.4</v>
      </c>
      <c r="CH76" s="100">
        <v>9</v>
      </c>
      <c r="CI76" s="100">
        <v>7009.2</v>
      </c>
      <c r="CJ76" s="100">
        <v>7</v>
      </c>
      <c r="CK76" s="100">
        <v>5451.5999999999995</v>
      </c>
      <c r="CL76" s="100">
        <v>7</v>
      </c>
      <c r="CM76" s="100">
        <v>5451.5999999999995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5</v>
      </c>
      <c r="CS76" s="100">
        <v>3894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8</v>
      </c>
      <c r="G77" s="100">
        <v>2227.1999999999998</v>
      </c>
      <c r="H77" s="100">
        <v>7</v>
      </c>
      <c r="I77" s="100">
        <v>1948.7999999999997</v>
      </c>
      <c r="J77" s="100">
        <v>9</v>
      </c>
      <c r="K77" s="100">
        <v>2505.6</v>
      </c>
      <c r="L77" s="100">
        <v>8</v>
      </c>
      <c r="M77" s="100">
        <v>2227.1999999999998</v>
      </c>
      <c r="N77" s="100">
        <v>6</v>
      </c>
      <c r="O77" s="100">
        <v>1670.3999999999999</v>
      </c>
      <c r="P77" s="100">
        <v>7</v>
      </c>
      <c r="Q77" s="100">
        <v>1948.7999999999997</v>
      </c>
      <c r="R77" s="100">
        <v>8</v>
      </c>
      <c r="S77" s="100">
        <v>2227.1999999999998</v>
      </c>
      <c r="T77" s="100">
        <v>9</v>
      </c>
      <c r="U77" s="100">
        <v>2505.6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7</v>
      </c>
      <c r="AA77" s="100">
        <v>1948.7999999999997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7</v>
      </c>
      <c r="AG77" s="100">
        <v>1948.7999999999997</v>
      </c>
      <c r="AH77" s="100">
        <v>10</v>
      </c>
      <c r="AI77" s="100">
        <v>2784</v>
      </c>
      <c r="AJ77" s="100">
        <v>6</v>
      </c>
      <c r="AK77" s="100">
        <v>1670.3999999999999</v>
      </c>
      <c r="AL77" s="100">
        <v>6</v>
      </c>
      <c r="AM77" s="100">
        <v>1670.3999999999999</v>
      </c>
      <c r="AN77" s="100">
        <v>9</v>
      </c>
      <c r="AO77" s="100">
        <v>2505.6</v>
      </c>
      <c r="AP77" s="100">
        <v>6</v>
      </c>
      <c r="AQ77" s="100">
        <v>1670.3999999999999</v>
      </c>
      <c r="AR77" s="100">
        <v>7</v>
      </c>
      <c r="AS77" s="100">
        <v>1948.7999999999997</v>
      </c>
      <c r="AT77" s="100">
        <v>6</v>
      </c>
      <c r="AU77" s="100">
        <v>1670.3999999999999</v>
      </c>
      <c r="AV77" s="100">
        <v>7</v>
      </c>
      <c r="AW77" s="100">
        <v>1948.7999999999997</v>
      </c>
      <c r="AX77" s="100">
        <v>9</v>
      </c>
      <c r="AY77" s="100">
        <v>2505.6</v>
      </c>
      <c r="AZ77" s="100">
        <v>10</v>
      </c>
      <c r="BA77" s="100">
        <v>2784</v>
      </c>
      <c r="BB77" s="100">
        <v>6</v>
      </c>
      <c r="BC77" s="100">
        <v>1670.3999999999999</v>
      </c>
      <c r="BD77" s="100">
        <v>6</v>
      </c>
      <c r="BE77" s="100">
        <v>1670.3999999999999</v>
      </c>
      <c r="BF77" s="100">
        <v>10</v>
      </c>
      <c r="BG77" s="100">
        <v>2784</v>
      </c>
      <c r="BH77" s="100">
        <v>11</v>
      </c>
      <c r="BI77" s="100">
        <v>3062.3999999999996</v>
      </c>
      <c r="BJ77" s="100">
        <v>10</v>
      </c>
      <c r="BK77" s="100">
        <v>2784</v>
      </c>
      <c r="BL77" s="100">
        <v>8</v>
      </c>
      <c r="BM77" s="100">
        <v>2227.1999999999998</v>
      </c>
      <c r="BN77" s="100">
        <v>10</v>
      </c>
      <c r="BO77" s="100">
        <v>2784</v>
      </c>
      <c r="BP77" s="100">
        <v>7</v>
      </c>
      <c r="BQ77" s="100">
        <v>1948.7999999999997</v>
      </c>
      <c r="BR77" s="100">
        <v>6</v>
      </c>
      <c r="BS77" s="100">
        <v>1670.3999999999999</v>
      </c>
      <c r="BT77" s="100">
        <v>11</v>
      </c>
      <c r="BU77" s="100">
        <v>3062.3999999999996</v>
      </c>
      <c r="BV77" s="100">
        <v>11</v>
      </c>
      <c r="BW77" s="100">
        <v>3062.3999999999996</v>
      </c>
      <c r="BX77" s="100">
        <v>7</v>
      </c>
      <c r="BY77" s="100">
        <v>1948.7999999999997</v>
      </c>
      <c r="BZ77" s="100">
        <v>6</v>
      </c>
      <c r="CA77" s="100">
        <v>1670.3999999999999</v>
      </c>
      <c r="CB77" s="100">
        <v>9</v>
      </c>
      <c r="CC77" s="100">
        <v>2505.6</v>
      </c>
      <c r="CD77" s="100">
        <v>8</v>
      </c>
      <c r="CE77" s="100">
        <v>2227.1999999999998</v>
      </c>
      <c r="CF77" s="100">
        <v>8</v>
      </c>
      <c r="CG77" s="100">
        <v>2227.1999999999998</v>
      </c>
      <c r="CH77" s="100">
        <v>10</v>
      </c>
      <c r="CI77" s="100">
        <v>2784</v>
      </c>
      <c r="CJ77" s="100">
        <v>6</v>
      </c>
      <c r="CK77" s="100">
        <v>1670.3999999999999</v>
      </c>
      <c r="CL77" s="100">
        <v>8</v>
      </c>
      <c r="CM77" s="100">
        <v>2227.1999999999998</v>
      </c>
      <c r="CN77" s="100">
        <v>9</v>
      </c>
      <c r="CO77" s="100">
        <v>2505.6</v>
      </c>
      <c r="CP77" s="100">
        <v>11</v>
      </c>
      <c r="CQ77" s="100">
        <v>3062.3999999999996</v>
      </c>
      <c r="CR77" s="100">
        <v>6</v>
      </c>
      <c r="CS77" s="100">
        <v>1670.3999999999999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7</v>
      </c>
      <c r="E78" s="100">
        <v>3864</v>
      </c>
      <c r="F78" s="100">
        <v>8</v>
      </c>
      <c r="G78" s="100">
        <v>4416</v>
      </c>
      <c r="H78" s="100">
        <v>6</v>
      </c>
      <c r="I78" s="100">
        <v>3312</v>
      </c>
      <c r="J78" s="100">
        <v>9</v>
      </c>
      <c r="K78" s="100">
        <v>4968</v>
      </c>
      <c r="L78" s="100">
        <v>7</v>
      </c>
      <c r="M78" s="100">
        <v>3864</v>
      </c>
      <c r="N78" s="100">
        <v>7</v>
      </c>
      <c r="O78" s="100">
        <v>3864</v>
      </c>
      <c r="P78" s="100">
        <v>6</v>
      </c>
      <c r="Q78" s="100">
        <v>3312</v>
      </c>
      <c r="R78" s="100">
        <v>8</v>
      </c>
      <c r="S78" s="100">
        <v>4416</v>
      </c>
      <c r="T78" s="100">
        <v>9</v>
      </c>
      <c r="U78" s="100">
        <v>4968</v>
      </c>
      <c r="V78" s="100">
        <v>5</v>
      </c>
      <c r="W78" s="100">
        <v>2760</v>
      </c>
      <c r="X78" s="100">
        <v>6</v>
      </c>
      <c r="Y78" s="100">
        <v>3312</v>
      </c>
      <c r="Z78" s="100">
        <v>8</v>
      </c>
      <c r="AA78" s="100">
        <v>4416</v>
      </c>
      <c r="AB78" s="100">
        <v>6</v>
      </c>
      <c r="AC78" s="100">
        <v>3312</v>
      </c>
      <c r="AD78" s="100">
        <v>6</v>
      </c>
      <c r="AE78" s="100">
        <v>3312</v>
      </c>
      <c r="AF78" s="100">
        <v>7</v>
      </c>
      <c r="AG78" s="100">
        <v>3864</v>
      </c>
      <c r="AH78" s="100">
        <v>10</v>
      </c>
      <c r="AI78" s="100">
        <v>5520</v>
      </c>
      <c r="AJ78" s="100">
        <v>5</v>
      </c>
      <c r="AK78" s="100">
        <v>2760</v>
      </c>
      <c r="AL78" s="100">
        <v>6</v>
      </c>
      <c r="AM78" s="100">
        <v>3312</v>
      </c>
      <c r="AN78" s="100">
        <v>9</v>
      </c>
      <c r="AO78" s="100">
        <v>4968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7</v>
      </c>
      <c r="AU78" s="100">
        <v>3864</v>
      </c>
      <c r="AV78" s="100">
        <v>6</v>
      </c>
      <c r="AW78" s="100">
        <v>3312</v>
      </c>
      <c r="AX78" s="100">
        <v>7</v>
      </c>
      <c r="AY78" s="100">
        <v>3864</v>
      </c>
      <c r="AZ78" s="100">
        <v>9</v>
      </c>
      <c r="BA78" s="100">
        <v>4968</v>
      </c>
      <c r="BB78" s="100">
        <v>6</v>
      </c>
      <c r="BC78" s="100">
        <v>3312</v>
      </c>
      <c r="BD78" s="100">
        <v>6</v>
      </c>
      <c r="BE78" s="100">
        <v>3312</v>
      </c>
      <c r="BF78" s="100">
        <v>9</v>
      </c>
      <c r="BG78" s="100">
        <v>4968</v>
      </c>
      <c r="BH78" s="100">
        <v>11</v>
      </c>
      <c r="BI78" s="100">
        <v>6072</v>
      </c>
      <c r="BJ78" s="100">
        <v>10</v>
      </c>
      <c r="BK78" s="100">
        <v>5520</v>
      </c>
      <c r="BL78" s="100">
        <v>8</v>
      </c>
      <c r="BM78" s="100">
        <v>4416</v>
      </c>
      <c r="BN78" s="100">
        <v>10</v>
      </c>
      <c r="BO78" s="100">
        <v>5520</v>
      </c>
      <c r="BP78" s="100">
        <v>7</v>
      </c>
      <c r="BQ78" s="100">
        <v>3864</v>
      </c>
      <c r="BR78" s="100">
        <v>7</v>
      </c>
      <c r="BS78" s="100">
        <v>3864</v>
      </c>
      <c r="BT78" s="100">
        <v>10</v>
      </c>
      <c r="BU78" s="100">
        <v>5520</v>
      </c>
      <c r="BV78" s="100">
        <v>10</v>
      </c>
      <c r="BW78" s="100">
        <v>5520</v>
      </c>
      <c r="BX78" s="100">
        <v>7</v>
      </c>
      <c r="BY78" s="100">
        <v>3864</v>
      </c>
      <c r="BZ78" s="100">
        <v>6</v>
      </c>
      <c r="CA78" s="100">
        <v>3312</v>
      </c>
      <c r="CB78" s="100">
        <v>8</v>
      </c>
      <c r="CC78" s="100">
        <v>4416</v>
      </c>
      <c r="CD78" s="100">
        <v>9</v>
      </c>
      <c r="CE78" s="100">
        <v>4968</v>
      </c>
      <c r="CF78" s="100">
        <v>9</v>
      </c>
      <c r="CG78" s="100">
        <v>4968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8</v>
      </c>
      <c r="CM78" s="100">
        <v>4416</v>
      </c>
      <c r="CN78" s="100">
        <v>8</v>
      </c>
      <c r="CO78" s="100">
        <v>4416</v>
      </c>
      <c r="CP78" s="100">
        <v>10</v>
      </c>
      <c r="CQ78" s="100">
        <v>5520</v>
      </c>
      <c r="CR78" s="100">
        <v>6</v>
      </c>
      <c r="CS78" s="100">
        <v>3312</v>
      </c>
      <c r="CT78" s="100">
        <v>7</v>
      </c>
      <c r="CU78" s="100">
        <v>3864</v>
      </c>
    </row>
    <row r="79" spans="2:99">
      <c r="C79" s="99" t="s">
        <v>245</v>
      </c>
      <c r="D79" s="100">
        <v>7</v>
      </c>
      <c r="E79" s="100">
        <v>5300.4</v>
      </c>
      <c r="F79" s="100">
        <v>7</v>
      </c>
      <c r="G79" s="100">
        <v>5300.4</v>
      </c>
      <c r="H79" s="100">
        <v>6</v>
      </c>
      <c r="I79" s="100">
        <v>4543.2</v>
      </c>
      <c r="J79" s="100">
        <v>8</v>
      </c>
      <c r="K79" s="100">
        <v>6057.5999999999995</v>
      </c>
      <c r="L79" s="100">
        <v>8</v>
      </c>
      <c r="M79" s="100">
        <v>6057.5999999999995</v>
      </c>
      <c r="N79" s="100">
        <v>7</v>
      </c>
      <c r="O79" s="100">
        <v>5300.4</v>
      </c>
      <c r="P79" s="100">
        <v>6</v>
      </c>
      <c r="Q79" s="100">
        <v>4543.2</v>
      </c>
      <c r="R79" s="100">
        <v>8</v>
      </c>
      <c r="S79" s="100">
        <v>6057.5999999999995</v>
      </c>
      <c r="T79" s="100">
        <v>10</v>
      </c>
      <c r="U79" s="100">
        <v>7571.9999999999991</v>
      </c>
      <c r="V79" s="100">
        <v>6</v>
      </c>
      <c r="W79" s="100">
        <v>4543.2</v>
      </c>
      <c r="X79" s="100">
        <v>6</v>
      </c>
      <c r="Y79" s="100">
        <v>4543.2</v>
      </c>
      <c r="Z79" s="100">
        <v>6</v>
      </c>
      <c r="AA79" s="100">
        <v>4543.2</v>
      </c>
      <c r="AB79" s="100">
        <v>6</v>
      </c>
      <c r="AC79" s="100">
        <v>4543.2</v>
      </c>
      <c r="AD79" s="100">
        <v>6</v>
      </c>
      <c r="AE79" s="100">
        <v>4543.2</v>
      </c>
      <c r="AF79" s="100">
        <v>7</v>
      </c>
      <c r="AG79" s="100">
        <v>5300.4</v>
      </c>
      <c r="AH79" s="100">
        <v>10</v>
      </c>
      <c r="AI79" s="100">
        <v>7571.9999999999991</v>
      </c>
      <c r="AJ79" s="100">
        <v>6</v>
      </c>
      <c r="AK79" s="100">
        <v>4543.2</v>
      </c>
      <c r="AL79" s="100">
        <v>6</v>
      </c>
      <c r="AM79" s="100">
        <v>4543.2</v>
      </c>
      <c r="AN79" s="100">
        <v>8</v>
      </c>
      <c r="AO79" s="100">
        <v>6057.5999999999995</v>
      </c>
      <c r="AP79" s="100">
        <v>5</v>
      </c>
      <c r="AQ79" s="100">
        <v>3785.9999999999995</v>
      </c>
      <c r="AR79" s="100">
        <v>6</v>
      </c>
      <c r="AS79" s="100">
        <v>4543.2</v>
      </c>
      <c r="AT79" s="100">
        <v>5</v>
      </c>
      <c r="AU79" s="100">
        <v>3785.9999999999995</v>
      </c>
      <c r="AV79" s="100">
        <v>7</v>
      </c>
      <c r="AW79" s="100">
        <v>5300.4</v>
      </c>
      <c r="AX79" s="100">
        <v>8</v>
      </c>
      <c r="AY79" s="100">
        <v>6057.5999999999995</v>
      </c>
      <c r="AZ79" s="100">
        <v>9</v>
      </c>
      <c r="BA79" s="100">
        <v>6814.7999999999993</v>
      </c>
      <c r="BB79" s="100">
        <v>6</v>
      </c>
      <c r="BC79" s="100">
        <v>4543.2</v>
      </c>
      <c r="BD79" s="100">
        <v>6</v>
      </c>
      <c r="BE79" s="100">
        <v>4543.2</v>
      </c>
      <c r="BF79" s="100">
        <v>9</v>
      </c>
      <c r="BG79" s="100">
        <v>6814.7999999999993</v>
      </c>
      <c r="BH79" s="100">
        <v>9</v>
      </c>
      <c r="BI79" s="100">
        <v>6814.7999999999993</v>
      </c>
      <c r="BJ79" s="100">
        <v>10</v>
      </c>
      <c r="BK79" s="100">
        <v>7571.9999999999991</v>
      </c>
      <c r="BL79" s="100">
        <v>8</v>
      </c>
      <c r="BM79" s="100">
        <v>6057.5999999999995</v>
      </c>
      <c r="BN79" s="100">
        <v>9</v>
      </c>
      <c r="BO79" s="100">
        <v>6814.7999999999993</v>
      </c>
      <c r="BP79" s="100">
        <v>7</v>
      </c>
      <c r="BQ79" s="100">
        <v>5300.4</v>
      </c>
      <c r="BR79" s="100">
        <v>7</v>
      </c>
      <c r="BS79" s="100">
        <v>5300.4</v>
      </c>
      <c r="BT79" s="100">
        <v>9</v>
      </c>
      <c r="BU79" s="100">
        <v>6814.7999999999993</v>
      </c>
      <c r="BV79" s="100">
        <v>10</v>
      </c>
      <c r="BW79" s="100">
        <v>7571.9999999999991</v>
      </c>
      <c r="BX79" s="100">
        <v>6</v>
      </c>
      <c r="BY79" s="100">
        <v>4543.2</v>
      </c>
      <c r="BZ79" s="100">
        <v>5</v>
      </c>
      <c r="CA79" s="100">
        <v>3785.9999999999995</v>
      </c>
      <c r="CB79" s="100">
        <v>8</v>
      </c>
      <c r="CC79" s="100">
        <v>6057.5999999999995</v>
      </c>
      <c r="CD79" s="100">
        <v>9</v>
      </c>
      <c r="CE79" s="100">
        <v>6814.7999999999993</v>
      </c>
      <c r="CF79" s="100">
        <v>8</v>
      </c>
      <c r="CG79" s="100">
        <v>6057.5999999999995</v>
      </c>
      <c r="CH79" s="100">
        <v>8</v>
      </c>
      <c r="CI79" s="100">
        <v>6057.5999999999995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6</v>
      </c>
      <c r="CS79" s="100">
        <v>4543.2</v>
      </c>
      <c r="CT79" s="100">
        <v>7</v>
      </c>
      <c r="CU79" s="100">
        <v>5300.4</v>
      </c>
    </row>
    <row r="80" spans="2:99">
      <c r="C80" s="99" t="s">
        <v>246</v>
      </c>
      <c r="D80" s="100">
        <v>6</v>
      </c>
      <c r="E80" s="100">
        <v>4831.2</v>
      </c>
      <c r="F80" s="100">
        <v>9</v>
      </c>
      <c r="G80" s="100">
        <v>7246.7999999999993</v>
      </c>
      <c r="H80" s="100">
        <v>6</v>
      </c>
      <c r="I80" s="100">
        <v>4831.2</v>
      </c>
      <c r="J80" s="100">
        <v>7</v>
      </c>
      <c r="K80" s="100">
        <v>5636.4</v>
      </c>
      <c r="L80" s="100">
        <v>8</v>
      </c>
      <c r="M80" s="100">
        <v>6441.5999999999995</v>
      </c>
      <c r="N80" s="100">
        <v>7</v>
      </c>
      <c r="O80" s="100">
        <v>5636.4</v>
      </c>
      <c r="P80" s="100">
        <v>6</v>
      </c>
      <c r="Q80" s="100">
        <v>4831.2</v>
      </c>
      <c r="R80" s="100">
        <v>7</v>
      </c>
      <c r="S80" s="100">
        <v>5636.4</v>
      </c>
      <c r="T80" s="100">
        <v>10</v>
      </c>
      <c r="U80" s="100">
        <v>8051.9999999999991</v>
      </c>
      <c r="V80" s="100">
        <v>6</v>
      </c>
      <c r="W80" s="100">
        <v>4831.2</v>
      </c>
      <c r="X80" s="100">
        <v>6</v>
      </c>
      <c r="Y80" s="100">
        <v>4831.2</v>
      </c>
      <c r="Z80" s="100">
        <v>7</v>
      </c>
      <c r="AA80" s="100">
        <v>5636.4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7</v>
      </c>
      <c r="AG80" s="100">
        <v>5636.4</v>
      </c>
      <c r="AH80" s="100">
        <v>10</v>
      </c>
      <c r="AI80" s="100">
        <v>8051.9999999999991</v>
      </c>
      <c r="AJ80" s="100">
        <v>5</v>
      </c>
      <c r="AK80" s="100">
        <v>4025.9999999999995</v>
      </c>
      <c r="AL80" s="100">
        <v>5</v>
      </c>
      <c r="AM80" s="100">
        <v>4025.9999999999995</v>
      </c>
      <c r="AN80" s="100">
        <v>8</v>
      </c>
      <c r="AO80" s="100">
        <v>6441.5999999999995</v>
      </c>
      <c r="AP80" s="100">
        <v>5</v>
      </c>
      <c r="AQ80" s="100">
        <v>4025.9999999999995</v>
      </c>
      <c r="AR80" s="100">
        <v>6</v>
      </c>
      <c r="AS80" s="100">
        <v>4831.2</v>
      </c>
      <c r="AT80" s="100">
        <v>5</v>
      </c>
      <c r="AU80" s="100">
        <v>4025.9999999999995</v>
      </c>
      <c r="AV80" s="100">
        <v>7</v>
      </c>
      <c r="AW80" s="100">
        <v>5636.4</v>
      </c>
      <c r="AX80" s="100">
        <v>8</v>
      </c>
      <c r="AY80" s="100">
        <v>6441.5999999999995</v>
      </c>
      <c r="AZ80" s="100">
        <v>9</v>
      </c>
      <c r="BA80" s="100">
        <v>7246.7999999999993</v>
      </c>
      <c r="BB80" s="100">
        <v>6</v>
      </c>
      <c r="BC80" s="100">
        <v>4831.2</v>
      </c>
      <c r="BD80" s="100">
        <v>6</v>
      </c>
      <c r="BE80" s="100">
        <v>4831.2</v>
      </c>
      <c r="BF80" s="100">
        <v>11</v>
      </c>
      <c r="BG80" s="100">
        <v>8857.1999999999989</v>
      </c>
      <c r="BH80" s="100">
        <v>10</v>
      </c>
      <c r="BI80" s="100">
        <v>8051.9999999999991</v>
      </c>
      <c r="BJ80" s="100">
        <v>9</v>
      </c>
      <c r="BK80" s="100">
        <v>7246.7999999999993</v>
      </c>
      <c r="BL80" s="100">
        <v>9</v>
      </c>
      <c r="BM80" s="100">
        <v>7246.7999999999993</v>
      </c>
      <c r="BN80" s="100">
        <v>10</v>
      </c>
      <c r="BO80" s="100">
        <v>8051.9999999999991</v>
      </c>
      <c r="BP80" s="100">
        <v>7</v>
      </c>
      <c r="BQ80" s="100">
        <v>5636.4</v>
      </c>
      <c r="BR80" s="100">
        <v>7</v>
      </c>
      <c r="BS80" s="100">
        <v>5636.4</v>
      </c>
      <c r="BT80" s="100">
        <v>9</v>
      </c>
      <c r="BU80" s="100">
        <v>7246.7999999999993</v>
      </c>
      <c r="BV80" s="100">
        <v>10</v>
      </c>
      <c r="BW80" s="100">
        <v>8051.9999999999991</v>
      </c>
      <c r="BX80" s="100">
        <v>6</v>
      </c>
      <c r="BY80" s="100">
        <v>4831.2</v>
      </c>
      <c r="BZ80" s="100">
        <v>6</v>
      </c>
      <c r="CA80" s="100">
        <v>4831.2</v>
      </c>
      <c r="CB80" s="100">
        <v>9</v>
      </c>
      <c r="CC80" s="100">
        <v>7246.7999999999993</v>
      </c>
      <c r="CD80" s="100">
        <v>8</v>
      </c>
      <c r="CE80" s="100">
        <v>6441.5999999999995</v>
      </c>
      <c r="CF80" s="100">
        <v>8</v>
      </c>
      <c r="CG80" s="100">
        <v>6441.5999999999995</v>
      </c>
      <c r="CH80" s="100">
        <v>9</v>
      </c>
      <c r="CI80" s="100">
        <v>7246.7999999999993</v>
      </c>
      <c r="CJ80" s="100">
        <v>6</v>
      </c>
      <c r="CK80" s="100">
        <v>4831.2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11</v>
      </c>
      <c r="CQ80" s="100">
        <v>8857.1999999999989</v>
      </c>
      <c r="CR80" s="100">
        <v>6</v>
      </c>
      <c r="CS80" s="100">
        <v>4831.2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7</v>
      </c>
      <c r="E81" s="100">
        <v>5275.2</v>
      </c>
      <c r="F81" s="100">
        <v>7</v>
      </c>
      <c r="G81" s="100">
        <v>5275.2</v>
      </c>
      <c r="H81" s="100">
        <v>6</v>
      </c>
      <c r="I81" s="100">
        <v>4521.6000000000004</v>
      </c>
      <c r="J81" s="100">
        <v>8</v>
      </c>
      <c r="K81" s="100">
        <v>6028.8</v>
      </c>
      <c r="L81" s="100">
        <v>8</v>
      </c>
      <c r="M81" s="100">
        <v>6028.8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7</v>
      </c>
      <c r="S81" s="100">
        <v>5275.2</v>
      </c>
      <c r="T81" s="100">
        <v>10</v>
      </c>
      <c r="U81" s="100">
        <v>7536</v>
      </c>
      <c r="V81" s="100">
        <v>5</v>
      </c>
      <c r="W81" s="100">
        <v>3768</v>
      </c>
      <c r="X81" s="100">
        <v>6</v>
      </c>
      <c r="Y81" s="100">
        <v>4521.6000000000004</v>
      </c>
      <c r="Z81" s="100">
        <v>7</v>
      </c>
      <c r="AA81" s="100">
        <v>5275.2</v>
      </c>
      <c r="AB81" s="100">
        <v>7</v>
      </c>
      <c r="AC81" s="100">
        <v>5275.2</v>
      </c>
      <c r="AD81" s="100">
        <v>6</v>
      </c>
      <c r="AE81" s="100">
        <v>4521.6000000000004</v>
      </c>
      <c r="AF81" s="100">
        <v>6</v>
      </c>
      <c r="AG81" s="100">
        <v>4521.6000000000004</v>
      </c>
      <c r="AH81" s="100">
        <v>11</v>
      </c>
      <c r="AI81" s="100">
        <v>8289.6</v>
      </c>
      <c r="AJ81" s="100">
        <v>6</v>
      </c>
      <c r="AK81" s="100">
        <v>4521.6000000000004</v>
      </c>
      <c r="AL81" s="100">
        <v>5</v>
      </c>
      <c r="AM81" s="100">
        <v>3768</v>
      </c>
      <c r="AN81" s="100">
        <v>9</v>
      </c>
      <c r="AO81" s="100">
        <v>6782.4000000000005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6</v>
      </c>
      <c r="AU81" s="100">
        <v>4521.6000000000004</v>
      </c>
      <c r="AV81" s="100">
        <v>7</v>
      </c>
      <c r="AW81" s="100">
        <v>5275.2</v>
      </c>
      <c r="AX81" s="100">
        <v>9</v>
      </c>
      <c r="AY81" s="100">
        <v>6782.4000000000005</v>
      </c>
      <c r="AZ81" s="100">
        <v>8</v>
      </c>
      <c r="BA81" s="100">
        <v>6028.8</v>
      </c>
      <c r="BB81" s="100">
        <v>6</v>
      </c>
      <c r="BC81" s="100">
        <v>4521.6000000000004</v>
      </c>
      <c r="BD81" s="100">
        <v>6</v>
      </c>
      <c r="BE81" s="100">
        <v>4521.6000000000004</v>
      </c>
      <c r="BF81" s="100">
        <v>9</v>
      </c>
      <c r="BG81" s="100">
        <v>6782.4000000000005</v>
      </c>
      <c r="BH81" s="100">
        <v>10</v>
      </c>
      <c r="BI81" s="100">
        <v>7536</v>
      </c>
      <c r="BJ81" s="100">
        <v>10</v>
      </c>
      <c r="BK81" s="100">
        <v>7536</v>
      </c>
      <c r="BL81" s="100">
        <v>7</v>
      </c>
      <c r="BM81" s="100">
        <v>5275.2</v>
      </c>
      <c r="BN81" s="100">
        <v>10</v>
      </c>
      <c r="BO81" s="100">
        <v>7536</v>
      </c>
      <c r="BP81" s="100">
        <v>6</v>
      </c>
      <c r="BQ81" s="100">
        <v>4521.6000000000004</v>
      </c>
      <c r="BR81" s="100">
        <v>7</v>
      </c>
      <c r="BS81" s="100">
        <v>5275.2</v>
      </c>
      <c r="BT81" s="100">
        <v>9</v>
      </c>
      <c r="BU81" s="100">
        <v>6782.4000000000005</v>
      </c>
      <c r="BV81" s="100">
        <v>10</v>
      </c>
      <c r="BW81" s="100">
        <v>7536</v>
      </c>
      <c r="BX81" s="100">
        <v>7</v>
      </c>
      <c r="BY81" s="100">
        <v>5275.2</v>
      </c>
      <c r="BZ81" s="100">
        <v>6</v>
      </c>
      <c r="CA81" s="100">
        <v>4521.6000000000004</v>
      </c>
      <c r="CB81" s="100">
        <v>7</v>
      </c>
      <c r="CC81" s="100">
        <v>5275.2</v>
      </c>
      <c r="CD81" s="100">
        <v>9</v>
      </c>
      <c r="CE81" s="100">
        <v>6782.4000000000005</v>
      </c>
      <c r="CF81" s="100">
        <v>8</v>
      </c>
      <c r="CG81" s="100">
        <v>6028.8</v>
      </c>
      <c r="CH81" s="100">
        <v>9</v>
      </c>
      <c r="CI81" s="100">
        <v>6782.4000000000005</v>
      </c>
      <c r="CJ81" s="100">
        <v>6</v>
      </c>
      <c r="CK81" s="100">
        <v>4521.6000000000004</v>
      </c>
      <c r="CL81" s="100">
        <v>8</v>
      </c>
      <c r="CM81" s="100">
        <v>6028.8</v>
      </c>
      <c r="CN81" s="100">
        <v>8</v>
      </c>
      <c r="CO81" s="100">
        <v>6028.8</v>
      </c>
      <c r="CP81" s="100">
        <v>10</v>
      </c>
      <c r="CQ81" s="100">
        <v>7536</v>
      </c>
      <c r="CR81" s="100">
        <v>6</v>
      </c>
      <c r="CS81" s="100">
        <v>4521.6000000000004</v>
      </c>
      <c r="CT81" s="100">
        <v>8</v>
      </c>
      <c r="CU81" s="100">
        <v>6028.8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7</v>
      </c>
      <c r="G82" s="100">
        <v>3561.5999999999995</v>
      </c>
      <c r="H82" s="100">
        <v>7</v>
      </c>
      <c r="I82" s="100">
        <v>3561.5999999999995</v>
      </c>
      <c r="J82" s="100">
        <v>8</v>
      </c>
      <c r="K82" s="100">
        <v>4070.3999999999992</v>
      </c>
      <c r="L82" s="100">
        <v>8</v>
      </c>
      <c r="M82" s="100">
        <v>4070.3999999999992</v>
      </c>
      <c r="N82" s="100">
        <v>6</v>
      </c>
      <c r="O82" s="100">
        <v>3052.7999999999993</v>
      </c>
      <c r="P82" s="100">
        <v>6</v>
      </c>
      <c r="Q82" s="100">
        <v>3052.7999999999993</v>
      </c>
      <c r="R82" s="100">
        <v>7</v>
      </c>
      <c r="S82" s="100">
        <v>3561.5999999999995</v>
      </c>
      <c r="T82" s="100">
        <v>11</v>
      </c>
      <c r="U82" s="100">
        <v>5596.7999999999993</v>
      </c>
      <c r="V82" s="100">
        <v>5</v>
      </c>
      <c r="W82" s="100">
        <v>2543.9999999999995</v>
      </c>
      <c r="X82" s="100">
        <v>7</v>
      </c>
      <c r="Y82" s="100">
        <v>3561.5999999999995</v>
      </c>
      <c r="Z82" s="100">
        <v>7</v>
      </c>
      <c r="AA82" s="100">
        <v>3561.5999999999995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7</v>
      </c>
      <c r="AG82" s="100">
        <v>3561.5999999999995</v>
      </c>
      <c r="AH82" s="100">
        <v>10</v>
      </c>
      <c r="AI82" s="100">
        <v>5087.9999999999991</v>
      </c>
      <c r="AJ82" s="100">
        <v>5</v>
      </c>
      <c r="AK82" s="100">
        <v>2543.9999999999995</v>
      </c>
      <c r="AL82" s="100">
        <v>6</v>
      </c>
      <c r="AM82" s="100">
        <v>3052.7999999999993</v>
      </c>
      <c r="AN82" s="100">
        <v>9</v>
      </c>
      <c r="AO82" s="100">
        <v>4579.1999999999989</v>
      </c>
      <c r="AP82" s="100">
        <v>6</v>
      </c>
      <c r="AQ82" s="100">
        <v>3052.7999999999993</v>
      </c>
      <c r="AR82" s="100">
        <v>6</v>
      </c>
      <c r="AS82" s="100">
        <v>3052.7999999999993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8</v>
      </c>
      <c r="AY82" s="100">
        <v>4070.3999999999992</v>
      </c>
      <c r="AZ82" s="100">
        <v>9</v>
      </c>
      <c r="BA82" s="100">
        <v>4579.1999999999989</v>
      </c>
      <c r="BB82" s="100">
        <v>6</v>
      </c>
      <c r="BC82" s="100">
        <v>3052.7999999999993</v>
      </c>
      <c r="BD82" s="100">
        <v>5</v>
      </c>
      <c r="BE82" s="100">
        <v>2543.9999999999995</v>
      </c>
      <c r="BF82" s="100">
        <v>10</v>
      </c>
      <c r="BG82" s="100">
        <v>5087.9999999999991</v>
      </c>
      <c r="BH82" s="100">
        <v>9</v>
      </c>
      <c r="BI82" s="100">
        <v>4579.1999999999989</v>
      </c>
      <c r="BJ82" s="100">
        <v>10</v>
      </c>
      <c r="BK82" s="100">
        <v>5087.9999999999991</v>
      </c>
      <c r="BL82" s="100">
        <v>8</v>
      </c>
      <c r="BM82" s="100">
        <v>4070.3999999999992</v>
      </c>
      <c r="BN82" s="100">
        <v>10</v>
      </c>
      <c r="BO82" s="100">
        <v>5087.9999999999991</v>
      </c>
      <c r="BP82" s="100">
        <v>6</v>
      </c>
      <c r="BQ82" s="100">
        <v>3052.7999999999993</v>
      </c>
      <c r="BR82" s="100">
        <v>6</v>
      </c>
      <c r="BS82" s="100">
        <v>3052.7999999999993</v>
      </c>
      <c r="BT82" s="100">
        <v>10</v>
      </c>
      <c r="BU82" s="100">
        <v>5087.9999999999991</v>
      </c>
      <c r="BV82" s="100">
        <v>10</v>
      </c>
      <c r="BW82" s="100">
        <v>5087.9999999999991</v>
      </c>
      <c r="BX82" s="100">
        <v>6</v>
      </c>
      <c r="BY82" s="100">
        <v>3052.7999999999993</v>
      </c>
      <c r="BZ82" s="100">
        <v>6</v>
      </c>
      <c r="CA82" s="100">
        <v>3052.7999999999993</v>
      </c>
      <c r="CB82" s="100">
        <v>8</v>
      </c>
      <c r="CC82" s="100">
        <v>4070.3999999999992</v>
      </c>
      <c r="CD82" s="100">
        <v>8</v>
      </c>
      <c r="CE82" s="100">
        <v>4070.3999999999992</v>
      </c>
      <c r="CF82" s="100">
        <v>9</v>
      </c>
      <c r="CG82" s="100">
        <v>4579.1999999999989</v>
      </c>
      <c r="CH82" s="100">
        <v>10</v>
      </c>
      <c r="CI82" s="100">
        <v>5087.9999999999991</v>
      </c>
      <c r="CJ82" s="100">
        <v>7</v>
      </c>
      <c r="CK82" s="100">
        <v>3561.5999999999995</v>
      </c>
      <c r="CL82" s="100">
        <v>7</v>
      </c>
      <c r="CM82" s="100">
        <v>3561.5999999999995</v>
      </c>
      <c r="CN82" s="100">
        <v>8</v>
      </c>
      <c r="CO82" s="100">
        <v>4070.3999999999992</v>
      </c>
      <c r="CP82" s="100">
        <v>10</v>
      </c>
      <c r="CQ82" s="100">
        <v>5087.9999999999991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7</v>
      </c>
      <c r="E83" s="100">
        <v>6022.8</v>
      </c>
      <c r="F83" s="100">
        <v>8</v>
      </c>
      <c r="G83" s="100">
        <v>6883.2</v>
      </c>
      <c r="H83" s="100">
        <v>6</v>
      </c>
      <c r="I83" s="100">
        <v>5162.3999999999996</v>
      </c>
      <c r="J83" s="100">
        <v>7</v>
      </c>
      <c r="K83" s="100">
        <v>6022.8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7</v>
      </c>
      <c r="Q83" s="100">
        <v>6022.8</v>
      </c>
      <c r="R83" s="100">
        <v>7</v>
      </c>
      <c r="S83" s="100">
        <v>6022.8</v>
      </c>
      <c r="T83" s="100">
        <v>9</v>
      </c>
      <c r="U83" s="100">
        <v>7743.5999999999995</v>
      </c>
      <c r="V83" s="100">
        <v>5</v>
      </c>
      <c r="W83" s="100">
        <v>4302</v>
      </c>
      <c r="X83" s="100">
        <v>6</v>
      </c>
      <c r="Y83" s="100">
        <v>5162.3999999999996</v>
      </c>
      <c r="Z83" s="100">
        <v>6</v>
      </c>
      <c r="AA83" s="100">
        <v>5162.3999999999996</v>
      </c>
      <c r="AB83" s="100">
        <v>6</v>
      </c>
      <c r="AC83" s="100">
        <v>5162.3999999999996</v>
      </c>
      <c r="AD83" s="100">
        <v>6</v>
      </c>
      <c r="AE83" s="100">
        <v>5162.3999999999996</v>
      </c>
      <c r="AF83" s="100">
        <v>6</v>
      </c>
      <c r="AG83" s="100">
        <v>5162.3999999999996</v>
      </c>
      <c r="AH83" s="100">
        <v>11</v>
      </c>
      <c r="AI83" s="100">
        <v>9464.4</v>
      </c>
      <c r="AJ83" s="100">
        <v>6</v>
      </c>
      <c r="AK83" s="100">
        <v>5162.3999999999996</v>
      </c>
      <c r="AL83" s="100">
        <v>5</v>
      </c>
      <c r="AM83" s="100">
        <v>4302</v>
      </c>
      <c r="AN83" s="100">
        <v>9</v>
      </c>
      <c r="AO83" s="100">
        <v>7743.5999999999995</v>
      </c>
      <c r="AP83" s="100">
        <v>5</v>
      </c>
      <c r="AQ83" s="100">
        <v>4302</v>
      </c>
      <c r="AR83" s="100">
        <v>6</v>
      </c>
      <c r="AS83" s="100">
        <v>5162.3999999999996</v>
      </c>
      <c r="AT83" s="100">
        <v>6</v>
      </c>
      <c r="AU83" s="100">
        <v>5162.3999999999996</v>
      </c>
      <c r="AV83" s="100">
        <v>7</v>
      </c>
      <c r="AW83" s="100">
        <v>6022.8</v>
      </c>
      <c r="AX83" s="100">
        <v>8</v>
      </c>
      <c r="AY83" s="100">
        <v>6883.2</v>
      </c>
      <c r="AZ83" s="100">
        <v>8</v>
      </c>
      <c r="BA83" s="100">
        <v>6883.2</v>
      </c>
      <c r="BB83" s="100">
        <v>6</v>
      </c>
      <c r="BC83" s="100">
        <v>5162.3999999999996</v>
      </c>
      <c r="BD83" s="100">
        <v>6</v>
      </c>
      <c r="BE83" s="100">
        <v>5162.3999999999996</v>
      </c>
      <c r="BF83" s="100">
        <v>10</v>
      </c>
      <c r="BG83" s="100">
        <v>8604</v>
      </c>
      <c r="BH83" s="100">
        <v>10</v>
      </c>
      <c r="BI83" s="100">
        <v>8604</v>
      </c>
      <c r="BJ83" s="100">
        <v>9</v>
      </c>
      <c r="BK83" s="100">
        <v>7743.5999999999995</v>
      </c>
      <c r="BL83" s="100">
        <v>7</v>
      </c>
      <c r="BM83" s="100">
        <v>6022.8</v>
      </c>
      <c r="BN83" s="100">
        <v>9</v>
      </c>
      <c r="BO83" s="100">
        <v>7743.5999999999995</v>
      </c>
      <c r="BP83" s="100">
        <v>6</v>
      </c>
      <c r="BQ83" s="100">
        <v>5162.3999999999996</v>
      </c>
      <c r="BR83" s="100">
        <v>6</v>
      </c>
      <c r="BS83" s="100">
        <v>5162.3999999999996</v>
      </c>
      <c r="BT83" s="100">
        <v>10</v>
      </c>
      <c r="BU83" s="100">
        <v>8604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7</v>
      </c>
      <c r="CC83" s="100">
        <v>6022.8</v>
      </c>
      <c r="CD83" s="100">
        <v>9</v>
      </c>
      <c r="CE83" s="100">
        <v>7743.5999999999995</v>
      </c>
      <c r="CF83" s="100">
        <v>8</v>
      </c>
      <c r="CG83" s="100">
        <v>6883.2</v>
      </c>
      <c r="CH83" s="100">
        <v>9</v>
      </c>
      <c r="CI83" s="100">
        <v>7743.5999999999995</v>
      </c>
      <c r="CJ83" s="100">
        <v>6</v>
      </c>
      <c r="CK83" s="100">
        <v>5162.3999999999996</v>
      </c>
      <c r="CL83" s="100">
        <v>7</v>
      </c>
      <c r="CM83" s="100">
        <v>6022.8</v>
      </c>
      <c r="CN83" s="100">
        <v>8</v>
      </c>
      <c r="CO83" s="100">
        <v>6883.2</v>
      </c>
      <c r="CP83" s="100">
        <v>10</v>
      </c>
      <c r="CQ83" s="100">
        <v>8604</v>
      </c>
      <c r="CR83" s="100">
        <v>6</v>
      </c>
      <c r="CS83" s="100">
        <v>5162.3999999999996</v>
      </c>
      <c r="CT83" s="100">
        <v>7</v>
      </c>
      <c r="CU83" s="100">
        <v>6022.8</v>
      </c>
    </row>
    <row r="84" spans="2:99">
      <c r="C84" s="99" t="s">
        <v>250</v>
      </c>
      <c r="D84" s="100">
        <v>7</v>
      </c>
      <c r="E84" s="100">
        <v>5468.4</v>
      </c>
      <c r="F84" s="100">
        <v>8</v>
      </c>
      <c r="G84" s="100">
        <v>6249.5999999999995</v>
      </c>
      <c r="H84" s="100">
        <v>6</v>
      </c>
      <c r="I84" s="100">
        <v>4687.2</v>
      </c>
      <c r="J84" s="100">
        <v>8</v>
      </c>
      <c r="K84" s="100">
        <v>6249.5999999999995</v>
      </c>
      <c r="L84" s="100">
        <v>8</v>
      </c>
      <c r="M84" s="100">
        <v>6249.5999999999995</v>
      </c>
      <c r="N84" s="100">
        <v>7</v>
      </c>
      <c r="O84" s="100">
        <v>5468.4</v>
      </c>
      <c r="P84" s="100">
        <v>6</v>
      </c>
      <c r="Q84" s="100">
        <v>4687.2</v>
      </c>
      <c r="R84" s="100">
        <v>7</v>
      </c>
      <c r="S84" s="100">
        <v>5468.4</v>
      </c>
      <c r="T84" s="100">
        <v>10</v>
      </c>
      <c r="U84" s="100">
        <v>7811.9999999999991</v>
      </c>
      <c r="V84" s="100">
        <v>5</v>
      </c>
      <c r="W84" s="100">
        <v>3905.9999999999995</v>
      </c>
      <c r="X84" s="100">
        <v>6</v>
      </c>
      <c r="Y84" s="100">
        <v>4687.2</v>
      </c>
      <c r="Z84" s="100">
        <v>7</v>
      </c>
      <c r="AA84" s="100">
        <v>5468.4</v>
      </c>
      <c r="AB84" s="100">
        <v>7</v>
      </c>
      <c r="AC84" s="100">
        <v>5468.4</v>
      </c>
      <c r="AD84" s="100">
        <v>6</v>
      </c>
      <c r="AE84" s="100">
        <v>4687.2</v>
      </c>
      <c r="AF84" s="100">
        <v>6</v>
      </c>
      <c r="AG84" s="100">
        <v>4687.2</v>
      </c>
      <c r="AH84" s="100">
        <v>9</v>
      </c>
      <c r="AI84" s="100">
        <v>7030.7999999999993</v>
      </c>
      <c r="AJ84" s="100">
        <v>6</v>
      </c>
      <c r="AK84" s="100">
        <v>4687.2</v>
      </c>
      <c r="AL84" s="100">
        <v>5</v>
      </c>
      <c r="AM84" s="100">
        <v>3905.9999999999995</v>
      </c>
      <c r="AN84" s="100">
        <v>9</v>
      </c>
      <c r="AO84" s="100">
        <v>7030.7999999999993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6</v>
      </c>
      <c r="AU84" s="100">
        <v>4687.2</v>
      </c>
      <c r="AV84" s="100">
        <v>7</v>
      </c>
      <c r="AW84" s="100">
        <v>5468.4</v>
      </c>
      <c r="AX84" s="100">
        <v>9</v>
      </c>
      <c r="AY84" s="100">
        <v>7030.7999999999993</v>
      </c>
      <c r="AZ84" s="100">
        <v>8</v>
      </c>
      <c r="BA84" s="100">
        <v>6249.5999999999995</v>
      </c>
      <c r="BB84" s="100">
        <v>7</v>
      </c>
      <c r="BC84" s="100">
        <v>5468.4</v>
      </c>
      <c r="BD84" s="100">
        <v>5</v>
      </c>
      <c r="BE84" s="100">
        <v>3905.9999999999995</v>
      </c>
      <c r="BF84" s="100">
        <v>10</v>
      </c>
      <c r="BG84" s="100">
        <v>7811.9999999999991</v>
      </c>
      <c r="BH84" s="100">
        <v>10</v>
      </c>
      <c r="BI84" s="100">
        <v>7811.9999999999991</v>
      </c>
      <c r="BJ84" s="100">
        <v>10</v>
      </c>
      <c r="BK84" s="100">
        <v>7811.9999999999991</v>
      </c>
      <c r="BL84" s="100">
        <v>8</v>
      </c>
      <c r="BM84" s="100">
        <v>6249.5999999999995</v>
      </c>
      <c r="BN84" s="100">
        <v>10</v>
      </c>
      <c r="BO84" s="100">
        <v>7811.9999999999991</v>
      </c>
      <c r="BP84" s="100">
        <v>6</v>
      </c>
      <c r="BQ84" s="100">
        <v>4687.2</v>
      </c>
      <c r="BR84" s="100">
        <v>6</v>
      </c>
      <c r="BS84" s="100">
        <v>4687.2</v>
      </c>
      <c r="BT84" s="100">
        <v>9</v>
      </c>
      <c r="BU84" s="100">
        <v>7030.7999999999993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6</v>
      </c>
      <c r="CA84" s="100">
        <v>4687.2</v>
      </c>
      <c r="CB84" s="100">
        <v>8</v>
      </c>
      <c r="CC84" s="100">
        <v>6249.5999999999995</v>
      </c>
      <c r="CD84" s="100">
        <v>8</v>
      </c>
      <c r="CE84" s="100">
        <v>6249.5999999999995</v>
      </c>
      <c r="CF84" s="100">
        <v>8</v>
      </c>
      <c r="CG84" s="100">
        <v>6249.5999999999995</v>
      </c>
      <c r="CH84" s="100">
        <v>9</v>
      </c>
      <c r="CI84" s="100">
        <v>7030.7999999999993</v>
      </c>
      <c r="CJ84" s="100">
        <v>6</v>
      </c>
      <c r="CK84" s="100">
        <v>4687.2</v>
      </c>
      <c r="CL84" s="100">
        <v>7</v>
      </c>
      <c r="CM84" s="100">
        <v>5468.4</v>
      </c>
      <c r="CN84" s="100">
        <v>8</v>
      </c>
      <c r="CO84" s="100">
        <v>6249.5999999999995</v>
      </c>
      <c r="CP84" s="100">
        <v>11</v>
      </c>
      <c r="CQ84" s="100">
        <v>8593.1999999999989</v>
      </c>
      <c r="CR84" s="100">
        <v>5</v>
      </c>
      <c r="CS84" s="100">
        <v>3905.9999999999995</v>
      </c>
      <c r="CT84" s="100">
        <v>7</v>
      </c>
      <c r="CU84" s="100">
        <v>5468.4</v>
      </c>
    </row>
    <row r="85" spans="2:99">
      <c r="C85" s="99" t="s">
        <v>251</v>
      </c>
      <c r="D85" s="100">
        <v>7</v>
      </c>
      <c r="E85" s="100">
        <v>1050</v>
      </c>
      <c r="F85" s="100">
        <v>9</v>
      </c>
      <c r="G85" s="100">
        <v>1350</v>
      </c>
      <c r="H85" s="100">
        <v>6</v>
      </c>
      <c r="I85" s="100">
        <v>900</v>
      </c>
      <c r="J85" s="100">
        <v>8</v>
      </c>
      <c r="K85" s="100">
        <v>1200</v>
      </c>
      <c r="L85" s="100">
        <v>8</v>
      </c>
      <c r="M85" s="100">
        <v>1200</v>
      </c>
      <c r="N85" s="100">
        <v>7</v>
      </c>
      <c r="O85" s="100">
        <v>1050</v>
      </c>
      <c r="P85" s="100">
        <v>7</v>
      </c>
      <c r="Q85" s="100">
        <v>1050</v>
      </c>
      <c r="R85" s="100">
        <v>8</v>
      </c>
      <c r="S85" s="100">
        <v>1200</v>
      </c>
      <c r="T85" s="100">
        <v>10</v>
      </c>
      <c r="U85" s="100">
        <v>1500</v>
      </c>
      <c r="V85" s="100">
        <v>6</v>
      </c>
      <c r="W85" s="100">
        <v>900</v>
      </c>
      <c r="X85" s="100">
        <v>7</v>
      </c>
      <c r="Y85" s="100">
        <v>1050</v>
      </c>
      <c r="Z85" s="100">
        <v>8</v>
      </c>
      <c r="AA85" s="100">
        <v>1200</v>
      </c>
      <c r="AB85" s="100">
        <v>7</v>
      </c>
      <c r="AC85" s="100">
        <v>1050</v>
      </c>
      <c r="AD85" s="100">
        <v>7</v>
      </c>
      <c r="AE85" s="100">
        <v>1050</v>
      </c>
      <c r="AF85" s="100">
        <v>7</v>
      </c>
      <c r="AG85" s="100">
        <v>1050</v>
      </c>
      <c r="AH85" s="100">
        <v>11</v>
      </c>
      <c r="AI85" s="100">
        <v>1650</v>
      </c>
      <c r="AJ85" s="100">
        <v>6</v>
      </c>
      <c r="AK85" s="100">
        <v>900</v>
      </c>
      <c r="AL85" s="100">
        <v>6</v>
      </c>
      <c r="AM85" s="100">
        <v>900</v>
      </c>
      <c r="AN85" s="100">
        <v>9</v>
      </c>
      <c r="AO85" s="100">
        <v>1350</v>
      </c>
      <c r="AP85" s="100">
        <v>5</v>
      </c>
      <c r="AQ85" s="100">
        <v>750</v>
      </c>
      <c r="AR85" s="100">
        <v>6</v>
      </c>
      <c r="AS85" s="100">
        <v>900</v>
      </c>
      <c r="AT85" s="100">
        <v>6</v>
      </c>
      <c r="AU85" s="100">
        <v>900</v>
      </c>
      <c r="AV85" s="100">
        <v>7</v>
      </c>
      <c r="AW85" s="100">
        <v>1050</v>
      </c>
      <c r="AX85" s="100">
        <v>8</v>
      </c>
      <c r="AY85" s="100">
        <v>1200</v>
      </c>
      <c r="AZ85" s="100">
        <v>10</v>
      </c>
      <c r="BA85" s="100">
        <v>1500</v>
      </c>
      <c r="BB85" s="100">
        <v>6</v>
      </c>
      <c r="BC85" s="100">
        <v>900</v>
      </c>
      <c r="BD85" s="100">
        <v>6</v>
      </c>
      <c r="BE85" s="100">
        <v>900</v>
      </c>
      <c r="BF85" s="100">
        <v>10</v>
      </c>
      <c r="BG85" s="100">
        <v>1500</v>
      </c>
      <c r="BH85" s="100">
        <v>10</v>
      </c>
      <c r="BI85" s="100">
        <v>1500</v>
      </c>
      <c r="BJ85" s="100">
        <v>11</v>
      </c>
      <c r="BK85" s="100">
        <v>1650</v>
      </c>
      <c r="BL85" s="100">
        <v>8</v>
      </c>
      <c r="BM85" s="100">
        <v>1200</v>
      </c>
      <c r="BN85" s="100">
        <v>9</v>
      </c>
      <c r="BO85" s="100">
        <v>1350</v>
      </c>
      <c r="BP85" s="100">
        <v>6</v>
      </c>
      <c r="BQ85" s="100">
        <v>900</v>
      </c>
      <c r="BR85" s="100">
        <v>7</v>
      </c>
      <c r="BS85" s="100">
        <v>1050</v>
      </c>
      <c r="BT85" s="100">
        <v>10</v>
      </c>
      <c r="BU85" s="100">
        <v>1500</v>
      </c>
      <c r="BV85" s="100">
        <v>11</v>
      </c>
      <c r="BW85" s="100">
        <v>1650</v>
      </c>
      <c r="BX85" s="100">
        <v>7</v>
      </c>
      <c r="BY85" s="100">
        <v>1050</v>
      </c>
      <c r="BZ85" s="100">
        <v>6</v>
      </c>
      <c r="CA85" s="100">
        <v>900</v>
      </c>
      <c r="CB85" s="100">
        <v>8</v>
      </c>
      <c r="CC85" s="100">
        <v>1200</v>
      </c>
      <c r="CD85" s="100">
        <v>8</v>
      </c>
      <c r="CE85" s="100">
        <v>1200</v>
      </c>
      <c r="CF85" s="100">
        <v>8</v>
      </c>
      <c r="CG85" s="100">
        <v>1200</v>
      </c>
      <c r="CH85" s="100">
        <v>10</v>
      </c>
      <c r="CI85" s="100">
        <v>1500</v>
      </c>
      <c r="CJ85" s="100">
        <v>7</v>
      </c>
      <c r="CK85" s="100">
        <v>1050</v>
      </c>
      <c r="CL85" s="100">
        <v>7</v>
      </c>
      <c r="CM85" s="100">
        <v>1050</v>
      </c>
      <c r="CN85" s="100">
        <v>9</v>
      </c>
      <c r="CO85" s="100">
        <v>1350</v>
      </c>
      <c r="CP85" s="100">
        <v>12</v>
      </c>
      <c r="CQ85" s="100">
        <v>1800</v>
      </c>
      <c r="CR85" s="100">
        <v>5</v>
      </c>
      <c r="CS85" s="100">
        <v>750</v>
      </c>
      <c r="CT85" s="100">
        <v>7</v>
      </c>
      <c r="CU85" s="100">
        <v>1050</v>
      </c>
    </row>
    <row r="86" spans="2:99">
      <c r="C86" s="99" t="s">
        <v>252</v>
      </c>
      <c r="D86" s="100">
        <v>7</v>
      </c>
      <c r="E86" s="100">
        <v>3780</v>
      </c>
      <c r="F86" s="100">
        <v>8</v>
      </c>
      <c r="G86" s="100">
        <v>4320</v>
      </c>
      <c r="H86" s="100">
        <v>6</v>
      </c>
      <c r="I86" s="100">
        <v>3240</v>
      </c>
      <c r="J86" s="100">
        <v>8</v>
      </c>
      <c r="K86" s="100">
        <v>4320</v>
      </c>
      <c r="L86" s="100">
        <v>8</v>
      </c>
      <c r="M86" s="100">
        <v>4320</v>
      </c>
      <c r="N86" s="100">
        <v>7</v>
      </c>
      <c r="O86" s="100">
        <v>3780</v>
      </c>
      <c r="P86" s="100">
        <v>6</v>
      </c>
      <c r="Q86" s="100">
        <v>3240</v>
      </c>
      <c r="R86" s="100">
        <v>7</v>
      </c>
      <c r="S86" s="100">
        <v>3780</v>
      </c>
      <c r="T86" s="100">
        <v>11</v>
      </c>
      <c r="U86" s="100">
        <v>5940</v>
      </c>
      <c r="V86" s="100">
        <v>5</v>
      </c>
      <c r="W86" s="100">
        <v>2700</v>
      </c>
      <c r="X86" s="100">
        <v>6</v>
      </c>
      <c r="Y86" s="100">
        <v>3240</v>
      </c>
      <c r="Z86" s="100">
        <v>7</v>
      </c>
      <c r="AA86" s="100">
        <v>3780</v>
      </c>
      <c r="AB86" s="100">
        <v>7</v>
      </c>
      <c r="AC86" s="100">
        <v>3780</v>
      </c>
      <c r="AD86" s="100">
        <v>6</v>
      </c>
      <c r="AE86" s="100">
        <v>3240</v>
      </c>
      <c r="AF86" s="100">
        <v>6</v>
      </c>
      <c r="AG86" s="100">
        <v>3240</v>
      </c>
      <c r="AH86" s="100">
        <v>11</v>
      </c>
      <c r="AI86" s="100">
        <v>5940</v>
      </c>
      <c r="AJ86" s="100">
        <v>6</v>
      </c>
      <c r="AK86" s="100">
        <v>3240</v>
      </c>
      <c r="AL86" s="100">
        <v>5</v>
      </c>
      <c r="AM86" s="100">
        <v>2700</v>
      </c>
      <c r="AN86" s="100">
        <v>9</v>
      </c>
      <c r="AO86" s="100">
        <v>4860</v>
      </c>
      <c r="AP86" s="100">
        <v>6</v>
      </c>
      <c r="AQ86" s="100">
        <v>3240</v>
      </c>
      <c r="AR86" s="100">
        <v>6</v>
      </c>
      <c r="AS86" s="100">
        <v>3240</v>
      </c>
      <c r="AT86" s="100">
        <v>7</v>
      </c>
      <c r="AU86" s="100">
        <v>3780</v>
      </c>
      <c r="AV86" s="100">
        <v>7</v>
      </c>
      <c r="AW86" s="100">
        <v>3780</v>
      </c>
      <c r="AX86" s="100">
        <v>8</v>
      </c>
      <c r="AY86" s="100">
        <v>4320</v>
      </c>
      <c r="AZ86" s="100">
        <v>8</v>
      </c>
      <c r="BA86" s="100">
        <v>4320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10</v>
      </c>
      <c r="BG86" s="100">
        <v>5400</v>
      </c>
      <c r="BH86" s="100">
        <v>11</v>
      </c>
      <c r="BI86" s="100">
        <v>5940</v>
      </c>
      <c r="BJ86" s="100">
        <v>10</v>
      </c>
      <c r="BK86" s="100">
        <v>5400</v>
      </c>
      <c r="BL86" s="100">
        <v>9</v>
      </c>
      <c r="BM86" s="100">
        <v>4860</v>
      </c>
      <c r="BN86" s="100">
        <v>9</v>
      </c>
      <c r="BO86" s="100">
        <v>4860</v>
      </c>
      <c r="BP86" s="100">
        <v>6</v>
      </c>
      <c r="BQ86" s="100">
        <v>3240</v>
      </c>
      <c r="BR86" s="100">
        <v>7</v>
      </c>
      <c r="BS86" s="100">
        <v>3780</v>
      </c>
      <c r="BT86" s="100">
        <v>9</v>
      </c>
      <c r="BU86" s="100">
        <v>4860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7</v>
      </c>
      <c r="CC86" s="100">
        <v>3780</v>
      </c>
      <c r="CD86" s="100">
        <v>8</v>
      </c>
      <c r="CE86" s="100">
        <v>4320</v>
      </c>
      <c r="CF86" s="100">
        <v>7</v>
      </c>
      <c r="CG86" s="100">
        <v>3780</v>
      </c>
      <c r="CH86" s="100">
        <v>10</v>
      </c>
      <c r="CI86" s="100">
        <v>5400</v>
      </c>
      <c r="CJ86" s="100">
        <v>7</v>
      </c>
      <c r="CK86" s="100">
        <v>3780</v>
      </c>
      <c r="CL86" s="100">
        <v>7</v>
      </c>
      <c r="CM86" s="100">
        <v>3780</v>
      </c>
      <c r="CN86" s="100">
        <v>8</v>
      </c>
      <c r="CO86" s="100">
        <v>4320</v>
      </c>
      <c r="CP86" s="100">
        <v>11</v>
      </c>
      <c r="CQ86" s="100">
        <v>5940</v>
      </c>
      <c r="CR86" s="100">
        <v>6</v>
      </c>
      <c r="CS86" s="100">
        <v>3240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8</v>
      </c>
      <c r="G87" s="100">
        <v>8592</v>
      </c>
      <c r="H87" s="100">
        <v>8.1391304347826097</v>
      </c>
      <c r="I87" s="100">
        <v>8741.4260869565223</v>
      </c>
      <c r="J87" s="100">
        <v>8.92018779342723</v>
      </c>
      <c r="K87" s="100">
        <v>9580.2816901408441</v>
      </c>
      <c r="L87" s="100">
        <v>7.2727272727272725</v>
      </c>
      <c r="M87" s="100">
        <v>7810.909090909091</v>
      </c>
      <c r="N87" s="100">
        <v>8.4236453201970445</v>
      </c>
      <c r="O87" s="100">
        <v>9046.995073891625</v>
      </c>
      <c r="P87" s="100">
        <v>7</v>
      </c>
      <c r="Q87" s="100">
        <v>7518</v>
      </c>
      <c r="R87" s="100">
        <v>6</v>
      </c>
      <c r="S87" s="100">
        <v>6444</v>
      </c>
      <c r="T87" s="100">
        <v>7</v>
      </c>
      <c r="U87" s="100">
        <v>7518</v>
      </c>
      <c r="V87" s="100">
        <v>10</v>
      </c>
      <c r="W87" s="100">
        <v>10740</v>
      </c>
      <c r="X87" s="100">
        <v>7</v>
      </c>
      <c r="Y87" s="100">
        <v>7518</v>
      </c>
      <c r="Z87" s="100">
        <v>7</v>
      </c>
      <c r="AA87" s="100">
        <v>7518</v>
      </c>
      <c r="AB87" s="100">
        <v>7</v>
      </c>
      <c r="AC87" s="100">
        <v>7518</v>
      </c>
      <c r="AD87" s="100">
        <v>11</v>
      </c>
      <c r="AE87" s="100">
        <v>11814</v>
      </c>
      <c r="AF87" s="100">
        <v>9</v>
      </c>
      <c r="AG87" s="100">
        <v>9666</v>
      </c>
      <c r="AH87" s="100">
        <v>9</v>
      </c>
      <c r="AI87" s="100">
        <v>9666</v>
      </c>
      <c r="AJ87" s="100">
        <v>8</v>
      </c>
      <c r="AK87" s="100">
        <v>8592</v>
      </c>
      <c r="AL87" s="100">
        <v>8</v>
      </c>
      <c r="AM87" s="100">
        <v>8592</v>
      </c>
      <c r="AN87" s="100">
        <v>6</v>
      </c>
      <c r="AO87" s="100">
        <v>6444</v>
      </c>
      <c r="AP87" s="100">
        <v>10</v>
      </c>
      <c r="AQ87" s="100">
        <v>10740</v>
      </c>
      <c r="AR87" s="100">
        <v>13</v>
      </c>
      <c r="AS87" s="100">
        <v>13962</v>
      </c>
      <c r="AT87" s="100">
        <v>7</v>
      </c>
      <c r="AU87" s="100">
        <v>7518</v>
      </c>
      <c r="AV87" s="100">
        <v>8</v>
      </c>
      <c r="AW87" s="100">
        <v>8592</v>
      </c>
      <c r="AX87" s="100">
        <v>10</v>
      </c>
      <c r="AY87" s="100">
        <v>10740</v>
      </c>
      <c r="AZ87" s="100">
        <v>9</v>
      </c>
      <c r="BA87" s="100">
        <v>9666</v>
      </c>
      <c r="BB87" s="100">
        <v>9</v>
      </c>
      <c r="BC87" s="100">
        <v>9666</v>
      </c>
      <c r="BD87" s="100">
        <v>11</v>
      </c>
      <c r="BE87" s="100">
        <v>11814</v>
      </c>
      <c r="BF87" s="100">
        <v>12</v>
      </c>
      <c r="BG87" s="100">
        <v>12888</v>
      </c>
      <c r="BH87" s="100">
        <v>9</v>
      </c>
      <c r="BI87" s="100">
        <v>9666</v>
      </c>
      <c r="BJ87" s="100">
        <v>11</v>
      </c>
      <c r="BK87" s="100">
        <v>11814</v>
      </c>
      <c r="BL87" s="100">
        <v>6</v>
      </c>
      <c r="BM87" s="100">
        <v>6444</v>
      </c>
      <c r="BN87" s="100">
        <v>10</v>
      </c>
      <c r="BO87" s="100">
        <v>10740</v>
      </c>
      <c r="BP87" s="100">
        <v>8</v>
      </c>
      <c r="BQ87" s="100">
        <v>8592</v>
      </c>
      <c r="BR87" s="100">
        <v>10</v>
      </c>
      <c r="BS87" s="100">
        <v>10740</v>
      </c>
      <c r="BT87" s="100">
        <v>7</v>
      </c>
      <c r="BU87" s="100">
        <v>7518</v>
      </c>
      <c r="BV87" s="100">
        <v>11</v>
      </c>
      <c r="BW87" s="100">
        <v>11814</v>
      </c>
      <c r="BX87" s="100">
        <v>8</v>
      </c>
      <c r="BY87" s="100">
        <v>8592</v>
      </c>
      <c r="BZ87" s="100">
        <v>11</v>
      </c>
      <c r="CA87" s="100">
        <v>11814</v>
      </c>
      <c r="CB87" s="100">
        <v>10</v>
      </c>
      <c r="CC87" s="100">
        <v>10740</v>
      </c>
      <c r="CD87" s="100">
        <v>12</v>
      </c>
      <c r="CE87" s="100">
        <v>12888</v>
      </c>
      <c r="CF87" s="100">
        <v>7</v>
      </c>
      <c r="CG87" s="100">
        <v>7518</v>
      </c>
      <c r="CH87" s="100">
        <v>8</v>
      </c>
      <c r="CI87" s="100">
        <v>8592</v>
      </c>
      <c r="CJ87" s="100">
        <v>7</v>
      </c>
      <c r="CK87" s="100">
        <v>7518</v>
      </c>
      <c r="CL87" s="100">
        <v>10</v>
      </c>
      <c r="CM87" s="100">
        <v>10740</v>
      </c>
      <c r="CN87" s="100">
        <v>10</v>
      </c>
      <c r="CO87" s="100">
        <v>10740</v>
      </c>
      <c r="CP87" s="100">
        <v>7</v>
      </c>
      <c r="CQ87" s="100">
        <v>7518</v>
      </c>
      <c r="CR87" s="100">
        <v>7.4251497005988067</v>
      </c>
      <c r="CS87" s="100">
        <v>7974.6107784431188</v>
      </c>
      <c r="CT87" s="100">
        <v>3.1275458655228574</v>
      </c>
      <c r="CU87" s="100">
        <v>3358.984259571549</v>
      </c>
    </row>
    <row r="88" spans="2:99">
      <c r="C88" s="99" t="s">
        <v>254</v>
      </c>
      <c r="D88" s="100">
        <v>11</v>
      </c>
      <c r="E88" s="100">
        <v>10916.4</v>
      </c>
      <c r="F88" s="100">
        <v>8</v>
      </c>
      <c r="G88" s="100">
        <v>7939.2</v>
      </c>
      <c r="H88" s="100">
        <v>9.0434782608695645</v>
      </c>
      <c r="I88" s="100">
        <v>8974.7478260869557</v>
      </c>
      <c r="J88" s="100">
        <v>8.0281690140845061</v>
      </c>
      <c r="K88" s="100">
        <v>7967.1549295774639</v>
      </c>
      <c r="L88" s="100">
        <v>8.1818181818181817</v>
      </c>
      <c r="M88" s="100">
        <v>8119.6363636363631</v>
      </c>
      <c r="N88" s="100">
        <v>8.4236453201970445</v>
      </c>
      <c r="O88" s="100">
        <v>8359.6256157635471</v>
      </c>
      <c r="P88" s="100">
        <v>7</v>
      </c>
      <c r="Q88" s="100">
        <v>6946.8</v>
      </c>
      <c r="R88" s="100">
        <v>7</v>
      </c>
      <c r="S88" s="100">
        <v>6946.8</v>
      </c>
      <c r="T88" s="100">
        <v>9</v>
      </c>
      <c r="U88" s="100">
        <v>8931.6</v>
      </c>
      <c r="V88" s="100">
        <v>10</v>
      </c>
      <c r="W88" s="100">
        <v>9924</v>
      </c>
      <c r="X88" s="100">
        <v>7</v>
      </c>
      <c r="Y88" s="100">
        <v>6946.8</v>
      </c>
      <c r="Z88" s="100">
        <v>6</v>
      </c>
      <c r="AA88" s="100">
        <v>5954.4</v>
      </c>
      <c r="AB88" s="100">
        <v>7</v>
      </c>
      <c r="AC88" s="100">
        <v>6946.8</v>
      </c>
      <c r="AD88" s="100">
        <v>11</v>
      </c>
      <c r="AE88" s="100">
        <v>10916.4</v>
      </c>
      <c r="AF88" s="100">
        <v>8</v>
      </c>
      <c r="AG88" s="100">
        <v>7939.2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8</v>
      </c>
      <c r="AM88" s="100">
        <v>7939.2</v>
      </c>
      <c r="AN88" s="100">
        <v>7</v>
      </c>
      <c r="AO88" s="100">
        <v>6946.8</v>
      </c>
      <c r="AP88" s="100">
        <v>10</v>
      </c>
      <c r="AQ88" s="100">
        <v>9924</v>
      </c>
      <c r="AR88" s="100">
        <v>11</v>
      </c>
      <c r="AS88" s="100">
        <v>10916.4</v>
      </c>
      <c r="AT88" s="100">
        <v>9</v>
      </c>
      <c r="AU88" s="100">
        <v>8931.6</v>
      </c>
      <c r="AV88" s="100">
        <v>8</v>
      </c>
      <c r="AW88" s="100">
        <v>7939.2</v>
      </c>
      <c r="AX88" s="100">
        <v>10</v>
      </c>
      <c r="AY88" s="100">
        <v>9924</v>
      </c>
      <c r="AZ88" s="100">
        <v>8</v>
      </c>
      <c r="BA88" s="100">
        <v>7939.2</v>
      </c>
      <c r="BB88" s="100">
        <v>9</v>
      </c>
      <c r="BC88" s="100">
        <v>8931.6</v>
      </c>
      <c r="BD88" s="100">
        <v>10</v>
      </c>
      <c r="BE88" s="100">
        <v>9924</v>
      </c>
      <c r="BF88" s="100">
        <v>11</v>
      </c>
      <c r="BG88" s="100">
        <v>10916.4</v>
      </c>
      <c r="BH88" s="100">
        <v>11</v>
      </c>
      <c r="BI88" s="100">
        <v>10916.4</v>
      </c>
      <c r="BJ88" s="100">
        <v>11</v>
      </c>
      <c r="BK88" s="100">
        <v>10916.4</v>
      </c>
      <c r="BL88" s="100">
        <v>7</v>
      </c>
      <c r="BM88" s="100">
        <v>6946.8</v>
      </c>
      <c r="BN88" s="100">
        <v>10</v>
      </c>
      <c r="BO88" s="100">
        <v>9924</v>
      </c>
      <c r="BP88" s="100">
        <v>7</v>
      </c>
      <c r="BQ88" s="100">
        <v>6946.8</v>
      </c>
      <c r="BR88" s="100">
        <v>9</v>
      </c>
      <c r="BS88" s="100">
        <v>8931.6</v>
      </c>
      <c r="BT88" s="100">
        <v>6</v>
      </c>
      <c r="BU88" s="100">
        <v>5954.4</v>
      </c>
      <c r="BV88" s="100">
        <v>10</v>
      </c>
      <c r="BW88" s="100">
        <v>9924</v>
      </c>
      <c r="BX88" s="100">
        <v>7</v>
      </c>
      <c r="BY88" s="100">
        <v>6946.8</v>
      </c>
      <c r="BZ88" s="100">
        <v>11</v>
      </c>
      <c r="CA88" s="100">
        <v>10916.4</v>
      </c>
      <c r="CB88" s="100">
        <v>10</v>
      </c>
      <c r="CC88" s="100">
        <v>9924</v>
      </c>
      <c r="CD88" s="100">
        <v>13</v>
      </c>
      <c r="CE88" s="100">
        <v>12901.199999999999</v>
      </c>
      <c r="CF88" s="100">
        <v>8</v>
      </c>
      <c r="CG88" s="100">
        <v>7939.2</v>
      </c>
      <c r="CH88" s="100">
        <v>8</v>
      </c>
      <c r="CI88" s="100">
        <v>7939.2</v>
      </c>
      <c r="CJ88" s="100">
        <v>7</v>
      </c>
      <c r="CK88" s="100">
        <v>6946.8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7</v>
      </c>
      <c r="CQ88" s="100">
        <v>6946.8</v>
      </c>
      <c r="CR88" s="100">
        <v>6.4970059880239557</v>
      </c>
      <c r="CS88" s="100">
        <v>6447.6287425149731</v>
      </c>
      <c r="CT88" s="100">
        <v>2.7366026323325001</v>
      </c>
      <c r="CU88" s="100">
        <v>2715.8044523267731</v>
      </c>
    </row>
    <row r="89" spans="2:99">
      <c r="C89" s="99" t="s">
        <v>255</v>
      </c>
      <c r="D89" s="100">
        <v>11</v>
      </c>
      <c r="E89" s="100">
        <v>11682</v>
      </c>
      <c r="F89" s="100">
        <v>8</v>
      </c>
      <c r="G89" s="100">
        <v>8496</v>
      </c>
      <c r="H89" s="100">
        <v>9.9478260869565212</v>
      </c>
      <c r="I89" s="100">
        <v>10564.591304347825</v>
      </c>
      <c r="J89" s="100">
        <v>9.8122065727699539</v>
      </c>
      <c r="K89" s="100">
        <v>10420.563380281692</v>
      </c>
      <c r="L89" s="100">
        <v>8.1818181818181817</v>
      </c>
      <c r="M89" s="100">
        <v>8689.0909090909081</v>
      </c>
      <c r="N89" s="100">
        <v>7.4876847290640391</v>
      </c>
      <c r="O89" s="100">
        <v>7951.92118226601</v>
      </c>
      <c r="P89" s="100">
        <v>7</v>
      </c>
      <c r="Q89" s="100">
        <v>7434</v>
      </c>
      <c r="R89" s="100">
        <v>7</v>
      </c>
      <c r="S89" s="100">
        <v>7434</v>
      </c>
      <c r="T89" s="100">
        <v>8</v>
      </c>
      <c r="U89" s="100">
        <v>8496</v>
      </c>
      <c r="V89" s="100">
        <v>10</v>
      </c>
      <c r="W89" s="100">
        <v>10620</v>
      </c>
      <c r="X89" s="100">
        <v>8</v>
      </c>
      <c r="Y89" s="100">
        <v>8496</v>
      </c>
      <c r="Z89" s="100">
        <v>6</v>
      </c>
      <c r="AA89" s="100">
        <v>6372</v>
      </c>
      <c r="AB89" s="100">
        <v>7</v>
      </c>
      <c r="AC89" s="100">
        <v>7434</v>
      </c>
      <c r="AD89" s="100">
        <v>11</v>
      </c>
      <c r="AE89" s="100">
        <v>11682</v>
      </c>
      <c r="AF89" s="100">
        <v>8</v>
      </c>
      <c r="AG89" s="100">
        <v>8496</v>
      </c>
      <c r="AH89" s="100">
        <v>9</v>
      </c>
      <c r="AI89" s="100">
        <v>9558</v>
      </c>
      <c r="AJ89" s="100">
        <v>7</v>
      </c>
      <c r="AK89" s="100">
        <v>7434</v>
      </c>
      <c r="AL89" s="100">
        <v>8</v>
      </c>
      <c r="AM89" s="100">
        <v>8496</v>
      </c>
      <c r="AN89" s="100">
        <v>6</v>
      </c>
      <c r="AO89" s="100">
        <v>6372</v>
      </c>
      <c r="AP89" s="100">
        <v>11</v>
      </c>
      <c r="AQ89" s="100">
        <v>11682</v>
      </c>
      <c r="AR89" s="100">
        <v>12</v>
      </c>
      <c r="AS89" s="100">
        <v>12744</v>
      </c>
      <c r="AT89" s="100">
        <v>9</v>
      </c>
      <c r="AU89" s="100">
        <v>9558</v>
      </c>
      <c r="AV89" s="100">
        <v>8</v>
      </c>
      <c r="AW89" s="100">
        <v>8496</v>
      </c>
      <c r="AX89" s="100">
        <v>10</v>
      </c>
      <c r="AY89" s="100">
        <v>10620</v>
      </c>
      <c r="AZ89" s="100">
        <v>8</v>
      </c>
      <c r="BA89" s="100">
        <v>8496</v>
      </c>
      <c r="BB89" s="100">
        <v>9</v>
      </c>
      <c r="BC89" s="100">
        <v>9558</v>
      </c>
      <c r="BD89" s="100">
        <v>12</v>
      </c>
      <c r="BE89" s="100">
        <v>12744</v>
      </c>
      <c r="BF89" s="100">
        <v>11</v>
      </c>
      <c r="BG89" s="100">
        <v>11682</v>
      </c>
      <c r="BH89" s="100">
        <v>10</v>
      </c>
      <c r="BI89" s="100">
        <v>10620</v>
      </c>
      <c r="BJ89" s="100">
        <v>9</v>
      </c>
      <c r="BK89" s="100">
        <v>9558</v>
      </c>
      <c r="BL89" s="100">
        <v>6</v>
      </c>
      <c r="BM89" s="100">
        <v>6372</v>
      </c>
      <c r="BN89" s="100">
        <v>11</v>
      </c>
      <c r="BO89" s="100">
        <v>11682</v>
      </c>
      <c r="BP89" s="100">
        <v>8</v>
      </c>
      <c r="BQ89" s="100">
        <v>8496</v>
      </c>
      <c r="BR89" s="100">
        <v>9</v>
      </c>
      <c r="BS89" s="100">
        <v>9558</v>
      </c>
      <c r="BT89" s="100">
        <v>7</v>
      </c>
      <c r="BU89" s="100">
        <v>7434</v>
      </c>
      <c r="BV89" s="100">
        <v>10</v>
      </c>
      <c r="BW89" s="100">
        <v>10620</v>
      </c>
      <c r="BX89" s="100">
        <v>8</v>
      </c>
      <c r="BY89" s="100">
        <v>8496</v>
      </c>
      <c r="BZ89" s="100">
        <v>10</v>
      </c>
      <c r="CA89" s="100">
        <v>10620</v>
      </c>
      <c r="CB89" s="100">
        <v>12</v>
      </c>
      <c r="CC89" s="100">
        <v>12744</v>
      </c>
      <c r="CD89" s="100">
        <v>12</v>
      </c>
      <c r="CE89" s="100">
        <v>12744</v>
      </c>
      <c r="CF89" s="100">
        <v>8</v>
      </c>
      <c r="CG89" s="100">
        <v>8496</v>
      </c>
      <c r="CH89" s="100">
        <v>8</v>
      </c>
      <c r="CI89" s="100">
        <v>8496</v>
      </c>
      <c r="CJ89" s="100">
        <v>7</v>
      </c>
      <c r="CK89" s="100">
        <v>7434</v>
      </c>
      <c r="CL89" s="100">
        <v>10</v>
      </c>
      <c r="CM89" s="100">
        <v>10620</v>
      </c>
      <c r="CN89" s="100">
        <v>11</v>
      </c>
      <c r="CO89" s="100">
        <v>11682</v>
      </c>
      <c r="CP89" s="100">
        <v>7</v>
      </c>
      <c r="CQ89" s="100">
        <v>7434</v>
      </c>
      <c r="CR89" s="100">
        <v>7.4251497005988067</v>
      </c>
      <c r="CS89" s="100">
        <v>7885.5089820359326</v>
      </c>
      <c r="CT89" s="100">
        <v>3.1275458655228574</v>
      </c>
      <c r="CU89" s="100">
        <v>3321.4537091852744</v>
      </c>
    </row>
    <row r="90" spans="2:99">
      <c r="C90" s="99" t="s">
        <v>256</v>
      </c>
      <c r="D90" s="100">
        <v>11</v>
      </c>
      <c r="E90" s="100">
        <v>12196.8</v>
      </c>
      <c r="F90" s="100">
        <v>8</v>
      </c>
      <c r="G90" s="100">
        <v>8870.4</v>
      </c>
      <c r="H90" s="100">
        <v>9.9478260869565212</v>
      </c>
      <c r="I90" s="100">
        <v>11030.149565217391</v>
      </c>
      <c r="J90" s="100">
        <v>8.92018779342723</v>
      </c>
      <c r="K90" s="100">
        <v>9890.7042253521122</v>
      </c>
      <c r="L90" s="100">
        <v>7.2727272727272725</v>
      </c>
      <c r="M90" s="100">
        <v>8063.9999999999991</v>
      </c>
      <c r="N90" s="100">
        <v>8.4236453201970445</v>
      </c>
      <c r="O90" s="100">
        <v>9340.1379310344819</v>
      </c>
      <c r="P90" s="100">
        <v>7</v>
      </c>
      <c r="Q90" s="100">
        <v>7761.5999999999995</v>
      </c>
      <c r="R90" s="100">
        <v>6</v>
      </c>
      <c r="S90" s="100">
        <v>6652.7999999999993</v>
      </c>
      <c r="T90" s="100">
        <v>8</v>
      </c>
      <c r="U90" s="100">
        <v>8870.4</v>
      </c>
      <c r="V90" s="100">
        <v>11</v>
      </c>
      <c r="W90" s="100">
        <v>12196.8</v>
      </c>
      <c r="X90" s="100">
        <v>8</v>
      </c>
      <c r="Y90" s="100">
        <v>8870.4</v>
      </c>
      <c r="Z90" s="100">
        <v>7</v>
      </c>
      <c r="AA90" s="100">
        <v>7761.5999999999995</v>
      </c>
      <c r="AB90" s="100">
        <v>6</v>
      </c>
      <c r="AC90" s="100">
        <v>6652.7999999999993</v>
      </c>
      <c r="AD90" s="100">
        <v>11</v>
      </c>
      <c r="AE90" s="100">
        <v>12196.8</v>
      </c>
      <c r="AF90" s="100">
        <v>8</v>
      </c>
      <c r="AG90" s="100">
        <v>8870.4</v>
      </c>
      <c r="AH90" s="100">
        <v>8</v>
      </c>
      <c r="AI90" s="100">
        <v>8870.4</v>
      </c>
      <c r="AJ90" s="100">
        <v>8</v>
      </c>
      <c r="AK90" s="100">
        <v>8870.4</v>
      </c>
      <c r="AL90" s="100">
        <v>9</v>
      </c>
      <c r="AM90" s="100">
        <v>9979.1999999999989</v>
      </c>
      <c r="AN90" s="100">
        <v>6</v>
      </c>
      <c r="AO90" s="100">
        <v>6652.7999999999993</v>
      </c>
      <c r="AP90" s="100">
        <v>12</v>
      </c>
      <c r="AQ90" s="100">
        <v>13305.599999999999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8</v>
      </c>
      <c r="AW90" s="100">
        <v>8870.4</v>
      </c>
      <c r="AX90" s="100">
        <v>11</v>
      </c>
      <c r="AY90" s="100">
        <v>12196.8</v>
      </c>
      <c r="AZ90" s="100">
        <v>7</v>
      </c>
      <c r="BA90" s="100">
        <v>7761.5999999999995</v>
      </c>
      <c r="BB90" s="100">
        <v>9</v>
      </c>
      <c r="BC90" s="100">
        <v>9979.1999999999989</v>
      </c>
      <c r="BD90" s="100">
        <v>11</v>
      </c>
      <c r="BE90" s="100">
        <v>12196.8</v>
      </c>
      <c r="BF90" s="100">
        <v>12</v>
      </c>
      <c r="BG90" s="100">
        <v>13305.599999999999</v>
      </c>
      <c r="BH90" s="100">
        <v>11</v>
      </c>
      <c r="BI90" s="100">
        <v>12196.8</v>
      </c>
      <c r="BJ90" s="100">
        <v>9</v>
      </c>
      <c r="BK90" s="100">
        <v>9979.1999999999989</v>
      </c>
      <c r="BL90" s="100">
        <v>6</v>
      </c>
      <c r="BM90" s="100">
        <v>6652.7999999999993</v>
      </c>
      <c r="BN90" s="100">
        <v>10</v>
      </c>
      <c r="BO90" s="100">
        <v>11088</v>
      </c>
      <c r="BP90" s="100">
        <v>8</v>
      </c>
      <c r="BQ90" s="100">
        <v>8870.4</v>
      </c>
      <c r="BR90" s="100">
        <v>9</v>
      </c>
      <c r="BS90" s="100">
        <v>9979.1999999999989</v>
      </c>
      <c r="BT90" s="100">
        <v>7</v>
      </c>
      <c r="BU90" s="100">
        <v>7761.5999999999995</v>
      </c>
      <c r="BV90" s="100">
        <v>11</v>
      </c>
      <c r="BW90" s="100">
        <v>12196.8</v>
      </c>
      <c r="BX90" s="100">
        <v>8</v>
      </c>
      <c r="BY90" s="100">
        <v>8870.4</v>
      </c>
      <c r="BZ90" s="100">
        <v>10</v>
      </c>
      <c r="CA90" s="100">
        <v>11088</v>
      </c>
      <c r="CB90" s="100">
        <v>10</v>
      </c>
      <c r="CC90" s="100">
        <v>11088</v>
      </c>
      <c r="CD90" s="100">
        <v>12</v>
      </c>
      <c r="CE90" s="100">
        <v>13305.599999999999</v>
      </c>
      <c r="CF90" s="100">
        <v>7</v>
      </c>
      <c r="CG90" s="100">
        <v>7761.5999999999995</v>
      </c>
      <c r="CH90" s="100">
        <v>8</v>
      </c>
      <c r="CI90" s="100">
        <v>8870.4</v>
      </c>
      <c r="CJ90" s="100">
        <v>6</v>
      </c>
      <c r="CK90" s="100">
        <v>6652.7999999999993</v>
      </c>
      <c r="CL90" s="100">
        <v>9</v>
      </c>
      <c r="CM90" s="100">
        <v>9979.1999999999989</v>
      </c>
      <c r="CN90" s="100">
        <v>11</v>
      </c>
      <c r="CO90" s="100">
        <v>12196.8</v>
      </c>
      <c r="CP90" s="100">
        <v>7</v>
      </c>
      <c r="CQ90" s="100">
        <v>7761.5999999999995</v>
      </c>
      <c r="CR90" s="100">
        <v>7.4251497005988067</v>
      </c>
      <c r="CS90" s="100">
        <v>8233.0059880239569</v>
      </c>
      <c r="CT90" s="100">
        <v>3.1275458655228574</v>
      </c>
      <c r="CU90" s="100">
        <v>3467.8228556917443</v>
      </c>
    </row>
    <row r="91" spans="2:99">
      <c r="C91" s="99" t="s">
        <v>257</v>
      </c>
      <c r="D91" s="100">
        <v>11</v>
      </c>
      <c r="E91" s="100">
        <v>12500.399999999998</v>
      </c>
      <c r="F91" s="100">
        <v>9</v>
      </c>
      <c r="G91" s="100">
        <v>10227.599999999999</v>
      </c>
      <c r="H91" s="100">
        <v>9.0434782608695645</v>
      </c>
      <c r="I91" s="100">
        <v>10277.008695652172</v>
      </c>
      <c r="J91" s="100">
        <v>8.0281690140845061</v>
      </c>
      <c r="K91" s="100">
        <v>9123.2112676056313</v>
      </c>
      <c r="L91" s="100">
        <v>8.1818181818181817</v>
      </c>
      <c r="M91" s="100">
        <v>9297.8181818181802</v>
      </c>
      <c r="N91" s="100">
        <v>8.4236453201970445</v>
      </c>
      <c r="O91" s="100">
        <v>9572.6305418719203</v>
      </c>
      <c r="P91" s="100">
        <v>7</v>
      </c>
      <c r="Q91" s="100">
        <v>7954.7999999999993</v>
      </c>
      <c r="R91" s="100">
        <v>6</v>
      </c>
      <c r="S91" s="100">
        <v>6818.4</v>
      </c>
      <c r="T91" s="100">
        <v>8</v>
      </c>
      <c r="U91" s="100">
        <v>9091.1999999999989</v>
      </c>
      <c r="V91" s="100">
        <v>10</v>
      </c>
      <c r="W91" s="100">
        <v>11363.999999999998</v>
      </c>
      <c r="X91" s="100">
        <v>8</v>
      </c>
      <c r="Y91" s="100">
        <v>9091.1999999999989</v>
      </c>
      <c r="Z91" s="100">
        <v>7</v>
      </c>
      <c r="AA91" s="100">
        <v>7954.7999999999993</v>
      </c>
      <c r="AB91" s="100">
        <v>7</v>
      </c>
      <c r="AC91" s="100">
        <v>7954.7999999999993</v>
      </c>
      <c r="AD91" s="100">
        <v>12</v>
      </c>
      <c r="AE91" s="100">
        <v>13636.8</v>
      </c>
      <c r="AF91" s="100">
        <v>8</v>
      </c>
      <c r="AG91" s="100">
        <v>9091.1999999999989</v>
      </c>
      <c r="AH91" s="100">
        <v>8</v>
      </c>
      <c r="AI91" s="100">
        <v>9091.1999999999989</v>
      </c>
      <c r="AJ91" s="100">
        <v>7</v>
      </c>
      <c r="AK91" s="100">
        <v>7954.7999999999993</v>
      </c>
      <c r="AL91" s="100">
        <v>8</v>
      </c>
      <c r="AM91" s="100">
        <v>9091.1999999999989</v>
      </c>
      <c r="AN91" s="100">
        <v>7</v>
      </c>
      <c r="AO91" s="100">
        <v>7954.7999999999993</v>
      </c>
      <c r="AP91" s="100">
        <v>12</v>
      </c>
      <c r="AQ91" s="100">
        <v>13636.8</v>
      </c>
      <c r="AR91" s="100">
        <v>12</v>
      </c>
      <c r="AS91" s="100">
        <v>13636.8</v>
      </c>
      <c r="AT91" s="100">
        <v>8</v>
      </c>
      <c r="AU91" s="100">
        <v>9091.1999999999989</v>
      </c>
      <c r="AV91" s="100">
        <v>7</v>
      </c>
      <c r="AW91" s="100">
        <v>7954.7999999999993</v>
      </c>
      <c r="AX91" s="100">
        <v>10</v>
      </c>
      <c r="AY91" s="100">
        <v>11363.999999999998</v>
      </c>
      <c r="AZ91" s="100">
        <v>9</v>
      </c>
      <c r="BA91" s="100">
        <v>10227.599999999999</v>
      </c>
      <c r="BB91" s="100">
        <v>10</v>
      </c>
      <c r="BC91" s="100">
        <v>11363.999999999998</v>
      </c>
      <c r="BD91" s="100">
        <v>11</v>
      </c>
      <c r="BE91" s="100">
        <v>12500.399999999998</v>
      </c>
      <c r="BF91" s="100">
        <v>12</v>
      </c>
      <c r="BG91" s="100">
        <v>13636.8</v>
      </c>
      <c r="BH91" s="100">
        <v>10</v>
      </c>
      <c r="BI91" s="100">
        <v>11363.999999999998</v>
      </c>
      <c r="BJ91" s="100">
        <v>10</v>
      </c>
      <c r="BK91" s="100">
        <v>11363.999999999998</v>
      </c>
      <c r="BL91" s="100">
        <v>7</v>
      </c>
      <c r="BM91" s="100">
        <v>7954.7999999999993</v>
      </c>
      <c r="BN91" s="100">
        <v>11</v>
      </c>
      <c r="BO91" s="100">
        <v>12500.399999999998</v>
      </c>
      <c r="BP91" s="100">
        <v>7</v>
      </c>
      <c r="BQ91" s="100">
        <v>7954.7999999999993</v>
      </c>
      <c r="BR91" s="100">
        <v>9</v>
      </c>
      <c r="BS91" s="100">
        <v>10227.599999999999</v>
      </c>
      <c r="BT91" s="100">
        <v>7</v>
      </c>
      <c r="BU91" s="100">
        <v>7954.7999999999993</v>
      </c>
      <c r="BV91" s="100">
        <v>11</v>
      </c>
      <c r="BW91" s="100">
        <v>12500.399999999998</v>
      </c>
      <c r="BX91" s="100">
        <v>8</v>
      </c>
      <c r="BY91" s="100">
        <v>9091.1999999999989</v>
      </c>
      <c r="BZ91" s="100">
        <v>11</v>
      </c>
      <c r="CA91" s="100">
        <v>12500.399999999998</v>
      </c>
      <c r="CB91" s="100">
        <v>11</v>
      </c>
      <c r="CC91" s="100">
        <v>12500.399999999998</v>
      </c>
      <c r="CD91" s="100">
        <v>12</v>
      </c>
      <c r="CE91" s="100">
        <v>13636.8</v>
      </c>
      <c r="CF91" s="100">
        <v>7</v>
      </c>
      <c r="CG91" s="100">
        <v>7954.7999999999993</v>
      </c>
      <c r="CH91" s="100">
        <v>8</v>
      </c>
      <c r="CI91" s="100">
        <v>9091.1999999999989</v>
      </c>
      <c r="CJ91" s="100">
        <v>7</v>
      </c>
      <c r="CK91" s="100">
        <v>7954.7999999999993</v>
      </c>
      <c r="CL91" s="100">
        <v>10</v>
      </c>
      <c r="CM91" s="100">
        <v>11363.999999999998</v>
      </c>
      <c r="CN91" s="100">
        <v>12</v>
      </c>
      <c r="CO91" s="100">
        <v>13636.8</v>
      </c>
      <c r="CP91" s="100">
        <v>7</v>
      </c>
      <c r="CQ91" s="100">
        <v>7954.7999999999993</v>
      </c>
      <c r="CR91" s="100">
        <v>7.4251497005988067</v>
      </c>
      <c r="CS91" s="100">
        <v>8437.9401197604839</v>
      </c>
      <c r="CT91" s="100">
        <v>2.7366026323325001</v>
      </c>
      <c r="CU91" s="100">
        <v>3109.8752313826526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8</v>
      </c>
      <c r="G92" s="100">
        <v>6278.4</v>
      </c>
      <c r="H92" s="100">
        <v>9.9478260869565212</v>
      </c>
      <c r="I92" s="100">
        <v>7807.0539130434772</v>
      </c>
      <c r="J92" s="100">
        <v>8.92018779342723</v>
      </c>
      <c r="K92" s="100">
        <v>7000.5633802816901</v>
      </c>
      <c r="L92" s="100">
        <v>8.1818181818181817</v>
      </c>
      <c r="M92" s="100">
        <v>6421.090909090909</v>
      </c>
      <c r="N92" s="100">
        <v>7.4876847290640391</v>
      </c>
      <c r="O92" s="100">
        <v>5876.3349753694574</v>
      </c>
      <c r="P92" s="100">
        <v>7</v>
      </c>
      <c r="Q92" s="100">
        <v>5493.5999999999995</v>
      </c>
      <c r="R92" s="100">
        <v>7</v>
      </c>
      <c r="S92" s="100">
        <v>5493.5999999999995</v>
      </c>
      <c r="T92" s="100">
        <v>8</v>
      </c>
      <c r="U92" s="100">
        <v>6278.4</v>
      </c>
      <c r="V92" s="100">
        <v>12</v>
      </c>
      <c r="W92" s="100">
        <v>9417.5999999999985</v>
      </c>
      <c r="X92" s="100">
        <v>8</v>
      </c>
      <c r="Y92" s="100">
        <v>6278.4</v>
      </c>
      <c r="Z92" s="100">
        <v>7</v>
      </c>
      <c r="AA92" s="100">
        <v>5493.5999999999995</v>
      </c>
      <c r="AB92" s="100">
        <v>6</v>
      </c>
      <c r="AC92" s="100">
        <v>4708.7999999999993</v>
      </c>
      <c r="AD92" s="100">
        <v>10</v>
      </c>
      <c r="AE92" s="100">
        <v>7848</v>
      </c>
      <c r="AF92" s="100">
        <v>9</v>
      </c>
      <c r="AG92" s="100">
        <v>7063.2</v>
      </c>
      <c r="AH92" s="100">
        <v>8</v>
      </c>
      <c r="AI92" s="100">
        <v>6278.4</v>
      </c>
      <c r="AJ92" s="100">
        <v>8</v>
      </c>
      <c r="AK92" s="100">
        <v>6278.4</v>
      </c>
      <c r="AL92" s="100">
        <v>8</v>
      </c>
      <c r="AM92" s="100">
        <v>6278.4</v>
      </c>
      <c r="AN92" s="100">
        <v>7</v>
      </c>
      <c r="AO92" s="100">
        <v>5493.5999999999995</v>
      </c>
      <c r="AP92" s="100">
        <v>12</v>
      </c>
      <c r="AQ92" s="100">
        <v>9417.5999999999985</v>
      </c>
      <c r="AR92" s="100">
        <v>12</v>
      </c>
      <c r="AS92" s="100">
        <v>9417.5999999999985</v>
      </c>
      <c r="AT92" s="100">
        <v>9</v>
      </c>
      <c r="AU92" s="100">
        <v>7063.2</v>
      </c>
      <c r="AV92" s="100">
        <v>8</v>
      </c>
      <c r="AW92" s="100">
        <v>6278.4</v>
      </c>
      <c r="AX92" s="100">
        <v>11</v>
      </c>
      <c r="AY92" s="100">
        <v>8632.7999999999993</v>
      </c>
      <c r="AZ92" s="100">
        <v>8</v>
      </c>
      <c r="BA92" s="100">
        <v>6278.4</v>
      </c>
      <c r="BB92" s="100">
        <v>9</v>
      </c>
      <c r="BC92" s="100">
        <v>7063.2</v>
      </c>
      <c r="BD92" s="100">
        <v>10</v>
      </c>
      <c r="BE92" s="100">
        <v>7848</v>
      </c>
      <c r="BF92" s="100">
        <v>11</v>
      </c>
      <c r="BG92" s="100">
        <v>8632.7999999999993</v>
      </c>
      <c r="BH92" s="100">
        <v>9</v>
      </c>
      <c r="BI92" s="100">
        <v>7063.2</v>
      </c>
      <c r="BJ92" s="100">
        <v>10</v>
      </c>
      <c r="BK92" s="100">
        <v>7848</v>
      </c>
      <c r="BL92" s="100">
        <v>6</v>
      </c>
      <c r="BM92" s="100">
        <v>4708.7999999999993</v>
      </c>
      <c r="BN92" s="100">
        <v>10</v>
      </c>
      <c r="BO92" s="100">
        <v>7848</v>
      </c>
      <c r="BP92" s="100">
        <v>8</v>
      </c>
      <c r="BQ92" s="100">
        <v>6278.4</v>
      </c>
      <c r="BR92" s="100">
        <v>10</v>
      </c>
      <c r="BS92" s="100">
        <v>7848</v>
      </c>
      <c r="BT92" s="100">
        <v>7</v>
      </c>
      <c r="BU92" s="100">
        <v>5493.5999999999995</v>
      </c>
      <c r="BV92" s="100">
        <v>10</v>
      </c>
      <c r="BW92" s="100">
        <v>7848</v>
      </c>
      <c r="BX92" s="100">
        <v>9</v>
      </c>
      <c r="BY92" s="100">
        <v>7063.2</v>
      </c>
      <c r="BZ92" s="100">
        <v>11</v>
      </c>
      <c r="CA92" s="100">
        <v>8632.7999999999993</v>
      </c>
      <c r="CB92" s="100">
        <v>12</v>
      </c>
      <c r="CC92" s="100">
        <v>9417.5999999999985</v>
      </c>
      <c r="CD92" s="100">
        <v>12</v>
      </c>
      <c r="CE92" s="100">
        <v>9417.5999999999985</v>
      </c>
      <c r="CF92" s="100">
        <v>7</v>
      </c>
      <c r="CG92" s="100">
        <v>5493.5999999999995</v>
      </c>
      <c r="CH92" s="100">
        <v>9</v>
      </c>
      <c r="CI92" s="100">
        <v>7063.2</v>
      </c>
      <c r="CJ92" s="100">
        <v>7</v>
      </c>
      <c r="CK92" s="100">
        <v>5493.5999999999995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7</v>
      </c>
      <c r="CQ92" s="100">
        <v>5493.5999999999995</v>
      </c>
      <c r="CR92" s="100">
        <v>7.4251497005988067</v>
      </c>
      <c r="CS92" s="100">
        <v>5827.2574850299434</v>
      </c>
      <c r="CT92" s="100">
        <v>2.7366026323325001</v>
      </c>
      <c r="CU92" s="100">
        <v>2147.685745854546</v>
      </c>
    </row>
    <row r="93" spans="2:99">
      <c r="C93" s="99" t="s">
        <v>259</v>
      </c>
      <c r="D93" s="100">
        <v>11</v>
      </c>
      <c r="E93" s="100">
        <v>7629.6</v>
      </c>
      <c r="F93" s="100">
        <v>8</v>
      </c>
      <c r="G93" s="100">
        <v>5548.8</v>
      </c>
      <c r="H93" s="100">
        <v>9.9478260869565212</v>
      </c>
      <c r="I93" s="100">
        <v>6899.8121739130429</v>
      </c>
      <c r="J93" s="100">
        <v>8.92018779342723</v>
      </c>
      <c r="K93" s="100">
        <v>6187.0422535211273</v>
      </c>
      <c r="L93" s="100">
        <v>9.0909090909090917</v>
      </c>
      <c r="M93" s="100">
        <v>6305.454545454546</v>
      </c>
      <c r="N93" s="100">
        <v>7.4876847290640391</v>
      </c>
      <c r="O93" s="100">
        <v>5193.4581280788179</v>
      </c>
      <c r="P93" s="100">
        <v>7</v>
      </c>
      <c r="Q93" s="100">
        <v>4855.2</v>
      </c>
      <c r="R93" s="100">
        <v>6</v>
      </c>
      <c r="S93" s="100">
        <v>4161.6000000000004</v>
      </c>
      <c r="T93" s="100">
        <v>9</v>
      </c>
      <c r="U93" s="100">
        <v>6242.4000000000005</v>
      </c>
      <c r="V93" s="100">
        <v>10</v>
      </c>
      <c r="W93" s="100">
        <v>6936</v>
      </c>
      <c r="X93" s="100">
        <v>8</v>
      </c>
      <c r="Y93" s="100">
        <v>5548.8</v>
      </c>
      <c r="Z93" s="100">
        <v>7</v>
      </c>
      <c r="AA93" s="100">
        <v>4855.2</v>
      </c>
      <c r="AB93" s="100">
        <v>7</v>
      </c>
      <c r="AC93" s="100">
        <v>4855.2</v>
      </c>
      <c r="AD93" s="100">
        <v>11</v>
      </c>
      <c r="AE93" s="100">
        <v>7629.6</v>
      </c>
      <c r="AF93" s="100">
        <v>9</v>
      </c>
      <c r="AG93" s="100">
        <v>6242.4000000000005</v>
      </c>
      <c r="AH93" s="100">
        <v>9</v>
      </c>
      <c r="AI93" s="100">
        <v>6242.4000000000005</v>
      </c>
      <c r="AJ93" s="100">
        <v>7</v>
      </c>
      <c r="AK93" s="100">
        <v>4855.2</v>
      </c>
      <c r="AL93" s="100">
        <v>9</v>
      </c>
      <c r="AM93" s="100">
        <v>6242.4000000000005</v>
      </c>
      <c r="AN93" s="100">
        <v>7</v>
      </c>
      <c r="AO93" s="100">
        <v>4855.2</v>
      </c>
      <c r="AP93" s="100">
        <v>12</v>
      </c>
      <c r="AQ93" s="100">
        <v>8323.2000000000007</v>
      </c>
      <c r="AR93" s="100">
        <v>11</v>
      </c>
      <c r="AS93" s="100">
        <v>7629.6</v>
      </c>
      <c r="AT93" s="100">
        <v>8</v>
      </c>
      <c r="AU93" s="100">
        <v>5548.8</v>
      </c>
      <c r="AV93" s="100">
        <v>8</v>
      </c>
      <c r="AW93" s="100">
        <v>5548.8</v>
      </c>
      <c r="AX93" s="100">
        <v>11</v>
      </c>
      <c r="AY93" s="100">
        <v>7629.6</v>
      </c>
      <c r="AZ93" s="100">
        <v>8</v>
      </c>
      <c r="BA93" s="100">
        <v>5548.8</v>
      </c>
      <c r="BB93" s="100">
        <v>9</v>
      </c>
      <c r="BC93" s="100">
        <v>6242.4000000000005</v>
      </c>
      <c r="BD93" s="100">
        <v>11</v>
      </c>
      <c r="BE93" s="100">
        <v>7629.6</v>
      </c>
      <c r="BF93" s="100">
        <v>13</v>
      </c>
      <c r="BG93" s="100">
        <v>9016.8000000000011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7</v>
      </c>
      <c r="BM93" s="100">
        <v>4855.2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9</v>
      </c>
      <c r="BS93" s="100">
        <v>6242.4000000000005</v>
      </c>
      <c r="BT93" s="100">
        <v>7</v>
      </c>
      <c r="BU93" s="100">
        <v>4855.2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11</v>
      </c>
      <c r="CA93" s="100">
        <v>7629.6</v>
      </c>
      <c r="CB93" s="100">
        <v>10</v>
      </c>
      <c r="CC93" s="100">
        <v>6936</v>
      </c>
      <c r="CD93" s="100">
        <v>12</v>
      </c>
      <c r="CE93" s="100">
        <v>8323.2000000000007</v>
      </c>
      <c r="CF93" s="100">
        <v>8</v>
      </c>
      <c r="CG93" s="100">
        <v>5548.8</v>
      </c>
      <c r="CH93" s="100">
        <v>8</v>
      </c>
      <c r="CI93" s="100">
        <v>5548.8</v>
      </c>
      <c r="CJ93" s="100">
        <v>8</v>
      </c>
      <c r="CK93" s="100">
        <v>5548.8</v>
      </c>
      <c r="CL93" s="100">
        <v>11</v>
      </c>
      <c r="CM93" s="100">
        <v>7629.6</v>
      </c>
      <c r="CN93" s="100">
        <v>12</v>
      </c>
      <c r="CO93" s="100">
        <v>8323.2000000000007</v>
      </c>
      <c r="CP93" s="100">
        <v>7</v>
      </c>
      <c r="CQ93" s="100">
        <v>4855.2</v>
      </c>
      <c r="CR93" s="100">
        <v>7.4251497005988067</v>
      </c>
      <c r="CS93" s="100">
        <v>5150.0838323353328</v>
      </c>
      <c r="CT93" s="100">
        <v>2.7366026323325001</v>
      </c>
      <c r="CU93" s="100">
        <v>1898.107585785822</v>
      </c>
    </row>
    <row r="94" spans="2:99">
      <c r="C94" s="99" t="s">
        <v>260</v>
      </c>
      <c r="D94" s="100">
        <v>10</v>
      </c>
      <c r="E94" s="100">
        <v>11928</v>
      </c>
      <c r="F94" s="100">
        <v>8</v>
      </c>
      <c r="G94" s="100">
        <v>9542.4</v>
      </c>
      <c r="H94" s="100">
        <v>9.0434782608695645</v>
      </c>
      <c r="I94" s="100">
        <v>10787.060869565215</v>
      </c>
      <c r="J94" s="100">
        <v>8.92018779342723</v>
      </c>
      <c r="K94" s="100">
        <v>10640</v>
      </c>
      <c r="L94" s="100">
        <v>8.1818181818181817</v>
      </c>
      <c r="M94" s="100">
        <v>9759.2727272727261</v>
      </c>
      <c r="N94" s="100">
        <v>7.4876847290640391</v>
      </c>
      <c r="O94" s="100">
        <v>8931.3103448275851</v>
      </c>
      <c r="P94" s="100">
        <v>6</v>
      </c>
      <c r="Q94" s="100">
        <v>7156.7999999999993</v>
      </c>
      <c r="R94" s="100">
        <v>6</v>
      </c>
      <c r="S94" s="100">
        <v>7156.7999999999993</v>
      </c>
      <c r="T94" s="100">
        <v>9</v>
      </c>
      <c r="U94" s="100">
        <v>10735.199999999999</v>
      </c>
      <c r="V94" s="100">
        <v>11</v>
      </c>
      <c r="W94" s="100">
        <v>13120.8</v>
      </c>
      <c r="X94" s="100">
        <v>8</v>
      </c>
      <c r="Y94" s="100">
        <v>9542.4</v>
      </c>
      <c r="Z94" s="100">
        <v>6</v>
      </c>
      <c r="AA94" s="100">
        <v>7156.7999999999993</v>
      </c>
      <c r="AB94" s="100">
        <v>7</v>
      </c>
      <c r="AC94" s="100">
        <v>8349.6</v>
      </c>
      <c r="AD94" s="100">
        <v>10</v>
      </c>
      <c r="AE94" s="100">
        <v>11928</v>
      </c>
      <c r="AF94" s="100">
        <v>9</v>
      </c>
      <c r="AG94" s="100">
        <v>10735.199999999999</v>
      </c>
      <c r="AH94" s="100">
        <v>8</v>
      </c>
      <c r="AI94" s="100">
        <v>9542.4</v>
      </c>
      <c r="AJ94" s="100">
        <v>7</v>
      </c>
      <c r="AK94" s="100">
        <v>8349.6</v>
      </c>
      <c r="AL94" s="100">
        <v>8</v>
      </c>
      <c r="AM94" s="100">
        <v>9542.4</v>
      </c>
      <c r="AN94" s="100">
        <v>6</v>
      </c>
      <c r="AO94" s="100">
        <v>7156.7999999999993</v>
      </c>
      <c r="AP94" s="100">
        <v>11</v>
      </c>
      <c r="AQ94" s="100">
        <v>13120.8</v>
      </c>
      <c r="AR94" s="100">
        <v>11</v>
      </c>
      <c r="AS94" s="100">
        <v>13120.8</v>
      </c>
      <c r="AT94" s="100">
        <v>7</v>
      </c>
      <c r="AU94" s="100">
        <v>8349.6</v>
      </c>
      <c r="AV94" s="100">
        <v>8</v>
      </c>
      <c r="AW94" s="100">
        <v>9542.4</v>
      </c>
      <c r="AX94" s="100">
        <v>11</v>
      </c>
      <c r="AY94" s="100">
        <v>13120.8</v>
      </c>
      <c r="AZ94" s="100">
        <v>8</v>
      </c>
      <c r="BA94" s="100">
        <v>9542.4</v>
      </c>
      <c r="BB94" s="100">
        <v>9</v>
      </c>
      <c r="BC94" s="100">
        <v>10735.199999999999</v>
      </c>
      <c r="BD94" s="100">
        <v>10</v>
      </c>
      <c r="BE94" s="100">
        <v>11928</v>
      </c>
      <c r="BF94" s="100">
        <v>11</v>
      </c>
      <c r="BG94" s="100">
        <v>13120.8</v>
      </c>
      <c r="BH94" s="100">
        <v>9</v>
      </c>
      <c r="BI94" s="100">
        <v>10735.199999999999</v>
      </c>
      <c r="BJ94" s="100">
        <v>10</v>
      </c>
      <c r="BK94" s="100">
        <v>11928</v>
      </c>
      <c r="BL94" s="100">
        <v>6</v>
      </c>
      <c r="BM94" s="100">
        <v>7156.7999999999993</v>
      </c>
      <c r="BN94" s="100">
        <v>10</v>
      </c>
      <c r="BO94" s="100">
        <v>11928</v>
      </c>
      <c r="BP94" s="100">
        <v>8</v>
      </c>
      <c r="BQ94" s="100">
        <v>9542.4</v>
      </c>
      <c r="BR94" s="100">
        <v>8</v>
      </c>
      <c r="BS94" s="100">
        <v>9542.4</v>
      </c>
      <c r="BT94" s="100">
        <v>7</v>
      </c>
      <c r="BU94" s="100">
        <v>8349.6</v>
      </c>
      <c r="BV94" s="100">
        <v>9</v>
      </c>
      <c r="BW94" s="100">
        <v>10735.199999999999</v>
      </c>
      <c r="BX94" s="100">
        <v>8</v>
      </c>
      <c r="BY94" s="100">
        <v>9542.4</v>
      </c>
      <c r="BZ94" s="100">
        <v>10</v>
      </c>
      <c r="CA94" s="100">
        <v>11928</v>
      </c>
      <c r="CB94" s="100">
        <v>11</v>
      </c>
      <c r="CC94" s="100">
        <v>13120.8</v>
      </c>
      <c r="CD94" s="100">
        <v>13</v>
      </c>
      <c r="CE94" s="100">
        <v>15506.4</v>
      </c>
      <c r="CF94" s="100">
        <v>8</v>
      </c>
      <c r="CG94" s="100">
        <v>9542.4</v>
      </c>
      <c r="CH94" s="100">
        <v>7</v>
      </c>
      <c r="CI94" s="100">
        <v>8349.6</v>
      </c>
      <c r="CJ94" s="100">
        <v>7</v>
      </c>
      <c r="CK94" s="100">
        <v>8349.6</v>
      </c>
      <c r="CL94" s="100">
        <v>11</v>
      </c>
      <c r="CM94" s="100">
        <v>13120.8</v>
      </c>
      <c r="CN94" s="100">
        <v>12</v>
      </c>
      <c r="CO94" s="100">
        <v>14313.599999999999</v>
      </c>
      <c r="CP94" s="100">
        <v>7</v>
      </c>
      <c r="CQ94" s="100">
        <v>8349.6</v>
      </c>
      <c r="CR94" s="100">
        <v>7.4251497005988067</v>
      </c>
      <c r="CS94" s="100">
        <v>8856.7185628742554</v>
      </c>
      <c r="CT94" s="100">
        <v>2.7366026323325001</v>
      </c>
      <c r="CU94" s="100">
        <v>3264.2196198462061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9</v>
      </c>
      <c r="G95" s="100">
        <v>2959.2000000000003</v>
      </c>
      <c r="H95" s="100">
        <v>10.852173913043478</v>
      </c>
      <c r="I95" s="100">
        <v>3568.1947826086957</v>
      </c>
      <c r="J95" s="100">
        <v>10.704225352112676</v>
      </c>
      <c r="K95" s="100">
        <v>3519.5492957746478</v>
      </c>
      <c r="L95" s="100">
        <v>8.1818181818181817</v>
      </c>
      <c r="M95" s="100">
        <v>2690.181818181818</v>
      </c>
      <c r="N95" s="100">
        <v>9.3596059113300498</v>
      </c>
      <c r="O95" s="100">
        <v>3077.4384236453207</v>
      </c>
      <c r="P95" s="100">
        <v>6</v>
      </c>
      <c r="Q95" s="100">
        <v>1972.8000000000002</v>
      </c>
      <c r="R95" s="100">
        <v>9</v>
      </c>
      <c r="S95" s="100">
        <v>2959.2000000000003</v>
      </c>
      <c r="T95" s="100">
        <v>10</v>
      </c>
      <c r="U95" s="100">
        <v>3288</v>
      </c>
      <c r="V95" s="100">
        <v>7</v>
      </c>
      <c r="W95" s="100">
        <v>2301.6</v>
      </c>
      <c r="X95" s="100">
        <v>9</v>
      </c>
      <c r="Y95" s="100">
        <v>2959.2000000000003</v>
      </c>
      <c r="Z95" s="100">
        <v>6</v>
      </c>
      <c r="AA95" s="100">
        <v>1972.8000000000002</v>
      </c>
      <c r="AB95" s="100">
        <v>10</v>
      </c>
      <c r="AC95" s="100">
        <v>3288</v>
      </c>
      <c r="AD95" s="100">
        <v>9</v>
      </c>
      <c r="AE95" s="100">
        <v>2959.2000000000003</v>
      </c>
      <c r="AF95" s="100">
        <v>8</v>
      </c>
      <c r="AG95" s="100">
        <v>2630.4</v>
      </c>
      <c r="AH95" s="100">
        <v>8</v>
      </c>
      <c r="AI95" s="100">
        <v>2630.4</v>
      </c>
      <c r="AJ95" s="100">
        <v>10</v>
      </c>
      <c r="AK95" s="100">
        <v>3288</v>
      </c>
      <c r="AL95" s="100">
        <v>10</v>
      </c>
      <c r="AM95" s="100">
        <v>3288</v>
      </c>
      <c r="AN95" s="100">
        <v>6</v>
      </c>
      <c r="AO95" s="100">
        <v>1972.8000000000002</v>
      </c>
      <c r="AP95" s="100">
        <v>9</v>
      </c>
      <c r="AQ95" s="100">
        <v>2959.2000000000003</v>
      </c>
      <c r="AR95" s="100">
        <v>6</v>
      </c>
      <c r="AS95" s="100">
        <v>1972.8000000000002</v>
      </c>
      <c r="AT95" s="100">
        <v>12</v>
      </c>
      <c r="AU95" s="100">
        <v>3945.6000000000004</v>
      </c>
      <c r="AV95" s="100">
        <v>8</v>
      </c>
      <c r="AW95" s="100">
        <v>2630.4</v>
      </c>
      <c r="AX95" s="100">
        <v>6</v>
      </c>
      <c r="AY95" s="100">
        <v>1972.8000000000002</v>
      </c>
      <c r="AZ95" s="100">
        <v>8</v>
      </c>
      <c r="BA95" s="100">
        <v>2630.4</v>
      </c>
      <c r="BB95" s="100">
        <v>9</v>
      </c>
      <c r="BC95" s="100">
        <v>2959.2000000000003</v>
      </c>
      <c r="BD95" s="100">
        <v>9</v>
      </c>
      <c r="BE95" s="100">
        <v>2959.2000000000003</v>
      </c>
      <c r="BF95" s="100">
        <v>11</v>
      </c>
      <c r="BG95" s="100">
        <v>3616.8</v>
      </c>
      <c r="BH95" s="100">
        <v>12</v>
      </c>
      <c r="BI95" s="100">
        <v>3945.6000000000004</v>
      </c>
      <c r="BJ95" s="100">
        <v>11</v>
      </c>
      <c r="BK95" s="100">
        <v>3616.8</v>
      </c>
      <c r="BL95" s="100">
        <v>9</v>
      </c>
      <c r="BM95" s="100">
        <v>2959.2000000000003</v>
      </c>
      <c r="BN95" s="100">
        <v>10</v>
      </c>
      <c r="BO95" s="100">
        <v>3288</v>
      </c>
      <c r="BP95" s="100">
        <v>10</v>
      </c>
      <c r="BQ95" s="100">
        <v>3288</v>
      </c>
      <c r="BR95" s="100">
        <v>8</v>
      </c>
      <c r="BS95" s="100">
        <v>2630.4</v>
      </c>
      <c r="BT95" s="100">
        <v>8</v>
      </c>
      <c r="BU95" s="100">
        <v>2630.4</v>
      </c>
      <c r="BV95" s="100">
        <v>7</v>
      </c>
      <c r="BW95" s="100">
        <v>2301.6</v>
      </c>
      <c r="BX95" s="100">
        <v>8</v>
      </c>
      <c r="BY95" s="100">
        <v>2630.4</v>
      </c>
      <c r="BZ95" s="100">
        <v>12</v>
      </c>
      <c r="CA95" s="100">
        <v>3945.6000000000004</v>
      </c>
      <c r="CB95" s="100">
        <v>11</v>
      </c>
      <c r="CC95" s="100">
        <v>3616.8</v>
      </c>
      <c r="CD95" s="100">
        <v>8</v>
      </c>
      <c r="CE95" s="100">
        <v>2630.4</v>
      </c>
      <c r="CF95" s="100">
        <v>10</v>
      </c>
      <c r="CG95" s="100">
        <v>3288</v>
      </c>
      <c r="CH95" s="100">
        <v>9</v>
      </c>
      <c r="CI95" s="100">
        <v>2959.2000000000003</v>
      </c>
      <c r="CJ95" s="100">
        <v>9</v>
      </c>
      <c r="CK95" s="100">
        <v>2959.2000000000003</v>
      </c>
      <c r="CL95" s="100">
        <v>8</v>
      </c>
      <c r="CM95" s="100">
        <v>2630.4</v>
      </c>
      <c r="CN95" s="100">
        <v>8</v>
      </c>
      <c r="CO95" s="100">
        <v>2630.4</v>
      </c>
      <c r="CP95" s="100">
        <v>7</v>
      </c>
      <c r="CQ95" s="100">
        <v>2301.6</v>
      </c>
      <c r="CR95" s="100">
        <v>6.4970059880239557</v>
      </c>
      <c r="CS95" s="100">
        <v>2136.2155688622765</v>
      </c>
      <c r="CT95" s="100">
        <v>4.6913187982842857</v>
      </c>
      <c r="CU95" s="100">
        <v>1542.5056208758731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9</v>
      </c>
      <c r="G96" s="100">
        <v>6253.2</v>
      </c>
      <c r="H96" s="100">
        <v>9.0434782608695645</v>
      </c>
      <c r="I96" s="100">
        <v>6283.4086956521733</v>
      </c>
      <c r="J96" s="100">
        <v>8.92018779342723</v>
      </c>
      <c r="K96" s="100">
        <v>6197.7464788732386</v>
      </c>
      <c r="L96" s="100">
        <v>9.0909090909090917</v>
      </c>
      <c r="M96" s="100">
        <v>6316.3636363636369</v>
      </c>
      <c r="N96" s="100">
        <v>9.3596059113300498</v>
      </c>
      <c r="O96" s="100">
        <v>6503.0541871921178</v>
      </c>
      <c r="P96" s="100">
        <v>6</v>
      </c>
      <c r="Q96" s="100">
        <v>4168.7999999999993</v>
      </c>
      <c r="R96" s="100">
        <v>8</v>
      </c>
      <c r="S96" s="100">
        <v>5558.4</v>
      </c>
      <c r="T96" s="100">
        <v>9</v>
      </c>
      <c r="U96" s="100">
        <v>6253.2</v>
      </c>
      <c r="V96" s="100">
        <v>7</v>
      </c>
      <c r="W96" s="100">
        <v>4863.5999999999995</v>
      </c>
      <c r="X96" s="100">
        <v>8</v>
      </c>
      <c r="Y96" s="100">
        <v>5558.4</v>
      </c>
      <c r="Z96" s="100">
        <v>6</v>
      </c>
      <c r="AA96" s="100">
        <v>4168.7999999999993</v>
      </c>
      <c r="AB96" s="100">
        <v>11</v>
      </c>
      <c r="AC96" s="100">
        <v>7642.7999999999993</v>
      </c>
      <c r="AD96" s="100">
        <v>9</v>
      </c>
      <c r="AE96" s="100">
        <v>6253.2</v>
      </c>
      <c r="AF96" s="100">
        <v>9</v>
      </c>
      <c r="AG96" s="100">
        <v>6253.2</v>
      </c>
      <c r="AH96" s="100">
        <v>9</v>
      </c>
      <c r="AI96" s="100">
        <v>6253.2</v>
      </c>
      <c r="AJ96" s="100">
        <v>10</v>
      </c>
      <c r="AK96" s="100">
        <v>6948</v>
      </c>
      <c r="AL96" s="100">
        <v>9</v>
      </c>
      <c r="AM96" s="100">
        <v>6253.2</v>
      </c>
      <c r="AN96" s="100">
        <v>6</v>
      </c>
      <c r="AO96" s="100">
        <v>4168.7999999999993</v>
      </c>
      <c r="AP96" s="100">
        <v>8</v>
      </c>
      <c r="AQ96" s="100">
        <v>5558.4</v>
      </c>
      <c r="AR96" s="100">
        <v>6</v>
      </c>
      <c r="AS96" s="100">
        <v>4168.7999999999993</v>
      </c>
      <c r="AT96" s="100">
        <v>10</v>
      </c>
      <c r="AU96" s="100">
        <v>6948</v>
      </c>
      <c r="AV96" s="100">
        <v>9</v>
      </c>
      <c r="AW96" s="100">
        <v>6253.2</v>
      </c>
      <c r="AX96" s="100">
        <v>6</v>
      </c>
      <c r="AY96" s="100">
        <v>4168.7999999999993</v>
      </c>
      <c r="AZ96" s="100">
        <v>7</v>
      </c>
      <c r="BA96" s="100">
        <v>4863.5999999999995</v>
      </c>
      <c r="BB96" s="100">
        <v>9</v>
      </c>
      <c r="BC96" s="100">
        <v>6253.2</v>
      </c>
      <c r="BD96" s="100">
        <v>8</v>
      </c>
      <c r="BE96" s="100">
        <v>5558.4</v>
      </c>
      <c r="BF96" s="100">
        <v>10</v>
      </c>
      <c r="BG96" s="100">
        <v>6948</v>
      </c>
      <c r="BH96" s="100">
        <v>12</v>
      </c>
      <c r="BI96" s="100">
        <v>8337.5999999999985</v>
      </c>
      <c r="BJ96" s="100">
        <v>11</v>
      </c>
      <c r="BK96" s="100">
        <v>7642.7999999999993</v>
      </c>
      <c r="BL96" s="100">
        <v>9</v>
      </c>
      <c r="BM96" s="100">
        <v>6253.2</v>
      </c>
      <c r="BN96" s="100">
        <v>9</v>
      </c>
      <c r="BO96" s="100">
        <v>6253.2</v>
      </c>
      <c r="BP96" s="100">
        <v>10</v>
      </c>
      <c r="BQ96" s="100">
        <v>6948</v>
      </c>
      <c r="BR96" s="100">
        <v>9</v>
      </c>
      <c r="BS96" s="100">
        <v>6253.2</v>
      </c>
      <c r="BT96" s="100">
        <v>7</v>
      </c>
      <c r="BU96" s="100">
        <v>4863.5999999999995</v>
      </c>
      <c r="BV96" s="100">
        <v>8</v>
      </c>
      <c r="BW96" s="100">
        <v>5558.4</v>
      </c>
      <c r="BX96" s="100">
        <v>8</v>
      </c>
      <c r="BY96" s="100">
        <v>5558.4</v>
      </c>
      <c r="BZ96" s="100">
        <v>12</v>
      </c>
      <c r="CA96" s="100">
        <v>8337.5999999999985</v>
      </c>
      <c r="CB96" s="100">
        <v>9</v>
      </c>
      <c r="CC96" s="100">
        <v>6253.2</v>
      </c>
      <c r="CD96" s="100">
        <v>7</v>
      </c>
      <c r="CE96" s="100">
        <v>4863.5999999999995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9</v>
      </c>
      <c r="CK96" s="100">
        <v>6253.2</v>
      </c>
      <c r="CL96" s="100">
        <v>7</v>
      </c>
      <c r="CM96" s="100">
        <v>4863.5999999999995</v>
      </c>
      <c r="CN96" s="100">
        <v>8</v>
      </c>
      <c r="CO96" s="100">
        <v>5558.4</v>
      </c>
      <c r="CP96" s="100">
        <v>6</v>
      </c>
      <c r="CQ96" s="100">
        <v>4168.7999999999993</v>
      </c>
      <c r="CR96" s="100">
        <v>7.4251497005988067</v>
      </c>
      <c r="CS96" s="100">
        <v>5158.9940119760504</v>
      </c>
      <c r="CT96" s="100">
        <v>4.3003755650939288</v>
      </c>
      <c r="CU96" s="100">
        <v>2987.9009426272614</v>
      </c>
    </row>
    <row r="97" spans="2:99">
      <c r="C97" s="99" t="s">
        <v>263</v>
      </c>
      <c r="D97" s="100">
        <v>5</v>
      </c>
      <c r="E97" s="100">
        <v>1962</v>
      </c>
      <c r="F97" s="100">
        <v>10</v>
      </c>
      <c r="G97" s="100">
        <v>3924</v>
      </c>
      <c r="H97" s="100">
        <v>9.0434782608695645</v>
      </c>
      <c r="I97" s="100">
        <v>3548.6608695652171</v>
      </c>
      <c r="J97" s="100">
        <v>8.92018779342723</v>
      </c>
      <c r="K97" s="100">
        <v>3500.2816901408451</v>
      </c>
      <c r="L97" s="100">
        <v>8.1818181818181817</v>
      </c>
      <c r="M97" s="100">
        <v>3210.5454545454545</v>
      </c>
      <c r="N97" s="100">
        <v>10.295566502463055</v>
      </c>
      <c r="O97" s="100">
        <v>4039.9802955665027</v>
      </c>
      <c r="P97" s="100">
        <v>6</v>
      </c>
      <c r="Q97" s="100">
        <v>2354.3999999999996</v>
      </c>
      <c r="R97" s="100">
        <v>8</v>
      </c>
      <c r="S97" s="100">
        <v>3139.2</v>
      </c>
      <c r="T97" s="100">
        <v>9</v>
      </c>
      <c r="U97" s="100">
        <v>3531.6</v>
      </c>
      <c r="V97" s="100">
        <v>6</v>
      </c>
      <c r="W97" s="100">
        <v>2354.3999999999996</v>
      </c>
      <c r="X97" s="100">
        <v>8</v>
      </c>
      <c r="Y97" s="100">
        <v>3139.2</v>
      </c>
      <c r="Z97" s="100">
        <v>5</v>
      </c>
      <c r="AA97" s="100">
        <v>1962</v>
      </c>
      <c r="AB97" s="100">
        <v>10</v>
      </c>
      <c r="AC97" s="100">
        <v>3924</v>
      </c>
      <c r="AD97" s="100">
        <v>9</v>
      </c>
      <c r="AE97" s="100">
        <v>3531.6</v>
      </c>
      <c r="AF97" s="100">
        <v>9</v>
      </c>
      <c r="AG97" s="100">
        <v>3531.6</v>
      </c>
      <c r="AH97" s="100">
        <v>10</v>
      </c>
      <c r="AI97" s="100">
        <v>3924</v>
      </c>
      <c r="AJ97" s="100">
        <v>10</v>
      </c>
      <c r="AK97" s="100">
        <v>3924</v>
      </c>
      <c r="AL97" s="100">
        <v>10</v>
      </c>
      <c r="AM97" s="100">
        <v>3924</v>
      </c>
      <c r="AN97" s="100">
        <v>6</v>
      </c>
      <c r="AO97" s="100">
        <v>2354.3999999999996</v>
      </c>
      <c r="AP97" s="100">
        <v>8</v>
      </c>
      <c r="AQ97" s="100">
        <v>3139.2</v>
      </c>
      <c r="AR97" s="100">
        <v>6</v>
      </c>
      <c r="AS97" s="100">
        <v>2354.3999999999996</v>
      </c>
      <c r="AT97" s="100">
        <v>12</v>
      </c>
      <c r="AU97" s="100">
        <v>4708.7999999999993</v>
      </c>
      <c r="AV97" s="100">
        <v>9</v>
      </c>
      <c r="AW97" s="100">
        <v>3531.6</v>
      </c>
      <c r="AX97" s="100">
        <v>7</v>
      </c>
      <c r="AY97" s="100">
        <v>2746.7999999999997</v>
      </c>
      <c r="AZ97" s="100">
        <v>8</v>
      </c>
      <c r="BA97" s="100">
        <v>3139.2</v>
      </c>
      <c r="BB97" s="100">
        <v>8</v>
      </c>
      <c r="BC97" s="100">
        <v>3139.2</v>
      </c>
      <c r="BD97" s="100">
        <v>9</v>
      </c>
      <c r="BE97" s="100">
        <v>3531.6</v>
      </c>
      <c r="BF97" s="100">
        <v>11</v>
      </c>
      <c r="BG97" s="100">
        <v>4316.3999999999996</v>
      </c>
      <c r="BH97" s="100">
        <v>11</v>
      </c>
      <c r="BI97" s="100">
        <v>4316.3999999999996</v>
      </c>
      <c r="BJ97" s="100">
        <v>11</v>
      </c>
      <c r="BK97" s="100">
        <v>4316.3999999999996</v>
      </c>
      <c r="BL97" s="100">
        <v>9</v>
      </c>
      <c r="BM97" s="100">
        <v>3531.6</v>
      </c>
      <c r="BN97" s="100">
        <v>9</v>
      </c>
      <c r="BO97" s="100">
        <v>3531.6</v>
      </c>
      <c r="BP97" s="100">
        <v>11</v>
      </c>
      <c r="BQ97" s="100">
        <v>4316.3999999999996</v>
      </c>
      <c r="BR97" s="100">
        <v>8</v>
      </c>
      <c r="BS97" s="100">
        <v>3139.2</v>
      </c>
      <c r="BT97" s="100">
        <v>8</v>
      </c>
      <c r="BU97" s="100">
        <v>3139.2</v>
      </c>
      <c r="BV97" s="100">
        <v>7</v>
      </c>
      <c r="BW97" s="100">
        <v>2746.7999999999997</v>
      </c>
      <c r="BX97" s="100">
        <v>7</v>
      </c>
      <c r="BY97" s="100">
        <v>2746.7999999999997</v>
      </c>
      <c r="BZ97" s="100">
        <v>12</v>
      </c>
      <c r="CA97" s="100">
        <v>4708.7999999999993</v>
      </c>
      <c r="CB97" s="100">
        <v>11</v>
      </c>
      <c r="CC97" s="100">
        <v>4316.3999999999996</v>
      </c>
      <c r="CD97" s="100">
        <v>8</v>
      </c>
      <c r="CE97" s="100">
        <v>3139.2</v>
      </c>
      <c r="CF97" s="100">
        <v>11</v>
      </c>
      <c r="CG97" s="100">
        <v>4316.3999999999996</v>
      </c>
      <c r="CH97" s="100">
        <v>10</v>
      </c>
      <c r="CI97" s="100">
        <v>3924</v>
      </c>
      <c r="CJ97" s="100">
        <v>9</v>
      </c>
      <c r="CK97" s="100">
        <v>3531.6</v>
      </c>
      <c r="CL97" s="100">
        <v>8</v>
      </c>
      <c r="CM97" s="100">
        <v>3139.2</v>
      </c>
      <c r="CN97" s="100">
        <v>9</v>
      </c>
      <c r="CO97" s="100">
        <v>3531.6</v>
      </c>
      <c r="CP97" s="100">
        <v>6</v>
      </c>
      <c r="CQ97" s="100">
        <v>2354.3999999999996</v>
      </c>
      <c r="CR97" s="100">
        <v>6.4970059880239557</v>
      </c>
      <c r="CS97" s="100">
        <v>2549.4251497006003</v>
      </c>
      <c r="CT97" s="100">
        <v>4.6913187982842857</v>
      </c>
      <c r="CU97" s="100">
        <v>1840.8734964467535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10</v>
      </c>
      <c r="G98" s="100">
        <v>5256</v>
      </c>
      <c r="H98" s="100">
        <v>10.852173913043478</v>
      </c>
      <c r="I98" s="100">
        <v>5703.9026086956519</v>
      </c>
      <c r="J98" s="100">
        <v>8.92018779342723</v>
      </c>
      <c r="K98" s="100">
        <v>4688.4507042253526</v>
      </c>
      <c r="L98" s="100">
        <v>9.0909090909090917</v>
      </c>
      <c r="M98" s="100">
        <v>4778.1818181818189</v>
      </c>
      <c r="N98" s="100">
        <v>9.3596059113300498</v>
      </c>
      <c r="O98" s="100">
        <v>4919.4088669950743</v>
      </c>
      <c r="P98" s="100">
        <v>6</v>
      </c>
      <c r="Q98" s="100">
        <v>3153.6000000000004</v>
      </c>
      <c r="R98" s="100">
        <v>8</v>
      </c>
      <c r="S98" s="100">
        <v>4204.8</v>
      </c>
      <c r="T98" s="100">
        <v>9</v>
      </c>
      <c r="U98" s="100">
        <v>4730.4000000000005</v>
      </c>
      <c r="V98" s="100">
        <v>7</v>
      </c>
      <c r="W98" s="100">
        <v>3679.2000000000003</v>
      </c>
      <c r="X98" s="100">
        <v>8</v>
      </c>
      <c r="Y98" s="100">
        <v>4204.8</v>
      </c>
      <c r="Z98" s="100">
        <v>6</v>
      </c>
      <c r="AA98" s="100">
        <v>3153.6000000000004</v>
      </c>
      <c r="AB98" s="100">
        <v>11</v>
      </c>
      <c r="AC98" s="100">
        <v>5781.6</v>
      </c>
      <c r="AD98" s="100">
        <v>10</v>
      </c>
      <c r="AE98" s="100">
        <v>5256</v>
      </c>
      <c r="AF98" s="100">
        <v>8</v>
      </c>
      <c r="AG98" s="100">
        <v>4204.8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11</v>
      </c>
      <c r="AM98" s="100">
        <v>5781.6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6</v>
      </c>
      <c r="AS98" s="100">
        <v>3153.6000000000004</v>
      </c>
      <c r="AT98" s="100">
        <v>11</v>
      </c>
      <c r="AU98" s="100">
        <v>5781.6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8</v>
      </c>
      <c r="BA98" s="100">
        <v>4204.8</v>
      </c>
      <c r="BB98" s="100">
        <v>10</v>
      </c>
      <c r="BC98" s="100">
        <v>5256</v>
      </c>
      <c r="BD98" s="100">
        <v>9</v>
      </c>
      <c r="BE98" s="100">
        <v>4730.4000000000005</v>
      </c>
      <c r="BF98" s="100">
        <v>10</v>
      </c>
      <c r="BG98" s="100">
        <v>5256</v>
      </c>
      <c r="BH98" s="100">
        <v>10</v>
      </c>
      <c r="BI98" s="100">
        <v>5256</v>
      </c>
      <c r="BJ98" s="100">
        <v>10</v>
      </c>
      <c r="BK98" s="100">
        <v>5256</v>
      </c>
      <c r="BL98" s="100">
        <v>9</v>
      </c>
      <c r="BM98" s="100">
        <v>4730.4000000000005</v>
      </c>
      <c r="BN98" s="100">
        <v>10</v>
      </c>
      <c r="BO98" s="100">
        <v>5256</v>
      </c>
      <c r="BP98" s="100">
        <v>10</v>
      </c>
      <c r="BQ98" s="100">
        <v>5256</v>
      </c>
      <c r="BR98" s="100">
        <v>9</v>
      </c>
      <c r="BS98" s="100">
        <v>4730.4000000000005</v>
      </c>
      <c r="BT98" s="100">
        <v>8</v>
      </c>
      <c r="BU98" s="100">
        <v>4204.8</v>
      </c>
      <c r="BV98" s="100">
        <v>8</v>
      </c>
      <c r="BW98" s="100">
        <v>4204.8</v>
      </c>
      <c r="BX98" s="100">
        <v>8</v>
      </c>
      <c r="BY98" s="100">
        <v>4204.8</v>
      </c>
      <c r="BZ98" s="100">
        <v>11</v>
      </c>
      <c r="CA98" s="100">
        <v>5781.6</v>
      </c>
      <c r="CB98" s="100">
        <v>10</v>
      </c>
      <c r="CC98" s="100">
        <v>5256</v>
      </c>
      <c r="CD98" s="100">
        <v>8</v>
      </c>
      <c r="CE98" s="100">
        <v>4204.8</v>
      </c>
      <c r="CF98" s="100">
        <v>9</v>
      </c>
      <c r="CG98" s="100">
        <v>4730.4000000000005</v>
      </c>
      <c r="CH98" s="100">
        <v>10</v>
      </c>
      <c r="CI98" s="100">
        <v>5256</v>
      </c>
      <c r="CJ98" s="100">
        <v>9</v>
      </c>
      <c r="CK98" s="100">
        <v>4730.4000000000005</v>
      </c>
      <c r="CL98" s="100">
        <v>8</v>
      </c>
      <c r="CM98" s="100">
        <v>4204.8</v>
      </c>
      <c r="CN98" s="100">
        <v>9</v>
      </c>
      <c r="CO98" s="100">
        <v>4730.4000000000005</v>
      </c>
      <c r="CP98" s="100">
        <v>7</v>
      </c>
      <c r="CQ98" s="100">
        <v>3679.2000000000003</v>
      </c>
      <c r="CR98" s="100">
        <v>6.4970059880239557</v>
      </c>
      <c r="CS98" s="100">
        <v>3414.8263473053912</v>
      </c>
      <c r="CT98" s="100">
        <v>4.6913187982842857</v>
      </c>
      <c r="CU98" s="100">
        <v>2465.7571603782208</v>
      </c>
    </row>
    <row r="99" spans="2:99">
      <c r="C99" s="99" t="s">
        <v>265</v>
      </c>
      <c r="D99" s="100">
        <v>4</v>
      </c>
      <c r="E99" s="100">
        <v>16833.599999999999</v>
      </c>
      <c r="F99" s="100">
        <v>7</v>
      </c>
      <c r="G99" s="100">
        <v>29458.799999999996</v>
      </c>
      <c r="H99" s="100">
        <v>8.1391304347826097</v>
      </c>
      <c r="I99" s="100">
        <v>34252.71652173913</v>
      </c>
      <c r="J99" s="100">
        <v>6.2441314553990619</v>
      </c>
      <c r="K99" s="100">
        <v>26277.802816901411</v>
      </c>
      <c r="L99" s="100">
        <v>7.2727272727272725</v>
      </c>
      <c r="M99" s="100">
        <v>30606.545454545452</v>
      </c>
      <c r="N99" s="100">
        <v>7.4876847290640391</v>
      </c>
      <c r="O99" s="100">
        <v>31511.172413793098</v>
      </c>
      <c r="P99" s="100">
        <v>4</v>
      </c>
      <c r="Q99" s="100">
        <v>16833.599999999999</v>
      </c>
      <c r="R99" s="100">
        <v>6</v>
      </c>
      <c r="S99" s="100">
        <v>25250.399999999998</v>
      </c>
      <c r="T99" s="100">
        <v>7</v>
      </c>
      <c r="U99" s="100">
        <v>29458.799999999996</v>
      </c>
      <c r="V99" s="100">
        <v>5</v>
      </c>
      <c r="W99" s="100">
        <v>21042</v>
      </c>
      <c r="X99" s="100">
        <v>6</v>
      </c>
      <c r="Y99" s="100">
        <v>25250.399999999998</v>
      </c>
      <c r="Z99" s="100">
        <v>4</v>
      </c>
      <c r="AA99" s="100">
        <v>16833.599999999999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6</v>
      </c>
      <c r="AG99" s="100">
        <v>25250.399999999998</v>
      </c>
      <c r="AH99" s="100">
        <v>7</v>
      </c>
      <c r="AI99" s="100">
        <v>29458.799999999996</v>
      </c>
      <c r="AJ99" s="100">
        <v>8</v>
      </c>
      <c r="AK99" s="100">
        <v>33667.199999999997</v>
      </c>
      <c r="AL99" s="100">
        <v>8</v>
      </c>
      <c r="AM99" s="100">
        <v>33667.199999999997</v>
      </c>
      <c r="AN99" s="100">
        <v>4</v>
      </c>
      <c r="AO99" s="100">
        <v>16833.599999999999</v>
      </c>
      <c r="AP99" s="100">
        <v>6</v>
      </c>
      <c r="AQ99" s="100">
        <v>25250.399999999998</v>
      </c>
      <c r="AR99" s="100">
        <v>4</v>
      </c>
      <c r="AS99" s="100">
        <v>16833.599999999999</v>
      </c>
      <c r="AT99" s="100">
        <v>9</v>
      </c>
      <c r="AU99" s="100">
        <v>37875.599999999999</v>
      </c>
      <c r="AV99" s="100">
        <v>6</v>
      </c>
      <c r="AW99" s="100">
        <v>25250.399999999998</v>
      </c>
      <c r="AX99" s="100">
        <v>5</v>
      </c>
      <c r="AY99" s="100">
        <v>21042</v>
      </c>
      <c r="AZ99" s="100">
        <v>6</v>
      </c>
      <c r="BA99" s="100">
        <v>25250.399999999998</v>
      </c>
      <c r="BB99" s="100">
        <v>6</v>
      </c>
      <c r="BC99" s="100">
        <v>25250.399999999998</v>
      </c>
      <c r="BD99" s="100">
        <v>7</v>
      </c>
      <c r="BE99" s="100">
        <v>29458.799999999996</v>
      </c>
      <c r="BF99" s="100">
        <v>9</v>
      </c>
      <c r="BG99" s="100">
        <v>37875.599999999999</v>
      </c>
      <c r="BH99" s="100">
        <v>9</v>
      </c>
      <c r="BI99" s="100">
        <v>37875.599999999999</v>
      </c>
      <c r="BJ99" s="100">
        <v>7</v>
      </c>
      <c r="BK99" s="100">
        <v>29458.799999999996</v>
      </c>
      <c r="BL99" s="100">
        <v>8</v>
      </c>
      <c r="BM99" s="100">
        <v>33667.199999999997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7</v>
      </c>
      <c r="BS99" s="100">
        <v>29458.799999999996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6</v>
      </c>
      <c r="CE99" s="100">
        <v>25250.399999999998</v>
      </c>
      <c r="CF99" s="100">
        <v>7</v>
      </c>
      <c r="CG99" s="100">
        <v>29458.799999999996</v>
      </c>
      <c r="CH99" s="100">
        <v>7</v>
      </c>
      <c r="CI99" s="100">
        <v>29458.799999999996</v>
      </c>
      <c r="CJ99" s="100">
        <v>8</v>
      </c>
      <c r="CK99" s="100">
        <v>33667.199999999997</v>
      </c>
      <c r="CL99" s="100">
        <v>6</v>
      </c>
      <c r="CM99" s="100">
        <v>25250.399999999998</v>
      </c>
      <c r="CN99" s="100">
        <v>7</v>
      </c>
      <c r="CO99" s="100">
        <v>29458.799999999996</v>
      </c>
      <c r="CP99" s="100">
        <v>4</v>
      </c>
      <c r="CQ99" s="100">
        <v>16833.599999999999</v>
      </c>
      <c r="CR99" s="100">
        <v>5.5688622754491046</v>
      </c>
      <c r="CS99" s="100">
        <v>23436.000000000011</v>
      </c>
      <c r="CT99" s="100">
        <v>3.5184890987132142</v>
      </c>
      <c r="CU99" s="100">
        <v>14807.209523024689</v>
      </c>
    </row>
    <row r="100" spans="2:99">
      <c r="C100" s="99" t="s">
        <v>266</v>
      </c>
      <c r="D100" s="100">
        <v>6</v>
      </c>
      <c r="E100" s="100">
        <v>1944</v>
      </c>
      <c r="F100" s="100">
        <v>10</v>
      </c>
      <c r="G100" s="100">
        <v>3240</v>
      </c>
      <c r="H100" s="100">
        <v>9.9478260869565212</v>
      </c>
      <c r="I100" s="100">
        <v>3223.0956521739126</v>
      </c>
      <c r="J100" s="100">
        <v>9.8122065727699539</v>
      </c>
      <c r="K100" s="100">
        <v>3179.1549295774653</v>
      </c>
      <c r="L100" s="100">
        <v>9.0909090909090917</v>
      </c>
      <c r="M100" s="100">
        <v>2945.4545454545455</v>
      </c>
      <c r="N100" s="100">
        <v>9.3596059113300498</v>
      </c>
      <c r="O100" s="100">
        <v>3032.5123152709361</v>
      </c>
      <c r="P100" s="100">
        <v>6</v>
      </c>
      <c r="Q100" s="100">
        <v>1944</v>
      </c>
      <c r="R100" s="100">
        <v>8</v>
      </c>
      <c r="S100" s="100">
        <v>2592</v>
      </c>
      <c r="T100" s="100">
        <v>9</v>
      </c>
      <c r="U100" s="100">
        <v>2916</v>
      </c>
      <c r="V100" s="100">
        <v>7</v>
      </c>
      <c r="W100" s="100">
        <v>2268</v>
      </c>
      <c r="X100" s="100">
        <v>7</v>
      </c>
      <c r="Y100" s="100">
        <v>2268</v>
      </c>
      <c r="Z100" s="100">
        <v>6</v>
      </c>
      <c r="AA100" s="100">
        <v>1944</v>
      </c>
      <c r="AB100" s="100">
        <v>9</v>
      </c>
      <c r="AC100" s="100">
        <v>2916</v>
      </c>
      <c r="AD100" s="100">
        <v>10</v>
      </c>
      <c r="AE100" s="100">
        <v>3240</v>
      </c>
      <c r="AF100" s="100">
        <v>8</v>
      </c>
      <c r="AG100" s="100">
        <v>2592</v>
      </c>
      <c r="AH100" s="100">
        <v>10</v>
      </c>
      <c r="AI100" s="100">
        <v>3240</v>
      </c>
      <c r="AJ100" s="100">
        <v>11</v>
      </c>
      <c r="AK100" s="100">
        <v>3564</v>
      </c>
      <c r="AL100" s="100">
        <v>10</v>
      </c>
      <c r="AM100" s="100">
        <v>3240</v>
      </c>
      <c r="AN100" s="100">
        <v>5</v>
      </c>
      <c r="AO100" s="100">
        <v>1620</v>
      </c>
      <c r="AP100" s="100">
        <v>8</v>
      </c>
      <c r="AQ100" s="100">
        <v>2592</v>
      </c>
      <c r="AR100" s="100">
        <v>6</v>
      </c>
      <c r="AS100" s="100">
        <v>1944</v>
      </c>
      <c r="AT100" s="100">
        <v>10</v>
      </c>
      <c r="AU100" s="100">
        <v>3240</v>
      </c>
      <c r="AV100" s="100">
        <v>9</v>
      </c>
      <c r="AW100" s="100">
        <v>2916</v>
      </c>
      <c r="AX100" s="100">
        <v>6</v>
      </c>
      <c r="AY100" s="100">
        <v>1944</v>
      </c>
      <c r="AZ100" s="100">
        <v>9</v>
      </c>
      <c r="BA100" s="100">
        <v>2916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11</v>
      </c>
      <c r="BG100" s="100">
        <v>3564</v>
      </c>
      <c r="BH100" s="100">
        <v>11</v>
      </c>
      <c r="BI100" s="100">
        <v>3564</v>
      </c>
      <c r="BJ100" s="100">
        <v>11</v>
      </c>
      <c r="BK100" s="100">
        <v>3564</v>
      </c>
      <c r="BL100" s="100">
        <v>10</v>
      </c>
      <c r="BM100" s="100">
        <v>3240</v>
      </c>
      <c r="BN100" s="100">
        <v>10</v>
      </c>
      <c r="BO100" s="100">
        <v>3240</v>
      </c>
      <c r="BP100" s="100">
        <v>10</v>
      </c>
      <c r="BQ100" s="100">
        <v>3240</v>
      </c>
      <c r="BR100" s="100">
        <v>9</v>
      </c>
      <c r="BS100" s="100">
        <v>2916</v>
      </c>
      <c r="BT100" s="100">
        <v>8</v>
      </c>
      <c r="BU100" s="100">
        <v>2592</v>
      </c>
      <c r="BV100" s="100">
        <v>8</v>
      </c>
      <c r="BW100" s="100">
        <v>2592</v>
      </c>
      <c r="BX100" s="100">
        <v>7</v>
      </c>
      <c r="BY100" s="100">
        <v>2268</v>
      </c>
      <c r="BZ100" s="100">
        <v>12</v>
      </c>
      <c r="CA100" s="100">
        <v>3888</v>
      </c>
      <c r="CB100" s="100">
        <v>11</v>
      </c>
      <c r="CC100" s="100">
        <v>3564</v>
      </c>
      <c r="CD100" s="100">
        <v>8</v>
      </c>
      <c r="CE100" s="100">
        <v>2592</v>
      </c>
      <c r="CF100" s="100">
        <v>10</v>
      </c>
      <c r="CG100" s="100">
        <v>3240</v>
      </c>
      <c r="CH100" s="100">
        <v>9</v>
      </c>
      <c r="CI100" s="100">
        <v>2916</v>
      </c>
      <c r="CJ100" s="100">
        <v>10</v>
      </c>
      <c r="CK100" s="100">
        <v>3240</v>
      </c>
      <c r="CL100" s="100">
        <v>7</v>
      </c>
      <c r="CM100" s="100">
        <v>2268</v>
      </c>
      <c r="CN100" s="100">
        <v>8</v>
      </c>
      <c r="CO100" s="100">
        <v>2592</v>
      </c>
      <c r="CP100" s="100">
        <v>6</v>
      </c>
      <c r="CQ100" s="100">
        <v>1944</v>
      </c>
      <c r="CR100" s="100">
        <v>6.4970059880239557</v>
      </c>
      <c r="CS100" s="100">
        <v>2105.0299401197617</v>
      </c>
      <c r="CT100" s="100">
        <v>4.6913187982842857</v>
      </c>
      <c r="CU100" s="100">
        <v>1519.9872906441085</v>
      </c>
    </row>
    <row r="101" spans="2:99">
      <c r="C101" s="99" t="s">
        <v>267</v>
      </c>
      <c r="D101" s="100">
        <v>5</v>
      </c>
      <c r="E101" s="100">
        <v>3618</v>
      </c>
      <c r="F101" s="100">
        <v>9</v>
      </c>
      <c r="G101" s="100">
        <v>6512.4000000000005</v>
      </c>
      <c r="H101" s="100">
        <v>9.0434782608695645</v>
      </c>
      <c r="I101" s="100">
        <v>6543.8608695652174</v>
      </c>
      <c r="J101" s="100">
        <v>8.92018779342723</v>
      </c>
      <c r="K101" s="100">
        <v>6454.6478873239439</v>
      </c>
      <c r="L101" s="100">
        <v>9.0909090909090917</v>
      </c>
      <c r="M101" s="100">
        <v>6578.1818181818189</v>
      </c>
      <c r="N101" s="100">
        <v>8.4236453201970445</v>
      </c>
      <c r="O101" s="100">
        <v>6095.3497536945815</v>
      </c>
      <c r="P101" s="100">
        <v>6</v>
      </c>
      <c r="Q101" s="100">
        <v>4341.6000000000004</v>
      </c>
      <c r="R101" s="100">
        <v>8</v>
      </c>
      <c r="S101" s="100">
        <v>5788.8</v>
      </c>
      <c r="T101" s="100">
        <v>8</v>
      </c>
      <c r="U101" s="100">
        <v>5788.8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5</v>
      </c>
      <c r="AA101" s="100">
        <v>3618</v>
      </c>
      <c r="AB101" s="100">
        <v>10</v>
      </c>
      <c r="AC101" s="100">
        <v>7236</v>
      </c>
      <c r="AD101" s="100">
        <v>9</v>
      </c>
      <c r="AE101" s="100">
        <v>6512.4000000000005</v>
      </c>
      <c r="AF101" s="100">
        <v>9</v>
      </c>
      <c r="AG101" s="100">
        <v>6512.4000000000005</v>
      </c>
      <c r="AH101" s="100">
        <v>9</v>
      </c>
      <c r="AI101" s="100">
        <v>6512.4000000000005</v>
      </c>
      <c r="AJ101" s="100">
        <v>10</v>
      </c>
      <c r="AK101" s="100">
        <v>7236</v>
      </c>
      <c r="AL101" s="100">
        <v>11</v>
      </c>
      <c r="AM101" s="100">
        <v>7959.6</v>
      </c>
      <c r="AN101" s="100">
        <v>6</v>
      </c>
      <c r="AO101" s="100">
        <v>4341.6000000000004</v>
      </c>
      <c r="AP101" s="100">
        <v>8</v>
      </c>
      <c r="AQ101" s="100">
        <v>5788.8</v>
      </c>
      <c r="AR101" s="100">
        <v>6</v>
      </c>
      <c r="AS101" s="100">
        <v>4341.6000000000004</v>
      </c>
      <c r="AT101" s="100">
        <v>12</v>
      </c>
      <c r="AU101" s="100">
        <v>8683.2000000000007</v>
      </c>
      <c r="AV101" s="100">
        <v>8</v>
      </c>
      <c r="AW101" s="100">
        <v>5788.8</v>
      </c>
      <c r="AX101" s="100">
        <v>6</v>
      </c>
      <c r="AY101" s="100">
        <v>4341.6000000000004</v>
      </c>
      <c r="AZ101" s="100">
        <v>7</v>
      </c>
      <c r="BA101" s="100">
        <v>5065.2</v>
      </c>
      <c r="BB101" s="100">
        <v>8</v>
      </c>
      <c r="BC101" s="100">
        <v>5788.8</v>
      </c>
      <c r="BD101" s="100">
        <v>9</v>
      </c>
      <c r="BE101" s="100">
        <v>6512.4000000000005</v>
      </c>
      <c r="BF101" s="100">
        <v>10</v>
      </c>
      <c r="BG101" s="100">
        <v>7236</v>
      </c>
      <c r="BH101" s="100">
        <v>11</v>
      </c>
      <c r="BI101" s="100">
        <v>7959.6</v>
      </c>
      <c r="BJ101" s="100">
        <v>10</v>
      </c>
      <c r="BK101" s="100">
        <v>7236</v>
      </c>
      <c r="BL101" s="100">
        <v>9</v>
      </c>
      <c r="BM101" s="100">
        <v>6512.4000000000005</v>
      </c>
      <c r="BN101" s="100">
        <v>9</v>
      </c>
      <c r="BO101" s="100">
        <v>6512.4000000000005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7</v>
      </c>
      <c r="BU101" s="100">
        <v>5065.2</v>
      </c>
      <c r="BV101" s="100">
        <v>8</v>
      </c>
      <c r="BW101" s="100">
        <v>5788.8</v>
      </c>
      <c r="BX101" s="100">
        <v>7</v>
      </c>
      <c r="BY101" s="100">
        <v>5065.2</v>
      </c>
      <c r="BZ101" s="100">
        <v>12</v>
      </c>
      <c r="CA101" s="100">
        <v>8683.2000000000007</v>
      </c>
      <c r="CB101" s="100">
        <v>10</v>
      </c>
      <c r="CC101" s="100">
        <v>7236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9</v>
      </c>
      <c r="CI101" s="100">
        <v>6512.4000000000005</v>
      </c>
      <c r="CJ101" s="100">
        <v>8</v>
      </c>
      <c r="CK101" s="100">
        <v>5788.8</v>
      </c>
      <c r="CL101" s="100">
        <v>8</v>
      </c>
      <c r="CM101" s="100">
        <v>5788.8</v>
      </c>
      <c r="CN101" s="100">
        <v>9</v>
      </c>
      <c r="CO101" s="100">
        <v>6512.4000000000005</v>
      </c>
      <c r="CP101" s="100">
        <v>6</v>
      </c>
      <c r="CQ101" s="100">
        <v>4341.6000000000004</v>
      </c>
      <c r="CR101" s="100">
        <v>6.4970059880239557</v>
      </c>
      <c r="CS101" s="100">
        <v>4701.2335329341349</v>
      </c>
      <c r="CT101" s="100">
        <v>4.3003755650939288</v>
      </c>
      <c r="CU101" s="100">
        <v>3111.7517589019672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9</v>
      </c>
      <c r="G102" s="100">
        <v>4784.4000000000005</v>
      </c>
      <c r="H102" s="100">
        <v>9.0434782608695645</v>
      </c>
      <c r="I102" s="100">
        <v>4807.5130434782604</v>
      </c>
      <c r="J102" s="100">
        <v>10.704225352112676</v>
      </c>
      <c r="K102" s="100">
        <v>5690.3661971830988</v>
      </c>
      <c r="L102" s="100">
        <v>9.0909090909090917</v>
      </c>
      <c r="M102" s="100">
        <v>4832.727272727273</v>
      </c>
      <c r="N102" s="100">
        <v>9.3596059113300498</v>
      </c>
      <c r="O102" s="100">
        <v>4975.5665024630543</v>
      </c>
      <c r="P102" s="100">
        <v>6</v>
      </c>
      <c r="Q102" s="100">
        <v>3189.6000000000004</v>
      </c>
      <c r="R102" s="100">
        <v>8</v>
      </c>
      <c r="S102" s="100">
        <v>4252.8</v>
      </c>
      <c r="T102" s="100">
        <v>8</v>
      </c>
      <c r="U102" s="100">
        <v>4252.8</v>
      </c>
      <c r="V102" s="100">
        <v>7</v>
      </c>
      <c r="W102" s="100">
        <v>3721.2000000000003</v>
      </c>
      <c r="X102" s="100">
        <v>9</v>
      </c>
      <c r="Y102" s="100">
        <v>4784.4000000000005</v>
      </c>
      <c r="Z102" s="100">
        <v>6</v>
      </c>
      <c r="AA102" s="100">
        <v>3189.6000000000004</v>
      </c>
      <c r="AB102" s="100">
        <v>10</v>
      </c>
      <c r="AC102" s="100">
        <v>5316</v>
      </c>
      <c r="AD102" s="100">
        <v>10</v>
      </c>
      <c r="AE102" s="100">
        <v>5316</v>
      </c>
      <c r="AF102" s="100">
        <v>8</v>
      </c>
      <c r="AG102" s="100">
        <v>4252.8</v>
      </c>
      <c r="AH102" s="100">
        <v>9</v>
      </c>
      <c r="AI102" s="100">
        <v>4784.4000000000005</v>
      </c>
      <c r="AJ102" s="100">
        <v>11</v>
      </c>
      <c r="AK102" s="100">
        <v>5847.6</v>
      </c>
      <c r="AL102" s="100">
        <v>10</v>
      </c>
      <c r="AM102" s="100">
        <v>5316</v>
      </c>
      <c r="AN102" s="100">
        <v>6</v>
      </c>
      <c r="AO102" s="100">
        <v>3189.6000000000004</v>
      </c>
      <c r="AP102" s="100">
        <v>8</v>
      </c>
      <c r="AQ102" s="100">
        <v>4252.8</v>
      </c>
      <c r="AR102" s="100">
        <v>6</v>
      </c>
      <c r="AS102" s="100">
        <v>3189.6000000000004</v>
      </c>
      <c r="AT102" s="100">
        <v>12</v>
      </c>
      <c r="AU102" s="100">
        <v>6379.2000000000007</v>
      </c>
      <c r="AV102" s="100">
        <v>9</v>
      </c>
      <c r="AW102" s="100">
        <v>4784.4000000000005</v>
      </c>
      <c r="AX102" s="100">
        <v>6</v>
      </c>
      <c r="AY102" s="100">
        <v>3189.6000000000004</v>
      </c>
      <c r="AZ102" s="100">
        <v>9</v>
      </c>
      <c r="BA102" s="100">
        <v>4784.4000000000005</v>
      </c>
      <c r="BB102" s="100">
        <v>8</v>
      </c>
      <c r="BC102" s="100">
        <v>4252.8</v>
      </c>
      <c r="BD102" s="100">
        <v>9</v>
      </c>
      <c r="BE102" s="100">
        <v>4784.4000000000005</v>
      </c>
      <c r="BF102" s="100">
        <v>11</v>
      </c>
      <c r="BG102" s="100">
        <v>5847.6</v>
      </c>
      <c r="BH102" s="100">
        <v>12</v>
      </c>
      <c r="BI102" s="100">
        <v>6379.2000000000007</v>
      </c>
      <c r="BJ102" s="100">
        <v>11</v>
      </c>
      <c r="BK102" s="100">
        <v>5847.6</v>
      </c>
      <c r="BL102" s="100">
        <v>10</v>
      </c>
      <c r="BM102" s="100">
        <v>5316</v>
      </c>
      <c r="BN102" s="100">
        <v>9</v>
      </c>
      <c r="BO102" s="100">
        <v>4784.4000000000005</v>
      </c>
      <c r="BP102" s="100">
        <v>10</v>
      </c>
      <c r="BQ102" s="100">
        <v>5316</v>
      </c>
      <c r="BR102" s="100">
        <v>8</v>
      </c>
      <c r="BS102" s="100">
        <v>4252.8</v>
      </c>
      <c r="BT102" s="100">
        <v>8</v>
      </c>
      <c r="BU102" s="100">
        <v>4252.8</v>
      </c>
      <c r="BV102" s="100">
        <v>7</v>
      </c>
      <c r="BW102" s="100">
        <v>3721.2000000000003</v>
      </c>
      <c r="BX102" s="100">
        <v>8</v>
      </c>
      <c r="BY102" s="100">
        <v>4252.8</v>
      </c>
      <c r="BZ102" s="100">
        <v>12</v>
      </c>
      <c r="CA102" s="100">
        <v>6379.2000000000007</v>
      </c>
      <c r="CB102" s="100">
        <v>11</v>
      </c>
      <c r="CC102" s="100">
        <v>5847.6</v>
      </c>
      <c r="CD102" s="100">
        <v>8</v>
      </c>
      <c r="CE102" s="100">
        <v>4252.8</v>
      </c>
      <c r="CF102" s="100">
        <v>11</v>
      </c>
      <c r="CG102" s="100">
        <v>5847.6</v>
      </c>
      <c r="CH102" s="100">
        <v>9</v>
      </c>
      <c r="CI102" s="100">
        <v>4784.4000000000005</v>
      </c>
      <c r="CJ102" s="100">
        <v>9</v>
      </c>
      <c r="CK102" s="100">
        <v>4784.4000000000005</v>
      </c>
      <c r="CL102" s="100">
        <v>7</v>
      </c>
      <c r="CM102" s="100">
        <v>3721.2000000000003</v>
      </c>
      <c r="CN102" s="100">
        <v>9</v>
      </c>
      <c r="CO102" s="100">
        <v>4784.4000000000005</v>
      </c>
      <c r="CP102" s="100">
        <v>6</v>
      </c>
      <c r="CQ102" s="100">
        <v>3189.6000000000004</v>
      </c>
      <c r="CR102" s="100">
        <v>5.5688622754491046</v>
      </c>
      <c r="CS102" s="100">
        <v>2960.4071856287442</v>
      </c>
      <c r="CT102" s="100">
        <v>4.6913187982842857</v>
      </c>
      <c r="CU102" s="100">
        <v>2493.9050731679263</v>
      </c>
    </row>
    <row r="103" spans="2:99">
      <c r="C103" s="99" t="s">
        <v>269</v>
      </c>
      <c r="D103" s="100">
        <v>6</v>
      </c>
      <c r="E103" s="100">
        <v>3535.2</v>
      </c>
      <c r="F103" s="100">
        <v>10</v>
      </c>
      <c r="G103" s="100">
        <v>5891.9999999999991</v>
      </c>
      <c r="H103" s="100">
        <v>9.0434782608695645</v>
      </c>
      <c r="I103" s="100">
        <v>5328.4173913043469</v>
      </c>
      <c r="J103" s="100">
        <v>9.8122065727699539</v>
      </c>
      <c r="K103" s="100">
        <v>5781.3521126760561</v>
      </c>
      <c r="L103" s="100">
        <v>10</v>
      </c>
      <c r="M103" s="100">
        <v>5891.9999999999991</v>
      </c>
      <c r="N103" s="100">
        <v>8.4236453201970445</v>
      </c>
      <c r="O103" s="100">
        <v>4963.2118226600978</v>
      </c>
      <c r="P103" s="100">
        <v>6</v>
      </c>
      <c r="Q103" s="100">
        <v>3535.2</v>
      </c>
      <c r="R103" s="100">
        <v>7</v>
      </c>
      <c r="S103" s="100">
        <v>4124.3999999999996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8</v>
      </c>
      <c r="Y103" s="100">
        <v>4713.5999999999995</v>
      </c>
      <c r="Z103" s="100">
        <v>5</v>
      </c>
      <c r="AA103" s="100">
        <v>2945.9999999999995</v>
      </c>
      <c r="AB103" s="100">
        <v>9</v>
      </c>
      <c r="AC103" s="100">
        <v>5302.7999999999993</v>
      </c>
      <c r="AD103" s="100">
        <v>10</v>
      </c>
      <c r="AE103" s="100">
        <v>5891.9999999999991</v>
      </c>
      <c r="AF103" s="100">
        <v>9</v>
      </c>
      <c r="AG103" s="100">
        <v>5302.7999999999993</v>
      </c>
      <c r="AH103" s="100">
        <v>8</v>
      </c>
      <c r="AI103" s="100">
        <v>4713.5999999999995</v>
      </c>
      <c r="AJ103" s="100">
        <v>11</v>
      </c>
      <c r="AK103" s="100">
        <v>6481.1999999999989</v>
      </c>
      <c r="AL103" s="100">
        <v>11</v>
      </c>
      <c r="AM103" s="100">
        <v>6481.1999999999989</v>
      </c>
      <c r="AN103" s="100">
        <v>5</v>
      </c>
      <c r="AO103" s="100">
        <v>2945.9999999999995</v>
      </c>
      <c r="AP103" s="100">
        <v>8</v>
      </c>
      <c r="AQ103" s="100">
        <v>4713.5999999999995</v>
      </c>
      <c r="AR103" s="100">
        <v>6</v>
      </c>
      <c r="AS103" s="100">
        <v>3535.2</v>
      </c>
      <c r="AT103" s="100">
        <v>10</v>
      </c>
      <c r="AU103" s="100">
        <v>5891.9999999999991</v>
      </c>
      <c r="AV103" s="100">
        <v>9</v>
      </c>
      <c r="AW103" s="100">
        <v>5302.7999999999993</v>
      </c>
      <c r="AX103" s="100">
        <v>6</v>
      </c>
      <c r="AY103" s="100">
        <v>3535.2</v>
      </c>
      <c r="AZ103" s="100">
        <v>8</v>
      </c>
      <c r="BA103" s="100">
        <v>4713.5999999999995</v>
      </c>
      <c r="BB103" s="100">
        <v>8</v>
      </c>
      <c r="BC103" s="100">
        <v>4713.5999999999995</v>
      </c>
      <c r="BD103" s="100">
        <v>9</v>
      </c>
      <c r="BE103" s="100">
        <v>5302.7999999999993</v>
      </c>
      <c r="BF103" s="100">
        <v>11</v>
      </c>
      <c r="BG103" s="100">
        <v>6481.1999999999989</v>
      </c>
      <c r="BH103" s="100">
        <v>10</v>
      </c>
      <c r="BI103" s="100">
        <v>5891.9999999999991</v>
      </c>
      <c r="BJ103" s="100">
        <v>10</v>
      </c>
      <c r="BK103" s="100">
        <v>5891.9999999999991</v>
      </c>
      <c r="BL103" s="100">
        <v>9</v>
      </c>
      <c r="BM103" s="100">
        <v>5302.7999999999993</v>
      </c>
      <c r="BN103" s="100">
        <v>9</v>
      </c>
      <c r="BO103" s="100">
        <v>5302.7999999999993</v>
      </c>
      <c r="BP103" s="100">
        <v>10</v>
      </c>
      <c r="BQ103" s="100">
        <v>5891.9999999999991</v>
      </c>
      <c r="BR103" s="100">
        <v>8</v>
      </c>
      <c r="BS103" s="100">
        <v>4713.5999999999995</v>
      </c>
      <c r="BT103" s="100">
        <v>8</v>
      </c>
      <c r="BU103" s="100">
        <v>4713.5999999999995</v>
      </c>
      <c r="BV103" s="100">
        <v>7</v>
      </c>
      <c r="BW103" s="100">
        <v>4124.3999999999996</v>
      </c>
      <c r="BX103" s="100">
        <v>8</v>
      </c>
      <c r="BY103" s="100">
        <v>4713.5999999999995</v>
      </c>
      <c r="BZ103" s="100">
        <v>12</v>
      </c>
      <c r="CA103" s="100">
        <v>7070.4</v>
      </c>
      <c r="CB103" s="100">
        <v>11</v>
      </c>
      <c r="CC103" s="100">
        <v>6481.1999999999989</v>
      </c>
      <c r="CD103" s="100">
        <v>8</v>
      </c>
      <c r="CE103" s="100">
        <v>4713.5999999999995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9</v>
      </c>
      <c r="CK103" s="100">
        <v>5302.7999999999993</v>
      </c>
      <c r="CL103" s="100">
        <v>7</v>
      </c>
      <c r="CM103" s="100">
        <v>4124.3999999999996</v>
      </c>
      <c r="CN103" s="100">
        <v>9</v>
      </c>
      <c r="CO103" s="100">
        <v>5302.7999999999993</v>
      </c>
      <c r="CP103" s="100">
        <v>6</v>
      </c>
      <c r="CQ103" s="100">
        <v>3535.2</v>
      </c>
      <c r="CR103" s="100">
        <v>7.4251497005988067</v>
      </c>
      <c r="CS103" s="100">
        <v>4374.8982035928166</v>
      </c>
      <c r="CT103" s="100">
        <v>4.6913187982842857</v>
      </c>
      <c r="CU103" s="100">
        <v>2764.1250359491009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9</v>
      </c>
      <c r="G104" s="100">
        <v>5691.5999999999995</v>
      </c>
      <c r="H104" s="100">
        <v>9.0434782608695645</v>
      </c>
      <c r="I104" s="100">
        <v>5719.0956521739126</v>
      </c>
      <c r="J104" s="100">
        <v>9.8122065727699539</v>
      </c>
      <c r="K104" s="100">
        <v>6205.2394366197186</v>
      </c>
      <c r="L104" s="100">
        <v>10</v>
      </c>
      <c r="M104" s="100">
        <v>6324</v>
      </c>
      <c r="N104" s="100">
        <v>10.295566502463055</v>
      </c>
      <c r="O104" s="100">
        <v>6510.9162561576359</v>
      </c>
      <c r="P104" s="100">
        <v>5</v>
      </c>
      <c r="Q104" s="100">
        <v>3162</v>
      </c>
      <c r="R104" s="100">
        <v>8</v>
      </c>
      <c r="S104" s="100">
        <v>5059.2</v>
      </c>
      <c r="T104" s="100">
        <v>9</v>
      </c>
      <c r="U104" s="100">
        <v>5691.5999999999995</v>
      </c>
      <c r="V104" s="100">
        <v>7</v>
      </c>
      <c r="W104" s="100">
        <v>4426.8</v>
      </c>
      <c r="X104" s="100">
        <v>8</v>
      </c>
      <c r="Y104" s="100">
        <v>5059.2</v>
      </c>
      <c r="Z104" s="100">
        <v>6</v>
      </c>
      <c r="AA104" s="100">
        <v>3794.3999999999996</v>
      </c>
      <c r="AB104" s="100">
        <v>11</v>
      </c>
      <c r="AC104" s="100">
        <v>6956.4</v>
      </c>
      <c r="AD104" s="100">
        <v>9</v>
      </c>
      <c r="AE104" s="100">
        <v>5691.5999999999995</v>
      </c>
      <c r="AF104" s="100">
        <v>8</v>
      </c>
      <c r="AG104" s="100">
        <v>5059.2</v>
      </c>
      <c r="AH104" s="100">
        <v>9</v>
      </c>
      <c r="AI104" s="100">
        <v>5691.5999999999995</v>
      </c>
      <c r="AJ104" s="100">
        <v>11</v>
      </c>
      <c r="AK104" s="100">
        <v>6956.4</v>
      </c>
      <c r="AL104" s="100">
        <v>10</v>
      </c>
      <c r="AM104" s="100">
        <v>6324</v>
      </c>
      <c r="AN104" s="100">
        <v>6</v>
      </c>
      <c r="AO104" s="100">
        <v>3794.3999999999996</v>
      </c>
      <c r="AP104" s="100">
        <v>8</v>
      </c>
      <c r="AQ104" s="100">
        <v>5059.2</v>
      </c>
      <c r="AR104" s="100">
        <v>6</v>
      </c>
      <c r="AS104" s="100">
        <v>3794.3999999999996</v>
      </c>
      <c r="AT104" s="100">
        <v>11</v>
      </c>
      <c r="AU104" s="100">
        <v>6956.4</v>
      </c>
      <c r="AV104" s="100">
        <v>9</v>
      </c>
      <c r="AW104" s="100">
        <v>5691.5999999999995</v>
      </c>
      <c r="AX104" s="100">
        <v>6</v>
      </c>
      <c r="AY104" s="100">
        <v>3794.3999999999996</v>
      </c>
      <c r="AZ104" s="100">
        <v>7</v>
      </c>
      <c r="BA104" s="100">
        <v>4426.8</v>
      </c>
      <c r="BB104" s="100">
        <v>10</v>
      </c>
      <c r="BC104" s="100">
        <v>6324</v>
      </c>
      <c r="BD104" s="100">
        <v>9</v>
      </c>
      <c r="BE104" s="100">
        <v>5691.5999999999995</v>
      </c>
      <c r="BF104" s="100">
        <v>11</v>
      </c>
      <c r="BG104" s="100">
        <v>6956.4</v>
      </c>
      <c r="BH104" s="100">
        <v>11</v>
      </c>
      <c r="BI104" s="100">
        <v>6956.4</v>
      </c>
      <c r="BJ104" s="100">
        <v>10</v>
      </c>
      <c r="BK104" s="100">
        <v>6324</v>
      </c>
      <c r="BL104" s="100">
        <v>10</v>
      </c>
      <c r="BM104" s="100">
        <v>6324</v>
      </c>
      <c r="BN104" s="100">
        <v>9</v>
      </c>
      <c r="BO104" s="100">
        <v>5691.5999999999995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9</v>
      </c>
      <c r="BU104" s="100">
        <v>5691.5999999999995</v>
      </c>
      <c r="BV104" s="100">
        <v>7</v>
      </c>
      <c r="BW104" s="100">
        <v>4426.8</v>
      </c>
      <c r="BX104" s="100">
        <v>7</v>
      </c>
      <c r="BY104" s="100">
        <v>4426.8</v>
      </c>
      <c r="BZ104" s="100">
        <v>12</v>
      </c>
      <c r="CA104" s="100">
        <v>7588.7999999999993</v>
      </c>
      <c r="CB104" s="100">
        <v>11</v>
      </c>
      <c r="CC104" s="100">
        <v>6956.4</v>
      </c>
      <c r="CD104" s="100">
        <v>8</v>
      </c>
      <c r="CE104" s="100">
        <v>5059.2</v>
      </c>
      <c r="CF104" s="100">
        <v>10</v>
      </c>
      <c r="CG104" s="100">
        <v>6324</v>
      </c>
      <c r="CH104" s="100">
        <v>9</v>
      </c>
      <c r="CI104" s="100">
        <v>5691.5999999999995</v>
      </c>
      <c r="CJ104" s="100">
        <v>9</v>
      </c>
      <c r="CK104" s="100">
        <v>5691.5999999999995</v>
      </c>
      <c r="CL104" s="100">
        <v>7</v>
      </c>
      <c r="CM104" s="100">
        <v>4426.8</v>
      </c>
      <c r="CN104" s="100">
        <v>9</v>
      </c>
      <c r="CO104" s="100">
        <v>5691.5999999999995</v>
      </c>
      <c r="CP104" s="100">
        <v>6</v>
      </c>
      <c r="CQ104" s="100">
        <v>3794.3999999999996</v>
      </c>
      <c r="CR104" s="100">
        <v>5.5688622754491046</v>
      </c>
      <c r="CS104" s="100">
        <v>3521.7485029940135</v>
      </c>
      <c r="CT104" s="100">
        <v>4.6913187982842857</v>
      </c>
      <c r="CU104" s="100">
        <v>2966.7900080349823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10</v>
      </c>
      <c r="G105" s="100">
        <v>5568</v>
      </c>
      <c r="H105" s="100">
        <v>9.9478260869565212</v>
      </c>
      <c r="I105" s="100">
        <v>5538.949565217391</v>
      </c>
      <c r="J105" s="100">
        <v>9.8122065727699539</v>
      </c>
      <c r="K105" s="100">
        <v>5463.4366197183099</v>
      </c>
      <c r="L105" s="100">
        <v>9.0909090909090917</v>
      </c>
      <c r="M105" s="100">
        <v>5061.818181818182</v>
      </c>
      <c r="N105" s="100">
        <v>9.3596059113300498</v>
      </c>
      <c r="O105" s="100">
        <v>5211.4285714285716</v>
      </c>
      <c r="P105" s="100">
        <v>6</v>
      </c>
      <c r="Q105" s="100">
        <v>3340.7999999999997</v>
      </c>
      <c r="R105" s="100">
        <v>8</v>
      </c>
      <c r="S105" s="100">
        <v>4454.3999999999996</v>
      </c>
      <c r="T105" s="100">
        <v>9</v>
      </c>
      <c r="U105" s="100">
        <v>5011.2</v>
      </c>
      <c r="V105" s="100">
        <v>7</v>
      </c>
      <c r="W105" s="100">
        <v>3897.5999999999995</v>
      </c>
      <c r="X105" s="100">
        <v>9</v>
      </c>
      <c r="Y105" s="100">
        <v>5011.2</v>
      </c>
      <c r="Z105" s="100">
        <v>6</v>
      </c>
      <c r="AA105" s="100">
        <v>3340.7999999999997</v>
      </c>
      <c r="AB105" s="100">
        <v>9</v>
      </c>
      <c r="AC105" s="100">
        <v>5011.2</v>
      </c>
      <c r="AD105" s="100">
        <v>10</v>
      </c>
      <c r="AE105" s="100">
        <v>5568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11</v>
      </c>
      <c r="AK105" s="100">
        <v>6124.7999999999993</v>
      </c>
      <c r="AL105" s="100">
        <v>10</v>
      </c>
      <c r="AM105" s="100">
        <v>5568</v>
      </c>
      <c r="AN105" s="100">
        <v>6</v>
      </c>
      <c r="AO105" s="100">
        <v>3340.7999999999997</v>
      </c>
      <c r="AP105" s="100">
        <v>8</v>
      </c>
      <c r="AQ105" s="100">
        <v>4454.3999999999996</v>
      </c>
      <c r="AR105" s="100">
        <v>6</v>
      </c>
      <c r="AS105" s="100">
        <v>3340.7999999999997</v>
      </c>
      <c r="AT105" s="100">
        <v>12</v>
      </c>
      <c r="AU105" s="100">
        <v>6681.5999999999995</v>
      </c>
      <c r="AV105" s="100">
        <v>9</v>
      </c>
      <c r="AW105" s="100">
        <v>5011.2</v>
      </c>
      <c r="AX105" s="100">
        <v>7</v>
      </c>
      <c r="AY105" s="100">
        <v>3897.5999999999995</v>
      </c>
      <c r="AZ105" s="100">
        <v>8</v>
      </c>
      <c r="BA105" s="100">
        <v>4454.3999999999996</v>
      </c>
      <c r="BB105" s="100">
        <v>8</v>
      </c>
      <c r="BC105" s="100">
        <v>4454.3999999999996</v>
      </c>
      <c r="BD105" s="100">
        <v>8</v>
      </c>
      <c r="BE105" s="100">
        <v>4454.3999999999996</v>
      </c>
      <c r="BF105" s="100">
        <v>10</v>
      </c>
      <c r="BG105" s="100">
        <v>5568</v>
      </c>
      <c r="BH105" s="100">
        <v>10</v>
      </c>
      <c r="BI105" s="100">
        <v>5568</v>
      </c>
      <c r="BJ105" s="100">
        <v>12</v>
      </c>
      <c r="BK105" s="100">
        <v>6681.5999999999995</v>
      </c>
      <c r="BL105" s="100">
        <v>9</v>
      </c>
      <c r="BM105" s="100">
        <v>5011.2</v>
      </c>
      <c r="BN105" s="100">
        <v>9</v>
      </c>
      <c r="BO105" s="100">
        <v>5011.2</v>
      </c>
      <c r="BP105" s="100">
        <v>10</v>
      </c>
      <c r="BQ105" s="100">
        <v>5568</v>
      </c>
      <c r="BR105" s="100">
        <v>8</v>
      </c>
      <c r="BS105" s="100">
        <v>4454.3999999999996</v>
      </c>
      <c r="BT105" s="100">
        <v>8</v>
      </c>
      <c r="BU105" s="100">
        <v>4454.3999999999996</v>
      </c>
      <c r="BV105" s="100">
        <v>7</v>
      </c>
      <c r="BW105" s="100">
        <v>3897.5999999999995</v>
      </c>
      <c r="BX105" s="100">
        <v>8</v>
      </c>
      <c r="BY105" s="100">
        <v>4454.3999999999996</v>
      </c>
      <c r="BZ105" s="100">
        <v>11</v>
      </c>
      <c r="CA105" s="100">
        <v>6124.7999999999993</v>
      </c>
      <c r="CB105" s="100">
        <v>11</v>
      </c>
      <c r="CC105" s="100">
        <v>6124.7999999999993</v>
      </c>
      <c r="CD105" s="100">
        <v>7</v>
      </c>
      <c r="CE105" s="100">
        <v>3897.5999999999995</v>
      </c>
      <c r="CF105" s="100">
        <v>10</v>
      </c>
      <c r="CG105" s="100">
        <v>5568</v>
      </c>
      <c r="CH105" s="100">
        <v>9</v>
      </c>
      <c r="CI105" s="100">
        <v>5011.2</v>
      </c>
      <c r="CJ105" s="100">
        <v>9</v>
      </c>
      <c r="CK105" s="100">
        <v>5011.2</v>
      </c>
      <c r="CL105" s="100">
        <v>8</v>
      </c>
      <c r="CM105" s="100">
        <v>4454.3999999999996</v>
      </c>
      <c r="CN105" s="100">
        <v>8</v>
      </c>
      <c r="CO105" s="100">
        <v>4454.3999999999996</v>
      </c>
      <c r="CP105" s="100">
        <v>6</v>
      </c>
      <c r="CQ105" s="100">
        <v>3340.7999999999997</v>
      </c>
      <c r="CR105" s="100">
        <v>7.4251497005988067</v>
      </c>
      <c r="CS105" s="100">
        <v>4134.3233532934155</v>
      </c>
      <c r="CT105" s="100">
        <v>4.6913187982842857</v>
      </c>
      <c r="CU105" s="100">
        <v>2612.1263068846902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1069.4149137716749</v>
      </c>
      <c r="E109" s="100">
        <f>SUM(L$6:L$19)+SUM(N$6:N$19)+SUM(P$6:P$19)+SUM(R$6:R$19)</f>
        <v>997</v>
      </c>
      <c r="F109" s="100">
        <f>SUM(T$6:T$19)+SUM(V$6:V$19)+SUM(X$6:X$19)+SUM(Z$6:Z$19)</f>
        <v>1235</v>
      </c>
      <c r="G109" s="100">
        <f>SUM(AB$6:AB$19)+SUM(AD$6:AD$19)+SUM(AF$6:AF$19)+SUM(AH$6:AH$19)</f>
        <v>1202.5616856477056</v>
      </c>
      <c r="H109" s="100">
        <f>SUM(AJ$6:AJ$19)+SUM(AL$6:AL$19)+SUM(AN$6:AN$19)+SUM(AP$6:AP$19)</f>
        <v>1211</v>
      </c>
      <c r="I109" s="100">
        <f>SUM(AR$6:AR$19)+SUM(AT$6:AT$19)+SUM(AV$6:AV$19)+SUM(AX$6:AX$19)</f>
        <v>1211</v>
      </c>
      <c r="J109" s="100">
        <f>SUM(AZ$6:AZ$19)+SUM(BB$6:BB$19)+SUM(BD$6:BD$19)+SUM(BF$6:BF$19)</f>
        <v>1150.4486115729198</v>
      </c>
      <c r="K109" s="100">
        <f>SUM(BH$6:BH$19)+SUM(BJ$6:BJ$19)+SUM(BL$6:BL$19)+SUM(BN$6:BN$19)</f>
        <v>1190.4200058061645</v>
      </c>
      <c r="L109" s="100">
        <f>SUM(BP$6:BP$19)+SUM(BR$6:BR$19)+SUM(BT$6:BT$19)+SUM(BV$6:BV$19)</f>
        <v>1158.2533320008383</v>
      </c>
      <c r="M109" s="100">
        <f>SUM(BX$6:BX$19)+SUM(BZ$6:BZ$19)+SUM(CB$6:CB$19)+SUM(CD$6:CD$19)</f>
        <v>1240.0198660480737</v>
      </c>
      <c r="N109" s="100">
        <f>SUM(CF$6:CF$19)+SUM(CH$6:CH$19)+SUM(CJ$6:CJ$19)+SUM(CL$6:CL$19)</f>
        <v>1316.64448247767</v>
      </c>
      <c r="O109" s="100">
        <f>SUM(CN$6:CN$19)+SUM(CP$6:CP$19)+SUM(CR$6:CR$19)+SUM(CT$6:CT$19)</f>
        <v>1143.8689860637473</v>
      </c>
    </row>
    <row r="110" spans="2:99">
      <c r="C110" s="99" t="s">
        <v>127</v>
      </c>
      <c r="D110" s="100">
        <f>SUM(D$20:D$36)+SUM(F$20:F$36)+SUM(H$20:H$36)+SUM(J$20:J$36)</f>
        <v>1527.6799173407653</v>
      </c>
      <c r="E110" s="100">
        <f>SUM(L$20:L$36)+SUM(N$20:N$36)+SUM(P$20:P$36)+SUM(R$20:R$36)</f>
        <v>1555</v>
      </c>
      <c r="F110" s="100">
        <f>SUM(T$20:T$36)+SUM(V$20:V$36)+SUM(X$20:X$36)+SUM(Z$20:Z$36)</f>
        <v>1719</v>
      </c>
      <c r="G110" s="100">
        <f>SUM(AB$20:AB$36)+SUM(AD$20:AD$36)+SUM(AF$20:AF$36)+SUM(AH$20:AH$36)</f>
        <v>1531.4866925337856</v>
      </c>
      <c r="H110" s="100">
        <f>SUM(AJ$20:AJ$36)+SUM(AL$20:AL$36)+SUM(AN$20:AN$36)+SUM(AP$20:AP$36)</f>
        <v>1464</v>
      </c>
      <c r="I110" s="100">
        <f>SUM(AR$20:AR$36)+SUM(AT$20:AT$36)+SUM(AV$20:AV$36)+SUM(AX$20:AX$36)</f>
        <v>1398</v>
      </c>
      <c r="J110" s="100">
        <f>SUM(AZ$20:AZ$36)+SUM(BB$20:BB$36)+SUM(BD$20:BD$36)+SUM(BF$20:BF$36)</f>
        <v>1645.9474310497023</v>
      </c>
      <c r="K110" s="100">
        <f>SUM(BH$20:BH$36)+SUM(BJ$20:BJ$36)+SUM(BL$20:BL$36)+SUM(BN$20:BN$36)</f>
        <v>1461.5859980821497</v>
      </c>
      <c r="L110" s="100">
        <f>SUM(BP$20:BP$36)+SUM(BR$20:BR$36)+SUM(BT$20:BT$36)+SUM(BV$20:BV$36)</f>
        <v>1556.4788870151783</v>
      </c>
      <c r="M110" s="100">
        <f>SUM(BX$20:BX$36)+SUM(BZ$20:BZ$36)+SUM(CB$20:CB$36)+SUM(CD$20:CD$36)</f>
        <v>1553.9143405077652</v>
      </c>
      <c r="N110" s="100">
        <f>SUM(CF$20:CF$36)+SUM(CH$20:CH$36)+SUM(CJ$20:CJ$36)+SUM(CL$20:CL$36)</f>
        <v>1408.3713395066102</v>
      </c>
      <c r="O110" s="100">
        <f>SUM(CN$20:CN$36)+SUM(CP$20:CP$36)+SUM(CR$20:CR$36)+SUM(CT$20:CT$36)</f>
        <v>1503.1068331980207</v>
      </c>
    </row>
    <row r="111" spans="2:99">
      <c r="C111" s="99" t="s">
        <v>128</v>
      </c>
      <c r="D111" s="100">
        <f>SUM(D$37:D$48)+SUM(F$37:F$48)+SUM(H$37:H$48)+SUM(J$37:J$48)</f>
        <v>659.18981122750881</v>
      </c>
      <c r="E111" s="100">
        <f>SUM(L$37:L$48)+SUM(N$37:N$48)+SUM(P$37:P$48)+SUM(R$37:R$48)</f>
        <v>686</v>
      </c>
      <c r="F111" s="100">
        <f>SUM(T$37:T$48)+SUM(V$37:V$48)+SUM(X$37:X$48)+SUM(Z$37:Z$48)</f>
        <v>678</v>
      </c>
      <c r="G111" s="100">
        <f>SUM(AB$37:AB$48)+SUM(AD$37:AD$48)+SUM(AF$37:AF$48)+SUM(AH$37:AH$48)</f>
        <v>602.25492550830995</v>
      </c>
      <c r="H111" s="100">
        <f>SUM(AJ$37:AJ$48)+SUM(AL$37:AL$48)+SUM(AN$37:AN$48)+SUM(AP$37:AP$48)</f>
        <v>677</v>
      </c>
      <c r="I111" s="100">
        <f>SUM(AR$37:AR$48)+SUM(AT$37:AT$48)+SUM(AV$37:AV$48)+SUM(AX$37:AX$48)</f>
        <v>797</v>
      </c>
      <c r="J111" s="100">
        <f>SUM(AZ$37:AZ$48)+SUM(BB$37:BB$48)+SUM(BD$37:BD$48)+SUM(BF$37:BF$48)</f>
        <v>575.76354587350158</v>
      </c>
      <c r="K111" s="100">
        <f>SUM(BH$37:BH$48)+SUM(BJ$37:BJ$48)+SUM(BL$37:BL$48)+SUM(BN$37:BN$48)</f>
        <v>672.34188721223154</v>
      </c>
      <c r="L111" s="100">
        <f>SUM(BP$37:BP$48)+SUM(BR$37:BR$48)+SUM(BT$37:BT$48)+SUM(BV$37:BV$48)</f>
        <v>574.51472096108182</v>
      </c>
      <c r="M111" s="100">
        <f>SUM(BX$37:BX$48)+SUM(BZ$37:BZ$48)+SUM(CB$37:CB$48)+SUM(CD$37:CD$48)</f>
        <v>628.22028814493967</v>
      </c>
      <c r="N111" s="100">
        <f>SUM(CF$37:CF$48)+SUM(CH$37:CH$48)+SUM(CJ$37:CJ$48)+SUM(CL$37:CL$48)</f>
        <v>638.32735593567361</v>
      </c>
      <c r="O111" s="100">
        <f>SUM(CN$37:CN$48)+SUM(CP$37:CP$48)+SUM(CR$37:CR$48)+SUM(CT$37:CT$48)</f>
        <v>571.43566306759453</v>
      </c>
    </row>
    <row r="112" spans="2:99">
      <c r="C112" s="99" t="s">
        <v>129</v>
      </c>
      <c r="D112" s="100">
        <f>SUM(D$49:D$70)+SUM(F$49:F$70)+SUM(H$49:H$70)+SUM(J$49:J$70)</f>
        <v>1083.2459341754695</v>
      </c>
      <c r="E112" s="100">
        <f>SUM(L$49:L$70)+SUM(N$49:N$70)+SUM(P$49:P$70)+SUM(R$49:R$70)</f>
        <v>1172.5436632333185</v>
      </c>
      <c r="F112" s="100">
        <f>SUM(T$49:T$70)+SUM(V$49:V$70)+SUM(X$49:X$70)+SUM(Z$49:Z$70)</f>
        <v>1066</v>
      </c>
      <c r="G112" s="100">
        <f>SUM(AB$49:AB$70)+SUM(AD$49:AD$70)+SUM(AF$49:AF$70)+SUM(AH$49:AH$70)</f>
        <v>1089.8383064035299</v>
      </c>
      <c r="H112" s="100">
        <f>SUM(AJ$49:AJ$70)+SUM(AL$49:AL$70)+SUM(AN$49:AN$70)+SUM(AP$49:AP$70)</f>
        <v>957</v>
      </c>
      <c r="I112" s="100">
        <f>SUM(AR$49:AR$70)+SUM(AT$49:AT$70)+SUM(AV$49:AV$70)+SUM(AX$49:AX$70)</f>
        <v>1007</v>
      </c>
      <c r="J112" s="100">
        <f>SUM(AZ$49:AZ$70)+SUM(BB$49:BB$70)+SUM(BD$49:BD$70)+SUM(BF$49:BF$70)</f>
        <v>1168.2937983540814</v>
      </c>
      <c r="K112" s="100">
        <f>SUM(BH$49:BH$70)+SUM(BJ$49:BJ$70)+SUM(BL$49:BL$70)+SUM(BN$49:BN$70)</f>
        <v>1058.2951981725787</v>
      </c>
      <c r="L112" s="100">
        <f>SUM(BP$49:BP$70)+SUM(BR$49:BR$70)+SUM(BT$49:BT$70)+SUM(BV$49:BV$70)</f>
        <v>1121.2771790537338</v>
      </c>
      <c r="M112" s="100">
        <f>SUM(BX$49:BX$70)+SUM(BZ$49:BZ$70)+SUM(CB$49:CB$70)+SUM(CD$49:CD$70)</f>
        <v>903.36962433005419</v>
      </c>
      <c r="N112" s="100">
        <f>SUM(CF$49:CF$70)+SUM(CH$49:CH$70)+SUM(CJ$49:CJ$70)+SUM(CL$49:CL$70)</f>
        <v>1132.0619708685872</v>
      </c>
      <c r="O112" s="100">
        <f>SUM(CN$49:CN$70)+SUM(CP$49:CP$70)+SUM(CR$49:CR$70)+SUM(CT$49:CT$70)</f>
        <v>1021.9375221475191</v>
      </c>
    </row>
    <row r="113" spans="2:15">
      <c r="C113" s="99" t="s">
        <v>130</v>
      </c>
      <c r="D113" s="100">
        <f>SUM(D$71:D$86)+SUM(F$71:F$86)+SUM(H$71:H$86)+SUM(J$71:J$86)</f>
        <v>473</v>
      </c>
      <c r="E113" s="100">
        <f>SUM(L$71:L$86)+SUM(N$71:N$86)+SUM(P$71:P$86)+SUM(R$71:R$86)</f>
        <v>456</v>
      </c>
      <c r="F113" s="100">
        <f>SUM(T$71:T$86)+SUM(V$71:V$86)+SUM(X$71:X$86)+SUM(Z$71:Z$86)</f>
        <v>455</v>
      </c>
      <c r="G113" s="100">
        <f>SUM(AB$71:AB$86)+SUM(AD$71:AD$86)+SUM(AF$71:AF$86)+SUM(AH$71:AH$86)</f>
        <v>478</v>
      </c>
      <c r="H113" s="100">
        <f>SUM(AJ$71:AJ$86)+SUM(AL$71:AL$86)+SUM(AN$71:AN$86)+SUM(AP$71:AP$86)</f>
        <v>402</v>
      </c>
      <c r="I113" s="100">
        <f>SUM(AR$71:AR$86)+SUM(AT$71:AT$86)+SUM(AV$71:AV$86)+SUM(AX$71:AX$86)</f>
        <v>434</v>
      </c>
      <c r="J113" s="100">
        <f>SUM(AZ$71:AZ$86)+SUM(BB$71:BB$86)+SUM(BD$71:BD$86)+SUM(BF$71:BF$86)</f>
        <v>494</v>
      </c>
      <c r="K113" s="100">
        <f>SUM(BH$71:BH$86)+SUM(BJ$71:BJ$86)+SUM(BL$71:BL$86)+SUM(BN$71:BN$86)</f>
        <v>605</v>
      </c>
      <c r="L113" s="100">
        <f>SUM(BP$71:BP$86)+SUM(BR$71:BR$86)+SUM(BT$71:BT$86)+SUM(BV$71:BV$86)</f>
        <v>521</v>
      </c>
      <c r="M113" s="100">
        <f>SUM(BX$71:BX$86)+SUM(BZ$71:BZ$86)+SUM(CB$71:CB$86)+SUM(CD$71:CD$86)</f>
        <v>465</v>
      </c>
      <c r="N113" s="100">
        <f>SUM(CF$71:CF$86)+SUM(CH$71:CH$86)+SUM(CJ$71:CJ$86)+SUM(CL$71:CL$86)</f>
        <v>507</v>
      </c>
      <c r="O113" s="100">
        <f>SUM(CN$71:CN$86)+SUM(CP$71:CP$86)+SUM(CR$71:CR$86)+SUM(CT$71:CT$86)</f>
        <v>518</v>
      </c>
    </row>
    <row r="114" spans="2:15">
      <c r="C114" s="99" t="s">
        <v>131</v>
      </c>
      <c r="D114" s="100">
        <f>SUM(D$87:D$94)+SUM(F$87:F$94)+SUM(H$87:H$94)+SUM(J$87:J$94)</f>
        <v>297.53035313329252</v>
      </c>
      <c r="E114" s="100">
        <f>SUM(L$87:L$94)+SUM(N$87:N$94)+SUM(P$87:P$94)+SUM(R$87:R$94)</f>
        <v>234.19077474249889</v>
      </c>
      <c r="F114" s="100">
        <f>SUM(T$87:T$94)+SUM(V$87:V$94)+SUM(X$87:X$94)+SUM(Z$87:Z$94)</f>
        <v>265</v>
      </c>
      <c r="G114" s="100">
        <f>SUM(AB$87:AB$94)+SUM(AD$87:AD$94)+SUM(AF$87:AF$94)+SUM(AH$87:AH$94)</f>
        <v>276</v>
      </c>
      <c r="H114" s="100">
        <f>SUM(AJ$87:AJ$94)+SUM(AL$87:AL$94)+SUM(AN$87:AN$94)+SUM(AP$87:AP$94)</f>
        <v>267</v>
      </c>
      <c r="I114" s="100">
        <f>SUM(AR$87:AR$94)+SUM(AT$87:AT$94)+SUM(AV$87:AV$94)+SUM(AX$87:AX$94)</f>
        <v>304</v>
      </c>
      <c r="J114" s="100">
        <f>SUM(AZ$87:AZ$94)+SUM(BB$87:BB$94)+SUM(BD$87:BD$94)+SUM(BF$87:BF$94)</f>
        <v>317</v>
      </c>
      <c r="K114" s="100">
        <f>SUM(BH$87:BH$94)+SUM(BJ$87:BJ$94)+SUM(BL$87:BL$94)+SUM(BN$87:BN$94)</f>
        <v>292</v>
      </c>
      <c r="L114" s="100">
        <f>SUM(BP$87:BP$94)+SUM(BR$87:BR$94)+SUM(BT$87:BT$94)+SUM(BV$87:BV$94)</f>
        <v>273</v>
      </c>
      <c r="M114" s="100">
        <f>SUM(BX$87:BX$94)+SUM(BZ$87:BZ$94)+SUM(CB$87:CB$94)+SUM(CD$87:CD$94)</f>
        <v>334</v>
      </c>
      <c r="N114" s="100">
        <f>SUM(CF$87:CF$94)+SUM(CH$87:CH$94)+SUM(CJ$87:CJ$94)+SUM(CL$87:CL$94)</f>
        <v>263</v>
      </c>
      <c r="O114" s="100">
        <f>SUM(CN$87:CN$94)+SUM(CP$87:CP$94)+SUM(CR$87:CR$94)+SUM(CT$87:CT$94)</f>
        <v>227.53870465044668</v>
      </c>
    </row>
    <row r="115" spans="2:15">
      <c r="C115" s="99" t="s">
        <v>132</v>
      </c>
      <c r="D115" s="100">
        <f>SUM(D$95:D$105)+SUM(F$95:F$105)+SUM(H$95:H$105)+SUM(J$95:J$105)</f>
        <v>370.58215962441318</v>
      </c>
      <c r="E115" s="100">
        <f>SUM(L$95:L$105)+SUM(N$95:N$105)+SUM(P$95:P$105)+SUM(R$95:R$105)</f>
        <v>348.26556202418271</v>
      </c>
      <c r="F115" s="100">
        <f>SUM(T$95:T$105)+SUM(V$95:V$105)+SUM(X$95:X$105)+SUM(Z$95:Z$105)</f>
        <v>319</v>
      </c>
      <c r="G115" s="100">
        <f>SUM(AB$95:AB$105)+SUM(AD$95:AD$105)+SUM(AF$95:AF$105)+SUM(AH$95:AH$105)</f>
        <v>394</v>
      </c>
      <c r="H115" s="100">
        <f>SUM(AJ$95:AJ$105)+SUM(AL$95:AL$105)+SUM(AN$95:AN$105)+SUM(AP$95:AP$105)</f>
        <v>373</v>
      </c>
      <c r="I115" s="100">
        <f>SUM(AR$95:AR$105)+SUM(AT$95:AT$105)+SUM(AV$95:AV$105)+SUM(AX$95:AX$105)</f>
        <v>346</v>
      </c>
      <c r="J115" s="100">
        <f>SUM(AZ$95:AZ$105)+SUM(BB$95:BB$105)+SUM(BD$95:BD$105)+SUM(BF$95:BF$105)</f>
        <v>388</v>
      </c>
      <c r="K115" s="100">
        <f>SUM(BH$95:BH$105)+SUM(BJ$95:BJ$105)+SUM(BL$95:BL$105)+SUM(BN$95:BN$105)</f>
        <v>433</v>
      </c>
      <c r="L115" s="100">
        <f>SUM(BP$95:BP$105)+SUM(BR$95:BR$105)+SUM(BT$95:BT$105)+SUM(BV$95:BV$105)</f>
        <v>361</v>
      </c>
      <c r="M115" s="100">
        <f>SUM(BX$95:BX$105)+SUM(BZ$95:BZ$105)+SUM(CB$95:CB$105)+SUM(CD$95:CD$105)</f>
        <v>405</v>
      </c>
      <c r="N115" s="100">
        <f>SUM(CF$95:CF$105)+SUM(CH$95:CH$105)+SUM(CJ$95:CJ$105)+SUM(CL$95:CL$105)</f>
        <v>384</v>
      </c>
      <c r="O115" s="100">
        <f>SUM(CN$95:CN$105)+SUM(CP$95:CP$105)+SUM(CR$95:CR$105)+SUM(CT$95:CT$105)</f>
        <v>280.11685648343888</v>
      </c>
    </row>
    <row r="116" spans="2:15">
      <c r="C116" s="99" t="s">
        <v>278</v>
      </c>
      <c r="D116" s="100">
        <f t="shared" ref="D116:O116" si="0">SUM(D$109:D$115)</f>
        <v>5480.643089273125</v>
      </c>
      <c r="E116" s="100">
        <f t="shared" si="0"/>
        <v>5449.0000000000009</v>
      </c>
      <c r="F116" s="100">
        <f t="shared" si="0"/>
        <v>5737</v>
      </c>
      <c r="G116" s="100">
        <f t="shared" si="0"/>
        <v>5574.1416100933311</v>
      </c>
      <c r="H116" s="100">
        <f t="shared" si="0"/>
        <v>5351</v>
      </c>
      <c r="I116" s="100">
        <f t="shared" si="0"/>
        <v>5497</v>
      </c>
      <c r="J116" s="100">
        <f t="shared" si="0"/>
        <v>5739.4533868502058</v>
      </c>
      <c r="K116" s="100">
        <f t="shared" si="0"/>
        <v>5712.6430892731241</v>
      </c>
      <c r="L116" s="100">
        <f t="shared" si="0"/>
        <v>5565.5241190308325</v>
      </c>
      <c r="M116" s="100">
        <f t="shared" si="0"/>
        <v>5529.5241190308334</v>
      </c>
      <c r="N116" s="100">
        <f t="shared" si="0"/>
        <v>5649.4051487885408</v>
      </c>
      <c r="O116" s="100">
        <f t="shared" si="0"/>
        <v>5266.0045656107677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3636010.706823695</v>
      </c>
      <c r="E120" s="100">
        <f>E109*pricing!E6*2000</f>
        <v>3389799.9999999995</v>
      </c>
      <c r="F120" s="100">
        <f>F109*pricing!F6*2000</f>
        <v>4199000</v>
      </c>
      <c r="G120" s="100">
        <f>G109*pricing!G6*2000</f>
        <v>4088709.7312021991</v>
      </c>
      <c r="H120" s="100">
        <f>H109*pricing!H6*2000</f>
        <v>4117399.9999999995</v>
      </c>
      <c r="I120" s="100">
        <f>I109*pricing!I6*2000</f>
        <v>4117399.9999999995</v>
      </c>
      <c r="J120" s="100">
        <f>J109*pricing!J6*2000</f>
        <v>3911525.2793479273</v>
      </c>
      <c r="K120" s="100">
        <f>K109*pricing!K6*2000</f>
        <v>4047428.0197409587</v>
      </c>
      <c r="L120" s="100">
        <f>L109*pricing!L6*2000</f>
        <v>3938061.3288028501</v>
      </c>
      <c r="M120" s="100">
        <f>M109*pricing!M6*2000</f>
        <v>4216067.5445634509</v>
      </c>
      <c r="N120" s="100">
        <f>N109*pricing!N6*2000</f>
        <v>4476591.240424078</v>
      </c>
      <c r="O120" s="100">
        <f>O109*pricing!O6*2000</f>
        <v>3889154.552616741</v>
      </c>
    </row>
    <row r="121" spans="2:15">
      <c r="C121" s="99" t="s">
        <v>127</v>
      </c>
      <c r="D121" s="100">
        <f>D110*pricing!D7*2000</f>
        <v>6110719.669363061</v>
      </c>
      <c r="E121" s="100">
        <f>E110*pricing!E7*2000</f>
        <v>6220000</v>
      </c>
      <c r="F121" s="100">
        <f>F110*pricing!F7*2000</f>
        <v>6876000</v>
      </c>
      <c r="G121" s="100">
        <f>G110*pricing!G7*2000</f>
        <v>6125946.7701351419</v>
      </c>
      <c r="H121" s="100">
        <f>H110*pricing!H7*2000</f>
        <v>5856000</v>
      </c>
      <c r="I121" s="100">
        <f>I110*pricing!I7*2000</f>
        <v>5592000</v>
      </c>
      <c r="J121" s="100">
        <f>J110*pricing!J7*2000</f>
        <v>6583789.7241988098</v>
      </c>
      <c r="K121" s="100">
        <f>K110*pricing!K7*2000</f>
        <v>5846343.9923285991</v>
      </c>
      <c r="L121" s="100">
        <f>L110*pricing!L7*2000</f>
        <v>6225915.5480607133</v>
      </c>
      <c r="M121" s="100">
        <f>M110*pricing!M7*2000</f>
        <v>6215657.3620310612</v>
      </c>
      <c r="N121" s="100">
        <f>N110*pricing!N7*2000</f>
        <v>5633485.3580264412</v>
      </c>
      <c r="O121" s="100">
        <f>O110*pricing!O7*2000</f>
        <v>6012427.3327920828</v>
      </c>
    </row>
    <row r="122" spans="2:15">
      <c r="C122" s="99" t="s">
        <v>128</v>
      </c>
      <c r="D122" s="100">
        <f>D111*pricing!D8*2000</f>
        <v>2966354.1505237897</v>
      </c>
      <c r="E122" s="100">
        <f>E111*pricing!E8*2000</f>
        <v>3087000</v>
      </c>
      <c r="F122" s="100">
        <f>F111*pricing!F8*2000</f>
        <v>3051000</v>
      </c>
      <c r="G122" s="100">
        <f>G111*pricing!G8*2000</f>
        <v>2710147.1647873949</v>
      </c>
      <c r="H122" s="100">
        <f>H111*pricing!H8*2000</f>
        <v>3046500</v>
      </c>
      <c r="I122" s="100">
        <f>I111*pricing!I8*2000</f>
        <v>3586500</v>
      </c>
      <c r="J122" s="100">
        <f>J111*pricing!J8*2000</f>
        <v>2590935.956430757</v>
      </c>
      <c r="K122" s="100">
        <f>K111*pricing!K8*2000</f>
        <v>3025538.4924550415</v>
      </c>
      <c r="L122" s="100">
        <f>L111*pricing!L8*2000</f>
        <v>2585316.2443248685</v>
      </c>
      <c r="M122" s="100">
        <f>M111*pricing!M8*2000</f>
        <v>2826991.2966522286</v>
      </c>
      <c r="N122" s="100">
        <f>N111*pricing!N8*2000</f>
        <v>2872473.1017105314</v>
      </c>
      <c r="O122" s="100">
        <f>O111*pricing!O8*2000</f>
        <v>2571460.4838041756</v>
      </c>
    </row>
    <row r="123" spans="2:15">
      <c r="C123" s="99" t="s">
        <v>129</v>
      </c>
      <c r="D123" s="100">
        <f>D112*pricing!D9*2000</f>
        <v>4874606.7037896132</v>
      </c>
      <c r="E123" s="100">
        <f>E112*pricing!E9*2000</f>
        <v>5276446.4845499331</v>
      </c>
      <c r="F123" s="100">
        <f>F112*pricing!F9*2000</f>
        <v>4797000</v>
      </c>
      <c r="G123" s="100">
        <f>G112*pricing!G9*2000</f>
        <v>4904272.3788158847</v>
      </c>
      <c r="H123" s="100">
        <f>H112*pricing!H9*2000</f>
        <v>4306500</v>
      </c>
      <c r="I123" s="100">
        <f>I112*pricing!I9*2000</f>
        <v>4531500</v>
      </c>
      <c r="J123" s="100">
        <f>J112*pricing!J9*2000</f>
        <v>5257322.0925933663</v>
      </c>
      <c r="K123" s="100">
        <f>K112*pricing!K9*2000</f>
        <v>4762328.3917766036</v>
      </c>
      <c r="L123" s="100">
        <f>L112*pricing!L9*2000</f>
        <v>5045747.3057418019</v>
      </c>
      <c r="M123" s="100">
        <f>M112*pricing!M9*2000</f>
        <v>4065163.3094852441</v>
      </c>
      <c r="N123" s="100">
        <f>N112*pricing!N9*2000</f>
        <v>5094278.8689086428</v>
      </c>
      <c r="O123" s="100">
        <f>O112*pricing!O9*2000</f>
        <v>4598718.849663836</v>
      </c>
    </row>
    <row r="124" spans="2:15">
      <c r="C124" s="99" t="s">
        <v>130</v>
      </c>
      <c r="D124" s="100">
        <f>D113*pricing!D10*2000</f>
        <v>2365000</v>
      </c>
      <c r="E124" s="100">
        <f>E113*pricing!E10*2000</f>
        <v>2280000</v>
      </c>
      <c r="F124" s="100">
        <f>F113*pricing!F10*2000</f>
        <v>2275000</v>
      </c>
      <c r="G124" s="100">
        <f>G113*pricing!G10*2000</f>
        <v>2390000</v>
      </c>
      <c r="H124" s="100">
        <f>H113*pricing!H10*2000</f>
        <v>2010000</v>
      </c>
      <c r="I124" s="100">
        <f>I113*pricing!I10*2000</f>
        <v>2170000</v>
      </c>
      <c r="J124" s="100">
        <f>J113*pricing!J10*2000</f>
        <v>2470000</v>
      </c>
      <c r="K124" s="100">
        <f>K113*pricing!K10*2000</f>
        <v>3025000</v>
      </c>
      <c r="L124" s="100">
        <f>L113*pricing!L10*2000</f>
        <v>2605000</v>
      </c>
      <c r="M124" s="100">
        <f>M113*pricing!M10*2000</f>
        <v>2325000</v>
      </c>
      <c r="N124" s="100">
        <f>N113*pricing!N10*2000</f>
        <v>2535000</v>
      </c>
      <c r="O124" s="100">
        <f>O113*pricing!O10*2000</f>
        <v>2590000</v>
      </c>
    </row>
    <row r="125" spans="2:15">
      <c r="C125" s="99" t="s">
        <v>131</v>
      </c>
      <c r="D125" s="100">
        <f>D114*pricing!D11*2000</f>
        <v>1547157.8362931211</v>
      </c>
      <c r="E125" s="100">
        <f>E114*pricing!E11*2000</f>
        <v>1217792.0286609943</v>
      </c>
      <c r="F125" s="100">
        <f>F114*pricing!F11*2000</f>
        <v>1378000</v>
      </c>
      <c r="G125" s="100">
        <f>G114*pricing!G11*2000</f>
        <v>1435200</v>
      </c>
      <c r="H125" s="100">
        <f>H114*pricing!H11*2000</f>
        <v>1388400</v>
      </c>
      <c r="I125" s="100">
        <f>I114*pricing!I11*2000</f>
        <v>1580800</v>
      </c>
      <c r="J125" s="100">
        <f>J114*pricing!J11*2000</f>
        <v>1648400</v>
      </c>
      <c r="K125" s="100">
        <f>K114*pricing!K11*2000</f>
        <v>1518400</v>
      </c>
      <c r="L125" s="100">
        <f>L114*pricing!L11*2000</f>
        <v>1419600.0000000002</v>
      </c>
      <c r="M125" s="100">
        <f>M114*pricing!M11*2000</f>
        <v>1736800</v>
      </c>
      <c r="N125" s="100">
        <f>N114*pricing!N11*2000</f>
        <v>1367600.0000000002</v>
      </c>
      <c r="O125" s="100">
        <f>O114*pricing!O11*2000</f>
        <v>1183201.2641823229</v>
      </c>
    </row>
    <row r="126" spans="2:15">
      <c r="C126" s="99" t="s">
        <v>132</v>
      </c>
      <c r="D126" s="100">
        <f>D115*pricing!D12*2000</f>
        <v>2001143.6619718312</v>
      </c>
      <c r="E126" s="100">
        <f>E115*pricing!E12*2000</f>
        <v>1880634.0349305868</v>
      </c>
      <c r="F126" s="100">
        <f>F115*pricing!F12*2000</f>
        <v>1722600.0000000002</v>
      </c>
      <c r="G126" s="100">
        <f>G115*pricing!G12*2000</f>
        <v>2127600.0000000005</v>
      </c>
      <c r="H126" s="100">
        <f>H115*pricing!H12*2000</f>
        <v>2014200</v>
      </c>
      <c r="I126" s="100">
        <f>I115*pricing!I12*2000</f>
        <v>1868400</v>
      </c>
      <c r="J126" s="100">
        <f>J115*pricing!J12*2000</f>
        <v>2095200.0000000002</v>
      </c>
      <c r="K126" s="100">
        <f>K115*pricing!K12*2000</f>
        <v>2338200.0000000005</v>
      </c>
      <c r="L126" s="100">
        <f>L115*pricing!L12*2000</f>
        <v>1949400</v>
      </c>
      <c r="M126" s="100">
        <f>M115*pricing!M12*2000</f>
        <v>2187000</v>
      </c>
      <c r="N126" s="100">
        <f>N115*pricing!N12*2000</f>
        <v>2073600.0000000005</v>
      </c>
      <c r="O126" s="100">
        <f>O115*pricing!O12*2000</f>
        <v>1512631.02501057</v>
      </c>
    </row>
    <row r="127" spans="2:15">
      <c r="C127" s="99" t="s">
        <v>278</v>
      </c>
      <c r="D127" s="100">
        <f t="shared" ref="D127:O127" si="1">SUM(D$120:D$126)</f>
        <v>23500992.728765108</v>
      </c>
      <c r="E127" s="100">
        <f t="shared" si="1"/>
        <v>23351672.548141513</v>
      </c>
      <c r="F127" s="100">
        <f t="shared" si="1"/>
        <v>24298600</v>
      </c>
      <c r="G127" s="100">
        <f t="shared" si="1"/>
        <v>23781876.044940621</v>
      </c>
      <c r="H127" s="100">
        <f t="shared" si="1"/>
        <v>22739000</v>
      </c>
      <c r="I127" s="100">
        <f t="shared" si="1"/>
        <v>23446600</v>
      </c>
      <c r="J127" s="100">
        <f t="shared" si="1"/>
        <v>24557173.052570861</v>
      </c>
      <c r="K127" s="100">
        <f t="shared" si="1"/>
        <v>24563238.896301202</v>
      </c>
      <c r="L127" s="100">
        <f t="shared" si="1"/>
        <v>23769040.426930234</v>
      </c>
      <c r="M127" s="100">
        <f t="shared" si="1"/>
        <v>23572679.512731984</v>
      </c>
      <c r="N127" s="100">
        <f t="shared" si="1"/>
        <v>24053028.569069695</v>
      </c>
      <c r="O127" s="100">
        <f t="shared" si="1"/>
        <v>22357593.508069728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537430.23790217377</v>
      </c>
      <c r="E131" s="106">
        <f>SUM(M$6:M$19)+SUM(O$6:O$19)+SUM(Q$6:Q$19)+SUM(S$6:S$19)</f>
        <v>500564.39999999991</v>
      </c>
      <c r="F131" s="106">
        <f>SUM(U$6:U$19)+SUM(W$6:W$19)+SUM(Y$6:Y$19)+SUM(AA$6:AA$19)</f>
        <v>622138.79999999993</v>
      </c>
      <c r="G131" s="106">
        <f>SUM(AC$6:AC$19)+SUM(AE$6:AE$19)+SUM(AG$6:AG$19)+SUM(AI$6:AI$19)</f>
        <v>605996.8603632939</v>
      </c>
      <c r="H131" s="106">
        <f>SUM(AK$6:AK$19)+SUM(AM$6:AM$19)+SUM(AO$6:AO$19)+SUM(AQ$6:AQ$19)</f>
        <v>608454</v>
      </c>
      <c r="I131" s="106">
        <f>SUM(AS$6:AS$19)+SUM(AU$6:AU$19)+SUM(AW$6:AW$19)+SUM(AY$6:AY$19)</f>
        <v>609796.80000000005</v>
      </c>
      <c r="J131" s="106">
        <f>SUM(BA$6:BA$19)+SUM(BC$6:BC$19)+SUM(BE$6:BE$19)+SUM(BG$6:BG$19)</f>
        <v>580770.53324505489</v>
      </c>
      <c r="K131" s="106">
        <f>SUM(BI$6:BI$19)+SUM(BK$6:BK$19)+SUM(BM$6:BM$19)+SUM(BO$6:BO$19)</f>
        <v>598584.08558997745</v>
      </c>
      <c r="L131" s="106">
        <f>SUM(BQ$6:BQ$19)+SUM(BS$6:BS$19)+SUM(BU$6:BU$19)+SUM(BW$6:BW$19)</f>
        <v>579194.07330149389</v>
      </c>
      <c r="M131" s="106">
        <f>SUM(BY$6:BY$19)+SUM(CA$6:CA$19)+SUM(CC$6:CC$19)+SUM(CE$6:CE$19)</f>
        <v>623845.15636132867</v>
      </c>
      <c r="N131" s="106">
        <f>SUM(CG$6:CG$19)+SUM(CI$6:CI$19)+SUM(CK$6:CK$19)+SUM(CM$6:CM$19)</f>
        <v>660131.66982685728</v>
      </c>
      <c r="O131" s="106">
        <f>SUM(CO$6:CO$19)+SUM(CQ$6:CQ$19)+SUM(CS$6:CS$19)+SUM(CU$6:CU$19)</f>
        <v>575985.42767189082</v>
      </c>
    </row>
    <row r="132" spans="2:15">
      <c r="C132" s="105" t="s">
        <v>127</v>
      </c>
      <c r="D132" s="106">
        <f>SUM(E$20:E$36)+SUM(G$20:G$36)+SUM(I$20:I$36)+SUM(K$20:K$36)</f>
        <v>651507.71706501825</v>
      </c>
      <c r="E132" s="106">
        <f>SUM(M$20:M$36)+SUM(O$20:O$36)+SUM(Q$20:Q$36)+SUM(S$20:S$36)</f>
        <v>657423.6</v>
      </c>
      <c r="F132" s="106">
        <f>SUM(U$20:U$36)+SUM(W$20:W$36)+SUM(Y$20:Y$36)+SUM(AA$20:AA$36)</f>
        <v>727209.6</v>
      </c>
      <c r="G132" s="106">
        <f>SUM(AC$20:AC$36)+SUM(AE$20:AE$36)+SUM(AG$20:AG$36)+SUM(AI$20:AI$36)</f>
        <v>652392.04609928629</v>
      </c>
      <c r="H132" s="106">
        <f>SUM(AK$20:AK$36)+SUM(AM$20:AM$36)+SUM(AO$20:AO$36)+SUM(AQ$20:AQ$36)</f>
        <v>625224</v>
      </c>
      <c r="I132" s="106">
        <f>SUM(AS$20:AS$36)+SUM(AU$20:AU$36)+SUM(AW$20:AW$36)+SUM(AY$20:AY$36)</f>
        <v>595591.19999999995</v>
      </c>
      <c r="J132" s="106">
        <f>SUM(BA$20:BA$36)+SUM(BC$20:BC$36)+SUM(BE$20:BE$36)+SUM(BG$20:BG$36)</f>
        <v>698854.31177601533</v>
      </c>
      <c r="K132" s="106">
        <f>SUM(BI$20:BI$36)+SUM(BK$20:BK$36)+SUM(BM$20:BM$36)+SUM(BO$20:BO$36)</f>
        <v>623075.31625342474</v>
      </c>
      <c r="L132" s="106">
        <f>SUM(BQ$20:BQ$36)+SUM(BS$20:BS$36)+SUM(BU$20:BU$36)+SUM(BW$20:BW$36)</f>
        <v>653839.52551845461</v>
      </c>
      <c r="M132" s="106">
        <f>SUM(BY$20:BY$36)+SUM(CA$20:CA$36)+SUM(CC$20:CC$36)+SUM(CE$20:CE$36)</f>
        <v>657294.03019731934</v>
      </c>
      <c r="N132" s="106">
        <f>SUM(CG$20:CG$36)+SUM(CI$20:CI$36)+SUM(CK$20:CK$36)+SUM(CM$20:CM$36)</f>
        <v>598558.67715330468</v>
      </c>
      <c r="O132" s="106">
        <f>SUM(CO$20:CO$36)+SUM(CQ$20:CQ$36)+SUM(CS$20:CS$36)+SUM(CU$20:CU$36)</f>
        <v>645605.26335489121</v>
      </c>
    </row>
    <row r="133" spans="2:15">
      <c r="C133" s="105" t="s">
        <v>128</v>
      </c>
      <c r="D133" s="106">
        <f>SUM(E$37:E$48)+SUM(G$37:G$48)+SUM(I$37:I$48)+SUM(K$37:K$48)</f>
        <v>690728.8899997744</v>
      </c>
      <c r="E133" s="106">
        <f>SUM(M$37:M$48)+SUM(O$37:O$48)+SUM(Q$37:Q$48)+SUM(S$37:S$48)</f>
        <v>718494.00000000012</v>
      </c>
      <c r="F133" s="106">
        <f>SUM(U$37:U$48)+SUM(W$37:W$48)+SUM(Y$37:Y$48)+SUM(AA$37:AA$48)</f>
        <v>709982.4</v>
      </c>
      <c r="G133" s="106">
        <f>SUM(AC$37:AC$48)+SUM(AE$37:AE$48)+SUM(AG$37:AG$48)+SUM(AI$37:AI$48)</f>
        <v>630787.98883710103</v>
      </c>
      <c r="H133" s="106">
        <f>SUM(AK$37:AK$48)+SUM(AM$37:AM$48)+SUM(AO$37:AO$48)+SUM(AQ$37:AQ$48)</f>
        <v>709345.20000000007</v>
      </c>
      <c r="I133" s="106">
        <f>SUM(AS$37:AS$48)+SUM(AU$37:AU$48)+SUM(AW$37:AW$48)+SUM(AY$37:AY$48)</f>
        <v>835224</v>
      </c>
      <c r="J133" s="106">
        <f>SUM(BA$37:BA$48)+SUM(BC$37:BC$48)+SUM(BE$37:BE$48)+SUM(BG$37:BG$48)</f>
        <v>603470.10686255142</v>
      </c>
      <c r="K133" s="106">
        <f>SUM(BI$37:BI$48)+SUM(BK$37:BK$48)+SUM(BM$37:BM$48)+SUM(BO$37:BO$48)</f>
        <v>706038.43016670772</v>
      </c>
      <c r="L133" s="106">
        <f>SUM(BQ$37:BQ$48)+SUM(BS$37:BS$48)+SUM(BU$37:BU$48)+SUM(BW$37:BW$48)</f>
        <v>601353.85346895759</v>
      </c>
      <c r="M133" s="106">
        <f>SUM(BY$37:BY$48)+SUM(CA$37:CA$48)+SUM(CC$37:CC$48)+SUM(CE$37:CE$48)</f>
        <v>660341.86677807744</v>
      </c>
      <c r="N133" s="106">
        <f>SUM(CG$37:CG$48)+SUM(CI$37:CI$48)+SUM(CK$37:CK$48)+SUM(CM$37:CM$48)</f>
        <v>668796.78390319459</v>
      </c>
      <c r="O133" s="106">
        <f>SUM(CO$37:CO$48)+SUM(CQ$37:CQ$48)+SUM(CS$37:CS$48)+SUM(CU$37:CU$48)</f>
        <v>599351.83541266108</v>
      </c>
    </row>
    <row r="134" spans="2:15">
      <c r="C134" s="105" t="s">
        <v>129</v>
      </c>
      <c r="D134" s="106">
        <f>SUM(E$49:E$70)+SUM(G$49:G$70)+SUM(I$49:I$70)+SUM(K$49:K$70)</f>
        <v>909813.6170157356</v>
      </c>
      <c r="E134" s="106">
        <f>SUM(M$49:M$70)+SUM(O$49:O$70)+SUM(Q$49:Q$70)+SUM(S$49:S$70)</f>
        <v>980075.55450067192</v>
      </c>
      <c r="F134" s="106">
        <f>SUM(U$49:U$70)+SUM(W$49:W$70)+SUM(Y$49:Y$70)+SUM(AA$49:AA$70)</f>
        <v>895442.39999999991</v>
      </c>
      <c r="G134" s="106">
        <f>SUM(AC$49:AC$70)+SUM(AE$49:AE$70)+SUM(AG$49:AG$70)+SUM(AI$49:AI$70)</f>
        <v>920314.66954919673</v>
      </c>
      <c r="H134" s="106">
        <f>SUM(AK$49:AK$70)+SUM(AM$49:AM$70)+SUM(AO$49:AO$70)+SUM(AQ$49:AQ$70)</f>
        <v>805827.6</v>
      </c>
      <c r="I134" s="106">
        <f>SUM(AS$49:AS$70)+SUM(AU$49:AU$70)+SUM(AW$49:AW$70)+SUM(AY$49:AY$70)</f>
        <v>844702.79999999981</v>
      </c>
      <c r="J134" s="106">
        <f>SUM(BA$49:BA$70)+SUM(BC$49:BC$70)+SUM(BE$49:BE$70)+SUM(BG$49:BG$70)</f>
        <v>989522.74171692994</v>
      </c>
      <c r="K134" s="106">
        <f>SUM(BI$49:BI$70)+SUM(BK$49:BK$70)+SUM(BM$49:BM$70)+SUM(BO$49:BO$70)</f>
        <v>886486.58284385619</v>
      </c>
      <c r="L134" s="106">
        <f>SUM(BQ$49:BQ$70)+SUM(BS$49:BS$70)+SUM(BU$49:BU$70)+SUM(BW$49:BW$70)</f>
        <v>943312.08879330964</v>
      </c>
      <c r="M134" s="106">
        <f>SUM(BY$49:BY$70)+SUM(CA$49:CA$70)+SUM(CC$49:CC$70)+SUM(CE$49:CE$70)</f>
        <v>766189.74919573136</v>
      </c>
      <c r="N134" s="106">
        <f>SUM(CG$49:CG$70)+SUM(CI$49:CI$70)+SUM(CK$49:CK$70)+SUM(CM$49:CM$70)</f>
        <v>958154.08627787628</v>
      </c>
      <c r="O134" s="106">
        <f>SUM(CO$49:CO$70)+SUM(CQ$49:CQ$70)+SUM(CS$49:CS$70)+SUM(CU$49:CU$70)</f>
        <v>853880.34884460829</v>
      </c>
    </row>
    <row r="135" spans="2:15">
      <c r="C135" s="105" t="s">
        <v>130</v>
      </c>
      <c r="D135" s="106">
        <f>SUM(E$71:E$86)+SUM(G$71:G$86)+SUM(I$71:I$86)+SUM(K$71:K$86)</f>
        <v>263889.59999999998</v>
      </c>
      <c r="E135" s="106">
        <f>SUM(M$71:M$86)+SUM(O$71:O$86)+SUM(Q$71:Q$86)+SUM(S$71:S$86)</f>
        <v>254318.4</v>
      </c>
      <c r="F135" s="106">
        <f>SUM(U$71:U$86)+SUM(W$71:W$86)+SUM(Y$71:Y$86)+SUM(AA$71:AA$86)</f>
        <v>252644.40000000002</v>
      </c>
      <c r="G135" s="106">
        <f>SUM(AC$71:AC$86)+SUM(AE$71:AE$86)+SUM(AG$71:AG$86)+SUM(AI$71:AI$86)</f>
        <v>266532</v>
      </c>
      <c r="H135" s="106">
        <f>SUM(AK$71:AK$86)+SUM(AM$71:AM$86)+SUM(AO$71:AO$86)+SUM(AQ$71:AQ$86)</f>
        <v>224741.99999999997</v>
      </c>
      <c r="I135" s="106">
        <f>SUM(AS$71:AS$86)+SUM(AU$71:AU$86)+SUM(AW$71:AW$86)+SUM(AY$71:AY$86)</f>
        <v>242581.2</v>
      </c>
      <c r="J135" s="106">
        <f>SUM(BA$71:BA$86)+SUM(BC$71:BC$86)+SUM(BE$71:BE$86)+SUM(BG$71:BG$86)</f>
        <v>274988.40000000002</v>
      </c>
      <c r="K135" s="106">
        <f>SUM(BI$71:BI$86)+SUM(BK$71:BK$86)+SUM(BM$71:BM$86)+SUM(BO$71:BO$86)</f>
        <v>338367.60000000003</v>
      </c>
      <c r="L135" s="106">
        <f>SUM(BQ$71:BQ$86)+SUM(BS$71:BS$86)+SUM(BU$71:BU$86)+SUM(BW$71:BW$86)</f>
        <v>290508</v>
      </c>
      <c r="M135" s="106">
        <f>SUM(BY$71:BY$86)+SUM(CA$71:CA$86)+SUM(CC$71:CC$86)+SUM(CE$71:CE$86)</f>
        <v>259282.8</v>
      </c>
      <c r="N135" s="106">
        <f>SUM(CG$71:CG$86)+SUM(CI$71:CI$86)+SUM(CK$71:CK$86)+SUM(CM$71:CM$86)</f>
        <v>283424.40000000002</v>
      </c>
      <c r="O135" s="106">
        <f>SUM(CO$71:CO$86)+SUM(CQ$71:CQ$86)+SUM(CS$71:CS$86)+SUM(CU$71:CU$86)</f>
        <v>288591.59999999998</v>
      </c>
    </row>
    <row r="136" spans="2:15">
      <c r="C136" s="105" t="s">
        <v>131</v>
      </c>
      <c r="D136" s="106">
        <f>SUM(E$87:E$94)+SUM(G$87:G$94)+SUM(I$87:I$94)+SUM(K$87:K$94)</f>
        <v>298686.17156154319</v>
      </c>
      <c r="E136" s="106">
        <f>SUM(M$87:M$94)+SUM(O$87:O$94)+SUM(Q$87:Q$94)+SUM(S$87:S$94)</f>
        <v>234968.48652037617</v>
      </c>
      <c r="F136" s="106">
        <f>SUM(U$87:U$94)+SUM(W$87:W$94)+SUM(Y$87:Y$94)+SUM(AA$87:AA$94)</f>
        <v>265840.8</v>
      </c>
      <c r="G136" s="106">
        <f>SUM(AC$87:AC$94)+SUM(AE$87:AE$94)+SUM(AG$87:AG$94)+SUM(AI$87:AI$94)</f>
        <v>277363.20000000001</v>
      </c>
      <c r="H136" s="106">
        <f>SUM(AK$87:AK$94)+SUM(AM$87:AM$94)+SUM(AO$87:AO$94)+SUM(AQ$87:AQ$94)</f>
        <v>267468</v>
      </c>
      <c r="I136" s="106">
        <f>SUM(AS$87:AS$94)+SUM(AU$87:AU$94)+SUM(AW$87:AW$94)+SUM(AY$87:AY$94)</f>
        <v>304896</v>
      </c>
      <c r="J136" s="106">
        <f>SUM(BA$87:BA$94)+SUM(BC$87:BC$94)+SUM(BE$87:BE$94)+SUM(BG$87:BG$94)</f>
        <v>318783.60000000003</v>
      </c>
      <c r="K136" s="106">
        <f>SUM(BI$87:BI$94)+SUM(BK$87:BK$94)+SUM(BM$87:BM$94)+SUM(BO$87:BO$94)</f>
        <v>293578.79999999993</v>
      </c>
      <c r="L136" s="106">
        <f>SUM(BQ$87:BQ$94)+SUM(BS$87:BS$94)+SUM(BU$87:BU$94)+SUM(BW$87:BW$94)</f>
        <v>273888</v>
      </c>
      <c r="M136" s="106">
        <f>SUM(BY$87:BY$94)+SUM(CA$87:CA$94)+SUM(CC$87:CC$94)+SUM(CE$87:CE$94)</f>
        <v>335167.2</v>
      </c>
      <c r="N136" s="106">
        <f>SUM(CG$87:CG$94)+SUM(CI$87:CI$94)+SUM(CK$87:CK$94)+SUM(CM$87:CM$94)</f>
        <v>262898.39999999997</v>
      </c>
      <c r="O136" s="106">
        <f>SUM(CO$87:CO$94)+SUM(CQ$87:CQ$94)+SUM(CS$87:CS$94)+SUM(CU$87:CU$94)</f>
        <v>228851.9079506626</v>
      </c>
    </row>
    <row r="137" spans="2:15">
      <c r="C137" s="105" t="s">
        <v>132</v>
      </c>
      <c r="D137" s="106">
        <f>SUM(E$95:E$105)+SUM(G$95:G$105)+SUM(I$95:I$105)+SUM(K$95:K$105)</f>
        <v>288528.24382118799</v>
      </c>
      <c r="E137" s="106">
        <f>SUM(M$95:M$105)+SUM(O$95:O$105)+SUM(Q$95:Q$105)+SUM(S$95:S$105)</f>
        <v>275456.03940886696</v>
      </c>
      <c r="F137" s="106">
        <f>SUM(U$95:U$105)+SUM(W$95:W$105)+SUM(Y$95:Y$105)+SUM(AA$95:AA$105)</f>
        <v>249630.00000000003</v>
      </c>
      <c r="G137" s="106">
        <f>SUM(AC$95:AC$105)+SUM(AE$95:AE$105)+SUM(AG$95:AG$105)+SUM(AI$95:AI$105)</f>
        <v>308424</v>
      </c>
      <c r="H137" s="106">
        <f>SUM(AK$95:AK$105)+SUM(AM$95:AM$105)+SUM(AO$95:AO$105)+SUM(AQ$95:AQ$105)</f>
        <v>293310</v>
      </c>
      <c r="I137" s="106">
        <f>SUM(AS$95:AS$105)+SUM(AU$95:AU$105)+SUM(AW$95:AW$105)+SUM(AY$95:AY$105)</f>
        <v>271398</v>
      </c>
      <c r="J137" s="106">
        <f>SUM(BA$95:BA$105)+SUM(BC$95:BC$105)+SUM(BE$95:BE$105)+SUM(BG$95:BG$105)</f>
        <v>307322.39999999997</v>
      </c>
      <c r="K137" s="106">
        <f>SUM(BI$95:BI$105)+SUM(BK$95:BK$105)+SUM(BM$95:BM$105)+SUM(BO$95:BO$105)</f>
        <v>338856</v>
      </c>
      <c r="L137" s="106">
        <f>SUM(BQ$95:BQ$105)+SUM(BS$95:BS$105)+SUM(BU$95:BU$105)+SUM(BW$95:BW$105)</f>
        <v>286354.8</v>
      </c>
      <c r="M137" s="106">
        <f>SUM(BY$95:BY$105)+SUM(CA$95:CA$105)+SUM(CC$95:CC$105)+SUM(CE$95:CE$105)</f>
        <v>313250.40000000002</v>
      </c>
      <c r="N137" s="106">
        <f>SUM(CG$95:CG$105)+SUM(CI$95:CI$105)+SUM(CK$95:CK$105)+SUM(CM$95:CM$105)</f>
        <v>305467.2</v>
      </c>
      <c r="O137" s="106">
        <f>SUM(CO$95:CO$105)+SUM(CQ$95:CQ$105)+SUM(CS$95:CS$105)+SUM(CU$95:CU$105)</f>
        <v>222336.43401334278</v>
      </c>
    </row>
    <row r="138" spans="2:15">
      <c r="C138" s="105" t="s">
        <v>278</v>
      </c>
      <c r="D138" s="100">
        <f t="shared" ref="D138:O138" si="2">SUM(D$131:D$137)</f>
        <v>3640584.4773654332</v>
      </c>
      <c r="E138" s="100">
        <f t="shared" si="2"/>
        <v>3621300.4804299148</v>
      </c>
      <c r="F138" s="100">
        <f t="shared" si="2"/>
        <v>3722888.3999999994</v>
      </c>
      <c r="G138" s="100">
        <f t="shared" si="2"/>
        <v>3661810.7648488781</v>
      </c>
      <c r="H138" s="100">
        <f t="shared" si="2"/>
        <v>3534370.8000000003</v>
      </c>
      <c r="I138" s="100">
        <f t="shared" si="2"/>
        <v>3704190</v>
      </c>
      <c r="J138" s="100">
        <f t="shared" si="2"/>
        <v>3773712.0936005511</v>
      </c>
      <c r="K138" s="100">
        <f t="shared" si="2"/>
        <v>3784986.8148539658</v>
      </c>
      <c r="L138" s="100">
        <f t="shared" si="2"/>
        <v>3628450.3410822153</v>
      </c>
      <c r="M138" s="100">
        <f t="shared" si="2"/>
        <v>3615371.2025324567</v>
      </c>
      <c r="N138" s="100">
        <f t="shared" si="2"/>
        <v>3737431.2171612326</v>
      </c>
      <c r="O138" s="100">
        <f t="shared" si="2"/>
        <v>3414602.8172480571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10</v>
      </c>
      <c r="E6" s="100">
        <v>5784</v>
      </c>
      <c r="F6" s="100">
        <v>6</v>
      </c>
      <c r="G6" s="100">
        <v>3470.3999999999996</v>
      </c>
      <c r="H6" s="100">
        <v>9</v>
      </c>
      <c r="I6" s="100">
        <v>5205.5999999999995</v>
      </c>
      <c r="J6" s="100">
        <v>10</v>
      </c>
      <c r="K6" s="100">
        <v>5784</v>
      </c>
      <c r="L6" s="100">
        <v>9</v>
      </c>
      <c r="M6" s="100">
        <v>5205.5999999999995</v>
      </c>
      <c r="N6" s="100">
        <v>5.35931633439791</v>
      </c>
      <c r="O6" s="100">
        <v>3099.8285678157508</v>
      </c>
      <c r="P6" s="100">
        <v>10</v>
      </c>
      <c r="Q6" s="100">
        <v>5784</v>
      </c>
      <c r="R6" s="100">
        <v>7.7547544318198032</v>
      </c>
      <c r="S6" s="100">
        <v>4485.3499633645743</v>
      </c>
      <c r="T6" s="100">
        <v>10</v>
      </c>
      <c r="U6" s="100">
        <v>5784</v>
      </c>
      <c r="V6" s="100">
        <v>10</v>
      </c>
      <c r="W6" s="100">
        <v>5784</v>
      </c>
      <c r="X6" s="100">
        <v>6.4329032652829445</v>
      </c>
      <c r="Y6" s="100">
        <v>3720.7912486396549</v>
      </c>
      <c r="Z6" s="100">
        <v>6</v>
      </c>
      <c r="AA6" s="100">
        <v>3470.3999999999996</v>
      </c>
      <c r="AB6" s="100">
        <v>6</v>
      </c>
      <c r="AC6" s="100">
        <v>3470.3999999999996</v>
      </c>
      <c r="AD6" s="100">
        <v>9</v>
      </c>
      <c r="AE6" s="100">
        <v>5205.5999999999995</v>
      </c>
      <c r="AF6" s="100">
        <v>8.5506710125000058</v>
      </c>
      <c r="AG6" s="100">
        <v>4945.708113630003</v>
      </c>
      <c r="AH6" s="100">
        <v>11</v>
      </c>
      <c r="AI6" s="100">
        <v>6362.4</v>
      </c>
      <c r="AJ6" s="100">
        <v>6</v>
      </c>
      <c r="AK6" s="100">
        <v>3470.3999999999996</v>
      </c>
      <c r="AL6" s="100">
        <v>4.8555751793169364</v>
      </c>
      <c r="AM6" s="100">
        <v>2808.4646837169157</v>
      </c>
      <c r="AN6" s="100">
        <v>10</v>
      </c>
      <c r="AO6" s="100">
        <v>5784</v>
      </c>
      <c r="AP6" s="100">
        <v>8</v>
      </c>
      <c r="AQ6" s="100">
        <v>4627.2</v>
      </c>
      <c r="AR6" s="100">
        <v>10</v>
      </c>
      <c r="AS6" s="100">
        <v>5784</v>
      </c>
      <c r="AT6" s="100">
        <v>7</v>
      </c>
      <c r="AU6" s="100">
        <v>4048.7999999999997</v>
      </c>
      <c r="AV6" s="100">
        <v>9</v>
      </c>
      <c r="AW6" s="100">
        <v>5205.5999999999995</v>
      </c>
      <c r="AX6" s="100">
        <v>7</v>
      </c>
      <c r="AY6" s="100">
        <v>4048.7999999999997</v>
      </c>
      <c r="AZ6" s="100">
        <v>4.6167265869987375</v>
      </c>
      <c r="BA6" s="100">
        <v>2670.3146579200697</v>
      </c>
      <c r="BB6" s="100">
        <v>13</v>
      </c>
      <c r="BC6" s="100">
        <v>7519.2</v>
      </c>
      <c r="BD6" s="100">
        <v>8</v>
      </c>
      <c r="BE6" s="100">
        <v>4627.2</v>
      </c>
      <c r="BF6" s="100">
        <v>12</v>
      </c>
      <c r="BG6" s="100">
        <v>6940.7999999999993</v>
      </c>
      <c r="BH6" s="100">
        <v>3.3234468545591849</v>
      </c>
      <c r="BI6" s="100">
        <v>1922.2816606770325</v>
      </c>
      <c r="BJ6" s="100">
        <v>8</v>
      </c>
      <c r="BK6" s="100">
        <v>4627.2</v>
      </c>
      <c r="BL6" s="100">
        <v>7</v>
      </c>
      <c r="BM6" s="100">
        <v>4048.7999999999997</v>
      </c>
      <c r="BN6" s="100">
        <v>13</v>
      </c>
      <c r="BO6" s="100">
        <v>7519.2</v>
      </c>
      <c r="BP6" s="100">
        <v>12</v>
      </c>
      <c r="BQ6" s="100">
        <v>6940.7999999999993</v>
      </c>
      <c r="BR6" s="100">
        <v>1.2340729267685886</v>
      </c>
      <c r="BS6" s="100">
        <v>713.78778084295163</v>
      </c>
      <c r="BT6" s="100">
        <v>6.6776390917815585</v>
      </c>
      <c r="BU6" s="100">
        <v>3862.3464506864534</v>
      </c>
      <c r="BV6" s="100">
        <v>9</v>
      </c>
      <c r="BW6" s="100">
        <v>5205.5999999999995</v>
      </c>
      <c r="BX6" s="100">
        <v>12</v>
      </c>
      <c r="BY6" s="100">
        <v>6940.7999999999993</v>
      </c>
      <c r="BZ6" s="100">
        <v>6</v>
      </c>
      <c r="CA6" s="100">
        <v>3470.3999999999996</v>
      </c>
      <c r="CB6" s="100">
        <v>4.4087592638636961</v>
      </c>
      <c r="CC6" s="100">
        <v>2550.0263582187617</v>
      </c>
      <c r="CD6" s="100">
        <v>4.0602442043434295E-16</v>
      </c>
      <c r="CE6" s="100">
        <v>2.3484452477922393E-13</v>
      </c>
      <c r="CF6" s="100">
        <v>11</v>
      </c>
      <c r="CG6" s="100">
        <v>6362.4</v>
      </c>
      <c r="CH6" s="100">
        <v>10</v>
      </c>
      <c r="CI6" s="100">
        <v>5784</v>
      </c>
      <c r="CJ6" s="100">
        <v>8</v>
      </c>
      <c r="CK6" s="100">
        <v>4627.2</v>
      </c>
      <c r="CL6" s="100">
        <v>11</v>
      </c>
      <c r="CM6" s="100">
        <v>6362.4</v>
      </c>
      <c r="CN6" s="100">
        <v>7</v>
      </c>
      <c r="CO6" s="100">
        <v>4048.7999999999997</v>
      </c>
      <c r="CP6" s="100">
        <v>8</v>
      </c>
      <c r="CQ6" s="100">
        <v>4627.2</v>
      </c>
      <c r="CR6" s="100">
        <v>10</v>
      </c>
      <c r="CS6" s="100">
        <v>5784</v>
      </c>
      <c r="CT6" s="100">
        <v>7.993922685688867</v>
      </c>
      <c r="CU6" s="100">
        <v>4623.6848814024406</v>
      </c>
    </row>
    <row r="7" spans="1:99">
      <c r="C7" s="99" t="s">
        <v>173</v>
      </c>
      <c r="D7" s="100">
        <v>11</v>
      </c>
      <c r="E7" s="100">
        <v>8672.4</v>
      </c>
      <c r="F7" s="100">
        <v>6</v>
      </c>
      <c r="G7" s="100">
        <v>4730.3999999999996</v>
      </c>
      <c r="H7" s="100">
        <v>10</v>
      </c>
      <c r="I7" s="100">
        <v>7884</v>
      </c>
      <c r="J7" s="100">
        <v>8</v>
      </c>
      <c r="K7" s="100">
        <v>6307.2</v>
      </c>
      <c r="L7" s="100">
        <v>10</v>
      </c>
      <c r="M7" s="100">
        <v>7884</v>
      </c>
      <c r="N7" s="100">
        <v>5.35931633439791</v>
      </c>
      <c r="O7" s="100">
        <v>4225.2849980393121</v>
      </c>
      <c r="P7" s="100">
        <v>10</v>
      </c>
      <c r="Q7" s="100">
        <v>7884</v>
      </c>
      <c r="R7" s="100">
        <v>5.8160658238648519</v>
      </c>
      <c r="S7" s="100">
        <v>4585.3862955350487</v>
      </c>
      <c r="T7" s="100">
        <v>10</v>
      </c>
      <c r="U7" s="100">
        <v>7884</v>
      </c>
      <c r="V7" s="100">
        <v>10</v>
      </c>
      <c r="W7" s="100">
        <v>7884</v>
      </c>
      <c r="X7" s="100">
        <v>8.2708756267923569</v>
      </c>
      <c r="Y7" s="100">
        <v>6520.7583441630941</v>
      </c>
      <c r="Z7" s="100">
        <v>6</v>
      </c>
      <c r="AA7" s="100">
        <v>4730.3999999999996</v>
      </c>
      <c r="AB7" s="100">
        <v>6</v>
      </c>
      <c r="AC7" s="100">
        <v>4730.3999999999996</v>
      </c>
      <c r="AD7" s="100">
        <v>9</v>
      </c>
      <c r="AE7" s="100">
        <v>7095.5999999999995</v>
      </c>
      <c r="AF7" s="100">
        <v>7.6005964555555616</v>
      </c>
      <c r="AG7" s="100">
        <v>5992.3102455600047</v>
      </c>
      <c r="AH7" s="100">
        <v>10</v>
      </c>
      <c r="AI7" s="100">
        <v>7884</v>
      </c>
      <c r="AJ7" s="100">
        <v>7</v>
      </c>
      <c r="AK7" s="100">
        <v>5518.8</v>
      </c>
      <c r="AL7" s="100">
        <v>4.8555751793169364</v>
      </c>
      <c r="AM7" s="100">
        <v>3828.1354713734727</v>
      </c>
      <c r="AN7" s="100">
        <v>11</v>
      </c>
      <c r="AO7" s="100">
        <v>8672.4</v>
      </c>
      <c r="AP7" s="100">
        <v>9</v>
      </c>
      <c r="AQ7" s="100">
        <v>7095.5999999999995</v>
      </c>
      <c r="AR7" s="100">
        <v>10</v>
      </c>
      <c r="AS7" s="100">
        <v>7884</v>
      </c>
      <c r="AT7" s="100">
        <v>6</v>
      </c>
      <c r="AU7" s="100">
        <v>4730.3999999999996</v>
      </c>
      <c r="AV7" s="100">
        <v>9</v>
      </c>
      <c r="AW7" s="100">
        <v>7095.5999999999995</v>
      </c>
      <c r="AX7" s="100">
        <v>7</v>
      </c>
      <c r="AY7" s="100">
        <v>5518.8</v>
      </c>
      <c r="AZ7" s="100">
        <v>4.2319993714155091</v>
      </c>
      <c r="BA7" s="100">
        <v>3336.5083044239873</v>
      </c>
      <c r="BB7" s="100">
        <v>10</v>
      </c>
      <c r="BC7" s="100">
        <v>7884</v>
      </c>
      <c r="BD7" s="100">
        <v>8</v>
      </c>
      <c r="BE7" s="100">
        <v>6307.2</v>
      </c>
      <c r="BF7" s="100">
        <v>11</v>
      </c>
      <c r="BG7" s="100">
        <v>8672.4</v>
      </c>
      <c r="BH7" s="100">
        <v>3.7388777113790832</v>
      </c>
      <c r="BI7" s="100">
        <v>2947.731187651269</v>
      </c>
      <c r="BJ7" s="100">
        <v>8</v>
      </c>
      <c r="BK7" s="100">
        <v>6307.2</v>
      </c>
      <c r="BL7" s="100">
        <v>7</v>
      </c>
      <c r="BM7" s="100">
        <v>5518.8</v>
      </c>
      <c r="BN7" s="100">
        <v>12</v>
      </c>
      <c r="BO7" s="100">
        <v>9460.7999999999993</v>
      </c>
      <c r="BP7" s="100">
        <v>10</v>
      </c>
      <c r="BQ7" s="100">
        <v>7884</v>
      </c>
      <c r="BR7" s="100">
        <v>1.3574802194454476</v>
      </c>
      <c r="BS7" s="100">
        <v>1070.2374050107908</v>
      </c>
      <c r="BT7" s="100">
        <v>5.9356791926947183</v>
      </c>
      <c r="BU7" s="100">
        <v>4679.6894755205158</v>
      </c>
      <c r="BV7" s="100">
        <v>8</v>
      </c>
      <c r="BW7" s="100">
        <v>6307.2</v>
      </c>
      <c r="BX7" s="100">
        <v>12</v>
      </c>
      <c r="BY7" s="100">
        <v>9460.7999999999993</v>
      </c>
      <c r="BZ7" s="100">
        <v>7</v>
      </c>
      <c r="CA7" s="100">
        <v>5518.8</v>
      </c>
      <c r="CB7" s="100">
        <v>4.4087592638636961</v>
      </c>
      <c r="CC7" s="100">
        <v>3475.8658036301381</v>
      </c>
      <c r="CD7" s="100">
        <v>3.6542197839090866E-16</v>
      </c>
      <c r="CE7" s="100">
        <v>2.8809868776339236E-13</v>
      </c>
      <c r="CF7" s="100">
        <v>9</v>
      </c>
      <c r="CG7" s="100">
        <v>7095.5999999999995</v>
      </c>
      <c r="CH7" s="100">
        <v>9</v>
      </c>
      <c r="CI7" s="100">
        <v>7095.5999999999995</v>
      </c>
      <c r="CJ7" s="100">
        <v>8</v>
      </c>
      <c r="CK7" s="100">
        <v>6307.2</v>
      </c>
      <c r="CL7" s="100">
        <v>11</v>
      </c>
      <c r="CM7" s="100">
        <v>8672.4</v>
      </c>
      <c r="CN7" s="100">
        <v>8</v>
      </c>
      <c r="CO7" s="100">
        <v>6307.2</v>
      </c>
      <c r="CP7" s="100">
        <v>7</v>
      </c>
      <c r="CQ7" s="100">
        <v>5518.8</v>
      </c>
      <c r="CR7" s="100">
        <v>9</v>
      </c>
      <c r="CS7" s="100">
        <v>7095.5999999999995</v>
      </c>
      <c r="CT7" s="100">
        <v>7.1945304171199806</v>
      </c>
      <c r="CU7" s="100">
        <v>5672.1677808573922</v>
      </c>
    </row>
    <row r="8" spans="1:99">
      <c r="C8" s="99" t="s">
        <v>174</v>
      </c>
      <c r="D8" s="100">
        <v>10</v>
      </c>
      <c r="E8" s="100">
        <v>3095.9999999999995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8</v>
      </c>
      <c r="K8" s="100">
        <v>2476.7999999999997</v>
      </c>
      <c r="L8" s="100">
        <v>11</v>
      </c>
      <c r="M8" s="100">
        <v>3405.5999999999995</v>
      </c>
      <c r="N8" s="100">
        <v>5.35931633439791</v>
      </c>
      <c r="O8" s="100">
        <v>1659.2443371295929</v>
      </c>
      <c r="P8" s="100">
        <v>11</v>
      </c>
      <c r="Q8" s="100">
        <v>3405.5999999999995</v>
      </c>
      <c r="R8" s="100">
        <v>5.8160658238648519</v>
      </c>
      <c r="S8" s="100">
        <v>1800.6539790685579</v>
      </c>
      <c r="T8" s="100">
        <v>11</v>
      </c>
      <c r="U8" s="100">
        <v>3405.5999999999995</v>
      </c>
      <c r="V8" s="100">
        <v>9</v>
      </c>
      <c r="W8" s="100">
        <v>2786.3999999999996</v>
      </c>
      <c r="X8" s="100">
        <v>6.4329032652829445</v>
      </c>
      <c r="Y8" s="100">
        <v>1991.6268509315994</v>
      </c>
      <c r="Z8" s="100">
        <v>6</v>
      </c>
      <c r="AA8" s="100">
        <v>1857.6</v>
      </c>
      <c r="AB8" s="100">
        <v>6</v>
      </c>
      <c r="AC8" s="100">
        <v>1857.6</v>
      </c>
      <c r="AD8" s="100">
        <v>9</v>
      </c>
      <c r="AE8" s="100">
        <v>2786.3999999999996</v>
      </c>
      <c r="AF8" s="100">
        <v>8.5506710125000058</v>
      </c>
      <c r="AG8" s="100">
        <v>2647.2877454700015</v>
      </c>
      <c r="AH8" s="100">
        <v>11</v>
      </c>
      <c r="AI8" s="100">
        <v>3405.5999999999995</v>
      </c>
      <c r="AJ8" s="100">
        <v>7</v>
      </c>
      <c r="AK8" s="100">
        <v>2167.1999999999998</v>
      </c>
      <c r="AL8" s="100">
        <v>5.3950835325743745</v>
      </c>
      <c r="AM8" s="100">
        <v>1670.3178616850262</v>
      </c>
      <c r="AN8" s="100">
        <v>10</v>
      </c>
      <c r="AO8" s="100">
        <v>3095.9999999999995</v>
      </c>
      <c r="AP8" s="100">
        <v>8</v>
      </c>
      <c r="AQ8" s="100">
        <v>2476.7999999999997</v>
      </c>
      <c r="AR8" s="100">
        <v>11</v>
      </c>
      <c r="AS8" s="100">
        <v>3405.5999999999995</v>
      </c>
      <c r="AT8" s="100">
        <v>7</v>
      </c>
      <c r="AU8" s="100">
        <v>2167.1999999999998</v>
      </c>
      <c r="AV8" s="100">
        <v>9</v>
      </c>
      <c r="AW8" s="100">
        <v>2786.3999999999996</v>
      </c>
      <c r="AX8" s="100">
        <v>8</v>
      </c>
      <c r="AY8" s="100">
        <v>2476.7999999999997</v>
      </c>
      <c r="AZ8" s="100">
        <v>4.6167265869987375</v>
      </c>
      <c r="BA8" s="100">
        <v>1429.3385513348089</v>
      </c>
      <c r="BB8" s="100">
        <v>13</v>
      </c>
      <c r="BC8" s="100">
        <v>4024.7999999999997</v>
      </c>
      <c r="BD8" s="100">
        <v>8</v>
      </c>
      <c r="BE8" s="100">
        <v>2476.7999999999997</v>
      </c>
      <c r="BF8" s="100">
        <v>12</v>
      </c>
      <c r="BG8" s="100">
        <v>3715.2</v>
      </c>
      <c r="BH8" s="100">
        <v>3.3234468545591849</v>
      </c>
      <c r="BI8" s="100">
        <v>1028.9391461715236</v>
      </c>
      <c r="BJ8" s="100">
        <v>8</v>
      </c>
      <c r="BK8" s="100">
        <v>2476.7999999999997</v>
      </c>
      <c r="BL8" s="100">
        <v>6</v>
      </c>
      <c r="BM8" s="100">
        <v>1857.6</v>
      </c>
      <c r="BN8" s="100">
        <v>12</v>
      </c>
      <c r="BO8" s="100">
        <v>3715.2</v>
      </c>
      <c r="BP8" s="100">
        <v>10</v>
      </c>
      <c r="BQ8" s="100">
        <v>3095.9999999999995</v>
      </c>
      <c r="BR8" s="100">
        <v>1.2340729267685886</v>
      </c>
      <c r="BS8" s="100">
        <v>382.068978127555</v>
      </c>
      <c r="BT8" s="100">
        <v>6.6776390917815585</v>
      </c>
      <c r="BU8" s="100">
        <v>2067.3970628155703</v>
      </c>
      <c r="BV8" s="100">
        <v>9</v>
      </c>
      <c r="BW8" s="100">
        <v>2786.3999999999996</v>
      </c>
      <c r="BX8" s="100">
        <v>13</v>
      </c>
      <c r="BY8" s="100">
        <v>4024.7999999999997</v>
      </c>
      <c r="BZ8" s="100">
        <v>7</v>
      </c>
      <c r="CA8" s="100">
        <v>2167.1999999999998</v>
      </c>
      <c r="CB8" s="100">
        <v>5.0385820158442245</v>
      </c>
      <c r="CC8" s="100">
        <v>1559.9449921053717</v>
      </c>
      <c r="CD8" s="100">
        <v>4.0602442043434295E-16</v>
      </c>
      <c r="CE8" s="100">
        <v>1.2570516056647257E-13</v>
      </c>
      <c r="CF8" s="100">
        <v>11</v>
      </c>
      <c r="CG8" s="100">
        <v>3405.5999999999995</v>
      </c>
      <c r="CH8" s="100">
        <v>11</v>
      </c>
      <c r="CI8" s="100">
        <v>3405.5999999999995</v>
      </c>
      <c r="CJ8" s="100">
        <v>9</v>
      </c>
      <c r="CK8" s="100">
        <v>2786.3999999999996</v>
      </c>
      <c r="CL8" s="100">
        <v>12</v>
      </c>
      <c r="CM8" s="100">
        <v>3715.2</v>
      </c>
      <c r="CN8" s="100">
        <v>8</v>
      </c>
      <c r="CO8" s="100">
        <v>2476.7999999999997</v>
      </c>
      <c r="CP8" s="100">
        <v>8</v>
      </c>
      <c r="CQ8" s="100">
        <v>2476.7999999999997</v>
      </c>
      <c r="CR8" s="100">
        <v>11</v>
      </c>
      <c r="CS8" s="100">
        <v>3405.5999999999995</v>
      </c>
      <c r="CT8" s="100">
        <v>7.993922685688867</v>
      </c>
      <c r="CU8" s="100">
        <v>2474.9184634892731</v>
      </c>
    </row>
    <row r="9" spans="1:99">
      <c r="C9" s="99" t="s">
        <v>175</v>
      </c>
      <c r="D9" s="100">
        <v>10</v>
      </c>
      <c r="E9" s="100">
        <v>7020</v>
      </c>
      <c r="F9" s="100">
        <v>5</v>
      </c>
      <c r="G9" s="100">
        <v>3510</v>
      </c>
      <c r="H9" s="100">
        <v>9</v>
      </c>
      <c r="I9" s="100">
        <v>6318</v>
      </c>
      <c r="J9" s="100">
        <v>9</v>
      </c>
      <c r="K9" s="100">
        <v>6318</v>
      </c>
      <c r="L9" s="100">
        <v>10</v>
      </c>
      <c r="M9" s="100">
        <v>7020</v>
      </c>
      <c r="N9" s="100">
        <v>5.35931633439791</v>
      </c>
      <c r="O9" s="100">
        <v>3762.240066747333</v>
      </c>
      <c r="P9" s="100">
        <v>10</v>
      </c>
      <c r="Q9" s="100">
        <v>7020</v>
      </c>
      <c r="R9" s="100">
        <v>6.7854101278423276</v>
      </c>
      <c r="S9" s="100">
        <v>4763.3579097453139</v>
      </c>
      <c r="T9" s="100">
        <v>11</v>
      </c>
      <c r="U9" s="100">
        <v>7722</v>
      </c>
      <c r="V9" s="100">
        <v>10</v>
      </c>
      <c r="W9" s="100">
        <v>7020</v>
      </c>
      <c r="X9" s="100">
        <v>6.4329032652829445</v>
      </c>
      <c r="Y9" s="100">
        <v>4515.8980922286273</v>
      </c>
      <c r="Z9" s="100">
        <v>6</v>
      </c>
      <c r="AA9" s="100">
        <v>4212</v>
      </c>
      <c r="AB9" s="100">
        <v>6</v>
      </c>
      <c r="AC9" s="100">
        <v>4212</v>
      </c>
      <c r="AD9" s="100">
        <v>8</v>
      </c>
      <c r="AE9" s="100">
        <v>5616</v>
      </c>
      <c r="AF9" s="100">
        <v>9.5007455694444509</v>
      </c>
      <c r="AG9" s="100">
        <v>6669.5233897500048</v>
      </c>
      <c r="AH9" s="100">
        <v>11</v>
      </c>
      <c r="AI9" s="100">
        <v>7722</v>
      </c>
      <c r="AJ9" s="100">
        <v>6</v>
      </c>
      <c r="AK9" s="100">
        <v>4212</v>
      </c>
      <c r="AL9" s="100">
        <v>4.8555751793169364</v>
      </c>
      <c r="AM9" s="100">
        <v>3408.6137758804894</v>
      </c>
      <c r="AN9" s="100">
        <v>10</v>
      </c>
      <c r="AO9" s="100">
        <v>7020</v>
      </c>
      <c r="AP9" s="100">
        <v>9</v>
      </c>
      <c r="AQ9" s="100">
        <v>6318</v>
      </c>
      <c r="AR9" s="100">
        <v>11</v>
      </c>
      <c r="AS9" s="100">
        <v>7722</v>
      </c>
      <c r="AT9" s="100">
        <v>7</v>
      </c>
      <c r="AU9" s="100">
        <v>4914</v>
      </c>
      <c r="AV9" s="100">
        <v>8</v>
      </c>
      <c r="AW9" s="100">
        <v>5616</v>
      </c>
      <c r="AX9" s="100">
        <v>8</v>
      </c>
      <c r="AY9" s="100">
        <v>5616</v>
      </c>
      <c r="AZ9" s="100">
        <v>4.2319993714155091</v>
      </c>
      <c r="BA9" s="100">
        <v>2970.8635587336876</v>
      </c>
      <c r="BB9" s="100">
        <v>12</v>
      </c>
      <c r="BC9" s="100">
        <v>8424</v>
      </c>
      <c r="BD9" s="100">
        <v>8</v>
      </c>
      <c r="BE9" s="100">
        <v>5616</v>
      </c>
      <c r="BF9" s="100">
        <v>11</v>
      </c>
      <c r="BG9" s="100">
        <v>7722</v>
      </c>
      <c r="BH9" s="100">
        <v>3.7388777113790832</v>
      </c>
      <c r="BI9" s="100">
        <v>2624.6921533881164</v>
      </c>
      <c r="BJ9" s="100">
        <v>8</v>
      </c>
      <c r="BK9" s="100">
        <v>5616</v>
      </c>
      <c r="BL9" s="100">
        <v>6</v>
      </c>
      <c r="BM9" s="100">
        <v>4212</v>
      </c>
      <c r="BN9" s="100">
        <v>12</v>
      </c>
      <c r="BO9" s="100">
        <v>8424</v>
      </c>
      <c r="BP9" s="100">
        <v>12</v>
      </c>
      <c r="BQ9" s="100">
        <v>8424</v>
      </c>
      <c r="BR9" s="100">
        <v>1.3574802194454476</v>
      </c>
      <c r="BS9" s="100">
        <v>952.95111405070418</v>
      </c>
      <c r="BT9" s="100">
        <v>5.9356791926947183</v>
      </c>
      <c r="BU9" s="100">
        <v>4166.8467932716921</v>
      </c>
      <c r="BV9" s="100">
        <v>8</v>
      </c>
      <c r="BW9" s="100">
        <v>5616</v>
      </c>
      <c r="BX9" s="100">
        <v>12</v>
      </c>
      <c r="BY9" s="100">
        <v>8424</v>
      </c>
      <c r="BZ9" s="100">
        <v>7</v>
      </c>
      <c r="CA9" s="100">
        <v>4914</v>
      </c>
      <c r="CB9" s="100">
        <v>4.4087592638636961</v>
      </c>
      <c r="CC9" s="100">
        <v>3094.9490032323147</v>
      </c>
      <c r="CD9" s="100">
        <v>3.2481953634747437E-16</v>
      </c>
      <c r="CE9" s="100">
        <v>2.2802331451592702E-13</v>
      </c>
      <c r="CF9" s="100">
        <v>11</v>
      </c>
      <c r="CG9" s="100">
        <v>7722</v>
      </c>
      <c r="CH9" s="100">
        <v>11</v>
      </c>
      <c r="CI9" s="100">
        <v>7722</v>
      </c>
      <c r="CJ9" s="100">
        <v>7</v>
      </c>
      <c r="CK9" s="100">
        <v>4914</v>
      </c>
      <c r="CL9" s="100">
        <v>10</v>
      </c>
      <c r="CM9" s="100">
        <v>7020</v>
      </c>
      <c r="CN9" s="100">
        <v>7</v>
      </c>
      <c r="CO9" s="100">
        <v>4914</v>
      </c>
      <c r="CP9" s="100">
        <v>8</v>
      </c>
      <c r="CQ9" s="100">
        <v>5616</v>
      </c>
      <c r="CR9" s="100">
        <v>10</v>
      </c>
      <c r="CS9" s="100">
        <v>7020</v>
      </c>
      <c r="CT9" s="100">
        <v>8.7933149542577542</v>
      </c>
      <c r="CU9" s="100">
        <v>6172.9070978889431</v>
      </c>
    </row>
    <row r="10" spans="1:99">
      <c r="C10" s="99" t="s">
        <v>176</v>
      </c>
      <c r="D10" s="100">
        <v>10</v>
      </c>
      <c r="E10" s="100">
        <v>5448</v>
      </c>
      <c r="F10" s="100">
        <v>5</v>
      </c>
      <c r="G10" s="100">
        <v>2724</v>
      </c>
      <c r="H10" s="100">
        <v>9</v>
      </c>
      <c r="I10" s="100">
        <v>4903.2</v>
      </c>
      <c r="J10" s="100">
        <v>8</v>
      </c>
      <c r="K10" s="100">
        <v>4358.3999999999996</v>
      </c>
      <c r="L10" s="100">
        <v>10</v>
      </c>
      <c r="M10" s="100">
        <v>5448</v>
      </c>
      <c r="N10" s="100">
        <v>5.35931633439791</v>
      </c>
      <c r="O10" s="100">
        <v>2919.7555389799813</v>
      </c>
      <c r="P10" s="100">
        <v>11</v>
      </c>
      <c r="Q10" s="100">
        <v>5992.7999999999993</v>
      </c>
      <c r="R10" s="100">
        <v>6.7854101278423276</v>
      </c>
      <c r="S10" s="100">
        <v>3696.6914376484997</v>
      </c>
      <c r="T10" s="100">
        <v>10</v>
      </c>
      <c r="U10" s="100">
        <v>5448</v>
      </c>
      <c r="V10" s="100">
        <v>10</v>
      </c>
      <c r="W10" s="100">
        <v>5448</v>
      </c>
      <c r="X10" s="100">
        <v>8.2708756267923569</v>
      </c>
      <c r="Y10" s="100">
        <v>4505.9730414764754</v>
      </c>
      <c r="Z10" s="100">
        <v>6</v>
      </c>
      <c r="AA10" s="100">
        <v>3268.7999999999997</v>
      </c>
      <c r="AB10" s="100">
        <v>6</v>
      </c>
      <c r="AC10" s="100">
        <v>3268.7999999999997</v>
      </c>
      <c r="AD10" s="100">
        <v>8</v>
      </c>
      <c r="AE10" s="100">
        <v>4358.3999999999996</v>
      </c>
      <c r="AF10" s="100">
        <v>9.5007455694444509</v>
      </c>
      <c r="AG10" s="100">
        <v>5176.0061862333368</v>
      </c>
      <c r="AH10" s="100">
        <v>11</v>
      </c>
      <c r="AI10" s="100">
        <v>5992.7999999999993</v>
      </c>
      <c r="AJ10" s="100">
        <v>6</v>
      </c>
      <c r="AK10" s="100">
        <v>3268.7999999999997</v>
      </c>
      <c r="AL10" s="100">
        <v>4.8555751793169364</v>
      </c>
      <c r="AM10" s="100">
        <v>2645.3173576918666</v>
      </c>
      <c r="AN10" s="100">
        <v>11</v>
      </c>
      <c r="AO10" s="100">
        <v>5992.7999999999993</v>
      </c>
      <c r="AP10" s="100">
        <v>8</v>
      </c>
      <c r="AQ10" s="100">
        <v>4358.3999999999996</v>
      </c>
      <c r="AR10" s="100">
        <v>11</v>
      </c>
      <c r="AS10" s="100">
        <v>5992.7999999999993</v>
      </c>
      <c r="AT10" s="100">
        <v>7</v>
      </c>
      <c r="AU10" s="100">
        <v>3813.5999999999995</v>
      </c>
      <c r="AV10" s="100">
        <v>9</v>
      </c>
      <c r="AW10" s="100">
        <v>4903.2</v>
      </c>
      <c r="AX10" s="100">
        <v>7</v>
      </c>
      <c r="AY10" s="100">
        <v>3813.5999999999995</v>
      </c>
      <c r="AZ10" s="100">
        <v>4.6167265869987375</v>
      </c>
      <c r="BA10" s="100">
        <v>2515.192644596912</v>
      </c>
      <c r="BB10" s="100">
        <v>10</v>
      </c>
      <c r="BC10" s="100">
        <v>5448</v>
      </c>
      <c r="BD10" s="100">
        <v>8</v>
      </c>
      <c r="BE10" s="100">
        <v>4358.3999999999996</v>
      </c>
      <c r="BF10" s="100">
        <v>11</v>
      </c>
      <c r="BG10" s="100">
        <v>5992.7999999999993</v>
      </c>
      <c r="BH10" s="100">
        <v>3.3234468545591849</v>
      </c>
      <c r="BI10" s="100">
        <v>1810.6138463638438</v>
      </c>
      <c r="BJ10" s="100">
        <v>7</v>
      </c>
      <c r="BK10" s="100">
        <v>3813.5999999999995</v>
      </c>
      <c r="BL10" s="100">
        <v>7</v>
      </c>
      <c r="BM10" s="100">
        <v>3813.5999999999995</v>
      </c>
      <c r="BN10" s="100">
        <v>12</v>
      </c>
      <c r="BO10" s="100">
        <v>6537.5999999999995</v>
      </c>
      <c r="BP10" s="100">
        <v>11</v>
      </c>
      <c r="BQ10" s="100">
        <v>5992.7999999999993</v>
      </c>
      <c r="BR10" s="100">
        <v>1.3574802194454476</v>
      </c>
      <c r="BS10" s="100">
        <v>739.55522355387984</v>
      </c>
      <c r="BT10" s="100">
        <v>7.4195989908683977</v>
      </c>
      <c r="BU10" s="100">
        <v>4042.1975302251026</v>
      </c>
      <c r="BV10" s="100">
        <v>8</v>
      </c>
      <c r="BW10" s="100">
        <v>4358.3999999999996</v>
      </c>
      <c r="BX10" s="100">
        <v>12</v>
      </c>
      <c r="BY10" s="100">
        <v>6537.5999999999995</v>
      </c>
      <c r="BZ10" s="100">
        <v>7</v>
      </c>
      <c r="CA10" s="100">
        <v>3813.5999999999995</v>
      </c>
      <c r="CB10" s="100">
        <v>5.0385820158442245</v>
      </c>
      <c r="CC10" s="100">
        <v>2745.0194822319331</v>
      </c>
      <c r="CD10" s="100">
        <v>3.6542197839090866E-16</v>
      </c>
      <c r="CE10" s="100">
        <v>1.9908189382736701E-13</v>
      </c>
      <c r="CF10" s="100">
        <v>11</v>
      </c>
      <c r="CG10" s="100">
        <v>5992.7999999999993</v>
      </c>
      <c r="CH10" s="100">
        <v>10</v>
      </c>
      <c r="CI10" s="100">
        <v>5448</v>
      </c>
      <c r="CJ10" s="100">
        <v>8</v>
      </c>
      <c r="CK10" s="100">
        <v>4358.3999999999996</v>
      </c>
      <c r="CL10" s="100">
        <v>11</v>
      </c>
      <c r="CM10" s="100">
        <v>5992.7999999999993</v>
      </c>
      <c r="CN10" s="100">
        <v>7</v>
      </c>
      <c r="CO10" s="100">
        <v>3813.5999999999995</v>
      </c>
      <c r="CP10" s="100">
        <v>7</v>
      </c>
      <c r="CQ10" s="100">
        <v>3813.5999999999995</v>
      </c>
      <c r="CR10" s="100">
        <v>11</v>
      </c>
      <c r="CS10" s="100">
        <v>5992.7999999999993</v>
      </c>
      <c r="CT10" s="100">
        <v>7.993922685688867</v>
      </c>
      <c r="CU10" s="100">
        <v>4355.0890791632946</v>
      </c>
    </row>
    <row r="11" spans="1:99">
      <c r="C11" s="99" t="s">
        <v>177</v>
      </c>
      <c r="D11" s="100">
        <v>11</v>
      </c>
      <c r="E11" s="100">
        <v>5860.7999999999993</v>
      </c>
      <c r="F11" s="100">
        <v>6</v>
      </c>
      <c r="G11" s="100">
        <v>3196.7999999999997</v>
      </c>
      <c r="H11" s="100">
        <v>9</v>
      </c>
      <c r="I11" s="100">
        <v>4795.2</v>
      </c>
      <c r="J11" s="100">
        <v>9</v>
      </c>
      <c r="K11" s="100">
        <v>4795.2</v>
      </c>
      <c r="L11" s="100">
        <v>9</v>
      </c>
      <c r="M11" s="100">
        <v>4795.2</v>
      </c>
      <c r="N11" s="100">
        <v>4.5936997151982082</v>
      </c>
      <c r="O11" s="100">
        <v>2447.5232082576049</v>
      </c>
      <c r="P11" s="100">
        <v>11</v>
      </c>
      <c r="Q11" s="100">
        <v>5860.7999999999993</v>
      </c>
      <c r="R11" s="100">
        <v>6.7854101278423276</v>
      </c>
      <c r="S11" s="100">
        <v>3615.2665161143918</v>
      </c>
      <c r="T11" s="100">
        <v>10</v>
      </c>
      <c r="U11" s="100">
        <v>5328</v>
      </c>
      <c r="V11" s="100">
        <v>10</v>
      </c>
      <c r="W11" s="100">
        <v>5328</v>
      </c>
      <c r="X11" s="100">
        <v>8.2708756267923569</v>
      </c>
      <c r="Y11" s="100">
        <v>4406.7225339549677</v>
      </c>
      <c r="Z11" s="100">
        <v>6</v>
      </c>
      <c r="AA11" s="100">
        <v>3196.7999999999997</v>
      </c>
      <c r="AB11" s="100">
        <v>6</v>
      </c>
      <c r="AC11" s="100">
        <v>3196.7999999999997</v>
      </c>
      <c r="AD11" s="100">
        <v>8</v>
      </c>
      <c r="AE11" s="100">
        <v>4262.3999999999996</v>
      </c>
      <c r="AF11" s="100">
        <v>8.5506710125000058</v>
      </c>
      <c r="AG11" s="100">
        <v>4555.7975154600026</v>
      </c>
      <c r="AH11" s="100">
        <v>11</v>
      </c>
      <c r="AI11" s="100">
        <v>5860.7999999999993</v>
      </c>
      <c r="AJ11" s="100">
        <v>7</v>
      </c>
      <c r="AK11" s="100">
        <v>3729.5999999999995</v>
      </c>
      <c r="AL11" s="100">
        <v>5.3950835325743745</v>
      </c>
      <c r="AM11" s="100">
        <v>2874.5005061556267</v>
      </c>
      <c r="AN11" s="100">
        <v>12</v>
      </c>
      <c r="AO11" s="100">
        <v>6393.5999999999995</v>
      </c>
      <c r="AP11" s="100">
        <v>9</v>
      </c>
      <c r="AQ11" s="100">
        <v>4795.2</v>
      </c>
      <c r="AR11" s="100">
        <v>11</v>
      </c>
      <c r="AS11" s="100">
        <v>5860.7999999999993</v>
      </c>
      <c r="AT11" s="100">
        <v>8</v>
      </c>
      <c r="AU11" s="100">
        <v>4262.3999999999996</v>
      </c>
      <c r="AV11" s="100">
        <v>9</v>
      </c>
      <c r="AW11" s="100">
        <v>4795.2</v>
      </c>
      <c r="AX11" s="100">
        <v>6</v>
      </c>
      <c r="AY11" s="100">
        <v>3196.7999999999997</v>
      </c>
      <c r="AZ11" s="100">
        <v>4.6167265869987375</v>
      </c>
      <c r="BA11" s="100">
        <v>2459.7919255529273</v>
      </c>
      <c r="BB11" s="100">
        <v>13</v>
      </c>
      <c r="BC11" s="100">
        <v>6926.4</v>
      </c>
      <c r="BD11" s="100">
        <v>8</v>
      </c>
      <c r="BE11" s="100">
        <v>4262.3999999999996</v>
      </c>
      <c r="BF11" s="100">
        <v>11</v>
      </c>
      <c r="BG11" s="100">
        <v>5860.7999999999993</v>
      </c>
      <c r="BH11" s="100">
        <v>3.7388777113790832</v>
      </c>
      <c r="BI11" s="100">
        <v>1992.0740446227753</v>
      </c>
      <c r="BJ11" s="100">
        <v>7</v>
      </c>
      <c r="BK11" s="100">
        <v>3729.5999999999995</v>
      </c>
      <c r="BL11" s="100">
        <v>7</v>
      </c>
      <c r="BM11" s="100">
        <v>3729.5999999999995</v>
      </c>
      <c r="BN11" s="100">
        <v>12</v>
      </c>
      <c r="BO11" s="100">
        <v>6393.5999999999995</v>
      </c>
      <c r="BP11" s="100">
        <v>12</v>
      </c>
      <c r="BQ11" s="100">
        <v>6393.5999999999995</v>
      </c>
      <c r="BR11" s="100">
        <v>1.3574802194454476</v>
      </c>
      <c r="BS11" s="100">
        <v>723.26546092053445</v>
      </c>
      <c r="BT11" s="100">
        <v>6.6776390917815585</v>
      </c>
      <c r="BU11" s="100">
        <v>3557.8461081012142</v>
      </c>
      <c r="BV11" s="100">
        <v>9</v>
      </c>
      <c r="BW11" s="100">
        <v>4795.2</v>
      </c>
      <c r="BX11" s="100">
        <v>12</v>
      </c>
      <c r="BY11" s="100">
        <v>6393.5999999999995</v>
      </c>
      <c r="BZ11" s="100">
        <v>6</v>
      </c>
      <c r="CA11" s="100">
        <v>3196.7999999999997</v>
      </c>
      <c r="CB11" s="100">
        <v>5.0385820158442245</v>
      </c>
      <c r="CC11" s="100">
        <v>2684.5564980418026</v>
      </c>
      <c r="CD11" s="100">
        <v>3.6542197839090866E-16</v>
      </c>
      <c r="CE11" s="100">
        <v>1.9469683008667612E-13</v>
      </c>
      <c r="CF11" s="100">
        <v>10</v>
      </c>
      <c r="CG11" s="100">
        <v>5328</v>
      </c>
      <c r="CH11" s="100">
        <v>11</v>
      </c>
      <c r="CI11" s="100">
        <v>5860.7999999999993</v>
      </c>
      <c r="CJ11" s="100">
        <v>8</v>
      </c>
      <c r="CK11" s="100">
        <v>4262.3999999999996</v>
      </c>
      <c r="CL11" s="100">
        <v>10</v>
      </c>
      <c r="CM11" s="100">
        <v>5328</v>
      </c>
      <c r="CN11" s="100">
        <v>8</v>
      </c>
      <c r="CO11" s="100">
        <v>4262.3999999999996</v>
      </c>
      <c r="CP11" s="100">
        <v>8</v>
      </c>
      <c r="CQ11" s="100">
        <v>4262.3999999999996</v>
      </c>
      <c r="CR11" s="100">
        <v>10</v>
      </c>
      <c r="CS11" s="100">
        <v>5328</v>
      </c>
      <c r="CT11" s="100">
        <v>7.993922685688867</v>
      </c>
      <c r="CU11" s="100">
        <v>4259.1620069350283</v>
      </c>
    </row>
    <row r="12" spans="1:99">
      <c r="C12" s="99" t="s">
        <v>178</v>
      </c>
      <c r="D12" s="100">
        <v>10</v>
      </c>
      <c r="E12" s="100">
        <v>5628</v>
      </c>
      <c r="F12" s="100">
        <v>6</v>
      </c>
      <c r="G12" s="100">
        <v>3376.7999999999997</v>
      </c>
      <c r="H12" s="100">
        <v>10</v>
      </c>
      <c r="I12" s="100">
        <v>5628</v>
      </c>
      <c r="J12" s="100">
        <v>9</v>
      </c>
      <c r="K12" s="100">
        <v>5065.2</v>
      </c>
      <c r="L12" s="100">
        <v>11</v>
      </c>
      <c r="M12" s="100">
        <v>6190.7999999999993</v>
      </c>
      <c r="N12" s="100">
        <v>5.35931633439791</v>
      </c>
      <c r="O12" s="100">
        <v>3016.2232329991434</v>
      </c>
      <c r="P12" s="100">
        <v>11</v>
      </c>
      <c r="Q12" s="100">
        <v>6190.7999999999993</v>
      </c>
      <c r="R12" s="100">
        <v>6.7854101278423276</v>
      </c>
      <c r="S12" s="100">
        <v>3818.8288199496615</v>
      </c>
      <c r="T12" s="100">
        <v>10</v>
      </c>
      <c r="U12" s="100">
        <v>5628</v>
      </c>
      <c r="V12" s="100">
        <v>9</v>
      </c>
      <c r="W12" s="100">
        <v>5065.2</v>
      </c>
      <c r="X12" s="100">
        <v>8.2708756267923569</v>
      </c>
      <c r="Y12" s="100">
        <v>4654.8488027587382</v>
      </c>
      <c r="Z12" s="100">
        <v>6</v>
      </c>
      <c r="AA12" s="100">
        <v>3376.7999999999997</v>
      </c>
      <c r="AB12" s="100">
        <v>7</v>
      </c>
      <c r="AC12" s="100">
        <v>3939.5999999999995</v>
      </c>
      <c r="AD12" s="100">
        <v>9</v>
      </c>
      <c r="AE12" s="100">
        <v>5065.2</v>
      </c>
      <c r="AF12" s="100">
        <v>9.5007455694444509</v>
      </c>
      <c r="AG12" s="100">
        <v>5347.0196064833362</v>
      </c>
      <c r="AH12" s="100">
        <v>10</v>
      </c>
      <c r="AI12" s="100">
        <v>5628</v>
      </c>
      <c r="AJ12" s="100">
        <v>7</v>
      </c>
      <c r="AK12" s="100">
        <v>3939.5999999999995</v>
      </c>
      <c r="AL12" s="100">
        <v>4.8555751793169364</v>
      </c>
      <c r="AM12" s="100">
        <v>2732.7177109195718</v>
      </c>
      <c r="AN12" s="100">
        <v>11</v>
      </c>
      <c r="AO12" s="100">
        <v>6190.7999999999993</v>
      </c>
      <c r="AP12" s="100">
        <v>9</v>
      </c>
      <c r="AQ12" s="100">
        <v>5065.2</v>
      </c>
      <c r="AR12" s="100">
        <v>10</v>
      </c>
      <c r="AS12" s="100">
        <v>5628</v>
      </c>
      <c r="AT12" s="100">
        <v>7</v>
      </c>
      <c r="AU12" s="100">
        <v>3939.5999999999995</v>
      </c>
      <c r="AV12" s="100">
        <v>9</v>
      </c>
      <c r="AW12" s="100">
        <v>5065.2</v>
      </c>
      <c r="AX12" s="100">
        <v>7</v>
      </c>
      <c r="AY12" s="100">
        <v>3939.5999999999995</v>
      </c>
      <c r="AZ12" s="100">
        <v>4.6167265869987375</v>
      </c>
      <c r="BA12" s="100">
        <v>2598.2937231628894</v>
      </c>
      <c r="BB12" s="100">
        <v>11</v>
      </c>
      <c r="BC12" s="100">
        <v>6190.7999999999993</v>
      </c>
      <c r="BD12" s="100">
        <v>8</v>
      </c>
      <c r="BE12" s="100">
        <v>4502.3999999999996</v>
      </c>
      <c r="BF12" s="100">
        <v>12</v>
      </c>
      <c r="BG12" s="100">
        <v>6753.5999999999995</v>
      </c>
      <c r="BH12" s="100">
        <v>3.7388777113790832</v>
      </c>
      <c r="BI12" s="100">
        <v>2104.2403759641479</v>
      </c>
      <c r="BJ12" s="100">
        <v>7</v>
      </c>
      <c r="BK12" s="100">
        <v>3939.5999999999995</v>
      </c>
      <c r="BL12" s="100">
        <v>7</v>
      </c>
      <c r="BM12" s="100">
        <v>3939.5999999999995</v>
      </c>
      <c r="BN12" s="100">
        <v>13</v>
      </c>
      <c r="BO12" s="100">
        <v>7316.4</v>
      </c>
      <c r="BP12" s="100">
        <v>12</v>
      </c>
      <c r="BQ12" s="100">
        <v>6753.5999999999995</v>
      </c>
      <c r="BR12" s="100">
        <v>1.4808875121223062</v>
      </c>
      <c r="BS12" s="100">
        <v>833.44349182243388</v>
      </c>
      <c r="BT12" s="100">
        <v>5.9356791926947183</v>
      </c>
      <c r="BU12" s="100">
        <v>3340.6002496485871</v>
      </c>
      <c r="BV12" s="100">
        <v>9</v>
      </c>
      <c r="BW12" s="100">
        <v>5065.2</v>
      </c>
      <c r="BX12" s="100">
        <v>12</v>
      </c>
      <c r="BY12" s="100">
        <v>6753.5999999999995</v>
      </c>
      <c r="BZ12" s="100">
        <v>6</v>
      </c>
      <c r="CA12" s="100">
        <v>3376.7999999999997</v>
      </c>
      <c r="CB12" s="100">
        <v>4.4087592638636961</v>
      </c>
      <c r="CC12" s="100">
        <v>2481.249713702488</v>
      </c>
      <c r="CD12" s="100">
        <v>3.6542197839090866E-16</v>
      </c>
      <c r="CE12" s="100">
        <v>2.0565948943840337E-13</v>
      </c>
      <c r="CF12" s="100">
        <v>10</v>
      </c>
      <c r="CG12" s="100">
        <v>5628</v>
      </c>
      <c r="CH12" s="100">
        <v>11</v>
      </c>
      <c r="CI12" s="100">
        <v>6190.7999999999993</v>
      </c>
      <c r="CJ12" s="100">
        <v>7</v>
      </c>
      <c r="CK12" s="100">
        <v>3939.5999999999995</v>
      </c>
      <c r="CL12" s="100">
        <v>10</v>
      </c>
      <c r="CM12" s="100">
        <v>5628</v>
      </c>
      <c r="CN12" s="100">
        <v>8</v>
      </c>
      <c r="CO12" s="100">
        <v>4502.3999999999996</v>
      </c>
      <c r="CP12" s="100">
        <v>8</v>
      </c>
      <c r="CQ12" s="100">
        <v>4502.3999999999996</v>
      </c>
      <c r="CR12" s="100">
        <v>11</v>
      </c>
      <c r="CS12" s="100">
        <v>6190.7999999999993</v>
      </c>
      <c r="CT12" s="100">
        <v>7.1945304171199806</v>
      </c>
      <c r="CU12" s="100">
        <v>4049.0817187551247</v>
      </c>
    </row>
    <row r="13" spans="1:99">
      <c r="C13" s="99" t="s">
        <v>179</v>
      </c>
      <c r="D13" s="100">
        <v>12</v>
      </c>
      <c r="E13" s="100">
        <v>1022.4000000000001</v>
      </c>
      <c r="F13" s="100">
        <v>5</v>
      </c>
      <c r="G13" s="100">
        <v>426</v>
      </c>
      <c r="H13" s="100">
        <v>10</v>
      </c>
      <c r="I13" s="100">
        <v>852</v>
      </c>
      <c r="J13" s="100">
        <v>8</v>
      </c>
      <c r="K13" s="100">
        <v>681.6</v>
      </c>
      <c r="L13" s="100">
        <v>10</v>
      </c>
      <c r="M13" s="100">
        <v>852</v>
      </c>
      <c r="N13" s="100">
        <v>5.35931633439791</v>
      </c>
      <c r="O13" s="100">
        <v>456.61375169070197</v>
      </c>
      <c r="P13" s="100">
        <v>12</v>
      </c>
      <c r="Q13" s="100">
        <v>1022.4000000000001</v>
      </c>
      <c r="R13" s="100">
        <v>6.7854101278423276</v>
      </c>
      <c r="S13" s="100">
        <v>578.11694289216632</v>
      </c>
      <c r="T13" s="100">
        <v>10</v>
      </c>
      <c r="U13" s="100">
        <v>852</v>
      </c>
      <c r="V13" s="100">
        <v>11</v>
      </c>
      <c r="W13" s="100">
        <v>937.2</v>
      </c>
      <c r="X13" s="100">
        <v>8.2708756267923569</v>
      </c>
      <c r="Y13" s="100">
        <v>704.67860340270886</v>
      </c>
      <c r="Z13" s="100">
        <v>7</v>
      </c>
      <c r="AA13" s="100">
        <v>596.4</v>
      </c>
      <c r="AB13" s="100">
        <v>7</v>
      </c>
      <c r="AC13" s="100">
        <v>596.4</v>
      </c>
      <c r="AD13" s="100">
        <v>8</v>
      </c>
      <c r="AE13" s="100">
        <v>681.6</v>
      </c>
      <c r="AF13" s="100">
        <v>9.5007455694444509</v>
      </c>
      <c r="AG13" s="100">
        <v>809.46352251666724</v>
      </c>
      <c r="AH13" s="100">
        <v>12</v>
      </c>
      <c r="AI13" s="100">
        <v>1022.4000000000001</v>
      </c>
      <c r="AJ13" s="100">
        <v>6</v>
      </c>
      <c r="AK13" s="100">
        <v>511.20000000000005</v>
      </c>
      <c r="AL13" s="100">
        <v>4.8555751793169364</v>
      </c>
      <c r="AM13" s="100">
        <v>413.69500527780298</v>
      </c>
      <c r="AN13" s="100">
        <v>11</v>
      </c>
      <c r="AO13" s="100">
        <v>937.2</v>
      </c>
      <c r="AP13" s="100">
        <v>9</v>
      </c>
      <c r="AQ13" s="100">
        <v>766.80000000000007</v>
      </c>
      <c r="AR13" s="100">
        <v>11</v>
      </c>
      <c r="AS13" s="100">
        <v>937.2</v>
      </c>
      <c r="AT13" s="100">
        <v>7</v>
      </c>
      <c r="AU13" s="100">
        <v>596.4</v>
      </c>
      <c r="AV13" s="100">
        <v>10</v>
      </c>
      <c r="AW13" s="100">
        <v>852</v>
      </c>
      <c r="AX13" s="100">
        <v>8</v>
      </c>
      <c r="AY13" s="100">
        <v>681.6</v>
      </c>
      <c r="AZ13" s="100">
        <v>4.2319993714155091</v>
      </c>
      <c r="BA13" s="100">
        <v>360.56634644460138</v>
      </c>
      <c r="BB13" s="100">
        <v>13</v>
      </c>
      <c r="BC13" s="100">
        <v>1107.6000000000001</v>
      </c>
      <c r="BD13" s="100">
        <v>7</v>
      </c>
      <c r="BE13" s="100">
        <v>596.4</v>
      </c>
      <c r="BF13" s="100">
        <v>13</v>
      </c>
      <c r="BG13" s="100">
        <v>1107.6000000000001</v>
      </c>
      <c r="BH13" s="100">
        <v>3.3234468545591849</v>
      </c>
      <c r="BI13" s="100">
        <v>283.15767200844255</v>
      </c>
      <c r="BJ13" s="100">
        <v>8</v>
      </c>
      <c r="BK13" s="100">
        <v>681.6</v>
      </c>
      <c r="BL13" s="100">
        <v>6</v>
      </c>
      <c r="BM13" s="100">
        <v>511.20000000000005</v>
      </c>
      <c r="BN13" s="100">
        <v>14</v>
      </c>
      <c r="BO13" s="100">
        <v>1192.8</v>
      </c>
      <c r="BP13" s="100">
        <v>11</v>
      </c>
      <c r="BQ13" s="100">
        <v>937.2</v>
      </c>
      <c r="BR13" s="100">
        <v>1.4808875121223062</v>
      </c>
      <c r="BS13" s="100">
        <v>126.17161603282049</v>
      </c>
      <c r="BT13" s="100">
        <v>7.4195989908683977</v>
      </c>
      <c r="BU13" s="100">
        <v>632.14983402198754</v>
      </c>
      <c r="BV13" s="100">
        <v>9</v>
      </c>
      <c r="BW13" s="100">
        <v>766.80000000000007</v>
      </c>
      <c r="BX13" s="100">
        <v>12</v>
      </c>
      <c r="BY13" s="100">
        <v>1022.4000000000001</v>
      </c>
      <c r="BZ13" s="100">
        <v>7</v>
      </c>
      <c r="CA13" s="100">
        <v>596.4</v>
      </c>
      <c r="CB13" s="100">
        <v>4.4087592638636961</v>
      </c>
      <c r="CC13" s="100">
        <v>375.62628928118693</v>
      </c>
      <c r="CD13" s="100">
        <v>3.2481953634747437E-16</v>
      </c>
      <c r="CE13" s="100">
        <v>2.7674624496804818E-14</v>
      </c>
      <c r="CF13" s="100">
        <v>10</v>
      </c>
      <c r="CG13" s="100">
        <v>852</v>
      </c>
      <c r="CH13" s="100">
        <v>9</v>
      </c>
      <c r="CI13" s="100">
        <v>766.80000000000007</v>
      </c>
      <c r="CJ13" s="100">
        <v>7</v>
      </c>
      <c r="CK13" s="100">
        <v>596.4</v>
      </c>
      <c r="CL13" s="100">
        <v>11</v>
      </c>
      <c r="CM13" s="100">
        <v>937.2</v>
      </c>
      <c r="CN13" s="100">
        <v>8</v>
      </c>
      <c r="CO13" s="100">
        <v>681.6</v>
      </c>
      <c r="CP13" s="100">
        <v>8</v>
      </c>
      <c r="CQ13" s="100">
        <v>681.6</v>
      </c>
      <c r="CR13" s="100">
        <v>12</v>
      </c>
      <c r="CS13" s="100">
        <v>1022.4000000000001</v>
      </c>
      <c r="CT13" s="100">
        <v>8.7933149542577542</v>
      </c>
      <c r="CU13" s="100">
        <v>749.19043410276072</v>
      </c>
    </row>
    <row r="14" spans="1:99">
      <c r="C14" s="99" t="s">
        <v>180</v>
      </c>
      <c r="D14" s="100">
        <v>11</v>
      </c>
      <c r="E14" s="100">
        <v>5372.4</v>
      </c>
      <c r="F14" s="100">
        <v>6</v>
      </c>
      <c r="G14" s="100">
        <v>2930.3999999999996</v>
      </c>
      <c r="H14" s="100">
        <v>10</v>
      </c>
      <c r="I14" s="100">
        <v>4884</v>
      </c>
      <c r="J14" s="100">
        <v>8</v>
      </c>
      <c r="K14" s="100">
        <v>3907.2</v>
      </c>
      <c r="L14" s="100">
        <v>9</v>
      </c>
      <c r="M14" s="100">
        <v>4395.5999999999995</v>
      </c>
      <c r="N14" s="100">
        <v>4.5936997151982082</v>
      </c>
      <c r="O14" s="100">
        <v>2243.5629409028047</v>
      </c>
      <c r="P14" s="100">
        <v>10</v>
      </c>
      <c r="Q14" s="100">
        <v>4884</v>
      </c>
      <c r="R14" s="100">
        <v>6.7854101278423276</v>
      </c>
      <c r="S14" s="100">
        <v>3313.9943064381928</v>
      </c>
      <c r="T14" s="100">
        <v>11</v>
      </c>
      <c r="U14" s="100">
        <v>5372.4</v>
      </c>
      <c r="V14" s="100">
        <v>10</v>
      </c>
      <c r="W14" s="100">
        <v>4884</v>
      </c>
      <c r="X14" s="100">
        <v>6.4329032652829445</v>
      </c>
      <c r="Y14" s="100">
        <v>3141.82995476419</v>
      </c>
      <c r="Z14" s="100">
        <v>7</v>
      </c>
      <c r="AA14" s="100">
        <v>3418.7999999999997</v>
      </c>
      <c r="AB14" s="100">
        <v>6</v>
      </c>
      <c r="AC14" s="100">
        <v>2930.3999999999996</v>
      </c>
      <c r="AD14" s="100">
        <v>8</v>
      </c>
      <c r="AE14" s="100">
        <v>3907.2</v>
      </c>
      <c r="AF14" s="100">
        <v>9.5007455694444509</v>
      </c>
      <c r="AG14" s="100">
        <v>4640.1641361166694</v>
      </c>
      <c r="AH14" s="100">
        <v>10</v>
      </c>
      <c r="AI14" s="100">
        <v>4884</v>
      </c>
      <c r="AJ14" s="100">
        <v>7</v>
      </c>
      <c r="AK14" s="100">
        <v>3418.7999999999997</v>
      </c>
      <c r="AL14" s="100">
        <v>4.8555751793169364</v>
      </c>
      <c r="AM14" s="100">
        <v>2371.4629175783916</v>
      </c>
      <c r="AN14" s="100">
        <v>12</v>
      </c>
      <c r="AO14" s="100">
        <v>5860.7999999999993</v>
      </c>
      <c r="AP14" s="100">
        <v>8</v>
      </c>
      <c r="AQ14" s="100">
        <v>3907.2</v>
      </c>
      <c r="AR14" s="100">
        <v>10</v>
      </c>
      <c r="AS14" s="100">
        <v>4884</v>
      </c>
      <c r="AT14" s="100">
        <v>7</v>
      </c>
      <c r="AU14" s="100">
        <v>3418.7999999999997</v>
      </c>
      <c r="AV14" s="100">
        <v>9</v>
      </c>
      <c r="AW14" s="100">
        <v>4395.5999999999995</v>
      </c>
      <c r="AX14" s="100">
        <v>7</v>
      </c>
      <c r="AY14" s="100">
        <v>3418.7999999999997</v>
      </c>
      <c r="AZ14" s="100">
        <v>4.2319993714155091</v>
      </c>
      <c r="BA14" s="100">
        <v>2066.9084929993346</v>
      </c>
      <c r="BB14" s="100">
        <v>12</v>
      </c>
      <c r="BC14" s="100">
        <v>5860.7999999999993</v>
      </c>
      <c r="BD14" s="100">
        <v>8</v>
      </c>
      <c r="BE14" s="100">
        <v>3907.2</v>
      </c>
      <c r="BF14" s="100">
        <v>11</v>
      </c>
      <c r="BG14" s="100">
        <v>5372.4</v>
      </c>
      <c r="BH14" s="100">
        <v>3.3234468545591849</v>
      </c>
      <c r="BI14" s="100">
        <v>1623.1714437667058</v>
      </c>
      <c r="BJ14" s="100">
        <v>7</v>
      </c>
      <c r="BK14" s="100">
        <v>3418.7999999999997</v>
      </c>
      <c r="BL14" s="100">
        <v>6</v>
      </c>
      <c r="BM14" s="100">
        <v>2930.3999999999996</v>
      </c>
      <c r="BN14" s="100">
        <v>12</v>
      </c>
      <c r="BO14" s="100">
        <v>5860.7999999999993</v>
      </c>
      <c r="BP14" s="100">
        <v>11</v>
      </c>
      <c r="BQ14" s="100">
        <v>5372.4</v>
      </c>
      <c r="BR14" s="100">
        <v>1.3574802194454476</v>
      </c>
      <c r="BS14" s="100">
        <v>662.9933391771566</v>
      </c>
      <c r="BT14" s="100">
        <v>7.4195989908683977</v>
      </c>
      <c r="BU14" s="100">
        <v>3623.7321471401251</v>
      </c>
      <c r="BV14" s="100">
        <v>8</v>
      </c>
      <c r="BW14" s="100">
        <v>3907.2</v>
      </c>
      <c r="BX14" s="100">
        <v>13</v>
      </c>
      <c r="BY14" s="100">
        <v>6349.2</v>
      </c>
      <c r="BZ14" s="100">
        <v>7</v>
      </c>
      <c r="CA14" s="100">
        <v>3418.7999999999997</v>
      </c>
      <c r="CB14" s="100">
        <v>5.0385820158442245</v>
      </c>
      <c r="CC14" s="100">
        <v>2460.8434565383191</v>
      </c>
      <c r="CD14" s="100">
        <v>4.0602442043434295E-16</v>
      </c>
      <c r="CE14" s="100">
        <v>1.983023269401331E-13</v>
      </c>
      <c r="CF14" s="100">
        <v>11</v>
      </c>
      <c r="CG14" s="100">
        <v>5372.4</v>
      </c>
      <c r="CH14" s="100">
        <v>10</v>
      </c>
      <c r="CI14" s="100">
        <v>4884</v>
      </c>
      <c r="CJ14" s="100">
        <v>8</v>
      </c>
      <c r="CK14" s="100">
        <v>3907.2</v>
      </c>
      <c r="CL14" s="100">
        <v>10</v>
      </c>
      <c r="CM14" s="100">
        <v>4884</v>
      </c>
      <c r="CN14" s="100">
        <v>8</v>
      </c>
      <c r="CO14" s="100">
        <v>3907.2</v>
      </c>
      <c r="CP14" s="100">
        <v>7</v>
      </c>
      <c r="CQ14" s="100">
        <v>3418.7999999999997</v>
      </c>
      <c r="CR14" s="100">
        <v>10</v>
      </c>
      <c r="CS14" s="100">
        <v>4884</v>
      </c>
      <c r="CT14" s="100">
        <v>8.7933149542577542</v>
      </c>
      <c r="CU14" s="100">
        <v>4294.6550236594867</v>
      </c>
    </row>
    <row r="15" spans="1:99">
      <c r="C15" s="99" t="s">
        <v>181</v>
      </c>
      <c r="D15" s="100">
        <v>10</v>
      </c>
      <c r="E15" s="100">
        <v>7631.9999999999991</v>
      </c>
      <c r="F15" s="100">
        <v>6</v>
      </c>
      <c r="G15" s="100">
        <v>4579.2</v>
      </c>
      <c r="H15" s="100">
        <v>10</v>
      </c>
      <c r="I15" s="100">
        <v>7631.9999999999991</v>
      </c>
      <c r="J15" s="100">
        <v>8</v>
      </c>
      <c r="K15" s="100">
        <v>6105.5999999999995</v>
      </c>
      <c r="L15" s="100">
        <v>9</v>
      </c>
      <c r="M15" s="100">
        <v>6868.7999999999993</v>
      </c>
      <c r="N15" s="100">
        <v>4.5936997151982082</v>
      </c>
      <c r="O15" s="100">
        <v>3505.9116226392721</v>
      </c>
      <c r="P15" s="100">
        <v>10</v>
      </c>
      <c r="Q15" s="100">
        <v>7631.9999999999991</v>
      </c>
      <c r="R15" s="100">
        <v>6.7854101278423276</v>
      </c>
      <c r="S15" s="100">
        <v>5178.625009569264</v>
      </c>
      <c r="T15" s="100">
        <v>10</v>
      </c>
      <c r="U15" s="100">
        <v>7631.9999999999991</v>
      </c>
      <c r="V15" s="100">
        <v>9</v>
      </c>
      <c r="W15" s="100">
        <v>6868.7999999999993</v>
      </c>
      <c r="X15" s="100">
        <v>7.3518894460376503</v>
      </c>
      <c r="Y15" s="100">
        <v>5610.9620252159339</v>
      </c>
      <c r="Z15" s="100">
        <v>6</v>
      </c>
      <c r="AA15" s="100">
        <v>4579.2</v>
      </c>
      <c r="AB15" s="100">
        <v>6</v>
      </c>
      <c r="AC15" s="100">
        <v>4579.2</v>
      </c>
      <c r="AD15" s="100">
        <v>9</v>
      </c>
      <c r="AE15" s="100">
        <v>6868.7999999999993</v>
      </c>
      <c r="AF15" s="100">
        <v>9.5007455694444509</v>
      </c>
      <c r="AG15" s="100">
        <v>7250.9690186000043</v>
      </c>
      <c r="AH15" s="100">
        <v>10</v>
      </c>
      <c r="AI15" s="100">
        <v>7631.9999999999991</v>
      </c>
      <c r="AJ15" s="100">
        <v>6</v>
      </c>
      <c r="AK15" s="100">
        <v>4579.2</v>
      </c>
      <c r="AL15" s="100">
        <v>5.3950835325743745</v>
      </c>
      <c r="AM15" s="100">
        <v>4117.5277520607624</v>
      </c>
      <c r="AN15" s="100">
        <v>11</v>
      </c>
      <c r="AO15" s="100">
        <v>8395.1999999999989</v>
      </c>
      <c r="AP15" s="100">
        <v>9</v>
      </c>
      <c r="AQ15" s="100">
        <v>6868.7999999999993</v>
      </c>
      <c r="AR15" s="100">
        <v>11</v>
      </c>
      <c r="AS15" s="100">
        <v>8395.1999999999989</v>
      </c>
      <c r="AT15" s="100">
        <v>6</v>
      </c>
      <c r="AU15" s="100">
        <v>4579.2</v>
      </c>
      <c r="AV15" s="100">
        <v>9</v>
      </c>
      <c r="AW15" s="100">
        <v>6868.7999999999993</v>
      </c>
      <c r="AX15" s="100">
        <v>7</v>
      </c>
      <c r="AY15" s="100">
        <v>5342.4</v>
      </c>
      <c r="AZ15" s="100">
        <v>4.2319993714155091</v>
      </c>
      <c r="BA15" s="100">
        <v>3229.8619202643163</v>
      </c>
      <c r="BB15" s="100">
        <v>11</v>
      </c>
      <c r="BC15" s="100">
        <v>8395.1999999999989</v>
      </c>
      <c r="BD15" s="100">
        <v>8</v>
      </c>
      <c r="BE15" s="100">
        <v>6105.5999999999995</v>
      </c>
      <c r="BF15" s="100">
        <v>12</v>
      </c>
      <c r="BG15" s="100">
        <v>9158.4</v>
      </c>
      <c r="BH15" s="100">
        <v>3.3234468545591849</v>
      </c>
      <c r="BI15" s="100">
        <v>2536.4546393995697</v>
      </c>
      <c r="BJ15" s="100">
        <v>7</v>
      </c>
      <c r="BK15" s="100">
        <v>5342.4</v>
      </c>
      <c r="BL15" s="100">
        <v>6</v>
      </c>
      <c r="BM15" s="100">
        <v>4579.2</v>
      </c>
      <c r="BN15" s="100">
        <v>13</v>
      </c>
      <c r="BO15" s="100">
        <v>9921.5999999999985</v>
      </c>
      <c r="BP15" s="100">
        <v>10</v>
      </c>
      <c r="BQ15" s="100">
        <v>7631.9999999999991</v>
      </c>
      <c r="BR15" s="100">
        <v>1.3574802194454476</v>
      </c>
      <c r="BS15" s="100">
        <v>1036.0289034807656</v>
      </c>
      <c r="BT15" s="100">
        <v>5.9356791926947183</v>
      </c>
      <c r="BU15" s="100">
        <v>4530.1103598646087</v>
      </c>
      <c r="BV15" s="100">
        <v>8</v>
      </c>
      <c r="BW15" s="100">
        <v>6105.5999999999995</v>
      </c>
      <c r="BX15" s="100">
        <v>12</v>
      </c>
      <c r="BY15" s="100">
        <v>9158.4</v>
      </c>
      <c r="BZ15" s="100">
        <v>6</v>
      </c>
      <c r="CA15" s="100">
        <v>4579.2</v>
      </c>
      <c r="CB15" s="100">
        <v>4.4087592638636961</v>
      </c>
      <c r="CC15" s="100">
        <v>3364.7650701807725</v>
      </c>
      <c r="CD15" s="100">
        <v>3.6542197839090866E-16</v>
      </c>
      <c r="CE15" s="100">
        <v>2.7889005390794146E-13</v>
      </c>
      <c r="CF15" s="100">
        <v>10</v>
      </c>
      <c r="CG15" s="100">
        <v>7631.9999999999991</v>
      </c>
      <c r="CH15" s="100">
        <v>10</v>
      </c>
      <c r="CI15" s="100">
        <v>7631.9999999999991</v>
      </c>
      <c r="CJ15" s="100">
        <v>8</v>
      </c>
      <c r="CK15" s="100">
        <v>6105.5999999999995</v>
      </c>
      <c r="CL15" s="100">
        <v>10</v>
      </c>
      <c r="CM15" s="100">
        <v>7631.9999999999991</v>
      </c>
      <c r="CN15" s="100">
        <v>8</v>
      </c>
      <c r="CO15" s="100">
        <v>6105.5999999999995</v>
      </c>
      <c r="CP15" s="100">
        <v>8</v>
      </c>
      <c r="CQ15" s="100">
        <v>6105.5999999999995</v>
      </c>
      <c r="CR15" s="100">
        <v>9</v>
      </c>
      <c r="CS15" s="100">
        <v>6868.7999999999993</v>
      </c>
      <c r="CT15" s="100">
        <v>7.993922685688867</v>
      </c>
      <c r="CU15" s="100">
        <v>6100.9617937177427</v>
      </c>
    </row>
    <row r="16" spans="1:99">
      <c r="C16" s="99" t="s">
        <v>182</v>
      </c>
      <c r="D16" s="100">
        <v>11</v>
      </c>
      <c r="E16" s="100">
        <v>3748.8</v>
      </c>
      <c r="F16" s="100">
        <v>6</v>
      </c>
      <c r="G16" s="100">
        <v>2044.8000000000002</v>
      </c>
      <c r="H16" s="100">
        <v>9</v>
      </c>
      <c r="I16" s="100">
        <v>3067.2000000000003</v>
      </c>
      <c r="J16" s="100">
        <v>9</v>
      </c>
      <c r="K16" s="100">
        <v>3067.2000000000003</v>
      </c>
      <c r="L16" s="100">
        <v>10</v>
      </c>
      <c r="M16" s="100">
        <v>3408</v>
      </c>
      <c r="N16" s="100">
        <v>5.35931633439791</v>
      </c>
      <c r="O16" s="100">
        <v>1826.4550067628079</v>
      </c>
      <c r="P16" s="100">
        <v>11</v>
      </c>
      <c r="Q16" s="100">
        <v>3748.8</v>
      </c>
      <c r="R16" s="100">
        <v>6.7854101278423276</v>
      </c>
      <c r="S16" s="100">
        <v>2312.4677715686653</v>
      </c>
      <c r="T16" s="100">
        <v>10</v>
      </c>
      <c r="U16" s="100">
        <v>3408</v>
      </c>
      <c r="V16" s="100">
        <v>11</v>
      </c>
      <c r="W16" s="100">
        <v>3748.8</v>
      </c>
      <c r="X16" s="100">
        <v>7.3518894460376503</v>
      </c>
      <c r="Y16" s="100">
        <v>2505.5239232096314</v>
      </c>
      <c r="Z16" s="100">
        <v>6</v>
      </c>
      <c r="AA16" s="100">
        <v>2044.8000000000002</v>
      </c>
      <c r="AB16" s="100">
        <v>6</v>
      </c>
      <c r="AC16" s="100">
        <v>2044.8000000000002</v>
      </c>
      <c r="AD16" s="100">
        <v>8</v>
      </c>
      <c r="AE16" s="100">
        <v>2726.4</v>
      </c>
      <c r="AF16" s="100">
        <v>9.5007455694444509</v>
      </c>
      <c r="AG16" s="100">
        <v>3237.854090066669</v>
      </c>
      <c r="AH16" s="100">
        <v>11</v>
      </c>
      <c r="AI16" s="100">
        <v>3748.8</v>
      </c>
      <c r="AJ16" s="100">
        <v>6</v>
      </c>
      <c r="AK16" s="100">
        <v>2044.8000000000002</v>
      </c>
      <c r="AL16" s="100">
        <v>4.3160668260594992</v>
      </c>
      <c r="AM16" s="100">
        <v>1470.9155743210774</v>
      </c>
      <c r="AN16" s="100">
        <v>12</v>
      </c>
      <c r="AO16" s="100">
        <v>4089.6000000000004</v>
      </c>
      <c r="AP16" s="100">
        <v>8</v>
      </c>
      <c r="AQ16" s="100">
        <v>2726.4</v>
      </c>
      <c r="AR16" s="100">
        <v>11</v>
      </c>
      <c r="AS16" s="100">
        <v>3748.8</v>
      </c>
      <c r="AT16" s="100">
        <v>7</v>
      </c>
      <c r="AU16" s="100">
        <v>2385.6</v>
      </c>
      <c r="AV16" s="100">
        <v>9</v>
      </c>
      <c r="AW16" s="100">
        <v>3067.2000000000003</v>
      </c>
      <c r="AX16" s="100">
        <v>7</v>
      </c>
      <c r="AY16" s="100">
        <v>2385.6</v>
      </c>
      <c r="AZ16" s="100">
        <v>5.001453802581965</v>
      </c>
      <c r="BA16" s="100">
        <v>1704.4954559199336</v>
      </c>
      <c r="BB16" s="100">
        <v>13</v>
      </c>
      <c r="BC16" s="100">
        <v>4430.4000000000005</v>
      </c>
      <c r="BD16" s="100">
        <v>7</v>
      </c>
      <c r="BE16" s="100">
        <v>2385.6</v>
      </c>
      <c r="BF16" s="100">
        <v>13</v>
      </c>
      <c r="BG16" s="100">
        <v>4430.4000000000005</v>
      </c>
      <c r="BH16" s="100">
        <v>3.3234468545591849</v>
      </c>
      <c r="BI16" s="100">
        <v>1132.6306880337702</v>
      </c>
      <c r="BJ16" s="100">
        <v>7</v>
      </c>
      <c r="BK16" s="100">
        <v>2385.6</v>
      </c>
      <c r="BL16" s="100">
        <v>6</v>
      </c>
      <c r="BM16" s="100">
        <v>2044.8000000000002</v>
      </c>
      <c r="BN16" s="100">
        <v>13</v>
      </c>
      <c r="BO16" s="100">
        <v>4430.4000000000005</v>
      </c>
      <c r="BP16" s="100">
        <v>11</v>
      </c>
      <c r="BQ16" s="100">
        <v>3748.8</v>
      </c>
      <c r="BR16" s="100">
        <v>1.4808875121223062</v>
      </c>
      <c r="BS16" s="100">
        <v>504.68646413128198</v>
      </c>
      <c r="BT16" s="100">
        <v>7.4195989908683977</v>
      </c>
      <c r="BU16" s="100">
        <v>2528.5993360879502</v>
      </c>
      <c r="BV16" s="100">
        <v>9</v>
      </c>
      <c r="BW16" s="100">
        <v>3067.2000000000003</v>
      </c>
      <c r="BX16" s="100">
        <v>13</v>
      </c>
      <c r="BY16" s="100">
        <v>4430.4000000000005</v>
      </c>
      <c r="BZ16" s="100">
        <v>7</v>
      </c>
      <c r="CA16" s="100">
        <v>2385.6</v>
      </c>
      <c r="CB16" s="100">
        <v>4.4087592638636961</v>
      </c>
      <c r="CC16" s="100">
        <v>1502.5051571247477</v>
      </c>
      <c r="CD16" s="100">
        <v>3.6542197839090866E-16</v>
      </c>
      <c r="CE16" s="100">
        <v>1.2453581023562167E-13</v>
      </c>
      <c r="CF16" s="100">
        <v>10</v>
      </c>
      <c r="CG16" s="100">
        <v>3408</v>
      </c>
      <c r="CH16" s="100">
        <v>10</v>
      </c>
      <c r="CI16" s="100">
        <v>3408</v>
      </c>
      <c r="CJ16" s="100">
        <v>8</v>
      </c>
      <c r="CK16" s="100">
        <v>2726.4</v>
      </c>
      <c r="CL16" s="100">
        <v>11</v>
      </c>
      <c r="CM16" s="100">
        <v>3748.8</v>
      </c>
      <c r="CN16" s="100">
        <v>8</v>
      </c>
      <c r="CO16" s="100">
        <v>2726.4</v>
      </c>
      <c r="CP16" s="100">
        <v>7</v>
      </c>
      <c r="CQ16" s="100">
        <v>2385.6</v>
      </c>
      <c r="CR16" s="100">
        <v>10</v>
      </c>
      <c r="CS16" s="100">
        <v>3408</v>
      </c>
      <c r="CT16" s="100">
        <v>8.7933149542577542</v>
      </c>
      <c r="CU16" s="100">
        <v>2996.7617364110429</v>
      </c>
    </row>
    <row r="17" spans="2:99">
      <c r="C17" s="99" t="s">
        <v>183</v>
      </c>
      <c r="D17" s="100">
        <v>10</v>
      </c>
      <c r="E17" s="100">
        <v>4224</v>
      </c>
      <c r="F17" s="100">
        <v>6</v>
      </c>
      <c r="G17" s="100">
        <v>2534.3999999999996</v>
      </c>
      <c r="H17" s="100">
        <v>10</v>
      </c>
      <c r="I17" s="100">
        <v>4224</v>
      </c>
      <c r="J17" s="100">
        <v>8</v>
      </c>
      <c r="K17" s="100">
        <v>3379.2</v>
      </c>
      <c r="L17" s="100">
        <v>10</v>
      </c>
      <c r="M17" s="100">
        <v>4224</v>
      </c>
      <c r="N17" s="100">
        <v>5.35931633439791</v>
      </c>
      <c r="O17" s="100">
        <v>2263.7752196496772</v>
      </c>
      <c r="P17" s="100">
        <v>10</v>
      </c>
      <c r="Q17" s="100">
        <v>4224</v>
      </c>
      <c r="R17" s="100">
        <v>6.7854101278423276</v>
      </c>
      <c r="S17" s="100">
        <v>2866.1572380005991</v>
      </c>
      <c r="T17" s="100">
        <v>9</v>
      </c>
      <c r="U17" s="100">
        <v>3801.6</v>
      </c>
      <c r="V17" s="100">
        <v>10</v>
      </c>
      <c r="W17" s="100">
        <v>4224</v>
      </c>
      <c r="X17" s="100">
        <v>8.2708756267923569</v>
      </c>
      <c r="Y17" s="100">
        <v>3493.6178647570914</v>
      </c>
      <c r="Z17" s="100">
        <v>6</v>
      </c>
      <c r="AA17" s="100">
        <v>2534.3999999999996</v>
      </c>
      <c r="AB17" s="100">
        <v>6</v>
      </c>
      <c r="AC17" s="100">
        <v>2534.3999999999996</v>
      </c>
      <c r="AD17" s="100">
        <v>8</v>
      </c>
      <c r="AE17" s="100">
        <v>3379.2</v>
      </c>
      <c r="AF17" s="100">
        <v>8.5506710125000058</v>
      </c>
      <c r="AG17" s="100">
        <v>3611.8034356800022</v>
      </c>
      <c r="AH17" s="100">
        <v>12</v>
      </c>
      <c r="AI17" s="100">
        <v>5068.7999999999993</v>
      </c>
      <c r="AJ17" s="100">
        <v>7</v>
      </c>
      <c r="AK17" s="100">
        <v>2956.7999999999997</v>
      </c>
      <c r="AL17" s="100">
        <v>4.8555751793169364</v>
      </c>
      <c r="AM17" s="100">
        <v>2050.9949557434738</v>
      </c>
      <c r="AN17" s="100">
        <v>11</v>
      </c>
      <c r="AO17" s="100">
        <v>4646.3999999999996</v>
      </c>
      <c r="AP17" s="100">
        <v>8</v>
      </c>
      <c r="AQ17" s="100">
        <v>3379.2</v>
      </c>
      <c r="AR17" s="100">
        <v>11</v>
      </c>
      <c r="AS17" s="100">
        <v>4646.3999999999996</v>
      </c>
      <c r="AT17" s="100">
        <v>7</v>
      </c>
      <c r="AU17" s="100">
        <v>2956.7999999999997</v>
      </c>
      <c r="AV17" s="100">
        <v>10</v>
      </c>
      <c r="AW17" s="100">
        <v>4224</v>
      </c>
      <c r="AX17" s="100">
        <v>8</v>
      </c>
      <c r="AY17" s="100">
        <v>3379.2</v>
      </c>
      <c r="AZ17" s="100">
        <v>5.001453802581965</v>
      </c>
      <c r="BA17" s="100">
        <v>2112.6140862106217</v>
      </c>
      <c r="BB17" s="100">
        <v>13</v>
      </c>
      <c r="BC17" s="100">
        <v>5491.2</v>
      </c>
      <c r="BD17" s="100">
        <v>7</v>
      </c>
      <c r="BE17" s="100">
        <v>2956.7999999999997</v>
      </c>
      <c r="BF17" s="100">
        <v>12</v>
      </c>
      <c r="BG17" s="100">
        <v>5068.7999999999993</v>
      </c>
      <c r="BH17" s="100">
        <v>3.3234468545591849</v>
      </c>
      <c r="BI17" s="100">
        <v>1403.8239513657995</v>
      </c>
      <c r="BJ17" s="100">
        <v>8</v>
      </c>
      <c r="BK17" s="100">
        <v>3379.2</v>
      </c>
      <c r="BL17" s="100">
        <v>6</v>
      </c>
      <c r="BM17" s="100">
        <v>2534.3999999999996</v>
      </c>
      <c r="BN17" s="100">
        <v>12</v>
      </c>
      <c r="BO17" s="100">
        <v>5068.7999999999993</v>
      </c>
      <c r="BP17" s="100">
        <v>11</v>
      </c>
      <c r="BQ17" s="100">
        <v>4646.3999999999996</v>
      </c>
      <c r="BR17" s="100">
        <v>1.4808875121223062</v>
      </c>
      <c r="BS17" s="100">
        <v>625.52688512046211</v>
      </c>
      <c r="BT17" s="100">
        <v>6.6776390917815585</v>
      </c>
      <c r="BU17" s="100">
        <v>2820.6347523685299</v>
      </c>
      <c r="BV17" s="100">
        <v>9</v>
      </c>
      <c r="BW17" s="100">
        <v>3801.6</v>
      </c>
      <c r="BX17" s="100">
        <v>12</v>
      </c>
      <c r="BY17" s="100">
        <v>5068.7999999999993</v>
      </c>
      <c r="BZ17" s="100">
        <v>6</v>
      </c>
      <c r="CA17" s="100">
        <v>2534.3999999999996</v>
      </c>
      <c r="CB17" s="100">
        <v>4.4087592638636961</v>
      </c>
      <c r="CC17" s="100">
        <v>1862.2599130560252</v>
      </c>
      <c r="CD17" s="100">
        <v>3.6542197839090866E-16</v>
      </c>
      <c r="CE17" s="100">
        <v>1.5435424367231981E-13</v>
      </c>
      <c r="CF17" s="100">
        <v>11</v>
      </c>
      <c r="CG17" s="100">
        <v>4646.3999999999996</v>
      </c>
      <c r="CH17" s="100">
        <v>10</v>
      </c>
      <c r="CI17" s="100">
        <v>4224</v>
      </c>
      <c r="CJ17" s="100">
        <v>8</v>
      </c>
      <c r="CK17" s="100">
        <v>3379.2</v>
      </c>
      <c r="CL17" s="100">
        <v>11</v>
      </c>
      <c r="CM17" s="100">
        <v>4646.3999999999996</v>
      </c>
      <c r="CN17" s="100">
        <v>8</v>
      </c>
      <c r="CO17" s="100">
        <v>3379.2</v>
      </c>
      <c r="CP17" s="100">
        <v>7</v>
      </c>
      <c r="CQ17" s="100">
        <v>2956.7999999999997</v>
      </c>
      <c r="CR17" s="100">
        <v>10</v>
      </c>
      <c r="CS17" s="100">
        <v>4224</v>
      </c>
      <c r="CT17" s="100">
        <v>7.1945304171199806</v>
      </c>
      <c r="CU17" s="100">
        <v>3038.9696481914798</v>
      </c>
    </row>
    <row r="18" spans="2:99">
      <c r="C18" s="99" t="s">
        <v>184</v>
      </c>
      <c r="D18" s="100">
        <v>11</v>
      </c>
      <c r="E18" s="100">
        <v>7180.7999999999993</v>
      </c>
      <c r="F18" s="100">
        <v>6</v>
      </c>
      <c r="G18" s="100">
        <v>3916.7999999999997</v>
      </c>
      <c r="H18" s="100">
        <v>10</v>
      </c>
      <c r="I18" s="100">
        <v>6528</v>
      </c>
      <c r="J18" s="100">
        <v>9</v>
      </c>
      <c r="K18" s="100">
        <v>5875.2</v>
      </c>
      <c r="L18" s="100">
        <v>10</v>
      </c>
      <c r="M18" s="100">
        <v>6528</v>
      </c>
      <c r="N18" s="100">
        <v>5.35931633439791</v>
      </c>
      <c r="O18" s="100">
        <v>3498.5617030949552</v>
      </c>
      <c r="P18" s="100">
        <v>10</v>
      </c>
      <c r="Q18" s="100">
        <v>6528</v>
      </c>
      <c r="R18" s="100">
        <v>6.7854101278423276</v>
      </c>
      <c r="S18" s="100">
        <v>4429.5157314554708</v>
      </c>
      <c r="T18" s="100">
        <v>9</v>
      </c>
      <c r="U18" s="100">
        <v>5875.2</v>
      </c>
      <c r="V18" s="100">
        <v>10</v>
      </c>
      <c r="W18" s="100">
        <v>6528</v>
      </c>
      <c r="X18" s="100">
        <v>8.2708756267923569</v>
      </c>
      <c r="Y18" s="100">
        <v>5399.2276091700505</v>
      </c>
      <c r="Z18" s="100">
        <v>6</v>
      </c>
      <c r="AA18" s="100">
        <v>3916.7999999999997</v>
      </c>
      <c r="AB18" s="100">
        <v>5</v>
      </c>
      <c r="AC18" s="100">
        <v>3264</v>
      </c>
      <c r="AD18" s="100">
        <v>8</v>
      </c>
      <c r="AE18" s="100">
        <v>5222.3999999999996</v>
      </c>
      <c r="AF18" s="100">
        <v>9.5007455694444509</v>
      </c>
      <c r="AG18" s="100">
        <v>6202.0867077333369</v>
      </c>
      <c r="AH18" s="100">
        <v>12</v>
      </c>
      <c r="AI18" s="100">
        <v>7833.5999999999995</v>
      </c>
      <c r="AJ18" s="100">
        <v>6</v>
      </c>
      <c r="AK18" s="100">
        <v>3916.7999999999997</v>
      </c>
      <c r="AL18" s="100">
        <v>5.3950835325743745</v>
      </c>
      <c r="AM18" s="100">
        <v>3521.9105300645515</v>
      </c>
      <c r="AN18" s="100">
        <v>10</v>
      </c>
      <c r="AO18" s="100">
        <v>6528</v>
      </c>
      <c r="AP18" s="100">
        <v>8</v>
      </c>
      <c r="AQ18" s="100">
        <v>5222.3999999999996</v>
      </c>
      <c r="AR18" s="100">
        <v>10</v>
      </c>
      <c r="AS18" s="100">
        <v>6528</v>
      </c>
      <c r="AT18" s="100">
        <v>7</v>
      </c>
      <c r="AU18" s="100">
        <v>4569.5999999999995</v>
      </c>
      <c r="AV18" s="100">
        <v>9</v>
      </c>
      <c r="AW18" s="100">
        <v>5875.2</v>
      </c>
      <c r="AX18" s="100">
        <v>7</v>
      </c>
      <c r="AY18" s="100">
        <v>4569.5999999999995</v>
      </c>
      <c r="AZ18" s="100">
        <v>4.6167265869987375</v>
      </c>
      <c r="BA18" s="100">
        <v>3013.7991159927756</v>
      </c>
      <c r="BB18" s="100">
        <v>12</v>
      </c>
      <c r="BC18" s="100">
        <v>7833.5999999999995</v>
      </c>
      <c r="BD18" s="100">
        <v>8</v>
      </c>
      <c r="BE18" s="100">
        <v>5222.3999999999996</v>
      </c>
      <c r="BF18" s="100">
        <v>12</v>
      </c>
      <c r="BG18" s="100">
        <v>7833.5999999999995</v>
      </c>
      <c r="BH18" s="100">
        <v>3.3234468545591849</v>
      </c>
      <c r="BI18" s="100">
        <v>2169.5461066562357</v>
      </c>
      <c r="BJ18" s="100">
        <v>8</v>
      </c>
      <c r="BK18" s="100">
        <v>5222.3999999999996</v>
      </c>
      <c r="BL18" s="100">
        <v>7</v>
      </c>
      <c r="BM18" s="100">
        <v>4569.5999999999995</v>
      </c>
      <c r="BN18" s="100">
        <v>12</v>
      </c>
      <c r="BO18" s="100">
        <v>7833.5999999999995</v>
      </c>
      <c r="BP18" s="100">
        <v>12</v>
      </c>
      <c r="BQ18" s="100">
        <v>7833.5999999999995</v>
      </c>
      <c r="BR18" s="100">
        <v>1.4808875121223062</v>
      </c>
      <c r="BS18" s="100">
        <v>966.72336791344139</v>
      </c>
      <c r="BT18" s="100">
        <v>6.6776390917815585</v>
      </c>
      <c r="BU18" s="100">
        <v>4359.1627991150008</v>
      </c>
      <c r="BV18" s="100">
        <v>8</v>
      </c>
      <c r="BW18" s="100">
        <v>5222.3999999999996</v>
      </c>
      <c r="BX18" s="100">
        <v>13</v>
      </c>
      <c r="BY18" s="100">
        <v>8486.4</v>
      </c>
      <c r="BZ18" s="100">
        <v>7</v>
      </c>
      <c r="CA18" s="100">
        <v>4569.5999999999995</v>
      </c>
      <c r="CB18" s="100">
        <v>4.4087592638636961</v>
      </c>
      <c r="CC18" s="100">
        <v>2878.0380474502208</v>
      </c>
      <c r="CD18" s="100">
        <v>3.6542197839090866E-16</v>
      </c>
      <c r="CE18" s="100">
        <v>2.3854746749358518E-13</v>
      </c>
      <c r="CF18" s="100">
        <v>10</v>
      </c>
      <c r="CG18" s="100">
        <v>6528</v>
      </c>
      <c r="CH18" s="100">
        <v>11</v>
      </c>
      <c r="CI18" s="100">
        <v>7180.7999999999993</v>
      </c>
      <c r="CJ18" s="100">
        <v>8</v>
      </c>
      <c r="CK18" s="100">
        <v>5222.3999999999996</v>
      </c>
      <c r="CL18" s="100">
        <v>10</v>
      </c>
      <c r="CM18" s="100">
        <v>6528</v>
      </c>
      <c r="CN18" s="100">
        <v>8</v>
      </c>
      <c r="CO18" s="100">
        <v>5222.3999999999996</v>
      </c>
      <c r="CP18" s="100">
        <v>7</v>
      </c>
      <c r="CQ18" s="100">
        <v>4569.5999999999995</v>
      </c>
      <c r="CR18" s="100">
        <v>10</v>
      </c>
      <c r="CS18" s="100">
        <v>6528</v>
      </c>
      <c r="CT18" s="100">
        <v>8.7933149542577542</v>
      </c>
      <c r="CU18" s="100">
        <v>5740.2760021394615</v>
      </c>
    </row>
    <row r="19" spans="2:99">
      <c r="C19" s="99" t="s">
        <v>185</v>
      </c>
      <c r="D19" s="100">
        <v>10</v>
      </c>
      <c r="E19" s="100">
        <v>3300</v>
      </c>
      <c r="F19" s="100">
        <v>6</v>
      </c>
      <c r="G19" s="100">
        <v>1980</v>
      </c>
      <c r="H19" s="100">
        <v>10</v>
      </c>
      <c r="I19" s="100">
        <v>3300</v>
      </c>
      <c r="J19" s="100">
        <v>10</v>
      </c>
      <c r="K19" s="100">
        <v>3300</v>
      </c>
      <c r="L19" s="100">
        <v>10</v>
      </c>
      <c r="M19" s="100">
        <v>3300</v>
      </c>
      <c r="N19" s="100">
        <v>5.35931633439791</v>
      </c>
      <c r="O19" s="100">
        <v>1768.5743903513103</v>
      </c>
      <c r="P19" s="100">
        <v>10</v>
      </c>
      <c r="Q19" s="100">
        <v>3300</v>
      </c>
      <c r="R19" s="100">
        <v>7.7547544318198032</v>
      </c>
      <c r="S19" s="100">
        <v>2559.0689625005352</v>
      </c>
      <c r="T19" s="100">
        <v>11</v>
      </c>
      <c r="U19" s="100">
        <v>3630</v>
      </c>
      <c r="V19" s="100">
        <v>9</v>
      </c>
      <c r="W19" s="100">
        <v>2970</v>
      </c>
      <c r="X19" s="100">
        <v>6.4329032652829445</v>
      </c>
      <c r="Y19" s="100">
        <v>2122.8580775433716</v>
      </c>
      <c r="Z19" s="100">
        <v>6</v>
      </c>
      <c r="AA19" s="100">
        <v>1980</v>
      </c>
      <c r="AB19" s="100">
        <v>6</v>
      </c>
      <c r="AC19" s="100">
        <v>1980</v>
      </c>
      <c r="AD19" s="100">
        <v>8</v>
      </c>
      <c r="AE19" s="100">
        <v>2640</v>
      </c>
      <c r="AF19" s="100">
        <v>8.5506710125000058</v>
      </c>
      <c r="AG19" s="100">
        <v>2821.7214341250019</v>
      </c>
      <c r="AH19" s="100">
        <v>11</v>
      </c>
      <c r="AI19" s="100">
        <v>3630</v>
      </c>
      <c r="AJ19" s="100">
        <v>6</v>
      </c>
      <c r="AK19" s="100">
        <v>1980</v>
      </c>
      <c r="AL19" s="100">
        <v>4.8555751793169364</v>
      </c>
      <c r="AM19" s="100">
        <v>1602.3398091745889</v>
      </c>
      <c r="AN19" s="100">
        <v>11</v>
      </c>
      <c r="AO19" s="100">
        <v>3630</v>
      </c>
      <c r="AP19" s="100">
        <v>8</v>
      </c>
      <c r="AQ19" s="100">
        <v>2640</v>
      </c>
      <c r="AR19" s="100">
        <v>12</v>
      </c>
      <c r="AS19" s="100">
        <v>3960</v>
      </c>
      <c r="AT19" s="100">
        <v>8</v>
      </c>
      <c r="AU19" s="100">
        <v>2640</v>
      </c>
      <c r="AV19" s="100">
        <v>9</v>
      </c>
      <c r="AW19" s="100">
        <v>2970</v>
      </c>
      <c r="AX19" s="100">
        <v>7</v>
      </c>
      <c r="AY19" s="100">
        <v>2310</v>
      </c>
      <c r="AZ19" s="100">
        <v>4.6167265869987375</v>
      </c>
      <c r="BA19" s="100">
        <v>1523.5197737095834</v>
      </c>
      <c r="BB19" s="100">
        <v>11</v>
      </c>
      <c r="BC19" s="100">
        <v>3630</v>
      </c>
      <c r="BD19" s="100">
        <v>7</v>
      </c>
      <c r="BE19" s="100">
        <v>2310</v>
      </c>
      <c r="BF19" s="100">
        <v>13</v>
      </c>
      <c r="BG19" s="100">
        <v>4290</v>
      </c>
      <c r="BH19" s="100">
        <v>3.3234468545591849</v>
      </c>
      <c r="BI19" s="100">
        <v>1096.7374620045309</v>
      </c>
      <c r="BJ19" s="100">
        <v>7</v>
      </c>
      <c r="BK19" s="100">
        <v>2310</v>
      </c>
      <c r="BL19" s="100">
        <v>7</v>
      </c>
      <c r="BM19" s="100">
        <v>2310</v>
      </c>
      <c r="BN19" s="100">
        <v>13</v>
      </c>
      <c r="BO19" s="100">
        <v>4290</v>
      </c>
      <c r="BP19" s="100">
        <v>11</v>
      </c>
      <c r="BQ19" s="100">
        <v>3630</v>
      </c>
      <c r="BR19" s="100">
        <v>1.2340729267685886</v>
      </c>
      <c r="BS19" s="100">
        <v>407.24406583363424</v>
      </c>
      <c r="BT19" s="100">
        <v>6.6776390917815585</v>
      </c>
      <c r="BU19" s="100">
        <v>2203.6209002879141</v>
      </c>
      <c r="BV19" s="100">
        <v>9</v>
      </c>
      <c r="BW19" s="100">
        <v>2970</v>
      </c>
      <c r="BX19" s="100">
        <v>13</v>
      </c>
      <c r="BY19" s="100">
        <v>4290</v>
      </c>
      <c r="BZ19" s="100">
        <v>7</v>
      </c>
      <c r="CA19" s="100">
        <v>2310</v>
      </c>
      <c r="CB19" s="100">
        <v>4.4087592638636961</v>
      </c>
      <c r="CC19" s="100">
        <v>1454.8905570750196</v>
      </c>
      <c r="CD19" s="100">
        <v>3.2481953634747437E-16</v>
      </c>
      <c r="CE19" s="100">
        <v>1.0719044699466654E-13</v>
      </c>
      <c r="CF19" s="100">
        <v>11</v>
      </c>
      <c r="CG19" s="100">
        <v>3630</v>
      </c>
      <c r="CH19" s="100">
        <v>11</v>
      </c>
      <c r="CI19" s="100">
        <v>3630</v>
      </c>
      <c r="CJ19" s="100">
        <v>8</v>
      </c>
      <c r="CK19" s="100">
        <v>2640</v>
      </c>
      <c r="CL19" s="100">
        <v>12</v>
      </c>
      <c r="CM19" s="100">
        <v>3960</v>
      </c>
      <c r="CN19" s="100">
        <v>8</v>
      </c>
      <c r="CO19" s="100">
        <v>2640</v>
      </c>
      <c r="CP19" s="100">
        <v>7</v>
      </c>
      <c r="CQ19" s="100">
        <v>2310</v>
      </c>
      <c r="CR19" s="100">
        <v>10</v>
      </c>
      <c r="CS19" s="100">
        <v>3300</v>
      </c>
      <c r="CT19" s="100">
        <v>8.7933149542577542</v>
      </c>
      <c r="CU19" s="100">
        <v>2901.7939349050589</v>
      </c>
    </row>
    <row r="20" spans="2:99">
      <c r="B20" s="99" t="s">
        <v>127</v>
      </c>
      <c r="C20" s="99" t="s">
        <v>186</v>
      </c>
      <c r="D20" s="100">
        <v>15</v>
      </c>
      <c r="E20" s="100">
        <v>4302</v>
      </c>
      <c r="F20" s="100">
        <v>16</v>
      </c>
      <c r="G20" s="100">
        <v>4588.8</v>
      </c>
      <c r="H20" s="100">
        <v>17</v>
      </c>
      <c r="I20" s="100">
        <v>4875.6000000000004</v>
      </c>
      <c r="J20" s="100">
        <v>20</v>
      </c>
      <c r="K20" s="100">
        <v>5736</v>
      </c>
      <c r="L20" s="100">
        <v>19</v>
      </c>
      <c r="M20" s="100">
        <v>5449.2</v>
      </c>
      <c r="N20" s="100">
        <v>14.546715764794326</v>
      </c>
      <c r="O20" s="100">
        <v>4171.9980813430129</v>
      </c>
      <c r="P20" s="100">
        <v>18</v>
      </c>
      <c r="Q20" s="100">
        <v>5162.4000000000005</v>
      </c>
      <c r="R20" s="100">
        <v>17.448197471594558</v>
      </c>
      <c r="S20" s="100">
        <v>5004.1430348533195</v>
      </c>
      <c r="T20" s="100">
        <v>20</v>
      </c>
      <c r="U20" s="100">
        <v>5736</v>
      </c>
      <c r="V20" s="100">
        <v>20</v>
      </c>
      <c r="W20" s="100">
        <v>5736</v>
      </c>
      <c r="X20" s="100">
        <v>13.784792711320595</v>
      </c>
      <c r="Y20" s="100">
        <v>3953.4785496067466</v>
      </c>
      <c r="Z20" s="100">
        <v>14</v>
      </c>
      <c r="AA20" s="100">
        <v>4015.2000000000003</v>
      </c>
      <c r="AB20" s="100">
        <v>11</v>
      </c>
      <c r="AC20" s="100">
        <v>3154.8</v>
      </c>
      <c r="AD20" s="100">
        <v>12</v>
      </c>
      <c r="AE20" s="100">
        <v>3441.6000000000004</v>
      </c>
      <c r="AF20" s="100">
        <v>19.001491138888902</v>
      </c>
      <c r="AG20" s="100">
        <v>5449.627658633337</v>
      </c>
      <c r="AH20" s="100">
        <v>19</v>
      </c>
      <c r="AI20" s="100">
        <v>5449.2</v>
      </c>
      <c r="AJ20" s="100">
        <v>14</v>
      </c>
      <c r="AK20" s="100">
        <v>4015.2000000000003</v>
      </c>
      <c r="AL20" s="100">
        <v>10.790167065148749</v>
      </c>
      <c r="AM20" s="100">
        <v>3094.6199142846613</v>
      </c>
      <c r="AN20" s="100">
        <v>15</v>
      </c>
      <c r="AO20" s="100">
        <v>4302</v>
      </c>
      <c r="AP20" s="100">
        <v>20</v>
      </c>
      <c r="AQ20" s="100">
        <v>5736</v>
      </c>
      <c r="AR20" s="100">
        <v>22</v>
      </c>
      <c r="AS20" s="100">
        <v>6309.6</v>
      </c>
      <c r="AT20" s="100">
        <v>13</v>
      </c>
      <c r="AU20" s="100">
        <v>3728.4</v>
      </c>
      <c r="AV20" s="100">
        <v>20</v>
      </c>
      <c r="AW20" s="100">
        <v>5736</v>
      </c>
      <c r="AX20" s="100">
        <v>21</v>
      </c>
      <c r="AY20" s="100">
        <v>6022.8</v>
      </c>
      <c r="AZ20" s="100">
        <v>6.9250898804981063</v>
      </c>
      <c r="BA20" s="100">
        <v>1986.115777726857</v>
      </c>
      <c r="BB20" s="100">
        <v>15</v>
      </c>
      <c r="BC20" s="100">
        <v>4302</v>
      </c>
      <c r="BD20" s="100">
        <v>13</v>
      </c>
      <c r="BE20" s="100">
        <v>3728.4</v>
      </c>
      <c r="BF20" s="100">
        <v>19</v>
      </c>
      <c r="BG20" s="100">
        <v>5449.2</v>
      </c>
      <c r="BH20" s="100">
        <v>9.1394788500377597</v>
      </c>
      <c r="BI20" s="100">
        <v>2621.2025341908297</v>
      </c>
      <c r="BJ20" s="100">
        <v>13</v>
      </c>
      <c r="BK20" s="100">
        <v>3728.4</v>
      </c>
      <c r="BL20" s="100">
        <v>20</v>
      </c>
      <c r="BM20" s="100">
        <v>5736</v>
      </c>
      <c r="BN20" s="100">
        <v>13</v>
      </c>
      <c r="BO20" s="100">
        <v>3728.4</v>
      </c>
      <c r="BP20" s="100">
        <v>15</v>
      </c>
      <c r="BQ20" s="100">
        <v>4302</v>
      </c>
      <c r="BR20" s="100">
        <v>1.9745166828297418</v>
      </c>
      <c r="BS20" s="100">
        <v>566.29138463557001</v>
      </c>
      <c r="BT20" s="100">
        <v>17.807037578084156</v>
      </c>
      <c r="BU20" s="100">
        <v>5107.0583773945364</v>
      </c>
      <c r="BV20" s="100">
        <v>22</v>
      </c>
      <c r="BW20" s="100">
        <v>6309.6</v>
      </c>
      <c r="BX20" s="100">
        <v>12</v>
      </c>
      <c r="BY20" s="100">
        <v>3441.6000000000004</v>
      </c>
      <c r="BZ20" s="100">
        <v>15</v>
      </c>
      <c r="CA20" s="100">
        <v>4302</v>
      </c>
      <c r="CB20" s="100">
        <v>13.226277791591089</v>
      </c>
      <c r="CC20" s="100">
        <v>3793.2964706283246</v>
      </c>
      <c r="CD20" s="100">
        <v>7.7144639882525161E-16</v>
      </c>
      <c r="CE20" s="100">
        <v>2.2125082718308217E-13</v>
      </c>
      <c r="CF20" s="100">
        <v>16</v>
      </c>
      <c r="CG20" s="100">
        <v>4588.8</v>
      </c>
      <c r="CH20" s="100">
        <v>17</v>
      </c>
      <c r="CI20" s="100">
        <v>4875.6000000000004</v>
      </c>
      <c r="CJ20" s="100">
        <v>16</v>
      </c>
      <c r="CK20" s="100">
        <v>4588.8</v>
      </c>
      <c r="CL20" s="100">
        <v>14</v>
      </c>
      <c r="CM20" s="100">
        <v>4015.2000000000003</v>
      </c>
      <c r="CN20" s="100">
        <v>13</v>
      </c>
      <c r="CO20" s="100">
        <v>3728.4</v>
      </c>
      <c r="CP20" s="100">
        <v>14</v>
      </c>
      <c r="CQ20" s="100">
        <v>4015.2000000000003</v>
      </c>
      <c r="CR20" s="100">
        <v>12</v>
      </c>
      <c r="CS20" s="100">
        <v>3441.6000000000004</v>
      </c>
      <c r="CT20" s="100">
        <v>11.191491759964416</v>
      </c>
      <c r="CU20" s="100">
        <v>3209.7198367577948</v>
      </c>
    </row>
    <row r="21" spans="2:99">
      <c r="C21" s="99" t="s">
        <v>187</v>
      </c>
      <c r="D21" s="100">
        <v>14</v>
      </c>
      <c r="E21" s="100">
        <v>873.6</v>
      </c>
      <c r="F21" s="100">
        <v>14</v>
      </c>
      <c r="G21" s="100">
        <v>873.6</v>
      </c>
      <c r="H21" s="100">
        <v>18</v>
      </c>
      <c r="I21" s="100">
        <v>1123.2</v>
      </c>
      <c r="J21" s="100">
        <v>18</v>
      </c>
      <c r="K21" s="100">
        <v>1123.2</v>
      </c>
      <c r="L21" s="100">
        <v>20</v>
      </c>
      <c r="M21" s="100">
        <v>1248</v>
      </c>
      <c r="N21" s="100">
        <v>14.546715764794326</v>
      </c>
      <c r="O21" s="100">
        <v>907.71506372316594</v>
      </c>
      <c r="P21" s="100">
        <v>19</v>
      </c>
      <c r="Q21" s="100">
        <v>1185.5999999999999</v>
      </c>
      <c r="R21" s="100">
        <v>16.478853167617082</v>
      </c>
      <c r="S21" s="100">
        <v>1028.2804376593058</v>
      </c>
      <c r="T21" s="100">
        <v>18</v>
      </c>
      <c r="U21" s="100">
        <v>1123.2</v>
      </c>
      <c r="V21" s="100">
        <v>19</v>
      </c>
      <c r="W21" s="100">
        <v>1185.5999999999999</v>
      </c>
      <c r="X21" s="100">
        <v>12.865806530565889</v>
      </c>
      <c r="Y21" s="100">
        <v>802.82632750731148</v>
      </c>
      <c r="Z21" s="100">
        <v>14</v>
      </c>
      <c r="AA21" s="100">
        <v>873.6</v>
      </c>
      <c r="AB21" s="100">
        <v>10</v>
      </c>
      <c r="AC21" s="100">
        <v>624</v>
      </c>
      <c r="AD21" s="100">
        <v>14</v>
      </c>
      <c r="AE21" s="100">
        <v>873.6</v>
      </c>
      <c r="AF21" s="100">
        <v>17.101342025000012</v>
      </c>
      <c r="AG21" s="100">
        <v>1067.1237423600007</v>
      </c>
      <c r="AH21" s="100">
        <v>19</v>
      </c>
      <c r="AI21" s="100">
        <v>1185.5999999999999</v>
      </c>
      <c r="AJ21" s="100">
        <v>15</v>
      </c>
      <c r="AK21" s="100">
        <v>936</v>
      </c>
      <c r="AL21" s="100">
        <v>11.869183771663621</v>
      </c>
      <c r="AM21" s="100">
        <v>740.63706735180995</v>
      </c>
      <c r="AN21" s="100">
        <v>16</v>
      </c>
      <c r="AO21" s="100">
        <v>998.4</v>
      </c>
      <c r="AP21" s="100">
        <v>19</v>
      </c>
      <c r="AQ21" s="100">
        <v>1185.5999999999999</v>
      </c>
      <c r="AR21" s="100">
        <v>20</v>
      </c>
      <c r="AS21" s="100">
        <v>1248</v>
      </c>
      <c r="AT21" s="100">
        <v>13</v>
      </c>
      <c r="AU21" s="100">
        <v>811.19999999999993</v>
      </c>
      <c r="AV21" s="100">
        <v>23</v>
      </c>
      <c r="AW21" s="100">
        <v>1435.2</v>
      </c>
      <c r="AX21" s="100">
        <v>21</v>
      </c>
      <c r="AY21" s="100">
        <v>1310.3999999999999</v>
      </c>
      <c r="AZ21" s="100">
        <v>6.5403626649148778</v>
      </c>
      <c r="BA21" s="100">
        <v>408.11863029068837</v>
      </c>
      <c r="BB21" s="100">
        <v>15</v>
      </c>
      <c r="BC21" s="100">
        <v>936</v>
      </c>
      <c r="BD21" s="100">
        <v>14</v>
      </c>
      <c r="BE21" s="100">
        <v>873.6</v>
      </c>
      <c r="BF21" s="100">
        <v>21</v>
      </c>
      <c r="BG21" s="100">
        <v>1310.3999999999999</v>
      </c>
      <c r="BH21" s="100">
        <v>8.7240479932178605</v>
      </c>
      <c r="BI21" s="100">
        <v>544.38059477679451</v>
      </c>
      <c r="BJ21" s="100">
        <v>12</v>
      </c>
      <c r="BK21" s="100">
        <v>748.8</v>
      </c>
      <c r="BL21" s="100">
        <v>22</v>
      </c>
      <c r="BM21" s="100">
        <v>1372.8</v>
      </c>
      <c r="BN21" s="100">
        <v>14</v>
      </c>
      <c r="BO21" s="100">
        <v>873.6</v>
      </c>
      <c r="BP21" s="100">
        <v>15</v>
      </c>
      <c r="BQ21" s="100">
        <v>936</v>
      </c>
      <c r="BR21" s="100">
        <v>1.9745166828297418</v>
      </c>
      <c r="BS21" s="100">
        <v>123.20984100857588</v>
      </c>
      <c r="BT21" s="100">
        <v>18.548997477170992</v>
      </c>
      <c r="BU21" s="100">
        <v>1157.4574425754699</v>
      </c>
      <c r="BV21" s="100">
        <v>24</v>
      </c>
      <c r="BW21" s="100">
        <v>1497.6</v>
      </c>
      <c r="BX21" s="100">
        <v>13</v>
      </c>
      <c r="BY21" s="100">
        <v>811.19999999999993</v>
      </c>
      <c r="BZ21" s="100">
        <v>15</v>
      </c>
      <c r="CA21" s="100">
        <v>936</v>
      </c>
      <c r="CB21" s="100">
        <v>13.856100543571618</v>
      </c>
      <c r="CC21" s="100">
        <v>864.62067391886887</v>
      </c>
      <c r="CD21" s="100">
        <v>6.9024151473838303E-16</v>
      </c>
      <c r="CE21" s="100">
        <v>4.3071070519675099E-14</v>
      </c>
      <c r="CF21" s="100">
        <v>16</v>
      </c>
      <c r="CG21" s="100">
        <v>998.4</v>
      </c>
      <c r="CH21" s="100">
        <v>16</v>
      </c>
      <c r="CI21" s="100">
        <v>998.4</v>
      </c>
      <c r="CJ21" s="100">
        <v>18</v>
      </c>
      <c r="CK21" s="100">
        <v>1123.2</v>
      </c>
      <c r="CL21" s="100">
        <v>13</v>
      </c>
      <c r="CM21" s="100">
        <v>811.19999999999993</v>
      </c>
      <c r="CN21" s="100">
        <v>13</v>
      </c>
      <c r="CO21" s="100">
        <v>811.19999999999993</v>
      </c>
      <c r="CP21" s="100">
        <v>13</v>
      </c>
      <c r="CQ21" s="100">
        <v>811.19999999999993</v>
      </c>
      <c r="CR21" s="100">
        <v>13</v>
      </c>
      <c r="CS21" s="100">
        <v>811.19999999999993</v>
      </c>
      <c r="CT21" s="100">
        <v>12.790276297102187</v>
      </c>
      <c r="CU21" s="100">
        <v>798.11324093917642</v>
      </c>
    </row>
    <row r="22" spans="2:99">
      <c r="C22" s="99" t="s">
        <v>188</v>
      </c>
      <c r="D22" s="100">
        <v>14</v>
      </c>
      <c r="E22" s="100">
        <v>2620.7999999999997</v>
      </c>
      <c r="F22" s="100">
        <v>16</v>
      </c>
      <c r="G22" s="100">
        <v>2995.2</v>
      </c>
      <c r="H22" s="100">
        <v>17</v>
      </c>
      <c r="I22" s="100">
        <v>3182.3999999999996</v>
      </c>
      <c r="J22" s="100">
        <v>17</v>
      </c>
      <c r="K22" s="100">
        <v>3182.3999999999996</v>
      </c>
      <c r="L22" s="100">
        <v>21</v>
      </c>
      <c r="M22" s="100">
        <v>3931.2</v>
      </c>
      <c r="N22" s="100">
        <v>12.249865907195224</v>
      </c>
      <c r="O22" s="100">
        <v>2293.1748978269457</v>
      </c>
      <c r="P22" s="100">
        <v>21</v>
      </c>
      <c r="Q22" s="100">
        <v>3931.2</v>
      </c>
      <c r="R22" s="100">
        <v>16.478853167617082</v>
      </c>
      <c r="S22" s="100">
        <v>3084.8413129779174</v>
      </c>
      <c r="T22" s="100">
        <v>18</v>
      </c>
      <c r="U22" s="100">
        <v>3369.6</v>
      </c>
      <c r="V22" s="100">
        <v>23</v>
      </c>
      <c r="W22" s="100">
        <v>4305.5999999999995</v>
      </c>
      <c r="X22" s="100">
        <v>11.946820349811182</v>
      </c>
      <c r="Y22" s="100">
        <v>2236.4447694846531</v>
      </c>
      <c r="Z22" s="100">
        <v>15</v>
      </c>
      <c r="AA22" s="100">
        <v>2808</v>
      </c>
      <c r="AB22" s="100">
        <v>11</v>
      </c>
      <c r="AC22" s="100">
        <v>2059.1999999999998</v>
      </c>
      <c r="AD22" s="100">
        <v>15</v>
      </c>
      <c r="AE22" s="100">
        <v>2808</v>
      </c>
      <c r="AF22" s="100">
        <v>17.101342025000012</v>
      </c>
      <c r="AG22" s="100">
        <v>3201.371227080002</v>
      </c>
      <c r="AH22" s="100">
        <v>18</v>
      </c>
      <c r="AI22" s="100">
        <v>3369.6</v>
      </c>
      <c r="AJ22" s="100">
        <v>14</v>
      </c>
      <c r="AK22" s="100">
        <v>2620.7999999999997</v>
      </c>
      <c r="AL22" s="100">
        <v>10.790167065148749</v>
      </c>
      <c r="AM22" s="100">
        <v>2019.9192745958458</v>
      </c>
      <c r="AN22" s="100">
        <v>15</v>
      </c>
      <c r="AO22" s="100">
        <v>2808</v>
      </c>
      <c r="AP22" s="100">
        <v>19</v>
      </c>
      <c r="AQ22" s="100">
        <v>3556.7999999999997</v>
      </c>
      <c r="AR22" s="100">
        <v>21</v>
      </c>
      <c r="AS22" s="100">
        <v>3931.2</v>
      </c>
      <c r="AT22" s="100">
        <v>13</v>
      </c>
      <c r="AU22" s="100">
        <v>2433.6</v>
      </c>
      <c r="AV22" s="100">
        <v>22</v>
      </c>
      <c r="AW22" s="100">
        <v>4118.3999999999996</v>
      </c>
      <c r="AX22" s="100">
        <v>20</v>
      </c>
      <c r="AY22" s="100">
        <v>3744</v>
      </c>
      <c r="AZ22" s="100">
        <v>6.5403626649148778</v>
      </c>
      <c r="BA22" s="100">
        <v>1224.3558908720649</v>
      </c>
      <c r="BB22" s="100">
        <v>13</v>
      </c>
      <c r="BC22" s="100">
        <v>2433.6</v>
      </c>
      <c r="BD22" s="100">
        <v>15</v>
      </c>
      <c r="BE22" s="100">
        <v>2808</v>
      </c>
      <c r="BF22" s="100">
        <v>21</v>
      </c>
      <c r="BG22" s="100">
        <v>3931.2</v>
      </c>
      <c r="BH22" s="100">
        <v>8.3086171363979631</v>
      </c>
      <c r="BI22" s="100">
        <v>1555.3731279336987</v>
      </c>
      <c r="BJ22" s="100">
        <v>11</v>
      </c>
      <c r="BK22" s="100">
        <v>2059.1999999999998</v>
      </c>
      <c r="BL22" s="100">
        <v>22</v>
      </c>
      <c r="BM22" s="100">
        <v>4118.3999999999996</v>
      </c>
      <c r="BN22" s="100">
        <v>13</v>
      </c>
      <c r="BO22" s="100">
        <v>2433.6</v>
      </c>
      <c r="BP22" s="100">
        <v>13</v>
      </c>
      <c r="BQ22" s="100">
        <v>2433.6</v>
      </c>
      <c r="BR22" s="100">
        <v>2.2213312681834596</v>
      </c>
      <c r="BS22" s="100">
        <v>415.8332134039436</v>
      </c>
      <c r="BT22" s="100">
        <v>17.807037578084156</v>
      </c>
      <c r="BU22" s="100">
        <v>3333.477434617354</v>
      </c>
      <c r="BV22" s="100">
        <v>20</v>
      </c>
      <c r="BW22" s="100">
        <v>3744</v>
      </c>
      <c r="BX22" s="100">
        <v>13</v>
      </c>
      <c r="BY22" s="100">
        <v>2433.6</v>
      </c>
      <c r="BZ22" s="100">
        <v>14</v>
      </c>
      <c r="CA22" s="100">
        <v>2620.7999999999997</v>
      </c>
      <c r="CB22" s="100">
        <v>14.485923295552144</v>
      </c>
      <c r="CC22" s="100">
        <v>2711.7648409273611</v>
      </c>
      <c r="CD22" s="100">
        <v>6.9024151473838303E-16</v>
      </c>
      <c r="CE22" s="100">
        <v>1.292132115590253E-13</v>
      </c>
      <c r="CF22" s="100">
        <v>15</v>
      </c>
      <c r="CG22" s="100">
        <v>2808</v>
      </c>
      <c r="CH22" s="100">
        <v>17</v>
      </c>
      <c r="CI22" s="100">
        <v>3182.3999999999996</v>
      </c>
      <c r="CJ22" s="100">
        <v>15</v>
      </c>
      <c r="CK22" s="100">
        <v>2808</v>
      </c>
      <c r="CL22" s="100">
        <v>14</v>
      </c>
      <c r="CM22" s="100">
        <v>2620.7999999999997</v>
      </c>
      <c r="CN22" s="100">
        <v>13</v>
      </c>
      <c r="CO22" s="100">
        <v>2433.6</v>
      </c>
      <c r="CP22" s="100">
        <v>13</v>
      </c>
      <c r="CQ22" s="100">
        <v>2433.6</v>
      </c>
      <c r="CR22" s="100">
        <v>13</v>
      </c>
      <c r="CS22" s="100">
        <v>2433.6</v>
      </c>
      <c r="CT22" s="100">
        <v>11.990884028533301</v>
      </c>
      <c r="CU22" s="100">
        <v>2244.6934901414338</v>
      </c>
    </row>
    <row r="23" spans="2:99">
      <c r="C23" s="99" t="s">
        <v>189</v>
      </c>
      <c r="D23" s="100">
        <v>17</v>
      </c>
      <c r="E23" s="100">
        <v>4998</v>
      </c>
      <c r="F23" s="100">
        <v>14</v>
      </c>
      <c r="G23" s="100">
        <v>4116</v>
      </c>
      <c r="H23" s="100">
        <v>18</v>
      </c>
      <c r="I23" s="100">
        <v>5292</v>
      </c>
      <c r="J23" s="100">
        <v>19</v>
      </c>
      <c r="K23" s="100">
        <v>5586</v>
      </c>
      <c r="L23" s="100">
        <v>22</v>
      </c>
      <c r="M23" s="100">
        <v>6468</v>
      </c>
      <c r="N23" s="100">
        <v>14.546715764794326</v>
      </c>
      <c r="O23" s="100">
        <v>4276.7344348495317</v>
      </c>
      <c r="P23" s="100">
        <v>20</v>
      </c>
      <c r="Q23" s="100">
        <v>5880</v>
      </c>
      <c r="R23" s="100">
        <v>17.448197471594558</v>
      </c>
      <c r="S23" s="100">
        <v>5129.7700566488002</v>
      </c>
      <c r="T23" s="100">
        <v>20</v>
      </c>
      <c r="U23" s="100">
        <v>5880</v>
      </c>
      <c r="V23" s="100">
        <v>20</v>
      </c>
      <c r="W23" s="100">
        <v>5880</v>
      </c>
      <c r="X23" s="100">
        <v>11.946820349811182</v>
      </c>
      <c r="Y23" s="100">
        <v>3512.3651828444872</v>
      </c>
      <c r="Z23" s="100">
        <v>13</v>
      </c>
      <c r="AA23" s="100">
        <v>3822</v>
      </c>
      <c r="AB23" s="100">
        <v>10</v>
      </c>
      <c r="AC23" s="100">
        <v>2940</v>
      </c>
      <c r="AD23" s="100">
        <v>13</v>
      </c>
      <c r="AE23" s="100">
        <v>3822</v>
      </c>
      <c r="AF23" s="100">
        <v>19.951565695833352</v>
      </c>
      <c r="AG23" s="100">
        <v>5865.7603145750054</v>
      </c>
      <c r="AH23" s="100">
        <v>18</v>
      </c>
      <c r="AI23" s="100">
        <v>5292</v>
      </c>
      <c r="AJ23" s="100">
        <v>13</v>
      </c>
      <c r="AK23" s="100">
        <v>3822</v>
      </c>
      <c r="AL23" s="100">
        <v>10.790167065148749</v>
      </c>
      <c r="AM23" s="100">
        <v>3172.3091171537321</v>
      </c>
      <c r="AN23" s="100">
        <v>15</v>
      </c>
      <c r="AO23" s="100">
        <v>4410</v>
      </c>
      <c r="AP23" s="100">
        <v>20</v>
      </c>
      <c r="AQ23" s="100">
        <v>5880</v>
      </c>
      <c r="AR23" s="100">
        <v>21</v>
      </c>
      <c r="AS23" s="100">
        <v>6174</v>
      </c>
      <c r="AT23" s="100">
        <v>13</v>
      </c>
      <c r="AU23" s="100">
        <v>3822</v>
      </c>
      <c r="AV23" s="100">
        <v>22</v>
      </c>
      <c r="AW23" s="100">
        <v>6468</v>
      </c>
      <c r="AX23" s="100">
        <v>21</v>
      </c>
      <c r="AY23" s="100">
        <v>6174</v>
      </c>
      <c r="AZ23" s="100">
        <v>6.1556354493316494</v>
      </c>
      <c r="BA23" s="100">
        <v>1809.7568221035049</v>
      </c>
      <c r="BB23" s="100">
        <v>15</v>
      </c>
      <c r="BC23" s="100">
        <v>4410</v>
      </c>
      <c r="BD23" s="100">
        <v>15</v>
      </c>
      <c r="BE23" s="100">
        <v>4410</v>
      </c>
      <c r="BF23" s="100">
        <v>22</v>
      </c>
      <c r="BG23" s="100">
        <v>6468</v>
      </c>
      <c r="BH23" s="100">
        <v>9.1394788500377597</v>
      </c>
      <c r="BI23" s="100">
        <v>2687.0067819111014</v>
      </c>
      <c r="BJ23" s="100">
        <v>11</v>
      </c>
      <c r="BK23" s="100">
        <v>3234</v>
      </c>
      <c r="BL23" s="100">
        <v>22</v>
      </c>
      <c r="BM23" s="100">
        <v>6468</v>
      </c>
      <c r="BN23" s="100">
        <v>13</v>
      </c>
      <c r="BO23" s="100">
        <v>3822</v>
      </c>
      <c r="BP23" s="100">
        <v>13</v>
      </c>
      <c r="BQ23" s="100">
        <v>3822</v>
      </c>
      <c r="BR23" s="100">
        <v>2.2213312681834596</v>
      </c>
      <c r="BS23" s="100">
        <v>653.07139284593711</v>
      </c>
      <c r="BT23" s="100">
        <v>17.065077678997316</v>
      </c>
      <c r="BU23" s="100">
        <v>5017.1328376252104</v>
      </c>
      <c r="BV23" s="100">
        <v>23</v>
      </c>
      <c r="BW23" s="100">
        <v>6762</v>
      </c>
      <c r="BX23" s="100">
        <v>13</v>
      </c>
      <c r="BY23" s="100">
        <v>3822</v>
      </c>
      <c r="BZ23" s="100">
        <v>14</v>
      </c>
      <c r="CA23" s="100">
        <v>4116</v>
      </c>
      <c r="CB23" s="100">
        <v>12.596455039610561</v>
      </c>
      <c r="CC23" s="100">
        <v>3703.3577816455049</v>
      </c>
      <c r="CD23" s="100">
        <v>6.9024151473838303E-16</v>
      </c>
      <c r="CE23" s="100">
        <v>2.029310053330846E-13</v>
      </c>
      <c r="CF23" s="100">
        <v>18</v>
      </c>
      <c r="CG23" s="100">
        <v>5292</v>
      </c>
      <c r="CH23" s="100">
        <v>16</v>
      </c>
      <c r="CI23" s="100">
        <v>4704</v>
      </c>
      <c r="CJ23" s="100">
        <v>18</v>
      </c>
      <c r="CK23" s="100">
        <v>5292</v>
      </c>
      <c r="CL23" s="100">
        <v>14</v>
      </c>
      <c r="CM23" s="100">
        <v>4116</v>
      </c>
      <c r="CN23" s="100">
        <v>11</v>
      </c>
      <c r="CO23" s="100">
        <v>3234</v>
      </c>
      <c r="CP23" s="100">
        <v>12</v>
      </c>
      <c r="CQ23" s="100">
        <v>3528</v>
      </c>
      <c r="CR23" s="100">
        <v>14</v>
      </c>
      <c r="CS23" s="100">
        <v>4116</v>
      </c>
      <c r="CT23" s="100">
        <v>11.191491759964416</v>
      </c>
      <c r="CU23" s="100">
        <v>3290.2985774295385</v>
      </c>
    </row>
    <row r="24" spans="2:99">
      <c r="C24" s="99" t="s">
        <v>190</v>
      </c>
      <c r="D24" s="100">
        <v>16</v>
      </c>
      <c r="E24" s="100">
        <v>5875.2</v>
      </c>
      <c r="F24" s="100">
        <v>15</v>
      </c>
      <c r="G24" s="100">
        <v>5508</v>
      </c>
      <c r="H24" s="100">
        <v>17</v>
      </c>
      <c r="I24" s="100">
        <v>6242.4</v>
      </c>
      <c r="J24" s="100">
        <v>19</v>
      </c>
      <c r="K24" s="100">
        <v>6976.8</v>
      </c>
      <c r="L24" s="100">
        <v>20</v>
      </c>
      <c r="M24" s="100">
        <v>7344</v>
      </c>
      <c r="N24" s="100">
        <v>13.781099145594625</v>
      </c>
      <c r="O24" s="100">
        <v>5060.419606262346</v>
      </c>
      <c r="P24" s="100">
        <v>18</v>
      </c>
      <c r="Q24" s="100">
        <v>6609.5999999999995</v>
      </c>
      <c r="R24" s="100">
        <v>17.448197471594558</v>
      </c>
      <c r="S24" s="100">
        <v>6406.9781115695214</v>
      </c>
      <c r="T24" s="100">
        <v>19</v>
      </c>
      <c r="U24" s="100">
        <v>6976.8</v>
      </c>
      <c r="V24" s="100">
        <v>21</v>
      </c>
      <c r="W24" s="100">
        <v>7711.2</v>
      </c>
      <c r="X24" s="100">
        <v>12.865806530565889</v>
      </c>
      <c r="Y24" s="100">
        <v>4724.3241580237946</v>
      </c>
      <c r="Z24" s="100">
        <v>13</v>
      </c>
      <c r="AA24" s="100">
        <v>4773.5999999999995</v>
      </c>
      <c r="AB24" s="100">
        <v>11</v>
      </c>
      <c r="AC24" s="100">
        <v>4039.2</v>
      </c>
      <c r="AD24" s="100">
        <v>13</v>
      </c>
      <c r="AE24" s="100">
        <v>4773.5999999999995</v>
      </c>
      <c r="AF24" s="100">
        <v>18.051416581944459</v>
      </c>
      <c r="AG24" s="100">
        <v>6628.4801688900052</v>
      </c>
      <c r="AH24" s="100">
        <v>18</v>
      </c>
      <c r="AI24" s="100">
        <v>6609.5999999999995</v>
      </c>
      <c r="AJ24" s="100">
        <v>13</v>
      </c>
      <c r="AK24" s="100">
        <v>4773.5999999999995</v>
      </c>
      <c r="AL24" s="100">
        <v>11.869183771663621</v>
      </c>
      <c r="AM24" s="100">
        <v>4358.3642809548819</v>
      </c>
      <c r="AN24" s="100">
        <v>13</v>
      </c>
      <c r="AO24" s="100">
        <v>4773.5999999999995</v>
      </c>
      <c r="AP24" s="100">
        <v>21</v>
      </c>
      <c r="AQ24" s="100">
        <v>7711.2</v>
      </c>
      <c r="AR24" s="100">
        <v>21</v>
      </c>
      <c r="AS24" s="100">
        <v>7711.2</v>
      </c>
      <c r="AT24" s="100">
        <v>13</v>
      </c>
      <c r="AU24" s="100">
        <v>4773.5999999999995</v>
      </c>
      <c r="AV24" s="100">
        <v>21</v>
      </c>
      <c r="AW24" s="100">
        <v>7711.2</v>
      </c>
      <c r="AX24" s="100">
        <v>19</v>
      </c>
      <c r="AY24" s="100">
        <v>6976.8</v>
      </c>
      <c r="AZ24" s="100">
        <v>6.9250898804981063</v>
      </c>
      <c r="BA24" s="100">
        <v>2542.8930041189046</v>
      </c>
      <c r="BB24" s="100">
        <v>15</v>
      </c>
      <c r="BC24" s="100">
        <v>5508</v>
      </c>
      <c r="BD24" s="100">
        <v>15</v>
      </c>
      <c r="BE24" s="100">
        <v>5508</v>
      </c>
      <c r="BF24" s="100">
        <v>22</v>
      </c>
      <c r="BG24" s="100">
        <v>8078.4</v>
      </c>
      <c r="BH24" s="100">
        <v>8.7240479932178605</v>
      </c>
      <c r="BI24" s="100">
        <v>3203.4704231095984</v>
      </c>
      <c r="BJ24" s="100">
        <v>12</v>
      </c>
      <c r="BK24" s="100">
        <v>4406.3999999999996</v>
      </c>
      <c r="BL24" s="100">
        <v>23</v>
      </c>
      <c r="BM24" s="100">
        <v>8445.6</v>
      </c>
      <c r="BN24" s="100">
        <v>12</v>
      </c>
      <c r="BO24" s="100">
        <v>4406.3999999999996</v>
      </c>
      <c r="BP24" s="100">
        <v>13</v>
      </c>
      <c r="BQ24" s="100">
        <v>4773.5999999999995</v>
      </c>
      <c r="BR24" s="100">
        <v>2.097923975506601</v>
      </c>
      <c r="BS24" s="100">
        <v>770.35768380602383</v>
      </c>
      <c r="BT24" s="100">
        <v>17.065077678997316</v>
      </c>
      <c r="BU24" s="100">
        <v>6266.296523727814</v>
      </c>
      <c r="BV24" s="100">
        <v>24</v>
      </c>
      <c r="BW24" s="100">
        <v>8812.7999999999993</v>
      </c>
      <c r="BX24" s="100">
        <v>13</v>
      </c>
      <c r="BY24" s="100">
        <v>4773.5999999999995</v>
      </c>
      <c r="BZ24" s="100">
        <v>16</v>
      </c>
      <c r="CA24" s="100">
        <v>5875.2</v>
      </c>
      <c r="CB24" s="100">
        <v>12.596455039610561</v>
      </c>
      <c r="CC24" s="100">
        <v>4625.4182905449979</v>
      </c>
      <c r="CD24" s="100">
        <v>7.3084395678181732E-16</v>
      </c>
      <c r="CE24" s="100">
        <v>2.683659009302833E-13</v>
      </c>
      <c r="CF24" s="100">
        <v>15</v>
      </c>
      <c r="CG24" s="100">
        <v>5508</v>
      </c>
      <c r="CH24" s="100">
        <v>17</v>
      </c>
      <c r="CI24" s="100">
        <v>6242.4</v>
      </c>
      <c r="CJ24" s="100">
        <v>18</v>
      </c>
      <c r="CK24" s="100">
        <v>6609.5999999999995</v>
      </c>
      <c r="CL24" s="100">
        <v>15</v>
      </c>
      <c r="CM24" s="100">
        <v>5508</v>
      </c>
      <c r="CN24" s="100">
        <v>13</v>
      </c>
      <c r="CO24" s="100">
        <v>4773.5999999999995</v>
      </c>
      <c r="CP24" s="100">
        <v>12</v>
      </c>
      <c r="CQ24" s="100">
        <v>4406.3999999999996</v>
      </c>
      <c r="CR24" s="100">
        <v>13</v>
      </c>
      <c r="CS24" s="100">
        <v>4773.5999999999995</v>
      </c>
      <c r="CT24" s="100">
        <v>11.990884028533301</v>
      </c>
      <c r="CU24" s="100">
        <v>4403.0526152774282</v>
      </c>
    </row>
    <row r="25" spans="2:99">
      <c r="C25" s="99" t="s">
        <v>191</v>
      </c>
      <c r="D25" s="100">
        <v>16</v>
      </c>
      <c r="E25" s="100">
        <v>8486.4</v>
      </c>
      <c r="F25" s="100">
        <v>14</v>
      </c>
      <c r="G25" s="100">
        <v>7425.5999999999995</v>
      </c>
      <c r="H25" s="100">
        <v>15</v>
      </c>
      <c r="I25" s="100">
        <v>7956</v>
      </c>
      <c r="J25" s="100">
        <v>17</v>
      </c>
      <c r="K25" s="100">
        <v>9016.7999999999993</v>
      </c>
      <c r="L25" s="100">
        <v>20</v>
      </c>
      <c r="M25" s="100">
        <v>10608</v>
      </c>
      <c r="N25" s="100">
        <v>14.546715764794326</v>
      </c>
      <c r="O25" s="100">
        <v>7715.5780416469106</v>
      </c>
      <c r="P25" s="100">
        <v>17</v>
      </c>
      <c r="Q25" s="100">
        <v>9016.7999999999993</v>
      </c>
      <c r="R25" s="100">
        <v>18.417541775572033</v>
      </c>
      <c r="S25" s="100">
        <v>9768.6641577634055</v>
      </c>
      <c r="T25" s="100">
        <v>17</v>
      </c>
      <c r="U25" s="100">
        <v>9016.7999999999993</v>
      </c>
      <c r="V25" s="100">
        <v>21</v>
      </c>
      <c r="W25" s="100">
        <v>11138.4</v>
      </c>
      <c r="X25" s="100">
        <v>11.946820349811182</v>
      </c>
      <c r="Y25" s="100">
        <v>6336.5935135398504</v>
      </c>
      <c r="Z25" s="100">
        <v>15</v>
      </c>
      <c r="AA25" s="100">
        <v>7956</v>
      </c>
      <c r="AB25" s="100">
        <v>12</v>
      </c>
      <c r="AC25" s="100">
        <v>6364.7999999999993</v>
      </c>
      <c r="AD25" s="100">
        <v>15</v>
      </c>
      <c r="AE25" s="100">
        <v>7956</v>
      </c>
      <c r="AF25" s="100">
        <v>19.001491138888902</v>
      </c>
      <c r="AG25" s="100">
        <v>10078.390900066674</v>
      </c>
      <c r="AH25" s="100">
        <v>17</v>
      </c>
      <c r="AI25" s="100">
        <v>9016.7999999999993</v>
      </c>
      <c r="AJ25" s="100">
        <v>15</v>
      </c>
      <c r="AK25" s="100">
        <v>7956</v>
      </c>
      <c r="AL25" s="100">
        <v>11.329675418406184</v>
      </c>
      <c r="AM25" s="100">
        <v>6009.2598419226397</v>
      </c>
      <c r="AN25" s="100">
        <v>13</v>
      </c>
      <c r="AO25" s="100">
        <v>6895.2</v>
      </c>
      <c r="AP25" s="100">
        <v>20</v>
      </c>
      <c r="AQ25" s="100">
        <v>10608</v>
      </c>
      <c r="AR25" s="100">
        <v>22</v>
      </c>
      <c r="AS25" s="100">
        <v>11668.8</v>
      </c>
      <c r="AT25" s="100">
        <v>13</v>
      </c>
      <c r="AU25" s="100">
        <v>6895.2</v>
      </c>
      <c r="AV25" s="100">
        <v>20</v>
      </c>
      <c r="AW25" s="100">
        <v>10608</v>
      </c>
      <c r="AX25" s="100">
        <v>22</v>
      </c>
      <c r="AY25" s="100">
        <v>11668.8</v>
      </c>
      <c r="AZ25" s="100">
        <v>6.1556354493316494</v>
      </c>
      <c r="BA25" s="100">
        <v>3264.9490423255065</v>
      </c>
      <c r="BB25" s="100">
        <v>15</v>
      </c>
      <c r="BC25" s="100">
        <v>7956</v>
      </c>
      <c r="BD25" s="100">
        <v>15</v>
      </c>
      <c r="BE25" s="100">
        <v>7956</v>
      </c>
      <c r="BF25" s="100">
        <v>22</v>
      </c>
      <c r="BG25" s="100">
        <v>11668.8</v>
      </c>
      <c r="BH25" s="100">
        <v>8.7240479932178605</v>
      </c>
      <c r="BI25" s="100">
        <v>4627.2350556027532</v>
      </c>
      <c r="BJ25" s="100">
        <v>12</v>
      </c>
      <c r="BK25" s="100">
        <v>6364.7999999999993</v>
      </c>
      <c r="BL25" s="100">
        <v>22</v>
      </c>
      <c r="BM25" s="100">
        <v>11668.8</v>
      </c>
      <c r="BN25" s="100">
        <v>12</v>
      </c>
      <c r="BO25" s="100">
        <v>6364.7999999999993</v>
      </c>
      <c r="BP25" s="100">
        <v>14</v>
      </c>
      <c r="BQ25" s="100">
        <v>7425.5999999999995</v>
      </c>
      <c r="BR25" s="100">
        <v>2.097923975506601</v>
      </c>
      <c r="BS25" s="100">
        <v>1112.738876608701</v>
      </c>
      <c r="BT25" s="100">
        <v>17.807037578084156</v>
      </c>
      <c r="BU25" s="100">
        <v>9444.8527314158364</v>
      </c>
      <c r="BV25" s="100">
        <v>21</v>
      </c>
      <c r="BW25" s="100">
        <v>11138.4</v>
      </c>
      <c r="BX25" s="100">
        <v>13</v>
      </c>
      <c r="BY25" s="100">
        <v>6895.2</v>
      </c>
      <c r="BZ25" s="100">
        <v>15</v>
      </c>
      <c r="CA25" s="100">
        <v>7956</v>
      </c>
      <c r="CB25" s="100">
        <v>13.856100543571618</v>
      </c>
      <c r="CC25" s="100">
        <v>7349.2757283103856</v>
      </c>
      <c r="CD25" s="100">
        <v>6.9024151473838303E-16</v>
      </c>
      <c r="CE25" s="100">
        <v>3.6610409941723835E-13</v>
      </c>
      <c r="CF25" s="100">
        <v>17</v>
      </c>
      <c r="CG25" s="100">
        <v>9016.7999999999993</v>
      </c>
      <c r="CH25" s="100">
        <v>17</v>
      </c>
      <c r="CI25" s="100">
        <v>9016.7999999999993</v>
      </c>
      <c r="CJ25" s="100">
        <v>15</v>
      </c>
      <c r="CK25" s="100">
        <v>7956</v>
      </c>
      <c r="CL25" s="100">
        <v>15</v>
      </c>
      <c r="CM25" s="100">
        <v>7956</v>
      </c>
      <c r="CN25" s="100">
        <v>13</v>
      </c>
      <c r="CO25" s="100">
        <v>6895.2</v>
      </c>
      <c r="CP25" s="100">
        <v>14</v>
      </c>
      <c r="CQ25" s="100">
        <v>7425.5999999999995</v>
      </c>
      <c r="CR25" s="100">
        <v>11</v>
      </c>
      <c r="CS25" s="100">
        <v>5834.4</v>
      </c>
      <c r="CT25" s="100">
        <v>11.191491759964416</v>
      </c>
      <c r="CU25" s="100">
        <v>5935.9672294851262</v>
      </c>
    </row>
    <row r="26" spans="2:99">
      <c r="C26" s="99" t="s">
        <v>192</v>
      </c>
      <c r="D26" s="100">
        <v>14</v>
      </c>
      <c r="E26" s="100">
        <v>6804</v>
      </c>
      <c r="F26" s="100">
        <v>14</v>
      </c>
      <c r="G26" s="100">
        <v>6804</v>
      </c>
      <c r="H26" s="100">
        <v>17</v>
      </c>
      <c r="I26" s="100">
        <v>8262</v>
      </c>
      <c r="J26" s="100">
        <v>18</v>
      </c>
      <c r="K26" s="100">
        <v>8748</v>
      </c>
      <c r="L26" s="100">
        <v>21</v>
      </c>
      <c r="M26" s="100">
        <v>10206</v>
      </c>
      <c r="N26" s="100">
        <v>14.546715764794326</v>
      </c>
      <c r="O26" s="100">
        <v>7069.7038616900427</v>
      </c>
      <c r="P26" s="100">
        <v>17</v>
      </c>
      <c r="Q26" s="100">
        <v>8262</v>
      </c>
      <c r="R26" s="100">
        <v>17.448197471594558</v>
      </c>
      <c r="S26" s="100">
        <v>8479.8239711949554</v>
      </c>
      <c r="T26" s="100">
        <v>18</v>
      </c>
      <c r="U26" s="100">
        <v>8748</v>
      </c>
      <c r="V26" s="100">
        <v>20</v>
      </c>
      <c r="W26" s="100">
        <v>9720</v>
      </c>
      <c r="X26" s="100">
        <v>13.784792711320595</v>
      </c>
      <c r="Y26" s="100">
        <v>6699.4092577018091</v>
      </c>
      <c r="Z26" s="100">
        <v>14</v>
      </c>
      <c r="AA26" s="100">
        <v>6804</v>
      </c>
      <c r="AB26" s="100">
        <v>11</v>
      </c>
      <c r="AC26" s="100">
        <v>5346</v>
      </c>
      <c r="AD26" s="100">
        <v>12</v>
      </c>
      <c r="AE26" s="100">
        <v>5832</v>
      </c>
      <c r="AF26" s="100">
        <v>16.151267468055568</v>
      </c>
      <c r="AG26" s="100">
        <v>7849.5159894750059</v>
      </c>
      <c r="AH26" s="100">
        <v>19</v>
      </c>
      <c r="AI26" s="100">
        <v>9234</v>
      </c>
      <c r="AJ26" s="100">
        <v>12</v>
      </c>
      <c r="AK26" s="100">
        <v>5832</v>
      </c>
      <c r="AL26" s="100">
        <v>11.869183771663621</v>
      </c>
      <c r="AM26" s="100">
        <v>5768.4233130285202</v>
      </c>
      <c r="AN26" s="100">
        <v>13</v>
      </c>
      <c r="AO26" s="100">
        <v>6318</v>
      </c>
      <c r="AP26" s="100">
        <v>21</v>
      </c>
      <c r="AQ26" s="100">
        <v>10206</v>
      </c>
      <c r="AR26" s="100">
        <v>20</v>
      </c>
      <c r="AS26" s="100">
        <v>9720</v>
      </c>
      <c r="AT26" s="100">
        <v>12</v>
      </c>
      <c r="AU26" s="100">
        <v>5832</v>
      </c>
      <c r="AV26" s="100">
        <v>19</v>
      </c>
      <c r="AW26" s="100">
        <v>9234</v>
      </c>
      <c r="AX26" s="100">
        <v>19</v>
      </c>
      <c r="AY26" s="100">
        <v>9234</v>
      </c>
      <c r="AZ26" s="100">
        <v>6.9250898804981063</v>
      </c>
      <c r="BA26" s="100">
        <v>3365.5936819220797</v>
      </c>
      <c r="BB26" s="100">
        <v>14</v>
      </c>
      <c r="BC26" s="100">
        <v>6804</v>
      </c>
      <c r="BD26" s="100">
        <v>13</v>
      </c>
      <c r="BE26" s="100">
        <v>6318</v>
      </c>
      <c r="BF26" s="100">
        <v>21</v>
      </c>
      <c r="BG26" s="100">
        <v>10206</v>
      </c>
      <c r="BH26" s="100">
        <v>9.1394788500377597</v>
      </c>
      <c r="BI26" s="100">
        <v>4441.7867211183511</v>
      </c>
      <c r="BJ26" s="100">
        <v>12</v>
      </c>
      <c r="BK26" s="100">
        <v>5832</v>
      </c>
      <c r="BL26" s="100">
        <v>20</v>
      </c>
      <c r="BM26" s="100">
        <v>9720</v>
      </c>
      <c r="BN26" s="100">
        <v>13</v>
      </c>
      <c r="BO26" s="100">
        <v>6318</v>
      </c>
      <c r="BP26" s="100">
        <v>15</v>
      </c>
      <c r="BQ26" s="100">
        <v>7290</v>
      </c>
      <c r="BR26" s="100">
        <v>2.097923975506601</v>
      </c>
      <c r="BS26" s="100">
        <v>1019.5910520962082</v>
      </c>
      <c r="BT26" s="100">
        <v>17.807037578084156</v>
      </c>
      <c r="BU26" s="100">
        <v>8654.2202629489002</v>
      </c>
      <c r="BV26" s="100">
        <v>24</v>
      </c>
      <c r="BW26" s="100">
        <v>11664</v>
      </c>
      <c r="BX26" s="100">
        <v>13</v>
      </c>
      <c r="BY26" s="100">
        <v>6318</v>
      </c>
      <c r="BZ26" s="100">
        <v>16</v>
      </c>
      <c r="CA26" s="100">
        <v>7776</v>
      </c>
      <c r="CB26" s="100">
        <v>12.596455039610561</v>
      </c>
      <c r="CC26" s="100">
        <v>6121.8771492507321</v>
      </c>
      <c r="CD26" s="100">
        <v>6.4963907269494874E-16</v>
      </c>
      <c r="CE26" s="100">
        <v>3.1572458932974509E-13</v>
      </c>
      <c r="CF26" s="100">
        <v>16</v>
      </c>
      <c r="CG26" s="100">
        <v>7776</v>
      </c>
      <c r="CH26" s="100">
        <v>16</v>
      </c>
      <c r="CI26" s="100">
        <v>7776</v>
      </c>
      <c r="CJ26" s="100">
        <v>17</v>
      </c>
      <c r="CK26" s="100">
        <v>8262</v>
      </c>
      <c r="CL26" s="100">
        <v>14</v>
      </c>
      <c r="CM26" s="100">
        <v>6804</v>
      </c>
      <c r="CN26" s="100">
        <v>13</v>
      </c>
      <c r="CO26" s="100">
        <v>6318</v>
      </c>
      <c r="CP26" s="100">
        <v>13</v>
      </c>
      <c r="CQ26" s="100">
        <v>6318</v>
      </c>
      <c r="CR26" s="100">
        <v>12</v>
      </c>
      <c r="CS26" s="100">
        <v>5832</v>
      </c>
      <c r="CT26" s="100">
        <v>11.990884028533301</v>
      </c>
      <c r="CU26" s="100">
        <v>5827.5696378671846</v>
      </c>
    </row>
    <row r="27" spans="2:99">
      <c r="C27" s="99" t="s">
        <v>193</v>
      </c>
      <c r="D27" s="100">
        <v>16</v>
      </c>
      <c r="E27" s="100">
        <v>6835.2</v>
      </c>
      <c r="F27" s="100">
        <v>14</v>
      </c>
      <c r="G27" s="100">
        <v>5980.8</v>
      </c>
      <c r="H27" s="100">
        <v>17</v>
      </c>
      <c r="I27" s="100">
        <v>7262.4</v>
      </c>
      <c r="J27" s="100">
        <v>19</v>
      </c>
      <c r="K27" s="100">
        <v>8116.8</v>
      </c>
      <c r="L27" s="100">
        <v>19</v>
      </c>
      <c r="M27" s="100">
        <v>8116.8</v>
      </c>
      <c r="N27" s="100">
        <v>13.015482526394925</v>
      </c>
      <c r="O27" s="100">
        <v>5560.2141352759118</v>
      </c>
      <c r="P27" s="100">
        <v>18</v>
      </c>
      <c r="Q27" s="100">
        <v>7689.5999999999995</v>
      </c>
      <c r="R27" s="100">
        <v>19.386886079549505</v>
      </c>
      <c r="S27" s="100">
        <v>8282.0777331835488</v>
      </c>
      <c r="T27" s="100">
        <v>19</v>
      </c>
      <c r="U27" s="100">
        <v>8116.8</v>
      </c>
      <c r="V27" s="100">
        <v>20</v>
      </c>
      <c r="W27" s="100">
        <v>8544</v>
      </c>
      <c r="X27" s="100">
        <v>14.703778892075301</v>
      </c>
      <c r="Y27" s="100">
        <v>6281.4543426945684</v>
      </c>
      <c r="Z27" s="100">
        <v>12</v>
      </c>
      <c r="AA27" s="100">
        <v>5126.3999999999996</v>
      </c>
      <c r="AB27" s="100">
        <v>10</v>
      </c>
      <c r="AC27" s="100">
        <v>4272</v>
      </c>
      <c r="AD27" s="100">
        <v>14</v>
      </c>
      <c r="AE27" s="100">
        <v>5980.8</v>
      </c>
      <c r="AF27" s="100">
        <v>19.001491138888902</v>
      </c>
      <c r="AG27" s="100">
        <v>8117.4370145333387</v>
      </c>
      <c r="AH27" s="100">
        <v>19</v>
      </c>
      <c r="AI27" s="100">
        <v>8116.8</v>
      </c>
      <c r="AJ27" s="100">
        <v>13</v>
      </c>
      <c r="AK27" s="100">
        <v>5553.5999999999995</v>
      </c>
      <c r="AL27" s="100">
        <v>10.25065871189131</v>
      </c>
      <c r="AM27" s="100">
        <v>4379.0814017199673</v>
      </c>
      <c r="AN27" s="100">
        <v>15</v>
      </c>
      <c r="AO27" s="100">
        <v>6408</v>
      </c>
      <c r="AP27" s="100">
        <v>21</v>
      </c>
      <c r="AQ27" s="100">
        <v>8971.1999999999989</v>
      </c>
      <c r="AR27" s="100">
        <v>22</v>
      </c>
      <c r="AS27" s="100">
        <v>9398.4</v>
      </c>
      <c r="AT27" s="100">
        <v>12</v>
      </c>
      <c r="AU27" s="100">
        <v>5126.3999999999996</v>
      </c>
      <c r="AV27" s="100">
        <v>23</v>
      </c>
      <c r="AW27" s="100">
        <v>9825.6</v>
      </c>
      <c r="AX27" s="100">
        <v>20</v>
      </c>
      <c r="AY27" s="100">
        <v>8544</v>
      </c>
      <c r="AZ27" s="100">
        <v>5.7709082337484219</v>
      </c>
      <c r="BA27" s="100">
        <v>2465.3319974573255</v>
      </c>
      <c r="BB27" s="100">
        <v>13</v>
      </c>
      <c r="BC27" s="100">
        <v>5553.5999999999995</v>
      </c>
      <c r="BD27" s="100">
        <v>14</v>
      </c>
      <c r="BE27" s="100">
        <v>5980.8</v>
      </c>
      <c r="BF27" s="100">
        <v>20</v>
      </c>
      <c r="BG27" s="100">
        <v>8544</v>
      </c>
      <c r="BH27" s="100">
        <v>8.3086171363979631</v>
      </c>
      <c r="BI27" s="100">
        <v>3549.4412406692099</v>
      </c>
      <c r="BJ27" s="100">
        <v>12</v>
      </c>
      <c r="BK27" s="100">
        <v>5126.3999999999996</v>
      </c>
      <c r="BL27" s="100">
        <v>21</v>
      </c>
      <c r="BM27" s="100">
        <v>8971.1999999999989</v>
      </c>
      <c r="BN27" s="100">
        <v>13</v>
      </c>
      <c r="BO27" s="100">
        <v>5553.5999999999995</v>
      </c>
      <c r="BP27" s="100">
        <v>14</v>
      </c>
      <c r="BQ27" s="100">
        <v>5980.8</v>
      </c>
      <c r="BR27" s="100">
        <v>2.097923975506601</v>
      </c>
      <c r="BS27" s="100">
        <v>896.23312233641991</v>
      </c>
      <c r="BT27" s="100">
        <v>16.323117779910476</v>
      </c>
      <c r="BU27" s="100">
        <v>6973.2359155777549</v>
      </c>
      <c r="BV27" s="100">
        <v>23</v>
      </c>
      <c r="BW27" s="100">
        <v>9825.6</v>
      </c>
      <c r="BX27" s="100">
        <v>14</v>
      </c>
      <c r="BY27" s="100">
        <v>5980.8</v>
      </c>
      <c r="BZ27" s="100">
        <v>15</v>
      </c>
      <c r="CA27" s="100">
        <v>6408</v>
      </c>
      <c r="CB27" s="100">
        <v>12.596455039610561</v>
      </c>
      <c r="CC27" s="100">
        <v>5381.2055929216313</v>
      </c>
      <c r="CD27" s="100">
        <v>6.9024151473838303E-16</v>
      </c>
      <c r="CE27" s="100">
        <v>2.948711750962372E-13</v>
      </c>
      <c r="CF27" s="100">
        <v>17</v>
      </c>
      <c r="CG27" s="100">
        <v>7262.4</v>
      </c>
      <c r="CH27" s="100">
        <v>17</v>
      </c>
      <c r="CI27" s="100">
        <v>7262.4</v>
      </c>
      <c r="CJ27" s="100">
        <v>16</v>
      </c>
      <c r="CK27" s="100">
        <v>6835.2</v>
      </c>
      <c r="CL27" s="100">
        <v>13</v>
      </c>
      <c r="CM27" s="100">
        <v>5553.5999999999995</v>
      </c>
      <c r="CN27" s="100">
        <v>12</v>
      </c>
      <c r="CO27" s="100">
        <v>5126.3999999999996</v>
      </c>
      <c r="CP27" s="100">
        <v>14</v>
      </c>
      <c r="CQ27" s="100">
        <v>5980.8</v>
      </c>
      <c r="CR27" s="100">
        <v>13</v>
      </c>
      <c r="CS27" s="100">
        <v>5553.5999999999995</v>
      </c>
      <c r="CT27" s="100">
        <v>11.191491759964416</v>
      </c>
      <c r="CU27" s="100">
        <v>4781.0052798567986</v>
      </c>
    </row>
    <row r="28" spans="2:99">
      <c r="C28" s="99" t="s">
        <v>194</v>
      </c>
      <c r="D28" s="100">
        <v>15</v>
      </c>
      <c r="E28" s="100">
        <v>11070</v>
      </c>
      <c r="F28" s="100">
        <v>14</v>
      </c>
      <c r="G28" s="100">
        <v>10332</v>
      </c>
      <c r="H28" s="100">
        <v>16</v>
      </c>
      <c r="I28" s="100">
        <v>11808</v>
      </c>
      <c r="J28" s="100">
        <v>16</v>
      </c>
      <c r="K28" s="100">
        <v>11808</v>
      </c>
      <c r="L28" s="100">
        <v>18</v>
      </c>
      <c r="M28" s="100">
        <v>13284</v>
      </c>
      <c r="N28" s="100">
        <v>13.015482526394925</v>
      </c>
      <c r="O28" s="100">
        <v>9605.4261044794548</v>
      </c>
      <c r="P28" s="100">
        <v>17</v>
      </c>
      <c r="Q28" s="100">
        <v>12546</v>
      </c>
      <c r="R28" s="100">
        <v>16.478853167617082</v>
      </c>
      <c r="S28" s="100">
        <v>12161.393637701407</v>
      </c>
      <c r="T28" s="100">
        <v>18</v>
      </c>
      <c r="U28" s="100">
        <v>13284</v>
      </c>
      <c r="V28" s="100">
        <v>19</v>
      </c>
      <c r="W28" s="100">
        <v>14022</v>
      </c>
      <c r="X28" s="100">
        <v>11.946820349811182</v>
      </c>
      <c r="Y28" s="100">
        <v>8816.7534181606516</v>
      </c>
      <c r="Z28" s="100">
        <v>14</v>
      </c>
      <c r="AA28" s="100">
        <v>10332</v>
      </c>
      <c r="AB28" s="100">
        <v>11</v>
      </c>
      <c r="AC28" s="100">
        <v>8118</v>
      </c>
      <c r="AD28" s="100">
        <v>12</v>
      </c>
      <c r="AE28" s="100">
        <v>8856</v>
      </c>
      <c r="AF28" s="100">
        <v>19.001491138888902</v>
      </c>
      <c r="AG28" s="100">
        <v>14023.100460500009</v>
      </c>
      <c r="AH28" s="100">
        <v>20</v>
      </c>
      <c r="AI28" s="100">
        <v>14760</v>
      </c>
      <c r="AJ28" s="100">
        <v>12</v>
      </c>
      <c r="AK28" s="100">
        <v>8856</v>
      </c>
      <c r="AL28" s="100">
        <v>11.869183771663621</v>
      </c>
      <c r="AM28" s="100">
        <v>8759.4576234877532</v>
      </c>
      <c r="AN28" s="100">
        <v>13</v>
      </c>
      <c r="AO28" s="100">
        <v>9594</v>
      </c>
      <c r="AP28" s="100">
        <v>19</v>
      </c>
      <c r="AQ28" s="100">
        <v>14022</v>
      </c>
      <c r="AR28" s="100">
        <v>21</v>
      </c>
      <c r="AS28" s="100">
        <v>15498</v>
      </c>
      <c r="AT28" s="100">
        <v>12</v>
      </c>
      <c r="AU28" s="100">
        <v>8856</v>
      </c>
      <c r="AV28" s="100">
        <v>22</v>
      </c>
      <c r="AW28" s="100">
        <v>16236</v>
      </c>
      <c r="AX28" s="100">
        <v>19</v>
      </c>
      <c r="AY28" s="100">
        <v>14022</v>
      </c>
      <c r="AZ28" s="100">
        <v>6.1556354493316494</v>
      </c>
      <c r="BA28" s="100">
        <v>4542.8589616067575</v>
      </c>
      <c r="BB28" s="100">
        <v>13</v>
      </c>
      <c r="BC28" s="100">
        <v>9594</v>
      </c>
      <c r="BD28" s="100">
        <v>13</v>
      </c>
      <c r="BE28" s="100">
        <v>9594</v>
      </c>
      <c r="BF28" s="100">
        <v>20</v>
      </c>
      <c r="BG28" s="100">
        <v>14760</v>
      </c>
      <c r="BH28" s="100">
        <v>7.8931862795780647</v>
      </c>
      <c r="BI28" s="100">
        <v>5825.171474328612</v>
      </c>
      <c r="BJ28" s="100">
        <v>12</v>
      </c>
      <c r="BK28" s="100">
        <v>8856</v>
      </c>
      <c r="BL28" s="100">
        <v>21</v>
      </c>
      <c r="BM28" s="100">
        <v>15498</v>
      </c>
      <c r="BN28" s="100">
        <v>13</v>
      </c>
      <c r="BO28" s="100">
        <v>9594</v>
      </c>
      <c r="BP28" s="100">
        <v>13</v>
      </c>
      <c r="BQ28" s="100">
        <v>9594</v>
      </c>
      <c r="BR28" s="100">
        <v>1.851109390152883</v>
      </c>
      <c r="BS28" s="100">
        <v>1366.1187299328276</v>
      </c>
      <c r="BT28" s="100">
        <v>15.581157880823634</v>
      </c>
      <c r="BU28" s="100">
        <v>11498.894516047842</v>
      </c>
      <c r="BV28" s="100">
        <v>22</v>
      </c>
      <c r="BW28" s="100">
        <v>16236</v>
      </c>
      <c r="BX28" s="100">
        <v>12</v>
      </c>
      <c r="BY28" s="100">
        <v>8856</v>
      </c>
      <c r="BZ28" s="100">
        <v>14</v>
      </c>
      <c r="CA28" s="100">
        <v>10332</v>
      </c>
      <c r="CB28" s="100">
        <v>12.596455039610561</v>
      </c>
      <c r="CC28" s="100">
        <v>9296.183819232594</v>
      </c>
      <c r="CD28" s="100">
        <v>7.3084395678181732E-16</v>
      </c>
      <c r="CE28" s="100">
        <v>5.3936284010498113E-13</v>
      </c>
      <c r="CF28" s="100">
        <v>17</v>
      </c>
      <c r="CG28" s="100">
        <v>12546</v>
      </c>
      <c r="CH28" s="100">
        <v>18</v>
      </c>
      <c r="CI28" s="100">
        <v>13284</v>
      </c>
      <c r="CJ28" s="100">
        <v>15</v>
      </c>
      <c r="CK28" s="100">
        <v>11070</v>
      </c>
      <c r="CL28" s="100">
        <v>15</v>
      </c>
      <c r="CM28" s="100">
        <v>11070</v>
      </c>
      <c r="CN28" s="100">
        <v>13</v>
      </c>
      <c r="CO28" s="100">
        <v>9594</v>
      </c>
      <c r="CP28" s="100">
        <v>12</v>
      </c>
      <c r="CQ28" s="100">
        <v>8856</v>
      </c>
      <c r="CR28" s="100">
        <v>13</v>
      </c>
      <c r="CS28" s="100">
        <v>9594</v>
      </c>
      <c r="CT28" s="100">
        <v>12.790276297102187</v>
      </c>
      <c r="CU28" s="100">
        <v>9439.2239072614138</v>
      </c>
    </row>
    <row r="29" spans="2:99">
      <c r="C29" s="99" t="s">
        <v>195</v>
      </c>
      <c r="D29" s="100">
        <v>16</v>
      </c>
      <c r="E29" s="100">
        <v>5414.4</v>
      </c>
      <c r="F29" s="100">
        <v>16</v>
      </c>
      <c r="G29" s="100">
        <v>5414.4</v>
      </c>
      <c r="H29" s="100">
        <v>18</v>
      </c>
      <c r="I29" s="100">
        <v>6091.2</v>
      </c>
      <c r="J29" s="100">
        <v>19</v>
      </c>
      <c r="K29" s="100">
        <v>6429.5999999999995</v>
      </c>
      <c r="L29" s="100">
        <v>21</v>
      </c>
      <c r="M29" s="100">
        <v>7106.4</v>
      </c>
      <c r="N29" s="100">
        <v>13.015482526394925</v>
      </c>
      <c r="O29" s="100">
        <v>4404.4392869320418</v>
      </c>
      <c r="P29" s="100">
        <v>21</v>
      </c>
      <c r="Q29" s="100">
        <v>7106.4</v>
      </c>
      <c r="R29" s="100">
        <v>16.478853167617082</v>
      </c>
      <c r="S29" s="100">
        <v>5576.4439119216204</v>
      </c>
      <c r="T29" s="100">
        <v>21</v>
      </c>
      <c r="U29" s="100">
        <v>7106.4</v>
      </c>
      <c r="V29" s="100">
        <v>22</v>
      </c>
      <c r="W29" s="100">
        <v>7444.7999999999993</v>
      </c>
      <c r="X29" s="100">
        <v>13.784792711320595</v>
      </c>
      <c r="Y29" s="100">
        <v>4664.7738535108892</v>
      </c>
      <c r="Z29" s="100">
        <v>13</v>
      </c>
      <c r="AA29" s="100">
        <v>4399.2</v>
      </c>
      <c r="AB29" s="100">
        <v>12</v>
      </c>
      <c r="AC29" s="100">
        <v>4060.7999999999997</v>
      </c>
      <c r="AD29" s="100">
        <v>13</v>
      </c>
      <c r="AE29" s="100">
        <v>4399.2</v>
      </c>
      <c r="AF29" s="100">
        <v>16.151267468055568</v>
      </c>
      <c r="AG29" s="100">
        <v>5465.5889111900042</v>
      </c>
      <c r="AH29" s="100">
        <v>21</v>
      </c>
      <c r="AI29" s="100">
        <v>7106.4</v>
      </c>
      <c r="AJ29" s="100">
        <v>14</v>
      </c>
      <c r="AK29" s="100">
        <v>4737.5999999999995</v>
      </c>
      <c r="AL29" s="100">
        <v>10.790167065148749</v>
      </c>
      <c r="AM29" s="100">
        <v>3651.3925348463363</v>
      </c>
      <c r="AN29" s="100">
        <v>13</v>
      </c>
      <c r="AO29" s="100">
        <v>4399.2</v>
      </c>
      <c r="AP29" s="100">
        <v>22</v>
      </c>
      <c r="AQ29" s="100">
        <v>7444.7999999999993</v>
      </c>
      <c r="AR29" s="100">
        <v>22</v>
      </c>
      <c r="AS29" s="100">
        <v>7444.7999999999993</v>
      </c>
      <c r="AT29" s="100">
        <v>13</v>
      </c>
      <c r="AU29" s="100">
        <v>4399.2</v>
      </c>
      <c r="AV29" s="100">
        <v>21</v>
      </c>
      <c r="AW29" s="100">
        <v>7106.4</v>
      </c>
      <c r="AX29" s="100">
        <v>19</v>
      </c>
      <c r="AY29" s="100">
        <v>6429.5999999999995</v>
      </c>
      <c r="AZ29" s="100">
        <v>6.9250898804981063</v>
      </c>
      <c r="BA29" s="100">
        <v>2343.4504155605591</v>
      </c>
      <c r="BB29" s="100">
        <v>14</v>
      </c>
      <c r="BC29" s="100">
        <v>4737.5999999999995</v>
      </c>
      <c r="BD29" s="100">
        <v>14</v>
      </c>
      <c r="BE29" s="100">
        <v>4737.5999999999995</v>
      </c>
      <c r="BF29" s="100">
        <v>20</v>
      </c>
      <c r="BG29" s="100">
        <v>6768</v>
      </c>
      <c r="BH29" s="100">
        <v>7.8931862795780647</v>
      </c>
      <c r="BI29" s="100">
        <v>2671.0542370092171</v>
      </c>
      <c r="BJ29" s="100">
        <v>11</v>
      </c>
      <c r="BK29" s="100">
        <v>3722.3999999999996</v>
      </c>
      <c r="BL29" s="100">
        <v>22</v>
      </c>
      <c r="BM29" s="100">
        <v>7444.7999999999993</v>
      </c>
      <c r="BN29" s="100">
        <v>13</v>
      </c>
      <c r="BO29" s="100">
        <v>4399.2</v>
      </c>
      <c r="BP29" s="100">
        <v>14</v>
      </c>
      <c r="BQ29" s="100">
        <v>4737.5999999999995</v>
      </c>
      <c r="BR29" s="100">
        <v>1.9745166828297418</v>
      </c>
      <c r="BS29" s="100">
        <v>668.17644546958456</v>
      </c>
      <c r="BT29" s="100">
        <v>15.581157880823634</v>
      </c>
      <c r="BU29" s="100">
        <v>5272.6638268707175</v>
      </c>
      <c r="BV29" s="100">
        <v>22</v>
      </c>
      <c r="BW29" s="100">
        <v>7444.7999999999993</v>
      </c>
      <c r="BX29" s="100">
        <v>12</v>
      </c>
      <c r="BY29" s="100">
        <v>4060.7999999999997</v>
      </c>
      <c r="BZ29" s="100">
        <v>14</v>
      </c>
      <c r="CA29" s="100">
        <v>4737.5999999999995</v>
      </c>
      <c r="CB29" s="100">
        <v>14.485923295552144</v>
      </c>
      <c r="CC29" s="100">
        <v>4902.0364432148453</v>
      </c>
      <c r="CD29" s="100">
        <v>7.3084395678181732E-16</v>
      </c>
      <c r="CE29" s="100">
        <v>2.4731759497496697E-13</v>
      </c>
      <c r="CF29" s="100">
        <v>18</v>
      </c>
      <c r="CG29" s="100">
        <v>6091.2</v>
      </c>
      <c r="CH29" s="100">
        <v>17</v>
      </c>
      <c r="CI29" s="100">
        <v>5752.7999999999993</v>
      </c>
      <c r="CJ29" s="100">
        <v>16</v>
      </c>
      <c r="CK29" s="100">
        <v>5414.4</v>
      </c>
      <c r="CL29" s="100">
        <v>15</v>
      </c>
      <c r="CM29" s="100">
        <v>5076</v>
      </c>
      <c r="CN29" s="100">
        <v>12</v>
      </c>
      <c r="CO29" s="100">
        <v>4060.7999999999997</v>
      </c>
      <c r="CP29" s="100">
        <v>13</v>
      </c>
      <c r="CQ29" s="100">
        <v>4399.2</v>
      </c>
      <c r="CR29" s="100">
        <v>12</v>
      </c>
      <c r="CS29" s="100">
        <v>4060.7999999999997</v>
      </c>
      <c r="CT29" s="100">
        <v>11.191491759964416</v>
      </c>
      <c r="CU29" s="100">
        <v>3787.2008115719582</v>
      </c>
    </row>
    <row r="30" spans="2:99">
      <c r="C30" s="99" t="s">
        <v>196</v>
      </c>
      <c r="D30" s="100">
        <v>17</v>
      </c>
      <c r="E30" s="100">
        <v>2366.3999999999996</v>
      </c>
      <c r="F30" s="100">
        <v>14</v>
      </c>
      <c r="G30" s="100">
        <v>1948.7999999999997</v>
      </c>
      <c r="H30" s="100">
        <v>18</v>
      </c>
      <c r="I30" s="100">
        <v>2505.6</v>
      </c>
      <c r="J30" s="100">
        <v>19</v>
      </c>
      <c r="K30" s="100">
        <v>2644.7999999999997</v>
      </c>
      <c r="L30" s="100">
        <v>21</v>
      </c>
      <c r="M30" s="100">
        <v>2923.2</v>
      </c>
      <c r="N30" s="100">
        <v>13.781099145594625</v>
      </c>
      <c r="O30" s="100">
        <v>1918.3290010667718</v>
      </c>
      <c r="P30" s="100">
        <v>18</v>
      </c>
      <c r="Q30" s="100">
        <v>2505.6</v>
      </c>
      <c r="R30" s="100">
        <v>16.478853167617082</v>
      </c>
      <c r="S30" s="100">
        <v>2293.8563609322978</v>
      </c>
      <c r="T30" s="100">
        <v>19</v>
      </c>
      <c r="U30" s="100">
        <v>2644.7999999999997</v>
      </c>
      <c r="V30" s="100">
        <v>21</v>
      </c>
      <c r="W30" s="100">
        <v>2923.2</v>
      </c>
      <c r="X30" s="100">
        <v>13.784792711320595</v>
      </c>
      <c r="Y30" s="100">
        <v>1918.8431454158267</v>
      </c>
      <c r="Z30" s="100">
        <v>15</v>
      </c>
      <c r="AA30" s="100">
        <v>2088</v>
      </c>
      <c r="AB30" s="100">
        <v>12</v>
      </c>
      <c r="AC30" s="100">
        <v>1670.3999999999999</v>
      </c>
      <c r="AD30" s="100">
        <v>14</v>
      </c>
      <c r="AE30" s="100">
        <v>1948.7999999999997</v>
      </c>
      <c r="AF30" s="100">
        <v>18.051416581944459</v>
      </c>
      <c r="AG30" s="100">
        <v>2512.7571882066686</v>
      </c>
      <c r="AH30" s="100">
        <v>19</v>
      </c>
      <c r="AI30" s="100">
        <v>2644.7999999999997</v>
      </c>
      <c r="AJ30" s="100">
        <v>14</v>
      </c>
      <c r="AK30" s="100">
        <v>1948.7999999999997</v>
      </c>
      <c r="AL30" s="100">
        <v>10.25065871189131</v>
      </c>
      <c r="AM30" s="100">
        <v>1426.8916926952702</v>
      </c>
      <c r="AN30" s="100">
        <v>15</v>
      </c>
      <c r="AO30" s="100">
        <v>2088</v>
      </c>
      <c r="AP30" s="100">
        <v>20</v>
      </c>
      <c r="AQ30" s="100">
        <v>2784</v>
      </c>
      <c r="AR30" s="100">
        <v>20</v>
      </c>
      <c r="AS30" s="100">
        <v>2784</v>
      </c>
      <c r="AT30" s="100">
        <v>11</v>
      </c>
      <c r="AU30" s="100">
        <v>1531.1999999999998</v>
      </c>
      <c r="AV30" s="100">
        <v>21</v>
      </c>
      <c r="AW30" s="100">
        <v>2923.2</v>
      </c>
      <c r="AX30" s="100">
        <v>21</v>
      </c>
      <c r="AY30" s="100">
        <v>2923.2</v>
      </c>
      <c r="AZ30" s="100">
        <v>6.5403626649148778</v>
      </c>
      <c r="BA30" s="100">
        <v>910.41848295615091</v>
      </c>
      <c r="BB30" s="100">
        <v>15</v>
      </c>
      <c r="BC30" s="100">
        <v>2088</v>
      </c>
      <c r="BD30" s="100">
        <v>14</v>
      </c>
      <c r="BE30" s="100">
        <v>1948.7999999999997</v>
      </c>
      <c r="BF30" s="100">
        <v>19</v>
      </c>
      <c r="BG30" s="100">
        <v>2644.7999999999997</v>
      </c>
      <c r="BH30" s="100">
        <v>7.8931862795780647</v>
      </c>
      <c r="BI30" s="100">
        <v>1098.7315301172666</v>
      </c>
      <c r="BJ30" s="100">
        <v>13</v>
      </c>
      <c r="BK30" s="100">
        <v>1809.6</v>
      </c>
      <c r="BL30" s="100">
        <v>23</v>
      </c>
      <c r="BM30" s="100">
        <v>3201.6</v>
      </c>
      <c r="BN30" s="100">
        <v>13</v>
      </c>
      <c r="BO30" s="100">
        <v>1809.6</v>
      </c>
      <c r="BP30" s="100">
        <v>14</v>
      </c>
      <c r="BQ30" s="100">
        <v>1948.7999999999997</v>
      </c>
      <c r="BR30" s="100">
        <v>2.097923975506601</v>
      </c>
      <c r="BS30" s="100">
        <v>292.03101739051885</v>
      </c>
      <c r="BT30" s="100">
        <v>17.065077678997316</v>
      </c>
      <c r="BU30" s="100">
        <v>2375.4588129164263</v>
      </c>
      <c r="BV30" s="100">
        <v>23</v>
      </c>
      <c r="BW30" s="100">
        <v>3201.6</v>
      </c>
      <c r="BX30" s="100">
        <v>13</v>
      </c>
      <c r="BY30" s="100">
        <v>1809.6</v>
      </c>
      <c r="BZ30" s="100">
        <v>15</v>
      </c>
      <c r="CA30" s="100">
        <v>2088</v>
      </c>
      <c r="CB30" s="100">
        <v>13.856100543571618</v>
      </c>
      <c r="CC30" s="100">
        <v>1928.769195665169</v>
      </c>
      <c r="CD30" s="100">
        <v>7.3084395678181732E-16</v>
      </c>
      <c r="CE30" s="100">
        <v>1.0173347878402897E-13</v>
      </c>
      <c r="CF30" s="100">
        <v>16</v>
      </c>
      <c r="CG30" s="100">
        <v>2227.1999999999998</v>
      </c>
      <c r="CH30" s="100">
        <v>17</v>
      </c>
      <c r="CI30" s="100">
        <v>2366.3999999999996</v>
      </c>
      <c r="CJ30" s="100">
        <v>16</v>
      </c>
      <c r="CK30" s="100">
        <v>2227.1999999999998</v>
      </c>
      <c r="CL30" s="100">
        <v>14</v>
      </c>
      <c r="CM30" s="100">
        <v>1948.7999999999997</v>
      </c>
      <c r="CN30" s="100">
        <v>12</v>
      </c>
      <c r="CO30" s="100">
        <v>1670.3999999999999</v>
      </c>
      <c r="CP30" s="100">
        <v>13</v>
      </c>
      <c r="CQ30" s="100">
        <v>1809.6</v>
      </c>
      <c r="CR30" s="100">
        <v>12</v>
      </c>
      <c r="CS30" s="100">
        <v>1670.3999999999999</v>
      </c>
      <c r="CT30" s="100">
        <v>11.191491759964416</v>
      </c>
      <c r="CU30" s="100">
        <v>1557.8556529870466</v>
      </c>
    </row>
    <row r="31" spans="2:99">
      <c r="C31" s="99" t="s">
        <v>197</v>
      </c>
      <c r="D31" s="100">
        <v>16</v>
      </c>
      <c r="E31" s="100">
        <v>5452.8</v>
      </c>
      <c r="F31" s="100">
        <v>15</v>
      </c>
      <c r="G31" s="100">
        <v>5112</v>
      </c>
      <c r="H31" s="100">
        <v>15</v>
      </c>
      <c r="I31" s="100">
        <v>5112</v>
      </c>
      <c r="J31" s="100">
        <v>19</v>
      </c>
      <c r="K31" s="100">
        <v>6475.2</v>
      </c>
      <c r="L31" s="100">
        <v>20</v>
      </c>
      <c r="M31" s="100">
        <v>6816</v>
      </c>
      <c r="N31" s="100">
        <v>13.781099145594625</v>
      </c>
      <c r="O31" s="100">
        <v>4696.5985888186488</v>
      </c>
      <c r="P31" s="100">
        <v>20</v>
      </c>
      <c r="Q31" s="100">
        <v>6816</v>
      </c>
      <c r="R31" s="100">
        <v>17.448197471594558</v>
      </c>
      <c r="S31" s="100">
        <v>5946.3456983194255</v>
      </c>
      <c r="T31" s="100">
        <v>19</v>
      </c>
      <c r="U31" s="100">
        <v>6475.2</v>
      </c>
      <c r="V31" s="100">
        <v>19</v>
      </c>
      <c r="W31" s="100">
        <v>6475.2</v>
      </c>
      <c r="X31" s="100">
        <v>13.784792711320595</v>
      </c>
      <c r="Y31" s="100">
        <v>4697.8573560180585</v>
      </c>
      <c r="Z31" s="100">
        <v>14</v>
      </c>
      <c r="AA31" s="100">
        <v>4771.2</v>
      </c>
      <c r="AB31" s="100">
        <v>10</v>
      </c>
      <c r="AC31" s="100">
        <v>3408</v>
      </c>
      <c r="AD31" s="100">
        <v>13</v>
      </c>
      <c r="AE31" s="100">
        <v>4430.4000000000005</v>
      </c>
      <c r="AF31" s="100">
        <v>19.001491138888902</v>
      </c>
      <c r="AG31" s="100">
        <v>6475.7081801333379</v>
      </c>
      <c r="AH31" s="100">
        <v>17</v>
      </c>
      <c r="AI31" s="100">
        <v>5793.6</v>
      </c>
      <c r="AJ31" s="100">
        <v>12</v>
      </c>
      <c r="AK31" s="100">
        <v>4089.6000000000004</v>
      </c>
      <c r="AL31" s="100">
        <v>11.869183771663621</v>
      </c>
      <c r="AM31" s="100">
        <v>4045.0178293829622</v>
      </c>
      <c r="AN31" s="100">
        <v>16</v>
      </c>
      <c r="AO31" s="100">
        <v>5452.8</v>
      </c>
      <c r="AP31" s="100">
        <v>21</v>
      </c>
      <c r="AQ31" s="100">
        <v>7156.8</v>
      </c>
      <c r="AR31" s="100">
        <v>21</v>
      </c>
      <c r="AS31" s="100">
        <v>7156.8</v>
      </c>
      <c r="AT31" s="100">
        <v>13</v>
      </c>
      <c r="AU31" s="100">
        <v>4430.4000000000005</v>
      </c>
      <c r="AV31" s="100">
        <v>22</v>
      </c>
      <c r="AW31" s="100">
        <v>7497.6</v>
      </c>
      <c r="AX31" s="100">
        <v>22</v>
      </c>
      <c r="AY31" s="100">
        <v>7497.6</v>
      </c>
      <c r="AZ31" s="100">
        <v>6.1556354493316494</v>
      </c>
      <c r="BA31" s="100">
        <v>2097.8405611322264</v>
      </c>
      <c r="BB31" s="100">
        <v>15</v>
      </c>
      <c r="BC31" s="100">
        <v>5112</v>
      </c>
      <c r="BD31" s="100">
        <v>14</v>
      </c>
      <c r="BE31" s="100">
        <v>4771.2</v>
      </c>
      <c r="BF31" s="100">
        <v>20</v>
      </c>
      <c r="BG31" s="100">
        <v>6816</v>
      </c>
      <c r="BH31" s="100">
        <v>7.8931862795780647</v>
      </c>
      <c r="BI31" s="100">
        <v>2689.9978840802046</v>
      </c>
      <c r="BJ31" s="100">
        <v>11</v>
      </c>
      <c r="BK31" s="100">
        <v>3748.8</v>
      </c>
      <c r="BL31" s="100">
        <v>20</v>
      </c>
      <c r="BM31" s="100">
        <v>6816</v>
      </c>
      <c r="BN31" s="100">
        <v>14</v>
      </c>
      <c r="BO31" s="100">
        <v>4771.2</v>
      </c>
      <c r="BP31" s="100">
        <v>14</v>
      </c>
      <c r="BQ31" s="100">
        <v>4771.2</v>
      </c>
      <c r="BR31" s="100">
        <v>1.9745166828297418</v>
      </c>
      <c r="BS31" s="100">
        <v>672.91528550837597</v>
      </c>
      <c r="BT31" s="100">
        <v>17.065077678997316</v>
      </c>
      <c r="BU31" s="100">
        <v>5815.778473002285</v>
      </c>
      <c r="BV31" s="100">
        <v>21</v>
      </c>
      <c r="BW31" s="100">
        <v>7156.8</v>
      </c>
      <c r="BX31" s="100">
        <v>13</v>
      </c>
      <c r="BY31" s="100">
        <v>4430.4000000000005</v>
      </c>
      <c r="BZ31" s="100">
        <v>15</v>
      </c>
      <c r="CA31" s="100">
        <v>5112</v>
      </c>
      <c r="CB31" s="100">
        <v>12.596455039610561</v>
      </c>
      <c r="CC31" s="100">
        <v>4292.8718774992794</v>
      </c>
      <c r="CD31" s="100">
        <v>7.3084395678181732E-16</v>
      </c>
      <c r="CE31" s="100">
        <v>2.4907162047124335E-13</v>
      </c>
      <c r="CF31" s="100">
        <v>17</v>
      </c>
      <c r="CG31" s="100">
        <v>5793.6</v>
      </c>
      <c r="CH31" s="100">
        <v>18</v>
      </c>
      <c r="CI31" s="100">
        <v>6134.4000000000005</v>
      </c>
      <c r="CJ31" s="100">
        <v>18</v>
      </c>
      <c r="CK31" s="100">
        <v>6134.4000000000005</v>
      </c>
      <c r="CL31" s="100">
        <v>13</v>
      </c>
      <c r="CM31" s="100">
        <v>4430.4000000000005</v>
      </c>
      <c r="CN31" s="100">
        <v>12</v>
      </c>
      <c r="CO31" s="100">
        <v>4089.6000000000004</v>
      </c>
      <c r="CP31" s="100">
        <v>13</v>
      </c>
      <c r="CQ31" s="100">
        <v>4430.4000000000005</v>
      </c>
      <c r="CR31" s="100">
        <v>12</v>
      </c>
      <c r="CS31" s="100">
        <v>4089.6000000000004</v>
      </c>
      <c r="CT31" s="100">
        <v>12.790276297102187</v>
      </c>
      <c r="CU31" s="100">
        <v>4358.9261620524258</v>
      </c>
    </row>
    <row r="32" spans="2:99">
      <c r="C32" s="99" t="s">
        <v>198</v>
      </c>
      <c r="D32" s="100">
        <v>16</v>
      </c>
      <c r="E32" s="100">
        <v>13440</v>
      </c>
      <c r="F32" s="100">
        <v>15</v>
      </c>
      <c r="G32" s="100">
        <v>12600</v>
      </c>
      <c r="H32" s="100">
        <v>17</v>
      </c>
      <c r="I32" s="100">
        <v>14280</v>
      </c>
      <c r="J32" s="100">
        <v>18</v>
      </c>
      <c r="K32" s="100">
        <v>15120</v>
      </c>
      <c r="L32" s="100">
        <v>20</v>
      </c>
      <c r="M32" s="100">
        <v>16800</v>
      </c>
      <c r="N32" s="100">
        <v>12.249865907195224</v>
      </c>
      <c r="O32" s="100">
        <v>10289.887362043988</v>
      </c>
      <c r="P32" s="100">
        <v>19</v>
      </c>
      <c r="Q32" s="100">
        <v>15960</v>
      </c>
      <c r="R32" s="100">
        <v>15.509508863639606</v>
      </c>
      <c r="S32" s="100">
        <v>13027.987445457269</v>
      </c>
      <c r="T32" s="100">
        <v>17</v>
      </c>
      <c r="U32" s="100">
        <v>14280</v>
      </c>
      <c r="V32" s="100">
        <v>19</v>
      </c>
      <c r="W32" s="100">
        <v>15960</v>
      </c>
      <c r="X32" s="100">
        <v>11.946820349811182</v>
      </c>
      <c r="Y32" s="100">
        <v>10035.329093841392</v>
      </c>
      <c r="Z32" s="100">
        <v>13</v>
      </c>
      <c r="AA32" s="100">
        <v>10920</v>
      </c>
      <c r="AB32" s="100">
        <v>12</v>
      </c>
      <c r="AC32" s="100">
        <v>10080</v>
      </c>
      <c r="AD32" s="100">
        <v>12</v>
      </c>
      <c r="AE32" s="100">
        <v>10080</v>
      </c>
      <c r="AF32" s="100">
        <v>19.001491138888902</v>
      </c>
      <c r="AG32" s="100">
        <v>15961.252556666677</v>
      </c>
      <c r="AH32" s="100">
        <v>18</v>
      </c>
      <c r="AI32" s="100">
        <v>15120</v>
      </c>
      <c r="AJ32" s="100">
        <v>13</v>
      </c>
      <c r="AK32" s="100">
        <v>10920</v>
      </c>
      <c r="AL32" s="100">
        <v>11.329675418406184</v>
      </c>
      <c r="AM32" s="100">
        <v>9516.9273514611941</v>
      </c>
      <c r="AN32" s="100">
        <v>13</v>
      </c>
      <c r="AO32" s="100">
        <v>10920</v>
      </c>
      <c r="AP32" s="100">
        <v>20</v>
      </c>
      <c r="AQ32" s="100">
        <v>16800</v>
      </c>
      <c r="AR32" s="100">
        <v>21</v>
      </c>
      <c r="AS32" s="100">
        <v>17640</v>
      </c>
      <c r="AT32" s="100">
        <v>13</v>
      </c>
      <c r="AU32" s="100">
        <v>10920</v>
      </c>
      <c r="AV32" s="100">
        <v>19</v>
      </c>
      <c r="AW32" s="100">
        <v>15960</v>
      </c>
      <c r="AX32" s="100">
        <v>20</v>
      </c>
      <c r="AY32" s="100">
        <v>16800</v>
      </c>
      <c r="AZ32" s="100">
        <v>6.9250898804981063</v>
      </c>
      <c r="BA32" s="100">
        <v>5817.0754996184096</v>
      </c>
      <c r="BB32" s="100">
        <v>14</v>
      </c>
      <c r="BC32" s="100">
        <v>11760</v>
      </c>
      <c r="BD32" s="100">
        <v>15</v>
      </c>
      <c r="BE32" s="100">
        <v>12600</v>
      </c>
      <c r="BF32" s="100">
        <v>21</v>
      </c>
      <c r="BG32" s="100">
        <v>17640</v>
      </c>
      <c r="BH32" s="100">
        <v>7.8931862795780647</v>
      </c>
      <c r="BI32" s="100">
        <v>6630.2764748455747</v>
      </c>
      <c r="BJ32" s="100">
        <v>12</v>
      </c>
      <c r="BK32" s="100">
        <v>10080</v>
      </c>
      <c r="BL32" s="100">
        <v>19</v>
      </c>
      <c r="BM32" s="100">
        <v>15960</v>
      </c>
      <c r="BN32" s="100">
        <v>13</v>
      </c>
      <c r="BO32" s="100">
        <v>10920</v>
      </c>
      <c r="BP32" s="100">
        <v>14</v>
      </c>
      <c r="BQ32" s="100">
        <v>11760</v>
      </c>
      <c r="BR32" s="100">
        <v>1.851109390152883</v>
      </c>
      <c r="BS32" s="100">
        <v>1554.9318877284218</v>
      </c>
      <c r="BT32" s="100">
        <v>17.807037578084156</v>
      </c>
      <c r="BU32" s="100">
        <v>14957.911565590692</v>
      </c>
      <c r="BV32" s="100">
        <v>20</v>
      </c>
      <c r="BW32" s="100">
        <v>16800</v>
      </c>
      <c r="BX32" s="100">
        <v>12</v>
      </c>
      <c r="BY32" s="100">
        <v>10080</v>
      </c>
      <c r="BZ32" s="100">
        <v>13</v>
      </c>
      <c r="CA32" s="100">
        <v>10920</v>
      </c>
      <c r="CB32" s="100">
        <v>13.856100543571618</v>
      </c>
      <c r="CC32" s="100">
        <v>11639.124456600159</v>
      </c>
      <c r="CD32" s="100">
        <v>7.3084395678181732E-16</v>
      </c>
      <c r="CE32" s="100">
        <v>6.139089236967265E-13</v>
      </c>
      <c r="CF32" s="100">
        <v>15</v>
      </c>
      <c r="CG32" s="100">
        <v>12600</v>
      </c>
      <c r="CH32" s="100">
        <v>14</v>
      </c>
      <c r="CI32" s="100">
        <v>11760</v>
      </c>
      <c r="CJ32" s="100">
        <v>17</v>
      </c>
      <c r="CK32" s="100">
        <v>14280</v>
      </c>
      <c r="CL32" s="100">
        <v>14</v>
      </c>
      <c r="CM32" s="100">
        <v>11760</v>
      </c>
      <c r="CN32" s="100">
        <v>13</v>
      </c>
      <c r="CO32" s="100">
        <v>10920</v>
      </c>
      <c r="CP32" s="100">
        <v>14</v>
      </c>
      <c r="CQ32" s="100">
        <v>11760</v>
      </c>
      <c r="CR32" s="100">
        <v>13</v>
      </c>
      <c r="CS32" s="100">
        <v>10920</v>
      </c>
      <c r="CT32" s="100">
        <v>11.191491759964416</v>
      </c>
      <c r="CU32" s="100">
        <v>9400.8530783701099</v>
      </c>
    </row>
    <row r="33" spans="2:99">
      <c r="C33" s="99" t="s">
        <v>199</v>
      </c>
      <c r="D33" s="100">
        <v>14</v>
      </c>
      <c r="E33" s="100">
        <v>6636</v>
      </c>
      <c r="F33" s="100">
        <v>16</v>
      </c>
      <c r="G33" s="100">
        <v>7584</v>
      </c>
      <c r="H33" s="100">
        <v>18</v>
      </c>
      <c r="I33" s="100">
        <v>8532</v>
      </c>
      <c r="J33" s="100">
        <v>18</v>
      </c>
      <c r="K33" s="100">
        <v>8532</v>
      </c>
      <c r="L33" s="100">
        <v>19</v>
      </c>
      <c r="M33" s="100">
        <v>9006</v>
      </c>
      <c r="N33" s="100">
        <v>13.781099145594625</v>
      </c>
      <c r="O33" s="100">
        <v>6532.2409950118526</v>
      </c>
      <c r="P33" s="100">
        <v>17</v>
      </c>
      <c r="Q33" s="100">
        <v>8058</v>
      </c>
      <c r="R33" s="100">
        <v>18.417541775572033</v>
      </c>
      <c r="S33" s="100">
        <v>8729.9148016211439</v>
      </c>
      <c r="T33" s="100">
        <v>18</v>
      </c>
      <c r="U33" s="100">
        <v>8532</v>
      </c>
      <c r="V33" s="100">
        <v>18</v>
      </c>
      <c r="W33" s="100">
        <v>8532</v>
      </c>
      <c r="X33" s="100">
        <v>12.865806530565889</v>
      </c>
      <c r="Y33" s="100">
        <v>6098.3922954882319</v>
      </c>
      <c r="Z33" s="100">
        <v>14</v>
      </c>
      <c r="AA33" s="100">
        <v>6636</v>
      </c>
      <c r="AB33" s="100">
        <v>12</v>
      </c>
      <c r="AC33" s="100">
        <v>5688</v>
      </c>
      <c r="AD33" s="100">
        <v>14</v>
      </c>
      <c r="AE33" s="100">
        <v>6636</v>
      </c>
      <c r="AF33" s="100">
        <v>17.101342025000012</v>
      </c>
      <c r="AG33" s="100">
        <v>8106.0361198500059</v>
      </c>
      <c r="AH33" s="100">
        <v>17</v>
      </c>
      <c r="AI33" s="100">
        <v>8058</v>
      </c>
      <c r="AJ33" s="100">
        <v>13</v>
      </c>
      <c r="AK33" s="100">
        <v>6162</v>
      </c>
      <c r="AL33" s="100">
        <v>11.329675418406184</v>
      </c>
      <c r="AM33" s="100">
        <v>5370.2661483245311</v>
      </c>
      <c r="AN33" s="100">
        <v>15</v>
      </c>
      <c r="AO33" s="100">
        <v>7110</v>
      </c>
      <c r="AP33" s="100">
        <v>19</v>
      </c>
      <c r="AQ33" s="100">
        <v>9006</v>
      </c>
      <c r="AR33" s="100">
        <v>19</v>
      </c>
      <c r="AS33" s="100">
        <v>9006</v>
      </c>
      <c r="AT33" s="100">
        <v>13</v>
      </c>
      <c r="AU33" s="100">
        <v>6162</v>
      </c>
      <c r="AV33" s="100">
        <v>21</v>
      </c>
      <c r="AW33" s="100">
        <v>9954</v>
      </c>
      <c r="AX33" s="100">
        <v>19</v>
      </c>
      <c r="AY33" s="100">
        <v>9006</v>
      </c>
      <c r="AZ33" s="100">
        <v>6.9250898804981063</v>
      </c>
      <c r="BA33" s="100">
        <v>3282.4926033561023</v>
      </c>
      <c r="BB33" s="100">
        <v>13</v>
      </c>
      <c r="BC33" s="100">
        <v>6162</v>
      </c>
      <c r="BD33" s="100">
        <v>14</v>
      </c>
      <c r="BE33" s="100">
        <v>6636</v>
      </c>
      <c r="BF33" s="100">
        <v>19</v>
      </c>
      <c r="BG33" s="100">
        <v>9006</v>
      </c>
      <c r="BH33" s="100">
        <v>9.1394788500377597</v>
      </c>
      <c r="BI33" s="100">
        <v>4332.1129749178981</v>
      </c>
      <c r="BJ33" s="100">
        <v>11</v>
      </c>
      <c r="BK33" s="100">
        <v>5214</v>
      </c>
      <c r="BL33" s="100">
        <v>22</v>
      </c>
      <c r="BM33" s="100">
        <v>10428</v>
      </c>
      <c r="BN33" s="100">
        <v>13</v>
      </c>
      <c r="BO33" s="100">
        <v>6162</v>
      </c>
      <c r="BP33" s="100">
        <v>15</v>
      </c>
      <c r="BQ33" s="100">
        <v>7110</v>
      </c>
      <c r="BR33" s="100">
        <v>1.851109390152883</v>
      </c>
      <c r="BS33" s="100">
        <v>877.42585093246657</v>
      </c>
      <c r="BT33" s="100">
        <v>15.581157880823634</v>
      </c>
      <c r="BU33" s="100">
        <v>7385.4688355104026</v>
      </c>
      <c r="BV33" s="100">
        <v>22</v>
      </c>
      <c r="BW33" s="100">
        <v>10428</v>
      </c>
      <c r="BX33" s="100">
        <v>12</v>
      </c>
      <c r="BY33" s="100">
        <v>5688</v>
      </c>
      <c r="BZ33" s="100">
        <v>15</v>
      </c>
      <c r="CA33" s="100">
        <v>7110</v>
      </c>
      <c r="CB33" s="100">
        <v>11.966632287630032</v>
      </c>
      <c r="CC33" s="100">
        <v>5672.1837043366349</v>
      </c>
      <c r="CD33" s="100">
        <v>6.4963907269494874E-16</v>
      </c>
      <c r="CE33" s="100">
        <v>3.0792892045740571E-13</v>
      </c>
      <c r="CF33" s="100">
        <v>16</v>
      </c>
      <c r="CG33" s="100">
        <v>7584</v>
      </c>
      <c r="CH33" s="100">
        <v>16</v>
      </c>
      <c r="CI33" s="100">
        <v>7584</v>
      </c>
      <c r="CJ33" s="100">
        <v>17</v>
      </c>
      <c r="CK33" s="100">
        <v>8058</v>
      </c>
      <c r="CL33" s="100">
        <v>13</v>
      </c>
      <c r="CM33" s="100">
        <v>6162</v>
      </c>
      <c r="CN33" s="100">
        <v>13</v>
      </c>
      <c r="CO33" s="100">
        <v>6162</v>
      </c>
      <c r="CP33" s="100">
        <v>13</v>
      </c>
      <c r="CQ33" s="100">
        <v>6162</v>
      </c>
      <c r="CR33" s="100">
        <v>13</v>
      </c>
      <c r="CS33" s="100">
        <v>6162</v>
      </c>
      <c r="CT33" s="100">
        <v>11.191491759964416</v>
      </c>
      <c r="CU33" s="100">
        <v>5304.7670942231334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16</v>
      </c>
      <c r="G34" s="100">
        <v>8774.4</v>
      </c>
      <c r="H34" s="100">
        <v>18</v>
      </c>
      <c r="I34" s="100">
        <v>9871.1999999999989</v>
      </c>
      <c r="J34" s="100">
        <v>19</v>
      </c>
      <c r="K34" s="100">
        <v>10419.6</v>
      </c>
      <c r="L34" s="100">
        <v>21</v>
      </c>
      <c r="M34" s="100">
        <v>11516.4</v>
      </c>
      <c r="N34" s="100">
        <v>13.781099145594625</v>
      </c>
      <c r="O34" s="100">
        <v>7557.5547714440927</v>
      </c>
      <c r="P34" s="100">
        <v>18</v>
      </c>
      <c r="Q34" s="100">
        <v>9871.1999999999989</v>
      </c>
      <c r="R34" s="100">
        <v>16.478853167617082</v>
      </c>
      <c r="S34" s="100">
        <v>9037.0030771212078</v>
      </c>
      <c r="T34" s="100">
        <v>20</v>
      </c>
      <c r="U34" s="100">
        <v>10968</v>
      </c>
      <c r="V34" s="100">
        <v>20</v>
      </c>
      <c r="W34" s="100">
        <v>10968</v>
      </c>
      <c r="X34" s="100">
        <v>12.865806530565889</v>
      </c>
      <c r="Y34" s="100">
        <v>7055.6083013623329</v>
      </c>
      <c r="Z34" s="100">
        <v>12</v>
      </c>
      <c r="AA34" s="100">
        <v>6580.7999999999993</v>
      </c>
      <c r="AB34" s="100">
        <v>11</v>
      </c>
      <c r="AC34" s="100">
        <v>6032.4</v>
      </c>
      <c r="AD34" s="100">
        <v>13</v>
      </c>
      <c r="AE34" s="100">
        <v>7129.2</v>
      </c>
      <c r="AF34" s="100">
        <v>18.051416581944459</v>
      </c>
      <c r="AG34" s="100">
        <v>9899.396853538341</v>
      </c>
      <c r="AH34" s="100">
        <v>20</v>
      </c>
      <c r="AI34" s="100">
        <v>10968</v>
      </c>
      <c r="AJ34" s="100">
        <v>13</v>
      </c>
      <c r="AK34" s="100">
        <v>7129.2</v>
      </c>
      <c r="AL34" s="100">
        <v>10.25065871189131</v>
      </c>
      <c r="AM34" s="100">
        <v>5621.4612376011937</v>
      </c>
      <c r="AN34" s="100">
        <v>15</v>
      </c>
      <c r="AO34" s="100">
        <v>8226</v>
      </c>
      <c r="AP34" s="100">
        <v>19</v>
      </c>
      <c r="AQ34" s="100">
        <v>10419.6</v>
      </c>
      <c r="AR34" s="100">
        <v>22</v>
      </c>
      <c r="AS34" s="100">
        <v>12064.8</v>
      </c>
      <c r="AT34" s="100">
        <v>11</v>
      </c>
      <c r="AU34" s="100">
        <v>6032.4</v>
      </c>
      <c r="AV34" s="100">
        <v>19</v>
      </c>
      <c r="AW34" s="100">
        <v>10419.6</v>
      </c>
      <c r="AX34" s="100">
        <v>20</v>
      </c>
      <c r="AY34" s="100">
        <v>10968</v>
      </c>
      <c r="AZ34" s="100">
        <v>6.5403626649148778</v>
      </c>
      <c r="BA34" s="100">
        <v>3586.734885439319</v>
      </c>
      <c r="BB34" s="100">
        <v>13</v>
      </c>
      <c r="BC34" s="100">
        <v>7129.2</v>
      </c>
      <c r="BD34" s="100">
        <v>14</v>
      </c>
      <c r="BE34" s="100">
        <v>7677.5999999999995</v>
      </c>
      <c r="BF34" s="100">
        <v>21</v>
      </c>
      <c r="BG34" s="100">
        <v>11516.4</v>
      </c>
      <c r="BH34" s="100">
        <v>7.8931862795780647</v>
      </c>
      <c r="BI34" s="100">
        <v>4328.6233557206106</v>
      </c>
      <c r="BJ34" s="100">
        <v>12</v>
      </c>
      <c r="BK34" s="100">
        <v>6580.7999999999993</v>
      </c>
      <c r="BL34" s="100">
        <v>21</v>
      </c>
      <c r="BM34" s="100">
        <v>11516.4</v>
      </c>
      <c r="BN34" s="100">
        <v>13</v>
      </c>
      <c r="BO34" s="100">
        <v>7129.2</v>
      </c>
      <c r="BP34" s="100">
        <v>13</v>
      </c>
      <c r="BQ34" s="100">
        <v>7129.2</v>
      </c>
      <c r="BR34" s="100">
        <v>2.097923975506601</v>
      </c>
      <c r="BS34" s="100">
        <v>1150.50150816782</v>
      </c>
      <c r="BT34" s="100">
        <v>16.323117779910476</v>
      </c>
      <c r="BU34" s="100">
        <v>8951.5977905029049</v>
      </c>
      <c r="BV34" s="100">
        <v>20</v>
      </c>
      <c r="BW34" s="100">
        <v>10968</v>
      </c>
      <c r="BX34" s="100">
        <v>12</v>
      </c>
      <c r="BY34" s="100">
        <v>6580.7999999999993</v>
      </c>
      <c r="BZ34" s="100">
        <v>14</v>
      </c>
      <c r="CA34" s="100">
        <v>7677.5999999999995</v>
      </c>
      <c r="CB34" s="100">
        <v>13.856100543571618</v>
      </c>
      <c r="CC34" s="100">
        <v>7598.6855380946745</v>
      </c>
      <c r="CD34" s="100">
        <v>6.9024151473838303E-16</v>
      </c>
      <c r="CE34" s="100">
        <v>3.7852844668252921E-13</v>
      </c>
      <c r="CF34" s="100">
        <v>16</v>
      </c>
      <c r="CG34" s="100">
        <v>8774.4</v>
      </c>
      <c r="CH34" s="100">
        <v>15</v>
      </c>
      <c r="CI34" s="100">
        <v>8226</v>
      </c>
      <c r="CJ34" s="100">
        <v>18</v>
      </c>
      <c r="CK34" s="100">
        <v>9871.1999999999989</v>
      </c>
      <c r="CL34" s="100">
        <v>15</v>
      </c>
      <c r="CM34" s="100">
        <v>8226</v>
      </c>
      <c r="CN34" s="100">
        <v>12</v>
      </c>
      <c r="CO34" s="100">
        <v>6580.7999999999993</v>
      </c>
      <c r="CP34" s="100">
        <v>12</v>
      </c>
      <c r="CQ34" s="100">
        <v>6580.7999999999993</v>
      </c>
      <c r="CR34" s="100">
        <v>13</v>
      </c>
      <c r="CS34" s="100">
        <v>7129.2</v>
      </c>
      <c r="CT34" s="100">
        <v>12.790276297102187</v>
      </c>
      <c r="CU34" s="100">
        <v>7014.1875213308385</v>
      </c>
    </row>
    <row r="35" spans="2:99">
      <c r="C35" s="99" t="s">
        <v>201</v>
      </c>
      <c r="D35" s="100">
        <v>16</v>
      </c>
      <c r="E35" s="100">
        <v>8044.7999999999984</v>
      </c>
      <c r="F35" s="100">
        <v>16</v>
      </c>
      <c r="G35" s="100">
        <v>8044.7999999999984</v>
      </c>
      <c r="H35" s="100">
        <v>16</v>
      </c>
      <c r="I35" s="100">
        <v>8044.7999999999984</v>
      </c>
      <c r="J35" s="100">
        <v>18</v>
      </c>
      <c r="K35" s="100">
        <v>9050.3999999999978</v>
      </c>
      <c r="L35" s="100">
        <v>22</v>
      </c>
      <c r="M35" s="100">
        <v>11061.599999999999</v>
      </c>
      <c r="N35" s="100">
        <v>14.546715764794326</v>
      </c>
      <c r="O35" s="100">
        <v>7314.0886865385855</v>
      </c>
      <c r="P35" s="100">
        <v>19</v>
      </c>
      <c r="Q35" s="100">
        <v>9553.1999999999989</v>
      </c>
      <c r="R35" s="100">
        <v>18.417541775572033</v>
      </c>
      <c r="S35" s="100">
        <v>9260.340004757616</v>
      </c>
      <c r="T35" s="100">
        <v>21</v>
      </c>
      <c r="U35" s="100">
        <v>10558.799999999997</v>
      </c>
      <c r="V35" s="100">
        <v>22</v>
      </c>
      <c r="W35" s="100">
        <v>11061.599999999999</v>
      </c>
      <c r="X35" s="100">
        <v>13.784792711320595</v>
      </c>
      <c r="Y35" s="100">
        <v>6930.9937752519936</v>
      </c>
      <c r="Z35" s="100">
        <v>14</v>
      </c>
      <c r="AA35" s="100">
        <v>7039.1999999999989</v>
      </c>
      <c r="AB35" s="100">
        <v>11</v>
      </c>
      <c r="AC35" s="100">
        <v>5530.7999999999993</v>
      </c>
      <c r="AD35" s="100">
        <v>14</v>
      </c>
      <c r="AE35" s="100">
        <v>7039.1999999999989</v>
      </c>
      <c r="AF35" s="100">
        <v>19.001491138888902</v>
      </c>
      <c r="AG35" s="100">
        <v>9553.9497446333371</v>
      </c>
      <c r="AH35" s="100">
        <v>18</v>
      </c>
      <c r="AI35" s="100">
        <v>9050.3999999999978</v>
      </c>
      <c r="AJ35" s="100">
        <v>14</v>
      </c>
      <c r="AK35" s="100">
        <v>7039.1999999999989</v>
      </c>
      <c r="AL35" s="100">
        <v>11.869183771663621</v>
      </c>
      <c r="AM35" s="100">
        <v>5967.825600392468</v>
      </c>
      <c r="AN35" s="100">
        <v>14</v>
      </c>
      <c r="AO35" s="100">
        <v>7039.1999999999989</v>
      </c>
      <c r="AP35" s="100">
        <v>18</v>
      </c>
      <c r="AQ35" s="100">
        <v>9050.3999999999978</v>
      </c>
      <c r="AR35" s="100">
        <v>22</v>
      </c>
      <c r="AS35" s="100">
        <v>11061.599999999999</v>
      </c>
      <c r="AT35" s="100">
        <v>13</v>
      </c>
      <c r="AU35" s="100">
        <v>6536.3999999999987</v>
      </c>
      <c r="AV35" s="100">
        <v>21</v>
      </c>
      <c r="AW35" s="100">
        <v>10558.799999999997</v>
      </c>
      <c r="AX35" s="100">
        <v>23</v>
      </c>
      <c r="AY35" s="100">
        <v>11564.399999999998</v>
      </c>
      <c r="AZ35" s="100">
        <v>6.9250898804981063</v>
      </c>
      <c r="BA35" s="100">
        <v>3481.9351919144469</v>
      </c>
      <c r="BB35" s="100">
        <v>13</v>
      </c>
      <c r="BC35" s="100">
        <v>6536.3999999999987</v>
      </c>
      <c r="BD35" s="100">
        <v>13</v>
      </c>
      <c r="BE35" s="100">
        <v>6536.3999999999987</v>
      </c>
      <c r="BF35" s="100">
        <v>20</v>
      </c>
      <c r="BG35" s="100">
        <v>10055.999999999998</v>
      </c>
      <c r="BH35" s="100">
        <v>9.1394788500377597</v>
      </c>
      <c r="BI35" s="100">
        <v>4595.3299657989846</v>
      </c>
      <c r="BJ35" s="100">
        <v>10</v>
      </c>
      <c r="BK35" s="100">
        <v>5027.9999999999991</v>
      </c>
      <c r="BL35" s="100">
        <v>22</v>
      </c>
      <c r="BM35" s="100">
        <v>11061.599999999999</v>
      </c>
      <c r="BN35" s="100">
        <v>14</v>
      </c>
      <c r="BO35" s="100">
        <v>7039.1999999999989</v>
      </c>
      <c r="BP35" s="100">
        <v>13</v>
      </c>
      <c r="BQ35" s="100">
        <v>6536.3999999999987</v>
      </c>
      <c r="BR35" s="100">
        <v>1.9745166828297418</v>
      </c>
      <c r="BS35" s="100">
        <v>992.78698812679397</v>
      </c>
      <c r="BT35" s="100">
        <v>17.807037578084156</v>
      </c>
      <c r="BU35" s="100">
        <v>8953.3784942607126</v>
      </c>
      <c r="BV35" s="100">
        <v>22</v>
      </c>
      <c r="BW35" s="100">
        <v>11061.599999999999</v>
      </c>
      <c r="BX35" s="100">
        <v>13</v>
      </c>
      <c r="BY35" s="100">
        <v>6536.3999999999987</v>
      </c>
      <c r="BZ35" s="100">
        <v>16</v>
      </c>
      <c r="CA35" s="100">
        <v>8044.7999999999984</v>
      </c>
      <c r="CB35" s="100">
        <v>13.856100543571618</v>
      </c>
      <c r="CC35" s="100">
        <v>6966.8473533078077</v>
      </c>
      <c r="CD35" s="100">
        <v>7.3084395678181732E-16</v>
      </c>
      <c r="CE35" s="100">
        <v>3.674683414698977E-13</v>
      </c>
      <c r="CF35" s="100">
        <v>15</v>
      </c>
      <c r="CG35" s="100">
        <v>7541.9999999999982</v>
      </c>
      <c r="CH35" s="100">
        <v>17</v>
      </c>
      <c r="CI35" s="100">
        <v>8547.5999999999985</v>
      </c>
      <c r="CJ35" s="100">
        <v>15</v>
      </c>
      <c r="CK35" s="100">
        <v>7541.9999999999982</v>
      </c>
      <c r="CL35" s="100">
        <v>13</v>
      </c>
      <c r="CM35" s="100">
        <v>6536.3999999999987</v>
      </c>
      <c r="CN35" s="100">
        <v>13</v>
      </c>
      <c r="CO35" s="100">
        <v>6536.3999999999987</v>
      </c>
      <c r="CP35" s="100">
        <v>13</v>
      </c>
      <c r="CQ35" s="100">
        <v>6536.3999999999987</v>
      </c>
      <c r="CR35" s="100">
        <v>13</v>
      </c>
      <c r="CS35" s="100">
        <v>6536.3999999999987</v>
      </c>
      <c r="CT35" s="100">
        <v>11.990884028533301</v>
      </c>
      <c r="CU35" s="100">
        <v>6029.0164895465423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16</v>
      </c>
      <c r="G36" s="100">
        <v>12172.8</v>
      </c>
      <c r="H36" s="100">
        <v>17</v>
      </c>
      <c r="I36" s="100">
        <v>12933.599999999999</v>
      </c>
      <c r="J36" s="100">
        <v>18</v>
      </c>
      <c r="K36" s="100">
        <v>13694.4</v>
      </c>
      <c r="L36" s="100">
        <v>18</v>
      </c>
      <c r="M36" s="100">
        <v>13694.4</v>
      </c>
      <c r="N36" s="100">
        <v>13.781099145594625</v>
      </c>
      <c r="O36" s="100">
        <v>10484.660229968391</v>
      </c>
      <c r="P36" s="100">
        <v>18</v>
      </c>
      <c r="Q36" s="100">
        <v>13694.4</v>
      </c>
      <c r="R36" s="100">
        <v>16.478853167617082</v>
      </c>
      <c r="S36" s="100">
        <v>12537.111489923076</v>
      </c>
      <c r="T36" s="100">
        <v>19</v>
      </c>
      <c r="U36" s="100">
        <v>14455.199999999999</v>
      </c>
      <c r="V36" s="100">
        <v>20</v>
      </c>
      <c r="W36" s="100">
        <v>15216</v>
      </c>
      <c r="X36" s="100">
        <v>12.865806530565889</v>
      </c>
      <c r="Y36" s="100">
        <v>9788.3056084545278</v>
      </c>
      <c r="Z36" s="100">
        <v>14</v>
      </c>
      <c r="AA36" s="100">
        <v>10651.199999999999</v>
      </c>
      <c r="AB36" s="100">
        <v>10</v>
      </c>
      <c r="AC36" s="100">
        <v>7608</v>
      </c>
      <c r="AD36" s="100">
        <v>13</v>
      </c>
      <c r="AE36" s="100">
        <v>9890.4</v>
      </c>
      <c r="AF36" s="100">
        <v>18.051416581944459</v>
      </c>
      <c r="AG36" s="100">
        <v>13733.517735543342</v>
      </c>
      <c r="AH36" s="100">
        <v>20</v>
      </c>
      <c r="AI36" s="100">
        <v>15216</v>
      </c>
      <c r="AJ36" s="100">
        <v>12</v>
      </c>
      <c r="AK36" s="100">
        <v>9129.5999999999985</v>
      </c>
      <c r="AL36" s="100">
        <v>10.25065871189131</v>
      </c>
      <c r="AM36" s="100">
        <v>7798.7011480069077</v>
      </c>
      <c r="AN36" s="100">
        <v>13</v>
      </c>
      <c r="AO36" s="100">
        <v>9890.4</v>
      </c>
      <c r="AP36" s="100">
        <v>20</v>
      </c>
      <c r="AQ36" s="100">
        <v>15216</v>
      </c>
      <c r="AR36" s="100">
        <v>21</v>
      </c>
      <c r="AS36" s="100">
        <v>15976.8</v>
      </c>
      <c r="AT36" s="100">
        <v>11</v>
      </c>
      <c r="AU36" s="100">
        <v>8368.7999999999993</v>
      </c>
      <c r="AV36" s="100">
        <v>21</v>
      </c>
      <c r="AW36" s="100">
        <v>15976.8</v>
      </c>
      <c r="AX36" s="100">
        <v>21</v>
      </c>
      <c r="AY36" s="100">
        <v>15976.8</v>
      </c>
      <c r="AZ36" s="100">
        <v>6.5403626649148778</v>
      </c>
      <c r="BA36" s="100">
        <v>4975.907915467239</v>
      </c>
      <c r="BB36" s="100">
        <v>14</v>
      </c>
      <c r="BC36" s="100">
        <v>10651.199999999999</v>
      </c>
      <c r="BD36" s="100">
        <v>13</v>
      </c>
      <c r="BE36" s="100">
        <v>9890.4</v>
      </c>
      <c r="BF36" s="100">
        <v>19</v>
      </c>
      <c r="BG36" s="100">
        <v>14455.199999999999</v>
      </c>
      <c r="BH36" s="100">
        <v>8.7240479932178605</v>
      </c>
      <c r="BI36" s="100">
        <v>6637.255713240148</v>
      </c>
      <c r="BJ36" s="100">
        <v>12</v>
      </c>
      <c r="BK36" s="100">
        <v>9129.5999999999985</v>
      </c>
      <c r="BL36" s="100">
        <v>20</v>
      </c>
      <c r="BM36" s="100">
        <v>15216</v>
      </c>
      <c r="BN36" s="100">
        <v>11</v>
      </c>
      <c r="BO36" s="100">
        <v>8368.7999999999993</v>
      </c>
      <c r="BP36" s="100">
        <v>13</v>
      </c>
      <c r="BQ36" s="100">
        <v>9890.4</v>
      </c>
      <c r="BR36" s="100">
        <v>1.9745166828297418</v>
      </c>
      <c r="BS36" s="100">
        <v>1502.2122922968674</v>
      </c>
      <c r="BT36" s="100">
        <v>17.807037578084156</v>
      </c>
      <c r="BU36" s="100">
        <v>13547.594189406425</v>
      </c>
      <c r="BV36" s="100">
        <v>19</v>
      </c>
      <c r="BW36" s="100">
        <v>14455.199999999999</v>
      </c>
      <c r="BX36" s="100">
        <v>12</v>
      </c>
      <c r="BY36" s="100">
        <v>9129.5999999999985</v>
      </c>
      <c r="BZ36" s="100">
        <v>15</v>
      </c>
      <c r="CA36" s="100">
        <v>11412</v>
      </c>
      <c r="CB36" s="100">
        <v>13.856100543571618</v>
      </c>
      <c r="CC36" s="100">
        <v>10541.721293549286</v>
      </c>
      <c r="CD36" s="100">
        <v>6.4963907269494874E-16</v>
      </c>
      <c r="CE36" s="100">
        <v>4.9424540650631695E-13</v>
      </c>
      <c r="CF36" s="100">
        <v>15</v>
      </c>
      <c r="CG36" s="100">
        <v>11412</v>
      </c>
      <c r="CH36" s="100">
        <v>15</v>
      </c>
      <c r="CI36" s="100">
        <v>11412</v>
      </c>
      <c r="CJ36" s="100">
        <v>15</v>
      </c>
      <c r="CK36" s="100">
        <v>11412</v>
      </c>
      <c r="CL36" s="100">
        <v>13</v>
      </c>
      <c r="CM36" s="100">
        <v>9890.4</v>
      </c>
      <c r="CN36" s="100">
        <v>13</v>
      </c>
      <c r="CO36" s="100">
        <v>9890.4</v>
      </c>
      <c r="CP36" s="100">
        <v>13</v>
      </c>
      <c r="CQ36" s="100">
        <v>9890.4</v>
      </c>
      <c r="CR36" s="100">
        <v>12</v>
      </c>
      <c r="CS36" s="100">
        <v>9129.5999999999985</v>
      </c>
      <c r="CT36" s="100">
        <v>11.191491759964416</v>
      </c>
      <c r="CU36" s="100">
        <v>8514.4869309809274</v>
      </c>
    </row>
    <row r="37" spans="2:99">
      <c r="B37" s="99" t="s">
        <v>128</v>
      </c>
      <c r="C37" s="99" t="s">
        <v>203</v>
      </c>
      <c r="D37" s="100">
        <v>8</v>
      </c>
      <c r="E37" s="100">
        <v>6883.2</v>
      </c>
      <c r="F37" s="100">
        <v>9</v>
      </c>
      <c r="G37" s="100">
        <v>7743.5999999999995</v>
      </c>
      <c r="H37" s="100">
        <v>16</v>
      </c>
      <c r="I37" s="100">
        <v>13766.4</v>
      </c>
      <c r="J37" s="100">
        <v>10</v>
      </c>
      <c r="K37" s="100">
        <v>8604</v>
      </c>
      <c r="L37" s="100">
        <v>10</v>
      </c>
      <c r="M37" s="100">
        <v>8604</v>
      </c>
      <c r="N37" s="100">
        <v>6.1249329535976118</v>
      </c>
      <c r="O37" s="100">
        <v>5269.8923132753853</v>
      </c>
      <c r="P37" s="100">
        <v>14</v>
      </c>
      <c r="Q37" s="100">
        <v>12045.6</v>
      </c>
      <c r="R37" s="100">
        <v>8.7240987357972788</v>
      </c>
      <c r="S37" s="100">
        <v>7506.2145522799783</v>
      </c>
      <c r="T37" s="100">
        <v>8</v>
      </c>
      <c r="U37" s="100">
        <v>6883.2</v>
      </c>
      <c r="V37" s="100">
        <v>13</v>
      </c>
      <c r="W37" s="100">
        <v>11185.199999999999</v>
      </c>
      <c r="X37" s="100">
        <v>10.10884798830177</v>
      </c>
      <c r="Y37" s="100">
        <v>8697.6528091348428</v>
      </c>
      <c r="Z37" s="100">
        <v>7</v>
      </c>
      <c r="AA37" s="100">
        <v>6022.8</v>
      </c>
      <c r="AB37" s="100">
        <v>14</v>
      </c>
      <c r="AC37" s="100">
        <v>12045.6</v>
      </c>
      <c r="AD37" s="100">
        <v>7</v>
      </c>
      <c r="AE37" s="100">
        <v>6022.8</v>
      </c>
      <c r="AF37" s="100">
        <v>10.450820126388898</v>
      </c>
      <c r="AG37" s="100">
        <v>8991.885636745008</v>
      </c>
      <c r="AH37" s="100">
        <v>13</v>
      </c>
      <c r="AI37" s="100">
        <v>11185.199999999999</v>
      </c>
      <c r="AJ37" s="100">
        <v>13</v>
      </c>
      <c r="AK37" s="100">
        <v>11185.199999999999</v>
      </c>
      <c r="AL37" s="100">
        <v>7.5531169456041232</v>
      </c>
      <c r="AM37" s="100">
        <v>6498.7018199977874</v>
      </c>
      <c r="AN37" s="100">
        <v>8</v>
      </c>
      <c r="AO37" s="100">
        <v>6883.2</v>
      </c>
      <c r="AP37" s="100">
        <v>10</v>
      </c>
      <c r="AQ37" s="100">
        <v>8604</v>
      </c>
      <c r="AR37" s="100">
        <v>10</v>
      </c>
      <c r="AS37" s="100">
        <v>8604</v>
      </c>
      <c r="AT37" s="100">
        <v>14</v>
      </c>
      <c r="AU37" s="100">
        <v>12045.6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5.3861810181651943</v>
      </c>
      <c r="BA37" s="100">
        <v>4634.2701480293335</v>
      </c>
      <c r="BB37" s="100">
        <v>10</v>
      </c>
      <c r="BC37" s="100">
        <v>8604</v>
      </c>
      <c r="BD37" s="100">
        <v>14</v>
      </c>
      <c r="BE37" s="100">
        <v>12045.6</v>
      </c>
      <c r="BF37" s="100">
        <v>13</v>
      </c>
      <c r="BG37" s="100">
        <v>11185.199999999999</v>
      </c>
      <c r="BH37" s="100">
        <v>4.1543085681989815</v>
      </c>
      <c r="BI37" s="100">
        <v>3574.3670920784034</v>
      </c>
      <c r="BJ37" s="100">
        <v>13</v>
      </c>
      <c r="BK37" s="100">
        <v>11185.199999999999</v>
      </c>
      <c r="BL37" s="100">
        <v>14</v>
      </c>
      <c r="BM37" s="100">
        <v>12045.6</v>
      </c>
      <c r="BN37" s="100">
        <v>10</v>
      </c>
      <c r="BO37" s="100">
        <v>8604</v>
      </c>
      <c r="BP37" s="100">
        <v>13</v>
      </c>
      <c r="BQ37" s="100">
        <v>11185.199999999999</v>
      </c>
      <c r="BR37" s="100">
        <v>1.851109390152883</v>
      </c>
      <c r="BS37" s="100">
        <v>1592.6945192875405</v>
      </c>
      <c r="BT37" s="100">
        <v>6.6776390917815585</v>
      </c>
      <c r="BU37" s="100">
        <v>5745.440674568853</v>
      </c>
      <c r="BV37" s="100">
        <v>8</v>
      </c>
      <c r="BW37" s="100">
        <v>6883.2</v>
      </c>
      <c r="BX37" s="100">
        <v>12</v>
      </c>
      <c r="BY37" s="100">
        <v>10324.799999999999</v>
      </c>
      <c r="BZ37" s="100">
        <v>14</v>
      </c>
      <c r="CA37" s="100">
        <v>12045.6</v>
      </c>
      <c r="CB37" s="100">
        <v>6.9280502717858088</v>
      </c>
      <c r="CC37" s="100">
        <v>5960.8944538445094</v>
      </c>
      <c r="CD37" s="100">
        <v>5.2783174656464587E-16</v>
      </c>
      <c r="CE37" s="100">
        <v>4.5414643474422129E-13</v>
      </c>
      <c r="CF37" s="100">
        <v>13</v>
      </c>
      <c r="CG37" s="100">
        <v>11185.199999999999</v>
      </c>
      <c r="CH37" s="100">
        <v>10</v>
      </c>
      <c r="CI37" s="100">
        <v>8604</v>
      </c>
      <c r="CJ37" s="100">
        <v>13</v>
      </c>
      <c r="CK37" s="100">
        <v>11185.199999999999</v>
      </c>
      <c r="CL37" s="100">
        <v>12</v>
      </c>
      <c r="CM37" s="100">
        <v>10324.799999999999</v>
      </c>
      <c r="CN37" s="100">
        <v>14</v>
      </c>
      <c r="CO37" s="100">
        <v>12045.6</v>
      </c>
      <c r="CP37" s="100">
        <v>11</v>
      </c>
      <c r="CQ37" s="100">
        <v>9464.4</v>
      </c>
      <c r="CR37" s="100">
        <v>11</v>
      </c>
      <c r="CS37" s="100">
        <v>9464.4</v>
      </c>
      <c r="CT37" s="100">
        <v>10.392099491395527</v>
      </c>
      <c r="CU37" s="100">
        <v>8941.3624023967113</v>
      </c>
    </row>
    <row r="38" spans="2:99">
      <c r="C38" s="99" t="s">
        <v>204</v>
      </c>
      <c r="D38" s="100">
        <v>8</v>
      </c>
      <c r="E38" s="100">
        <v>9936</v>
      </c>
      <c r="F38" s="100">
        <v>9</v>
      </c>
      <c r="G38" s="100">
        <v>11178</v>
      </c>
      <c r="H38" s="100">
        <v>13</v>
      </c>
      <c r="I38" s="100">
        <v>16146</v>
      </c>
      <c r="J38" s="100">
        <v>12</v>
      </c>
      <c r="K38" s="100">
        <v>14904</v>
      </c>
      <c r="L38" s="100">
        <v>10</v>
      </c>
      <c r="M38" s="100">
        <v>12420</v>
      </c>
      <c r="N38" s="100">
        <v>6.1249329535976118</v>
      </c>
      <c r="O38" s="100">
        <v>7607.1667283682336</v>
      </c>
      <c r="P38" s="100">
        <v>13</v>
      </c>
      <c r="Q38" s="100">
        <v>16146</v>
      </c>
      <c r="R38" s="100">
        <v>7.7547544318198032</v>
      </c>
      <c r="S38" s="100">
        <v>9631.4050043201951</v>
      </c>
      <c r="T38" s="100">
        <v>8</v>
      </c>
      <c r="U38" s="100">
        <v>9936</v>
      </c>
      <c r="V38" s="100">
        <v>14</v>
      </c>
      <c r="W38" s="100">
        <v>17388</v>
      </c>
      <c r="X38" s="100">
        <v>9.1898618075470644</v>
      </c>
      <c r="Y38" s="100">
        <v>11413.808364973454</v>
      </c>
      <c r="Z38" s="100">
        <v>8</v>
      </c>
      <c r="AA38" s="100">
        <v>9936</v>
      </c>
      <c r="AB38" s="100">
        <v>12</v>
      </c>
      <c r="AC38" s="100">
        <v>14904</v>
      </c>
      <c r="AD38" s="100">
        <v>8</v>
      </c>
      <c r="AE38" s="100">
        <v>9936</v>
      </c>
      <c r="AF38" s="100">
        <v>10.450820126388898</v>
      </c>
      <c r="AG38" s="100">
        <v>12979.918596975011</v>
      </c>
      <c r="AH38" s="100">
        <v>12</v>
      </c>
      <c r="AI38" s="100">
        <v>14904</v>
      </c>
      <c r="AJ38" s="100">
        <v>12</v>
      </c>
      <c r="AK38" s="100">
        <v>14904</v>
      </c>
      <c r="AL38" s="100">
        <v>7.5531169456041232</v>
      </c>
      <c r="AM38" s="100">
        <v>9380.9712464403201</v>
      </c>
      <c r="AN38" s="100">
        <v>8</v>
      </c>
      <c r="AO38" s="100">
        <v>9936</v>
      </c>
      <c r="AP38" s="100">
        <v>11</v>
      </c>
      <c r="AQ38" s="100">
        <v>13662</v>
      </c>
      <c r="AR38" s="100">
        <v>10</v>
      </c>
      <c r="AS38" s="100">
        <v>12420</v>
      </c>
      <c r="AT38" s="100">
        <v>14</v>
      </c>
      <c r="AU38" s="100">
        <v>17388</v>
      </c>
      <c r="AV38" s="100">
        <v>15</v>
      </c>
      <c r="AW38" s="100">
        <v>18630</v>
      </c>
      <c r="AX38" s="100">
        <v>9</v>
      </c>
      <c r="AY38" s="100">
        <v>11178</v>
      </c>
      <c r="AZ38" s="100">
        <v>5.3861810181651943</v>
      </c>
      <c r="BA38" s="100">
        <v>6689.6368245611711</v>
      </c>
      <c r="BB38" s="100">
        <v>9</v>
      </c>
      <c r="BC38" s="100">
        <v>11178</v>
      </c>
      <c r="BD38" s="100">
        <v>13</v>
      </c>
      <c r="BE38" s="100">
        <v>16146</v>
      </c>
      <c r="BF38" s="100">
        <v>14</v>
      </c>
      <c r="BG38" s="100">
        <v>17388</v>
      </c>
      <c r="BH38" s="100">
        <v>4.5697394250188799</v>
      </c>
      <c r="BI38" s="100">
        <v>5675.6163658734486</v>
      </c>
      <c r="BJ38" s="100">
        <v>15</v>
      </c>
      <c r="BK38" s="100">
        <v>18630</v>
      </c>
      <c r="BL38" s="100">
        <v>13</v>
      </c>
      <c r="BM38" s="100">
        <v>16146</v>
      </c>
      <c r="BN38" s="100">
        <v>10</v>
      </c>
      <c r="BO38" s="100">
        <v>12420</v>
      </c>
      <c r="BP38" s="100">
        <v>16</v>
      </c>
      <c r="BQ38" s="100">
        <v>19872</v>
      </c>
      <c r="BR38" s="100">
        <v>1.6042948047991652</v>
      </c>
      <c r="BS38" s="100">
        <v>1992.5341475605633</v>
      </c>
      <c r="BT38" s="100">
        <v>6.6776390917815585</v>
      </c>
      <c r="BU38" s="100">
        <v>8293.6277519926953</v>
      </c>
      <c r="BV38" s="100">
        <v>9</v>
      </c>
      <c r="BW38" s="100">
        <v>11178</v>
      </c>
      <c r="BX38" s="100">
        <v>13</v>
      </c>
      <c r="BY38" s="100">
        <v>16146</v>
      </c>
      <c r="BZ38" s="100">
        <v>13</v>
      </c>
      <c r="CA38" s="100">
        <v>16146</v>
      </c>
      <c r="CB38" s="100">
        <v>6.9280502717858088</v>
      </c>
      <c r="CC38" s="100">
        <v>8604.6384375579746</v>
      </c>
      <c r="CD38" s="100">
        <v>5.2783174656464587E-16</v>
      </c>
      <c r="CE38" s="100">
        <v>6.5556702923329015E-13</v>
      </c>
      <c r="CF38" s="100">
        <v>12</v>
      </c>
      <c r="CG38" s="100">
        <v>14904</v>
      </c>
      <c r="CH38" s="100">
        <v>10</v>
      </c>
      <c r="CI38" s="100">
        <v>12420</v>
      </c>
      <c r="CJ38" s="100">
        <v>12</v>
      </c>
      <c r="CK38" s="100">
        <v>14904</v>
      </c>
      <c r="CL38" s="100">
        <v>12</v>
      </c>
      <c r="CM38" s="100">
        <v>14904</v>
      </c>
      <c r="CN38" s="100">
        <v>12</v>
      </c>
      <c r="CO38" s="100">
        <v>14904</v>
      </c>
      <c r="CP38" s="100">
        <v>11</v>
      </c>
      <c r="CQ38" s="100">
        <v>13662</v>
      </c>
      <c r="CR38" s="100">
        <v>10</v>
      </c>
      <c r="CS38" s="100">
        <v>12420</v>
      </c>
      <c r="CT38" s="100">
        <v>9.5927072228266415</v>
      </c>
      <c r="CU38" s="100">
        <v>11914.142370750689</v>
      </c>
    </row>
    <row r="39" spans="2:99">
      <c r="C39" s="99" t="s">
        <v>205</v>
      </c>
      <c r="D39" s="100">
        <v>9</v>
      </c>
      <c r="E39" s="100">
        <v>12808.800000000001</v>
      </c>
      <c r="F39" s="100">
        <v>9</v>
      </c>
      <c r="G39" s="100">
        <v>12808.800000000001</v>
      </c>
      <c r="H39" s="100">
        <v>14</v>
      </c>
      <c r="I39" s="100">
        <v>19924.8</v>
      </c>
      <c r="J39" s="100">
        <v>11</v>
      </c>
      <c r="K39" s="100">
        <v>15655.2</v>
      </c>
      <c r="L39" s="100">
        <v>10</v>
      </c>
      <c r="M39" s="100">
        <v>14232</v>
      </c>
      <c r="N39" s="100">
        <v>6.1249329535976118</v>
      </c>
      <c r="O39" s="100">
        <v>8717.0045795601218</v>
      </c>
      <c r="P39" s="100">
        <v>12</v>
      </c>
      <c r="Q39" s="100">
        <v>17078.400000000001</v>
      </c>
      <c r="R39" s="100">
        <v>8.7240987357972788</v>
      </c>
      <c r="S39" s="100">
        <v>12416.137320786687</v>
      </c>
      <c r="T39" s="100">
        <v>8</v>
      </c>
      <c r="U39" s="100">
        <v>11385.6</v>
      </c>
      <c r="V39" s="100">
        <v>15</v>
      </c>
      <c r="W39" s="100">
        <v>21348</v>
      </c>
      <c r="X39" s="100">
        <v>9.1898618075470644</v>
      </c>
      <c r="Y39" s="100">
        <v>13079.011324500982</v>
      </c>
      <c r="Z39" s="100">
        <v>8</v>
      </c>
      <c r="AA39" s="100">
        <v>11385.6</v>
      </c>
      <c r="AB39" s="100">
        <v>12</v>
      </c>
      <c r="AC39" s="100">
        <v>17078.400000000001</v>
      </c>
      <c r="AD39" s="100">
        <v>7</v>
      </c>
      <c r="AE39" s="100">
        <v>9962.4</v>
      </c>
      <c r="AF39" s="100">
        <v>9.5007455694444509</v>
      </c>
      <c r="AG39" s="100">
        <v>13521.461094433344</v>
      </c>
      <c r="AH39" s="100">
        <v>13</v>
      </c>
      <c r="AI39" s="100">
        <v>18501.600000000002</v>
      </c>
      <c r="AJ39" s="100">
        <v>12</v>
      </c>
      <c r="AK39" s="100">
        <v>17078.400000000001</v>
      </c>
      <c r="AL39" s="100">
        <v>7.013608592346686</v>
      </c>
      <c r="AM39" s="100">
        <v>9981.7677486278044</v>
      </c>
      <c r="AN39" s="100">
        <v>7</v>
      </c>
      <c r="AO39" s="100">
        <v>9962.4</v>
      </c>
      <c r="AP39" s="100">
        <v>11</v>
      </c>
      <c r="AQ39" s="100">
        <v>15655.2</v>
      </c>
      <c r="AR39" s="100">
        <v>11</v>
      </c>
      <c r="AS39" s="100">
        <v>15655.2</v>
      </c>
      <c r="AT39" s="100">
        <v>13</v>
      </c>
      <c r="AU39" s="100">
        <v>18501.600000000002</v>
      </c>
      <c r="AV39" s="100">
        <v>15</v>
      </c>
      <c r="AW39" s="100">
        <v>21348</v>
      </c>
      <c r="AX39" s="100">
        <v>10</v>
      </c>
      <c r="AY39" s="100">
        <v>14232</v>
      </c>
      <c r="AZ39" s="100">
        <v>5.7709082337484219</v>
      </c>
      <c r="BA39" s="100">
        <v>8213.1565982707543</v>
      </c>
      <c r="BB39" s="100">
        <v>9</v>
      </c>
      <c r="BC39" s="100">
        <v>12808.800000000001</v>
      </c>
      <c r="BD39" s="100">
        <v>13</v>
      </c>
      <c r="BE39" s="100">
        <v>18501.600000000002</v>
      </c>
      <c r="BF39" s="100">
        <v>14</v>
      </c>
      <c r="BG39" s="100">
        <v>19924.8</v>
      </c>
      <c r="BH39" s="100">
        <v>4.1543085681989815</v>
      </c>
      <c r="BI39" s="100">
        <v>5912.4119542607905</v>
      </c>
      <c r="BJ39" s="100">
        <v>14</v>
      </c>
      <c r="BK39" s="100">
        <v>19924.8</v>
      </c>
      <c r="BL39" s="100">
        <v>12</v>
      </c>
      <c r="BM39" s="100">
        <v>17078.400000000001</v>
      </c>
      <c r="BN39" s="100">
        <v>10</v>
      </c>
      <c r="BO39" s="100">
        <v>14232</v>
      </c>
      <c r="BP39" s="100">
        <v>13</v>
      </c>
      <c r="BQ39" s="100">
        <v>18501.600000000002</v>
      </c>
      <c r="BR39" s="100">
        <v>1.851109390152883</v>
      </c>
      <c r="BS39" s="100">
        <v>2634.4988840655833</v>
      </c>
      <c r="BT39" s="100">
        <v>5.9356791926947183</v>
      </c>
      <c r="BU39" s="100">
        <v>8447.6586270431235</v>
      </c>
      <c r="BV39" s="100">
        <v>9</v>
      </c>
      <c r="BW39" s="100">
        <v>12808.800000000001</v>
      </c>
      <c r="BX39" s="100">
        <v>12</v>
      </c>
      <c r="BY39" s="100">
        <v>17078.400000000001</v>
      </c>
      <c r="BZ39" s="100">
        <v>12</v>
      </c>
      <c r="CA39" s="100">
        <v>17078.400000000001</v>
      </c>
      <c r="CB39" s="100">
        <v>7.5578730237663363</v>
      </c>
      <c r="CC39" s="100">
        <v>10756.36488742425</v>
      </c>
      <c r="CD39" s="100">
        <v>5.2783174656464587E-16</v>
      </c>
      <c r="CE39" s="100">
        <v>7.5121014171080407E-13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12</v>
      </c>
      <c r="CK39" s="100">
        <v>17078.400000000001</v>
      </c>
      <c r="CL39" s="100">
        <v>11</v>
      </c>
      <c r="CM39" s="100">
        <v>15655.2</v>
      </c>
      <c r="CN39" s="100">
        <v>12</v>
      </c>
      <c r="CO39" s="100">
        <v>17078.400000000001</v>
      </c>
      <c r="CP39" s="100">
        <v>12</v>
      </c>
      <c r="CQ39" s="100">
        <v>17078.400000000001</v>
      </c>
      <c r="CR39" s="100">
        <v>10</v>
      </c>
      <c r="CS39" s="100">
        <v>14232</v>
      </c>
      <c r="CT39" s="100">
        <v>8.7933149542577542</v>
      </c>
      <c r="CU39" s="100">
        <v>12514.645842899636</v>
      </c>
    </row>
    <row r="40" spans="2:99">
      <c r="C40" s="99" t="s">
        <v>206</v>
      </c>
      <c r="D40" s="100">
        <v>8</v>
      </c>
      <c r="E40" s="100">
        <v>5798.4</v>
      </c>
      <c r="F40" s="100">
        <v>8</v>
      </c>
      <c r="G40" s="100">
        <v>5798.4</v>
      </c>
      <c r="H40" s="100">
        <v>15</v>
      </c>
      <c r="I40" s="100">
        <v>10872</v>
      </c>
      <c r="J40" s="100">
        <v>11</v>
      </c>
      <c r="K40" s="100">
        <v>7972.7999999999993</v>
      </c>
      <c r="L40" s="100">
        <v>10</v>
      </c>
      <c r="M40" s="100">
        <v>7248</v>
      </c>
      <c r="N40" s="100">
        <v>6.1249329535976118</v>
      </c>
      <c r="O40" s="100">
        <v>4439.351404767549</v>
      </c>
      <c r="P40" s="100">
        <v>13</v>
      </c>
      <c r="Q40" s="100">
        <v>9422.4</v>
      </c>
      <c r="R40" s="100">
        <v>9.6934430397747526</v>
      </c>
      <c r="S40" s="100">
        <v>7025.8075152287402</v>
      </c>
      <c r="T40" s="100">
        <v>8</v>
      </c>
      <c r="U40" s="100">
        <v>5798.4</v>
      </c>
      <c r="V40" s="100">
        <v>16</v>
      </c>
      <c r="W40" s="100">
        <v>11596.8</v>
      </c>
      <c r="X40" s="100">
        <v>9.1898618075470644</v>
      </c>
      <c r="Y40" s="100">
        <v>6660.8118381101121</v>
      </c>
      <c r="Z40" s="100">
        <v>8</v>
      </c>
      <c r="AA40" s="100">
        <v>5798.4</v>
      </c>
      <c r="AB40" s="100">
        <v>15</v>
      </c>
      <c r="AC40" s="100">
        <v>10872</v>
      </c>
      <c r="AD40" s="100">
        <v>8</v>
      </c>
      <c r="AE40" s="100">
        <v>5798.4</v>
      </c>
      <c r="AF40" s="100">
        <v>12.350969240277788</v>
      </c>
      <c r="AG40" s="100">
        <v>8951.9825053533405</v>
      </c>
      <c r="AH40" s="100">
        <v>13</v>
      </c>
      <c r="AI40" s="100">
        <v>9422.4</v>
      </c>
      <c r="AJ40" s="100">
        <v>13</v>
      </c>
      <c r="AK40" s="100">
        <v>9422.4</v>
      </c>
      <c r="AL40" s="100">
        <v>7.5531169456041232</v>
      </c>
      <c r="AM40" s="100">
        <v>5474.4991621738682</v>
      </c>
      <c r="AN40" s="100">
        <v>7</v>
      </c>
      <c r="AO40" s="100">
        <v>5073.5999999999995</v>
      </c>
      <c r="AP40" s="100">
        <v>12</v>
      </c>
      <c r="AQ40" s="100">
        <v>8697.5999999999985</v>
      </c>
      <c r="AR40" s="100">
        <v>10</v>
      </c>
      <c r="AS40" s="100">
        <v>7248</v>
      </c>
      <c r="AT40" s="100">
        <v>15</v>
      </c>
      <c r="AU40" s="100">
        <v>10872</v>
      </c>
      <c r="AV40" s="100">
        <v>13</v>
      </c>
      <c r="AW40" s="100">
        <v>9422.4</v>
      </c>
      <c r="AX40" s="100">
        <v>11</v>
      </c>
      <c r="AY40" s="100">
        <v>7972.7999999999993</v>
      </c>
      <c r="AZ40" s="100">
        <v>5.001453802581965</v>
      </c>
      <c r="BA40" s="100">
        <v>3625.053716111408</v>
      </c>
      <c r="BB40" s="100">
        <v>9</v>
      </c>
      <c r="BC40" s="100">
        <v>6523.2</v>
      </c>
      <c r="BD40" s="100">
        <v>14</v>
      </c>
      <c r="BE40" s="100">
        <v>10147.199999999999</v>
      </c>
      <c r="BF40" s="100">
        <v>15</v>
      </c>
      <c r="BG40" s="100">
        <v>10872</v>
      </c>
      <c r="BH40" s="100">
        <v>4.5697394250188799</v>
      </c>
      <c r="BI40" s="100">
        <v>3312.1471352536837</v>
      </c>
      <c r="BJ40" s="100">
        <v>15</v>
      </c>
      <c r="BK40" s="100">
        <v>10872</v>
      </c>
      <c r="BL40" s="100">
        <v>14</v>
      </c>
      <c r="BM40" s="100">
        <v>10147.199999999999</v>
      </c>
      <c r="BN40" s="100">
        <v>12</v>
      </c>
      <c r="BO40" s="100">
        <v>8697.5999999999985</v>
      </c>
      <c r="BP40" s="100">
        <v>15</v>
      </c>
      <c r="BQ40" s="100">
        <v>10872</v>
      </c>
      <c r="BR40" s="100">
        <v>1.727702097476024</v>
      </c>
      <c r="BS40" s="100">
        <v>1252.2384802506222</v>
      </c>
      <c r="BT40" s="100">
        <v>5.9356791926947183</v>
      </c>
      <c r="BU40" s="100">
        <v>4302.1802788651312</v>
      </c>
      <c r="BV40" s="100">
        <v>9</v>
      </c>
      <c r="BW40" s="100">
        <v>6523.2</v>
      </c>
      <c r="BX40" s="100">
        <v>11</v>
      </c>
      <c r="BY40" s="100">
        <v>7972.7999999999993</v>
      </c>
      <c r="BZ40" s="100">
        <v>15</v>
      </c>
      <c r="CA40" s="100">
        <v>10872</v>
      </c>
      <c r="CB40" s="100">
        <v>7.5578730237663363</v>
      </c>
      <c r="CC40" s="100">
        <v>5477.9463676258401</v>
      </c>
      <c r="CD40" s="100">
        <v>6.4963907269494874E-16</v>
      </c>
      <c r="CE40" s="100">
        <v>4.7085839988929882E-13</v>
      </c>
      <c r="CF40" s="100">
        <v>12</v>
      </c>
      <c r="CG40" s="100">
        <v>8697.5999999999985</v>
      </c>
      <c r="CH40" s="100">
        <v>10</v>
      </c>
      <c r="CI40" s="100">
        <v>7248</v>
      </c>
      <c r="CJ40" s="100">
        <v>12</v>
      </c>
      <c r="CK40" s="100">
        <v>8697.5999999999985</v>
      </c>
      <c r="CL40" s="100">
        <v>13</v>
      </c>
      <c r="CM40" s="100">
        <v>9422.4</v>
      </c>
      <c r="CN40" s="100">
        <v>13</v>
      </c>
      <c r="CO40" s="100">
        <v>9422.4</v>
      </c>
      <c r="CP40" s="100">
        <v>11</v>
      </c>
      <c r="CQ40" s="100">
        <v>7972.7999999999993</v>
      </c>
      <c r="CR40" s="100">
        <v>10</v>
      </c>
      <c r="CS40" s="100">
        <v>7248</v>
      </c>
      <c r="CT40" s="100">
        <v>8.7933149542577542</v>
      </c>
      <c r="CU40" s="100">
        <v>6373.3946788460198</v>
      </c>
    </row>
    <row r="41" spans="2:99">
      <c r="C41" s="99" t="s">
        <v>207</v>
      </c>
      <c r="D41" s="100">
        <v>9</v>
      </c>
      <c r="E41" s="100">
        <v>5940</v>
      </c>
      <c r="F41" s="100">
        <v>8</v>
      </c>
      <c r="G41" s="100">
        <v>5280</v>
      </c>
      <c r="H41" s="100">
        <v>16</v>
      </c>
      <c r="I41" s="100">
        <v>10560</v>
      </c>
      <c r="J41" s="100">
        <v>11</v>
      </c>
      <c r="K41" s="100">
        <v>7260</v>
      </c>
      <c r="L41" s="100">
        <v>9</v>
      </c>
      <c r="M41" s="100">
        <v>5940</v>
      </c>
      <c r="N41" s="100">
        <v>6.8905495727973127</v>
      </c>
      <c r="O41" s="100">
        <v>4547.7627180462268</v>
      </c>
      <c r="P41" s="100">
        <v>13</v>
      </c>
      <c r="Q41" s="100">
        <v>8580</v>
      </c>
      <c r="R41" s="100">
        <v>8.7240987357972788</v>
      </c>
      <c r="S41" s="100">
        <v>5757.9051656262036</v>
      </c>
      <c r="T41" s="100">
        <v>9</v>
      </c>
      <c r="U41" s="100">
        <v>5940</v>
      </c>
      <c r="V41" s="100">
        <v>13</v>
      </c>
      <c r="W41" s="100">
        <v>8580</v>
      </c>
      <c r="X41" s="100">
        <v>10.10884798830177</v>
      </c>
      <c r="Y41" s="100">
        <v>6671.8396722791686</v>
      </c>
      <c r="Z41" s="100">
        <v>8</v>
      </c>
      <c r="AA41" s="100">
        <v>5280</v>
      </c>
      <c r="AB41" s="100">
        <v>13</v>
      </c>
      <c r="AC41" s="100">
        <v>8580</v>
      </c>
      <c r="AD41" s="100">
        <v>8</v>
      </c>
      <c r="AE41" s="100">
        <v>5280</v>
      </c>
      <c r="AF41" s="100">
        <v>10.450820126388898</v>
      </c>
      <c r="AG41" s="100">
        <v>6897.5412834166727</v>
      </c>
      <c r="AH41" s="100">
        <v>12</v>
      </c>
      <c r="AI41" s="100">
        <v>7920</v>
      </c>
      <c r="AJ41" s="100">
        <v>13</v>
      </c>
      <c r="AK41" s="100">
        <v>8580</v>
      </c>
      <c r="AL41" s="100">
        <v>7.5531169456041232</v>
      </c>
      <c r="AM41" s="100">
        <v>4985.0571840987213</v>
      </c>
      <c r="AN41" s="100">
        <v>9</v>
      </c>
      <c r="AO41" s="100">
        <v>5940</v>
      </c>
      <c r="AP41" s="100">
        <v>12</v>
      </c>
      <c r="AQ41" s="100">
        <v>7920</v>
      </c>
      <c r="AR41" s="100">
        <v>10</v>
      </c>
      <c r="AS41" s="100">
        <v>6600</v>
      </c>
      <c r="AT41" s="100">
        <v>14</v>
      </c>
      <c r="AU41" s="100">
        <v>9240</v>
      </c>
      <c r="AV41" s="100">
        <v>14</v>
      </c>
      <c r="AW41" s="100">
        <v>9240</v>
      </c>
      <c r="AX41" s="100">
        <v>10</v>
      </c>
      <c r="AY41" s="100">
        <v>6600</v>
      </c>
      <c r="AZ41" s="100">
        <v>5.3861810181651943</v>
      </c>
      <c r="BA41" s="100">
        <v>3554.8794719890284</v>
      </c>
      <c r="BB41" s="100">
        <v>10</v>
      </c>
      <c r="BC41" s="100">
        <v>6600</v>
      </c>
      <c r="BD41" s="100">
        <v>14</v>
      </c>
      <c r="BE41" s="100">
        <v>9240</v>
      </c>
      <c r="BF41" s="100">
        <v>15</v>
      </c>
      <c r="BG41" s="100">
        <v>9900</v>
      </c>
      <c r="BH41" s="100">
        <v>4.5697394250188799</v>
      </c>
      <c r="BI41" s="100">
        <v>3016.0280205124609</v>
      </c>
      <c r="BJ41" s="100">
        <v>15</v>
      </c>
      <c r="BK41" s="100">
        <v>9900</v>
      </c>
      <c r="BL41" s="100">
        <v>13</v>
      </c>
      <c r="BM41" s="100">
        <v>8580</v>
      </c>
      <c r="BN41" s="100">
        <v>11</v>
      </c>
      <c r="BO41" s="100">
        <v>7260</v>
      </c>
      <c r="BP41" s="100">
        <v>16</v>
      </c>
      <c r="BQ41" s="100">
        <v>10560</v>
      </c>
      <c r="BR41" s="100">
        <v>1.6042948047991652</v>
      </c>
      <c r="BS41" s="100">
        <v>1058.834571167449</v>
      </c>
      <c r="BT41" s="100">
        <v>7.4195989908683977</v>
      </c>
      <c r="BU41" s="100">
        <v>4896.9353339731424</v>
      </c>
      <c r="BV41" s="100">
        <v>8</v>
      </c>
      <c r="BW41" s="100">
        <v>5280</v>
      </c>
      <c r="BX41" s="100">
        <v>13</v>
      </c>
      <c r="BY41" s="100">
        <v>8580</v>
      </c>
      <c r="BZ41" s="100">
        <v>15</v>
      </c>
      <c r="CA41" s="100">
        <v>9900</v>
      </c>
      <c r="CB41" s="100">
        <v>8.1876957757468638</v>
      </c>
      <c r="CC41" s="100">
        <v>5403.8792119929303</v>
      </c>
      <c r="CD41" s="100">
        <v>6.4963907269494874E-16</v>
      </c>
      <c r="CE41" s="100">
        <v>4.2876178797866616E-13</v>
      </c>
      <c r="CF41" s="100">
        <v>13</v>
      </c>
      <c r="CG41" s="100">
        <v>8580</v>
      </c>
      <c r="CH41" s="100">
        <v>10</v>
      </c>
      <c r="CI41" s="100">
        <v>6600</v>
      </c>
      <c r="CJ41" s="100">
        <v>14</v>
      </c>
      <c r="CK41" s="100">
        <v>9240</v>
      </c>
      <c r="CL41" s="100">
        <v>13</v>
      </c>
      <c r="CM41" s="100">
        <v>8580</v>
      </c>
      <c r="CN41" s="100">
        <v>14</v>
      </c>
      <c r="CO41" s="100">
        <v>9240</v>
      </c>
      <c r="CP41" s="100">
        <v>13</v>
      </c>
      <c r="CQ41" s="100">
        <v>8580</v>
      </c>
      <c r="CR41" s="100">
        <v>10</v>
      </c>
      <c r="CS41" s="100">
        <v>6600</v>
      </c>
      <c r="CT41" s="100">
        <v>10.392099491395527</v>
      </c>
      <c r="CU41" s="100">
        <v>6858.785664321048</v>
      </c>
    </row>
    <row r="42" spans="2:99">
      <c r="C42" s="99" t="s">
        <v>208</v>
      </c>
      <c r="D42" s="100">
        <v>9</v>
      </c>
      <c r="E42" s="100">
        <v>7614</v>
      </c>
      <c r="F42" s="100">
        <v>8</v>
      </c>
      <c r="G42" s="100">
        <v>6768</v>
      </c>
      <c r="H42" s="100">
        <v>15</v>
      </c>
      <c r="I42" s="100">
        <v>12690</v>
      </c>
      <c r="J42" s="100">
        <v>11</v>
      </c>
      <c r="K42" s="100">
        <v>9306</v>
      </c>
      <c r="L42" s="100">
        <v>9</v>
      </c>
      <c r="M42" s="100">
        <v>7614</v>
      </c>
      <c r="N42" s="100">
        <v>6.1249329535976118</v>
      </c>
      <c r="O42" s="100">
        <v>5181.6932787435799</v>
      </c>
      <c r="P42" s="100">
        <v>14</v>
      </c>
      <c r="Q42" s="100">
        <v>11844</v>
      </c>
      <c r="R42" s="100">
        <v>7.7547544318198032</v>
      </c>
      <c r="S42" s="100">
        <v>6560.5222493195533</v>
      </c>
      <c r="T42" s="100">
        <v>8</v>
      </c>
      <c r="U42" s="100">
        <v>6768</v>
      </c>
      <c r="V42" s="100">
        <v>16</v>
      </c>
      <c r="W42" s="100">
        <v>13536</v>
      </c>
      <c r="X42" s="100">
        <v>9.1898618075470644</v>
      </c>
      <c r="Y42" s="100">
        <v>7774.6230891848163</v>
      </c>
      <c r="Z42" s="100">
        <v>7</v>
      </c>
      <c r="AA42" s="100">
        <v>5922</v>
      </c>
      <c r="AB42" s="100">
        <v>13</v>
      </c>
      <c r="AC42" s="100">
        <v>10998</v>
      </c>
      <c r="AD42" s="100">
        <v>8</v>
      </c>
      <c r="AE42" s="100">
        <v>6768</v>
      </c>
      <c r="AF42" s="100">
        <v>10.450820126388898</v>
      </c>
      <c r="AG42" s="100">
        <v>8841.3938269250084</v>
      </c>
      <c r="AH42" s="100">
        <v>12</v>
      </c>
      <c r="AI42" s="100">
        <v>10152</v>
      </c>
      <c r="AJ42" s="100">
        <v>13</v>
      </c>
      <c r="AK42" s="100">
        <v>10998</v>
      </c>
      <c r="AL42" s="100">
        <v>8.6321336521189984</v>
      </c>
      <c r="AM42" s="100">
        <v>7302.7850696926726</v>
      </c>
      <c r="AN42" s="100">
        <v>7</v>
      </c>
      <c r="AO42" s="100">
        <v>5922</v>
      </c>
      <c r="AP42" s="100">
        <v>11</v>
      </c>
      <c r="AQ42" s="100">
        <v>9306</v>
      </c>
      <c r="AR42" s="100">
        <v>11</v>
      </c>
      <c r="AS42" s="100">
        <v>9306</v>
      </c>
      <c r="AT42" s="100">
        <v>14</v>
      </c>
      <c r="AU42" s="100">
        <v>11844</v>
      </c>
      <c r="AV42" s="100">
        <v>14</v>
      </c>
      <c r="AW42" s="100">
        <v>11844</v>
      </c>
      <c r="AX42" s="100">
        <v>11</v>
      </c>
      <c r="AY42" s="100">
        <v>9306</v>
      </c>
      <c r="AZ42" s="100">
        <v>5.7709082337484219</v>
      </c>
      <c r="BA42" s="100">
        <v>4882.1883657511653</v>
      </c>
      <c r="BB42" s="100">
        <v>10</v>
      </c>
      <c r="BC42" s="100">
        <v>8460</v>
      </c>
      <c r="BD42" s="100">
        <v>13</v>
      </c>
      <c r="BE42" s="100">
        <v>10998</v>
      </c>
      <c r="BF42" s="100">
        <v>12</v>
      </c>
      <c r="BG42" s="100">
        <v>10152</v>
      </c>
      <c r="BH42" s="100">
        <v>4.1543085681989815</v>
      </c>
      <c r="BI42" s="100">
        <v>3514.5450486963382</v>
      </c>
      <c r="BJ42" s="100">
        <v>15</v>
      </c>
      <c r="BK42" s="100">
        <v>12690</v>
      </c>
      <c r="BL42" s="100">
        <v>14</v>
      </c>
      <c r="BM42" s="100">
        <v>11844</v>
      </c>
      <c r="BN42" s="100">
        <v>11</v>
      </c>
      <c r="BO42" s="100">
        <v>9306</v>
      </c>
      <c r="BP42" s="100">
        <v>15</v>
      </c>
      <c r="BQ42" s="100">
        <v>12690</v>
      </c>
      <c r="BR42" s="100">
        <v>1.851109390152883</v>
      </c>
      <c r="BS42" s="100">
        <v>1566.038544069339</v>
      </c>
      <c r="BT42" s="100">
        <v>5.9356791926947183</v>
      </c>
      <c r="BU42" s="100">
        <v>5021.5845970197315</v>
      </c>
      <c r="BV42" s="100">
        <v>9</v>
      </c>
      <c r="BW42" s="100">
        <v>7614</v>
      </c>
      <c r="BX42" s="100">
        <v>13</v>
      </c>
      <c r="BY42" s="100">
        <v>10998</v>
      </c>
      <c r="BZ42" s="100">
        <v>13</v>
      </c>
      <c r="CA42" s="100">
        <v>10998</v>
      </c>
      <c r="CB42" s="100">
        <v>6.9280502717858088</v>
      </c>
      <c r="CC42" s="100">
        <v>5861.1305299307942</v>
      </c>
      <c r="CD42" s="100">
        <v>5.6843418860808016E-16</v>
      </c>
      <c r="CE42" s="100">
        <v>4.8089532356243585E-13</v>
      </c>
      <c r="CF42" s="100">
        <v>12</v>
      </c>
      <c r="CG42" s="100">
        <v>10152</v>
      </c>
      <c r="CH42" s="100">
        <v>9</v>
      </c>
      <c r="CI42" s="100">
        <v>7614</v>
      </c>
      <c r="CJ42" s="100">
        <v>14</v>
      </c>
      <c r="CK42" s="100">
        <v>11844</v>
      </c>
      <c r="CL42" s="100">
        <v>13</v>
      </c>
      <c r="CM42" s="100">
        <v>10998</v>
      </c>
      <c r="CN42" s="100">
        <v>14</v>
      </c>
      <c r="CO42" s="100">
        <v>11844</v>
      </c>
      <c r="CP42" s="100">
        <v>12</v>
      </c>
      <c r="CQ42" s="100">
        <v>10152</v>
      </c>
      <c r="CR42" s="100">
        <v>10</v>
      </c>
      <c r="CS42" s="100">
        <v>8460</v>
      </c>
      <c r="CT42" s="100">
        <v>8.7933149542577542</v>
      </c>
      <c r="CU42" s="100">
        <v>7439.1444513020597</v>
      </c>
    </row>
    <row r="43" spans="2:99">
      <c r="C43" s="99" t="s">
        <v>209</v>
      </c>
      <c r="D43" s="100">
        <v>9</v>
      </c>
      <c r="E43" s="100">
        <v>9201.6</v>
      </c>
      <c r="F43" s="100">
        <v>8</v>
      </c>
      <c r="G43" s="100">
        <v>8179.2</v>
      </c>
      <c r="H43" s="100">
        <v>15</v>
      </c>
      <c r="I43" s="100">
        <v>15336</v>
      </c>
      <c r="J43" s="100">
        <v>10</v>
      </c>
      <c r="K43" s="100">
        <v>10224</v>
      </c>
      <c r="L43" s="100">
        <v>10</v>
      </c>
      <c r="M43" s="100">
        <v>10224</v>
      </c>
      <c r="N43" s="100">
        <v>6.1249329535976118</v>
      </c>
      <c r="O43" s="100">
        <v>6262.1314517581977</v>
      </c>
      <c r="P43" s="100">
        <v>13</v>
      </c>
      <c r="Q43" s="100">
        <v>13291.199999999999</v>
      </c>
      <c r="R43" s="100">
        <v>8.7240987357972788</v>
      </c>
      <c r="S43" s="100">
        <v>8919.5185474791379</v>
      </c>
      <c r="T43" s="100">
        <v>8</v>
      </c>
      <c r="U43" s="100">
        <v>8179.2</v>
      </c>
      <c r="V43" s="100">
        <v>14</v>
      </c>
      <c r="W43" s="100">
        <v>14313.6</v>
      </c>
      <c r="X43" s="100">
        <v>9.1898618075470644</v>
      </c>
      <c r="Y43" s="100">
        <v>9395.7147120361187</v>
      </c>
      <c r="Z43" s="100">
        <v>7</v>
      </c>
      <c r="AA43" s="100">
        <v>7156.8</v>
      </c>
      <c r="AB43" s="100">
        <v>14</v>
      </c>
      <c r="AC43" s="100">
        <v>14313.6</v>
      </c>
      <c r="AD43" s="100">
        <v>7</v>
      </c>
      <c r="AE43" s="100">
        <v>7156.8</v>
      </c>
      <c r="AF43" s="100">
        <v>10.450820126388898</v>
      </c>
      <c r="AG43" s="100">
        <v>10684.918497220009</v>
      </c>
      <c r="AH43" s="100">
        <v>12</v>
      </c>
      <c r="AI43" s="100">
        <v>12268.8</v>
      </c>
      <c r="AJ43" s="100">
        <v>11</v>
      </c>
      <c r="AK43" s="100">
        <v>11246.4</v>
      </c>
      <c r="AL43" s="100">
        <v>7.5531169456041232</v>
      </c>
      <c r="AM43" s="100">
        <v>7722.3067651856554</v>
      </c>
      <c r="AN43" s="100">
        <v>8</v>
      </c>
      <c r="AO43" s="100">
        <v>8179.2</v>
      </c>
      <c r="AP43" s="100">
        <v>10</v>
      </c>
      <c r="AQ43" s="100">
        <v>10224</v>
      </c>
      <c r="AR43" s="100">
        <v>9</v>
      </c>
      <c r="AS43" s="100">
        <v>9201.6</v>
      </c>
      <c r="AT43" s="100">
        <v>15</v>
      </c>
      <c r="AU43" s="100">
        <v>15336</v>
      </c>
      <c r="AV43" s="100">
        <v>13</v>
      </c>
      <c r="AW43" s="100">
        <v>13291.199999999999</v>
      </c>
      <c r="AX43" s="100">
        <v>10</v>
      </c>
      <c r="AY43" s="100">
        <v>10224</v>
      </c>
      <c r="AZ43" s="100">
        <v>5.3861810181651943</v>
      </c>
      <c r="BA43" s="100">
        <v>5506.8314729720942</v>
      </c>
      <c r="BB43" s="100">
        <v>10</v>
      </c>
      <c r="BC43" s="100">
        <v>10224</v>
      </c>
      <c r="BD43" s="100">
        <v>13</v>
      </c>
      <c r="BE43" s="100">
        <v>13291.199999999999</v>
      </c>
      <c r="BF43" s="100">
        <v>12</v>
      </c>
      <c r="BG43" s="100">
        <v>12268.8</v>
      </c>
      <c r="BH43" s="100">
        <v>4.5697394250188799</v>
      </c>
      <c r="BI43" s="100">
        <v>4672.1015881393023</v>
      </c>
      <c r="BJ43" s="100">
        <v>16</v>
      </c>
      <c r="BK43" s="100">
        <v>16358.4</v>
      </c>
      <c r="BL43" s="100">
        <v>12</v>
      </c>
      <c r="BM43" s="100">
        <v>12268.8</v>
      </c>
      <c r="BN43" s="100">
        <v>11</v>
      </c>
      <c r="BO43" s="100">
        <v>11246.4</v>
      </c>
      <c r="BP43" s="100">
        <v>16</v>
      </c>
      <c r="BQ43" s="100">
        <v>16358.4</v>
      </c>
      <c r="BR43" s="100">
        <v>1.727702097476024</v>
      </c>
      <c r="BS43" s="100">
        <v>1766.4026244594868</v>
      </c>
      <c r="BT43" s="100">
        <v>6.6776390917815585</v>
      </c>
      <c r="BU43" s="100">
        <v>6827.218207437465</v>
      </c>
      <c r="BV43" s="100">
        <v>9</v>
      </c>
      <c r="BW43" s="100">
        <v>9201.6</v>
      </c>
      <c r="BX43" s="100">
        <v>13</v>
      </c>
      <c r="BY43" s="100">
        <v>13291.199999999999</v>
      </c>
      <c r="BZ43" s="100">
        <v>13</v>
      </c>
      <c r="CA43" s="100">
        <v>13291.199999999999</v>
      </c>
      <c r="CB43" s="100">
        <v>7.5578730237663363</v>
      </c>
      <c r="CC43" s="100">
        <v>7727.1693794987023</v>
      </c>
      <c r="CD43" s="100">
        <v>6.4963907269494874E-16</v>
      </c>
      <c r="CE43" s="100">
        <v>6.6419098792331562E-13</v>
      </c>
      <c r="CF43" s="100">
        <v>11</v>
      </c>
      <c r="CG43" s="100">
        <v>11246.4</v>
      </c>
      <c r="CH43" s="100">
        <v>10</v>
      </c>
      <c r="CI43" s="100">
        <v>10224</v>
      </c>
      <c r="CJ43" s="100">
        <v>14</v>
      </c>
      <c r="CK43" s="100">
        <v>14313.6</v>
      </c>
      <c r="CL43" s="100">
        <v>12</v>
      </c>
      <c r="CM43" s="100">
        <v>12268.8</v>
      </c>
      <c r="CN43" s="100">
        <v>13</v>
      </c>
      <c r="CO43" s="100">
        <v>13291.199999999999</v>
      </c>
      <c r="CP43" s="100">
        <v>12</v>
      </c>
      <c r="CQ43" s="100">
        <v>12268.8</v>
      </c>
      <c r="CR43" s="100">
        <v>10</v>
      </c>
      <c r="CS43" s="100">
        <v>10224</v>
      </c>
      <c r="CT43" s="100">
        <v>9.5927072228266415</v>
      </c>
      <c r="CU43" s="100">
        <v>9807.5838646179582</v>
      </c>
    </row>
    <row r="44" spans="2:99">
      <c r="C44" s="99" t="s">
        <v>210</v>
      </c>
      <c r="D44" s="100">
        <v>9</v>
      </c>
      <c r="E44" s="100">
        <v>9201.6</v>
      </c>
      <c r="F44" s="100">
        <v>8</v>
      </c>
      <c r="G44" s="100">
        <v>8179.2</v>
      </c>
      <c r="H44" s="100">
        <v>14</v>
      </c>
      <c r="I44" s="100">
        <v>14313.6</v>
      </c>
      <c r="J44" s="100">
        <v>11</v>
      </c>
      <c r="K44" s="100">
        <v>11246.4</v>
      </c>
      <c r="L44" s="100">
        <v>9</v>
      </c>
      <c r="M44" s="100">
        <v>9201.6</v>
      </c>
      <c r="N44" s="100">
        <v>5.35931633439791</v>
      </c>
      <c r="O44" s="100">
        <v>5479.3650202884228</v>
      </c>
      <c r="P44" s="100">
        <v>14</v>
      </c>
      <c r="Q44" s="100">
        <v>14313.6</v>
      </c>
      <c r="R44" s="100">
        <v>7.7547544318198032</v>
      </c>
      <c r="S44" s="100">
        <v>7928.4609310925662</v>
      </c>
      <c r="T44" s="100">
        <v>8</v>
      </c>
      <c r="U44" s="100">
        <v>8179.2</v>
      </c>
      <c r="V44" s="100">
        <v>13</v>
      </c>
      <c r="W44" s="100">
        <v>13291.199999999999</v>
      </c>
      <c r="X44" s="100">
        <v>10.10884798830177</v>
      </c>
      <c r="Y44" s="100">
        <v>10335.28618323973</v>
      </c>
      <c r="Z44" s="100">
        <v>7</v>
      </c>
      <c r="AA44" s="100">
        <v>7156.8</v>
      </c>
      <c r="AB44" s="100">
        <v>13</v>
      </c>
      <c r="AC44" s="100">
        <v>13291.199999999999</v>
      </c>
      <c r="AD44" s="100">
        <v>7</v>
      </c>
      <c r="AE44" s="100">
        <v>7156.8</v>
      </c>
      <c r="AF44" s="100">
        <v>10.450820126388898</v>
      </c>
      <c r="AG44" s="100">
        <v>10684.918497220009</v>
      </c>
      <c r="AH44" s="100">
        <v>13</v>
      </c>
      <c r="AI44" s="100">
        <v>13291.199999999999</v>
      </c>
      <c r="AJ44" s="100">
        <v>13</v>
      </c>
      <c r="AK44" s="100">
        <v>13291.199999999999</v>
      </c>
      <c r="AL44" s="100">
        <v>7.5531169456041232</v>
      </c>
      <c r="AM44" s="100">
        <v>7722.3067651856554</v>
      </c>
      <c r="AN44" s="100">
        <v>7</v>
      </c>
      <c r="AO44" s="100">
        <v>7156.8</v>
      </c>
      <c r="AP44" s="100">
        <v>11</v>
      </c>
      <c r="AQ44" s="100">
        <v>11246.4</v>
      </c>
      <c r="AR44" s="100">
        <v>10</v>
      </c>
      <c r="AS44" s="100">
        <v>10224</v>
      </c>
      <c r="AT44" s="100">
        <v>14</v>
      </c>
      <c r="AU44" s="100">
        <v>14313.6</v>
      </c>
      <c r="AV44" s="100">
        <v>12</v>
      </c>
      <c r="AW44" s="100">
        <v>12268.8</v>
      </c>
      <c r="AX44" s="100">
        <v>11</v>
      </c>
      <c r="AY44" s="100">
        <v>11246.4</v>
      </c>
      <c r="AZ44" s="100">
        <v>5.3861810181651943</v>
      </c>
      <c r="BA44" s="100">
        <v>5506.8314729720942</v>
      </c>
      <c r="BB44" s="100">
        <v>9</v>
      </c>
      <c r="BC44" s="100">
        <v>9201.6</v>
      </c>
      <c r="BD44" s="100">
        <v>14</v>
      </c>
      <c r="BE44" s="100">
        <v>14313.6</v>
      </c>
      <c r="BF44" s="100">
        <v>13</v>
      </c>
      <c r="BG44" s="100">
        <v>13291.199999999999</v>
      </c>
      <c r="BH44" s="100">
        <v>4.5697394250188799</v>
      </c>
      <c r="BI44" s="100">
        <v>4672.1015881393023</v>
      </c>
      <c r="BJ44" s="100">
        <v>14</v>
      </c>
      <c r="BK44" s="100">
        <v>14313.6</v>
      </c>
      <c r="BL44" s="100">
        <v>14</v>
      </c>
      <c r="BM44" s="100">
        <v>14313.6</v>
      </c>
      <c r="BN44" s="100">
        <v>10</v>
      </c>
      <c r="BO44" s="100">
        <v>10224</v>
      </c>
      <c r="BP44" s="100">
        <v>14</v>
      </c>
      <c r="BQ44" s="100">
        <v>14313.6</v>
      </c>
      <c r="BR44" s="100">
        <v>1.851109390152883</v>
      </c>
      <c r="BS44" s="100">
        <v>1892.5742404923076</v>
      </c>
      <c r="BT44" s="100">
        <v>6.6776390917815585</v>
      </c>
      <c r="BU44" s="100">
        <v>6827.218207437465</v>
      </c>
      <c r="BV44" s="100">
        <v>9</v>
      </c>
      <c r="BW44" s="100">
        <v>9201.6</v>
      </c>
      <c r="BX44" s="100">
        <v>13</v>
      </c>
      <c r="BY44" s="100">
        <v>13291.199999999999</v>
      </c>
      <c r="BZ44" s="100">
        <v>15</v>
      </c>
      <c r="CA44" s="100">
        <v>15336</v>
      </c>
      <c r="CB44" s="100">
        <v>6.9280502717858088</v>
      </c>
      <c r="CC44" s="100">
        <v>7083.2385978738112</v>
      </c>
      <c r="CD44" s="100">
        <v>6.0903663065151445E-16</v>
      </c>
      <c r="CE44" s="100">
        <v>6.2267905117810834E-13</v>
      </c>
      <c r="CF44" s="100">
        <v>12</v>
      </c>
      <c r="CG44" s="100">
        <v>12268.8</v>
      </c>
      <c r="CH44" s="100">
        <v>10</v>
      </c>
      <c r="CI44" s="100">
        <v>10224</v>
      </c>
      <c r="CJ44" s="100">
        <v>13</v>
      </c>
      <c r="CK44" s="100">
        <v>13291.199999999999</v>
      </c>
      <c r="CL44" s="100">
        <v>12</v>
      </c>
      <c r="CM44" s="100">
        <v>12268.8</v>
      </c>
      <c r="CN44" s="100">
        <v>14</v>
      </c>
      <c r="CO44" s="100">
        <v>14313.6</v>
      </c>
      <c r="CP44" s="100">
        <v>11</v>
      </c>
      <c r="CQ44" s="100">
        <v>11246.4</v>
      </c>
      <c r="CR44" s="100">
        <v>11</v>
      </c>
      <c r="CS44" s="100">
        <v>11246.4</v>
      </c>
      <c r="CT44" s="100">
        <v>8.7933149542577542</v>
      </c>
      <c r="CU44" s="100">
        <v>8990.2852092331286</v>
      </c>
    </row>
    <row r="45" spans="2:99">
      <c r="C45" s="99" t="s">
        <v>211</v>
      </c>
      <c r="D45" s="100">
        <v>8</v>
      </c>
      <c r="E45" s="100">
        <v>9993.6</v>
      </c>
      <c r="F45" s="100">
        <v>9</v>
      </c>
      <c r="G45" s="100">
        <v>11242.800000000001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9</v>
      </c>
      <c r="M45" s="100">
        <v>11242.800000000001</v>
      </c>
      <c r="N45" s="100">
        <v>6.1249329535976118</v>
      </c>
      <c r="O45" s="100">
        <v>7651.2662456341368</v>
      </c>
      <c r="P45" s="100">
        <v>13</v>
      </c>
      <c r="Q45" s="100">
        <v>16239.6</v>
      </c>
      <c r="R45" s="100">
        <v>7.7547544318198032</v>
      </c>
      <c r="S45" s="100">
        <v>9687.2392362292976</v>
      </c>
      <c r="T45" s="100">
        <v>8</v>
      </c>
      <c r="U45" s="100">
        <v>9993.6</v>
      </c>
      <c r="V45" s="100">
        <v>14</v>
      </c>
      <c r="W45" s="100">
        <v>17488.8</v>
      </c>
      <c r="X45" s="100">
        <v>10.10884798830177</v>
      </c>
      <c r="Y45" s="100">
        <v>12627.972906986572</v>
      </c>
      <c r="Z45" s="100">
        <v>8</v>
      </c>
      <c r="AA45" s="100">
        <v>9993.6</v>
      </c>
      <c r="AB45" s="100">
        <v>12</v>
      </c>
      <c r="AC45" s="100">
        <v>14990.400000000001</v>
      </c>
      <c r="AD45" s="100">
        <v>8</v>
      </c>
      <c r="AE45" s="100">
        <v>9993.6</v>
      </c>
      <c r="AF45" s="100">
        <v>10.450820126388898</v>
      </c>
      <c r="AG45" s="100">
        <v>13055.164501885012</v>
      </c>
      <c r="AH45" s="100">
        <v>13</v>
      </c>
      <c r="AI45" s="100">
        <v>16239.6</v>
      </c>
      <c r="AJ45" s="100">
        <v>11</v>
      </c>
      <c r="AK45" s="100">
        <v>13741.2</v>
      </c>
      <c r="AL45" s="100">
        <v>7.013608592346686</v>
      </c>
      <c r="AM45" s="100">
        <v>8761.3998535594801</v>
      </c>
      <c r="AN45" s="100">
        <v>7</v>
      </c>
      <c r="AO45" s="100">
        <v>8744.4</v>
      </c>
      <c r="AP45" s="100">
        <v>11</v>
      </c>
      <c r="AQ45" s="100">
        <v>13741.2</v>
      </c>
      <c r="AR45" s="100">
        <v>11</v>
      </c>
      <c r="AS45" s="100">
        <v>13741.2</v>
      </c>
      <c r="AT45" s="100">
        <v>13</v>
      </c>
      <c r="AU45" s="100">
        <v>16239.6</v>
      </c>
      <c r="AV45" s="100">
        <v>13</v>
      </c>
      <c r="AW45" s="100">
        <v>16239.6</v>
      </c>
      <c r="AX45" s="100">
        <v>10</v>
      </c>
      <c r="AY45" s="100">
        <v>12492</v>
      </c>
      <c r="AZ45" s="100">
        <v>5.3861810181651943</v>
      </c>
      <c r="BA45" s="100">
        <v>6728.4173278919607</v>
      </c>
      <c r="BB45" s="100">
        <v>9</v>
      </c>
      <c r="BC45" s="100">
        <v>11242.800000000001</v>
      </c>
      <c r="BD45" s="100">
        <v>13</v>
      </c>
      <c r="BE45" s="100">
        <v>16239.6</v>
      </c>
      <c r="BF45" s="100">
        <v>12</v>
      </c>
      <c r="BG45" s="100">
        <v>14990.400000000001</v>
      </c>
      <c r="BH45" s="100">
        <v>4.5697394250188799</v>
      </c>
      <c r="BI45" s="100">
        <v>5708.5184897335848</v>
      </c>
      <c r="BJ45" s="100">
        <v>14</v>
      </c>
      <c r="BK45" s="100">
        <v>17488.8</v>
      </c>
      <c r="BL45" s="100">
        <v>13</v>
      </c>
      <c r="BM45" s="100">
        <v>16239.6</v>
      </c>
      <c r="BN45" s="100">
        <v>11</v>
      </c>
      <c r="BO45" s="100">
        <v>13741.2</v>
      </c>
      <c r="BP45" s="100">
        <v>14</v>
      </c>
      <c r="BQ45" s="100">
        <v>17488.8</v>
      </c>
      <c r="BR45" s="100">
        <v>1.851109390152883</v>
      </c>
      <c r="BS45" s="100">
        <v>2312.4058501789814</v>
      </c>
      <c r="BT45" s="100">
        <v>5.9356791926947183</v>
      </c>
      <c r="BU45" s="100">
        <v>7414.8504475142427</v>
      </c>
      <c r="BV45" s="100">
        <v>9</v>
      </c>
      <c r="BW45" s="100">
        <v>11242.800000000001</v>
      </c>
      <c r="BX45" s="100">
        <v>13</v>
      </c>
      <c r="BY45" s="100">
        <v>16239.6</v>
      </c>
      <c r="BZ45" s="100">
        <v>14</v>
      </c>
      <c r="CA45" s="100">
        <v>17488.8</v>
      </c>
      <c r="CB45" s="100">
        <v>7.5578730237663363</v>
      </c>
      <c r="CC45" s="100">
        <v>9441.2949812889074</v>
      </c>
      <c r="CD45" s="100">
        <v>6.4963907269494874E-16</v>
      </c>
      <c r="CE45" s="100">
        <v>8.1152912961053002E-13</v>
      </c>
      <c r="CF45" s="100">
        <v>10</v>
      </c>
      <c r="CG45" s="100">
        <v>12492</v>
      </c>
      <c r="CH45" s="100">
        <v>9</v>
      </c>
      <c r="CI45" s="100">
        <v>11242.800000000001</v>
      </c>
      <c r="CJ45" s="100">
        <v>13</v>
      </c>
      <c r="CK45" s="100">
        <v>16239.6</v>
      </c>
      <c r="CL45" s="100">
        <v>12</v>
      </c>
      <c r="CM45" s="100">
        <v>14990.400000000001</v>
      </c>
      <c r="CN45" s="100">
        <v>13</v>
      </c>
      <c r="CO45" s="100">
        <v>16239.6</v>
      </c>
      <c r="CP45" s="100">
        <v>13</v>
      </c>
      <c r="CQ45" s="100">
        <v>16239.6</v>
      </c>
      <c r="CR45" s="100">
        <v>11</v>
      </c>
      <c r="CS45" s="100">
        <v>13741.2</v>
      </c>
      <c r="CT45" s="100">
        <v>8.7933149542577542</v>
      </c>
      <c r="CU45" s="100">
        <v>10984.609040858786</v>
      </c>
    </row>
    <row r="46" spans="2:99">
      <c r="C46" s="99" t="s">
        <v>212</v>
      </c>
      <c r="D46" s="100">
        <v>10</v>
      </c>
      <c r="E46" s="100">
        <v>12120</v>
      </c>
      <c r="F46" s="100">
        <v>8</v>
      </c>
      <c r="G46" s="100">
        <v>9696</v>
      </c>
      <c r="H46" s="100">
        <v>14</v>
      </c>
      <c r="I46" s="100">
        <v>16968</v>
      </c>
      <c r="J46" s="100">
        <v>11</v>
      </c>
      <c r="K46" s="100">
        <v>13332</v>
      </c>
      <c r="L46" s="100">
        <v>9</v>
      </c>
      <c r="M46" s="100">
        <v>10908</v>
      </c>
      <c r="N46" s="100">
        <v>6.1249329535976118</v>
      </c>
      <c r="O46" s="100">
        <v>7423.4187397603055</v>
      </c>
      <c r="P46" s="100">
        <v>12</v>
      </c>
      <c r="Q46" s="100">
        <v>14544</v>
      </c>
      <c r="R46" s="100">
        <v>8.7240987357972788</v>
      </c>
      <c r="S46" s="100">
        <v>10573.607667786302</v>
      </c>
      <c r="T46" s="100">
        <v>7</v>
      </c>
      <c r="U46" s="100">
        <v>8484</v>
      </c>
      <c r="V46" s="100">
        <v>14</v>
      </c>
      <c r="W46" s="100">
        <v>16968</v>
      </c>
      <c r="X46" s="100">
        <v>10.10884798830177</v>
      </c>
      <c r="Y46" s="100">
        <v>12251.923761821745</v>
      </c>
      <c r="Z46" s="100">
        <v>7</v>
      </c>
      <c r="AA46" s="100">
        <v>8484</v>
      </c>
      <c r="AB46" s="100">
        <v>14</v>
      </c>
      <c r="AC46" s="100">
        <v>16968</v>
      </c>
      <c r="AD46" s="100">
        <v>7</v>
      </c>
      <c r="AE46" s="100">
        <v>8484</v>
      </c>
      <c r="AF46" s="100">
        <v>10.450820126388898</v>
      </c>
      <c r="AG46" s="100">
        <v>12666.393993183345</v>
      </c>
      <c r="AH46" s="100">
        <v>13</v>
      </c>
      <c r="AI46" s="100">
        <v>15756</v>
      </c>
      <c r="AJ46" s="100">
        <v>13</v>
      </c>
      <c r="AK46" s="100">
        <v>15756</v>
      </c>
      <c r="AL46" s="100">
        <v>7.013608592346686</v>
      </c>
      <c r="AM46" s="100">
        <v>8500.4936139241836</v>
      </c>
      <c r="AN46" s="100">
        <v>7</v>
      </c>
      <c r="AO46" s="100">
        <v>8484</v>
      </c>
      <c r="AP46" s="100">
        <v>10</v>
      </c>
      <c r="AQ46" s="100">
        <v>12120</v>
      </c>
      <c r="AR46" s="100">
        <v>10</v>
      </c>
      <c r="AS46" s="100">
        <v>12120</v>
      </c>
      <c r="AT46" s="100">
        <v>13</v>
      </c>
      <c r="AU46" s="100">
        <v>15756</v>
      </c>
      <c r="AV46" s="100">
        <v>14</v>
      </c>
      <c r="AW46" s="100">
        <v>16968</v>
      </c>
      <c r="AX46" s="100">
        <v>10</v>
      </c>
      <c r="AY46" s="100">
        <v>12120</v>
      </c>
      <c r="AZ46" s="100">
        <v>5.3861810181651943</v>
      </c>
      <c r="BA46" s="100">
        <v>6528.0513940162155</v>
      </c>
      <c r="BB46" s="100">
        <v>9</v>
      </c>
      <c r="BC46" s="100">
        <v>10908</v>
      </c>
      <c r="BD46" s="100">
        <v>14</v>
      </c>
      <c r="BE46" s="100">
        <v>16968</v>
      </c>
      <c r="BF46" s="100">
        <v>14</v>
      </c>
      <c r="BG46" s="100">
        <v>16968</v>
      </c>
      <c r="BH46" s="100">
        <v>4.5697394250188799</v>
      </c>
      <c r="BI46" s="100">
        <v>5538.5241831228823</v>
      </c>
      <c r="BJ46" s="100">
        <v>13</v>
      </c>
      <c r="BK46" s="100">
        <v>15756</v>
      </c>
      <c r="BL46" s="100">
        <v>12</v>
      </c>
      <c r="BM46" s="100">
        <v>14544</v>
      </c>
      <c r="BN46" s="100">
        <v>11</v>
      </c>
      <c r="BO46" s="100">
        <v>13332</v>
      </c>
      <c r="BP46" s="100">
        <v>14</v>
      </c>
      <c r="BQ46" s="100">
        <v>16968</v>
      </c>
      <c r="BR46" s="100">
        <v>1.727702097476024</v>
      </c>
      <c r="BS46" s="100">
        <v>2093.974942140941</v>
      </c>
      <c r="BT46" s="100">
        <v>6.6776390917815585</v>
      </c>
      <c r="BU46" s="100">
        <v>8093.2985792392492</v>
      </c>
      <c r="BV46" s="100">
        <v>8</v>
      </c>
      <c r="BW46" s="100">
        <v>9696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7.5578730237663363</v>
      </c>
      <c r="CC46" s="100">
        <v>9160.1421048047996</v>
      </c>
      <c r="CD46" s="100">
        <v>5.2783174656464587E-16</v>
      </c>
      <c r="CE46" s="100">
        <v>6.3973207683635078E-13</v>
      </c>
      <c r="CF46" s="100">
        <v>13</v>
      </c>
      <c r="CG46" s="100">
        <v>15756</v>
      </c>
      <c r="CH46" s="100">
        <v>9</v>
      </c>
      <c r="CI46" s="100">
        <v>10908</v>
      </c>
      <c r="CJ46" s="100">
        <v>14</v>
      </c>
      <c r="CK46" s="100">
        <v>16968</v>
      </c>
      <c r="CL46" s="100">
        <v>13</v>
      </c>
      <c r="CM46" s="100">
        <v>15756</v>
      </c>
      <c r="CN46" s="100">
        <v>12</v>
      </c>
      <c r="CO46" s="100">
        <v>14544</v>
      </c>
      <c r="CP46" s="100">
        <v>11</v>
      </c>
      <c r="CQ46" s="100">
        <v>13332</v>
      </c>
      <c r="CR46" s="100">
        <v>10</v>
      </c>
      <c r="CS46" s="100">
        <v>12120</v>
      </c>
      <c r="CT46" s="100">
        <v>9.5927072228266415</v>
      </c>
      <c r="CU46" s="100">
        <v>11626.361154065889</v>
      </c>
    </row>
    <row r="47" spans="2:99">
      <c r="C47" s="99" t="s">
        <v>213</v>
      </c>
      <c r="D47" s="100">
        <v>8</v>
      </c>
      <c r="E47" s="100">
        <v>12220.8</v>
      </c>
      <c r="F47" s="100">
        <v>8</v>
      </c>
      <c r="G47" s="100">
        <v>12220.8</v>
      </c>
      <c r="H47" s="100">
        <v>14</v>
      </c>
      <c r="I47" s="100">
        <v>21386.399999999998</v>
      </c>
      <c r="J47" s="100">
        <v>10</v>
      </c>
      <c r="K47" s="100">
        <v>15276</v>
      </c>
      <c r="L47" s="100">
        <v>10</v>
      </c>
      <c r="M47" s="100">
        <v>15276</v>
      </c>
      <c r="N47" s="100">
        <v>6.1249329535976118</v>
      </c>
      <c r="O47" s="100">
        <v>9356.4475799157117</v>
      </c>
      <c r="P47" s="100">
        <v>13</v>
      </c>
      <c r="Q47" s="100">
        <v>19858.8</v>
      </c>
      <c r="R47" s="100">
        <v>8.7240987357972788</v>
      </c>
      <c r="S47" s="100">
        <v>13326.933228803922</v>
      </c>
      <c r="T47" s="100">
        <v>7</v>
      </c>
      <c r="U47" s="100">
        <v>10693.199999999999</v>
      </c>
      <c r="V47" s="100">
        <v>13</v>
      </c>
      <c r="W47" s="100">
        <v>19858.8</v>
      </c>
      <c r="X47" s="100">
        <v>10.10884798830177</v>
      </c>
      <c r="Y47" s="100">
        <v>15442.276186929783</v>
      </c>
      <c r="Z47" s="100">
        <v>7</v>
      </c>
      <c r="AA47" s="100">
        <v>10693.199999999999</v>
      </c>
      <c r="AB47" s="100">
        <v>12</v>
      </c>
      <c r="AC47" s="100">
        <v>18331.199999999997</v>
      </c>
      <c r="AD47" s="100">
        <v>7</v>
      </c>
      <c r="AE47" s="100">
        <v>10693.199999999999</v>
      </c>
      <c r="AF47" s="100">
        <v>11.400894683333341</v>
      </c>
      <c r="AG47" s="100">
        <v>17416.006718260011</v>
      </c>
      <c r="AH47" s="100">
        <v>11</v>
      </c>
      <c r="AI47" s="100">
        <v>16803.599999999999</v>
      </c>
      <c r="AJ47" s="100">
        <v>12</v>
      </c>
      <c r="AK47" s="100">
        <v>18331.199999999997</v>
      </c>
      <c r="AL47" s="100">
        <v>7.013608592346686</v>
      </c>
      <c r="AM47" s="100">
        <v>10713.988485668797</v>
      </c>
      <c r="AN47" s="100">
        <v>7</v>
      </c>
      <c r="AO47" s="100">
        <v>10693.199999999999</v>
      </c>
      <c r="AP47" s="100">
        <v>12</v>
      </c>
      <c r="AQ47" s="100">
        <v>18331.199999999997</v>
      </c>
      <c r="AR47" s="100">
        <v>11</v>
      </c>
      <c r="AS47" s="100">
        <v>16803.599999999999</v>
      </c>
      <c r="AT47" s="100">
        <v>13</v>
      </c>
      <c r="AU47" s="100">
        <v>19858.8</v>
      </c>
      <c r="AV47" s="100">
        <v>14</v>
      </c>
      <c r="AW47" s="100">
        <v>21386.399999999998</v>
      </c>
      <c r="AX47" s="100">
        <v>11</v>
      </c>
      <c r="AY47" s="100">
        <v>16803.599999999999</v>
      </c>
      <c r="AZ47" s="100">
        <v>5.001453802581965</v>
      </c>
      <c r="BA47" s="100">
        <v>7640.2208288242091</v>
      </c>
      <c r="BB47" s="100">
        <v>10</v>
      </c>
      <c r="BC47" s="100">
        <v>15276</v>
      </c>
      <c r="BD47" s="100">
        <v>13</v>
      </c>
      <c r="BE47" s="100">
        <v>19858.8</v>
      </c>
      <c r="BF47" s="100">
        <v>13</v>
      </c>
      <c r="BG47" s="100">
        <v>19858.8</v>
      </c>
      <c r="BH47" s="100">
        <v>3.7388777113790832</v>
      </c>
      <c r="BI47" s="100">
        <v>5711.5095919026871</v>
      </c>
      <c r="BJ47" s="100">
        <v>13</v>
      </c>
      <c r="BK47" s="100">
        <v>19858.8</v>
      </c>
      <c r="BL47" s="100">
        <v>14</v>
      </c>
      <c r="BM47" s="100">
        <v>21386.399999999998</v>
      </c>
      <c r="BN47" s="100">
        <v>10</v>
      </c>
      <c r="BO47" s="100">
        <v>15276</v>
      </c>
      <c r="BP47" s="100">
        <v>13</v>
      </c>
      <c r="BQ47" s="100">
        <v>19858.8</v>
      </c>
      <c r="BR47" s="100">
        <v>1.851109390152883</v>
      </c>
      <c r="BS47" s="100">
        <v>2827.7547043975437</v>
      </c>
      <c r="BT47" s="100">
        <v>5.9356791926947183</v>
      </c>
      <c r="BU47" s="100">
        <v>9067.3435347604518</v>
      </c>
      <c r="BV47" s="100">
        <v>9</v>
      </c>
      <c r="BW47" s="100">
        <v>13748.4</v>
      </c>
      <c r="BX47" s="100">
        <v>11</v>
      </c>
      <c r="BY47" s="100">
        <v>16803.599999999999</v>
      </c>
      <c r="BZ47" s="100">
        <v>14</v>
      </c>
      <c r="CA47" s="100">
        <v>21386.399999999998</v>
      </c>
      <c r="CB47" s="100">
        <v>6.9280502717858088</v>
      </c>
      <c r="CC47" s="100">
        <v>10583.28959518</v>
      </c>
      <c r="CD47" s="100">
        <v>5.6843418860808016E-16</v>
      </c>
      <c r="CE47" s="100">
        <v>8.6834006651770322E-13</v>
      </c>
      <c r="CF47" s="100">
        <v>12</v>
      </c>
      <c r="CG47" s="100">
        <v>18331.199999999997</v>
      </c>
      <c r="CH47" s="100">
        <v>9</v>
      </c>
      <c r="CI47" s="100">
        <v>13748.4</v>
      </c>
      <c r="CJ47" s="100">
        <v>12</v>
      </c>
      <c r="CK47" s="100">
        <v>18331.199999999997</v>
      </c>
      <c r="CL47" s="100">
        <v>13</v>
      </c>
      <c r="CM47" s="100">
        <v>19858.8</v>
      </c>
      <c r="CN47" s="100">
        <v>12</v>
      </c>
      <c r="CO47" s="100">
        <v>18331.199999999997</v>
      </c>
      <c r="CP47" s="100">
        <v>12</v>
      </c>
      <c r="CQ47" s="100">
        <v>18331.199999999997</v>
      </c>
      <c r="CR47" s="100">
        <v>10</v>
      </c>
      <c r="CS47" s="100">
        <v>15276</v>
      </c>
      <c r="CT47" s="100">
        <v>8.7933149542577542</v>
      </c>
      <c r="CU47" s="100">
        <v>13432.667924124145</v>
      </c>
    </row>
    <row r="48" spans="2:99">
      <c r="C48" s="99" t="s">
        <v>214</v>
      </c>
      <c r="D48" s="100">
        <v>9</v>
      </c>
      <c r="E48" s="100">
        <v>7808.4000000000005</v>
      </c>
      <c r="F48" s="100">
        <v>8</v>
      </c>
      <c r="G48" s="100">
        <v>6940.8</v>
      </c>
      <c r="H48" s="100">
        <v>15</v>
      </c>
      <c r="I48" s="100">
        <v>13014</v>
      </c>
      <c r="J48" s="100">
        <v>12</v>
      </c>
      <c r="K48" s="100">
        <v>10411.200000000001</v>
      </c>
      <c r="L48" s="100">
        <v>9</v>
      </c>
      <c r="M48" s="100">
        <v>7808.4000000000005</v>
      </c>
      <c r="N48" s="100">
        <v>6.1249329535976118</v>
      </c>
      <c r="O48" s="100">
        <v>5313.9918305412884</v>
      </c>
      <c r="P48" s="100">
        <v>13</v>
      </c>
      <c r="Q48" s="100">
        <v>11278.800000000001</v>
      </c>
      <c r="R48" s="100">
        <v>8.7240987357972788</v>
      </c>
      <c r="S48" s="100">
        <v>7569.0280631777196</v>
      </c>
      <c r="T48" s="100">
        <v>8</v>
      </c>
      <c r="U48" s="100">
        <v>6940.8</v>
      </c>
      <c r="V48" s="100">
        <v>14</v>
      </c>
      <c r="W48" s="100">
        <v>12146.4</v>
      </c>
      <c r="X48" s="100">
        <v>9.1898618075470644</v>
      </c>
      <c r="Y48" s="100">
        <v>7973.1241042278334</v>
      </c>
      <c r="Z48" s="100">
        <v>8</v>
      </c>
      <c r="AA48" s="100">
        <v>6940.8</v>
      </c>
      <c r="AB48" s="100">
        <v>12</v>
      </c>
      <c r="AC48" s="100">
        <v>10411.200000000001</v>
      </c>
      <c r="AD48" s="100">
        <v>7</v>
      </c>
      <c r="AE48" s="100">
        <v>6073.2</v>
      </c>
      <c r="AF48" s="100">
        <v>11.400894683333341</v>
      </c>
      <c r="AG48" s="100">
        <v>9891.4162272600079</v>
      </c>
      <c r="AH48" s="100">
        <v>13</v>
      </c>
      <c r="AI48" s="100">
        <v>11278.800000000001</v>
      </c>
      <c r="AJ48" s="100">
        <v>13</v>
      </c>
      <c r="AK48" s="100">
        <v>11278.800000000001</v>
      </c>
      <c r="AL48" s="100">
        <v>8.0926252988615612</v>
      </c>
      <c r="AM48" s="100">
        <v>7021.1617092922907</v>
      </c>
      <c r="AN48" s="100">
        <v>8</v>
      </c>
      <c r="AO48" s="100">
        <v>6940.8</v>
      </c>
      <c r="AP48" s="100">
        <v>12</v>
      </c>
      <c r="AQ48" s="100">
        <v>10411.200000000001</v>
      </c>
      <c r="AR48" s="100">
        <v>10</v>
      </c>
      <c r="AS48" s="100">
        <v>8676</v>
      </c>
      <c r="AT48" s="100">
        <v>14</v>
      </c>
      <c r="AU48" s="100">
        <v>12146.4</v>
      </c>
      <c r="AV48" s="100">
        <v>15</v>
      </c>
      <c r="AW48" s="100">
        <v>13014</v>
      </c>
      <c r="AX48" s="100">
        <v>11</v>
      </c>
      <c r="AY48" s="100">
        <v>9543.6</v>
      </c>
      <c r="AZ48" s="100">
        <v>5.001453802581965</v>
      </c>
      <c r="BA48" s="100">
        <v>4339.2613191201126</v>
      </c>
      <c r="BB48" s="100">
        <v>9</v>
      </c>
      <c r="BC48" s="100">
        <v>7808.4000000000005</v>
      </c>
      <c r="BD48" s="100">
        <v>14</v>
      </c>
      <c r="BE48" s="100">
        <v>12146.4</v>
      </c>
      <c r="BF48" s="100">
        <v>14</v>
      </c>
      <c r="BG48" s="100">
        <v>12146.4</v>
      </c>
      <c r="BH48" s="100">
        <v>3.7388777113790832</v>
      </c>
      <c r="BI48" s="100">
        <v>3243.8503023924927</v>
      </c>
      <c r="BJ48" s="100">
        <v>15</v>
      </c>
      <c r="BK48" s="100">
        <v>13014</v>
      </c>
      <c r="BL48" s="100">
        <v>14</v>
      </c>
      <c r="BM48" s="100">
        <v>12146.4</v>
      </c>
      <c r="BN48" s="100">
        <v>11</v>
      </c>
      <c r="BO48" s="100">
        <v>9543.6</v>
      </c>
      <c r="BP48" s="100">
        <v>15</v>
      </c>
      <c r="BQ48" s="100">
        <v>13014</v>
      </c>
      <c r="BR48" s="100">
        <v>1.727702097476024</v>
      </c>
      <c r="BS48" s="100">
        <v>1498.9543397701984</v>
      </c>
      <c r="BT48" s="100">
        <v>5.9356791926947183</v>
      </c>
      <c r="BU48" s="100">
        <v>5149.7952675819379</v>
      </c>
      <c r="BV48" s="100">
        <v>9</v>
      </c>
      <c r="BW48" s="100">
        <v>7808.4000000000005</v>
      </c>
      <c r="BX48" s="100">
        <v>13</v>
      </c>
      <c r="BY48" s="100">
        <v>11278.800000000001</v>
      </c>
      <c r="BZ48" s="100">
        <v>15</v>
      </c>
      <c r="CA48" s="100">
        <v>13014</v>
      </c>
      <c r="CB48" s="100">
        <v>6.9280502717858088</v>
      </c>
      <c r="CC48" s="100">
        <v>6010.7764158013679</v>
      </c>
      <c r="CD48" s="100">
        <v>5.6843418860808016E-16</v>
      </c>
      <c r="CE48" s="100">
        <v>4.9317350203637035E-13</v>
      </c>
      <c r="CF48" s="100">
        <v>12</v>
      </c>
      <c r="CG48" s="100">
        <v>10411.200000000001</v>
      </c>
      <c r="CH48" s="100">
        <v>10</v>
      </c>
      <c r="CI48" s="100">
        <v>8676</v>
      </c>
      <c r="CJ48" s="100">
        <v>13</v>
      </c>
      <c r="CK48" s="100">
        <v>11278.800000000001</v>
      </c>
      <c r="CL48" s="100">
        <v>12</v>
      </c>
      <c r="CM48" s="100">
        <v>10411.200000000001</v>
      </c>
      <c r="CN48" s="100">
        <v>12</v>
      </c>
      <c r="CO48" s="100">
        <v>10411.200000000001</v>
      </c>
      <c r="CP48" s="100">
        <v>13</v>
      </c>
      <c r="CQ48" s="100">
        <v>11278.800000000001</v>
      </c>
      <c r="CR48" s="100">
        <v>10</v>
      </c>
      <c r="CS48" s="100">
        <v>8676</v>
      </c>
      <c r="CT48" s="100">
        <v>8.7933149542577542</v>
      </c>
      <c r="CU48" s="100">
        <v>7629.0800543140276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9</v>
      </c>
      <c r="G49" s="100">
        <v>8866.7999999999993</v>
      </c>
      <c r="H49" s="100">
        <v>10</v>
      </c>
      <c r="I49" s="100">
        <v>9852</v>
      </c>
      <c r="J49" s="100">
        <v>4.7372642491435881</v>
      </c>
      <c r="K49" s="100">
        <v>4667.1527382562626</v>
      </c>
      <c r="L49" s="100">
        <v>9</v>
      </c>
      <c r="M49" s="100">
        <v>8866.7999999999993</v>
      </c>
      <c r="N49" s="100">
        <v>9</v>
      </c>
      <c r="O49" s="100">
        <v>8866.7999999999993</v>
      </c>
      <c r="P49" s="100">
        <v>7</v>
      </c>
      <c r="Q49" s="100">
        <v>6896.4</v>
      </c>
      <c r="R49" s="100">
        <v>6</v>
      </c>
      <c r="S49" s="100">
        <v>5911.2</v>
      </c>
      <c r="T49" s="100">
        <v>6</v>
      </c>
      <c r="U49" s="100">
        <v>5911.2</v>
      </c>
      <c r="V49" s="100">
        <v>6</v>
      </c>
      <c r="W49" s="100">
        <v>5911.2</v>
      </c>
      <c r="X49" s="100">
        <v>7</v>
      </c>
      <c r="Y49" s="100">
        <v>6896.4</v>
      </c>
      <c r="Z49" s="100">
        <v>8</v>
      </c>
      <c r="AA49" s="100">
        <v>7881.5999999999995</v>
      </c>
      <c r="AB49" s="100">
        <v>7</v>
      </c>
      <c r="AC49" s="100">
        <v>6896.4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7</v>
      </c>
      <c r="AI49" s="100">
        <v>6896.4</v>
      </c>
      <c r="AJ49" s="100">
        <v>10</v>
      </c>
      <c r="AK49" s="100">
        <v>9852</v>
      </c>
      <c r="AL49" s="100">
        <v>6.8399507108126976</v>
      </c>
      <c r="AM49" s="100">
        <v>6738.7194402926689</v>
      </c>
      <c r="AN49" s="100">
        <v>8</v>
      </c>
      <c r="AO49" s="100">
        <v>7881.5999999999995</v>
      </c>
      <c r="AP49" s="100">
        <v>6</v>
      </c>
      <c r="AQ49" s="100">
        <v>5911.2</v>
      </c>
      <c r="AR49" s="100">
        <v>4.7510592797964764</v>
      </c>
      <c r="AS49" s="100">
        <v>4680.7436024554881</v>
      </c>
      <c r="AT49" s="100">
        <v>9</v>
      </c>
      <c r="AU49" s="100">
        <v>8866.7999999999993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7</v>
      </c>
      <c r="BA49" s="100">
        <v>6896.4</v>
      </c>
      <c r="BB49" s="100">
        <v>6</v>
      </c>
      <c r="BC49" s="100">
        <v>5911.2</v>
      </c>
      <c r="BD49" s="100">
        <v>10</v>
      </c>
      <c r="BE49" s="100">
        <v>9852</v>
      </c>
      <c r="BF49" s="100">
        <v>5.6955979710498053</v>
      </c>
      <c r="BG49" s="100">
        <v>5611.3031210782674</v>
      </c>
      <c r="BH49" s="100">
        <v>8</v>
      </c>
      <c r="BI49" s="100">
        <v>7881.5999999999995</v>
      </c>
      <c r="BJ49" s="100">
        <v>6</v>
      </c>
      <c r="BK49" s="100">
        <v>5911.2</v>
      </c>
      <c r="BL49" s="100">
        <v>5</v>
      </c>
      <c r="BM49" s="100">
        <v>4926</v>
      </c>
      <c r="BN49" s="100">
        <v>3.8806187737708835</v>
      </c>
      <c r="BO49" s="100">
        <v>3823.1856159190743</v>
      </c>
      <c r="BP49" s="100">
        <v>7.1146245059288571</v>
      </c>
      <c r="BQ49" s="100">
        <v>7009.3280632411097</v>
      </c>
      <c r="BR49" s="100">
        <v>8</v>
      </c>
      <c r="BS49" s="100">
        <v>7881.5999999999995</v>
      </c>
      <c r="BT49" s="100">
        <v>10</v>
      </c>
      <c r="BU49" s="100">
        <v>9852</v>
      </c>
      <c r="BV49" s="100">
        <v>9</v>
      </c>
      <c r="BW49" s="100">
        <v>8866.7999999999993</v>
      </c>
      <c r="BX49" s="100">
        <v>8</v>
      </c>
      <c r="BY49" s="100">
        <v>7881.5999999999995</v>
      </c>
      <c r="BZ49" s="100">
        <v>8</v>
      </c>
      <c r="CA49" s="100">
        <v>7881.5999999999995</v>
      </c>
      <c r="CB49" s="100">
        <v>9</v>
      </c>
      <c r="CC49" s="100">
        <v>8866.7999999999993</v>
      </c>
      <c r="CD49" s="100">
        <v>6</v>
      </c>
      <c r="CE49" s="100">
        <v>5911.2</v>
      </c>
      <c r="CF49" s="100">
        <v>6.4892703862661136</v>
      </c>
      <c r="CG49" s="100">
        <v>6393.2291845493746</v>
      </c>
      <c r="CH49" s="100">
        <v>6</v>
      </c>
      <c r="CI49" s="100">
        <v>5911.2</v>
      </c>
      <c r="CJ49" s="100">
        <v>10</v>
      </c>
      <c r="CK49" s="100">
        <v>9852</v>
      </c>
      <c r="CL49" s="100">
        <v>11</v>
      </c>
      <c r="CM49" s="100">
        <v>10837.199999999999</v>
      </c>
      <c r="CN49" s="100">
        <v>9</v>
      </c>
      <c r="CO49" s="100">
        <v>8866.7999999999993</v>
      </c>
      <c r="CP49" s="100">
        <v>7.7883504725437769</v>
      </c>
      <c r="CQ49" s="100">
        <v>7673.0828855501286</v>
      </c>
      <c r="CR49" s="100">
        <v>6</v>
      </c>
      <c r="CS49" s="100">
        <v>5911.2</v>
      </c>
      <c r="CT49" s="100">
        <v>12</v>
      </c>
      <c r="CU49" s="100">
        <v>11822.4</v>
      </c>
    </row>
    <row r="50" spans="2:99">
      <c r="C50" s="99" t="s">
        <v>216</v>
      </c>
      <c r="D50" s="100">
        <v>9</v>
      </c>
      <c r="E50" s="100">
        <v>2538</v>
      </c>
      <c r="F50" s="100">
        <v>9</v>
      </c>
      <c r="G50" s="100">
        <v>2538</v>
      </c>
      <c r="H50" s="100">
        <v>12</v>
      </c>
      <c r="I50" s="100">
        <v>3384</v>
      </c>
      <c r="J50" s="100">
        <v>8</v>
      </c>
      <c r="K50" s="100">
        <v>2256</v>
      </c>
      <c r="L50" s="100">
        <v>10</v>
      </c>
      <c r="M50" s="100">
        <v>2820</v>
      </c>
      <c r="N50" s="100">
        <v>7.6561661919970136</v>
      </c>
      <c r="O50" s="100">
        <v>2159.038866143158</v>
      </c>
      <c r="P50" s="100">
        <v>6</v>
      </c>
      <c r="Q50" s="100">
        <v>1692</v>
      </c>
      <c r="R50" s="100">
        <v>5.8160658238648519</v>
      </c>
      <c r="S50" s="100">
        <v>1640.1305623298883</v>
      </c>
      <c r="T50" s="100">
        <v>5</v>
      </c>
      <c r="U50" s="100">
        <v>1410</v>
      </c>
      <c r="V50" s="100">
        <v>6</v>
      </c>
      <c r="W50" s="100">
        <v>1692</v>
      </c>
      <c r="X50" s="100">
        <v>6.4329032652829445</v>
      </c>
      <c r="Y50" s="100">
        <v>1814.0787208097904</v>
      </c>
      <c r="Z50" s="100">
        <v>9</v>
      </c>
      <c r="AA50" s="100">
        <v>2538</v>
      </c>
      <c r="AB50" s="100">
        <v>8</v>
      </c>
      <c r="AC50" s="100">
        <v>2256</v>
      </c>
      <c r="AD50" s="100">
        <v>8</v>
      </c>
      <c r="AE50" s="100">
        <v>2256</v>
      </c>
      <c r="AF50" s="100">
        <v>8.5506710125000058</v>
      </c>
      <c r="AG50" s="100">
        <v>2411.2892255250017</v>
      </c>
      <c r="AH50" s="100">
        <v>7</v>
      </c>
      <c r="AI50" s="100">
        <v>1974</v>
      </c>
      <c r="AJ50" s="100">
        <v>10</v>
      </c>
      <c r="AK50" s="100">
        <v>2820</v>
      </c>
      <c r="AL50" s="100">
        <v>5.9345918858318107</v>
      </c>
      <c r="AM50" s="100">
        <v>1673.5549118045706</v>
      </c>
      <c r="AN50" s="100">
        <v>8</v>
      </c>
      <c r="AO50" s="100">
        <v>2256</v>
      </c>
      <c r="AP50" s="100">
        <v>7</v>
      </c>
      <c r="AQ50" s="100">
        <v>1974</v>
      </c>
      <c r="AR50" s="100">
        <v>5</v>
      </c>
      <c r="AS50" s="100">
        <v>1410</v>
      </c>
      <c r="AT50" s="100">
        <v>9</v>
      </c>
      <c r="AU50" s="100">
        <v>2538</v>
      </c>
      <c r="AV50" s="100">
        <v>6</v>
      </c>
      <c r="AW50" s="100">
        <v>1692</v>
      </c>
      <c r="AX50" s="100">
        <v>7</v>
      </c>
      <c r="AY50" s="100">
        <v>1974</v>
      </c>
      <c r="AZ50" s="100">
        <v>2.6930905090825972</v>
      </c>
      <c r="BA50" s="100">
        <v>759.45152356129245</v>
      </c>
      <c r="BB50" s="100">
        <v>7</v>
      </c>
      <c r="BC50" s="100">
        <v>1974</v>
      </c>
      <c r="BD50" s="100">
        <v>11</v>
      </c>
      <c r="BE50" s="100">
        <v>3102</v>
      </c>
      <c r="BF50" s="100">
        <v>6</v>
      </c>
      <c r="BG50" s="100">
        <v>1692</v>
      </c>
      <c r="BH50" s="100">
        <v>3.3234468545591849</v>
      </c>
      <c r="BI50" s="100">
        <v>937.21201298569008</v>
      </c>
      <c r="BJ50" s="100">
        <v>8</v>
      </c>
      <c r="BK50" s="100">
        <v>2256</v>
      </c>
      <c r="BL50" s="100">
        <v>6</v>
      </c>
      <c r="BM50" s="100">
        <v>1692</v>
      </c>
      <c r="BN50" s="100">
        <v>9</v>
      </c>
      <c r="BO50" s="100">
        <v>2538</v>
      </c>
      <c r="BP50" s="100">
        <v>10</v>
      </c>
      <c r="BQ50" s="100">
        <v>2820</v>
      </c>
      <c r="BR50" s="100">
        <v>0.9872583414148709</v>
      </c>
      <c r="BS50" s="100">
        <v>278.4068522789936</v>
      </c>
      <c r="BT50" s="100">
        <v>8.1615588899552378</v>
      </c>
      <c r="BU50" s="100">
        <v>2301.559606967377</v>
      </c>
      <c r="BV50" s="100">
        <v>9</v>
      </c>
      <c r="BW50" s="100">
        <v>2538</v>
      </c>
      <c r="BX50" s="100">
        <v>8</v>
      </c>
      <c r="BY50" s="100">
        <v>2256</v>
      </c>
      <c r="BZ50" s="100">
        <v>9</v>
      </c>
      <c r="CA50" s="100">
        <v>2538</v>
      </c>
      <c r="CB50" s="100">
        <v>6.9280502717858088</v>
      </c>
      <c r="CC50" s="100">
        <v>1953.7101766435981</v>
      </c>
      <c r="CD50" s="100">
        <v>2.4361465226060579E-16</v>
      </c>
      <c r="CE50" s="100">
        <v>6.8699331937490833E-14</v>
      </c>
      <c r="CF50" s="100">
        <v>7</v>
      </c>
      <c r="CG50" s="100">
        <v>1974</v>
      </c>
      <c r="CH50" s="100">
        <v>6</v>
      </c>
      <c r="CI50" s="100">
        <v>1692</v>
      </c>
      <c r="CJ50" s="100">
        <v>11</v>
      </c>
      <c r="CK50" s="100">
        <v>3102</v>
      </c>
      <c r="CL50" s="100">
        <v>11</v>
      </c>
      <c r="CM50" s="100">
        <v>3102</v>
      </c>
      <c r="CN50" s="100">
        <v>9</v>
      </c>
      <c r="CO50" s="100">
        <v>2538</v>
      </c>
      <c r="CP50" s="100">
        <v>11</v>
      </c>
      <c r="CQ50" s="100">
        <v>3102</v>
      </c>
      <c r="CR50" s="100">
        <v>6</v>
      </c>
      <c r="CS50" s="100">
        <v>1692</v>
      </c>
      <c r="CT50" s="100">
        <v>9.5927072228266415</v>
      </c>
      <c r="CU50" s="100">
        <v>2705.1434368371129</v>
      </c>
    </row>
    <row r="51" spans="2:99">
      <c r="C51" s="99" t="s">
        <v>217</v>
      </c>
      <c r="D51" s="100">
        <v>9</v>
      </c>
      <c r="E51" s="100">
        <v>7689.5999999999995</v>
      </c>
      <c r="F51" s="100">
        <v>8</v>
      </c>
      <c r="G51" s="100">
        <v>6835.2</v>
      </c>
      <c r="H51" s="100">
        <v>12</v>
      </c>
      <c r="I51" s="100">
        <v>10252.799999999999</v>
      </c>
      <c r="J51" s="100">
        <v>9</v>
      </c>
      <c r="K51" s="100">
        <v>7689.5999999999995</v>
      </c>
      <c r="L51" s="100">
        <v>9</v>
      </c>
      <c r="M51" s="100">
        <v>7689.5999999999995</v>
      </c>
      <c r="N51" s="100">
        <v>7.6561661919970136</v>
      </c>
      <c r="O51" s="100">
        <v>6541.4283944422486</v>
      </c>
      <c r="P51" s="100">
        <v>6</v>
      </c>
      <c r="Q51" s="100">
        <v>5126.3999999999996</v>
      </c>
      <c r="R51" s="100">
        <v>5.8160658238648519</v>
      </c>
      <c r="S51" s="100">
        <v>4969.2466399101295</v>
      </c>
      <c r="T51" s="100">
        <v>6</v>
      </c>
      <c r="U51" s="100">
        <v>5126.3999999999996</v>
      </c>
      <c r="V51" s="100">
        <v>6</v>
      </c>
      <c r="W51" s="100">
        <v>5126.3999999999996</v>
      </c>
      <c r="X51" s="100">
        <v>6.4329032652829445</v>
      </c>
      <c r="Y51" s="100">
        <v>5496.2725498577474</v>
      </c>
      <c r="Z51" s="100">
        <v>8</v>
      </c>
      <c r="AA51" s="100">
        <v>6835.2</v>
      </c>
      <c r="AB51" s="100">
        <v>7</v>
      </c>
      <c r="AC51" s="100">
        <v>5980.8</v>
      </c>
      <c r="AD51" s="100">
        <v>7</v>
      </c>
      <c r="AE51" s="100">
        <v>5980.8</v>
      </c>
      <c r="AF51" s="100">
        <v>9.5007455694444509</v>
      </c>
      <c r="AG51" s="100">
        <v>8117.4370145333387</v>
      </c>
      <c r="AH51" s="100">
        <v>7</v>
      </c>
      <c r="AI51" s="100">
        <v>5980.8</v>
      </c>
      <c r="AJ51" s="100">
        <v>9</v>
      </c>
      <c r="AK51" s="100">
        <v>7689.5999999999995</v>
      </c>
      <c r="AL51" s="100">
        <v>5.3950835325743745</v>
      </c>
      <c r="AM51" s="100">
        <v>4609.5593702315455</v>
      </c>
      <c r="AN51" s="100">
        <v>7</v>
      </c>
      <c r="AO51" s="100">
        <v>5980.8</v>
      </c>
      <c r="AP51" s="100">
        <v>7</v>
      </c>
      <c r="AQ51" s="100">
        <v>5980.8</v>
      </c>
      <c r="AR51" s="100">
        <v>6</v>
      </c>
      <c r="AS51" s="100">
        <v>5126.3999999999996</v>
      </c>
      <c r="AT51" s="100">
        <v>8</v>
      </c>
      <c r="AU51" s="100">
        <v>6835.2</v>
      </c>
      <c r="AV51" s="100">
        <v>6</v>
      </c>
      <c r="AW51" s="100">
        <v>5126.3999999999996</v>
      </c>
      <c r="AX51" s="100">
        <v>7</v>
      </c>
      <c r="AY51" s="100">
        <v>5980.8</v>
      </c>
      <c r="AZ51" s="100">
        <v>2.6930905090825972</v>
      </c>
      <c r="BA51" s="100">
        <v>2300.9765309601707</v>
      </c>
      <c r="BB51" s="100">
        <v>6</v>
      </c>
      <c r="BC51" s="100">
        <v>5126.3999999999996</v>
      </c>
      <c r="BD51" s="100">
        <v>10</v>
      </c>
      <c r="BE51" s="100">
        <v>8544</v>
      </c>
      <c r="BF51" s="100">
        <v>6</v>
      </c>
      <c r="BG51" s="100">
        <v>5126.3999999999996</v>
      </c>
      <c r="BH51" s="100">
        <v>3.3234468545591849</v>
      </c>
      <c r="BI51" s="100">
        <v>2839.5529925353676</v>
      </c>
      <c r="BJ51" s="100">
        <v>6</v>
      </c>
      <c r="BK51" s="100">
        <v>5126.3999999999996</v>
      </c>
      <c r="BL51" s="100">
        <v>6</v>
      </c>
      <c r="BM51" s="100">
        <v>5126.3999999999996</v>
      </c>
      <c r="BN51" s="100">
        <v>9</v>
      </c>
      <c r="BO51" s="100">
        <v>7689.5999999999995</v>
      </c>
      <c r="BP51" s="100">
        <v>11</v>
      </c>
      <c r="BQ51" s="100">
        <v>9398.4</v>
      </c>
      <c r="BR51" s="100">
        <v>0.9872583414148709</v>
      </c>
      <c r="BS51" s="100">
        <v>843.51352690486567</v>
      </c>
      <c r="BT51" s="100">
        <v>7.4195989908683977</v>
      </c>
      <c r="BU51" s="100">
        <v>6339.3053777979585</v>
      </c>
      <c r="BV51" s="100">
        <v>9</v>
      </c>
      <c r="BW51" s="100">
        <v>7689.5999999999995</v>
      </c>
      <c r="BX51" s="100">
        <v>8</v>
      </c>
      <c r="BY51" s="100">
        <v>6835.2</v>
      </c>
      <c r="BZ51" s="100">
        <v>9</v>
      </c>
      <c r="CA51" s="100">
        <v>7689.5999999999995</v>
      </c>
      <c r="CB51" s="100">
        <v>6.2982275198052804</v>
      </c>
      <c r="CC51" s="100">
        <v>5381.2055929216313</v>
      </c>
      <c r="CD51" s="100">
        <v>2.4361465226060579E-16</v>
      </c>
      <c r="CE51" s="100">
        <v>2.0814435889146159E-13</v>
      </c>
      <c r="CF51" s="100">
        <v>7</v>
      </c>
      <c r="CG51" s="100">
        <v>5980.8</v>
      </c>
      <c r="CH51" s="100">
        <v>6</v>
      </c>
      <c r="CI51" s="100">
        <v>5126.3999999999996</v>
      </c>
      <c r="CJ51" s="100">
        <v>10</v>
      </c>
      <c r="CK51" s="100">
        <v>8544</v>
      </c>
      <c r="CL51" s="100">
        <v>10</v>
      </c>
      <c r="CM51" s="100">
        <v>8544</v>
      </c>
      <c r="CN51" s="100">
        <v>9</v>
      </c>
      <c r="CO51" s="100">
        <v>7689.5999999999995</v>
      </c>
      <c r="CP51" s="100">
        <v>11</v>
      </c>
      <c r="CQ51" s="100">
        <v>9398.4</v>
      </c>
      <c r="CR51" s="100">
        <v>6</v>
      </c>
      <c r="CS51" s="100">
        <v>5126.3999999999996</v>
      </c>
      <c r="CT51" s="100">
        <v>8.7933149542577542</v>
      </c>
      <c r="CU51" s="100">
        <v>7513.0082969178247</v>
      </c>
    </row>
    <row r="52" spans="2:99">
      <c r="C52" s="99" t="s">
        <v>218</v>
      </c>
      <c r="D52" s="100">
        <v>9</v>
      </c>
      <c r="E52" s="100">
        <v>4860</v>
      </c>
      <c r="F52" s="100">
        <v>10</v>
      </c>
      <c r="G52" s="100">
        <v>5400</v>
      </c>
      <c r="H52" s="100">
        <v>12</v>
      </c>
      <c r="I52" s="100">
        <v>6480</v>
      </c>
      <c r="J52" s="100">
        <v>10</v>
      </c>
      <c r="K52" s="100">
        <v>5400</v>
      </c>
      <c r="L52" s="100">
        <v>10</v>
      </c>
      <c r="M52" s="100">
        <v>5400</v>
      </c>
      <c r="N52" s="100">
        <v>7.6561661919970136</v>
      </c>
      <c r="O52" s="100">
        <v>4134.3297436783878</v>
      </c>
      <c r="P52" s="100">
        <v>7</v>
      </c>
      <c r="Q52" s="100">
        <v>3780</v>
      </c>
      <c r="R52" s="100">
        <v>5.8160658238648519</v>
      </c>
      <c r="S52" s="100">
        <v>3140.6755448870199</v>
      </c>
      <c r="T52" s="100">
        <v>5</v>
      </c>
      <c r="U52" s="100">
        <v>2700</v>
      </c>
      <c r="V52" s="100">
        <v>6</v>
      </c>
      <c r="W52" s="100">
        <v>3240</v>
      </c>
      <c r="X52" s="100">
        <v>6.4329032652829445</v>
      </c>
      <c r="Y52" s="100">
        <v>3473.7677632527902</v>
      </c>
      <c r="Z52" s="100">
        <v>8</v>
      </c>
      <c r="AA52" s="100">
        <v>4320</v>
      </c>
      <c r="AB52" s="100">
        <v>8</v>
      </c>
      <c r="AC52" s="100">
        <v>4320</v>
      </c>
      <c r="AD52" s="100">
        <v>9</v>
      </c>
      <c r="AE52" s="100">
        <v>4860</v>
      </c>
      <c r="AF52" s="100">
        <v>9.5007455694444509</v>
      </c>
      <c r="AG52" s="100">
        <v>5130.4026075000038</v>
      </c>
      <c r="AH52" s="100">
        <v>6</v>
      </c>
      <c r="AI52" s="100">
        <v>3240</v>
      </c>
      <c r="AJ52" s="100">
        <v>10</v>
      </c>
      <c r="AK52" s="100">
        <v>5400</v>
      </c>
      <c r="AL52" s="100">
        <v>4.8555751793169364</v>
      </c>
      <c r="AM52" s="100">
        <v>2622.0105968311454</v>
      </c>
      <c r="AN52" s="100">
        <v>7</v>
      </c>
      <c r="AO52" s="100">
        <v>3780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9</v>
      </c>
      <c r="AU52" s="100">
        <v>4860</v>
      </c>
      <c r="AV52" s="100">
        <v>6</v>
      </c>
      <c r="AW52" s="100">
        <v>3240</v>
      </c>
      <c r="AX52" s="100">
        <v>7</v>
      </c>
      <c r="AY52" s="100">
        <v>3780</v>
      </c>
      <c r="AZ52" s="100">
        <v>3.0778177246658247</v>
      </c>
      <c r="BA52" s="100">
        <v>1662.0215713195453</v>
      </c>
      <c r="BB52" s="100">
        <v>6</v>
      </c>
      <c r="BC52" s="100">
        <v>3240</v>
      </c>
      <c r="BD52" s="100">
        <v>10</v>
      </c>
      <c r="BE52" s="100">
        <v>5400</v>
      </c>
      <c r="BF52" s="100">
        <v>6</v>
      </c>
      <c r="BG52" s="100">
        <v>3240</v>
      </c>
      <c r="BH52" s="100">
        <v>3.3234468545591849</v>
      </c>
      <c r="BI52" s="100">
        <v>1794.6613014619597</v>
      </c>
      <c r="BJ52" s="100">
        <v>8</v>
      </c>
      <c r="BK52" s="100">
        <v>4320</v>
      </c>
      <c r="BL52" s="100">
        <v>6</v>
      </c>
      <c r="BM52" s="100">
        <v>3240</v>
      </c>
      <c r="BN52" s="100">
        <v>8</v>
      </c>
      <c r="BO52" s="100">
        <v>4320</v>
      </c>
      <c r="BP52" s="100">
        <v>10</v>
      </c>
      <c r="BQ52" s="100">
        <v>5400</v>
      </c>
      <c r="BR52" s="100">
        <v>1.1106656340917298</v>
      </c>
      <c r="BS52" s="100">
        <v>599.75944240953413</v>
      </c>
      <c r="BT52" s="100">
        <v>8.1615588899552378</v>
      </c>
      <c r="BU52" s="100">
        <v>4407.2418005758282</v>
      </c>
      <c r="BV52" s="100">
        <v>10</v>
      </c>
      <c r="BW52" s="100">
        <v>5400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6.2982275198052804</v>
      </c>
      <c r="CC52" s="100">
        <v>3401.0428606948512</v>
      </c>
      <c r="CD52" s="100">
        <v>2.4361465226060579E-16</v>
      </c>
      <c r="CE52" s="100">
        <v>1.3155191222072713E-13</v>
      </c>
      <c r="CF52" s="100">
        <v>7</v>
      </c>
      <c r="CG52" s="100">
        <v>3780</v>
      </c>
      <c r="CH52" s="100">
        <v>6</v>
      </c>
      <c r="CI52" s="100">
        <v>3240</v>
      </c>
      <c r="CJ52" s="100">
        <v>10</v>
      </c>
      <c r="CK52" s="100">
        <v>5400</v>
      </c>
      <c r="CL52" s="100">
        <v>10</v>
      </c>
      <c r="CM52" s="100">
        <v>5400</v>
      </c>
      <c r="CN52" s="100">
        <v>8</v>
      </c>
      <c r="CO52" s="100">
        <v>4320</v>
      </c>
      <c r="CP52" s="100">
        <v>11</v>
      </c>
      <c r="CQ52" s="100">
        <v>5940</v>
      </c>
      <c r="CR52" s="100">
        <v>6</v>
      </c>
      <c r="CS52" s="100">
        <v>3240</v>
      </c>
      <c r="CT52" s="100">
        <v>7.993922685688867</v>
      </c>
      <c r="CU52" s="100">
        <v>4316.7182502719879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10</v>
      </c>
      <c r="G53" s="100">
        <v>4068</v>
      </c>
      <c r="H53" s="100">
        <v>11</v>
      </c>
      <c r="I53" s="100">
        <v>4474.8</v>
      </c>
      <c r="J53" s="100">
        <v>8</v>
      </c>
      <c r="K53" s="100">
        <v>3254.4</v>
      </c>
      <c r="L53" s="100">
        <v>8</v>
      </c>
      <c r="M53" s="100">
        <v>3254.4</v>
      </c>
      <c r="N53" s="100">
        <v>7.6561661919970136</v>
      </c>
      <c r="O53" s="100">
        <v>3114.5284069043851</v>
      </c>
      <c r="P53" s="100">
        <v>7</v>
      </c>
      <c r="Q53" s="100">
        <v>2847.6</v>
      </c>
      <c r="R53" s="100">
        <v>5.8160658238648519</v>
      </c>
      <c r="S53" s="100">
        <v>2365.9755771482219</v>
      </c>
      <c r="T53" s="100">
        <v>5</v>
      </c>
      <c r="U53" s="100">
        <v>2034</v>
      </c>
      <c r="V53" s="100">
        <v>6</v>
      </c>
      <c r="W53" s="100">
        <v>2440.8000000000002</v>
      </c>
      <c r="X53" s="100">
        <v>7.3518894460376503</v>
      </c>
      <c r="Y53" s="100">
        <v>2990.748626648116</v>
      </c>
      <c r="Z53" s="100">
        <v>8</v>
      </c>
      <c r="AA53" s="100">
        <v>3254.4</v>
      </c>
      <c r="AB53" s="100">
        <v>8</v>
      </c>
      <c r="AC53" s="100">
        <v>3254.4</v>
      </c>
      <c r="AD53" s="100">
        <v>8</v>
      </c>
      <c r="AE53" s="100">
        <v>3254.4</v>
      </c>
      <c r="AF53" s="100">
        <v>9.5007455694444509</v>
      </c>
      <c r="AG53" s="100">
        <v>3864.903297650003</v>
      </c>
      <c r="AH53" s="100">
        <v>7</v>
      </c>
      <c r="AI53" s="100">
        <v>2847.6</v>
      </c>
      <c r="AJ53" s="100">
        <v>10</v>
      </c>
      <c r="AK53" s="100">
        <v>4068</v>
      </c>
      <c r="AL53" s="100">
        <v>5.3950835325743745</v>
      </c>
      <c r="AM53" s="100">
        <v>2194.7199810512557</v>
      </c>
      <c r="AN53" s="100">
        <v>7</v>
      </c>
      <c r="AO53" s="100">
        <v>2847.6</v>
      </c>
      <c r="AP53" s="100">
        <v>7</v>
      </c>
      <c r="AQ53" s="100">
        <v>2847.6</v>
      </c>
      <c r="AR53" s="100">
        <v>6</v>
      </c>
      <c r="AS53" s="100">
        <v>2440.8000000000002</v>
      </c>
      <c r="AT53" s="100">
        <v>9</v>
      </c>
      <c r="AU53" s="100">
        <v>3661.2000000000003</v>
      </c>
      <c r="AV53" s="100">
        <v>7</v>
      </c>
      <c r="AW53" s="100">
        <v>2847.6</v>
      </c>
      <c r="AX53" s="100">
        <v>7</v>
      </c>
      <c r="AY53" s="100">
        <v>2847.6</v>
      </c>
      <c r="AZ53" s="100">
        <v>2.6930905090825972</v>
      </c>
      <c r="BA53" s="100">
        <v>1095.5492190948005</v>
      </c>
      <c r="BB53" s="100">
        <v>7</v>
      </c>
      <c r="BC53" s="100">
        <v>2847.6</v>
      </c>
      <c r="BD53" s="100">
        <v>10</v>
      </c>
      <c r="BE53" s="100">
        <v>4068</v>
      </c>
      <c r="BF53" s="100">
        <v>6</v>
      </c>
      <c r="BG53" s="100">
        <v>2440.8000000000002</v>
      </c>
      <c r="BH53" s="100">
        <v>3.3234468545591849</v>
      </c>
      <c r="BI53" s="100">
        <v>1351.9781804346765</v>
      </c>
      <c r="BJ53" s="100">
        <v>8</v>
      </c>
      <c r="BK53" s="100">
        <v>3254.4</v>
      </c>
      <c r="BL53" s="100">
        <v>6</v>
      </c>
      <c r="BM53" s="100">
        <v>2440.8000000000002</v>
      </c>
      <c r="BN53" s="100">
        <v>9</v>
      </c>
      <c r="BO53" s="100">
        <v>3661.2000000000003</v>
      </c>
      <c r="BP53" s="100">
        <v>10</v>
      </c>
      <c r="BQ53" s="100">
        <v>4068</v>
      </c>
      <c r="BR53" s="100">
        <v>0.9872583414148709</v>
      </c>
      <c r="BS53" s="100">
        <v>401.61669328756949</v>
      </c>
      <c r="BT53" s="100">
        <v>8.1615588899552378</v>
      </c>
      <c r="BU53" s="100">
        <v>3320.1221564337907</v>
      </c>
      <c r="BV53" s="100">
        <v>10</v>
      </c>
      <c r="BW53" s="100">
        <v>4068</v>
      </c>
      <c r="BX53" s="100">
        <v>8</v>
      </c>
      <c r="BY53" s="100">
        <v>3254.4</v>
      </c>
      <c r="BZ53" s="100">
        <v>9</v>
      </c>
      <c r="CA53" s="100">
        <v>3661.2000000000003</v>
      </c>
      <c r="CB53" s="100">
        <v>6.2982275198052804</v>
      </c>
      <c r="CC53" s="100">
        <v>2562.1189550567883</v>
      </c>
      <c r="CD53" s="100">
        <v>2.8421709430404008E-16</v>
      </c>
      <c r="CE53" s="100">
        <v>1.1561951396288352E-13</v>
      </c>
      <c r="CF53" s="100">
        <v>7</v>
      </c>
      <c r="CG53" s="100">
        <v>2847.6</v>
      </c>
      <c r="CH53" s="100">
        <v>6</v>
      </c>
      <c r="CI53" s="100">
        <v>2440.8000000000002</v>
      </c>
      <c r="CJ53" s="100">
        <v>11</v>
      </c>
      <c r="CK53" s="100">
        <v>4474.8</v>
      </c>
      <c r="CL53" s="100">
        <v>10</v>
      </c>
      <c r="CM53" s="100">
        <v>4068</v>
      </c>
      <c r="CN53" s="100">
        <v>9</v>
      </c>
      <c r="CO53" s="100">
        <v>3661.2000000000003</v>
      </c>
      <c r="CP53" s="100">
        <v>11</v>
      </c>
      <c r="CQ53" s="100">
        <v>4474.8</v>
      </c>
      <c r="CR53" s="100">
        <v>6</v>
      </c>
      <c r="CS53" s="100">
        <v>2440.8000000000002</v>
      </c>
      <c r="CT53" s="100">
        <v>8.7933149542577542</v>
      </c>
      <c r="CU53" s="100">
        <v>3577.1205233920546</v>
      </c>
    </row>
    <row r="54" spans="2:99">
      <c r="C54" s="99" t="s">
        <v>220</v>
      </c>
      <c r="D54" s="100">
        <v>8</v>
      </c>
      <c r="E54" s="100">
        <v>2678.4</v>
      </c>
      <c r="F54" s="100">
        <v>10</v>
      </c>
      <c r="G54" s="100">
        <v>3348</v>
      </c>
      <c r="H54" s="100">
        <v>12</v>
      </c>
      <c r="I54" s="100">
        <v>4017.6000000000004</v>
      </c>
      <c r="J54" s="100">
        <v>9</v>
      </c>
      <c r="K54" s="100">
        <v>3013.2000000000003</v>
      </c>
      <c r="L54" s="100">
        <v>9</v>
      </c>
      <c r="M54" s="100">
        <v>3013.2000000000003</v>
      </c>
      <c r="N54" s="100">
        <v>6.8905495727973127</v>
      </c>
      <c r="O54" s="100">
        <v>2306.9559969725406</v>
      </c>
      <c r="P54" s="100">
        <v>6</v>
      </c>
      <c r="Q54" s="100">
        <v>2008.8000000000002</v>
      </c>
      <c r="R54" s="100">
        <v>6.7854101278423276</v>
      </c>
      <c r="S54" s="100">
        <v>2271.7553108016114</v>
      </c>
      <c r="T54" s="100">
        <v>6</v>
      </c>
      <c r="U54" s="100">
        <v>2008.8000000000002</v>
      </c>
      <c r="V54" s="100">
        <v>6</v>
      </c>
      <c r="W54" s="100">
        <v>2008.8000000000002</v>
      </c>
      <c r="X54" s="100">
        <v>7.3518894460376503</v>
      </c>
      <c r="Y54" s="100">
        <v>2461.4125865334054</v>
      </c>
      <c r="Z54" s="100">
        <v>8</v>
      </c>
      <c r="AA54" s="100">
        <v>2678.4</v>
      </c>
      <c r="AB54" s="100">
        <v>7</v>
      </c>
      <c r="AC54" s="100">
        <v>2343.6</v>
      </c>
      <c r="AD54" s="100">
        <v>9</v>
      </c>
      <c r="AE54" s="100">
        <v>3013.2000000000003</v>
      </c>
      <c r="AF54" s="100">
        <v>9.5007455694444509</v>
      </c>
      <c r="AG54" s="100">
        <v>3180.8496166500022</v>
      </c>
      <c r="AH54" s="100">
        <v>7</v>
      </c>
      <c r="AI54" s="100">
        <v>2343.6</v>
      </c>
      <c r="AJ54" s="100">
        <v>10</v>
      </c>
      <c r="AK54" s="100">
        <v>3348</v>
      </c>
      <c r="AL54" s="100">
        <v>4.8555751793169364</v>
      </c>
      <c r="AM54" s="100">
        <v>1625.6465700353103</v>
      </c>
      <c r="AN54" s="100">
        <v>7</v>
      </c>
      <c r="AO54" s="100">
        <v>2343.6</v>
      </c>
      <c r="AP54" s="100">
        <v>6</v>
      </c>
      <c r="AQ54" s="100">
        <v>2008.8000000000002</v>
      </c>
      <c r="AR54" s="100">
        <v>5</v>
      </c>
      <c r="AS54" s="100">
        <v>1674</v>
      </c>
      <c r="AT54" s="100">
        <v>8</v>
      </c>
      <c r="AU54" s="100">
        <v>2678.4</v>
      </c>
      <c r="AV54" s="100">
        <v>6</v>
      </c>
      <c r="AW54" s="100">
        <v>2008.8000000000002</v>
      </c>
      <c r="AX54" s="100">
        <v>7</v>
      </c>
      <c r="AY54" s="100">
        <v>2343.6</v>
      </c>
      <c r="AZ54" s="100">
        <v>2.6930905090825972</v>
      </c>
      <c r="BA54" s="100">
        <v>901.64670244085357</v>
      </c>
      <c r="BB54" s="100">
        <v>7</v>
      </c>
      <c r="BC54" s="100">
        <v>2343.6</v>
      </c>
      <c r="BD54" s="100">
        <v>11</v>
      </c>
      <c r="BE54" s="100">
        <v>3682.8</v>
      </c>
      <c r="BF54" s="100">
        <v>6</v>
      </c>
      <c r="BG54" s="100">
        <v>2008.8000000000002</v>
      </c>
      <c r="BH54" s="100">
        <v>3.7388777113790832</v>
      </c>
      <c r="BI54" s="100">
        <v>1251.7762577697172</v>
      </c>
      <c r="BJ54" s="100">
        <v>7</v>
      </c>
      <c r="BK54" s="100">
        <v>2343.6</v>
      </c>
      <c r="BL54" s="100">
        <v>6</v>
      </c>
      <c r="BM54" s="100">
        <v>2008.8000000000002</v>
      </c>
      <c r="BN54" s="100">
        <v>9</v>
      </c>
      <c r="BO54" s="100">
        <v>3013.2000000000003</v>
      </c>
      <c r="BP54" s="100">
        <v>10</v>
      </c>
      <c r="BQ54" s="100">
        <v>3348</v>
      </c>
      <c r="BR54" s="100">
        <v>0.9872583414148709</v>
      </c>
      <c r="BS54" s="100">
        <v>330.53409270569881</v>
      </c>
      <c r="BT54" s="100">
        <v>8.1615588899552378</v>
      </c>
      <c r="BU54" s="100">
        <v>2732.4899163570135</v>
      </c>
      <c r="BV54" s="100">
        <v>11</v>
      </c>
      <c r="BW54" s="100">
        <v>3682.8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6.2982275198052804</v>
      </c>
      <c r="CC54" s="100">
        <v>2108.6465736308078</v>
      </c>
      <c r="CD54" s="100">
        <v>2.4361465226060579E-16</v>
      </c>
      <c r="CE54" s="100">
        <v>8.1562185576850826E-14</v>
      </c>
      <c r="CF54" s="100">
        <v>8</v>
      </c>
      <c r="CG54" s="100">
        <v>2678.4</v>
      </c>
      <c r="CH54" s="100">
        <v>5</v>
      </c>
      <c r="CI54" s="100">
        <v>1674</v>
      </c>
      <c r="CJ54" s="100">
        <v>11</v>
      </c>
      <c r="CK54" s="100">
        <v>3682.8</v>
      </c>
      <c r="CL54" s="100">
        <v>11</v>
      </c>
      <c r="CM54" s="100">
        <v>3682.8</v>
      </c>
      <c r="CN54" s="100">
        <v>10</v>
      </c>
      <c r="CO54" s="100">
        <v>3348</v>
      </c>
      <c r="CP54" s="100">
        <v>12</v>
      </c>
      <c r="CQ54" s="100">
        <v>4017.6000000000004</v>
      </c>
      <c r="CR54" s="100">
        <v>6</v>
      </c>
      <c r="CS54" s="100">
        <v>2008.8000000000002</v>
      </c>
      <c r="CT54" s="100">
        <v>8.7933149542577542</v>
      </c>
      <c r="CU54" s="100">
        <v>2944.0018466854963</v>
      </c>
    </row>
    <row r="55" spans="2:99">
      <c r="C55" s="99" t="s">
        <v>221</v>
      </c>
      <c r="D55" s="100">
        <v>8</v>
      </c>
      <c r="E55" s="100">
        <v>5308.8</v>
      </c>
      <c r="F55" s="100">
        <v>8</v>
      </c>
      <c r="G55" s="100">
        <v>5308.8</v>
      </c>
      <c r="H55" s="100">
        <v>11</v>
      </c>
      <c r="I55" s="100">
        <v>7299.6</v>
      </c>
      <c r="J55" s="100">
        <v>8</v>
      </c>
      <c r="K55" s="100">
        <v>5308.8</v>
      </c>
      <c r="L55" s="100">
        <v>10</v>
      </c>
      <c r="M55" s="100">
        <v>6636</v>
      </c>
      <c r="N55" s="100">
        <v>7.6561661919970136</v>
      </c>
      <c r="O55" s="100">
        <v>5080.6318850092184</v>
      </c>
      <c r="P55" s="100">
        <v>6</v>
      </c>
      <c r="Q55" s="100">
        <v>3981.6000000000004</v>
      </c>
      <c r="R55" s="100">
        <v>6.7854101278423276</v>
      </c>
      <c r="S55" s="100">
        <v>4502.7981608361688</v>
      </c>
      <c r="T55" s="100">
        <v>6</v>
      </c>
      <c r="U55" s="100">
        <v>3981.6000000000004</v>
      </c>
      <c r="V55" s="100">
        <v>6</v>
      </c>
      <c r="W55" s="100">
        <v>3981.6000000000004</v>
      </c>
      <c r="X55" s="100">
        <v>6.4329032652829445</v>
      </c>
      <c r="Y55" s="100">
        <v>4268.8746068417622</v>
      </c>
      <c r="Z55" s="100">
        <v>8</v>
      </c>
      <c r="AA55" s="100">
        <v>5308.8</v>
      </c>
      <c r="AB55" s="100">
        <v>7</v>
      </c>
      <c r="AC55" s="100">
        <v>4645.2</v>
      </c>
      <c r="AD55" s="100">
        <v>8</v>
      </c>
      <c r="AE55" s="100">
        <v>5308.8</v>
      </c>
      <c r="AF55" s="100">
        <v>9.5007455694444509</v>
      </c>
      <c r="AG55" s="100">
        <v>6304.6947598833376</v>
      </c>
      <c r="AH55" s="100">
        <v>6</v>
      </c>
      <c r="AI55" s="100">
        <v>3981.6000000000004</v>
      </c>
      <c r="AJ55" s="100">
        <v>9</v>
      </c>
      <c r="AK55" s="100">
        <v>5972.4000000000005</v>
      </c>
      <c r="AL55" s="100">
        <v>4.8555751793169364</v>
      </c>
      <c r="AM55" s="100">
        <v>3222.1596889947191</v>
      </c>
      <c r="AN55" s="100">
        <v>7</v>
      </c>
      <c r="AO55" s="100">
        <v>4645.2</v>
      </c>
      <c r="AP55" s="100">
        <v>6</v>
      </c>
      <c r="AQ55" s="100">
        <v>3981.6000000000004</v>
      </c>
      <c r="AR55" s="100">
        <v>6</v>
      </c>
      <c r="AS55" s="100">
        <v>3981.6000000000004</v>
      </c>
      <c r="AT55" s="100">
        <v>9</v>
      </c>
      <c r="AU55" s="100">
        <v>5972.4000000000005</v>
      </c>
      <c r="AV55" s="100">
        <v>7</v>
      </c>
      <c r="AW55" s="100">
        <v>4645.2</v>
      </c>
      <c r="AX55" s="100">
        <v>8</v>
      </c>
      <c r="AY55" s="100">
        <v>5308.8</v>
      </c>
      <c r="AZ55" s="100">
        <v>3.0778177246658247</v>
      </c>
      <c r="BA55" s="100">
        <v>2042.4398420882414</v>
      </c>
      <c r="BB55" s="100">
        <v>6</v>
      </c>
      <c r="BC55" s="100">
        <v>3981.6000000000004</v>
      </c>
      <c r="BD55" s="100">
        <v>12</v>
      </c>
      <c r="BE55" s="100">
        <v>7963.2000000000007</v>
      </c>
      <c r="BF55" s="100">
        <v>6</v>
      </c>
      <c r="BG55" s="100">
        <v>3981.6000000000004</v>
      </c>
      <c r="BH55" s="100">
        <v>3.7388777113790832</v>
      </c>
      <c r="BI55" s="100">
        <v>2481.1192492711598</v>
      </c>
      <c r="BJ55" s="100">
        <v>7</v>
      </c>
      <c r="BK55" s="100">
        <v>4645.2</v>
      </c>
      <c r="BL55" s="100">
        <v>6</v>
      </c>
      <c r="BM55" s="100">
        <v>3981.6000000000004</v>
      </c>
      <c r="BN55" s="100">
        <v>8</v>
      </c>
      <c r="BO55" s="100">
        <v>5308.8</v>
      </c>
      <c r="BP55" s="100">
        <v>10</v>
      </c>
      <c r="BQ55" s="100">
        <v>6636</v>
      </c>
      <c r="BR55" s="100">
        <v>1.1106656340917298</v>
      </c>
      <c r="BS55" s="100">
        <v>737.03771478327189</v>
      </c>
      <c r="BT55" s="100">
        <v>8.1615588899552378</v>
      </c>
      <c r="BU55" s="100">
        <v>5416.0104793742958</v>
      </c>
      <c r="BV55" s="100">
        <v>10</v>
      </c>
      <c r="BW55" s="100">
        <v>6636</v>
      </c>
      <c r="BX55" s="100">
        <v>8</v>
      </c>
      <c r="BY55" s="100">
        <v>5308.8</v>
      </c>
      <c r="BZ55" s="100">
        <v>10</v>
      </c>
      <c r="CA55" s="100">
        <v>6636</v>
      </c>
      <c r="CB55" s="100">
        <v>6.2982275198052804</v>
      </c>
      <c r="CC55" s="100">
        <v>4179.5037821427841</v>
      </c>
      <c r="CD55" s="100">
        <v>2.4361465226060579E-16</v>
      </c>
      <c r="CE55" s="100">
        <v>1.6166268324013801E-13</v>
      </c>
      <c r="CF55" s="100">
        <v>7</v>
      </c>
      <c r="CG55" s="100">
        <v>4645.2</v>
      </c>
      <c r="CH55" s="100">
        <v>5</v>
      </c>
      <c r="CI55" s="100">
        <v>3318</v>
      </c>
      <c r="CJ55" s="100">
        <v>11</v>
      </c>
      <c r="CK55" s="100">
        <v>7299.6</v>
      </c>
      <c r="CL55" s="100">
        <v>11</v>
      </c>
      <c r="CM55" s="100">
        <v>7299.6</v>
      </c>
      <c r="CN55" s="100">
        <v>9</v>
      </c>
      <c r="CO55" s="100">
        <v>5972.4000000000005</v>
      </c>
      <c r="CP55" s="100">
        <v>11</v>
      </c>
      <c r="CQ55" s="100">
        <v>7299.6</v>
      </c>
      <c r="CR55" s="100">
        <v>6</v>
      </c>
      <c r="CS55" s="100">
        <v>3981.6000000000004</v>
      </c>
      <c r="CT55" s="100">
        <v>8.7933149542577542</v>
      </c>
      <c r="CU55" s="100">
        <v>5835.243803645446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9</v>
      </c>
      <c r="G56" s="100">
        <v>8834.4</v>
      </c>
      <c r="H56" s="100">
        <v>11</v>
      </c>
      <c r="I56" s="100">
        <v>10797.599999999999</v>
      </c>
      <c r="J56" s="100">
        <v>8</v>
      </c>
      <c r="K56" s="100">
        <v>7852.7999999999993</v>
      </c>
      <c r="L56" s="100">
        <v>9</v>
      </c>
      <c r="M56" s="100">
        <v>8834.4</v>
      </c>
      <c r="N56" s="100">
        <v>10</v>
      </c>
      <c r="O56" s="100">
        <v>9816</v>
      </c>
      <c r="P56" s="100">
        <v>6</v>
      </c>
      <c r="Q56" s="100">
        <v>5889.5999999999995</v>
      </c>
      <c r="R56" s="100">
        <v>7</v>
      </c>
      <c r="S56" s="100">
        <v>6871.1999999999989</v>
      </c>
      <c r="T56" s="100">
        <v>6</v>
      </c>
      <c r="U56" s="100">
        <v>5889.5999999999995</v>
      </c>
      <c r="V56" s="100">
        <v>6</v>
      </c>
      <c r="W56" s="100">
        <v>5889.5999999999995</v>
      </c>
      <c r="X56" s="100">
        <v>8</v>
      </c>
      <c r="Y56" s="100">
        <v>7852.7999999999993</v>
      </c>
      <c r="Z56" s="100">
        <v>2.0137717014274181</v>
      </c>
      <c r="AA56" s="100">
        <v>1976.7183021211536</v>
      </c>
      <c r="AB56" s="100">
        <v>6.3978494623655919</v>
      </c>
      <c r="AC56" s="100">
        <v>6280.1290322580644</v>
      </c>
      <c r="AD56" s="100">
        <v>5.5607476635514015</v>
      </c>
      <c r="AE56" s="100">
        <v>5458.4299065420555</v>
      </c>
      <c r="AF56" s="100">
        <v>9</v>
      </c>
      <c r="AG56" s="100">
        <v>8834.4</v>
      </c>
      <c r="AH56" s="100">
        <v>3.1858407079646023</v>
      </c>
      <c r="AI56" s="100">
        <v>3127.2212389380534</v>
      </c>
      <c r="AJ56" s="100">
        <v>9</v>
      </c>
      <c r="AK56" s="100">
        <v>8834.4</v>
      </c>
      <c r="AL56" s="100">
        <v>10</v>
      </c>
      <c r="AM56" s="100">
        <v>9816</v>
      </c>
      <c r="AN56" s="100">
        <v>8</v>
      </c>
      <c r="AO56" s="100">
        <v>7852.7999999999993</v>
      </c>
      <c r="AP56" s="100">
        <v>6</v>
      </c>
      <c r="AQ56" s="100">
        <v>5889.5999999999995</v>
      </c>
      <c r="AR56" s="100">
        <v>5</v>
      </c>
      <c r="AS56" s="100">
        <v>4908</v>
      </c>
      <c r="AT56" s="100">
        <v>8</v>
      </c>
      <c r="AU56" s="100">
        <v>7852.7999999999993</v>
      </c>
      <c r="AV56" s="100">
        <v>6</v>
      </c>
      <c r="AW56" s="100">
        <v>5889.5999999999995</v>
      </c>
      <c r="AX56" s="100">
        <v>6</v>
      </c>
      <c r="AY56" s="100">
        <v>5889.5999999999995</v>
      </c>
      <c r="AZ56" s="100">
        <v>8</v>
      </c>
      <c r="BA56" s="100">
        <v>7852.7999999999993</v>
      </c>
      <c r="BB56" s="100">
        <v>6</v>
      </c>
      <c r="BC56" s="100">
        <v>5889.5999999999995</v>
      </c>
      <c r="BD56" s="100">
        <v>10</v>
      </c>
      <c r="BE56" s="100">
        <v>9816</v>
      </c>
      <c r="BF56" s="100">
        <v>6</v>
      </c>
      <c r="BG56" s="100">
        <v>5889.5999999999995</v>
      </c>
      <c r="BH56" s="100">
        <v>8</v>
      </c>
      <c r="BI56" s="100">
        <v>7852.7999999999993</v>
      </c>
      <c r="BJ56" s="100">
        <v>2.4782608695652177</v>
      </c>
      <c r="BK56" s="100">
        <v>2432.6608695652176</v>
      </c>
      <c r="BL56" s="100">
        <v>5</v>
      </c>
      <c r="BM56" s="100">
        <v>4908</v>
      </c>
      <c r="BN56" s="100">
        <v>9</v>
      </c>
      <c r="BO56" s="100">
        <v>8834.4</v>
      </c>
      <c r="BP56" s="100">
        <v>9</v>
      </c>
      <c r="BQ56" s="100">
        <v>8834.4</v>
      </c>
      <c r="BR56" s="100">
        <v>8</v>
      </c>
      <c r="BS56" s="100">
        <v>7852.7999999999993</v>
      </c>
      <c r="BT56" s="100">
        <v>10</v>
      </c>
      <c r="BU56" s="100">
        <v>9816</v>
      </c>
      <c r="BV56" s="100">
        <v>4.5454545454545459</v>
      </c>
      <c r="BW56" s="100">
        <v>4461.818181818182</v>
      </c>
      <c r="BX56" s="100">
        <v>8</v>
      </c>
      <c r="BY56" s="100">
        <v>7852.7999999999993</v>
      </c>
      <c r="BZ56" s="100">
        <v>8</v>
      </c>
      <c r="CA56" s="100">
        <v>7852.7999999999993</v>
      </c>
      <c r="CB56" s="100">
        <v>10</v>
      </c>
      <c r="CC56" s="100">
        <v>9816</v>
      </c>
      <c r="CD56" s="100">
        <v>4.2746781115879831</v>
      </c>
      <c r="CE56" s="100">
        <v>4196.0240343347641</v>
      </c>
      <c r="CF56" s="100">
        <v>7</v>
      </c>
      <c r="CG56" s="100">
        <v>6871.1999999999989</v>
      </c>
      <c r="CH56" s="100">
        <v>4.1226993865030686</v>
      </c>
      <c r="CI56" s="100">
        <v>4046.8417177914116</v>
      </c>
      <c r="CJ56" s="100">
        <v>7.1162790697674421</v>
      </c>
      <c r="CK56" s="100">
        <v>6985.3395348837203</v>
      </c>
      <c r="CL56" s="100">
        <v>7.9958893282432095</v>
      </c>
      <c r="CM56" s="100">
        <v>7848.7649646035334</v>
      </c>
      <c r="CN56" s="100">
        <v>8.6440677966101696</v>
      </c>
      <c r="CO56" s="100">
        <v>8485.0169491525412</v>
      </c>
      <c r="CP56" s="100">
        <v>0.70161174702424423</v>
      </c>
      <c r="CQ56" s="100">
        <v>688.70209087899809</v>
      </c>
      <c r="CR56" s="100">
        <v>4.4590163934426226</v>
      </c>
      <c r="CS56" s="100">
        <v>4376.9704918032776</v>
      </c>
      <c r="CT56" s="100">
        <v>10</v>
      </c>
      <c r="CU56" s="100">
        <v>9816</v>
      </c>
    </row>
    <row r="57" spans="2:99">
      <c r="C57" s="99" t="s">
        <v>223</v>
      </c>
      <c r="D57" s="100">
        <v>8</v>
      </c>
      <c r="E57" s="100">
        <v>11289.6</v>
      </c>
      <c r="F57" s="100">
        <v>9</v>
      </c>
      <c r="G57" s="100">
        <v>12700.800000000001</v>
      </c>
      <c r="H57" s="100">
        <v>10</v>
      </c>
      <c r="I57" s="100">
        <v>14112</v>
      </c>
      <c r="J57" s="100">
        <v>8</v>
      </c>
      <c r="K57" s="100">
        <v>11289.6</v>
      </c>
      <c r="L57" s="100">
        <v>8</v>
      </c>
      <c r="M57" s="100">
        <v>11289.6</v>
      </c>
      <c r="N57" s="100">
        <v>6.8905495727973127</v>
      </c>
      <c r="O57" s="100">
        <v>9723.943557131568</v>
      </c>
      <c r="P57" s="100">
        <v>6</v>
      </c>
      <c r="Q57" s="100">
        <v>8467.2000000000007</v>
      </c>
      <c r="R57" s="100">
        <v>5.8160658238648519</v>
      </c>
      <c r="S57" s="100">
        <v>8207.6320906380788</v>
      </c>
      <c r="T57" s="100">
        <v>5</v>
      </c>
      <c r="U57" s="100">
        <v>7056</v>
      </c>
      <c r="V57" s="100">
        <v>6</v>
      </c>
      <c r="W57" s="100">
        <v>8467.2000000000007</v>
      </c>
      <c r="X57" s="100">
        <v>6.4329032652829445</v>
      </c>
      <c r="Y57" s="100">
        <v>9078.113087967291</v>
      </c>
      <c r="Z57" s="100">
        <v>8</v>
      </c>
      <c r="AA57" s="100">
        <v>11289.6</v>
      </c>
      <c r="AB57" s="100">
        <v>8</v>
      </c>
      <c r="AC57" s="100">
        <v>11289.6</v>
      </c>
      <c r="AD57" s="100">
        <v>8</v>
      </c>
      <c r="AE57" s="100">
        <v>11289.6</v>
      </c>
      <c r="AF57" s="100">
        <v>7.6005964555555616</v>
      </c>
      <c r="AG57" s="100">
        <v>10725.961718080009</v>
      </c>
      <c r="AH57" s="100">
        <v>7</v>
      </c>
      <c r="AI57" s="100">
        <v>9878.4</v>
      </c>
      <c r="AJ57" s="100">
        <v>10</v>
      </c>
      <c r="AK57" s="100">
        <v>14112</v>
      </c>
      <c r="AL57" s="100">
        <v>4.8555751793169364</v>
      </c>
      <c r="AM57" s="100">
        <v>6852.1876930520611</v>
      </c>
      <c r="AN57" s="100">
        <v>7</v>
      </c>
      <c r="AO57" s="100">
        <v>9878.4</v>
      </c>
      <c r="AP57" s="100">
        <v>6</v>
      </c>
      <c r="AQ57" s="100">
        <v>8467.2000000000007</v>
      </c>
      <c r="AR57" s="100">
        <v>5</v>
      </c>
      <c r="AS57" s="100">
        <v>7056</v>
      </c>
      <c r="AT57" s="100">
        <v>8</v>
      </c>
      <c r="AU57" s="100">
        <v>11289.6</v>
      </c>
      <c r="AV57" s="100">
        <v>6</v>
      </c>
      <c r="AW57" s="100">
        <v>8467.2000000000007</v>
      </c>
      <c r="AX57" s="100">
        <v>7</v>
      </c>
      <c r="AY57" s="100">
        <v>9878.4</v>
      </c>
      <c r="AZ57" s="100">
        <v>3.0778177246658247</v>
      </c>
      <c r="BA57" s="100">
        <v>4343.4163730484115</v>
      </c>
      <c r="BB57" s="100">
        <v>7</v>
      </c>
      <c r="BC57" s="100">
        <v>9878.4</v>
      </c>
      <c r="BD57" s="100">
        <v>10</v>
      </c>
      <c r="BE57" s="100">
        <v>14112</v>
      </c>
      <c r="BF57" s="100">
        <v>6</v>
      </c>
      <c r="BG57" s="100">
        <v>8467.2000000000007</v>
      </c>
      <c r="BH57" s="100">
        <v>2.908015997739287</v>
      </c>
      <c r="BI57" s="100">
        <v>4103.7921760096815</v>
      </c>
      <c r="BJ57" s="100">
        <v>7</v>
      </c>
      <c r="BK57" s="100">
        <v>9878.4</v>
      </c>
      <c r="BL57" s="100">
        <v>5</v>
      </c>
      <c r="BM57" s="100">
        <v>7056</v>
      </c>
      <c r="BN57" s="100">
        <v>8</v>
      </c>
      <c r="BO57" s="100">
        <v>11289.6</v>
      </c>
      <c r="BP57" s="100">
        <v>9</v>
      </c>
      <c r="BQ57" s="100">
        <v>12700.800000000001</v>
      </c>
      <c r="BR57" s="100">
        <v>0.9872583414148709</v>
      </c>
      <c r="BS57" s="100">
        <v>1393.2189714046658</v>
      </c>
      <c r="BT57" s="100">
        <v>8.1615588899552378</v>
      </c>
      <c r="BU57" s="100">
        <v>11517.591905504833</v>
      </c>
      <c r="BV57" s="100">
        <v>9</v>
      </c>
      <c r="BW57" s="100">
        <v>12700.800000000001</v>
      </c>
      <c r="BX57" s="100">
        <v>7</v>
      </c>
      <c r="BY57" s="100">
        <v>9878.4</v>
      </c>
      <c r="BZ57" s="100">
        <v>8</v>
      </c>
      <c r="CA57" s="100">
        <v>11289.6</v>
      </c>
      <c r="CB57" s="100">
        <v>6.2982275198052804</v>
      </c>
      <c r="CC57" s="100">
        <v>8888.0586759492126</v>
      </c>
      <c r="CD57" s="100">
        <v>2.4361465226060579E-16</v>
      </c>
      <c r="CE57" s="100">
        <v>3.4378899727016693E-13</v>
      </c>
      <c r="CF57" s="100">
        <v>8</v>
      </c>
      <c r="CG57" s="100">
        <v>11289.6</v>
      </c>
      <c r="CH57" s="100">
        <v>5</v>
      </c>
      <c r="CI57" s="100">
        <v>7056</v>
      </c>
      <c r="CJ57" s="100">
        <v>9</v>
      </c>
      <c r="CK57" s="100">
        <v>12700.800000000001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11</v>
      </c>
      <c r="CQ57" s="100">
        <v>15523.2</v>
      </c>
      <c r="CR57" s="100">
        <v>5</v>
      </c>
      <c r="CS57" s="100">
        <v>7056</v>
      </c>
      <c r="CT57" s="100">
        <v>8.7933149542577542</v>
      </c>
      <c r="CU57" s="100">
        <v>12409.126063448542</v>
      </c>
    </row>
    <row r="58" spans="2:99">
      <c r="C58" s="99" t="s">
        <v>224</v>
      </c>
      <c r="D58" s="100">
        <v>8</v>
      </c>
      <c r="E58" s="100">
        <v>9417.6</v>
      </c>
      <c r="F58" s="100">
        <v>8</v>
      </c>
      <c r="G58" s="100">
        <v>9417.6</v>
      </c>
      <c r="H58" s="100">
        <v>11</v>
      </c>
      <c r="I58" s="100">
        <v>12949.2</v>
      </c>
      <c r="J58" s="100">
        <v>4.2109015547943009</v>
      </c>
      <c r="K58" s="100">
        <v>4957.073310303851</v>
      </c>
      <c r="L58" s="100">
        <v>8</v>
      </c>
      <c r="M58" s="100">
        <v>9417.6</v>
      </c>
      <c r="N58" s="100">
        <v>10</v>
      </c>
      <c r="O58" s="100">
        <v>11772</v>
      </c>
      <c r="P58" s="100">
        <v>7</v>
      </c>
      <c r="Q58" s="100">
        <v>8240.4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6</v>
      </c>
      <c r="W58" s="100">
        <v>7063.2000000000007</v>
      </c>
      <c r="X58" s="100">
        <v>7</v>
      </c>
      <c r="Y58" s="100">
        <v>8240.4</v>
      </c>
      <c r="Z58" s="100">
        <v>7</v>
      </c>
      <c r="AA58" s="100">
        <v>8240.4</v>
      </c>
      <c r="AB58" s="100">
        <v>8</v>
      </c>
      <c r="AC58" s="100">
        <v>9417.6</v>
      </c>
      <c r="AD58" s="100">
        <v>8</v>
      </c>
      <c r="AE58" s="100">
        <v>9417.6</v>
      </c>
      <c r="AF58" s="100">
        <v>9</v>
      </c>
      <c r="AG58" s="100">
        <v>10594.800000000001</v>
      </c>
      <c r="AH58" s="100">
        <v>6</v>
      </c>
      <c r="AI58" s="100">
        <v>7063.2000000000007</v>
      </c>
      <c r="AJ58" s="100">
        <v>10</v>
      </c>
      <c r="AK58" s="100">
        <v>11772</v>
      </c>
      <c r="AL58" s="100">
        <v>6.8399507108126976</v>
      </c>
      <c r="AM58" s="100">
        <v>8051.9899767687075</v>
      </c>
      <c r="AN58" s="100">
        <v>8</v>
      </c>
      <c r="AO58" s="100">
        <v>9417.6</v>
      </c>
      <c r="AP58" s="100">
        <v>6</v>
      </c>
      <c r="AQ58" s="100">
        <v>7063.2000000000007</v>
      </c>
      <c r="AR58" s="100">
        <v>4.7510592797964764</v>
      </c>
      <c r="AS58" s="100">
        <v>5592.9469841764121</v>
      </c>
      <c r="AT58" s="100">
        <v>9</v>
      </c>
      <c r="AU58" s="100">
        <v>10594.800000000001</v>
      </c>
      <c r="AV58" s="100">
        <v>5</v>
      </c>
      <c r="AW58" s="100">
        <v>5886</v>
      </c>
      <c r="AX58" s="100">
        <v>7</v>
      </c>
      <c r="AY58" s="100">
        <v>8240.4</v>
      </c>
      <c r="AZ58" s="100">
        <v>7</v>
      </c>
      <c r="BA58" s="100">
        <v>8240.4</v>
      </c>
      <c r="BB58" s="100">
        <v>6</v>
      </c>
      <c r="BC58" s="100">
        <v>7063.2000000000007</v>
      </c>
      <c r="BD58" s="100">
        <v>10</v>
      </c>
      <c r="BE58" s="100">
        <v>11772</v>
      </c>
      <c r="BF58" s="100">
        <v>5.6955979710498053</v>
      </c>
      <c r="BG58" s="100">
        <v>6704.8579315198313</v>
      </c>
      <c r="BH58" s="100">
        <v>8</v>
      </c>
      <c r="BI58" s="100">
        <v>9417.6</v>
      </c>
      <c r="BJ58" s="100">
        <v>6</v>
      </c>
      <c r="BK58" s="100">
        <v>7063.2000000000007</v>
      </c>
      <c r="BL58" s="100">
        <v>6</v>
      </c>
      <c r="BM58" s="100">
        <v>7063.2000000000007</v>
      </c>
      <c r="BN58" s="100">
        <v>3.8806187737708835</v>
      </c>
      <c r="BO58" s="100">
        <v>4568.264420483084</v>
      </c>
      <c r="BP58" s="100">
        <v>7.8260869565217428</v>
      </c>
      <c r="BQ58" s="100">
        <v>9212.8695652173956</v>
      </c>
      <c r="BR58" s="100">
        <v>8</v>
      </c>
      <c r="BS58" s="100">
        <v>9417.6</v>
      </c>
      <c r="BT58" s="100">
        <v>11</v>
      </c>
      <c r="BU58" s="100">
        <v>12949.2</v>
      </c>
      <c r="BV58" s="100">
        <v>9</v>
      </c>
      <c r="BW58" s="100">
        <v>10594.800000000001</v>
      </c>
      <c r="BX58" s="100">
        <v>8</v>
      </c>
      <c r="BY58" s="100">
        <v>9417.6</v>
      </c>
      <c r="BZ58" s="100">
        <v>9</v>
      </c>
      <c r="CA58" s="100">
        <v>10594.800000000001</v>
      </c>
      <c r="CB58" s="100">
        <v>10</v>
      </c>
      <c r="CC58" s="100">
        <v>11772</v>
      </c>
      <c r="CD58" s="100">
        <v>6</v>
      </c>
      <c r="CE58" s="100">
        <v>7063.2000000000007</v>
      </c>
      <c r="CF58" s="100">
        <v>6.4892703862661136</v>
      </c>
      <c r="CG58" s="100">
        <v>7639.1690987124693</v>
      </c>
      <c r="CH58" s="100">
        <v>6</v>
      </c>
      <c r="CI58" s="100">
        <v>7063.2000000000007</v>
      </c>
      <c r="CJ58" s="100">
        <v>10</v>
      </c>
      <c r="CK58" s="100">
        <v>11772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7.7883504725437769</v>
      </c>
      <c r="CQ58" s="100">
        <v>9168.446176278534</v>
      </c>
      <c r="CR58" s="100">
        <v>6</v>
      </c>
      <c r="CS58" s="100">
        <v>7063.2000000000007</v>
      </c>
      <c r="CT58" s="100">
        <v>10</v>
      </c>
      <c r="CU58" s="100">
        <v>11772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9</v>
      </c>
      <c r="G59" s="100">
        <v>2732.3999999999996</v>
      </c>
      <c r="H59" s="100">
        <v>10</v>
      </c>
      <c r="I59" s="100">
        <v>3035.9999999999995</v>
      </c>
      <c r="J59" s="100">
        <v>8</v>
      </c>
      <c r="K59" s="100">
        <v>2428.7999999999997</v>
      </c>
      <c r="L59" s="100">
        <v>10</v>
      </c>
      <c r="M59" s="100">
        <v>3035.9999999999995</v>
      </c>
      <c r="N59" s="100">
        <v>7.6561661919970136</v>
      </c>
      <c r="O59" s="100">
        <v>2324.4120558902932</v>
      </c>
      <c r="P59" s="100">
        <v>6</v>
      </c>
      <c r="Q59" s="100">
        <v>1821.6</v>
      </c>
      <c r="R59" s="100">
        <v>6.7854101278423276</v>
      </c>
      <c r="S59" s="100">
        <v>2060.0505148129305</v>
      </c>
      <c r="T59" s="100">
        <v>6</v>
      </c>
      <c r="U59" s="100">
        <v>1821.6</v>
      </c>
      <c r="V59" s="100">
        <v>6</v>
      </c>
      <c r="W59" s="100">
        <v>1821.6</v>
      </c>
      <c r="X59" s="100">
        <v>7.3518894460376503</v>
      </c>
      <c r="Y59" s="100">
        <v>2232.0336358170302</v>
      </c>
      <c r="Z59" s="100">
        <v>8</v>
      </c>
      <c r="AA59" s="100">
        <v>2428.7999999999997</v>
      </c>
      <c r="AB59" s="100">
        <v>7</v>
      </c>
      <c r="AC59" s="100">
        <v>2125.1999999999998</v>
      </c>
      <c r="AD59" s="100">
        <v>8</v>
      </c>
      <c r="AE59" s="100">
        <v>2428.7999999999997</v>
      </c>
      <c r="AF59" s="100">
        <v>10.450820126388898</v>
      </c>
      <c r="AG59" s="100">
        <v>3172.868990371669</v>
      </c>
      <c r="AH59" s="100">
        <v>6</v>
      </c>
      <c r="AI59" s="100">
        <v>1821.6</v>
      </c>
      <c r="AJ59" s="100">
        <v>10</v>
      </c>
      <c r="AK59" s="100">
        <v>3035.9999999999995</v>
      </c>
      <c r="AL59" s="100">
        <v>5.3950835325743745</v>
      </c>
      <c r="AM59" s="100">
        <v>1637.94736048958</v>
      </c>
      <c r="AN59" s="100">
        <v>8</v>
      </c>
      <c r="AO59" s="100">
        <v>2428.7999999999997</v>
      </c>
      <c r="AP59" s="100">
        <v>7</v>
      </c>
      <c r="AQ59" s="100">
        <v>2125.1999999999998</v>
      </c>
      <c r="AR59" s="100">
        <v>6</v>
      </c>
      <c r="AS59" s="100">
        <v>1821.6</v>
      </c>
      <c r="AT59" s="100">
        <v>9</v>
      </c>
      <c r="AU59" s="100">
        <v>2732.3999999999996</v>
      </c>
      <c r="AV59" s="100">
        <v>6</v>
      </c>
      <c r="AW59" s="100">
        <v>1821.6</v>
      </c>
      <c r="AX59" s="100">
        <v>8</v>
      </c>
      <c r="AY59" s="100">
        <v>2428.7999999999997</v>
      </c>
      <c r="AZ59" s="100">
        <v>3.0778177246658247</v>
      </c>
      <c r="BA59" s="100">
        <v>934.42546120854422</v>
      </c>
      <c r="BB59" s="100">
        <v>7</v>
      </c>
      <c r="BC59" s="100">
        <v>2125.1999999999998</v>
      </c>
      <c r="BD59" s="100">
        <v>10</v>
      </c>
      <c r="BE59" s="100">
        <v>3035.9999999999995</v>
      </c>
      <c r="BF59" s="100">
        <v>7</v>
      </c>
      <c r="BG59" s="100">
        <v>2125.1999999999998</v>
      </c>
      <c r="BH59" s="100">
        <v>3.3234468545591849</v>
      </c>
      <c r="BI59" s="100">
        <v>1008.9984650441684</v>
      </c>
      <c r="BJ59" s="100">
        <v>7</v>
      </c>
      <c r="BK59" s="100">
        <v>2125.1999999999998</v>
      </c>
      <c r="BL59" s="100">
        <v>6</v>
      </c>
      <c r="BM59" s="100">
        <v>1821.6</v>
      </c>
      <c r="BN59" s="100">
        <v>10</v>
      </c>
      <c r="BO59" s="100">
        <v>3035.9999999999995</v>
      </c>
      <c r="BP59" s="100">
        <v>10</v>
      </c>
      <c r="BQ59" s="100">
        <v>3035.9999999999995</v>
      </c>
      <c r="BR59" s="100">
        <v>0.9872583414148709</v>
      </c>
      <c r="BS59" s="100">
        <v>299.73163245355477</v>
      </c>
      <c r="BT59" s="100">
        <v>8.1615588899552378</v>
      </c>
      <c r="BU59" s="100">
        <v>2477.8492789904099</v>
      </c>
      <c r="BV59" s="100">
        <v>9</v>
      </c>
      <c r="BW59" s="100">
        <v>2732.3999999999996</v>
      </c>
      <c r="BX59" s="100">
        <v>8</v>
      </c>
      <c r="BY59" s="100">
        <v>2428.7999999999997</v>
      </c>
      <c r="BZ59" s="100">
        <v>10</v>
      </c>
      <c r="CA59" s="100">
        <v>3035.9999999999995</v>
      </c>
      <c r="CB59" s="100">
        <v>6.9280502717858088</v>
      </c>
      <c r="CC59" s="100">
        <v>2103.3560625141713</v>
      </c>
      <c r="CD59" s="100">
        <v>2.4361465226060579E-16</v>
      </c>
      <c r="CE59" s="100">
        <v>7.3961408426319915E-14</v>
      </c>
      <c r="CF59" s="100">
        <v>7</v>
      </c>
      <c r="CG59" s="100">
        <v>2125.1999999999998</v>
      </c>
      <c r="CH59" s="100">
        <v>6</v>
      </c>
      <c r="CI59" s="100">
        <v>1821.6</v>
      </c>
      <c r="CJ59" s="100">
        <v>10</v>
      </c>
      <c r="CK59" s="100">
        <v>3035.9999999999995</v>
      </c>
      <c r="CL59" s="100">
        <v>11</v>
      </c>
      <c r="CM59" s="100">
        <v>3339.5999999999995</v>
      </c>
      <c r="CN59" s="100">
        <v>9</v>
      </c>
      <c r="CO59" s="100">
        <v>2732.3999999999996</v>
      </c>
      <c r="CP59" s="100">
        <v>10</v>
      </c>
      <c r="CQ59" s="100">
        <v>3035.9999999999995</v>
      </c>
      <c r="CR59" s="100">
        <v>7</v>
      </c>
      <c r="CS59" s="100">
        <v>2125.1999999999998</v>
      </c>
      <c r="CT59" s="100">
        <v>9.5927072228266415</v>
      </c>
      <c r="CU59" s="100">
        <v>2912.3459128501681</v>
      </c>
    </row>
    <row r="60" spans="2:99">
      <c r="C60" s="99" t="s">
        <v>226</v>
      </c>
      <c r="D60" s="100">
        <v>8</v>
      </c>
      <c r="E60" s="100">
        <v>5212.8</v>
      </c>
      <c r="F60" s="100">
        <v>9</v>
      </c>
      <c r="G60" s="100">
        <v>5864.4000000000005</v>
      </c>
      <c r="H60" s="100">
        <v>11</v>
      </c>
      <c r="I60" s="100">
        <v>7167.6</v>
      </c>
      <c r="J60" s="100">
        <v>8</v>
      </c>
      <c r="K60" s="100">
        <v>5212.8</v>
      </c>
      <c r="L60" s="100">
        <v>8</v>
      </c>
      <c r="M60" s="100">
        <v>5212.8</v>
      </c>
      <c r="N60" s="100">
        <v>7.6561661919970136</v>
      </c>
      <c r="O60" s="100">
        <v>4988.7578907052539</v>
      </c>
      <c r="P60" s="100">
        <v>6</v>
      </c>
      <c r="Q60" s="100">
        <v>3909.6000000000004</v>
      </c>
      <c r="R60" s="100">
        <v>6.7854101278423276</v>
      </c>
      <c r="S60" s="100">
        <v>4421.3732393020609</v>
      </c>
      <c r="T60" s="100">
        <v>6</v>
      </c>
      <c r="U60" s="100">
        <v>3909.6000000000004</v>
      </c>
      <c r="V60" s="100">
        <v>7</v>
      </c>
      <c r="W60" s="100">
        <v>4561.2</v>
      </c>
      <c r="X60" s="100">
        <v>6.4329032652829445</v>
      </c>
      <c r="Y60" s="100">
        <v>4191.6797676583665</v>
      </c>
      <c r="Z60" s="100">
        <v>8</v>
      </c>
      <c r="AA60" s="100">
        <v>5212.8</v>
      </c>
      <c r="AB60" s="100">
        <v>8</v>
      </c>
      <c r="AC60" s="100">
        <v>5212.8</v>
      </c>
      <c r="AD60" s="100">
        <v>8</v>
      </c>
      <c r="AE60" s="100">
        <v>5212.8</v>
      </c>
      <c r="AF60" s="100">
        <v>8.5506710125000058</v>
      </c>
      <c r="AG60" s="100">
        <v>5571.6172317450037</v>
      </c>
      <c r="AH60" s="100">
        <v>7</v>
      </c>
      <c r="AI60" s="100">
        <v>4561.2</v>
      </c>
      <c r="AJ60" s="100">
        <v>9</v>
      </c>
      <c r="AK60" s="100">
        <v>5864.4000000000005</v>
      </c>
      <c r="AL60" s="100">
        <v>4.8555751793169364</v>
      </c>
      <c r="AM60" s="100">
        <v>3163.8927868429159</v>
      </c>
      <c r="AN60" s="100">
        <v>7</v>
      </c>
      <c r="AO60" s="100">
        <v>4561.2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8</v>
      </c>
      <c r="AU60" s="100">
        <v>5212.8</v>
      </c>
      <c r="AV60" s="100">
        <v>6</v>
      </c>
      <c r="AW60" s="100">
        <v>3909.6000000000004</v>
      </c>
      <c r="AX60" s="100">
        <v>7</v>
      </c>
      <c r="AY60" s="100">
        <v>4561.2</v>
      </c>
      <c r="AZ60" s="100">
        <v>2.6930905090825972</v>
      </c>
      <c r="BA60" s="100">
        <v>1754.8177757182204</v>
      </c>
      <c r="BB60" s="100">
        <v>6</v>
      </c>
      <c r="BC60" s="100">
        <v>3909.6000000000004</v>
      </c>
      <c r="BD60" s="100">
        <v>10</v>
      </c>
      <c r="BE60" s="100">
        <v>6516</v>
      </c>
      <c r="BF60" s="100">
        <v>6</v>
      </c>
      <c r="BG60" s="100">
        <v>3909.6000000000004</v>
      </c>
      <c r="BH60" s="100">
        <v>3.7388777113790832</v>
      </c>
      <c r="BI60" s="100">
        <v>2436.2527167346107</v>
      </c>
      <c r="BJ60" s="100">
        <v>8</v>
      </c>
      <c r="BK60" s="100">
        <v>5212.8</v>
      </c>
      <c r="BL60" s="100">
        <v>6</v>
      </c>
      <c r="BM60" s="100">
        <v>3909.6000000000004</v>
      </c>
      <c r="BN60" s="100">
        <v>8</v>
      </c>
      <c r="BO60" s="100">
        <v>5212.8</v>
      </c>
      <c r="BP60" s="100">
        <v>10</v>
      </c>
      <c r="BQ60" s="100">
        <v>6516</v>
      </c>
      <c r="BR60" s="100">
        <v>0.9872583414148709</v>
      </c>
      <c r="BS60" s="100">
        <v>643.29753526592992</v>
      </c>
      <c r="BT60" s="100">
        <v>8.9035187890420779</v>
      </c>
      <c r="BU60" s="100">
        <v>5801.5328429398178</v>
      </c>
      <c r="BV60" s="100">
        <v>10</v>
      </c>
      <c r="BW60" s="100">
        <v>6516</v>
      </c>
      <c r="BX60" s="100">
        <v>7</v>
      </c>
      <c r="BY60" s="100">
        <v>4561.2</v>
      </c>
      <c r="BZ60" s="100">
        <v>9</v>
      </c>
      <c r="CA60" s="100">
        <v>5864.4000000000005</v>
      </c>
      <c r="CB60" s="100">
        <v>6.9280502717858088</v>
      </c>
      <c r="CC60" s="100">
        <v>4514.3175570956328</v>
      </c>
      <c r="CD60" s="100">
        <v>2.4361465226060579E-16</v>
      </c>
      <c r="CE60" s="100">
        <v>1.5873930741301073E-13</v>
      </c>
      <c r="CF60" s="100">
        <v>7</v>
      </c>
      <c r="CG60" s="100">
        <v>4561.2</v>
      </c>
      <c r="CH60" s="100">
        <v>5</v>
      </c>
      <c r="CI60" s="100">
        <v>3258</v>
      </c>
      <c r="CJ60" s="100">
        <v>11</v>
      </c>
      <c r="CK60" s="100">
        <v>7167.6</v>
      </c>
      <c r="CL60" s="100">
        <v>10</v>
      </c>
      <c r="CM60" s="100">
        <v>6516</v>
      </c>
      <c r="CN60" s="100">
        <v>10</v>
      </c>
      <c r="CO60" s="100">
        <v>6516</v>
      </c>
      <c r="CP60" s="100">
        <v>11</v>
      </c>
      <c r="CQ60" s="100">
        <v>7167.6</v>
      </c>
      <c r="CR60" s="100">
        <v>6</v>
      </c>
      <c r="CS60" s="100">
        <v>3909.6000000000004</v>
      </c>
      <c r="CT60" s="100">
        <v>8.7933149542577542</v>
      </c>
      <c r="CU60" s="100">
        <v>5729.7240241943528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9</v>
      </c>
      <c r="G61" s="100">
        <v>8564.4</v>
      </c>
      <c r="H61" s="100">
        <v>10</v>
      </c>
      <c r="I61" s="100">
        <v>9516</v>
      </c>
      <c r="J61" s="100">
        <v>9</v>
      </c>
      <c r="K61" s="100">
        <v>8564.4</v>
      </c>
      <c r="L61" s="100">
        <v>9</v>
      </c>
      <c r="M61" s="100">
        <v>8564.4</v>
      </c>
      <c r="N61" s="100">
        <v>7.6561661919970136</v>
      </c>
      <c r="O61" s="100">
        <v>7285.6077483043573</v>
      </c>
      <c r="P61" s="100">
        <v>6</v>
      </c>
      <c r="Q61" s="100">
        <v>5709.5999999999995</v>
      </c>
      <c r="R61" s="100">
        <v>5.8160658238648519</v>
      </c>
      <c r="S61" s="100">
        <v>5534.5682379897926</v>
      </c>
      <c r="T61" s="100">
        <v>6</v>
      </c>
      <c r="U61" s="100">
        <v>5709.5999999999995</v>
      </c>
      <c r="V61" s="100">
        <v>7</v>
      </c>
      <c r="W61" s="100">
        <v>6661.1999999999989</v>
      </c>
      <c r="X61" s="100">
        <v>6.4329032652829445</v>
      </c>
      <c r="Y61" s="100">
        <v>6121.5507472432491</v>
      </c>
      <c r="Z61" s="100">
        <v>7</v>
      </c>
      <c r="AA61" s="100">
        <v>6661.1999999999989</v>
      </c>
      <c r="AB61" s="100">
        <v>7</v>
      </c>
      <c r="AC61" s="100">
        <v>6661.1999999999989</v>
      </c>
      <c r="AD61" s="100">
        <v>8</v>
      </c>
      <c r="AE61" s="100">
        <v>7612.7999999999993</v>
      </c>
      <c r="AF61" s="100">
        <v>9.5007455694444509</v>
      </c>
      <c r="AG61" s="100">
        <v>9040.9094838833389</v>
      </c>
      <c r="AH61" s="100">
        <v>6</v>
      </c>
      <c r="AI61" s="100">
        <v>5709.5999999999995</v>
      </c>
      <c r="AJ61" s="100">
        <v>9</v>
      </c>
      <c r="AK61" s="100">
        <v>8564.4</v>
      </c>
      <c r="AL61" s="100">
        <v>5.3950835325743745</v>
      </c>
      <c r="AM61" s="100">
        <v>5133.9614895977738</v>
      </c>
      <c r="AN61" s="100">
        <v>8</v>
      </c>
      <c r="AO61" s="100">
        <v>7612.7999999999993</v>
      </c>
      <c r="AP61" s="100">
        <v>6</v>
      </c>
      <c r="AQ61" s="100">
        <v>5709.5999999999995</v>
      </c>
      <c r="AR61" s="100">
        <v>6</v>
      </c>
      <c r="AS61" s="100">
        <v>5709.5999999999995</v>
      </c>
      <c r="AT61" s="100">
        <v>8</v>
      </c>
      <c r="AU61" s="100">
        <v>7612.7999999999993</v>
      </c>
      <c r="AV61" s="100">
        <v>6</v>
      </c>
      <c r="AW61" s="100">
        <v>5709.5999999999995</v>
      </c>
      <c r="AX61" s="100">
        <v>7</v>
      </c>
      <c r="AY61" s="100">
        <v>6661.1999999999989</v>
      </c>
      <c r="AZ61" s="100">
        <v>3.0778177246658247</v>
      </c>
      <c r="BA61" s="100">
        <v>2928.8513467919984</v>
      </c>
      <c r="BB61" s="100">
        <v>7</v>
      </c>
      <c r="BC61" s="100">
        <v>6661.1999999999989</v>
      </c>
      <c r="BD61" s="100">
        <v>11</v>
      </c>
      <c r="BE61" s="100">
        <v>10467.599999999999</v>
      </c>
      <c r="BF61" s="100">
        <v>6</v>
      </c>
      <c r="BG61" s="100">
        <v>5709.5999999999995</v>
      </c>
      <c r="BH61" s="100">
        <v>3.7388777113790832</v>
      </c>
      <c r="BI61" s="100">
        <v>3557.9160301483353</v>
      </c>
      <c r="BJ61" s="100">
        <v>8</v>
      </c>
      <c r="BK61" s="100">
        <v>7612.7999999999993</v>
      </c>
      <c r="BL61" s="100">
        <v>5</v>
      </c>
      <c r="BM61" s="100">
        <v>4758</v>
      </c>
      <c r="BN61" s="100">
        <v>9</v>
      </c>
      <c r="BO61" s="100">
        <v>8564.4</v>
      </c>
      <c r="BP61" s="100">
        <v>9</v>
      </c>
      <c r="BQ61" s="100">
        <v>8564.4</v>
      </c>
      <c r="BR61" s="100">
        <v>0.9872583414148709</v>
      </c>
      <c r="BS61" s="100">
        <v>939.4750376903911</v>
      </c>
      <c r="BT61" s="100">
        <v>7.4195989908683977</v>
      </c>
      <c r="BU61" s="100">
        <v>7060.4903997103665</v>
      </c>
      <c r="BV61" s="100">
        <v>9</v>
      </c>
      <c r="BW61" s="100">
        <v>8564.4</v>
      </c>
      <c r="BX61" s="100">
        <v>8</v>
      </c>
      <c r="BY61" s="100">
        <v>7612.7999999999993</v>
      </c>
      <c r="BZ61" s="100">
        <v>9</v>
      </c>
      <c r="CA61" s="100">
        <v>8564.4</v>
      </c>
      <c r="CB61" s="100">
        <v>6.2982275198052804</v>
      </c>
      <c r="CC61" s="100">
        <v>5993.3933078467044</v>
      </c>
      <c r="CD61" s="100">
        <v>2.4361465226060579E-16</v>
      </c>
      <c r="CE61" s="100">
        <v>2.3182370309119246E-13</v>
      </c>
      <c r="CF61" s="100">
        <v>7</v>
      </c>
      <c r="CG61" s="100">
        <v>6661.1999999999989</v>
      </c>
      <c r="CH61" s="100">
        <v>6</v>
      </c>
      <c r="CI61" s="100">
        <v>5709.5999999999995</v>
      </c>
      <c r="CJ61" s="100">
        <v>10</v>
      </c>
      <c r="CK61" s="100">
        <v>9516</v>
      </c>
      <c r="CL61" s="100">
        <v>11</v>
      </c>
      <c r="CM61" s="100">
        <v>10467.599999999999</v>
      </c>
      <c r="CN61" s="100">
        <v>10</v>
      </c>
      <c r="CO61" s="100">
        <v>9516</v>
      </c>
      <c r="CP61" s="100">
        <v>11</v>
      </c>
      <c r="CQ61" s="100">
        <v>10467.599999999999</v>
      </c>
      <c r="CR61" s="100">
        <v>6</v>
      </c>
      <c r="CS61" s="100">
        <v>5709.5999999999995</v>
      </c>
      <c r="CT61" s="100">
        <v>7.993922685688867</v>
      </c>
      <c r="CU61" s="100">
        <v>7607.0168277015255</v>
      </c>
    </row>
    <row r="62" spans="2:99">
      <c r="C62" s="99" t="s">
        <v>228</v>
      </c>
      <c r="D62" s="100">
        <v>8</v>
      </c>
      <c r="E62" s="100">
        <v>13353.6</v>
      </c>
      <c r="F62" s="100">
        <v>8</v>
      </c>
      <c r="G62" s="100">
        <v>13353.6</v>
      </c>
      <c r="H62" s="100">
        <v>10</v>
      </c>
      <c r="I62" s="100">
        <v>16692</v>
      </c>
      <c r="J62" s="100">
        <v>8</v>
      </c>
      <c r="K62" s="100">
        <v>13353.6</v>
      </c>
      <c r="L62" s="100">
        <v>9</v>
      </c>
      <c r="M62" s="100">
        <v>15022.800000000001</v>
      </c>
      <c r="N62" s="100">
        <v>10</v>
      </c>
      <c r="O62" s="100">
        <v>16692</v>
      </c>
      <c r="P62" s="100">
        <v>6</v>
      </c>
      <c r="Q62" s="100">
        <v>10015.200000000001</v>
      </c>
      <c r="R62" s="100">
        <v>6</v>
      </c>
      <c r="S62" s="100">
        <v>10015.200000000001</v>
      </c>
      <c r="T62" s="100">
        <v>5</v>
      </c>
      <c r="U62" s="100">
        <v>8346</v>
      </c>
      <c r="V62" s="100">
        <v>6</v>
      </c>
      <c r="W62" s="100">
        <v>10015.200000000001</v>
      </c>
      <c r="X62" s="100">
        <v>7</v>
      </c>
      <c r="Y62" s="100">
        <v>11684.4</v>
      </c>
      <c r="Z62" s="100">
        <v>1.7620502387489907</v>
      </c>
      <c r="AA62" s="100">
        <v>2941.2142585198153</v>
      </c>
      <c r="AB62" s="100">
        <v>6.3978494623655919</v>
      </c>
      <c r="AC62" s="100">
        <v>10679.290322580646</v>
      </c>
      <c r="AD62" s="100">
        <v>6.3551401869158877</v>
      </c>
      <c r="AE62" s="100">
        <v>10608</v>
      </c>
      <c r="AF62" s="100">
        <v>10</v>
      </c>
      <c r="AG62" s="100">
        <v>16692</v>
      </c>
      <c r="AH62" s="100">
        <v>3.1858407079646023</v>
      </c>
      <c r="AI62" s="100">
        <v>5317.8053097345146</v>
      </c>
      <c r="AJ62" s="100">
        <v>9</v>
      </c>
      <c r="AK62" s="100">
        <v>15022.800000000001</v>
      </c>
      <c r="AL62" s="100">
        <v>8</v>
      </c>
      <c r="AM62" s="100">
        <v>13353.6</v>
      </c>
      <c r="AN62" s="100">
        <v>7</v>
      </c>
      <c r="AO62" s="100">
        <v>11684.4</v>
      </c>
      <c r="AP62" s="100">
        <v>6</v>
      </c>
      <c r="AQ62" s="100">
        <v>10015.200000000001</v>
      </c>
      <c r="AR62" s="100">
        <v>5</v>
      </c>
      <c r="AS62" s="100">
        <v>8346</v>
      </c>
      <c r="AT62" s="100">
        <v>8</v>
      </c>
      <c r="AU62" s="100">
        <v>13353.6</v>
      </c>
      <c r="AV62" s="100">
        <v>5</v>
      </c>
      <c r="AW62" s="100">
        <v>8346</v>
      </c>
      <c r="AX62" s="100">
        <v>7</v>
      </c>
      <c r="AY62" s="100">
        <v>11684.4</v>
      </c>
      <c r="AZ62" s="100">
        <v>7</v>
      </c>
      <c r="BA62" s="100">
        <v>11684.4</v>
      </c>
      <c r="BB62" s="100">
        <v>6</v>
      </c>
      <c r="BC62" s="100">
        <v>10015.200000000001</v>
      </c>
      <c r="BD62" s="100">
        <v>11</v>
      </c>
      <c r="BE62" s="100">
        <v>18361.2</v>
      </c>
      <c r="BF62" s="100">
        <v>6</v>
      </c>
      <c r="BG62" s="100">
        <v>10015.200000000001</v>
      </c>
      <c r="BH62" s="100">
        <v>8</v>
      </c>
      <c r="BI62" s="100">
        <v>13353.6</v>
      </c>
      <c r="BJ62" s="100">
        <v>2.4782608695652177</v>
      </c>
      <c r="BK62" s="100">
        <v>4136.7130434782612</v>
      </c>
      <c r="BL62" s="100">
        <v>5</v>
      </c>
      <c r="BM62" s="100">
        <v>8346</v>
      </c>
      <c r="BN62" s="100">
        <v>7</v>
      </c>
      <c r="BO62" s="100">
        <v>11684.4</v>
      </c>
      <c r="BP62" s="100">
        <v>9</v>
      </c>
      <c r="BQ62" s="100">
        <v>15022.800000000001</v>
      </c>
      <c r="BR62" s="100">
        <v>8</v>
      </c>
      <c r="BS62" s="100">
        <v>13353.6</v>
      </c>
      <c r="BT62" s="100">
        <v>11</v>
      </c>
      <c r="BU62" s="100">
        <v>18361.2</v>
      </c>
      <c r="BV62" s="100">
        <v>4.0909090909090917</v>
      </c>
      <c r="BW62" s="100">
        <v>6828.5454545454559</v>
      </c>
      <c r="BX62" s="100">
        <v>8</v>
      </c>
      <c r="BY62" s="100">
        <v>13353.6</v>
      </c>
      <c r="BZ62" s="100">
        <v>8</v>
      </c>
      <c r="CA62" s="100">
        <v>13353.6</v>
      </c>
      <c r="CB62" s="100">
        <v>10</v>
      </c>
      <c r="CC62" s="100">
        <v>16692</v>
      </c>
      <c r="CD62" s="100">
        <v>3.5622317596566524</v>
      </c>
      <c r="CE62" s="100">
        <v>5946.0772532188839</v>
      </c>
      <c r="CF62" s="100">
        <v>8</v>
      </c>
      <c r="CG62" s="100">
        <v>13353.6</v>
      </c>
      <c r="CH62" s="100">
        <v>4.1226993865030686</v>
      </c>
      <c r="CI62" s="100">
        <v>6881.609815950922</v>
      </c>
      <c r="CJ62" s="100">
        <v>7.9069767441860463</v>
      </c>
      <c r="CK62" s="100">
        <v>13198.325581395349</v>
      </c>
      <c r="CL62" s="100">
        <v>7.9958893282432095</v>
      </c>
      <c r="CM62" s="100">
        <v>13346.738466703566</v>
      </c>
      <c r="CN62" s="100">
        <v>7.6836158192090398</v>
      </c>
      <c r="CO62" s="100">
        <v>12825.491525423729</v>
      </c>
      <c r="CP62" s="100">
        <v>0.63782886093113111</v>
      </c>
      <c r="CQ62" s="100">
        <v>1064.6639346662441</v>
      </c>
      <c r="CR62" s="100">
        <v>4.4590163934426226</v>
      </c>
      <c r="CS62" s="100">
        <v>7442.9901639344262</v>
      </c>
      <c r="CT62" s="100">
        <v>10</v>
      </c>
      <c r="CU62" s="100">
        <v>16692</v>
      </c>
    </row>
    <row r="63" spans="2:99">
      <c r="C63" s="99" t="s">
        <v>229</v>
      </c>
      <c r="D63" s="100">
        <v>8</v>
      </c>
      <c r="E63" s="100">
        <v>6364.8</v>
      </c>
      <c r="F63" s="100">
        <v>9</v>
      </c>
      <c r="G63" s="100">
        <v>7160.4000000000005</v>
      </c>
      <c r="H63" s="100">
        <v>11</v>
      </c>
      <c r="I63" s="100">
        <v>8751.6</v>
      </c>
      <c r="J63" s="100">
        <v>8</v>
      </c>
      <c r="K63" s="100">
        <v>6364.8</v>
      </c>
      <c r="L63" s="100">
        <v>8</v>
      </c>
      <c r="M63" s="100">
        <v>6364.8</v>
      </c>
      <c r="N63" s="100">
        <v>7.6561661919970136</v>
      </c>
      <c r="O63" s="100">
        <v>6091.2458223528238</v>
      </c>
      <c r="P63" s="100">
        <v>6</v>
      </c>
      <c r="Q63" s="100">
        <v>4773.6000000000004</v>
      </c>
      <c r="R63" s="100">
        <v>5.8160658238648519</v>
      </c>
      <c r="S63" s="100">
        <v>4627.2619694668765</v>
      </c>
      <c r="T63" s="100">
        <v>6</v>
      </c>
      <c r="U63" s="100">
        <v>4773.6000000000004</v>
      </c>
      <c r="V63" s="100">
        <v>7</v>
      </c>
      <c r="W63" s="100">
        <v>5569.2</v>
      </c>
      <c r="X63" s="100">
        <v>7.3518894460376503</v>
      </c>
      <c r="Y63" s="100">
        <v>5849.1632432675551</v>
      </c>
      <c r="Z63" s="100">
        <v>9</v>
      </c>
      <c r="AA63" s="100">
        <v>7160.4000000000005</v>
      </c>
      <c r="AB63" s="100">
        <v>8</v>
      </c>
      <c r="AC63" s="100">
        <v>6364.8</v>
      </c>
      <c r="AD63" s="100">
        <v>7</v>
      </c>
      <c r="AE63" s="100">
        <v>5569.2</v>
      </c>
      <c r="AF63" s="100">
        <v>8.5506710125000058</v>
      </c>
      <c r="AG63" s="100">
        <v>6802.9138575450052</v>
      </c>
      <c r="AH63" s="100">
        <v>7</v>
      </c>
      <c r="AI63" s="100">
        <v>5569.2</v>
      </c>
      <c r="AJ63" s="100">
        <v>9</v>
      </c>
      <c r="AK63" s="100">
        <v>7160.4000000000005</v>
      </c>
      <c r="AL63" s="100">
        <v>4.8555751793169364</v>
      </c>
      <c r="AM63" s="100">
        <v>3863.0956126645547</v>
      </c>
      <c r="AN63" s="100">
        <v>7</v>
      </c>
      <c r="AO63" s="100">
        <v>5569.2</v>
      </c>
      <c r="AP63" s="100">
        <v>7</v>
      </c>
      <c r="AQ63" s="100">
        <v>5569.2</v>
      </c>
      <c r="AR63" s="100">
        <v>6</v>
      </c>
      <c r="AS63" s="100">
        <v>4773.6000000000004</v>
      </c>
      <c r="AT63" s="100">
        <v>8</v>
      </c>
      <c r="AU63" s="100">
        <v>6364.8</v>
      </c>
      <c r="AV63" s="100">
        <v>6</v>
      </c>
      <c r="AW63" s="100">
        <v>4773.6000000000004</v>
      </c>
      <c r="AX63" s="100">
        <v>8</v>
      </c>
      <c r="AY63" s="100">
        <v>6364.8</v>
      </c>
      <c r="AZ63" s="100">
        <v>2.6930905090825972</v>
      </c>
      <c r="BA63" s="100">
        <v>2142.6228090261143</v>
      </c>
      <c r="BB63" s="100">
        <v>6</v>
      </c>
      <c r="BC63" s="100">
        <v>4773.6000000000004</v>
      </c>
      <c r="BD63" s="100">
        <v>10</v>
      </c>
      <c r="BE63" s="100">
        <v>7956</v>
      </c>
      <c r="BF63" s="100">
        <v>7</v>
      </c>
      <c r="BG63" s="100">
        <v>5569.2</v>
      </c>
      <c r="BH63" s="100">
        <v>2.908015997739287</v>
      </c>
      <c r="BI63" s="100">
        <v>2313.6175278013766</v>
      </c>
      <c r="BJ63" s="100">
        <v>7</v>
      </c>
      <c r="BK63" s="100">
        <v>5569.2</v>
      </c>
      <c r="BL63" s="100">
        <v>5</v>
      </c>
      <c r="BM63" s="100">
        <v>3978</v>
      </c>
      <c r="BN63" s="100">
        <v>9</v>
      </c>
      <c r="BO63" s="100">
        <v>7160.4000000000005</v>
      </c>
      <c r="BP63" s="100">
        <v>9</v>
      </c>
      <c r="BQ63" s="100">
        <v>7160.4000000000005</v>
      </c>
      <c r="BR63" s="100">
        <v>0.9872583414148709</v>
      </c>
      <c r="BS63" s="100">
        <v>785.46273642967128</v>
      </c>
      <c r="BT63" s="100">
        <v>8.9035187890420779</v>
      </c>
      <c r="BU63" s="100">
        <v>7083.6395485618777</v>
      </c>
      <c r="BV63" s="100">
        <v>9</v>
      </c>
      <c r="BW63" s="100">
        <v>7160.4000000000005</v>
      </c>
      <c r="BX63" s="100">
        <v>7</v>
      </c>
      <c r="BY63" s="100">
        <v>5569.2</v>
      </c>
      <c r="BZ63" s="100">
        <v>9</v>
      </c>
      <c r="CA63" s="100">
        <v>7160.4000000000005</v>
      </c>
      <c r="CB63" s="100">
        <v>6.2982275198052804</v>
      </c>
      <c r="CC63" s="100">
        <v>5010.8698147570813</v>
      </c>
      <c r="CD63" s="100">
        <v>2.4361465226060579E-16</v>
      </c>
      <c r="CE63" s="100">
        <v>1.9381981733853798E-13</v>
      </c>
      <c r="CF63" s="100">
        <v>8</v>
      </c>
      <c r="CG63" s="100">
        <v>6364.8</v>
      </c>
      <c r="CH63" s="100">
        <v>6</v>
      </c>
      <c r="CI63" s="100">
        <v>4773.6000000000004</v>
      </c>
      <c r="CJ63" s="100">
        <v>10</v>
      </c>
      <c r="CK63" s="100">
        <v>7956</v>
      </c>
      <c r="CL63" s="100">
        <v>11</v>
      </c>
      <c r="CM63" s="100">
        <v>8751.6</v>
      </c>
      <c r="CN63" s="100">
        <v>9</v>
      </c>
      <c r="CO63" s="100">
        <v>7160.4000000000005</v>
      </c>
      <c r="CP63" s="100">
        <v>10</v>
      </c>
      <c r="CQ63" s="100">
        <v>7956</v>
      </c>
      <c r="CR63" s="100">
        <v>6</v>
      </c>
      <c r="CS63" s="100">
        <v>4773.6000000000004</v>
      </c>
      <c r="CT63" s="100">
        <v>7.993922685688867</v>
      </c>
      <c r="CU63" s="100">
        <v>6359.9648887340627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9</v>
      </c>
      <c r="G64" s="100">
        <v>9082.7999999999993</v>
      </c>
      <c r="H64" s="100">
        <v>11</v>
      </c>
      <c r="I64" s="100">
        <v>11101.199999999997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6.8905495727973127</v>
      </c>
      <c r="O64" s="100">
        <v>6953.9426288670466</v>
      </c>
      <c r="P64" s="100">
        <v>6</v>
      </c>
      <c r="Q64" s="100">
        <v>6055.1999999999989</v>
      </c>
      <c r="R64" s="100">
        <v>6.7854101278423276</v>
      </c>
      <c r="S64" s="100">
        <v>6847.8359010184759</v>
      </c>
      <c r="T64" s="100">
        <v>6</v>
      </c>
      <c r="U64" s="100">
        <v>6055.1999999999989</v>
      </c>
      <c r="V64" s="100">
        <v>6</v>
      </c>
      <c r="W64" s="100">
        <v>6055.1999999999989</v>
      </c>
      <c r="X64" s="100">
        <v>6.4329032652829445</v>
      </c>
      <c r="Y64" s="100">
        <v>6492.0859753235463</v>
      </c>
      <c r="Z64" s="100">
        <v>8</v>
      </c>
      <c r="AA64" s="100">
        <v>8073.5999999999985</v>
      </c>
      <c r="AB64" s="100">
        <v>8</v>
      </c>
      <c r="AC64" s="100">
        <v>8073.5999999999985</v>
      </c>
      <c r="AD64" s="100">
        <v>7</v>
      </c>
      <c r="AE64" s="100">
        <v>7064.3999999999987</v>
      </c>
      <c r="AF64" s="100">
        <v>8.5506710125000058</v>
      </c>
      <c r="AG64" s="100">
        <v>8629.337185815004</v>
      </c>
      <c r="AH64" s="100">
        <v>7</v>
      </c>
      <c r="AI64" s="100">
        <v>7064.3999999999987</v>
      </c>
      <c r="AJ64" s="100">
        <v>9</v>
      </c>
      <c r="AK64" s="100">
        <v>9082.7999999999993</v>
      </c>
      <c r="AL64" s="100">
        <v>5.3950835325743745</v>
      </c>
      <c r="AM64" s="100">
        <v>5444.7183010740573</v>
      </c>
      <c r="AN64" s="100">
        <v>7</v>
      </c>
      <c r="AO64" s="100">
        <v>7064.3999999999987</v>
      </c>
      <c r="AP64" s="100">
        <v>6</v>
      </c>
      <c r="AQ64" s="100">
        <v>6055.1999999999989</v>
      </c>
      <c r="AR64" s="100">
        <v>5</v>
      </c>
      <c r="AS64" s="100">
        <v>5045.9999999999991</v>
      </c>
      <c r="AT64" s="100">
        <v>8</v>
      </c>
      <c r="AU64" s="100">
        <v>8073.5999999999985</v>
      </c>
      <c r="AV64" s="100">
        <v>6</v>
      </c>
      <c r="AW64" s="100">
        <v>6055.1999999999989</v>
      </c>
      <c r="AX64" s="100">
        <v>6</v>
      </c>
      <c r="AY64" s="100">
        <v>6055.1999999999989</v>
      </c>
      <c r="AZ64" s="100">
        <v>2.6930905090825972</v>
      </c>
      <c r="BA64" s="100">
        <v>2717.8669417661567</v>
      </c>
      <c r="BB64" s="100">
        <v>7</v>
      </c>
      <c r="BC64" s="100">
        <v>7064.3999999999987</v>
      </c>
      <c r="BD64" s="100">
        <v>10</v>
      </c>
      <c r="BE64" s="100">
        <v>10091.999999999998</v>
      </c>
      <c r="BF64" s="100">
        <v>6</v>
      </c>
      <c r="BG64" s="100">
        <v>6055.1999999999989</v>
      </c>
      <c r="BH64" s="100">
        <v>3.3234468545591849</v>
      </c>
      <c r="BI64" s="100">
        <v>3354.0225656211287</v>
      </c>
      <c r="BJ64" s="100">
        <v>7</v>
      </c>
      <c r="BK64" s="100">
        <v>7064.3999999999987</v>
      </c>
      <c r="BL64" s="100">
        <v>6</v>
      </c>
      <c r="BM64" s="100">
        <v>6055.1999999999989</v>
      </c>
      <c r="BN64" s="100">
        <v>9</v>
      </c>
      <c r="BO64" s="100">
        <v>9082.7999999999993</v>
      </c>
      <c r="BP64" s="100">
        <v>10</v>
      </c>
      <c r="BQ64" s="100">
        <v>10091.999999999998</v>
      </c>
      <c r="BR64" s="100">
        <v>0.9872583414148709</v>
      </c>
      <c r="BS64" s="100">
        <v>996.34111815588756</v>
      </c>
      <c r="BT64" s="100">
        <v>8.1615588899552378</v>
      </c>
      <c r="BU64" s="100">
        <v>8236.6452317428248</v>
      </c>
      <c r="BV64" s="100">
        <v>9</v>
      </c>
      <c r="BW64" s="100">
        <v>9082.7999999999993</v>
      </c>
      <c r="BX64" s="100">
        <v>8</v>
      </c>
      <c r="BY64" s="100">
        <v>8073.5999999999985</v>
      </c>
      <c r="BZ64" s="100">
        <v>9</v>
      </c>
      <c r="CA64" s="100">
        <v>9082.7999999999993</v>
      </c>
      <c r="CB64" s="100">
        <v>5.668404767824752</v>
      </c>
      <c r="CC64" s="100">
        <v>5720.5540916887385</v>
      </c>
      <c r="CD64" s="100">
        <v>2.0301221021717148E-16</v>
      </c>
      <c r="CE64" s="100">
        <v>2.0487992255116942E-13</v>
      </c>
      <c r="CF64" s="100">
        <v>8</v>
      </c>
      <c r="CG64" s="100">
        <v>8073.5999999999985</v>
      </c>
      <c r="CH64" s="100">
        <v>5</v>
      </c>
      <c r="CI64" s="100">
        <v>5045.9999999999991</v>
      </c>
      <c r="CJ64" s="100">
        <v>9</v>
      </c>
      <c r="CK64" s="100">
        <v>9082.7999999999993</v>
      </c>
      <c r="CL64" s="100">
        <v>10</v>
      </c>
      <c r="CM64" s="100">
        <v>10091.999999999998</v>
      </c>
      <c r="CN64" s="100">
        <v>9</v>
      </c>
      <c r="CO64" s="100">
        <v>9082.7999999999993</v>
      </c>
      <c r="CP64" s="100">
        <v>10</v>
      </c>
      <c r="CQ64" s="100">
        <v>10091.999999999998</v>
      </c>
      <c r="CR64" s="100">
        <v>5</v>
      </c>
      <c r="CS64" s="100">
        <v>5045.9999999999991</v>
      </c>
      <c r="CT64" s="100">
        <v>7.993922685688867</v>
      </c>
      <c r="CU64" s="100">
        <v>8067.4667743972032</v>
      </c>
    </row>
    <row r="65" spans="2:99">
      <c r="C65" s="99" t="s">
        <v>231</v>
      </c>
      <c r="D65" s="100">
        <v>8</v>
      </c>
      <c r="E65" s="100">
        <v>8208</v>
      </c>
      <c r="F65" s="100">
        <v>9</v>
      </c>
      <c r="G65" s="100">
        <v>9234</v>
      </c>
      <c r="H65" s="100">
        <v>11</v>
      </c>
      <c r="I65" s="100">
        <v>11286</v>
      </c>
      <c r="J65" s="100">
        <v>8</v>
      </c>
      <c r="K65" s="100">
        <v>8208</v>
      </c>
      <c r="L65" s="100">
        <v>9</v>
      </c>
      <c r="M65" s="100">
        <v>9234</v>
      </c>
      <c r="N65" s="100">
        <v>6.8905495727973127</v>
      </c>
      <c r="O65" s="100">
        <v>7069.7038616900427</v>
      </c>
      <c r="P65" s="100">
        <v>6</v>
      </c>
      <c r="Q65" s="100">
        <v>6156</v>
      </c>
      <c r="R65" s="100">
        <v>5.8160658238648519</v>
      </c>
      <c r="S65" s="100">
        <v>5967.2835352853381</v>
      </c>
      <c r="T65" s="100">
        <v>6</v>
      </c>
      <c r="U65" s="100">
        <v>6156</v>
      </c>
      <c r="V65" s="100">
        <v>7</v>
      </c>
      <c r="W65" s="100">
        <v>7182</v>
      </c>
      <c r="X65" s="100">
        <v>7.3518894460376503</v>
      </c>
      <c r="Y65" s="100">
        <v>7543.0385716346291</v>
      </c>
      <c r="Z65" s="100">
        <v>8</v>
      </c>
      <c r="AA65" s="100">
        <v>8208</v>
      </c>
      <c r="AB65" s="100">
        <v>8</v>
      </c>
      <c r="AC65" s="100">
        <v>8208</v>
      </c>
      <c r="AD65" s="100">
        <v>8</v>
      </c>
      <c r="AE65" s="100">
        <v>8208</v>
      </c>
      <c r="AF65" s="100">
        <v>9.5007455694444509</v>
      </c>
      <c r="AG65" s="100">
        <v>9747.7649542500058</v>
      </c>
      <c r="AH65" s="100">
        <v>7</v>
      </c>
      <c r="AI65" s="100">
        <v>7182</v>
      </c>
      <c r="AJ65" s="100">
        <v>10</v>
      </c>
      <c r="AK65" s="100">
        <v>10260</v>
      </c>
      <c r="AL65" s="100">
        <v>5.3950835325743745</v>
      </c>
      <c r="AM65" s="100">
        <v>5535.3557044213085</v>
      </c>
      <c r="AN65" s="100">
        <v>7</v>
      </c>
      <c r="AO65" s="100">
        <v>7182</v>
      </c>
      <c r="AP65" s="100">
        <v>6</v>
      </c>
      <c r="AQ65" s="100">
        <v>6156</v>
      </c>
      <c r="AR65" s="100">
        <v>5</v>
      </c>
      <c r="AS65" s="100">
        <v>5130</v>
      </c>
      <c r="AT65" s="100">
        <v>9</v>
      </c>
      <c r="AU65" s="100">
        <v>9234</v>
      </c>
      <c r="AV65" s="100">
        <v>5</v>
      </c>
      <c r="AW65" s="100">
        <v>5130</v>
      </c>
      <c r="AX65" s="100">
        <v>7</v>
      </c>
      <c r="AY65" s="100">
        <v>7182</v>
      </c>
      <c r="AZ65" s="100">
        <v>2.6930905090825972</v>
      </c>
      <c r="BA65" s="100">
        <v>2763.1108623187447</v>
      </c>
      <c r="BB65" s="100">
        <v>6</v>
      </c>
      <c r="BC65" s="100">
        <v>6156</v>
      </c>
      <c r="BD65" s="100">
        <v>11</v>
      </c>
      <c r="BE65" s="100">
        <v>11286</v>
      </c>
      <c r="BF65" s="100">
        <v>6</v>
      </c>
      <c r="BG65" s="100">
        <v>6156</v>
      </c>
      <c r="BH65" s="100">
        <v>3.3234468545591849</v>
      </c>
      <c r="BI65" s="100">
        <v>3409.8564727777239</v>
      </c>
      <c r="BJ65" s="100">
        <v>7</v>
      </c>
      <c r="BK65" s="100">
        <v>7182</v>
      </c>
      <c r="BL65" s="100">
        <v>6</v>
      </c>
      <c r="BM65" s="100">
        <v>6156</v>
      </c>
      <c r="BN65" s="100">
        <v>9</v>
      </c>
      <c r="BO65" s="100">
        <v>9234</v>
      </c>
      <c r="BP65" s="100">
        <v>11</v>
      </c>
      <c r="BQ65" s="100">
        <v>11286</v>
      </c>
      <c r="BR65" s="100">
        <v>0.9872583414148709</v>
      </c>
      <c r="BS65" s="100">
        <v>1012.9270582916575</v>
      </c>
      <c r="BT65" s="100">
        <v>7.4195989908683977</v>
      </c>
      <c r="BU65" s="100">
        <v>7612.5085646309763</v>
      </c>
      <c r="BV65" s="100">
        <v>10</v>
      </c>
      <c r="BW65" s="100">
        <v>10260</v>
      </c>
      <c r="BX65" s="100">
        <v>8</v>
      </c>
      <c r="BY65" s="100">
        <v>8208</v>
      </c>
      <c r="BZ65" s="100">
        <v>9</v>
      </c>
      <c r="CA65" s="100">
        <v>9234</v>
      </c>
      <c r="CB65" s="100">
        <v>5.668404767824752</v>
      </c>
      <c r="CC65" s="100">
        <v>5815.7832917881951</v>
      </c>
      <c r="CD65" s="100">
        <v>2.0301221021717148E-16</v>
      </c>
      <c r="CE65" s="100">
        <v>2.0829052768281793E-13</v>
      </c>
      <c r="CF65" s="100">
        <v>7</v>
      </c>
      <c r="CG65" s="100">
        <v>7182</v>
      </c>
      <c r="CH65" s="100">
        <v>5</v>
      </c>
      <c r="CI65" s="100">
        <v>5130</v>
      </c>
      <c r="CJ65" s="100">
        <v>9</v>
      </c>
      <c r="CK65" s="100">
        <v>9234</v>
      </c>
      <c r="CL65" s="100">
        <v>10</v>
      </c>
      <c r="CM65" s="100">
        <v>10260</v>
      </c>
      <c r="CN65" s="100">
        <v>8</v>
      </c>
      <c r="CO65" s="100">
        <v>8208</v>
      </c>
      <c r="CP65" s="100">
        <v>11</v>
      </c>
      <c r="CQ65" s="100">
        <v>11286</v>
      </c>
      <c r="CR65" s="100">
        <v>6</v>
      </c>
      <c r="CS65" s="100">
        <v>6156</v>
      </c>
      <c r="CT65" s="100">
        <v>8.7933149542577542</v>
      </c>
      <c r="CU65" s="100">
        <v>9021.9411430684559</v>
      </c>
    </row>
    <row r="66" spans="2:99">
      <c r="C66" s="99" t="s">
        <v>232</v>
      </c>
      <c r="D66" s="100">
        <v>7</v>
      </c>
      <c r="E66" s="100">
        <v>8332.7999999999993</v>
      </c>
      <c r="F66" s="100">
        <v>9</v>
      </c>
      <c r="G66" s="100">
        <v>10713.599999999999</v>
      </c>
      <c r="H66" s="100">
        <v>10</v>
      </c>
      <c r="I66" s="100">
        <v>11903.999999999998</v>
      </c>
      <c r="J66" s="100">
        <v>9</v>
      </c>
      <c r="K66" s="100">
        <v>10713.599999999999</v>
      </c>
      <c r="L66" s="100">
        <v>9</v>
      </c>
      <c r="M66" s="100">
        <v>10713.599999999999</v>
      </c>
      <c r="N66" s="100">
        <v>6.8905495727973127</v>
      </c>
      <c r="O66" s="100">
        <v>8202.5102114579204</v>
      </c>
      <c r="P66" s="100">
        <v>6</v>
      </c>
      <c r="Q66" s="100">
        <v>7142.4</v>
      </c>
      <c r="R66" s="100">
        <v>5.8160658238648519</v>
      </c>
      <c r="S66" s="100">
        <v>6923.4447567287189</v>
      </c>
      <c r="T66" s="100">
        <v>6</v>
      </c>
      <c r="U66" s="100">
        <v>7142.4</v>
      </c>
      <c r="V66" s="100">
        <v>6</v>
      </c>
      <c r="W66" s="100">
        <v>7142.4</v>
      </c>
      <c r="X66" s="100">
        <v>6.4329032652829445</v>
      </c>
      <c r="Y66" s="100">
        <v>7657.7280469928164</v>
      </c>
      <c r="Z66" s="100">
        <v>8</v>
      </c>
      <c r="AA66" s="100">
        <v>9523.1999999999989</v>
      </c>
      <c r="AB66" s="100">
        <v>8</v>
      </c>
      <c r="AC66" s="100">
        <v>9523.1999999999989</v>
      </c>
      <c r="AD66" s="100">
        <v>8</v>
      </c>
      <c r="AE66" s="100">
        <v>9523.1999999999989</v>
      </c>
      <c r="AF66" s="100">
        <v>8.5506710125000058</v>
      </c>
      <c r="AG66" s="100">
        <v>10178.718773280007</v>
      </c>
      <c r="AH66" s="100">
        <v>6</v>
      </c>
      <c r="AI66" s="100">
        <v>7142.4</v>
      </c>
      <c r="AJ66" s="100">
        <v>9</v>
      </c>
      <c r="AK66" s="100">
        <v>10713.599999999999</v>
      </c>
      <c r="AL66" s="100">
        <v>5.3950835325743745</v>
      </c>
      <c r="AM66" s="100">
        <v>6422.3074371765342</v>
      </c>
      <c r="AN66" s="100">
        <v>7</v>
      </c>
      <c r="AO66" s="100">
        <v>8332.7999999999993</v>
      </c>
      <c r="AP66" s="100">
        <v>6</v>
      </c>
      <c r="AQ66" s="100">
        <v>7142.4</v>
      </c>
      <c r="AR66" s="100">
        <v>6</v>
      </c>
      <c r="AS66" s="100">
        <v>7142.4</v>
      </c>
      <c r="AT66" s="100">
        <v>8</v>
      </c>
      <c r="AU66" s="100">
        <v>9523.1999999999989</v>
      </c>
      <c r="AV66" s="100">
        <v>6</v>
      </c>
      <c r="AW66" s="100">
        <v>7142.4</v>
      </c>
      <c r="AX66" s="100">
        <v>7</v>
      </c>
      <c r="AY66" s="100">
        <v>8332.7999999999993</v>
      </c>
      <c r="AZ66" s="100">
        <v>2.6930905090825972</v>
      </c>
      <c r="BA66" s="100">
        <v>3205.8549420119234</v>
      </c>
      <c r="BB66" s="100">
        <v>6</v>
      </c>
      <c r="BC66" s="100">
        <v>7142.4</v>
      </c>
      <c r="BD66" s="100">
        <v>10</v>
      </c>
      <c r="BE66" s="100">
        <v>11903.999999999998</v>
      </c>
      <c r="BF66" s="100">
        <v>5</v>
      </c>
      <c r="BG66" s="100">
        <v>5951.9999999999991</v>
      </c>
      <c r="BH66" s="100">
        <v>3.7388777113790832</v>
      </c>
      <c r="BI66" s="100">
        <v>4450.7600276256599</v>
      </c>
      <c r="BJ66" s="100">
        <v>7</v>
      </c>
      <c r="BK66" s="100">
        <v>8332.7999999999993</v>
      </c>
      <c r="BL66" s="100">
        <v>5</v>
      </c>
      <c r="BM66" s="100">
        <v>5951.9999999999991</v>
      </c>
      <c r="BN66" s="100">
        <v>9</v>
      </c>
      <c r="BO66" s="100">
        <v>10713.599999999999</v>
      </c>
      <c r="BP66" s="100">
        <v>10</v>
      </c>
      <c r="BQ66" s="100">
        <v>11903.999999999998</v>
      </c>
      <c r="BR66" s="100">
        <v>0.9872583414148709</v>
      </c>
      <c r="BS66" s="100">
        <v>1175.2323296202621</v>
      </c>
      <c r="BT66" s="100">
        <v>8.1615588899552378</v>
      </c>
      <c r="BU66" s="100">
        <v>9715.5197026027145</v>
      </c>
      <c r="BV66" s="100">
        <v>10</v>
      </c>
      <c r="BW66" s="100">
        <v>11903.999999999998</v>
      </c>
      <c r="BX66" s="100">
        <v>7</v>
      </c>
      <c r="BY66" s="100">
        <v>8332.7999999999993</v>
      </c>
      <c r="BZ66" s="100">
        <v>8</v>
      </c>
      <c r="CA66" s="100">
        <v>9523.1999999999989</v>
      </c>
      <c r="CB66" s="100">
        <v>6.2982275198052804</v>
      </c>
      <c r="CC66" s="100">
        <v>7497.4100395762052</v>
      </c>
      <c r="CD66" s="100">
        <v>2.4361465226060579E-16</v>
      </c>
      <c r="CE66" s="100">
        <v>2.899988820510251E-13</v>
      </c>
      <c r="CF66" s="100">
        <v>8</v>
      </c>
      <c r="CG66" s="100">
        <v>9523.1999999999989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10</v>
      </c>
      <c r="CM66" s="100">
        <v>11903.999999999998</v>
      </c>
      <c r="CN66" s="100">
        <v>9</v>
      </c>
      <c r="CO66" s="100">
        <v>10713.599999999999</v>
      </c>
      <c r="CP66" s="100">
        <v>11</v>
      </c>
      <c r="CQ66" s="100">
        <v>13094.399999999998</v>
      </c>
      <c r="CR66" s="100">
        <v>6</v>
      </c>
      <c r="CS66" s="100">
        <v>7142.4</v>
      </c>
      <c r="CT66" s="100">
        <v>8.7933149542577542</v>
      </c>
      <c r="CU66" s="100">
        <v>10467.56212154843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10</v>
      </c>
      <c r="G67" s="100">
        <v>11232</v>
      </c>
      <c r="H67" s="100">
        <v>10</v>
      </c>
      <c r="I67" s="100">
        <v>11232</v>
      </c>
      <c r="J67" s="100">
        <v>9</v>
      </c>
      <c r="K67" s="100">
        <v>10108.800000000001</v>
      </c>
      <c r="L67" s="100">
        <v>10</v>
      </c>
      <c r="M67" s="100">
        <v>11232</v>
      </c>
      <c r="N67" s="100">
        <v>7.6561661919970136</v>
      </c>
      <c r="O67" s="100">
        <v>8599.4058668510461</v>
      </c>
      <c r="P67" s="100">
        <v>6</v>
      </c>
      <c r="Q67" s="100">
        <v>6739.2000000000007</v>
      </c>
      <c r="R67" s="100">
        <v>6.7854101278423276</v>
      </c>
      <c r="S67" s="100">
        <v>7621.3726555925023</v>
      </c>
      <c r="T67" s="100">
        <v>6</v>
      </c>
      <c r="U67" s="100">
        <v>6739.2000000000007</v>
      </c>
      <c r="V67" s="100">
        <v>6</v>
      </c>
      <c r="W67" s="100">
        <v>6739.2000000000007</v>
      </c>
      <c r="X67" s="100">
        <v>7.3518894460376503</v>
      </c>
      <c r="Y67" s="100">
        <v>8257.6422257894883</v>
      </c>
      <c r="Z67" s="100">
        <v>7</v>
      </c>
      <c r="AA67" s="100">
        <v>7862.4000000000005</v>
      </c>
      <c r="AB67" s="100">
        <v>7</v>
      </c>
      <c r="AC67" s="100">
        <v>7862.4000000000005</v>
      </c>
      <c r="AD67" s="100">
        <v>8</v>
      </c>
      <c r="AE67" s="100">
        <v>8985.6</v>
      </c>
      <c r="AF67" s="100">
        <v>9.5007455694444509</v>
      </c>
      <c r="AG67" s="100">
        <v>10671.237423600007</v>
      </c>
      <c r="AH67" s="100">
        <v>6</v>
      </c>
      <c r="AI67" s="100">
        <v>6739.2000000000007</v>
      </c>
      <c r="AJ67" s="100">
        <v>8</v>
      </c>
      <c r="AK67" s="100">
        <v>8985.6</v>
      </c>
      <c r="AL67" s="100">
        <v>4.8555751793169364</v>
      </c>
      <c r="AM67" s="100">
        <v>5453.7820414087828</v>
      </c>
      <c r="AN67" s="100">
        <v>7</v>
      </c>
      <c r="AO67" s="100">
        <v>7862.4000000000005</v>
      </c>
      <c r="AP67" s="100">
        <v>6</v>
      </c>
      <c r="AQ67" s="100">
        <v>6739.2000000000007</v>
      </c>
      <c r="AR67" s="100">
        <v>6</v>
      </c>
      <c r="AS67" s="100">
        <v>6739.2000000000007</v>
      </c>
      <c r="AT67" s="100">
        <v>8</v>
      </c>
      <c r="AU67" s="100">
        <v>8985.6</v>
      </c>
      <c r="AV67" s="100">
        <v>6</v>
      </c>
      <c r="AW67" s="100">
        <v>6739.2000000000007</v>
      </c>
      <c r="AX67" s="100">
        <v>7</v>
      </c>
      <c r="AY67" s="100">
        <v>7862.4000000000005</v>
      </c>
      <c r="AZ67" s="100">
        <v>2.6930905090825972</v>
      </c>
      <c r="BA67" s="100">
        <v>3024.8792598015734</v>
      </c>
      <c r="BB67" s="100">
        <v>7</v>
      </c>
      <c r="BC67" s="100">
        <v>7862.4000000000005</v>
      </c>
      <c r="BD67" s="100">
        <v>10</v>
      </c>
      <c r="BE67" s="100">
        <v>11232</v>
      </c>
      <c r="BF67" s="100">
        <v>6</v>
      </c>
      <c r="BG67" s="100">
        <v>6739.2000000000007</v>
      </c>
      <c r="BH67" s="100">
        <v>3.3234468545591849</v>
      </c>
      <c r="BI67" s="100">
        <v>3732.8955070408765</v>
      </c>
      <c r="BJ67" s="100">
        <v>7</v>
      </c>
      <c r="BK67" s="100">
        <v>7862.4000000000005</v>
      </c>
      <c r="BL67" s="100">
        <v>6</v>
      </c>
      <c r="BM67" s="100">
        <v>6739.2000000000007</v>
      </c>
      <c r="BN67" s="100">
        <v>9</v>
      </c>
      <c r="BO67" s="100">
        <v>10108.800000000001</v>
      </c>
      <c r="BP67" s="100">
        <v>9</v>
      </c>
      <c r="BQ67" s="100">
        <v>10108.800000000001</v>
      </c>
      <c r="BR67" s="100">
        <v>0.863851048738012</v>
      </c>
      <c r="BS67" s="100">
        <v>970.27749794253509</v>
      </c>
      <c r="BT67" s="100">
        <v>7.4195989908683977</v>
      </c>
      <c r="BU67" s="100">
        <v>8333.6935865433843</v>
      </c>
      <c r="BV67" s="100">
        <v>10</v>
      </c>
      <c r="BW67" s="100">
        <v>11232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5.668404767824752</v>
      </c>
      <c r="CC67" s="100">
        <v>6366.7522352207616</v>
      </c>
      <c r="CD67" s="100">
        <v>2.4361465226060579E-16</v>
      </c>
      <c r="CE67" s="100">
        <v>2.7362797741911243E-13</v>
      </c>
      <c r="CF67" s="100">
        <v>7</v>
      </c>
      <c r="CG67" s="100">
        <v>7862.4000000000005</v>
      </c>
      <c r="CH67" s="100">
        <v>5</v>
      </c>
      <c r="CI67" s="100">
        <v>5616</v>
      </c>
      <c r="CJ67" s="100">
        <v>10</v>
      </c>
      <c r="CK67" s="100">
        <v>11232</v>
      </c>
      <c r="CL67" s="100">
        <v>11</v>
      </c>
      <c r="CM67" s="100">
        <v>12355.2</v>
      </c>
      <c r="CN67" s="100">
        <v>8</v>
      </c>
      <c r="CO67" s="100">
        <v>8985.6</v>
      </c>
      <c r="CP67" s="100">
        <v>10</v>
      </c>
      <c r="CQ67" s="100">
        <v>11232</v>
      </c>
      <c r="CR67" s="100">
        <v>6</v>
      </c>
      <c r="CS67" s="100">
        <v>6739.2000000000007</v>
      </c>
      <c r="CT67" s="100">
        <v>7.993922685688867</v>
      </c>
      <c r="CU67" s="100">
        <v>8978.7739605657353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8</v>
      </c>
      <c r="G68" s="100">
        <v>8265.6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7.6561661919970136</v>
      </c>
      <c r="O68" s="100">
        <v>7910.3509095713152</v>
      </c>
      <c r="P68" s="100">
        <v>6</v>
      </c>
      <c r="Q68" s="100">
        <v>6199.2000000000007</v>
      </c>
      <c r="R68" s="100">
        <v>6.7854101278423276</v>
      </c>
      <c r="S68" s="100">
        <v>7010.6857440866934</v>
      </c>
      <c r="T68" s="100">
        <v>6</v>
      </c>
      <c r="U68" s="100">
        <v>6199.2000000000007</v>
      </c>
      <c r="V68" s="100">
        <v>6</v>
      </c>
      <c r="W68" s="100">
        <v>6199.2000000000007</v>
      </c>
      <c r="X68" s="100">
        <v>7.3518894460376503</v>
      </c>
      <c r="Y68" s="100">
        <v>7595.9721756461004</v>
      </c>
      <c r="Z68" s="100">
        <v>9</v>
      </c>
      <c r="AA68" s="100">
        <v>9298.8000000000011</v>
      </c>
      <c r="AB68" s="100">
        <v>7</v>
      </c>
      <c r="AC68" s="100">
        <v>7232.4000000000005</v>
      </c>
      <c r="AD68" s="100">
        <v>8</v>
      </c>
      <c r="AE68" s="100">
        <v>8265.6</v>
      </c>
      <c r="AF68" s="100">
        <v>8.5506710125000058</v>
      </c>
      <c r="AG68" s="100">
        <v>8834.5532901150073</v>
      </c>
      <c r="AH68" s="100">
        <v>7</v>
      </c>
      <c r="AI68" s="100">
        <v>7232.4000000000005</v>
      </c>
      <c r="AJ68" s="100">
        <v>10</v>
      </c>
      <c r="AK68" s="100">
        <v>10332</v>
      </c>
      <c r="AL68" s="100">
        <v>4.8555751793169364</v>
      </c>
      <c r="AM68" s="100">
        <v>5016.7802752702592</v>
      </c>
      <c r="AN68" s="100">
        <v>6</v>
      </c>
      <c r="AO68" s="100">
        <v>6199.2000000000007</v>
      </c>
      <c r="AP68" s="100">
        <v>6</v>
      </c>
      <c r="AQ68" s="100">
        <v>6199.2000000000007</v>
      </c>
      <c r="AR68" s="100">
        <v>5</v>
      </c>
      <c r="AS68" s="100">
        <v>5166</v>
      </c>
      <c r="AT68" s="100">
        <v>8</v>
      </c>
      <c r="AU68" s="100">
        <v>8265.6</v>
      </c>
      <c r="AV68" s="100">
        <v>6</v>
      </c>
      <c r="AW68" s="100">
        <v>6199.2000000000007</v>
      </c>
      <c r="AX68" s="100">
        <v>7</v>
      </c>
      <c r="AY68" s="100">
        <v>7232.4000000000005</v>
      </c>
      <c r="AZ68" s="100">
        <v>2.6930905090825972</v>
      </c>
      <c r="BA68" s="100">
        <v>2782.5011139841395</v>
      </c>
      <c r="BB68" s="100">
        <v>6</v>
      </c>
      <c r="BC68" s="100">
        <v>6199.2000000000007</v>
      </c>
      <c r="BD68" s="100">
        <v>11</v>
      </c>
      <c r="BE68" s="100">
        <v>11365.2</v>
      </c>
      <c r="BF68" s="100">
        <v>7</v>
      </c>
      <c r="BG68" s="100">
        <v>7232.4000000000005</v>
      </c>
      <c r="BH68" s="100">
        <v>3.3234468545591849</v>
      </c>
      <c r="BI68" s="100">
        <v>3433.78529013055</v>
      </c>
      <c r="BJ68" s="100">
        <v>6</v>
      </c>
      <c r="BK68" s="100">
        <v>6199.2000000000007</v>
      </c>
      <c r="BL68" s="100">
        <v>5</v>
      </c>
      <c r="BM68" s="100">
        <v>5166</v>
      </c>
      <c r="BN68" s="100">
        <v>8</v>
      </c>
      <c r="BO68" s="100">
        <v>8265.6</v>
      </c>
      <c r="BP68" s="100">
        <v>10</v>
      </c>
      <c r="BQ68" s="100">
        <v>10332</v>
      </c>
      <c r="BR68" s="100">
        <v>0.9872583414148709</v>
      </c>
      <c r="BS68" s="100">
        <v>1020.0353183498446</v>
      </c>
      <c r="BT68" s="100">
        <v>8.1615588899552378</v>
      </c>
      <c r="BU68" s="100">
        <v>8432.5226451017516</v>
      </c>
      <c r="BV68" s="100">
        <v>9</v>
      </c>
      <c r="BW68" s="100">
        <v>9298.8000000000011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6.2982275198052804</v>
      </c>
      <c r="CC68" s="100">
        <v>6507.3286734628164</v>
      </c>
      <c r="CD68" s="100">
        <v>2.0301221021717148E-16</v>
      </c>
      <c r="CE68" s="100">
        <v>2.0975221559638157E-13</v>
      </c>
      <c r="CF68" s="100">
        <v>8</v>
      </c>
      <c r="CG68" s="100">
        <v>8265.6</v>
      </c>
      <c r="CH68" s="100">
        <v>5</v>
      </c>
      <c r="CI68" s="100">
        <v>5166</v>
      </c>
      <c r="CJ68" s="100">
        <v>10</v>
      </c>
      <c r="CK68" s="100">
        <v>10332</v>
      </c>
      <c r="CL68" s="100">
        <v>11</v>
      </c>
      <c r="CM68" s="100">
        <v>11365.2</v>
      </c>
      <c r="CN68" s="100">
        <v>10</v>
      </c>
      <c r="CO68" s="100">
        <v>10332</v>
      </c>
      <c r="CP68" s="100">
        <v>11</v>
      </c>
      <c r="CQ68" s="100">
        <v>11365.2</v>
      </c>
      <c r="CR68" s="100">
        <v>6</v>
      </c>
      <c r="CS68" s="100">
        <v>6199.2000000000007</v>
      </c>
      <c r="CT68" s="100">
        <v>7.993922685688867</v>
      </c>
      <c r="CU68" s="100">
        <v>8259.3209188537385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9</v>
      </c>
      <c r="G69" s="100">
        <v>6825.5999999999995</v>
      </c>
      <c r="H69" s="100">
        <v>12</v>
      </c>
      <c r="I69" s="100">
        <v>9100.7999999999993</v>
      </c>
      <c r="J69" s="100">
        <v>9</v>
      </c>
      <c r="K69" s="100">
        <v>6825.5999999999995</v>
      </c>
      <c r="L69" s="100">
        <v>10</v>
      </c>
      <c r="M69" s="100">
        <v>7584</v>
      </c>
      <c r="N69" s="100">
        <v>6.8905495727973127</v>
      </c>
      <c r="O69" s="100">
        <v>5225.7927960094821</v>
      </c>
      <c r="P69" s="100">
        <v>7</v>
      </c>
      <c r="Q69" s="100">
        <v>5308.8</v>
      </c>
      <c r="R69" s="100">
        <v>6.7854101278423276</v>
      </c>
      <c r="S69" s="100">
        <v>5146.0550409556208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6.4329032652829445</v>
      </c>
      <c r="Y69" s="100">
        <v>4878.7138363905851</v>
      </c>
      <c r="Z69" s="100">
        <v>8</v>
      </c>
      <c r="AA69" s="100">
        <v>6067.2</v>
      </c>
      <c r="AB69" s="100">
        <v>7</v>
      </c>
      <c r="AC69" s="100">
        <v>5308.8</v>
      </c>
      <c r="AD69" s="100">
        <v>9</v>
      </c>
      <c r="AE69" s="100">
        <v>6825.5999999999995</v>
      </c>
      <c r="AF69" s="100">
        <v>9.5007455694444509</v>
      </c>
      <c r="AG69" s="100">
        <v>7205.3654398666713</v>
      </c>
      <c r="AH69" s="100">
        <v>6</v>
      </c>
      <c r="AI69" s="100">
        <v>4550.3999999999996</v>
      </c>
      <c r="AJ69" s="100">
        <v>10</v>
      </c>
      <c r="AK69" s="100">
        <v>7584</v>
      </c>
      <c r="AL69" s="100">
        <v>4.8555751793169364</v>
      </c>
      <c r="AM69" s="100">
        <v>3682.4682159939643</v>
      </c>
      <c r="AN69" s="100">
        <v>6</v>
      </c>
      <c r="AO69" s="100">
        <v>4550.3999999999996</v>
      </c>
      <c r="AP69" s="100">
        <v>7</v>
      </c>
      <c r="AQ69" s="100">
        <v>5308.8</v>
      </c>
      <c r="AR69" s="100">
        <v>6</v>
      </c>
      <c r="AS69" s="100">
        <v>4550.3999999999996</v>
      </c>
      <c r="AT69" s="100">
        <v>9</v>
      </c>
      <c r="AU69" s="100">
        <v>6825.5999999999995</v>
      </c>
      <c r="AV69" s="100">
        <v>6</v>
      </c>
      <c r="AW69" s="100">
        <v>4550.3999999999996</v>
      </c>
      <c r="AX69" s="100">
        <v>7</v>
      </c>
      <c r="AY69" s="100">
        <v>5308.8</v>
      </c>
      <c r="AZ69" s="100">
        <v>3.0778177246658247</v>
      </c>
      <c r="BA69" s="100">
        <v>2334.2169623865616</v>
      </c>
      <c r="BB69" s="100">
        <v>6</v>
      </c>
      <c r="BC69" s="100">
        <v>4550.3999999999996</v>
      </c>
      <c r="BD69" s="100">
        <v>10</v>
      </c>
      <c r="BE69" s="100">
        <v>7584</v>
      </c>
      <c r="BF69" s="100">
        <v>6</v>
      </c>
      <c r="BG69" s="100">
        <v>4550.3999999999996</v>
      </c>
      <c r="BH69" s="100">
        <v>3.3234468545591849</v>
      </c>
      <c r="BI69" s="100">
        <v>2520.5020944976859</v>
      </c>
      <c r="BJ69" s="100">
        <v>8</v>
      </c>
      <c r="BK69" s="100">
        <v>6067.2</v>
      </c>
      <c r="BL69" s="100">
        <v>6</v>
      </c>
      <c r="BM69" s="100">
        <v>4550.3999999999996</v>
      </c>
      <c r="BN69" s="100">
        <v>9</v>
      </c>
      <c r="BO69" s="100">
        <v>6825.5999999999995</v>
      </c>
      <c r="BP69" s="100">
        <v>10</v>
      </c>
      <c r="BQ69" s="100">
        <v>7584</v>
      </c>
      <c r="BR69" s="100">
        <v>0.863851048738012</v>
      </c>
      <c r="BS69" s="100">
        <v>655.14463536290828</v>
      </c>
      <c r="BT69" s="100">
        <v>7.4195989908683977</v>
      </c>
      <c r="BU69" s="100">
        <v>5627.0238746745927</v>
      </c>
      <c r="BV69" s="100">
        <v>10</v>
      </c>
      <c r="BW69" s="100">
        <v>7584</v>
      </c>
      <c r="BX69" s="100">
        <v>8</v>
      </c>
      <c r="BY69" s="100">
        <v>6067.2</v>
      </c>
      <c r="BZ69" s="100">
        <v>9</v>
      </c>
      <c r="CA69" s="100">
        <v>6825.5999999999995</v>
      </c>
      <c r="CB69" s="100">
        <v>6.9280502717858088</v>
      </c>
      <c r="CC69" s="100">
        <v>5254.2333261223575</v>
      </c>
      <c r="CD69" s="100">
        <v>2.4361465226060579E-16</v>
      </c>
      <c r="CE69" s="100">
        <v>1.8475735227444343E-13</v>
      </c>
      <c r="CF69" s="100">
        <v>8</v>
      </c>
      <c r="CG69" s="100">
        <v>6067.2</v>
      </c>
      <c r="CH69" s="100">
        <v>5</v>
      </c>
      <c r="CI69" s="100">
        <v>3792</v>
      </c>
      <c r="CJ69" s="100">
        <v>10</v>
      </c>
      <c r="CK69" s="100">
        <v>7584</v>
      </c>
      <c r="CL69" s="100">
        <v>11</v>
      </c>
      <c r="CM69" s="100">
        <v>8342.4</v>
      </c>
      <c r="CN69" s="100">
        <v>8</v>
      </c>
      <c r="CO69" s="100">
        <v>6067.2</v>
      </c>
      <c r="CP69" s="100">
        <v>11</v>
      </c>
      <c r="CQ69" s="100">
        <v>8342.4</v>
      </c>
      <c r="CR69" s="100">
        <v>6</v>
      </c>
      <c r="CS69" s="100">
        <v>4550.3999999999996</v>
      </c>
      <c r="CT69" s="100">
        <v>7.993922685688867</v>
      </c>
      <c r="CU69" s="100">
        <v>6062.5909648264369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9</v>
      </c>
      <c r="G70" s="100">
        <v>4816.7999999999993</v>
      </c>
      <c r="H70" s="100">
        <v>10</v>
      </c>
      <c r="I70" s="100">
        <v>5351.9999999999991</v>
      </c>
      <c r="J70" s="100">
        <v>8</v>
      </c>
      <c r="K70" s="100">
        <v>4281.5999999999995</v>
      </c>
      <c r="L70" s="100">
        <v>10</v>
      </c>
      <c r="M70" s="100">
        <v>5351.9999999999991</v>
      </c>
      <c r="N70" s="100">
        <v>6.8905495727973127</v>
      </c>
      <c r="O70" s="100">
        <v>3687.8221313611211</v>
      </c>
      <c r="P70" s="100">
        <v>6</v>
      </c>
      <c r="Q70" s="100">
        <v>3211.2</v>
      </c>
      <c r="R70" s="100">
        <v>5.8160658238648519</v>
      </c>
      <c r="S70" s="100">
        <v>3112.7584289324682</v>
      </c>
      <c r="T70" s="100">
        <v>6</v>
      </c>
      <c r="U70" s="100">
        <v>3211.2</v>
      </c>
      <c r="V70" s="100">
        <v>6</v>
      </c>
      <c r="W70" s="100">
        <v>3211.2</v>
      </c>
      <c r="X70" s="100">
        <v>7.3518894460376503</v>
      </c>
      <c r="Y70" s="100">
        <v>3934.7312315193499</v>
      </c>
      <c r="Z70" s="100">
        <v>8</v>
      </c>
      <c r="AA70" s="100">
        <v>4281.5999999999995</v>
      </c>
      <c r="AB70" s="100">
        <v>7</v>
      </c>
      <c r="AC70" s="100">
        <v>3746.3999999999996</v>
      </c>
      <c r="AD70" s="100">
        <v>9</v>
      </c>
      <c r="AE70" s="100">
        <v>4816.7999999999993</v>
      </c>
      <c r="AF70" s="100">
        <v>9.5007455694444509</v>
      </c>
      <c r="AG70" s="100">
        <v>5084.7990287666698</v>
      </c>
      <c r="AH70" s="100">
        <v>7</v>
      </c>
      <c r="AI70" s="100">
        <v>3746.3999999999996</v>
      </c>
      <c r="AJ70" s="100">
        <v>10</v>
      </c>
      <c r="AK70" s="100">
        <v>5351.9999999999991</v>
      </c>
      <c r="AL70" s="100">
        <v>4.8555751793169364</v>
      </c>
      <c r="AM70" s="100">
        <v>2598.7038359704238</v>
      </c>
      <c r="AN70" s="100">
        <v>7</v>
      </c>
      <c r="AO70" s="100">
        <v>3746.3999999999996</v>
      </c>
      <c r="AP70" s="100">
        <v>7</v>
      </c>
      <c r="AQ70" s="100">
        <v>3746.3999999999996</v>
      </c>
      <c r="AR70" s="100">
        <v>6</v>
      </c>
      <c r="AS70" s="100">
        <v>3211.2</v>
      </c>
      <c r="AT70" s="100">
        <v>8</v>
      </c>
      <c r="AU70" s="100">
        <v>4281.5999999999995</v>
      </c>
      <c r="AV70" s="100">
        <v>7</v>
      </c>
      <c r="AW70" s="100">
        <v>3746.3999999999996</v>
      </c>
      <c r="AX70" s="100">
        <v>7</v>
      </c>
      <c r="AY70" s="100">
        <v>3746.3999999999996</v>
      </c>
      <c r="AZ70" s="100">
        <v>3.0778177246658247</v>
      </c>
      <c r="BA70" s="100">
        <v>1647.2480462411493</v>
      </c>
      <c r="BB70" s="100">
        <v>6</v>
      </c>
      <c r="BC70" s="100">
        <v>3211.2</v>
      </c>
      <c r="BD70" s="100">
        <v>12</v>
      </c>
      <c r="BE70" s="100">
        <v>6422.4</v>
      </c>
      <c r="BF70" s="100">
        <v>6</v>
      </c>
      <c r="BG70" s="100">
        <v>3211.2</v>
      </c>
      <c r="BH70" s="100">
        <v>3.3234468545591849</v>
      </c>
      <c r="BI70" s="100">
        <v>1778.7087565600755</v>
      </c>
      <c r="BJ70" s="100">
        <v>7</v>
      </c>
      <c r="BK70" s="100">
        <v>3746.3999999999996</v>
      </c>
      <c r="BL70" s="100">
        <v>6</v>
      </c>
      <c r="BM70" s="100">
        <v>3211.2</v>
      </c>
      <c r="BN70" s="100">
        <v>9</v>
      </c>
      <c r="BO70" s="100">
        <v>4816.7999999999993</v>
      </c>
      <c r="BP70" s="100">
        <v>9</v>
      </c>
      <c r="BQ70" s="100">
        <v>4816.7999999999993</v>
      </c>
      <c r="BR70" s="100">
        <v>1.1106656340917298</v>
      </c>
      <c r="BS70" s="100">
        <v>594.42824736589375</v>
      </c>
      <c r="BT70" s="100">
        <v>8.1615588899552378</v>
      </c>
      <c r="BU70" s="100">
        <v>4368.066317904043</v>
      </c>
      <c r="BV70" s="100">
        <v>10</v>
      </c>
      <c r="BW70" s="100">
        <v>5351.9999999999991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6.9280502717858088</v>
      </c>
      <c r="CC70" s="100">
        <v>3707.8925054597644</v>
      </c>
      <c r="CD70" s="100">
        <v>2.4361465226060579E-16</v>
      </c>
      <c r="CE70" s="100">
        <v>1.3038256188987621E-13</v>
      </c>
      <c r="CF70" s="100">
        <v>7</v>
      </c>
      <c r="CG70" s="100">
        <v>3746.3999999999996</v>
      </c>
      <c r="CH70" s="100">
        <v>6</v>
      </c>
      <c r="CI70" s="100">
        <v>3211.2</v>
      </c>
      <c r="CJ70" s="100">
        <v>11</v>
      </c>
      <c r="CK70" s="100">
        <v>5887.1999999999989</v>
      </c>
      <c r="CL70" s="100">
        <v>11</v>
      </c>
      <c r="CM70" s="100">
        <v>5887.1999999999989</v>
      </c>
      <c r="CN70" s="100">
        <v>9</v>
      </c>
      <c r="CO70" s="100">
        <v>4816.7999999999993</v>
      </c>
      <c r="CP70" s="100">
        <v>10</v>
      </c>
      <c r="CQ70" s="100">
        <v>5351.9999999999991</v>
      </c>
      <c r="CR70" s="100">
        <v>5</v>
      </c>
      <c r="CS70" s="100">
        <v>2675.9999999999995</v>
      </c>
      <c r="CT70" s="100">
        <v>8.7933149542577542</v>
      </c>
      <c r="CU70" s="100">
        <v>4706.1821635187498</v>
      </c>
    </row>
    <row r="71" spans="2:99">
      <c r="B71" s="99" t="s">
        <v>130</v>
      </c>
      <c r="C71" s="99" t="s">
        <v>237</v>
      </c>
      <c r="D71" s="100">
        <v>10</v>
      </c>
      <c r="E71" s="100">
        <v>5640</v>
      </c>
      <c r="F71" s="100">
        <v>8</v>
      </c>
      <c r="G71" s="100">
        <v>4512</v>
      </c>
      <c r="H71" s="100">
        <v>10</v>
      </c>
      <c r="I71" s="100">
        <v>5640</v>
      </c>
      <c r="J71" s="100">
        <v>7.3690777208900267</v>
      </c>
      <c r="K71" s="100">
        <v>4156.1598345819748</v>
      </c>
      <c r="L71" s="100">
        <v>9</v>
      </c>
      <c r="M71" s="100">
        <v>5076</v>
      </c>
      <c r="N71" s="100">
        <v>9</v>
      </c>
      <c r="O71" s="100">
        <v>5076</v>
      </c>
      <c r="P71" s="100">
        <v>8</v>
      </c>
      <c r="Q71" s="100">
        <v>4512</v>
      </c>
      <c r="R71" s="100">
        <v>8</v>
      </c>
      <c r="S71" s="100">
        <v>4512</v>
      </c>
      <c r="T71" s="100">
        <v>12</v>
      </c>
      <c r="U71" s="100">
        <v>6768</v>
      </c>
      <c r="V71" s="100">
        <v>12</v>
      </c>
      <c r="W71" s="100">
        <v>6768</v>
      </c>
      <c r="X71" s="100">
        <v>13</v>
      </c>
      <c r="Y71" s="100">
        <v>7332</v>
      </c>
      <c r="Z71" s="100">
        <v>12</v>
      </c>
      <c r="AA71" s="100">
        <v>6768</v>
      </c>
      <c r="AB71" s="100">
        <v>10</v>
      </c>
      <c r="AC71" s="100">
        <v>5640</v>
      </c>
      <c r="AD71" s="100">
        <v>10</v>
      </c>
      <c r="AE71" s="100">
        <v>5640</v>
      </c>
      <c r="AF71" s="100">
        <v>11</v>
      </c>
      <c r="AG71" s="100">
        <v>6204</v>
      </c>
      <c r="AH71" s="100">
        <v>9</v>
      </c>
      <c r="AI71" s="100">
        <v>5076</v>
      </c>
      <c r="AJ71" s="100">
        <v>11</v>
      </c>
      <c r="AK71" s="100">
        <v>6204</v>
      </c>
      <c r="AL71" s="100">
        <v>11.399917851354497</v>
      </c>
      <c r="AM71" s="100">
        <v>6429.553668163936</v>
      </c>
      <c r="AN71" s="100">
        <v>10</v>
      </c>
      <c r="AO71" s="100">
        <v>5640</v>
      </c>
      <c r="AP71" s="100">
        <v>13</v>
      </c>
      <c r="AQ71" s="100">
        <v>7332</v>
      </c>
      <c r="AR71" s="100">
        <v>12.352754127470838</v>
      </c>
      <c r="AS71" s="100">
        <v>6966.9533278935533</v>
      </c>
      <c r="AT71" s="100">
        <v>11</v>
      </c>
      <c r="AU71" s="100">
        <v>6204</v>
      </c>
      <c r="AV71" s="100">
        <v>8</v>
      </c>
      <c r="AW71" s="100">
        <v>4512</v>
      </c>
      <c r="AX71" s="100">
        <v>8</v>
      </c>
      <c r="AY71" s="100">
        <v>4512</v>
      </c>
      <c r="AZ71" s="100">
        <v>15</v>
      </c>
      <c r="BA71" s="100">
        <v>8460</v>
      </c>
      <c r="BB71" s="100">
        <v>11</v>
      </c>
      <c r="BC71" s="100">
        <v>6204</v>
      </c>
      <c r="BD71" s="100">
        <v>12</v>
      </c>
      <c r="BE71" s="100">
        <v>6768</v>
      </c>
      <c r="BF71" s="100">
        <v>10.441929613591309</v>
      </c>
      <c r="BG71" s="100">
        <v>5889.2483020654981</v>
      </c>
      <c r="BH71" s="100">
        <v>13</v>
      </c>
      <c r="BI71" s="100">
        <v>7332</v>
      </c>
      <c r="BJ71" s="100">
        <v>12</v>
      </c>
      <c r="BK71" s="100">
        <v>6768</v>
      </c>
      <c r="BL71" s="100">
        <v>8</v>
      </c>
      <c r="BM71" s="100">
        <v>4512</v>
      </c>
      <c r="BN71" s="100">
        <v>5.1741583650278447</v>
      </c>
      <c r="BO71" s="100">
        <v>2918.2253178757046</v>
      </c>
      <c r="BP71" s="100">
        <v>10.671936758893285</v>
      </c>
      <c r="BQ71" s="100">
        <v>6018.9723320158128</v>
      </c>
      <c r="BR71" s="100">
        <v>11</v>
      </c>
      <c r="BS71" s="100">
        <v>6204</v>
      </c>
      <c r="BT71" s="100">
        <v>8</v>
      </c>
      <c r="BU71" s="100">
        <v>4512</v>
      </c>
      <c r="BV71" s="100">
        <v>11</v>
      </c>
      <c r="BW71" s="100">
        <v>6204</v>
      </c>
      <c r="BX71" s="100">
        <v>9</v>
      </c>
      <c r="BY71" s="100">
        <v>5076</v>
      </c>
      <c r="BZ71" s="100">
        <v>12</v>
      </c>
      <c r="CA71" s="100">
        <v>6768</v>
      </c>
      <c r="CB71" s="100">
        <v>8</v>
      </c>
      <c r="CC71" s="100">
        <v>4512</v>
      </c>
      <c r="CD71" s="100">
        <v>10</v>
      </c>
      <c r="CE71" s="100">
        <v>5640</v>
      </c>
      <c r="CF71" s="100">
        <v>12.051502145922784</v>
      </c>
      <c r="CG71" s="100">
        <v>6797.0472103004504</v>
      </c>
      <c r="CH71" s="100">
        <v>8</v>
      </c>
      <c r="CI71" s="100">
        <v>4512</v>
      </c>
      <c r="CJ71" s="100">
        <v>8</v>
      </c>
      <c r="CK71" s="100">
        <v>4512</v>
      </c>
      <c r="CL71" s="100">
        <v>14</v>
      </c>
      <c r="CM71" s="100">
        <v>7896</v>
      </c>
      <c r="CN71" s="100">
        <v>7</v>
      </c>
      <c r="CO71" s="100">
        <v>3948</v>
      </c>
      <c r="CP71" s="100">
        <v>9.3460205670525323</v>
      </c>
      <c r="CQ71" s="100">
        <v>5271.1555998176282</v>
      </c>
      <c r="CR71" s="100">
        <v>12</v>
      </c>
      <c r="CS71" s="100">
        <v>6768</v>
      </c>
      <c r="CT71" s="100">
        <v>10</v>
      </c>
      <c r="CU71" s="100">
        <v>5640</v>
      </c>
    </row>
    <row r="72" spans="2:99">
      <c r="C72" s="99" t="s">
        <v>238</v>
      </c>
      <c r="D72" s="100">
        <v>10</v>
      </c>
      <c r="E72" s="100">
        <v>743.99999999999989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8.4218031095886019</v>
      </c>
      <c r="K72" s="100">
        <v>626.58215135339196</v>
      </c>
      <c r="L72" s="100">
        <v>8</v>
      </c>
      <c r="M72" s="100">
        <v>595.19999999999993</v>
      </c>
      <c r="N72" s="100">
        <v>10</v>
      </c>
      <c r="O72" s="100">
        <v>743.99999999999989</v>
      </c>
      <c r="P72" s="100">
        <v>7</v>
      </c>
      <c r="Q72" s="100">
        <v>520.79999999999995</v>
      </c>
      <c r="R72" s="100">
        <v>9</v>
      </c>
      <c r="S72" s="100">
        <v>669.59999999999991</v>
      </c>
      <c r="T72" s="100">
        <v>13</v>
      </c>
      <c r="U72" s="100">
        <v>967.19999999999993</v>
      </c>
      <c r="V72" s="100">
        <v>14</v>
      </c>
      <c r="W72" s="100">
        <v>1041.5999999999999</v>
      </c>
      <c r="X72" s="100">
        <v>14</v>
      </c>
      <c r="Y72" s="100">
        <v>1041.5999999999999</v>
      </c>
      <c r="Z72" s="100">
        <v>13</v>
      </c>
      <c r="AA72" s="100">
        <v>967.19999999999993</v>
      </c>
      <c r="AB72" s="100">
        <v>11</v>
      </c>
      <c r="AC72" s="100">
        <v>818.39999999999986</v>
      </c>
      <c r="AD72" s="100">
        <v>10</v>
      </c>
      <c r="AE72" s="100">
        <v>743.99999999999989</v>
      </c>
      <c r="AF72" s="100">
        <v>12</v>
      </c>
      <c r="AG72" s="100">
        <v>892.8</v>
      </c>
      <c r="AH72" s="100">
        <v>11</v>
      </c>
      <c r="AI72" s="100">
        <v>818.39999999999986</v>
      </c>
      <c r="AJ72" s="100">
        <v>13</v>
      </c>
      <c r="AK72" s="100">
        <v>967.19999999999993</v>
      </c>
      <c r="AL72" s="100">
        <v>10.639923327930862</v>
      </c>
      <c r="AM72" s="100">
        <v>791.61029559805604</v>
      </c>
      <c r="AN72" s="100">
        <v>10</v>
      </c>
      <c r="AO72" s="100">
        <v>743.99999999999989</v>
      </c>
      <c r="AP72" s="100">
        <v>12</v>
      </c>
      <c r="AQ72" s="100">
        <v>892.8</v>
      </c>
      <c r="AR72" s="100">
        <v>13.302965983430134</v>
      </c>
      <c r="AS72" s="100">
        <v>989.74066916720187</v>
      </c>
      <c r="AT72" s="100">
        <v>13</v>
      </c>
      <c r="AU72" s="100">
        <v>967.19999999999993</v>
      </c>
      <c r="AV72" s="100">
        <v>8</v>
      </c>
      <c r="AW72" s="100">
        <v>595.19999999999993</v>
      </c>
      <c r="AX72" s="100">
        <v>8</v>
      </c>
      <c r="AY72" s="100">
        <v>595.19999999999993</v>
      </c>
      <c r="AZ72" s="100">
        <v>14</v>
      </c>
      <c r="BA72" s="100">
        <v>1041.5999999999999</v>
      </c>
      <c r="BB72" s="100">
        <v>11</v>
      </c>
      <c r="BC72" s="100">
        <v>818.39999999999986</v>
      </c>
      <c r="BD72" s="100">
        <v>11</v>
      </c>
      <c r="BE72" s="100">
        <v>818.39999999999986</v>
      </c>
      <c r="BF72" s="100">
        <v>10.441929613591309</v>
      </c>
      <c r="BG72" s="100">
        <v>776.8795632511933</v>
      </c>
      <c r="BH72" s="100">
        <v>13</v>
      </c>
      <c r="BI72" s="100">
        <v>967.19999999999993</v>
      </c>
      <c r="BJ72" s="100">
        <v>11</v>
      </c>
      <c r="BK72" s="100">
        <v>818.39999999999986</v>
      </c>
      <c r="BL72" s="100">
        <v>8</v>
      </c>
      <c r="BM72" s="100">
        <v>595.19999999999993</v>
      </c>
      <c r="BN72" s="100">
        <v>5.1741583650278447</v>
      </c>
      <c r="BO72" s="100">
        <v>384.95738235807158</v>
      </c>
      <c r="BP72" s="100">
        <v>9.9604743083003999</v>
      </c>
      <c r="BQ72" s="100">
        <v>741.05928853754972</v>
      </c>
      <c r="BR72" s="100">
        <v>12</v>
      </c>
      <c r="BS72" s="100">
        <v>892.8</v>
      </c>
      <c r="BT72" s="100">
        <v>9</v>
      </c>
      <c r="BU72" s="100">
        <v>669.59999999999991</v>
      </c>
      <c r="BV72" s="100">
        <v>10</v>
      </c>
      <c r="BW72" s="100">
        <v>743.99999999999989</v>
      </c>
      <c r="BX72" s="100">
        <v>10</v>
      </c>
      <c r="BY72" s="100">
        <v>743.99999999999989</v>
      </c>
      <c r="BZ72" s="100">
        <v>11</v>
      </c>
      <c r="CA72" s="100">
        <v>818.39999999999986</v>
      </c>
      <c r="CB72" s="100">
        <v>10</v>
      </c>
      <c r="CC72" s="100">
        <v>743.99999999999989</v>
      </c>
      <c r="CD72" s="100">
        <v>9</v>
      </c>
      <c r="CE72" s="100">
        <v>669.59999999999991</v>
      </c>
      <c r="CF72" s="100">
        <v>12.978540772532227</v>
      </c>
      <c r="CG72" s="100">
        <v>965.60343347639764</v>
      </c>
      <c r="CH72" s="100">
        <v>8</v>
      </c>
      <c r="CI72" s="100">
        <v>595.19999999999993</v>
      </c>
      <c r="CJ72" s="100">
        <v>9</v>
      </c>
      <c r="CK72" s="100">
        <v>669.59999999999991</v>
      </c>
      <c r="CL72" s="100">
        <v>15</v>
      </c>
      <c r="CM72" s="100">
        <v>1115.9999999999998</v>
      </c>
      <c r="CN72" s="100">
        <v>9</v>
      </c>
      <c r="CO72" s="100">
        <v>669.59999999999991</v>
      </c>
      <c r="CP72" s="100">
        <v>11.682525708815666</v>
      </c>
      <c r="CQ72" s="100">
        <v>869.17991273588541</v>
      </c>
      <c r="CR72" s="100">
        <v>12</v>
      </c>
      <c r="CS72" s="100">
        <v>892.8</v>
      </c>
      <c r="CT72" s="100">
        <v>12</v>
      </c>
      <c r="CU72" s="100">
        <v>892.8</v>
      </c>
    </row>
    <row r="73" spans="2:99">
      <c r="C73" s="99" t="s">
        <v>239</v>
      </c>
      <c r="D73" s="100">
        <v>11</v>
      </c>
      <c r="E73" s="100">
        <v>6151.1999999999989</v>
      </c>
      <c r="F73" s="100">
        <v>8</v>
      </c>
      <c r="G73" s="100">
        <v>4473.5999999999995</v>
      </c>
      <c r="H73" s="100">
        <v>10</v>
      </c>
      <c r="I73" s="100">
        <v>5591.9999999999991</v>
      </c>
      <c r="J73" s="100">
        <v>7.3690777208900267</v>
      </c>
      <c r="K73" s="100">
        <v>4120.7882615217022</v>
      </c>
      <c r="L73" s="100">
        <v>9</v>
      </c>
      <c r="M73" s="100">
        <v>5032.7999999999993</v>
      </c>
      <c r="N73" s="100">
        <v>9</v>
      </c>
      <c r="O73" s="100">
        <v>5032.7999999999993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12</v>
      </c>
      <c r="U73" s="100">
        <v>6710.4</v>
      </c>
      <c r="V73" s="100">
        <v>13</v>
      </c>
      <c r="W73" s="100">
        <v>7269.5999999999995</v>
      </c>
      <c r="X73" s="100">
        <v>12</v>
      </c>
      <c r="Y73" s="100">
        <v>6710.4</v>
      </c>
      <c r="Z73" s="100">
        <v>13</v>
      </c>
      <c r="AA73" s="100">
        <v>7269.5999999999995</v>
      </c>
      <c r="AB73" s="100">
        <v>11</v>
      </c>
      <c r="AC73" s="100">
        <v>6151.1999999999989</v>
      </c>
      <c r="AD73" s="100">
        <v>10</v>
      </c>
      <c r="AE73" s="100">
        <v>5591.9999999999991</v>
      </c>
      <c r="AF73" s="100">
        <v>13</v>
      </c>
      <c r="AG73" s="100">
        <v>7269.5999999999995</v>
      </c>
      <c r="AH73" s="100">
        <v>11</v>
      </c>
      <c r="AI73" s="100">
        <v>6151.1999999999989</v>
      </c>
      <c r="AJ73" s="100">
        <v>11</v>
      </c>
      <c r="AK73" s="100">
        <v>6151.1999999999989</v>
      </c>
      <c r="AL73" s="100">
        <v>9.8799288045072284</v>
      </c>
      <c r="AM73" s="100">
        <v>5524.8561874804418</v>
      </c>
      <c r="AN73" s="100">
        <v>12</v>
      </c>
      <c r="AO73" s="100">
        <v>6710.4</v>
      </c>
      <c r="AP73" s="100">
        <v>13</v>
      </c>
      <c r="AQ73" s="100">
        <v>7269.5999999999995</v>
      </c>
      <c r="AR73" s="100">
        <v>13.302965983430134</v>
      </c>
      <c r="AS73" s="100">
        <v>7439.01857793413</v>
      </c>
      <c r="AT73" s="100">
        <v>12</v>
      </c>
      <c r="AU73" s="100">
        <v>6710.4</v>
      </c>
      <c r="AV73" s="100">
        <v>8</v>
      </c>
      <c r="AW73" s="100">
        <v>4473.5999999999995</v>
      </c>
      <c r="AX73" s="100">
        <v>7</v>
      </c>
      <c r="AY73" s="100">
        <v>3914.3999999999996</v>
      </c>
      <c r="AZ73" s="100">
        <v>16</v>
      </c>
      <c r="BA73" s="100">
        <v>8947.1999999999989</v>
      </c>
      <c r="BB73" s="100">
        <v>10</v>
      </c>
      <c r="BC73" s="100">
        <v>5591.9999999999991</v>
      </c>
      <c r="BD73" s="100">
        <v>12</v>
      </c>
      <c r="BE73" s="100">
        <v>6710.4</v>
      </c>
      <c r="BF73" s="100">
        <v>9.4926632850830082</v>
      </c>
      <c r="BG73" s="100">
        <v>5308.2973090184178</v>
      </c>
      <c r="BH73" s="100">
        <v>12</v>
      </c>
      <c r="BI73" s="100">
        <v>6710.4</v>
      </c>
      <c r="BJ73" s="100">
        <v>10</v>
      </c>
      <c r="BK73" s="100">
        <v>5591.9999999999991</v>
      </c>
      <c r="BL73" s="100">
        <v>8</v>
      </c>
      <c r="BM73" s="100">
        <v>4473.5999999999995</v>
      </c>
      <c r="BN73" s="100">
        <v>6.0365180925324848</v>
      </c>
      <c r="BO73" s="100">
        <v>3375.6209173441653</v>
      </c>
      <c r="BP73" s="100">
        <v>10.671936758893285</v>
      </c>
      <c r="BQ73" s="100">
        <v>5967.7470355731239</v>
      </c>
      <c r="BR73" s="100">
        <v>11</v>
      </c>
      <c r="BS73" s="100">
        <v>6151.1999999999989</v>
      </c>
      <c r="BT73" s="100">
        <v>7</v>
      </c>
      <c r="BU73" s="100">
        <v>3914.3999999999996</v>
      </c>
      <c r="BV73" s="100">
        <v>10</v>
      </c>
      <c r="BW73" s="100">
        <v>5591.9999999999991</v>
      </c>
      <c r="BX73" s="100">
        <v>9</v>
      </c>
      <c r="BY73" s="100">
        <v>5032.7999999999993</v>
      </c>
      <c r="BZ73" s="100">
        <v>11</v>
      </c>
      <c r="CA73" s="100">
        <v>6151.1999999999989</v>
      </c>
      <c r="CB73" s="100">
        <v>8</v>
      </c>
      <c r="CC73" s="100">
        <v>4473.5999999999995</v>
      </c>
      <c r="CD73" s="100">
        <v>8</v>
      </c>
      <c r="CE73" s="100">
        <v>4473.5999999999995</v>
      </c>
      <c r="CF73" s="100">
        <v>12.978540772532227</v>
      </c>
      <c r="CG73" s="100">
        <v>7257.6000000000204</v>
      </c>
      <c r="CH73" s="100">
        <v>7</v>
      </c>
      <c r="CI73" s="100">
        <v>3914.3999999999996</v>
      </c>
      <c r="CJ73" s="100">
        <v>9</v>
      </c>
      <c r="CK73" s="100">
        <v>5032.7999999999993</v>
      </c>
      <c r="CL73" s="100">
        <v>15</v>
      </c>
      <c r="CM73" s="100">
        <v>8387.9999999999982</v>
      </c>
      <c r="CN73" s="100">
        <v>9</v>
      </c>
      <c r="CO73" s="100">
        <v>5032.7999999999993</v>
      </c>
      <c r="CP73" s="100">
        <v>10.903690661561289</v>
      </c>
      <c r="CQ73" s="100">
        <v>6097.3438179450714</v>
      </c>
      <c r="CR73" s="100">
        <v>10</v>
      </c>
      <c r="CS73" s="100">
        <v>5591.9999999999991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10</v>
      </c>
      <c r="E74" s="100">
        <v>4032</v>
      </c>
      <c r="F74" s="100">
        <v>8</v>
      </c>
      <c r="G74" s="100">
        <v>3225.6</v>
      </c>
      <c r="H74" s="100">
        <v>10</v>
      </c>
      <c r="I74" s="100">
        <v>4032</v>
      </c>
      <c r="J74" s="100">
        <v>7.3690777208900267</v>
      </c>
      <c r="K74" s="100">
        <v>2971.2121370628588</v>
      </c>
      <c r="L74" s="100">
        <v>8</v>
      </c>
      <c r="M74" s="100">
        <v>3225.6</v>
      </c>
      <c r="N74" s="100">
        <v>10</v>
      </c>
      <c r="O74" s="100">
        <v>4032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13</v>
      </c>
      <c r="U74" s="100">
        <v>5241.5999999999995</v>
      </c>
      <c r="V74" s="100">
        <v>12</v>
      </c>
      <c r="W74" s="100">
        <v>4838.3999999999996</v>
      </c>
      <c r="X74" s="100">
        <v>15</v>
      </c>
      <c r="Y74" s="100">
        <v>6048</v>
      </c>
      <c r="Z74" s="100">
        <v>12</v>
      </c>
      <c r="AA74" s="100">
        <v>4838.3999999999996</v>
      </c>
      <c r="AB74" s="100">
        <v>10</v>
      </c>
      <c r="AC74" s="100">
        <v>4032</v>
      </c>
      <c r="AD74" s="100">
        <v>10</v>
      </c>
      <c r="AE74" s="100">
        <v>4032</v>
      </c>
      <c r="AF74" s="100">
        <v>12</v>
      </c>
      <c r="AG74" s="100">
        <v>4838.3999999999996</v>
      </c>
      <c r="AH74" s="100">
        <v>10</v>
      </c>
      <c r="AI74" s="100">
        <v>4032</v>
      </c>
      <c r="AJ74" s="100">
        <v>12</v>
      </c>
      <c r="AK74" s="100">
        <v>4838.3999999999996</v>
      </c>
      <c r="AL74" s="100">
        <v>10.639923327930862</v>
      </c>
      <c r="AM74" s="100">
        <v>4290.0170858217234</v>
      </c>
      <c r="AN74" s="100">
        <v>12</v>
      </c>
      <c r="AO74" s="100">
        <v>4838.3999999999996</v>
      </c>
      <c r="AP74" s="100">
        <v>13</v>
      </c>
      <c r="AQ74" s="100">
        <v>5241.5999999999995</v>
      </c>
      <c r="AR74" s="100">
        <v>12.352754127470838</v>
      </c>
      <c r="AS74" s="100">
        <v>4980.6304641962415</v>
      </c>
      <c r="AT74" s="100">
        <v>12</v>
      </c>
      <c r="AU74" s="100">
        <v>4838.3999999999996</v>
      </c>
      <c r="AV74" s="100">
        <v>9</v>
      </c>
      <c r="AW74" s="100">
        <v>3628.7999999999997</v>
      </c>
      <c r="AX74" s="100">
        <v>8</v>
      </c>
      <c r="AY74" s="100">
        <v>3225.6</v>
      </c>
      <c r="AZ74" s="100">
        <v>13</v>
      </c>
      <c r="BA74" s="100">
        <v>5241.5999999999995</v>
      </c>
      <c r="BB74" s="100">
        <v>9</v>
      </c>
      <c r="BC74" s="100">
        <v>3628.7999999999997</v>
      </c>
      <c r="BD74" s="100">
        <v>11</v>
      </c>
      <c r="BE74" s="100">
        <v>4435.2</v>
      </c>
      <c r="BF74" s="100">
        <v>9.4926632850830082</v>
      </c>
      <c r="BG74" s="100">
        <v>3827.441836545469</v>
      </c>
      <c r="BH74" s="100">
        <v>12</v>
      </c>
      <c r="BI74" s="100">
        <v>4838.3999999999996</v>
      </c>
      <c r="BJ74" s="100">
        <v>12</v>
      </c>
      <c r="BK74" s="100">
        <v>4838.3999999999996</v>
      </c>
      <c r="BL74" s="100">
        <v>7</v>
      </c>
      <c r="BM74" s="100">
        <v>2822.4</v>
      </c>
      <c r="BN74" s="100">
        <v>5.1741583650278447</v>
      </c>
      <c r="BO74" s="100">
        <v>2086.2206527792268</v>
      </c>
      <c r="BP74" s="100">
        <v>9.9604743083003999</v>
      </c>
      <c r="BQ74" s="100">
        <v>4016.0632411067213</v>
      </c>
      <c r="BR74" s="100">
        <v>13</v>
      </c>
      <c r="BS74" s="100">
        <v>5241.5999999999995</v>
      </c>
      <c r="BT74" s="100">
        <v>8</v>
      </c>
      <c r="BU74" s="100">
        <v>3225.6</v>
      </c>
      <c r="BV74" s="100">
        <v>12</v>
      </c>
      <c r="BW74" s="100">
        <v>4838.3999999999996</v>
      </c>
      <c r="BX74" s="100">
        <v>9</v>
      </c>
      <c r="BY74" s="100">
        <v>3628.7999999999997</v>
      </c>
      <c r="BZ74" s="100">
        <v>11</v>
      </c>
      <c r="CA74" s="100">
        <v>4435.2</v>
      </c>
      <c r="CB74" s="100">
        <v>8</v>
      </c>
      <c r="CC74" s="100">
        <v>3225.6</v>
      </c>
      <c r="CD74" s="100">
        <v>10</v>
      </c>
      <c r="CE74" s="100">
        <v>4032</v>
      </c>
      <c r="CF74" s="100">
        <v>12.051502145922784</v>
      </c>
      <c r="CG74" s="100">
        <v>4859.1656652360662</v>
      </c>
      <c r="CH74" s="100">
        <v>8</v>
      </c>
      <c r="CI74" s="100">
        <v>3225.6</v>
      </c>
      <c r="CJ74" s="100">
        <v>9</v>
      </c>
      <c r="CK74" s="100">
        <v>3628.7999999999997</v>
      </c>
      <c r="CL74" s="100">
        <v>16</v>
      </c>
      <c r="CM74" s="100">
        <v>6451.2</v>
      </c>
      <c r="CN74" s="100">
        <v>8</v>
      </c>
      <c r="CO74" s="100">
        <v>3225.6</v>
      </c>
      <c r="CP74" s="100">
        <v>10.903690661561289</v>
      </c>
      <c r="CQ74" s="100">
        <v>4396.368074741511</v>
      </c>
      <c r="CR74" s="100">
        <v>10</v>
      </c>
      <c r="CS74" s="100">
        <v>4032</v>
      </c>
      <c r="CT74" s="100">
        <v>12</v>
      </c>
      <c r="CU74" s="100">
        <v>4838.3999999999996</v>
      </c>
    </row>
    <row r="75" spans="2:99">
      <c r="C75" s="99" t="s">
        <v>241</v>
      </c>
      <c r="D75" s="100">
        <v>10</v>
      </c>
      <c r="E75" s="100">
        <v>6431.9999999999991</v>
      </c>
      <c r="F75" s="100">
        <v>8</v>
      </c>
      <c r="G75" s="100">
        <v>5145.5999999999995</v>
      </c>
      <c r="H75" s="100">
        <v>11</v>
      </c>
      <c r="I75" s="100">
        <v>7075.1999999999989</v>
      </c>
      <c r="J75" s="100">
        <v>7.3690777208900267</v>
      </c>
      <c r="K75" s="100">
        <v>4739.7907900764649</v>
      </c>
      <c r="L75" s="100">
        <v>8</v>
      </c>
      <c r="M75" s="100">
        <v>5145.5999999999995</v>
      </c>
      <c r="N75" s="100">
        <v>10</v>
      </c>
      <c r="O75" s="100">
        <v>6431.9999999999991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13</v>
      </c>
      <c r="U75" s="100">
        <v>8361.5999999999985</v>
      </c>
      <c r="V75" s="100">
        <v>14</v>
      </c>
      <c r="W75" s="100">
        <v>9004.7999999999993</v>
      </c>
      <c r="X75" s="100">
        <v>13</v>
      </c>
      <c r="Y75" s="100">
        <v>8361.5999999999985</v>
      </c>
      <c r="Z75" s="100">
        <v>12</v>
      </c>
      <c r="AA75" s="100">
        <v>7718.4</v>
      </c>
      <c r="AB75" s="100">
        <v>9</v>
      </c>
      <c r="AC75" s="100">
        <v>5788.7999999999993</v>
      </c>
      <c r="AD75" s="100">
        <v>10</v>
      </c>
      <c r="AE75" s="100">
        <v>6431.9999999999991</v>
      </c>
      <c r="AF75" s="100">
        <v>12</v>
      </c>
      <c r="AG75" s="100">
        <v>7718.4</v>
      </c>
      <c r="AH75" s="100">
        <v>10</v>
      </c>
      <c r="AI75" s="100">
        <v>6431.9999999999991</v>
      </c>
      <c r="AJ75" s="100">
        <v>11</v>
      </c>
      <c r="AK75" s="100">
        <v>7075.1999999999989</v>
      </c>
      <c r="AL75" s="100">
        <v>10.639923327930862</v>
      </c>
      <c r="AM75" s="100">
        <v>6843.59868452513</v>
      </c>
      <c r="AN75" s="100">
        <v>10</v>
      </c>
      <c r="AO75" s="100">
        <v>6431.9999999999991</v>
      </c>
      <c r="AP75" s="100">
        <v>13</v>
      </c>
      <c r="AQ75" s="100">
        <v>8361.5999999999985</v>
      </c>
      <c r="AR75" s="100">
        <v>13.302965983430134</v>
      </c>
      <c r="AS75" s="100">
        <v>8556.4677205422613</v>
      </c>
      <c r="AT75" s="100">
        <v>11</v>
      </c>
      <c r="AU75" s="100">
        <v>7075.1999999999989</v>
      </c>
      <c r="AV75" s="100">
        <v>8</v>
      </c>
      <c r="AW75" s="100">
        <v>5145.5999999999995</v>
      </c>
      <c r="AX75" s="100">
        <v>7</v>
      </c>
      <c r="AY75" s="100">
        <v>4502.3999999999996</v>
      </c>
      <c r="AZ75" s="100">
        <v>14</v>
      </c>
      <c r="BA75" s="100">
        <v>9004.7999999999993</v>
      </c>
      <c r="BB75" s="100">
        <v>9</v>
      </c>
      <c r="BC75" s="100">
        <v>5788.7999999999993</v>
      </c>
      <c r="BD75" s="100">
        <v>12</v>
      </c>
      <c r="BE75" s="100">
        <v>7718.4</v>
      </c>
      <c r="BF75" s="100">
        <v>9.4926632850830082</v>
      </c>
      <c r="BG75" s="100">
        <v>6105.68102496539</v>
      </c>
      <c r="BH75" s="100">
        <v>13</v>
      </c>
      <c r="BI75" s="100">
        <v>8361.5999999999985</v>
      </c>
      <c r="BJ75" s="100">
        <v>12</v>
      </c>
      <c r="BK75" s="100">
        <v>7718.4</v>
      </c>
      <c r="BL75" s="100">
        <v>8</v>
      </c>
      <c r="BM75" s="100">
        <v>5145.5999999999995</v>
      </c>
      <c r="BN75" s="100">
        <v>5.1741583650278447</v>
      </c>
      <c r="BO75" s="100">
        <v>3328.0186603859092</v>
      </c>
      <c r="BP75" s="100">
        <v>9.9604743083003999</v>
      </c>
      <c r="BQ75" s="100">
        <v>6406.5770750988167</v>
      </c>
      <c r="BR75" s="100">
        <v>11</v>
      </c>
      <c r="BS75" s="100">
        <v>7075.1999999999989</v>
      </c>
      <c r="BT75" s="100">
        <v>9</v>
      </c>
      <c r="BU75" s="100">
        <v>5788.7999999999993</v>
      </c>
      <c r="BV75" s="100">
        <v>10</v>
      </c>
      <c r="BW75" s="100">
        <v>6431.9999999999991</v>
      </c>
      <c r="BX75" s="100">
        <v>9</v>
      </c>
      <c r="BY75" s="100">
        <v>5788.7999999999993</v>
      </c>
      <c r="BZ75" s="100">
        <v>12</v>
      </c>
      <c r="CA75" s="100">
        <v>7718.4</v>
      </c>
      <c r="CB75" s="100">
        <v>10</v>
      </c>
      <c r="CC75" s="100">
        <v>6431.9999999999991</v>
      </c>
      <c r="CD75" s="100">
        <v>9</v>
      </c>
      <c r="CE75" s="100">
        <v>5788.7999999999993</v>
      </c>
      <c r="CF75" s="100">
        <v>13.905579399141672</v>
      </c>
      <c r="CG75" s="100">
        <v>8944.0686695279219</v>
      </c>
      <c r="CH75" s="100">
        <v>8</v>
      </c>
      <c r="CI75" s="100">
        <v>5145.5999999999995</v>
      </c>
      <c r="CJ75" s="100">
        <v>9</v>
      </c>
      <c r="CK75" s="100">
        <v>5788.7999999999993</v>
      </c>
      <c r="CL75" s="100">
        <v>17</v>
      </c>
      <c r="CM75" s="100">
        <v>10934.4</v>
      </c>
      <c r="CN75" s="100">
        <v>8</v>
      </c>
      <c r="CO75" s="100">
        <v>5145.5999999999995</v>
      </c>
      <c r="CP75" s="100">
        <v>9.3460205670525323</v>
      </c>
      <c r="CQ75" s="100">
        <v>6011.3604287281878</v>
      </c>
      <c r="CR75" s="100">
        <v>10</v>
      </c>
      <c r="CS75" s="100">
        <v>6431.9999999999991</v>
      </c>
      <c r="CT75" s="100">
        <v>11</v>
      </c>
      <c r="CU75" s="100">
        <v>7075.1999999999989</v>
      </c>
    </row>
    <row r="76" spans="2:99">
      <c r="C76" s="99" t="s">
        <v>242</v>
      </c>
      <c r="D76" s="100">
        <v>9</v>
      </c>
      <c r="E76" s="100">
        <v>7009.2</v>
      </c>
      <c r="F76" s="100">
        <v>9</v>
      </c>
      <c r="G76" s="100">
        <v>7009.2</v>
      </c>
      <c r="H76" s="100">
        <v>10</v>
      </c>
      <c r="I76" s="100">
        <v>7788</v>
      </c>
      <c r="J76" s="100">
        <v>6.8427150265407386</v>
      </c>
      <c r="K76" s="100">
        <v>5329.1064626699272</v>
      </c>
      <c r="L76" s="100">
        <v>8</v>
      </c>
      <c r="M76" s="100">
        <v>6230.4</v>
      </c>
      <c r="N76" s="100">
        <v>8</v>
      </c>
      <c r="O76" s="100">
        <v>6230.4</v>
      </c>
      <c r="P76" s="100">
        <v>8</v>
      </c>
      <c r="Q76" s="100">
        <v>6230.4</v>
      </c>
      <c r="R76" s="100">
        <v>8</v>
      </c>
      <c r="S76" s="100">
        <v>6230.4</v>
      </c>
      <c r="T76" s="100">
        <v>12</v>
      </c>
      <c r="U76" s="100">
        <v>9345.5999999999985</v>
      </c>
      <c r="V76" s="100">
        <v>12</v>
      </c>
      <c r="W76" s="100">
        <v>9345.5999999999985</v>
      </c>
      <c r="X76" s="100">
        <v>14</v>
      </c>
      <c r="Y76" s="100">
        <v>10903.199999999999</v>
      </c>
      <c r="Z76" s="100">
        <v>12</v>
      </c>
      <c r="AA76" s="100">
        <v>9345.5999999999985</v>
      </c>
      <c r="AB76" s="100">
        <v>9</v>
      </c>
      <c r="AC76" s="100">
        <v>7009.2</v>
      </c>
      <c r="AD76" s="100">
        <v>11</v>
      </c>
      <c r="AE76" s="100">
        <v>8566.7999999999993</v>
      </c>
      <c r="AF76" s="100">
        <v>11</v>
      </c>
      <c r="AG76" s="100">
        <v>8566.7999999999993</v>
      </c>
      <c r="AH76" s="100">
        <v>11</v>
      </c>
      <c r="AI76" s="100">
        <v>8566.7999999999993</v>
      </c>
      <c r="AJ76" s="100">
        <v>11</v>
      </c>
      <c r="AK76" s="100">
        <v>8566.7999999999993</v>
      </c>
      <c r="AL76" s="100">
        <v>10.639923327930862</v>
      </c>
      <c r="AM76" s="100">
        <v>8286.3722877925557</v>
      </c>
      <c r="AN76" s="100">
        <v>10</v>
      </c>
      <c r="AO76" s="100">
        <v>7788</v>
      </c>
      <c r="AP76" s="100">
        <v>13</v>
      </c>
      <c r="AQ76" s="100">
        <v>10124.4</v>
      </c>
      <c r="AR76" s="100">
        <v>12.352754127470838</v>
      </c>
      <c r="AS76" s="100">
        <v>9620.3249144742877</v>
      </c>
      <c r="AT76" s="100">
        <v>11</v>
      </c>
      <c r="AU76" s="100">
        <v>8566.7999999999993</v>
      </c>
      <c r="AV76" s="100">
        <v>8</v>
      </c>
      <c r="AW76" s="100">
        <v>6230.4</v>
      </c>
      <c r="AX76" s="100">
        <v>8</v>
      </c>
      <c r="AY76" s="100">
        <v>6230.4</v>
      </c>
      <c r="AZ76" s="100">
        <v>14</v>
      </c>
      <c r="BA76" s="100">
        <v>10903.199999999999</v>
      </c>
      <c r="BB76" s="100">
        <v>10</v>
      </c>
      <c r="BC76" s="100">
        <v>7788</v>
      </c>
      <c r="BD76" s="100">
        <v>12</v>
      </c>
      <c r="BE76" s="100">
        <v>9345.5999999999985</v>
      </c>
      <c r="BF76" s="100">
        <v>9.4926632850830082</v>
      </c>
      <c r="BG76" s="100">
        <v>7392.8861664226461</v>
      </c>
      <c r="BH76" s="100">
        <v>11</v>
      </c>
      <c r="BI76" s="100">
        <v>8566.7999999999993</v>
      </c>
      <c r="BJ76" s="100">
        <v>11</v>
      </c>
      <c r="BK76" s="100">
        <v>8566.7999999999993</v>
      </c>
      <c r="BL76" s="100">
        <v>7</v>
      </c>
      <c r="BM76" s="100">
        <v>5451.5999999999995</v>
      </c>
      <c r="BN76" s="100">
        <v>5.1741583650278447</v>
      </c>
      <c r="BO76" s="100">
        <v>4029.6345346836852</v>
      </c>
      <c r="BP76" s="100">
        <v>9.9604743083003999</v>
      </c>
      <c r="BQ76" s="100">
        <v>7757.2173913043507</v>
      </c>
      <c r="BR76" s="100">
        <v>10</v>
      </c>
      <c r="BS76" s="100">
        <v>7788</v>
      </c>
      <c r="BT76" s="100">
        <v>9</v>
      </c>
      <c r="BU76" s="100">
        <v>7009.2</v>
      </c>
      <c r="BV76" s="100">
        <v>10</v>
      </c>
      <c r="BW76" s="100">
        <v>7788</v>
      </c>
      <c r="BX76" s="100">
        <v>9</v>
      </c>
      <c r="BY76" s="100">
        <v>7009.2</v>
      </c>
      <c r="BZ76" s="100">
        <v>12</v>
      </c>
      <c r="CA76" s="100">
        <v>9345.5999999999985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12.978540772532227</v>
      </c>
      <c r="CG76" s="100">
        <v>10107.687553648098</v>
      </c>
      <c r="CH76" s="100">
        <v>8</v>
      </c>
      <c r="CI76" s="100">
        <v>6230.4</v>
      </c>
      <c r="CJ76" s="100">
        <v>10</v>
      </c>
      <c r="CK76" s="100">
        <v>7788</v>
      </c>
      <c r="CL76" s="100">
        <v>16</v>
      </c>
      <c r="CM76" s="100">
        <v>12460.8</v>
      </c>
      <c r="CN76" s="100">
        <v>7</v>
      </c>
      <c r="CO76" s="100">
        <v>5451.5999999999995</v>
      </c>
      <c r="CP76" s="100">
        <v>10.903690661561289</v>
      </c>
      <c r="CQ76" s="100">
        <v>8491.794287223931</v>
      </c>
      <c r="CR76" s="100">
        <v>12</v>
      </c>
      <c r="CS76" s="100">
        <v>9345.5999999999985</v>
      </c>
      <c r="CT76" s="100">
        <v>10</v>
      </c>
      <c r="CU76" s="100">
        <v>7788</v>
      </c>
    </row>
    <row r="77" spans="2:99">
      <c r="C77" s="99" t="s">
        <v>243</v>
      </c>
      <c r="D77" s="100">
        <v>10</v>
      </c>
      <c r="E77" s="100">
        <v>2784</v>
      </c>
      <c r="F77" s="100">
        <v>9</v>
      </c>
      <c r="G77" s="100">
        <v>2505.6</v>
      </c>
      <c r="H77" s="100">
        <v>11</v>
      </c>
      <c r="I77" s="100">
        <v>3062.3999999999996</v>
      </c>
      <c r="J77" s="100">
        <v>7.3690777208900267</v>
      </c>
      <c r="K77" s="100">
        <v>2051.5512374957834</v>
      </c>
      <c r="L77" s="100">
        <v>10</v>
      </c>
      <c r="M77" s="100">
        <v>2784</v>
      </c>
      <c r="N77" s="100">
        <v>9</v>
      </c>
      <c r="O77" s="100">
        <v>2505.6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14</v>
      </c>
      <c r="U77" s="100">
        <v>3897.5999999999995</v>
      </c>
      <c r="V77" s="100">
        <v>14</v>
      </c>
      <c r="W77" s="100">
        <v>3897.5999999999995</v>
      </c>
      <c r="X77" s="100">
        <v>12</v>
      </c>
      <c r="Y77" s="100">
        <v>3340.7999999999997</v>
      </c>
      <c r="Z77" s="100">
        <v>14</v>
      </c>
      <c r="AA77" s="100">
        <v>3897.5999999999995</v>
      </c>
      <c r="AB77" s="100">
        <v>11</v>
      </c>
      <c r="AC77" s="100">
        <v>3062.3999999999996</v>
      </c>
      <c r="AD77" s="100">
        <v>10</v>
      </c>
      <c r="AE77" s="100">
        <v>2784</v>
      </c>
      <c r="AF77" s="100">
        <v>12</v>
      </c>
      <c r="AG77" s="100">
        <v>3340.7999999999997</v>
      </c>
      <c r="AH77" s="100">
        <v>11</v>
      </c>
      <c r="AI77" s="100">
        <v>3062.3999999999996</v>
      </c>
      <c r="AJ77" s="100">
        <v>12</v>
      </c>
      <c r="AK77" s="100">
        <v>3340.7999999999997</v>
      </c>
      <c r="AL77" s="100">
        <v>10.639923327930862</v>
      </c>
      <c r="AM77" s="100">
        <v>2962.1546544959519</v>
      </c>
      <c r="AN77" s="100">
        <v>11</v>
      </c>
      <c r="AO77" s="100">
        <v>3062.3999999999996</v>
      </c>
      <c r="AP77" s="100">
        <v>13</v>
      </c>
      <c r="AQ77" s="100">
        <v>3619.2</v>
      </c>
      <c r="AR77" s="100">
        <v>12.352754127470838</v>
      </c>
      <c r="AS77" s="100">
        <v>3439.006749087881</v>
      </c>
      <c r="AT77" s="100">
        <v>12</v>
      </c>
      <c r="AU77" s="100">
        <v>3340.7999999999997</v>
      </c>
      <c r="AV77" s="100">
        <v>8</v>
      </c>
      <c r="AW77" s="100">
        <v>2227.1999999999998</v>
      </c>
      <c r="AX77" s="100">
        <v>8</v>
      </c>
      <c r="AY77" s="100">
        <v>2227.1999999999998</v>
      </c>
      <c r="AZ77" s="100">
        <v>16</v>
      </c>
      <c r="BA77" s="100">
        <v>4454.3999999999996</v>
      </c>
      <c r="BB77" s="100">
        <v>10</v>
      </c>
      <c r="BC77" s="100">
        <v>2784</v>
      </c>
      <c r="BD77" s="100">
        <v>13</v>
      </c>
      <c r="BE77" s="100">
        <v>3619.2</v>
      </c>
      <c r="BF77" s="100">
        <v>9.4926632850830082</v>
      </c>
      <c r="BG77" s="100">
        <v>2642.7574585671091</v>
      </c>
      <c r="BH77" s="100">
        <v>11</v>
      </c>
      <c r="BI77" s="100">
        <v>3062.3999999999996</v>
      </c>
      <c r="BJ77" s="100">
        <v>10</v>
      </c>
      <c r="BK77" s="100">
        <v>2784</v>
      </c>
      <c r="BL77" s="100">
        <v>8</v>
      </c>
      <c r="BM77" s="100">
        <v>2227.1999999999998</v>
      </c>
      <c r="BN77" s="100">
        <v>5.1741583650278447</v>
      </c>
      <c r="BO77" s="100">
        <v>1440.4856888237518</v>
      </c>
      <c r="BP77" s="100">
        <v>11.383399209486171</v>
      </c>
      <c r="BQ77" s="100">
        <v>3169.1383399209499</v>
      </c>
      <c r="BR77" s="100">
        <v>11</v>
      </c>
      <c r="BS77" s="100">
        <v>3062.3999999999996</v>
      </c>
      <c r="BT77" s="100">
        <v>9</v>
      </c>
      <c r="BU77" s="100">
        <v>2505.6</v>
      </c>
      <c r="BV77" s="100">
        <v>11</v>
      </c>
      <c r="BW77" s="100">
        <v>3062.3999999999996</v>
      </c>
      <c r="BX77" s="100">
        <v>9</v>
      </c>
      <c r="BY77" s="100">
        <v>2505.6</v>
      </c>
      <c r="BZ77" s="100">
        <v>11</v>
      </c>
      <c r="CA77" s="100">
        <v>3062.3999999999996</v>
      </c>
      <c r="CB77" s="100">
        <v>9</v>
      </c>
      <c r="CC77" s="100">
        <v>2505.6</v>
      </c>
      <c r="CD77" s="100">
        <v>9</v>
      </c>
      <c r="CE77" s="100">
        <v>2505.6</v>
      </c>
      <c r="CF77" s="100">
        <v>12.051502145922784</v>
      </c>
      <c r="CG77" s="100">
        <v>3355.138197424903</v>
      </c>
      <c r="CH77" s="100">
        <v>9</v>
      </c>
      <c r="CI77" s="100">
        <v>2505.6</v>
      </c>
      <c r="CJ77" s="100">
        <v>9</v>
      </c>
      <c r="CK77" s="100">
        <v>2505.6</v>
      </c>
      <c r="CL77" s="100">
        <v>17</v>
      </c>
      <c r="CM77" s="100">
        <v>4732.7999999999993</v>
      </c>
      <c r="CN77" s="100">
        <v>8</v>
      </c>
      <c r="CO77" s="100">
        <v>2227.1999999999998</v>
      </c>
      <c r="CP77" s="100">
        <v>10.12485561430691</v>
      </c>
      <c r="CQ77" s="100">
        <v>2818.7598030230433</v>
      </c>
      <c r="CR77" s="100">
        <v>12</v>
      </c>
      <c r="CS77" s="100">
        <v>3340.7999999999997</v>
      </c>
      <c r="CT77" s="100">
        <v>12</v>
      </c>
      <c r="CU77" s="100">
        <v>3340.7999999999997</v>
      </c>
    </row>
    <row r="78" spans="2:99">
      <c r="C78" s="99" t="s">
        <v>244</v>
      </c>
      <c r="D78" s="100">
        <v>10</v>
      </c>
      <c r="E78" s="100">
        <v>5520</v>
      </c>
      <c r="F78" s="100">
        <v>9</v>
      </c>
      <c r="G78" s="100">
        <v>4968</v>
      </c>
      <c r="H78" s="100">
        <v>10</v>
      </c>
      <c r="I78" s="100">
        <v>5520</v>
      </c>
      <c r="J78" s="100">
        <v>7.8954404152393138</v>
      </c>
      <c r="K78" s="100">
        <v>4358.2831092121014</v>
      </c>
      <c r="L78" s="100">
        <v>9</v>
      </c>
      <c r="M78" s="100">
        <v>4968</v>
      </c>
      <c r="N78" s="100">
        <v>9</v>
      </c>
      <c r="O78" s="100">
        <v>4968</v>
      </c>
      <c r="P78" s="100">
        <v>7</v>
      </c>
      <c r="Q78" s="100">
        <v>3864</v>
      </c>
      <c r="R78" s="100">
        <v>8</v>
      </c>
      <c r="S78" s="100">
        <v>4416</v>
      </c>
      <c r="T78" s="100">
        <v>13</v>
      </c>
      <c r="U78" s="100">
        <v>7176</v>
      </c>
      <c r="V78" s="100">
        <v>12</v>
      </c>
      <c r="W78" s="100">
        <v>6624</v>
      </c>
      <c r="X78" s="100">
        <v>14</v>
      </c>
      <c r="Y78" s="100">
        <v>7728</v>
      </c>
      <c r="Z78" s="100">
        <v>12</v>
      </c>
      <c r="AA78" s="100">
        <v>6624</v>
      </c>
      <c r="AB78" s="100">
        <v>9</v>
      </c>
      <c r="AC78" s="100">
        <v>4968</v>
      </c>
      <c r="AD78" s="100">
        <v>11</v>
      </c>
      <c r="AE78" s="100">
        <v>6072</v>
      </c>
      <c r="AF78" s="100">
        <v>11</v>
      </c>
      <c r="AG78" s="100">
        <v>6072</v>
      </c>
      <c r="AH78" s="100">
        <v>11</v>
      </c>
      <c r="AI78" s="100">
        <v>6072</v>
      </c>
      <c r="AJ78" s="100">
        <v>11</v>
      </c>
      <c r="AK78" s="100">
        <v>6072</v>
      </c>
      <c r="AL78" s="100">
        <v>9.1199342810835962</v>
      </c>
      <c r="AM78" s="100">
        <v>5034.2037231581453</v>
      </c>
      <c r="AN78" s="100">
        <v>12</v>
      </c>
      <c r="AO78" s="100">
        <v>6624</v>
      </c>
      <c r="AP78" s="100">
        <v>11</v>
      </c>
      <c r="AQ78" s="100">
        <v>6072</v>
      </c>
      <c r="AR78" s="100">
        <v>12.352754127470838</v>
      </c>
      <c r="AS78" s="100">
        <v>6818.7202783639032</v>
      </c>
      <c r="AT78" s="100">
        <v>13</v>
      </c>
      <c r="AU78" s="100">
        <v>7176</v>
      </c>
      <c r="AV78" s="100">
        <v>9</v>
      </c>
      <c r="AW78" s="100">
        <v>4968</v>
      </c>
      <c r="AX78" s="100">
        <v>8</v>
      </c>
      <c r="AY78" s="100">
        <v>4416</v>
      </c>
      <c r="AZ78" s="100">
        <v>13</v>
      </c>
      <c r="BA78" s="100">
        <v>7176</v>
      </c>
      <c r="BB78" s="100">
        <v>10</v>
      </c>
      <c r="BC78" s="100">
        <v>5520</v>
      </c>
      <c r="BD78" s="100">
        <v>12</v>
      </c>
      <c r="BE78" s="100">
        <v>6624</v>
      </c>
      <c r="BF78" s="100">
        <v>9.4926632850830082</v>
      </c>
      <c r="BG78" s="100">
        <v>5239.9501333658209</v>
      </c>
      <c r="BH78" s="100">
        <v>13</v>
      </c>
      <c r="BI78" s="100">
        <v>7176</v>
      </c>
      <c r="BJ78" s="100">
        <v>11</v>
      </c>
      <c r="BK78" s="100">
        <v>6072</v>
      </c>
      <c r="BL78" s="100">
        <v>8</v>
      </c>
      <c r="BM78" s="100">
        <v>4416</v>
      </c>
      <c r="BN78" s="100">
        <v>5.6053382287801643</v>
      </c>
      <c r="BO78" s="100">
        <v>3094.1467022866509</v>
      </c>
      <c r="BP78" s="100">
        <v>9.9604743083003999</v>
      </c>
      <c r="BQ78" s="100">
        <v>5498.1818181818207</v>
      </c>
      <c r="BR78" s="100">
        <v>13</v>
      </c>
      <c r="BS78" s="100">
        <v>7176</v>
      </c>
      <c r="BT78" s="100">
        <v>8</v>
      </c>
      <c r="BU78" s="100">
        <v>4416</v>
      </c>
      <c r="BV78" s="100">
        <v>10</v>
      </c>
      <c r="BW78" s="100">
        <v>5520</v>
      </c>
      <c r="BX78" s="100">
        <v>10</v>
      </c>
      <c r="BY78" s="100">
        <v>5520</v>
      </c>
      <c r="BZ78" s="100">
        <v>10</v>
      </c>
      <c r="CA78" s="100">
        <v>5520</v>
      </c>
      <c r="CB78" s="100">
        <v>9</v>
      </c>
      <c r="CC78" s="100">
        <v>4968</v>
      </c>
      <c r="CD78" s="100">
        <v>9</v>
      </c>
      <c r="CE78" s="100">
        <v>4968</v>
      </c>
      <c r="CF78" s="100">
        <v>12.051502145922784</v>
      </c>
      <c r="CG78" s="100">
        <v>6652.4291845493772</v>
      </c>
      <c r="CH78" s="100">
        <v>8</v>
      </c>
      <c r="CI78" s="100">
        <v>4416</v>
      </c>
      <c r="CJ78" s="100">
        <v>10</v>
      </c>
      <c r="CK78" s="100">
        <v>5520</v>
      </c>
      <c r="CL78" s="100">
        <v>14</v>
      </c>
      <c r="CM78" s="100">
        <v>7728</v>
      </c>
      <c r="CN78" s="100">
        <v>8</v>
      </c>
      <c r="CO78" s="100">
        <v>4416</v>
      </c>
      <c r="CP78" s="100">
        <v>10.12485561430691</v>
      </c>
      <c r="CQ78" s="100">
        <v>5588.9202990974136</v>
      </c>
      <c r="CR78" s="100">
        <v>11</v>
      </c>
      <c r="CS78" s="100">
        <v>6072</v>
      </c>
      <c r="CT78" s="100">
        <v>10</v>
      </c>
      <c r="CU78" s="100">
        <v>5520</v>
      </c>
    </row>
    <row r="79" spans="2:99">
      <c r="C79" s="99" t="s">
        <v>245</v>
      </c>
      <c r="D79" s="100">
        <v>10</v>
      </c>
      <c r="E79" s="100">
        <v>7571.9999999999991</v>
      </c>
      <c r="F79" s="100">
        <v>9</v>
      </c>
      <c r="G79" s="100">
        <v>6814.7999999999993</v>
      </c>
      <c r="H79" s="100">
        <v>10</v>
      </c>
      <c r="I79" s="100">
        <v>7571.9999999999991</v>
      </c>
      <c r="J79" s="100">
        <v>7.8954404152393138</v>
      </c>
      <c r="K79" s="100">
        <v>5978.427482419208</v>
      </c>
      <c r="L79" s="100">
        <v>9</v>
      </c>
      <c r="M79" s="100">
        <v>6814.7999999999993</v>
      </c>
      <c r="N79" s="100">
        <v>8</v>
      </c>
      <c r="O79" s="100">
        <v>6057.5999999999995</v>
      </c>
      <c r="P79" s="100">
        <v>8</v>
      </c>
      <c r="Q79" s="100">
        <v>6057.5999999999995</v>
      </c>
      <c r="R79" s="100">
        <v>8</v>
      </c>
      <c r="S79" s="100">
        <v>6057.5999999999995</v>
      </c>
      <c r="T79" s="100">
        <v>13</v>
      </c>
      <c r="U79" s="100">
        <v>9843.5999999999985</v>
      </c>
      <c r="V79" s="100">
        <v>12</v>
      </c>
      <c r="W79" s="100">
        <v>9086.4</v>
      </c>
      <c r="X79" s="100">
        <v>14</v>
      </c>
      <c r="Y79" s="100">
        <v>10600.8</v>
      </c>
      <c r="Z79" s="100">
        <v>14</v>
      </c>
      <c r="AA79" s="100">
        <v>10600.8</v>
      </c>
      <c r="AB79" s="100">
        <v>10</v>
      </c>
      <c r="AC79" s="100">
        <v>7571.9999999999991</v>
      </c>
      <c r="AD79" s="100">
        <v>10</v>
      </c>
      <c r="AE79" s="100">
        <v>7571.9999999999991</v>
      </c>
      <c r="AF79" s="100">
        <v>11</v>
      </c>
      <c r="AG79" s="100">
        <v>8329.1999999999989</v>
      </c>
      <c r="AH79" s="100">
        <v>11</v>
      </c>
      <c r="AI79" s="100">
        <v>8329.1999999999989</v>
      </c>
      <c r="AJ79" s="100">
        <v>11</v>
      </c>
      <c r="AK79" s="100">
        <v>8329.1999999999989</v>
      </c>
      <c r="AL79" s="100">
        <v>9.1199342810835962</v>
      </c>
      <c r="AM79" s="100">
        <v>6905.6142376364987</v>
      </c>
      <c r="AN79" s="100">
        <v>10</v>
      </c>
      <c r="AO79" s="100">
        <v>7571.9999999999991</v>
      </c>
      <c r="AP79" s="100">
        <v>12</v>
      </c>
      <c r="AQ79" s="100">
        <v>9086.4</v>
      </c>
      <c r="AR79" s="100">
        <v>14.253177839389428</v>
      </c>
      <c r="AS79" s="100">
        <v>10792.506259985674</v>
      </c>
      <c r="AT79" s="100">
        <v>11</v>
      </c>
      <c r="AU79" s="100">
        <v>8329.1999999999989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14</v>
      </c>
      <c r="BA79" s="100">
        <v>10600.8</v>
      </c>
      <c r="BB79" s="100">
        <v>10</v>
      </c>
      <c r="BC79" s="100">
        <v>7571.9999999999991</v>
      </c>
      <c r="BD79" s="100">
        <v>11</v>
      </c>
      <c r="BE79" s="100">
        <v>8329.1999999999989</v>
      </c>
      <c r="BF79" s="100">
        <v>10.441929613591309</v>
      </c>
      <c r="BG79" s="100">
        <v>7906.6291034113383</v>
      </c>
      <c r="BH79" s="100">
        <v>13</v>
      </c>
      <c r="BI79" s="100">
        <v>9843.5999999999985</v>
      </c>
      <c r="BJ79" s="100">
        <v>10</v>
      </c>
      <c r="BK79" s="100">
        <v>7571.9999999999991</v>
      </c>
      <c r="BL79" s="100">
        <v>8</v>
      </c>
      <c r="BM79" s="100">
        <v>6057.5999999999995</v>
      </c>
      <c r="BN79" s="100">
        <v>6.0365180925324848</v>
      </c>
      <c r="BO79" s="100">
        <v>4570.8514996655967</v>
      </c>
      <c r="BP79" s="100">
        <v>10.671936758893285</v>
      </c>
      <c r="BQ79" s="100">
        <v>8080.7905138339947</v>
      </c>
      <c r="BR79" s="100">
        <v>12</v>
      </c>
      <c r="BS79" s="100">
        <v>9086.4</v>
      </c>
      <c r="BT79" s="100">
        <v>8</v>
      </c>
      <c r="BU79" s="100">
        <v>6057.5999999999995</v>
      </c>
      <c r="BV79" s="100">
        <v>10</v>
      </c>
      <c r="BW79" s="100">
        <v>7571.9999999999991</v>
      </c>
      <c r="BX79" s="100">
        <v>9</v>
      </c>
      <c r="BY79" s="100">
        <v>6814.7999999999993</v>
      </c>
      <c r="BZ79" s="100">
        <v>12</v>
      </c>
      <c r="CA79" s="100">
        <v>9086.4</v>
      </c>
      <c r="CB79" s="100">
        <v>9</v>
      </c>
      <c r="CC79" s="100">
        <v>6814.7999999999993</v>
      </c>
      <c r="CD79" s="100">
        <v>9</v>
      </c>
      <c r="CE79" s="100">
        <v>6814.7999999999993</v>
      </c>
      <c r="CF79" s="100">
        <v>12.051502145922784</v>
      </c>
      <c r="CG79" s="100">
        <v>9125.3974248927316</v>
      </c>
      <c r="CH79" s="100">
        <v>9</v>
      </c>
      <c r="CI79" s="100">
        <v>6814.7999999999993</v>
      </c>
      <c r="CJ79" s="100">
        <v>9</v>
      </c>
      <c r="CK79" s="100">
        <v>6814.7999999999993</v>
      </c>
      <c r="CL79" s="100">
        <v>15</v>
      </c>
      <c r="CM79" s="100">
        <v>11357.999999999998</v>
      </c>
      <c r="CN79" s="100">
        <v>8</v>
      </c>
      <c r="CO79" s="100">
        <v>6057.5999999999995</v>
      </c>
      <c r="CP79" s="100">
        <v>10.12485561430691</v>
      </c>
      <c r="CQ79" s="100">
        <v>7666.5406711531914</v>
      </c>
      <c r="CR79" s="100">
        <v>12</v>
      </c>
      <c r="CS79" s="100">
        <v>9086.4</v>
      </c>
      <c r="CT79" s="100">
        <v>11</v>
      </c>
      <c r="CU79" s="100">
        <v>8329.1999999999989</v>
      </c>
    </row>
    <row r="80" spans="2:99">
      <c r="C80" s="99" t="s">
        <v>246</v>
      </c>
      <c r="D80" s="100">
        <v>10</v>
      </c>
      <c r="E80" s="100">
        <v>8051.9999999999991</v>
      </c>
      <c r="F80" s="100">
        <v>8</v>
      </c>
      <c r="G80" s="100">
        <v>6441.5999999999995</v>
      </c>
      <c r="H80" s="100">
        <v>10</v>
      </c>
      <c r="I80" s="100">
        <v>8051.9999999999991</v>
      </c>
      <c r="J80" s="100">
        <v>7.3690777208900267</v>
      </c>
      <c r="K80" s="100">
        <v>5933.581380860649</v>
      </c>
      <c r="L80" s="100">
        <v>9</v>
      </c>
      <c r="M80" s="100">
        <v>7246.7999999999993</v>
      </c>
      <c r="N80" s="100">
        <v>8</v>
      </c>
      <c r="O80" s="100">
        <v>6441.5999999999995</v>
      </c>
      <c r="P80" s="100">
        <v>7</v>
      </c>
      <c r="Q80" s="100">
        <v>5636.4</v>
      </c>
      <c r="R80" s="100">
        <v>8</v>
      </c>
      <c r="S80" s="100">
        <v>6441.5999999999995</v>
      </c>
      <c r="T80" s="100">
        <v>12</v>
      </c>
      <c r="U80" s="100">
        <v>9662.4</v>
      </c>
      <c r="V80" s="100">
        <v>13</v>
      </c>
      <c r="W80" s="100">
        <v>10467.599999999999</v>
      </c>
      <c r="X80" s="100">
        <v>14</v>
      </c>
      <c r="Y80" s="100">
        <v>11272.8</v>
      </c>
      <c r="Z80" s="100">
        <v>12</v>
      </c>
      <c r="AA80" s="100">
        <v>9662.4</v>
      </c>
      <c r="AB80" s="100">
        <v>9</v>
      </c>
      <c r="AC80" s="100">
        <v>7246.7999999999993</v>
      </c>
      <c r="AD80" s="100">
        <v>11</v>
      </c>
      <c r="AE80" s="100">
        <v>8857.1999999999989</v>
      </c>
      <c r="AF80" s="100">
        <v>11</v>
      </c>
      <c r="AG80" s="100">
        <v>8857.1999999999989</v>
      </c>
      <c r="AH80" s="100">
        <v>10</v>
      </c>
      <c r="AI80" s="100">
        <v>8051.9999999999991</v>
      </c>
      <c r="AJ80" s="100">
        <v>11</v>
      </c>
      <c r="AK80" s="100">
        <v>8857.1999999999989</v>
      </c>
      <c r="AL80" s="100">
        <v>10.639923327930862</v>
      </c>
      <c r="AM80" s="100">
        <v>8567.2662636499299</v>
      </c>
      <c r="AN80" s="100">
        <v>10</v>
      </c>
      <c r="AO80" s="100">
        <v>8051.9999999999991</v>
      </c>
      <c r="AP80" s="100">
        <v>12</v>
      </c>
      <c r="AQ80" s="100">
        <v>9662.4</v>
      </c>
      <c r="AR80" s="100">
        <v>12.352754127470838</v>
      </c>
      <c r="AS80" s="100">
        <v>9946.4376234395186</v>
      </c>
      <c r="AT80" s="100">
        <v>11</v>
      </c>
      <c r="AU80" s="100">
        <v>8857.1999999999989</v>
      </c>
      <c r="AV80" s="100">
        <v>8</v>
      </c>
      <c r="AW80" s="100">
        <v>6441.5999999999995</v>
      </c>
      <c r="AX80" s="100">
        <v>8</v>
      </c>
      <c r="AY80" s="100">
        <v>6441.5999999999995</v>
      </c>
      <c r="AZ80" s="100">
        <v>14</v>
      </c>
      <c r="BA80" s="100">
        <v>11272.8</v>
      </c>
      <c r="BB80" s="100">
        <v>10</v>
      </c>
      <c r="BC80" s="100">
        <v>8051.9999999999991</v>
      </c>
      <c r="BD80" s="100">
        <v>11</v>
      </c>
      <c r="BE80" s="100">
        <v>8857.1999999999989</v>
      </c>
      <c r="BF80" s="100">
        <v>9.4926632850830082</v>
      </c>
      <c r="BG80" s="100">
        <v>7643.4924771488377</v>
      </c>
      <c r="BH80" s="100">
        <v>12</v>
      </c>
      <c r="BI80" s="100">
        <v>9662.4</v>
      </c>
      <c r="BJ80" s="100">
        <v>10</v>
      </c>
      <c r="BK80" s="100">
        <v>8051.9999999999991</v>
      </c>
      <c r="BL80" s="100">
        <v>8</v>
      </c>
      <c r="BM80" s="100">
        <v>6441.5999999999995</v>
      </c>
      <c r="BN80" s="100">
        <v>5.6053382287801643</v>
      </c>
      <c r="BO80" s="100">
        <v>4513.4183418137882</v>
      </c>
      <c r="BP80" s="100">
        <v>9.9604743083003999</v>
      </c>
      <c r="BQ80" s="100">
        <v>8020.1739130434817</v>
      </c>
      <c r="BR80" s="100">
        <v>12</v>
      </c>
      <c r="BS80" s="100">
        <v>9662.4</v>
      </c>
      <c r="BT80" s="100">
        <v>8</v>
      </c>
      <c r="BU80" s="100">
        <v>6441.5999999999995</v>
      </c>
      <c r="BV80" s="100">
        <v>11</v>
      </c>
      <c r="BW80" s="100">
        <v>8857.1999999999989</v>
      </c>
      <c r="BX80" s="100">
        <v>10</v>
      </c>
      <c r="BY80" s="100">
        <v>8051.9999999999991</v>
      </c>
      <c r="BZ80" s="100">
        <v>11</v>
      </c>
      <c r="CA80" s="100">
        <v>8857.1999999999989</v>
      </c>
      <c r="CB80" s="100">
        <v>9</v>
      </c>
      <c r="CC80" s="100">
        <v>7246.7999999999993</v>
      </c>
      <c r="CD80" s="100">
        <v>9</v>
      </c>
      <c r="CE80" s="100">
        <v>7246.7999999999993</v>
      </c>
      <c r="CF80" s="100">
        <v>12.978540772532227</v>
      </c>
      <c r="CG80" s="100">
        <v>10450.321030042949</v>
      </c>
      <c r="CH80" s="100">
        <v>7</v>
      </c>
      <c r="CI80" s="100">
        <v>5636.4</v>
      </c>
      <c r="CJ80" s="100">
        <v>8</v>
      </c>
      <c r="CK80" s="100">
        <v>6441.5999999999995</v>
      </c>
      <c r="CL80" s="100">
        <v>14</v>
      </c>
      <c r="CM80" s="100">
        <v>11272.8</v>
      </c>
      <c r="CN80" s="100">
        <v>7</v>
      </c>
      <c r="CO80" s="100">
        <v>5636.4</v>
      </c>
      <c r="CP80" s="100">
        <v>10.12485561430691</v>
      </c>
      <c r="CQ80" s="100">
        <v>8152.5337406399231</v>
      </c>
      <c r="CR80" s="100">
        <v>11</v>
      </c>
      <c r="CS80" s="100">
        <v>8857.1999999999989</v>
      </c>
      <c r="CT80" s="100">
        <v>11</v>
      </c>
      <c r="CU80" s="100">
        <v>8857.1999999999989</v>
      </c>
    </row>
    <row r="81" spans="2:99">
      <c r="C81" s="99" t="s">
        <v>247</v>
      </c>
      <c r="D81" s="100">
        <v>10</v>
      </c>
      <c r="E81" s="100">
        <v>7536</v>
      </c>
      <c r="F81" s="100">
        <v>9</v>
      </c>
      <c r="G81" s="100">
        <v>6782.4000000000005</v>
      </c>
      <c r="H81" s="100">
        <v>10</v>
      </c>
      <c r="I81" s="100">
        <v>7536</v>
      </c>
      <c r="J81" s="100">
        <v>7.8954404152393138</v>
      </c>
      <c r="K81" s="100">
        <v>5950.0038969243469</v>
      </c>
      <c r="L81" s="100">
        <v>8</v>
      </c>
      <c r="M81" s="100">
        <v>6028.8</v>
      </c>
      <c r="N81" s="100">
        <v>8</v>
      </c>
      <c r="O81" s="100">
        <v>6028.8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14</v>
      </c>
      <c r="U81" s="100">
        <v>10550.4</v>
      </c>
      <c r="V81" s="100">
        <v>14</v>
      </c>
      <c r="W81" s="100">
        <v>10550.4</v>
      </c>
      <c r="X81" s="100">
        <v>13</v>
      </c>
      <c r="Y81" s="100">
        <v>9796.8000000000011</v>
      </c>
      <c r="Z81" s="100">
        <v>13</v>
      </c>
      <c r="AA81" s="100">
        <v>9796.8000000000011</v>
      </c>
      <c r="AB81" s="100">
        <v>10</v>
      </c>
      <c r="AC81" s="100">
        <v>7536</v>
      </c>
      <c r="AD81" s="100">
        <v>9</v>
      </c>
      <c r="AE81" s="100">
        <v>6782.4000000000005</v>
      </c>
      <c r="AF81" s="100">
        <v>11</v>
      </c>
      <c r="AG81" s="100">
        <v>8289.6</v>
      </c>
      <c r="AH81" s="100">
        <v>11</v>
      </c>
      <c r="AI81" s="100">
        <v>8289.6</v>
      </c>
      <c r="AJ81" s="100">
        <v>11</v>
      </c>
      <c r="AK81" s="100">
        <v>8289.6</v>
      </c>
      <c r="AL81" s="100">
        <v>9.8799288045072284</v>
      </c>
      <c r="AM81" s="100">
        <v>7445.5143470766479</v>
      </c>
      <c r="AN81" s="100">
        <v>10</v>
      </c>
      <c r="AO81" s="100">
        <v>7536</v>
      </c>
      <c r="AP81" s="100">
        <v>12</v>
      </c>
      <c r="AQ81" s="100">
        <v>9043.2000000000007</v>
      </c>
      <c r="AR81" s="100">
        <v>14.253177839389428</v>
      </c>
      <c r="AS81" s="100">
        <v>10741.194819763874</v>
      </c>
      <c r="AT81" s="100">
        <v>10</v>
      </c>
      <c r="AU81" s="100">
        <v>7536</v>
      </c>
      <c r="AV81" s="100">
        <v>7</v>
      </c>
      <c r="AW81" s="100">
        <v>5275.2</v>
      </c>
      <c r="AX81" s="100">
        <v>7</v>
      </c>
      <c r="AY81" s="100">
        <v>5275.2</v>
      </c>
      <c r="AZ81" s="100">
        <v>15</v>
      </c>
      <c r="BA81" s="100">
        <v>11304</v>
      </c>
      <c r="BB81" s="100">
        <v>9</v>
      </c>
      <c r="BC81" s="100">
        <v>6782.4000000000005</v>
      </c>
      <c r="BD81" s="100">
        <v>11</v>
      </c>
      <c r="BE81" s="100">
        <v>8289.6</v>
      </c>
      <c r="BF81" s="100">
        <v>9.4926632850830082</v>
      </c>
      <c r="BG81" s="100">
        <v>7153.6710516385556</v>
      </c>
      <c r="BH81" s="100">
        <v>11</v>
      </c>
      <c r="BI81" s="100">
        <v>8289.6</v>
      </c>
      <c r="BJ81" s="100">
        <v>11</v>
      </c>
      <c r="BK81" s="100">
        <v>8289.6</v>
      </c>
      <c r="BL81" s="100">
        <v>8</v>
      </c>
      <c r="BM81" s="100">
        <v>6028.8</v>
      </c>
      <c r="BN81" s="100">
        <v>5.6053382287801643</v>
      </c>
      <c r="BO81" s="100">
        <v>4224.1828892087324</v>
      </c>
      <c r="BP81" s="100">
        <v>9.2490118577075151</v>
      </c>
      <c r="BQ81" s="100">
        <v>6970.0553359683836</v>
      </c>
      <c r="BR81" s="100">
        <v>12</v>
      </c>
      <c r="BS81" s="100">
        <v>9043.2000000000007</v>
      </c>
      <c r="BT81" s="100">
        <v>8</v>
      </c>
      <c r="BU81" s="100">
        <v>6028.8</v>
      </c>
      <c r="BV81" s="100">
        <v>11</v>
      </c>
      <c r="BW81" s="100">
        <v>8289.6</v>
      </c>
      <c r="BX81" s="100">
        <v>9</v>
      </c>
      <c r="BY81" s="100">
        <v>6782.4000000000005</v>
      </c>
      <c r="BZ81" s="100">
        <v>12</v>
      </c>
      <c r="CA81" s="100">
        <v>9043.2000000000007</v>
      </c>
      <c r="CB81" s="100">
        <v>9</v>
      </c>
      <c r="CC81" s="100">
        <v>6782.4000000000005</v>
      </c>
      <c r="CD81" s="100">
        <v>9</v>
      </c>
      <c r="CE81" s="100">
        <v>6782.4000000000005</v>
      </c>
      <c r="CF81" s="100">
        <v>12.051502145922784</v>
      </c>
      <c r="CG81" s="100">
        <v>9082.0120171674098</v>
      </c>
      <c r="CH81" s="100">
        <v>7</v>
      </c>
      <c r="CI81" s="100">
        <v>5275.2</v>
      </c>
      <c r="CJ81" s="100">
        <v>9</v>
      </c>
      <c r="CK81" s="100">
        <v>6782.4000000000005</v>
      </c>
      <c r="CL81" s="100">
        <v>15</v>
      </c>
      <c r="CM81" s="100">
        <v>11304</v>
      </c>
      <c r="CN81" s="100">
        <v>8</v>
      </c>
      <c r="CO81" s="100">
        <v>6028.8</v>
      </c>
      <c r="CP81" s="100">
        <v>10.12485561430691</v>
      </c>
      <c r="CQ81" s="100">
        <v>7630.0911909416873</v>
      </c>
      <c r="CR81" s="100">
        <v>10</v>
      </c>
      <c r="CS81" s="100">
        <v>7536</v>
      </c>
      <c r="CT81" s="100">
        <v>10</v>
      </c>
      <c r="CU81" s="100">
        <v>7536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8</v>
      </c>
      <c r="G82" s="100">
        <v>4070.3999999999992</v>
      </c>
      <c r="H82" s="100">
        <v>10</v>
      </c>
      <c r="I82" s="100">
        <v>5087.9999999999991</v>
      </c>
      <c r="J82" s="100">
        <v>6.8427150265407386</v>
      </c>
      <c r="K82" s="100">
        <v>3481.573405503927</v>
      </c>
      <c r="L82" s="100">
        <v>8</v>
      </c>
      <c r="M82" s="100">
        <v>4070.3999999999992</v>
      </c>
      <c r="N82" s="100">
        <v>8</v>
      </c>
      <c r="O82" s="100">
        <v>4070.3999999999992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13</v>
      </c>
      <c r="U82" s="100">
        <v>6614.3999999999987</v>
      </c>
      <c r="V82" s="100">
        <v>14</v>
      </c>
      <c r="W82" s="100">
        <v>7123.1999999999989</v>
      </c>
      <c r="X82" s="100">
        <v>15</v>
      </c>
      <c r="Y82" s="100">
        <v>7631.9999999999982</v>
      </c>
      <c r="Z82" s="100">
        <v>13</v>
      </c>
      <c r="AA82" s="100">
        <v>6614.3999999999987</v>
      </c>
      <c r="AB82" s="100">
        <v>9</v>
      </c>
      <c r="AC82" s="100">
        <v>4579.1999999999989</v>
      </c>
      <c r="AD82" s="100">
        <v>9</v>
      </c>
      <c r="AE82" s="100">
        <v>4579.1999999999989</v>
      </c>
      <c r="AF82" s="100">
        <v>12</v>
      </c>
      <c r="AG82" s="100">
        <v>6105.5999999999985</v>
      </c>
      <c r="AH82" s="100">
        <v>11</v>
      </c>
      <c r="AI82" s="100">
        <v>5596.7999999999993</v>
      </c>
      <c r="AJ82" s="100">
        <v>12</v>
      </c>
      <c r="AK82" s="100">
        <v>6105.5999999999985</v>
      </c>
      <c r="AL82" s="100">
        <v>9.1199342810835962</v>
      </c>
      <c r="AM82" s="100">
        <v>4640.2225622153328</v>
      </c>
      <c r="AN82" s="100">
        <v>10</v>
      </c>
      <c r="AO82" s="100">
        <v>5087.9999999999991</v>
      </c>
      <c r="AP82" s="100">
        <v>13</v>
      </c>
      <c r="AQ82" s="100">
        <v>6614.3999999999987</v>
      </c>
      <c r="AR82" s="100">
        <v>14.253177839389428</v>
      </c>
      <c r="AS82" s="100">
        <v>7252.0168846813394</v>
      </c>
      <c r="AT82" s="100">
        <v>11</v>
      </c>
      <c r="AU82" s="100">
        <v>5596.7999999999993</v>
      </c>
      <c r="AV82" s="100">
        <v>9</v>
      </c>
      <c r="AW82" s="100">
        <v>4579.1999999999989</v>
      </c>
      <c r="AX82" s="100">
        <v>8</v>
      </c>
      <c r="AY82" s="100">
        <v>4070.3999999999992</v>
      </c>
      <c r="AZ82" s="100">
        <v>16</v>
      </c>
      <c r="BA82" s="100">
        <v>8140.7999999999984</v>
      </c>
      <c r="BB82" s="100">
        <v>10</v>
      </c>
      <c r="BC82" s="100">
        <v>5087.9999999999991</v>
      </c>
      <c r="BD82" s="100">
        <v>11</v>
      </c>
      <c r="BE82" s="100">
        <v>5596.7999999999993</v>
      </c>
      <c r="BF82" s="100">
        <v>10.441929613591309</v>
      </c>
      <c r="BG82" s="100">
        <v>5312.8537873952573</v>
      </c>
      <c r="BH82" s="100">
        <v>12</v>
      </c>
      <c r="BI82" s="100">
        <v>6105.5999999999985</v>
      </c>
      <c r="BJ82" s="100">
        <v>11</v>
      </c>
      <c r="BK82" s="100">
        <v>5596.7999999999993</v>
      </c>
      <c r="BL82" s="100">
        <v>8</v>
      </c>
      <c r="BM82" s="100">
        <v>4070.3999999999992</v>
      </c>
      <c r="BN82" s="100">
        <v>4.7429785012755241</v>
      </c>
      <c r="BO82" s="100">
        <v>2413.2274614489861</v>
      </c>
      <c r="BP82" s="100">
        <v>9.2490118577075151</v>
      </c>
      <c r="BQ82" s="100">
        <v>4705.8972332015828</v>
      </c>
      <c r="BR82" s="100">
        <v>12</v>
      </c>
      <c r="BS82" s="100">
        <v>6105.5999999999985</v>
      </c>
      <c r="BT82" s="100">
        <v>8</v>
      </c>
      <c r="BU82" s="100">
        <v>4070.3999999999992</v>
      </c>
      <c r="BV82" s="100">
        <v>11</v>
      </c>
      <c r="BW82" s="100">
        <v>5596.7999999999993</v>
      </c>
      <c r="BX82" s="100">
        <v>9</v>
      </c>
      <c r="BY82" s="100">
        <v>4579.1999999999989</v>
      </c>
      <c r="BZ82" s="100">
        <v>11</v>
      </c>
      <c r="CA82" s="100">
        <v>5596.7999999999993</v>
      </c>
      <c r="CB82" s="100">
        <v>9</v>
      </c>
      <c r="CC82" s="100">
        <v>4579.1999999999989</v>
      </c>
      <c r="CD82" s="100">
        <v>10</v>
      </c>
      <c r="CE82" s="100">
        <v>5087.9999999999991</v>
      </c>
      <c r="CF82" s="100">
        <v>12.978540772532227</v>
      </c>
      <c r="CG82" s="100">
        <v>6603.4815450643955</v>
      </c>
      <c r="CH82" s="100">
        <v>8</v>
      </c>
      <c r="CI82" s="100">
        <v>4070.3999999999992</v>
      </c>
      <c r="CJ82" s="100">
        <v>10</v>
      </c>
      <c r="CK82" s="100">
        <v>5087.9999999999991</v>
      </c>
      <c r="CL82" s="100">
        <v>17</v>
      </c>
      <c r="CM82" s="100">
        <v>8649.5999999999985</v>
      </c>
      <c r="CN82" s="100">
        <v>8</v>
      </c>
      <c r="CO82" s="100">
        <v>4070.3999999999992</v>
      </c>
      <c r="CP82" s="100">
        <v>9.3460205670525323</v>
      </c>
      <c r="CQ82" s="100">
        <v>4755.2552645163278</v>
      </c>
      <c r="CR82" s="100">
        <v>12</v>
      </c>
      <c r="CS82" s="100">
        <v>6105.5999999999985</v>
      </c>
      <c r="CT82" s="100">
        <v>12</v>
      </c>
      <c r="CU82" s="100">
        <v>6105.5999999999985</v>
      </c>
    </row>
    <row r="83" spans="2:99">
      <c r="C83" s="99" t="s">
        <v>249</v>
      </c>
      <c r="D83" s="100">
        <v>9</v>
      </c>
      <c r="E83" s="100">
        <v>7743.5999999999995</v>
      </c>
      <c r="F83" s="100">
        <v>8</v>
      </c>
      <c r="G83" s="100">
        <v>6883.2</v>
      </c>
      <c r="H83" s="100">
        <v>11</v>
      </c>
      <c r="I83" s="100">
        <v>9464.4</v>
      </c>
      <c r="J83" s="100">
        <v>7.3690777208900267</v>
      </c>
      <c r="K83" s="100">
        <v>6340.354471053779</v>
      </c>
      <c r="L83" s="100">
        <v>9</v>
      </c>
      <c r="M83" s="100">
        <v>7743.5999999999995</v>
      </c>
      <c r="N83" s="100">
        <v>9</v>
      </c>
      <c r="O83" s="100">
        <v>7743.5999999999995</v>
      </c>
      <c r="P83" s="100">
        <v>8</v>
      </c>
      <c r="Q83" s="100">
        <v>6883.2</v>
      </c>
      <c r="R83" s="100">
        <v>8</v>
      </c>
      <c r="S83" s="100">
        <v>6883.2</v>
      </c>
      <c r="T83" s="100">
        <v>13</v>
      </c>
      <c r="U83" s="100">
        <v>11185.199999999999</v>
      </c>
      <c r="V83" s="100">
        <v>11</v>
      </c>
      <c r="W83" s="100">
        <v>9464.4</v>
      </c>
      <c r="X83" s="100">
        <v>13</v>
      </c>
      <c r="Y83" s="100">
        <v>11185.199999999999</v>
      </c>
      <c r="Z83" s="100">
        <v>13</v>
      </c>
      <c r="AA83" s="100">
        <v>11185.199999999999</v>
      </c>
      <c r="AB83" s="100">
        <v>10</v>
      </c>
      <c r="AC83" s="100">
        <v>8604</v>
      </c>
      <c r="AD83" s="100">
        <v>11</v>
      </c>
      <c r="AE83" s="100">
        <v>9464.4</v>
      </c>
      <c r="AF83" s="100">
        <v>11</v>
      </c>
      <c r="AG83" s="100">
        <v>9464.4</v>
      </c>
      <c r="AH83" s="100">
        <v>10</v>
      </c>
      <c r="AI83" s="100">
        <v>8604</v>
      </c>
      <c r="AJ83" s="100">
        <v>11</v>
      </c>
      <c r="AK83" s="100">
        <v>9464.4</v>
      </c>
      <c r="AL83" s="100">
        <v>10.639923327930862</v>
      </c>
      <c r="AM83" s="100">
        <v>9154.5900313517141</v>
      </c>
      <c r="AN83" s="100">
        <v>11</v>
      </c>
      <c r="AO83" s="100">
        <v>9464.4</v>
      </c>
      <c r="AP83" s="100">
        <v>12</v>
      </c>
      <c r="AQ83" s="100">
        <v>10324.799999999999</v>
      </c>
      <c r="AR83" s="100">
        <v>12.352754127470838</v>
      </c>
      <c r="AS83" s="100">
        <v>10628.309651275909</v>
      </c>
      <c r="AT83" s="100">
        <v>12</v>
      </c>
      <c r="AU83" s="100">
        <v>10324.799999999999</v>
      </c>
      <c r="AV83" s="100">
        <v>8</v>
      </c>
      <c r="AW83" s="100">
        <v>6883.2</v>
      </c>
      <c r="AX83" s="100">
        <v>7</v>
      </c>
      <c r="AY83" s="100">
        <v>6022.8</v>
      </c>
      <c r="AZ83" s="100">
        <v>13</v>
      </c>
      <c r="BA83" s="100">
        <v>11185.199999999999</v>
      </c>
      <c r="BB83" s="100">
        <v>10</v>
      </c>
      <c r="BC83" s="100">
        <v>8604</v>
      </c>
      <c r="BD83" s="100">
        <v>11</v>
      </c>
      <c r="BE83" s="100">
        <v>9464.4</v>
      </c>
      <c r="BF83" s="100">
        <v>10.441929613591309</v>
      </c>
      <c r="BG83" s="100">
        <v>8984.2362395339624</v>
      </c>
      <c r="BH83" s="100">
        <v>13</v>
      </c>
      <c r="BI83" s="100">
        <v>11185.199999999999</v>
      </c>
      <c r="BJ83" s="100">
        <v>11</v>
      </c>
      <c r="BK83" s="100">
        <v>9464.4</v>
      </c>
      <c r="BL83" s="100">
        <v>8</v>
      </c>
      <c r="BM83" s="100">
        <v>6883.2</v>
      </c>
      <c r="BN83" s="100">
        <v>5.1741583650278447</v>
      </c>
      <c r="BO83" s="100">
        <v>4451.8458572699574</v>
      </c>
      <c r="BP83" s="100">
        <v>10.671936758893285</v>
      </c>
      <c r="BQ83" s="100">
        <v>9182.1343873517817</v>
      </c>
      <c r="BR83" s="100">
        <v>11</v>
      </c>
      <c r="BS83" s="100">
        <v>9464.4</v>
      </c>
      <c r="BT83" s="100">
        <v>9</v>
      </c>
      <c r="BU83" s="100">
        <v>7743.5999999999995</v>
      </c>
      <c r="BV83" s="100">
        <v>11</v>
      </c>
      <c r="BW83" s="100">
        <v>9464.4</v>
      </c>
      <c r="BX83" s="100">
        <v>10</v>
      </c>
      <c r="BY83" s="100">
        <v>8604</v>
      </c>
      <c r="BZ83" s="100">
        <v>11</v>
      </c>
      <c r="CA83" s="100">
        <v>9464.4</v>
      </c>
      <c r="CB83" s="100">
        <v>8</v>
      </c>
      <c r="CC83" s="100">
        <v>6883.2</v>
      </c>
      <c r="CD83" s="100">
        <v>9</v>
      </c>
      <c r="CE83" s="100">
        <v>7743.5999999999995</v>
      </c>
      <c r="CF83" s="100">
        <v>12.051502145922784</v>
      </c>
      <c r="CG83" s="100">
        <v>10369.112446351963</v>
      </c>
      <c r="CH83" s="100">
        <v>7</v>
      </c>
      <c r="CI83" s="100">
        <v>6022.8</v>
      </c>
      <c r="CJ83" s="100">
        <v>9</v>
      </c>
      <c r="CK83" s="100">
        <v>7743.5999999999995</v>
      </c>
      <c r="CL83" s="100">
        <v>15</v>
      </c>
      <c r="CM83" s="100">
        <v>12906</v>
      </c>
      <c r="CN83" s="100">
        <v>7</v>
      </c>
      <c r="CO83" s="100">
        <v>6022.8</v>
      </c>
      <c r="CP83" s="100">
        <v>10.12485561430691</v>
      </c>
      <c r="CQ83" s="100">
        <v>8711.4257705496639</v>
      </c>
      <c r="CR83" s="100">
        <v>12</v>
      </c>
      <c r="CS83" s="100">
        <v>10324.799999999999</v>
      </c>
      <c r="CT83" s="100">
        <v>12</v>
      </c>
      <c r="CU83" s="100">
        <v>10324.799999999999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8</v>
      </c>
      <c r="G84" s="100">
        <v>6249.5999999999995</v>
      </c>
      <c r="H84" s="100">
        <v>10</v>
      </c>
      <c r="I84" s="100">
        <v>7811.9999999999991</v>
      </c>
      <c r="J84" s="100">
        <v>7.3690777208900267</v>
      </c>
      <c r="K84" s="100">
        <v>5756.723515559288</v>
      </c>
      <c r="L84" s="100">
        <v>9</v>
      </c>
      <c r="M84" s="100">
        <v>7030.7999999999993</v>
      </c>
      <c r="N84" s="100">
        <v>9</v>
      </c>
      <c r="O84" s="100">
        <v>7030.7999999999993</v>
      </c>
      <c r="P84" s="100">
        <v>7</v>
      </c>
      <c r="Q84" s="100">
        <v>5468.4</v>
      </c>
      <c r="R84" s="100">
        <v>9</v>
      </c>
      <c r="S84" s="100">
        <v>7030.7999999999993</v>
      </c>
      <c r="T84" s="100">
        <v>12</v>
      </c>
      <c r="U84" s="100">
        <v>9374.4</v>
      </c>
      <c r="V84" s="100">
        <v>12</v>
      </c>
      <c r="W84" s="100">
        <v>9374.4</v>
      </c>
      <c r="X84" s="100">
        <v>14</v>
      </c>
      <c r="Y84" s="100">
        <v>10936.8</v>
      </c>
      <c r="Z84" s="100">
        <v>12</v>
      </c>
      <c r="AA84" s="100">
        <v>9374.4</v>
      </c>
      <c r="AB84" s="100">
        <v>9</v>
      </c>
      <c r="AC84" s="100">
        <v>7030.7999999999993</v>
      </c>
      <c r="AD84" s="100">
        <v>10</v>
      </c>
      <c r="AE84" s="100">
        <v>7811.9999999999991</v>
      </c>
      <c r="AF84" s="100">
        <v>12</v>
      </c>
      <c r="AG84" s="100">
        <v>9374.4</v>
      </c>
      <c r="AH84" s="100">
        <v>9</v>
      </c>
      <c r="AI84" s="100">
        <v>7030.7999999999993</v>
      </c>
      <c r="AJ84" s="100">
        <v>12</v>
      </c>
      <c r="AK84" s="100">
        <v>9374.4</v>
      </c>
      <c r="AL84" s="100">
        <v>9.1199342810835962</v>
      </c>
      <c r="AM84" s="100">
        <v>7124.4926603825043</v>
      </c>
      <c r="AN84" s="100">
        <v>12</v>
      </c>
      <c r="AO84" s="100">
        <v>9374.4</v>
      </c>
      <c r="AP84" s="100">
        <v>13</v>
      </c>
      <c r="AQ84" s="100">
        <v>10155.599999999999</v>
      </c>
      <c r="AR84" s="100">
        <v>11.402542271511543</v>
      </c>
      <c r="AS84" s="100">
        <v>8907.6660225048163</v>
      </c>
      <c r="AT84" s="100">
        <v>11</v>
      </c>
      <c r="AU84" s="100">
        <v>8593.1999999999989</v>
      </c>
      <c r="AV84" s="100">
        <v>7</v>
      </c>
      <c r="AW84" s="100">
        <v>5468.4</v>
      </c>
      <c r="AX84" s="100">
        <v>8</v>
      </c>
      <c r="AY84" s="100">
        <v>6249.5999999999995</v>
      </c>
      <c r="AZ84" s="100">
        <v>13</v>
      </c>
      <c r="BA84" s="100">
        <v>10155.599999999999</v>
      </c>
      <c r="BB84" s="100">
        <v>10</v>
      </c>
      <c r="BC84" s="100">
        <v>7811.9999999999991</v>
      </c>
      <c r="BD84" s="100">
        <v>12</v>
      </c>
      <c r="BE84" s="100">
        <v>9374.4</v>
      </c>
      <c r="BF84" s="100">
        <v>10.441929613591309</v>
      </c>
      <c r="BG84" s="100">
        <v>8157.2354141375299</v>
      </c>
      <c r="BH84" s="100">
        <v>12</v>
      </c>
      <c r="BI84" s="100">
        <v>9374.4</v>
      </c>
      <c r="BJ84" s="100">
        <v>11</v>
      </c>
      <c r="BK84" s="100">
        <v>8593.1999999999989</v>
      </c>
      <c r="BL84" s="100">
        <v>7</v>
      </c>
      <c r="BM84" s="100">
        <v>5468.4</v>
      </c>
      <c r="BN84" s="100">
        <v>5.1741583650278447</v>
      </c>
      <c r="BO84" s="100">
        <v>4042.0525147597518</v>
      </c>
      <c r="BP84" s="100">
        <v>10.671936758893285</v>
      </c>
      <c r="BQ84" s="100">
        <v>8336.9169960474337</v>
      </c>
      <c r="BR84" s="100">
        <v>11</v>
      </c>
      <c r="BS84" s="100">
        <v>8593.1999999999989</v>
      </c>
      <c r="BT84" s="100">
        <v>9</v>
      </c>
      <c r="BU84" s="100">
        <v>7030.7999999999993</v>
      </c>
      <c r="BV84" s="100">
        <v>10</v>
      </c>
      <c r="BW84" s="100">
        <v>7811.9999999999991</v>
      </c>
      <c r="BX84" s="100">
        <v>8</v>
      </c>
      <c r="BY84" s="100">
        <v>6249.5999999999995</v>
      </c>
      <c r="BZ84" s="100">
        <v>11</v>
      </c>
      <c r="CA84" s="100">
        <v>8593.1999999999989</v>
      </c>
      <c r="CB84" s="100">
        <v>8</v>
      </c>
      <c r="CC84" s="100">
        <v>6249.5999999999995</v>
      </c>
      <c r="CD84" s="100">
        <v>9</v>
      </c>
      <c r="CE84" s="100">
        <v>7030.7999999999993</v>
      </c>
      <c r="CF84" s="100">
        <v>12.978540772532227</v>
      </c>
      <c r="CG84" s="100">
        <v>10138.836051502176</v>
      </c>
      <c r="CH84" s="100">
        <v>8</v>
      </c>
      <c r="CI84" s="100">
        <v>6249.5999999999995</v>
      </c>
      <c r="CJ84" s="100">
        <v>9</v>
      </c>
      <c r="CK84" s="100">
        <v>7030.7999999999993</v>
      </c>
      <c r="CL84" s="100">
        <v>14</v>
      </c>
      <c r="CM84" s="100">
        <v>10936.8</v>
      </c>
      <c r="CN84" s="100">
        <v>9</v>
      </c>
      <c r="CO84" s="100">
        <v>7030.7999999999993</v>
      </c>
      <c r="CP84" s="100">
        <v>9.3460205670525323</v>
      </c>
      <c r="CQ84" s="100">
        <v>7301.1112669814374</v>
      </c>
      <c r="CR84" s="100">
        <v>11</v>
      </c>
      <c r="CS84" s="100">
        <v>8593.1999999999989</v>
      </c>
      <c r="CT84" s="100">
        <v>11</v>
      </c>
      <c r="CU84" s="100">
        <v>8593.1999999999989</v>
      </c>
    </row>
    <row r="85" spans="2:99">
      <c r="C85" s="99" t="s">
        <v>251</v>
      </c>
      <c r="D85" s="100">
        <v>11</v>
      </c>
      <c r="E85" s="100">
        <v>1650</v>
      </c>
      <c r="F85" s="100">
        <v>9</v>
      </c>
      <c r="G85" s="100">
        <v>1350</v>
      </c>
      <c r="H85" s="100">
        <v>11</v>
      </c>
      <c r="I85" s="100">
        <v>1650</v>
      </c>
      <c r="J85" s="100">
        <v>7.3690777208900267</v>
      </c>
      <c r="K85" s="100">
        <v>1105.3616581335041</v>
      </c>
      <c r="L85" s="100">
        <v>9</v>
      </c>
      <c r="M85" s="100">
        <v>1350</v>
      </c>
      <c r="N85" s="100">
        <v>10</v>
      </c>
      <c r="O85" s="100">
        <v>1500</v>
      </c>
      <c r="P85" s="100">
        <v>8</v>
      </c>
      <c r="Q85" s="100">
        <v>1200</v>
      </c>
      <c r="R85" s="100">
        <v>9</v>
      </c>
      <c r="S85" s="100">
        <v>1350</v>
      </c>
      <c r="T85" s="100">
        <v>13</v>
      </c>
      <c r="U85" s="100">
        <v>1950</v>
      </c>
      <c r="V85" s="100">
        <v>12</v>
      </c>
      <c r="W85" s="100">
        <v>1800</v>
      </c>
      <c r="X85" s="100">
        <v>13</v>
      </c>
      <c r="Y85" s="100">
        <v>1950</v>
      </c>
      <c r="Z85" s="100">
        <v>14</v>
      </c>
      <c r="AA85" s="100">
        <v>2100</v>
      </c>
      <c r="AB85" s="100">
        <v>11</v>
      </c>
      <c r="AC85" s="100">
        <v>1650</v>
      </c>
      <c r="AD85" s="100">
        <v>10</v>
      </c>
      <c r="AE85" s="100">
        <v>1500</v>
      </c>
      <c r="AF85" s="100">
        <v>11</v>
      </c>
      <c r="AG85" s="100">
        <v>1650</v>
      </c>
      <c r="AH85" s="100">
        <v>11</v>
      </c>
      <c r="AI85" s="100">
        <v>1650</v>
      </c>
      <c r="AJ85" s="100">
        <v>11</v>
      </c>
      <c r="AK85" s="100">
        <v>1650</v>
      </c>
      <c r="AL85" s="100">
        <v>11.399917851354497</v>
      </c>
      <c r="AM85" s="100">
        <v>1709.9876777031745</v>
      </c>
      <c r="AN85" s="100">
        <v>11</v>
      </c>
      <c r="AO85" s="100">
        <v>1650</v>
      </c>
      <c r="AP85" s="100">
        <v>13</v>
      </c>
      <c r="AQ85" s="100">
        <v>1950</v>
      </c>
      <c r="AR85" s="100">
        <v>12.352754127470838</v>
      </c>
      <c r="AS85" s="100">
        <v>1852.9131191206257</v>
      </c>
      <c r="AT85" s="100">
        <v>11</v>
      </c>
      <c r="AU85" s="100">
        <v>1650</v>
      </c>
      <c r="AV85" s="100">
        <v>9</v>
      </c>
      <c r="AW85" s="100">
        <v>1350</v>
      </c>
      <c r="AX85" s="100">
        <v>8</v>
      </c>
      <c r="AY85" s="100">
        <v>1200</v>
      </c>
      <c r="AZ85" s="100">
        <v>14</v>
      </c>
      <c r="BA85" s="100">
        <v>2100</v>
      </c>
      <c r="BB85" s="100">
        <v>11</v>
      </c>
      <c r="BC85" s="100">
        <v>1650</v>
      </c>
      <c r="BD85" s="100">
        <v>12</v>
      </c>
      <c r="BE85" s="100">
        <v>1800</v>
      </c>
      <c r="BF85" s="100">
        <v>9.4926632850830082</v>
      </c>
      <c r="BG85" s="100">
        <v>1423.8994927624512</v>
      </c>
      <c r="BH85" s="100">
        <v>12</v>
      </c>
      <c r="BI85" s="100">
        <v>1800</v>
      </c>
      <c r="BJ85" s="100">
        <v>10</v>
      </c>
      <c r="BK85" s="100">
        <v>1500</v>
      </c>
      <c r="BL85" s="100">
        <v>8</v>
      </c>
      <c r="BM85" s="100">
        <v>1200</v>
      </c>
      <c r="BN85" s="100">
        <v>5.6053382287801643</v>
      </c>
      <c r="BO85" s="100">
        <v>840.80073431702465</v>
      </c>
      <c r="BP85" s="100">
        <v>10.671936758893285</v>
      </c>
      <c r="BQ85" s="100">
        <v>1600.7905138339927</v>
      </c>
      <c r="BR85" s="100">
        <v>12</v>
      </c>
      <c r="BS85" s="100">
        <v>1800</v>
      </c>
      <c r="BT85" s="100">
        <v>8</v>
      </c>
      <c r="BU85" s="100">
        <v>1200</v>
      </c>
      <c r="BV85" s="100">
        <v>11</v>
      </c>
      <c r="BW85" s="100">
        <v>1650</v>
      </c>
      <c r="BX85" s="100">
        <v>9</v>
      </c>
      <c r="BY85" s="100">
        <v>1350</v>
      </c>
      <c r="BZ85" s="100">
        <v>12</v>
      </c>
      <c r="CA85" s="100">
        <v>1800</v>
      </c>
      <c r="CB85" s="100">
        <v>10</v>
      </c>
      <c r="CC85" s="100">
        <v>1500</v>
      </c>
      <c r="CD85" s="100">
        <v>9</v>
      </c>
      <c r="CE85" s="100">
        <v>1350</v>
      </c>
      <c r="CF85" s="100">
        <v>12.978540772532227</v>
      </c>
      <c r="CG85" s="100">
        <v>1946.781115879834</v>
      </c>
      <c r="CH85" s="100">
        <v>9</v>
      </c>
      <c r="CI85" s="100">
        <v>1350</v>
      </c>
      <c r="CJ85" s="100">
        <v>9</v>
      </c>
      <c r="CK85" s="100">
        <v>1350</v>
      </c>
      <c r="CL85" s="100">
        <v>15</v>
      </c>
      <c r="CM85" s="100">
        <v>2250</v>
      </c>
      <c r="CN85" s="100">
        <v>8</v>
      </c>
      <c r="CO85" s="100">
        <v>1200</v>
      </c>
      <c r="CP85" s="100">
        <v>10.12485561430691</v>
      </c>
      <c r="CQ85" s="100">
        <v>1518.7283421460365</v>
      </c>
      <c r="CR85" s="100">
        <v>11</v>
      </c>
      <c r="CS85" s="100">
        <v>1650</v>
      </c>
      <c r="CT85" s="100">
        <v>12</v>
      </c>
      <c r="CU85" s="100">
        <v>1800</v>
      </c>
    </row>
    <row r="86" spans="2:99">
      <c r="C86" s="99" t="s">
        <v>252</v>
      </c>
      <c r="D86" s="100">
        <v>10</v>
      </c>
      <c r="E86" s="100">
        <v>5400</v>
      </c>
      <c r="F86" s="100">
        <v>9</v>
      </c>
      <c r="G86" s="100">
        <v>4860</v>
      </c>
      <c r="H86" s="100">
        <v>11</v>
      </c>
      <c r="I86" s="100">
        <v>5940</v>
      </c>
      <c r="J86" s="100">
        <v>7.3690777208900267</v>
      </c>
      <c r="K86" s="100">
        <v>3979.3019692806142</v>
      </c>
      <c r="L86" s="100">
        <v>9</v>
      </c>
      <c r="M86" s="100">
        <v>4860</v>
      </c>
      <c r="N86" s="100">
        <v>8</v>
      </c>
      <c r="O86" s="100">
        <v>4320</v>
      </c>
      <c r="P86" s="100">
        <v>7</v>
      </c>
      <c r="Q86" s="100">
        <v>3780</v>
      </c>
      <c r="R86" s="100">
        <v>9</v>
      </c>
      <c r="S86" s="100">
        <v>4860</v>
      </c>
      <c r="T86" s="100">
        <v>13</v>
      </c>
      <c r="U86" s="100">
        <v>7020</v>
      </c>
      <c r="V86" s="100">
        <v>14</v>
      </c>
      <c r="W86" s="100">
        <v>7560</v>
      </c>
      <c r="X86" s="100">
        <v>13</v>
      </c>
      <c r="Y86" s="100">
        <v>7020</v>
      </c>
      <c r="Z86" s="100">
        <v>14</v>
      </c>
      <c r="AA86" s="100">
        <v>7560</v>
      </c>
      <c r="AB86" s="100">
        <v>10</v>
      </c>
      <c r="AC86" s="100">
        <v>5400</v>
      </c>
      <c r="AD86" s="100">
        <v>10</v>
      </c>
      <c r="AE86" s="100">
        <v>5400</v>
      </c>
      <c r="AF86" s="100">
        <v>11</v>
      </c>
      <c r="AG86" s="100">
        <v>5940</v>
      </c>
      <c r="AH86" s="100">
        <v>11</v>
      </c>
      <c r="AI86" s="100">
        <v>5940</v>
      </c>
      <c r="AJ86" s="100">
        <v>12</v>
      </c>
      <c r="AK86" s="100">
        <v>6480</v>
      </c>
      <c r="AL86" s="100">
        <v>9.1199342810835962</v>
      </c>
      <c r="AM86" s="100">
        <v>4924.7645117851416</v>
      </c>
      <c r="AN86" s="100">
        <v>11</v>
      </c>
      <c r="AO86" s="100">
        <v>5940</v>
      </c>
      <c r="AP86" s="100">
        <v>13</v>
      </c>
      <c r="AQ86" s="100">
        <v>7020</v>
      </c>
      <c r="AR86" s="100">
        <v>13.302965983430134</v>
      </c>
      <c r="AS86" s="100">
        <v>7183.6016310522728</v>
      </c>
      <c r="AT86" s="100">
        <v>13</v>
      </c>
      <c r="AU86" s="100">
        <v>7020</v>
      </c>
      <c r="AV86" s="100">
        <v>8</v>
      </c>
      <c r="AW86" s="100">
        <v>4320</v>
      </c>
      <c r="AX86" s="100">
        <v>7</v>
      </c>
      <c r="AY86" s="100">
        <v>3780</v>
      </c>
      <c r="AZ86" s="100">
        <v>14</v>
      </c>
      <c r="BA86" s="100">
        <v>7560</v>
      </c>
      <c r="BB86" s="100">
        <v>10</v>
      </c>
      <c r="BC86" s="100">
        <v>5400</v>
      </c>
      <c r="BD86" s="100">
        <v>11</v>
      </c>
      <c r="BE86" s="100">
        <v>5940</v>
      </c>
      <c r="BF86" s="100">
        <v>11.391195942099611</v>
      </c>
      <c r="BG86" s="100">
        <v>6151.24580873379</v>
      </c>
      <c r="BH86" s="100">
        <v>13</v>
      </c>
      <c r="BI86" s="100">
        <v>7020</v>
      </c>
      <c r="BJ86" s="100">
        <v>10</v>
      </c>
      <c r="BK86" s="100">
        <v>5400</v>
      </c>
      <c r="BL86" s="100">
        <v>7</v>
      </c>
      <c r="BM86" s="100">
        <v>3780</v>
      </c>
      <c r="BN86" s="100">
        <v>5.1741583650278447</v>
      </c>
      <c r="BO86" s="100">
        <v>2794.0455171150361</v>
      </c>
      <c r="BP86" s="100">
        <v>11.383399209486171</v>
      </c>
      <c r="BQ86" s="100">
        <v>6147.0355731225327</v>
      </c>
      <c r="BR86" s="100">
        <v>12</v>
      </c>
      <c r="BS86" s="100">
        <v>6480</v>
      </c>
      <c r="BT86" s="100">
        <v>9</v>
      </c>
      <c r="BU86" s="100">
        <v>4860</v>
      </c>
      <c r="BV86" s="100">
        <v>10</v>
      </c>
      <c r="BW86" s="100">
        <v>5400</v>
      </c>
      <c r="BX86" s="100">
        <v>8</v>
      </c>
      <c r="BY86" s="100">
        <v>4320</v>
      </c>
      <c r="BZ86" s="100">
        <v>11</v>
      </c>
      <c r="CA86" s="100">
        <v>5940</v>
      </c>
      <c r="CB86" s="100">
        <v>10</v>
      </c>
      <c r="CC86" s="100">
        <v>5400</v>
      </c>
      <c r="CD86" s="100">
        <v>9</v>
      </c>
      <c r="CE86" s="100">
        <v>4860</v>
      </c>
      <c r="CF86" s="100">
        <v>13.905579399141672</v>
      </c>
      <c r="CG86" s="100">
        <v>7509.0128755365031</v>
      </c>
      <c r="CH86" s="100">
        <v>7</v>
      </c>
      <c r="CI86" s="100">
        <v>3780</v>
      </c>
      <c r="CJ86" s="100">
        <v>9</v>
      </c>
      <c r="CK86" s="100">
        <v>4860</v>
      </c>
      <c r="CL86" s="100">
        <v>14</v>
      </c>
      <c r="CM86" s="100">
        <v>7560</v>
      </c>
      <c r="CN86" s="100">
        <v>9</v>
      </c>
      <c r="CO86" s="100">
        <v>4860</v>
      </c>
      <c r="CP86" s="100">
        <v>10.903690661561289</v>
      </c>
      <c r="CQ86" s="100">
        <v>5887.9929572430956</v>
      </c>
      <c r="CR86" s="100">
        <v>11</v>
      </c>
      <c r="CS86" s="100">
        <v>5940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9</v>
      </c>
      <c r="G87" s="100">
        <v>9666</v>
      </c>
      <c r="H87" s="100">
        <v>7</v>
      </c>
      <c r="I87" s="100">
        <v>7518</v>
      </c>
      <c r="J87" s="100">
        <v>8</v>
      </c>
      <c r="K87" s="100">
        <v>8592</v>
      </c>
      <c r="L87" s="100">
        <v>5</v>
      </c>
      <c r="M87" s="100">
        <v>5370</v>
      </c>
      <c r="N87" s="100">
        <v>6</v>
      </c>
      <c r="O87" s="100">
        <v>6444</v>
      </c>
      <c r="P87" s="100">
        <v>7</v>
      </c>
      <c r="Q87" s="100">
        <v>7518</v>
      </c>
      <c r="R87" s="100">
        <v>10</v>
      </c>
      <c r="S87" s="100">
        <v>10740</v>
      </c>
      <c r="T87" s="100">
        <v>8</v>
      </c>
      <c r="U87" s="100">
        <v>8592</v>
      </c>
      <c r="V87" s="100">
        <v>10</v>
      </c>
      <c r="W87" s="100">
        <v>10740</v>
      </c>
      <c r="X87" s="100">
        <v>9</v>
      </c>
      <c r="Y87" s="100">
        <v>9666</v>
      </c>
      <c r="Z87" s="100">
        <v>2.2654931641058456</v>
      </c>
      <c r="AA87" s="100">
        <v>2433.1396582496782</v>
      </c>
      <c r="AB87" s="100">
        <v>10.053763440860216</v>
      </c>
      <c r="AC87" s="100">
        <v>10797.741935483871</v>
      </c>
      <c r="AD87" s="100">
        <v>7.9439252336448591</v>
      </c>
      <c r="AE87" s="100">
        <v>8531.7757009345787</v>
      </c>
      <c r="AF87" s="100">
        <v>9</v>
      </c>
      <c r="AG87" s="100">
        <v>9666</v>
      </c>
      <c r="AH87" s="100">
        <v>5.3097345132743365</v>
      </c>
      <c r="AI87" s="100">
        <v>5702.6548672566378</v>
      </c>
      <c r="AJ87" s="100">
        <v>9</v>
      </c>
      <c r="AK87" s="100">
        <v>9666</v>
      </c>
      <c r="AL87" s="100">
        <v>11</v>
      </c>
      <c r="AM87" s="100">
        <v>11814</v>
      </c>
      <c r="AN87" s="100">
        <v>7</v>
      </c>
      <c r="AO87" s="100">
        <v>7518</v>
      </c>
      <c r="AP87" s="100">
        <v>6</v>
      </c>
      <c r="AQ87" s="100">
        <v>6444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6</v>
      </c>
      <c r="AW87" s="100">
        <v>6444</v>
      </c>
      <c r="AX87" s="100">
        <v>6</v>
      </c>
      <c r="AY87" s="100">
        <v>6444</v>
      </c>
      <c r="AZ87" s="100">
        <v>7</v>
      </c>
      <c r="BA87" s="100">
        <v>7518</v>
      </c>
      <c r="BB87" s="100">
        <v>7</v>
      </c>
      <c r="BC87" s="100">
        <v>7518</v>
      </c>
      <c r="BD87" s="100">
        <v>7</v>
      </c>
      <c r="BE87" s="100">
        <v>7518</v>
      </c>
      <c r="BF87" s="100">
        <v>6</v>
      </c>
      <c r="BG87" s="100">
        <v>6444</v>
      </c>
      <c r="BH87" s="100">
        <v>6</v>
      </c>
      <c r="BI87" s="100">
        <v>6444</v>
      </c>
      <c r="BJ87" s="100">
        <v>2.8322981366459632</v>
      </c>
      <c r="BK87" s="100">
        <v>3041.8881987577643</v>
      </c>
      <c r="BL87" s="100">
        <v>10</v>
      </c>
      <c r="BM87" s="100">
        <v>10740</v>
      </c>
      <c r="BN87" s="100">
        <v>7</v>
      </c>
      <c r="BO87" s="100">
        <v>7518</v>
      </c>
      <c r="BP87" s="100">
        <v>12</v>
      </c>
      <c r="BQ87" s="100">
        <v>12888</v>
      </c>
      <c r="BR87" s="100">
        <v>9</v>
      </c>
      <c r="BS87" s="100">
        <v>9666</v>
      </c>
      <c r="BT87" s="100">
        <v>8</v>
      </c>
      <c r="BU87" s="100">
        <v>8592</v>
      </c>
      <c r="BV87" s="100">
        <v>3.1818181818181825</v>
      </c>
      <c r="BW87" s="100">
        <v>3417.2727272727279</v>
      </c>
      <c r="BX87" s="100">
        <v>7</v>
      </c>
      <c r="BY87" s="100">
        <v>7518</v>
      </c>
      <c r="BZ87" s="100">
        <v>8</v>
      </c>
      <c r="CA87" s="100">
        <v>8592</v>
      </c>
      <c r="CB87" s="100">
        <v>6</v>
      </c>
      <c r="CC87" s="100">
        <v>6444</v>
      </c>
      <c r="CD87" s="100">
        <v>7.8369098712446359</v>
      </c>
      <c r="CE87" s="100">
        <v>8416.8412017167393</v>
      </c>
      <c r="CF87" s="100">
        <v>10</v>
      </c>
      <c r="CG87" s="100">
        <v>10740</v>
      </c>
      <c r="CH87" s="100">
        <v>4.8098159509202461</v>
      </c>
      <c r="CI87" s="100">
        <v>5165.7423312883438</v>
      </c>
      <c r="CJ87" s="100">
        <v>7.1162790697674421</v>
      </c>
      <c r="CK87" s="100">
        <v>7642.8837209302328</v>
      </c>
      <c r="CL87" s="100">
        <v>5.815192238722334</v>
      </c>
      <c r="CM87" s="100">
        <v>6245.516464387787</v>
      </c>
      <c r="CN87" s="100">
        <v>5.7627118644067794</v>
      </c>
      <c r="CO87" s="100">
        <v>6189.1525423728808</v>
      </c>
      <c r="CP87" s="100">
        <v>0.38269731655867867</v>
      </c>
      <c r="CQ87" s="100">
        <v>411.01691798402089</v>
      </c>
      <c r="CR87" s="100">
        <v>6.688524590163933</v>
      </c>
      <c r="CS87" s="100">
        <v>7183.4754098360636</v>
      </c>
      <c r="CT87" s="100">
        <v>7</v>
      </c>
      <c r="CU87" s="100">
        <v>7518</v>
      </c>
    </row>
    <row r="88" spans="2:99">
      <c r="C88" s="99" t="s">
        <v>254</v>
      </c>
      <c r="D88" s="100">
        <v>7</v>
      </c>
      <c r="E88" s="100">
        <v>6946.8</v>
      </c>
      <c r="F88" s="100">
        <v>9</v>
      </c>
      <c r="G88" s="100">
        <v>8931.6</v>
      </c>
      <c r="H88" s="100">
        <v>8</v>
      </c>
      <c r="I88" s="100">
        <v>7939.2</v>
      </c>
      <c r="J88" s="100">
        <v>9</v>
      </c>
      <c r="K88" s="100">
        <v>8931.6</v>
      </c>
      <c r="L88" s="100">
        <v>5</v>
      </c>
      <c r="M88" s="100">
        <v>4962</v>
      </c>
      <c r="N88" s="100">
        <v>7</v>
      </c>
      <c r="O88" s="100">
        <v>6946.8</v>
      </c>
      <c r="P88" s="100">
        <v>7</v>
      </c>
      <c r="Q88" s="100">
        <v>6946.8</v>
      </c>
      <c r="R88" s="100">
        <v>9</v>
      </c>
      <c r="S88" s="100">
        <v>8931.6</v>
      </c>
      <c r="T88" s="100">
        <v>10</v>
      </c>
      <c r="U88" s="100">
        <v>9924</v>
      </c>
      <c r="V88" s="100">
        <v>9</v>
      </c>
      <c r="W88" s="100">
        <v>8931.6</v>
      </c>
      <c r="X88" s="100">
        <v>10</v>
      </c>
      <c r="Y88" s="100">
        <v>9924</v>
      </c>
      <c r="Z88" s="100">
        <v>2.5172146267842725</v>
      </c>
      <c r="AA88" s="100">
        <v>2498.083795620712</v>
      </c>
      <c r="AB88" s="100">
        <v>10.96774193548387</v>
      </c>
      <c r="AC88" s="100">
        <v>10884.387096774193</v>
      </c>
      <c r="AD88" s="100">
        <v>7.9439252336448591</v>
      </c>
      <c r="AE88" s="100">
        <v>7883.5514018691583</v>
      </c>
      <c r="AF88" s="100">
        <v>9</v>
      </c>
      <c r="AG88" s="100">
        <v>8931.6</v>
      </c>
      <c r="AH88" s="100">
        <v>4.778761061946903</v>
      </c>
      <c r="AI88" s="100">
        <v>4742.4424778761068</v>
      </c>
      <c r="AJ88" s="100">
        <v>10</v>
      </c>
      <c r="AK88" s="100">
        <v>9924</v>
      </c>
      <c r="AL88" s="100">
        <v>9</v>
      </c>
      <c r="AM88" s="100">
        <v>8931.6</v>
      </c>
      <c r="AN88" s="100">
        <v>7</v>
      </c>
      <c r="AO88" s="100">
        <v>6946.8</v>
      </c>
      <c r="AP88" s="100">
        <v>6</v>
      </c>
      <c r="AQ88" s="100">
        <v>5954.4</v>
      </c>
      <c r="AR88" s="100">
        <v>10</v>
      </c>
      <c r="AS88" s="100">
        <v>9924</v>
      </c>
      <c r="AT88" s="100">
        <v>9</v>
      </c>
      <c r="AU88" s="100">
        <v>8931.6</v>
      </c>
      <c r="AV88" s="100">
        <v>6</v>
      </c>
      <c r="AW88" s="100">
        <v>5954.4</v>
      </c>
      <c r="AX88" s="100">
        <v>6</v>
      </c>
      <c r="AY88" s="100">
        <v>5954.4</v>
      </c>
      <c r="AZ88" s="100">
        <v>7</v>
      </c>
      <c r="BA88" s="100">
        <v>6946.8</v>
      </c>
      <c r="BB88" s="100">
        <v>8</v>
      </c>
      <c r="BC88" s="100">
        <v>7939.2</v>
      </c>
      <c r="BD88" s="100">
        <v>7</v>
      </c>
      <c r="BE88" s="100">
        <v>6946.8</v>
      </c>
      <c r="BF88" s="100">
        <v>6</v>
      </c>
      <c r="BG88" s="100">
        <v>5954.4</v>
      </c>
      <c r="BH88" s="100">
        <v>7</v>
      </c>
      <c r="BI88" s="100">
        <v>6946.8</v>
      </c>
      <c r="BJ88" s="100">
        <v>2.4782608695652177</v>
      </c>
      <c r="BK88" s="100">
        <v>2459.4260869565219</v>
      </c>
      <c r="BL88" s="100">
        <v>11</v>
      </c>
      <c r="BM88" s="100">
        <v>10916.4</v>
      </c>
      <c r="BN88" s="100">
        <v>7</v>
      </c>
      <c r="BO88" s="100">
        <v>6946.8</v>
      </c>
      <c r="BP88" s="100">
        <v>10</v>
      </c>
      <c r="BQ88" s="100">
        <v>9924</v>
      </c>
      <c r="BR88" s="100">
        <v>8</v>
      </c>
      <c r="BS88" s="100">
        <v>7939.2</v>
      </c>
      <c r="BT88" s="100">
        <v>9</v>
      </c>
      <c r="BU88" s="100">
        <v>8931.6</v>
      </c>
      <c r="BV88" s="100">
        <v>3.6363636363636371</v>
      </c>
      <c r="BW88" s="100">
        <v>3608.7272727272734</v>
      </c>
      <c r="BX88" s="100">
        <v>7</v>
      </c>
      <c r="BY88" s="100">
        <v>6946.8</v>
      </c>
      <c r="BZ88" s="100">
        <v>7</v>
      </c>
      <c r="CA88" s="100">
        <v>6946.8</v>
      </c>
      <c r="CB88" s="100">
        <v>7</v>
      </c>
      <c r="CC88" s="100">
        <v>6946.8</v>
      </c>
      <c r="CD88" s="100">
        <v>8.5493562231759661</v>
      </c>
      <c r="CE88" s="100">
        <v>8484.3811158798289</v>
      </c>
      <c r="CF88" s="100">
        <v>11</v>
      </c>
      <c r="CG88" s="100">
        <v>10916.4</v>
      </c>
      <c r="CH88" s="100">
        <v>5.4969325153374244</v>
      </c>
      <c r="CI88" s="100">
        <v>5455.1558282208598</v>
      </c>
      <c r="CJ88" s="100">
        <v>7.1162790697674421</v>
      </c>
      <c r="CK88" s="100">
        <v>7062.1953488372092</v>
      </c>
      <c r="CL88" s="100">
        <v>5.815192238722334</v>
      </c>
      <c r="CM88" s="100">
        <v>5770.9967777080437</v>
      </c>
      <c r="CN88" s="100">
        <v>6.72316384180791</v>
      </c>
      <c r="CO88" s="100">
        <v>6672.0677966101694</v>
      </c>
      <c r="CP88" s="100">
        <v>0.44648020265179172</v>
      </c>
      <c r="CQ88" s="100">
        <v>443.08695311163808</v>
      </c>
      <c r="CR88" s="100">
        <v>6.688524590163933</v>
      </c>
      <c r="CS88" s="100">
        <v>6637.6918032786871</v>
      </c>
      <c r="CT88" s="100">
        <v>7</v>
      </c>
      <c r="CU88" s="100">
        <v>6946.8</v>
      </c>
    </row>
    <row r="89" spans="2:99">
      <c r="C89" s="99" t="s">
        <v>255</v>
      </c>
      <c r="D89" s="100">
        <v>7</v>
      </c>
      <c r="E89" s="100">
        <v>7434</v>
      </c>
      <c r="F89" s="100">
        <v>9</v>
      </c>
      <c r="G89" s="100">
        <v>9558</v>
      </c>
      <c r="H89" s="100">
        <v>7</v>
      </c>
      <c r="I89" s="100">
        <v>7434</v>
      </c>
      <c r="J89" s="100">
        <v>9</v>
      </c>
      <c r="K89" s="100">
        <v>9558</v>
      </c>
      <c r="L89" s="100">
        <v>5</v>
      </c>
      <c r="M89" s="100">
        <v>5310</v>
      </c>
      <c r="N89" s="100">
        <v>7</v>
      </c>
      <c r="O89" s="100">
        <v>7434</v>
      </c>
      <c r="P89" s="100">
        <v>7</v>
      </c>
      <c r="Q89" s="100">
        <v>7434</v>
      </c>
      <c r="R89" s="100">
        <v>11</v>
      </c>
      <c r="S89" s="100">
        <v>11682</v>
      </c>
      <c r="T89" s="100">
        <v>8</v>
      </c>
      <c r="U89" s="100">
        <v>8496</v>
      </c>
      <c r="V89" s="100">
        <v>10</v>
      </c>
      <c r="W89" s="100">
        <v>10620</v>
      </c>
      <c r="X89" s="100">
        <v>11</v>
      </c>
      <c r="Y89" s="100">
        <v>11682</v>
      </c>
      <c r="Z89" s="100">
        <v>2.2654931641058456</v>
      </c>
      <c r="AA89" s="100">
        <v>2405.9537402804081</v>
      </c>
      <c r="AB89" s="100">
        <v>9.1397849462365599</v>
      </c>
      <c r="AC89" s="100">
        <v>9706.4516129032272</v>
      </c>
      <c r="AD89" s="100">
        <v>8.7383177570093462</v>
      </c>
      <c r="AE89" s="100">
        <v>9280.0934579439254</v>
      </c>
      <c r="AF89" s="100">
        <v>10</v>
      </c>
      <c r="AG89" s="100">
        <v>10620</v>
      </c>
      <c r="AH89" s="100">
        <v>5.3097345132743365</v>
      </c>
      <c r="AI89" s="100">
        <v>5638.9380530973458</v>
      </c>
      <c r="AJ89" s="100">
        <v>9</v>
      </c>
      <c r="AK89" s="100">
        <v>9558</v>
      </c>
      <c r="AL89" s="100">
        <v>10</v>
      </c>
      <c r="AM89" s="100">
        <v>10620</v>
      </c>
      <c r="AN89" s="100">
        <v>7</v>
      </c>
      <c r="AO89" s="100">
        <v>7434</v>
      </c>
      <c r="AP89" s="100">
        <v>6</v>
      </c>
      <c r="AQ89" s="100">
        <v>6372</v>
      </c>
      <c r="AR89" s="100">
        <v>9</v>
      </c>
      <c r="AS89" s="100">
        <v>9558</v>
      </c>
      <c r="AT89" s="100">
        <v>8</v>
      </c>
      <c r="AU89" s="100">
        <v>8496</v>
      </c>
      <c r="AV89" s="100">
        <v>5</v>
      </c>
      <c r="AW89" s="100">
        <v>5310</v>
      </c>
      <c r="AX89" s="100">
        <v>6</v>
      </c>
      <c r="AY89" s="100">
        <v>6372</v>
      </c>
      <c r="AZ89" s="100">
        <v>6</v>
      </c>
      <c r="BA89" s="100">
        <v>6372</v>
      </c>
      <c r="BB89" s="100">
        <v>7</v>
      </c>
      <c r="BC89" s="100">
        <v>7434</v>
      </c>
      <c r="BD89" s="100">
        <v>7</v>
      </c>
      <c r="BE89" s="100">
        <v>7434</v>
      </c>
      <c r="BF89" s="100">
        <v>6</v>
      </c>
      <c r="BG89" s="100">
        <v>6372</v>
      </c>
      <c r="BH89" s="100">
        <v>6</v>
      </c>
      <c r="BI89" s="100">
        <v>6372</v>
      </c>
      <c r="BJ89" s="100">
        <v>2.4782608695652177</v>
      </c>
      <c r="BK89" s="100">
        <v>2631.9130434782614</v>
      </c>
      <c r="BL89" s="100">
        <v>11</v>
      </c>
      <c r="BM89" s="100">
        <v>11682</v>
      </c>
      <c r="BN89" s="100">
        <v>7</v>
      </c>
      <c r="BO89" s="100">
        <v>7434</v>
      </c>
      <c r="BP89" s="100">
        <v>11</v>
      </c>
      <c r="BQ89" s="100">
        <v>11682</v>
      </c>
      <c r="BR89" s="100">
        <v>8</v>
      </c>
      <c r="BS89" s="100">
        <v>8496</v>
      </c>
      <c r="BT89" s="100">
        <v>8</v>
      </c>
      <c r="BU89" s="100">
        <v>8496</v>
      </c>
      <c r="BV89" s="100">
        <v>3.6363636363636371</v>
      </c>
      <c r="BW89" s="100">
        <v>3861.8181818181824</v>
      </c>
      <c r="BX89" s="100">
        <v>8</v>
      </c>
      <c r="BY89" s="100">
        <v>8496</v>
      </c>
      <c r="BZ89" s="100">
        <v>7</v>
      </c>
      <c r="CA89" s="100">
        <v>7434</v>
      </c>
      <c r="CB89" s="100">
        <v>6</v>
      </c>
      <c r="CC89" s="100">
        <v>6372</v>
      </c>
      <c r="CD89" s="100">
        <v>8.5493562231759661</v>
      </c>
      <c r="CE89" s="100">
        <v>9079.4163090128768</v>
      </c>
      <c r="CF89" s="100">
        <v>11</v>
      </c>
      <c r="CG89" s="100">
        <v>11682</v>
      </c>
      <c r="CH89" s="100">
        <v>4.8098159509202461</v>
      </c>
      <c r="CI89" s="100">
        <v>5108.0245398773013</v>
      </c>
      <c r="CJ89" s="100">
        <v>7.1162790697674421</v>
      </c>
      <c r="CK89" s="100">
        <v>7557.4883720930238</v>
      </c>
      <c r="CL89" s="100">
        <v>5.815192238722334</v>
      </c>
      <c r="CM89" s="100">
        <v>6175.7341575231185</v>
      </c>
      <c r="CN89" s="100">
        <v>5.7627118644067794</v>
      </c>
      <c r="CO89" s="100">
        <v>6120</v>
      </c>
      <c r="CP89" s="100">
        <v>0.38269731655867867</v>
      </c>
      <c r="CQ89" s="100">
        <v>406.42455018531672</v>
      </c>
      <c r="CR89" s="100">
        <v>7.4316939890710367</v>
      </c>
      <c r="CS89" s="100">
        <v>7892.4590163934408</v>
      </c>
      <c r="CT89" s="100">
        <v>7</v>
      </c>
      <c r="CU89" s="100">
        <v>7434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8</v>
      </c>
      <c r="G90" s="100">
        <v>8870.4</v>
      </c>
      <c r="H90" s="100">
        <v>8</v>
      </c>
      <c r="I90" s="100">
        <v>8870.4</v>
      </c>
      <c r="J90" s="100">
        <v>8</v>
      </c>
      <c r="K90" s="100">
        <v>8870.4</v>
      </c>
      <c r="L90" s="100">
        <v>5</v>
      </c>
      <c r="M90" s="100">
        <v>5544</v>
      </c>
      <c r="N90" s="100">
        <v>7</v>
      </c>
      <c r="O90" s="100">
        <v>7761.5999999999995</v>
      </c>
      <c r="P90" s="100">
        <v>6</v>
      </c>
      <c r="Q90" s="100">
        <v>6652.7999999999993</v>
      </c>
      <c r="R90" s="100">
        <v>11</v>
      </c>
      <c r="S90" s="100">
        <v>12196.8</v>
      </c>
      <c r="T90" s="100">
        <v>9</v>
      </c>
      <c r="U90" s="100">
        <v>9979.1999999999989</v>
      </c>
      <c r="V90" s="100">
        <v>10</v>
      </c>
      <c r="W90" s="100">
        <v>11088</v>
      </c>
      <c r="X90" s="100">
        <v>9</v>
      </c>
      <c r="Y90" s="100">
        <v>9979.1999999999989</v>
      </c>
      <c r="Z90" s="100">
        <v>2.2654931641058456</v>
      </c>
      <c r="AA90" s="100">
        <v>2511.9788203605613</v>
      </c>
      <c r="AB90" s="100">
        <v>10.053763440860216</v>
      </c>
      <c r="AC90" s="100">
        <v>11147.612903225807</v>
      </c>
      <c r="AD90" s="100">
        <v>8.7383177570093462</v>
      </c>
      <c r="AE90" s="100">
        <v>9689.0467289719618</v>
      </c>
      <c r="AF90" s="100">
        <v>9</v>
      </c>
      <c r="AG90" s="100">
        <v>9979.1999999999989</v>
      </c>
      <c r="AH90" s="100">
        <v>4.778761061946903</v>
      </c>
      <c r="AI90" s="100">
        <v>5298.6902654867254</v>
      </c>
      <c r="AJ90" s="100">
        <v>9</v>
      </c>
      <c r="AK90" s="100">
        <v>9979.1999999999989</v>
      </c>
      <c r="AL90" s="100">
        <v>11</v>
      </c>
      <c r="AM90" s="100">
        <v>12196.8</v>
      </c>
      <c r="AN90" s="100">
        <v>7</v>
      </c>
      <c r="AO90" s="100">
        <v>7761.5999999999995</v>
      </c>
      <c r="AP90" s="100">
        <v>6</v>
      </c>
      <c r="AQ90" s="100">
        <v>6652.7999999999993</v>
      </c>
      <c r="AR90" s="100">
        <v>10</v>
      </c>
      <c r="AS90" s="100">
        <v>11088</v>
      </c>
      <c r="AT90" s="100">
        <v>9</v>
      </c>
      <c r="AU90" s="100">
        <v>9979.1999999999989</v>
      </c>
      <c r="AV90" s="100">
        <v>5</v>
      </c>
      <c r="AW90" s="100">
        <v>5544</v>
      </c>
      <c r="AX90" s="100">
        <v>6</v>
      </c>
      <c r="AY90" s="100">
        <v>6652.7999999999993</v>
      </c>
      <c r="AZ90" s="100">
        <v>6</v>
      </c>
      <c r="BA90" s="100">
        <v>6652.7999999999993</v>
      </c>
      <c r="BB90" s="100">
        <v>8</v>
      </c>
      <c r="BC90" s="100">
        <v>8870.4</v>
      </c>
      <c r="BD90" s="100">
        <v>7</v>
      </c>
      <c r="BE90" s="100">
        <v>7761.5999999999995</v>
      </c>
      <c r="BF90" s="100">
        <v>6</v>
      </c>
      <c r="BG90" s="100">
        <v>6652.7999999999993</v>
      </c>
      <c r="BH90" s="100">
        <v>6</v>
      </c>
      <c r="BI90" s="100">
        <v>6652.7999999999993</v>
      </c>
      <c r="BJ90" s="100">
        <v>2.4782608695652177</v>
      </c>
      <c r="BK90" s="100">
        <v>2747.8956521739133</v>
      </c>
      <c r="BL90" s="100">
        <v>10</v>
      </c>
      <c r="BM90" s="100">
        <v>11088</v>
      </c>
      <c r="BN90" s="100">
        <v>7</v>
      </c>
      <c r="BO90" s="100">
        <v>7761.5999999999995</v>
      </c>
      <c r="BP90" s="100">
        <v>11</v>
      </c>
      <c r="BQ90" s="100">
        <v>12196.8</v>
      </c>
      <c r="BR90" s="100">
        <v>9</v>
      </c>
      <c r="BS90" s="100">
        <v>9979.1999999999989</v>
      </c>
      <c r="BT90" s="100">
        <v>8</v>
      </c>
      <c r="BU90" s="100">
        <v>8870.4</v>
      </c>
      <c r="BV90" s="100">
        <v>3.1818181818181825</v>
      </c>
      <c r="BW90" s="100">
        <v>3528.0000000000005</v>
      </c>
      <c r="BX90" s="100">
        <v>7</v>
      </c>
      <c r="BY90" s="100">
        <v>7761.5999999999995</v>
      </c>
      <c r="BZ90" s="100">
        <v>7</v>
      </c>
      <c r="CA90" s="100">
        <v>7761.5999999999995</v>
      </c>
      <c r="CB90" s="100">
        <v>7</v>
      </c>
      <c r="CC90" s="100">
        <v>7761.5999999999995</v>
      </c>
      <c r="CD90" s="100">
        <v>7.8369098712446359</v>
      </c>
      <c r="CE90" s="100">
        <v>8689.5656652360522</v>
      </c>
      <c r="CF90" s="100">
        <v>12</v>
      </c>
      <c r="CG90" s="100">
        <v>13305.599999999999</v>
      </c>
      <c r="CH90" s="100">
        <v>5.4969325153374244</v>
      </c>
      <c r="CI90" s="100">
        <v>6094.9987730061357</v>
      </c>
      <c r="CJ90" s="100">
        <v>7.1162790697674421</v>
      </c>
      <c r="CK90" s="100">
        <v>7890.5302325581397</v>
      </c>
      <c r="CL90" s="100">
        <v>5.815192238722334</v>
      </c>
      <c r="CM90" s="100">
        <v>6447.8851542953234</v>
      </c>
      <c r="CN90" s="100">
        <v>4.8022598870056497</v>
      </c>
      <c r="CO90" s="100">
        <v>5324.7457627118638</v>
      </c>
      <c r="CP90" s="100">
        <v>0.38269731655867867</v>
      </c>
      <c r="CQ90" s="100">
        <v>424.33478460026288</v>
      </c>
      <c r="CR90" s="100">
        <v>7.4316939890710367</v>
      </c>
      <c r="CS90" s="100">
        <v>8240.2622950819659</v>
      </c>
      <c r="CT90" s="100">
        <v>7</v>
      </c>
      <c r="CU90" s="100">
        <v>7761.5999999999995</v>
      </c>
    </row>
    <row r="91" spans="2:99">
      <c r="C91" s="99" t="s">
        <v>257</v>
      </c>
      <c r="D91" s="100">
        <v>6</v>
      </c>
      <c r="E91" s="100">
        <v>6818.4</v>
      </c>
      <c r="F91" s="100">
        <v>8</v>
      </c>
      <c r="G91" s="100">
        <v>9091.1999999999989</v>
      </c>
      <c r="H91" s="100">
        <v>7</v>
      </c>
      <c r="I91" s="100">
        <v>7954.7999999999993</v>
      </c>
      <c r="J91" s="100">
        <v>9</v>
      </c>
      <c r="K91" s="100">
        <v>10227.599999999999</v>
      </c>
      <c r="L91" s="100">
        <v>5</v>
      </c>
      <c r="M91" s="100">
        <v>5681.9999999999991</v>
      </c>
      <c r="N91" s="100">
        <v>7</v>
      </c>
      <c r="O91" s="100">
        <v>7954.7999999999993</v>
      </c>
      <c r="P91" s="100">
        <v>7</v>
      </c>
      <c r="Q91" s="100">
        <v>7954.7999999999993</v>
      </c>
      <c r="R91" s="100">
        <v>11</v>
      </c>
      <c r="S91" s="100">
        <v>12500.399999999998</v>
      </c>
      <c r="T91" s="100">
        <v>9</v>
      </c>
      <c r="U91" s="100">
        <v>10227.599999999999</v>
      </c>
      <c r="V91" s="100">
        <v>10</v>
      </c>
      <c r="W91" s="100">
        <v>11363.999999999998</v>
      </c>
      <c r="X91" s="100">
        <v>9</v>
      </c>
      <c r="Y91" s="100">
        <v>10227.599999999999</v>
      </c>
      <c r="Z91" s="100">
        <v>2.2654931641058456</v>
      </c>
      <c r="AA91" s="100">
        <v>2574.5064316898824</v>
      </c>
      <c r="AB91" s="100">
        <v>9.1397849462365599</v>
      </c>
      <c r="AC91" s="100">
        <v>10386.451612903225</v>
      </c>
      <c r="AD91" s="100">
        <v>8.7383177570093462</v>
      </c>
      <c r="AE91" s="100">
        <v>9930.2242990654195</v>
      </c>
      <c r="AF91" s="100">
        <v>10</v>
      </c>
      <c r="AG91" s="100">
        <v>11363.999999999998</v>
      </c>
      <c r="AH91" s="100">
        <v>5.3097345132743365</v>
      </c>
      <c r="AI91" s="100">
        <v>6033.9823008849553</v>
      </c>
      <c r="AJ91" s="100">
        <v>11</v>
      </c>
      <c r="AK91" s="100">
        <v>12500.399999999998</v>
      </c>
      <c r="AL91" s="100">
        <v>10</v>
      </c>
      <c r="AM91" s="100">
        <v>11363.999999999998</v>
      </c>
      <c r="AN91" s="100">
        <v>6</v>
      </c>
      <c r="AO91" s="100">
        <v>6818.4</v>
      </c>
      <c r="AP91" s="100">
        <v>6</v>
      </c>
      <c r="AQ91" s="100">
        <v>6818.4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6</v>
      </c>
      <c r="AW91" s="100">
        <v>6818.4</v>
      </c>
      <c r="AX91" s="100">
        <v>6</v>
      </c>
      <c r="AY91" s="100">
        <v>6818.4</v>
      </c>
      <c r="AZ91" s="100">
        <v>6</v>
      </c>
      <c r="BA91" s="100">
        <v>6818.4</v>
      </c>
      <c r="BB91" s="100">
        <v>8</v>
      </c>
      <c r="BC91" s="100">
        <v>9091.1999999999989</v>
      </c>
      <c r="BD91" s="100">
        <v>7</v>
      </c>
      <c r="BE91" s="100">
        <v>7954.7999999999993</v>
      </c>
      <c r="BF91" s="100">
        <v>6</v>
      </c>
      <c r="BG91" s="100">
        <v>6818.4</v>
      </c>
      <c r="BH91" s="100">
        <v>6</v>
      </c>
      <c r="BI91" s="100">
        <v>6818.4</v>
      </c>
      <c r="BJ91" s="100">
        <v>2.1242236024844727</v>
      </c>
      <c r="BK91" s="100">
        <v>2413.9677018633547</v>
      </c>
      <c r="BL91" s="100">
        <v>11</v>
      </c>
      <c r="BM91" s="100">
        <v>12500.399999999998</v>
      </c>
      <c r="BN91" s="100">
        <v>8</v>
      </c>
      <c r="BO91" s="100">
        <v>9091.1999999999989</v>
      </c>
      <c r="BP91" s="100">
        <v>10</v>
      </c>
      <c r="BQ91" s="100">
        <v>11363.999999999998</v>
      </c>
      <c r="BR91" s="100">
        <v>9</v>
      </c>
      <c r="BS91" s="100">
        <v>10227.599999999999</v>
      </c>
      <c r="BT91" s="100">
        <v>8</v>
      </c>
      <c r="BU91" s="100">
        <v>9091.1999999999989</v>
      </c>
      <c r="BV91" s="100">
        <v>2.727272727272728</v>
      </c>
      <c r="BW91" s="100">
        <v>3099.2727272727275</v>
      </c>
      <c r="BX91" s="100">
        <v>8</v>
      </c>
      <c r="BY91" s="100">
        <v>9091.1999999999989</v>
      </c>
      <c r="BZ91" s="100">
        <v>8</v>
      </c>
      <c r="CA91" s="100">
        <v>9091.1999999999989</v>
      </c>
      <c r="CB91" s="100">
        <v>7</v>
      </c>
      <c r="CC91" s="100">
        <v>7954.7999999999993</v>
      </c>
      <c r="CD91" s="100">
        <v>7.1244635193133048</v>
      </c>
      <c r="CE91" s="100">
        <v>8096.2403433476384</v>
      </c>
      <c r="CF91" s="100">
        <v>12</v>
      </c>
      <c r="CG91" s="100">
        <v>13636.8</v>
      </c>
      <c r="CH91" s="100">
        <v>5.4969325153374244</v>
      </c>
      <c r="CI91" s="100">
        <v>6246.7141104294487</v>
      </c>
      <c r="CJ91" s="100">
        <v>7.9069767441860463</v>
      </c>
      <c r="CK91" s="100">
        <v>8985.4883720930211</v>
      </c>
      <c r="CL91" s="100">
        <v>5.0882932088820425</v>
      </c>
      <c r="CM91" s="100">
        <v>5782.3364025735527</v>
      </c>
      <c r="CN91" s="100">
        <v>5.7627118644067794</v>
      </c>
      <c r="CO91" s="100">
        <v>6548.7457627118629</v>
      </c>
      <c r="CP91" s="100">
        <v>0.44648020265179172</v>
      </c>
      <c r="CQ91" s="100">
        <v>507.38010229349607</v>
      </c>
      <c r="CR91" s="100">
        <v>7.4316939890710367</v>
      </c>
      <c r="CS91" s="100">
        <v>8445.3770491803243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10</v>
      </c>
      <c r="G92" s="100">
        <v>7848</v>
      </c>
      <c r="H92" s="100">
        <v>8</v>
      </c>
      <c r="I92" s="100">
        <v>6278.4</v>
      </c>
      <c r="J92" s="100">
        <v>10</v>
      </c>
      <c r="K92" s="100">
        <v>7848</v>
      </c>
      <c r="L92" s="100">
        <v>6</v>
      </c>
      <c r="M92" s="100">
        <v>4708.7999999999993</v>
      </c>
      <c r="N92" s="100">
        <v>7</v>
      </c>
      <c r="O92" s="100">
        <v>5493.5999999999995</v>
      </c>
      <c r="P92" s="100">
        <v>7</v>
      </c>
      <c r="Q92" s="100">
        <v>5493.5999999999995</v>
      </c>
      <c r="R92" s="100">
        <v>11</v>
      </c>
      <c r="S92" s="100">
        <v>8632.7999999999993</v>
      </c>
      <c r="T92" s="100">
        <v>9</v>
      </c>
      <c r="U92" s="100">
        <v>7063.2</v>
      </c>
      <c r="V92" s="100">
        <v>9</v>
      </c>
      <c r="W92" s="100">
        <v>7063.2</v>
      </c>
      <c r="X92" s="100">
        <v>10</v>
      </c>
      <c r="Y92" s="100">
        <v>7848</v>
      </c>
      <c r="Z92" s="100">
        <v>2.2654931641058456</v>
      </c>
      <c r="AA92" s="100">
        <v>1777.9590351902675</v>
      </c>
      <c r="AB92" s="100">
        <v>10.053763440860216</v>
      </c>
      <c r="AC92" s="100">
        <v>7890.1935483870966</v>
      </c>
      <c r="AD92" s="100">
        <v>9.5327102803738324</v>
      </c>
      <c r="AE92" s="100">
        <v>7481.2710280373831</v>
      </c>
      <c r="AF92" s="100">
        <v>10</v>
      </c>
      <c r="AG92" s="100">
        <v>7848</v>
      </c>
      <c r="AH92" s="100">
        <v>4.778761061946903</v>
      </c>
      <c r="AI92" s="100">
        <v>3750.3716814159293</v>
      </c>
      <c r="AJ92" s="100">
        <v>9</v>
      </c>
      <c r="AK92" s="100">
        <v>7063.2</v>
      </c>
      <c r="AL92" s="100">
        <v>10</v>
      </c>
      <c r="AM92" s="100">
        <v>7848</v>
      </c>
      <c r="AN92" s="100">
        <v>6</v>
      </c>
      <c r="AO92" s="100">
        <v>4708.7999999999993</v>
      </c>
      <c r="AP92" s="100">
        <v>6</v>
      </c>
      <c r="AQ92" s="100">
        <v>4708.7999999999993</v>
      </c>
      <c r="AR92" s="100">
        <v>10</v>
      </c>
      <c r="AS92" s="100">
        <v>7848</v>
      </c>
      <c r="AT92" s="100">
        <v>10</v>
      </c>
      <c r="AU92" s="100">
        <v>7848</v>
      </c>
      <c r="AV92" s="100">
        <v>6</v>
      </c>
      <c r="AW92" s="100">
        <v>4708.7999999999993</v>
      </c>
      <c r="AX92" s="100">
        <v>6</v>
      </c>
      <c r="AY92" s="100">
        <v>4708.7999999999993</v>
      </c>
      <c r="AZ92" s="100">
        <v>7</v>
      </c>
      <c r="BA92" s="100">
        <v>5493.5999999999995</v>
      </c>
      <c r="BB92" s="100">
        <v>8</v>
      </c>
      <c r="BC92" s="100">
        <v>6278.4</v>
      </c>
      <c r="BD92" s="100">
        <v>7</v>
      </c>
      <c r="BE92" s="100">
        <v>5493.5999999999995</v>
      </c>
      <c r="BF92" s="100">
        <v>6</v>
      </c>
      <c r="BG92" s="100">
        <v>4708.7999999999993</v>
      </c>
      <c r="BH92" s="100">
        <v>6</v>
      </c>
      <c r="BI92" s="100">
        <v>4708.7999999999993</v>
      </c>
      <c r="BJ92" s="100">
        <v>2.4782608695652177</v>
      </c>
      <c r="BK92" s="100">
        <v>1944.9391304347828</v>
      </c>
      <c r="BL92" s="100">
        <v>9</v>
      </c>
      <c r="BM92" s="100">
        <v>7063.2</v>
      </c>
      <c r="BN92" s="100">
        <v>7</v>
      </c>
      <c r="BO92" s="100">
        <v>5493.5999999999995</v>
      </c>
      <c r="BP92" s="100">
        <v>10</v>
      </c>
      <c r="BQ92" s="100">
        <v>7848</v>
      </c>
      <c r="BR92" s="100">
        <v>9</v>
      </c>
      <c r="BS92" s="100">
        <v>7063.2</v>
      </c>
      <c r="BT92" s="100">
        <v>8</v>
      </c>
      <c r="BU92" s="100">
        <v>6278.4</v>
      </c>
      <c r="BV92" s="100">
        <v>3.1818181818181825</v>
      </c>
      <c r="BW92" s="100">
        <v>2497.0909090909095</v>
      </c>
      <c r="BX92" s="100">
        <v>7</v>
      </c>
      <c r="BY92" s="100">
        <v>5493.5999999999995</v>
      </c>
      <c r="BZ92" s="100">
        <v>8</v>
      </c>
      <c r="CA92" s="100">
        <v>6278.4</v>
      </c>
      <c r="CB92" s="100">
        <v>6</v>
      </c>
      <c r="CC92" s="100">
        <v>4708.7999999999993</v>
      </c>
      <c r="CD92" s="100">
        <v>7.8369098712446359</v>
      </c>
      <c r="CE92" s="100">
        <v>6150.4068669527896</v>
      </c>
      <c r="CF92" s="100">
        <v>10</v>
      </c>
      <c r="CG92" s="100">
        <v>7848</v>
      </c>
      <c r="CH92" s="100">
        <v>5.4969325153374244</v>
      </c>
      <c r="CI92" s="100">
        <v>4313.9926380368106</v>
      </c>
      <c r="CJ92" s="100">
        <v>7.1162790697674421</v>
      </c>
      <c r="CK92" s="100">
        <v>5584.855813953488</v>
      </c>
      <c r="CL92" s="100">
        <v>5.0882932088820425</v>
      </c>
      <c r="CM92" s="100">
        <v>3993.2925103306266</v>
      </c>
      <c r="CN92" s="100">
        <v>5.7627118644067794</v>
      </c>
      <c r="CO92" s="100">
        <v>4522.57627118644</v>
      </c>
      <c r="CP92" s="100">
        <v>0.38269731655867867</v>
      </c>
      <c r="CQ92" s="100">
        <v>300.34085403525103</v>
      </c>
      <c r="CR92" s="100">
        <v>7.4316939890710367</v>
      </c>
      <c r="CS92" s="100">
        <v>5832.3934426229489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7</v>
      </c>
      <c r="I93" s="100">
        <v>4855.2</v>
      </c>
      <c r="J93" s="100">
        <v>9</v>
      </c>
      <c r="K93" s="100">
        <v>6242.4000000000005</v>
      </c>
      <c r="L93" s="100">
        <v>5</v>
      </c>
      <c r="M93" s="100">
        <v>3468</v>
      </c>
      <c r="N93" s="100">
        <v>6</v>
      </c>
      <c r="O93" s="100">
        <v>4161.6000000000004</v>
      </c>
      <c r="P93" s="100">
        <v>7</v>
      </c>
      <c r="Q93" s="100">
        <v>4855.2</v>
      </c>
      <c r="R93" s="100">
        <v>11</v>
      </c>
      <c r="S93" s="100">
        <v>7629.6</v>
      </c>
      <c r="T93" s="100">
        <v>8</v>
      </c>
      <c r="U93" s="100">
        <v>5548.8</v>
      </c>
      <c r="V93" s="100">
        <v>11</v>
      </c>
      <c r="W93" s="100">
        <v>7629.6</v>
      </c>
      <c r="X93" s="100">
        <v>10</v>
      </c>
      <c r="Y93" s="100">
        <v>6936</v>
      </c>
      <c r="Z93" s="100">
        <v>2.2654931641058456</v>
      </c>
      <c r="AA93" s="100">
        <v>1571.3460586238145</v>
      </c>
      <c r="AB93" s="100">
        <v>10.96774193548387</v>
      </c>
      <c r="AC93" s="100">
        <v>7607.2258064516127</v>
      </c>
      <c r="AD93" s="100">
        <v>8.7383177570093462</v>
      </c>
      <c r="AE93" s="100">
        <v>6060.8971962616824</v>
      </c>
      <c r="AF93" s="100">
        <v>10</v>
      </c>
      <c r="AG93" s="100">
        <v>6936</v>
      </c>
      <c r="AH93" s="100">
        <v>5.3097345132743365</v>
      </c>
      <c r="AI93" s="100">
        <v>3682.8318584070798</v>
      </c>
      <c r="AJ93" s="100">
        <v>9</v>
      </c>
      <c r="AK93" s="100">
        <v>6242.4000000000005</v>
      </c>
      <c r="AL93" s="100">
        <v>11</v>
      </c>
      <c r="AM93" s="100">
        <v>7629.6</v>
      </c>
      <c r="AN93" s="100">
        <v>7</v>
      </c>
      <c r="AO93" s="100">
        <v>4855.2</v>
      </c>
      <c r="AP93" s="100">
        <v>7</v>
      </c>
      <c r="AQ93" s="100">
        <v>4855.2</v>
      </c>
      <c r="AR93" s="100">
        <v>10</v>
      </c>
      <c r="AS93" s="100">
        <v>6936</v>
      </c>
      <c r="AT93" s="100">
        <v>9</v>
      </c>
      <c r="AU93" s="100">
        <v>6242.4000000000005</v>
      </c>
      <c r="AV93" s="100">
        <v>6</v>
      </c>
      <c r="AW93" s="100">
        <v>4161.6000000000004</v>
      </c>
      <c r="AX93" s="100">
        <v>7</v>
      </c>
      <c r="AY93" s="100">
        <v>4855.2</v>
      </c>
      <c r="AZ93" s="100">
        <v>6</v>
      </c>
      <c r="BA93" s="100">
        <v>4161.6000000000004</v>
      </c>
      <c r="BB93" s="100">
        <v>7</v>
      </c>
      <c r="BC93" s="100">
        <v>4855.2</v>
      </c>
      <c r="BD93" s="100">
        <v>8</v>
      </c>
      <c r="BE93" s="100">
        <v>5548.8</v>
      </c>
      <c r="BF93" s="100">
        <v>7</v>
      </c>
      <c r="BG93" s="100">
        <v>4855.2</v>
      </c>
      <c r="BH93" s="100">
        <v>6</v>
      </c>
      <c r="BI93" s="100">
        <v>4161.6000000000004</v>
      </c>
      <c r="BJ93" s="100">
        <v>2.4782608695652177</v>
      </c>
      <c r="BK93" s="100">
        <v>1718.9217391304351</v>
      </c>
      <c r="BL93" s="100">
        <v>10</v>
      </c>
      <c r="BM93" s="100">
        <v>6936</v>
      </c>
      <c r="BN93" s="100">
        <v>8</v>
      </c>
      <c r="BO93" s="100">
        <v>5548.8</v>
      </c>
      <c r="BP93" s="100">
        <v>10</v>
      </c>
      <c r="BQ93" s="100">
        <v>6936</v>
      </c>
      <c r="BR93" s="100">
        <v>9</v>
      </c>
      <c r="BS93" s="100">
        <v>6242.4000000000005</v>
      </c>
      <c r="BT93" s="100">
        <v>8</v>
      </c>
      <c r="BU93" s="100">
        <v>5548.8</v>
      </c>
      <c r="BV93" s="100">
        <v>3.1818181818181825</v>
      </c>
      <c r="BW93" s="100">
        <v>2206.9090909090914</v>
      </c>
      <c r="BX93" s="100">
        <v>7</v>
      </c>
      <c r="BY93" s="100">
        <v>4855.2</v>
      </c>
      <c r="BZ93" s="100">
        <v>7</v>
      </c>
      <c r="CA93" s="100">
        <v>4855.2</v>
      </c>
      <c r="CB93" s="100">
        <v>7</v>
      </c>
      <c r="CC93" s="100">
        <v>4855.2</v>
      </c>
      <c r="CD93" s="100">
        <v>9.2618025751072963</v>
      </c>
      <c r="CE93" s="100">
        <v>6423.9862660944209</v>
      </c>
      <c r="CF93" s="100">
        <v>12</v>
      </c>
      <c r="CG93" s="100">
        <v>8323.2000000000007</v>
      </c>
      <c r="CH93" s="100">
        <v>5.4969325153374244</v>
      </c>
      <c r="CI93" s="100">
        <v>3812.6723926380378</v>
      </c>
      <c r="CJ93" s="100">
        <v>7.9069767441860463</v>
      </c>
      <c r="CK93" s="100">
        <v>5484.2790697674418</v>
      </c>
      <c r="CL93" s="100">
        <v>5.815192238722334</v>
      </c>
      <c r="CM93" s="100">
        <v>4033.4173367778112</v>
      </c>
      <c r="CN93" s="100">
        <v>5.7627118644067794</v>
      </c>
      <c r="CO93" s="100">
        <v>3997.0169491525421</v>
      </c>
      <c r="CP93" s="100">
        <v>0.38269731655867867</v>
      </c>
      <c r="CQ93" s="100">
        <v>265.43885876509955</v>
      </c>
      <c r="CR93" s="100">
        <v>7.4316939890710367</v>
      </c>
      <c r="CS93" s="100">
        <v>5154.6229508196711</v>
      </c>
      <c r="CT93" s="100">
        <v>7</v>
      </c>
      <c r="CU93" s="100">
        <v>4855.2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8</v>
      </c>
      <c r="G94" s="100">
        <v>9542.4</v>
      </c>
      <c r="H94" s="100">
        <v>7</v>
      </c>
      <c r="I94" s="100">
        <v>8349.6</v>
      </c>
      <c r="J94" s="100">
        <v>8</v>
      </c>
      <c r="K94" s="100">
        <v>9542.4</v>
      </c>
      <c r="L94" s="100">
        <v>5</v>
      </c>
      <c r="M94" s="100">
        <v>5964</v>
      </c>
      <c r="N94" s="100">
        <v>6</v>
      </c>
      <c r="O94" s="100">
        <v>7156.7999999999993</v>
      </c>
      <c r="P94" s="100">
        <v>7</v>
      </c>
      <c r="Q94" s="100">
        <v>8349.6</v>
      </c>
      <c r="R94" s="100">
        <v>11</v>
      </c>
      <c r="S94" s="100">
        <v>13120.8</v>
      </c>
      <c r="T94" s="100">
        <v>9</v>
      </c>
      <c r="U94" s="100">
        <v>10735.199999999999</v>
      </c>
      <c r="V94" s="100">
        <v>10</v>
      </c>
      <c r="W94" s="100">
        <v>11928</v>
      </c>
      <c r="X94" s="100">
        <v>10</v>
      </c>
      <c r="Y94" s="100">
        <v>11928</v>
      </c>
      <c r="Z94" s="100">
        <v>2.5172146267842725</v>
      </c>
      <c r="AA94" s="100">
        <v>3002.53360682828</v>
      </c>
      <c r="AB94" s="100">
        <v>10.053763440860216</v>
      </c>
      <c r="AC94" s="100">
        <v>11992.129032258064</v>
      </c>
      <c r="AD94" s="100">
        <v>7.9439252336448591</v>
      </c>
      <c r="AE94" s="100">
        <v>9475.5140186915869</v>
      </c>
      <c r="AF94" s="100">
        <v>9</v>
      </c>
      <c r="AG94" s="100">
        <v>10735.199999999999</v>
      </c>
      <c r="AH94" s="100">
        <v>5.3097345132743365</v>
      </c>
      <c r="AI94" s="100">
        <v>6333.4513274336286</v>
      </c>
      <c r="AJ94" s="100">
        <v>10</v>
      </c>
      <c r="AK94" s="100">
        <v>11928</v>
      </c>
      <c r="AL94" s="100">
        <v>10</v>
      </c>
      <c r="AM94" s="100">
        <v>11928</v>
      </c>
      <c r="AN94" s="100">
        <v>7</v>
      </c>
      <c r="AO94" s="100">
        <v>8349.6</v>
      </c>
      <c r="AP94" s="100">
        <v>6</v>
      </c>
      <c r="AQ94" s="100">
        <v>7156.7999999999993</v>
      </c>
      <c r="AR94" s="100">
        <v>10</v>
      </c>
      <c r="AS94" s="100">
        <v>11928</v>
      </c>
      <c r="AT94" s="100">
        <v>9</v>
      </c>
      <c r="AU94" s="100">
        <v>10735.199999999999</v>
      </c>
      <c r="AV94" s="100">
        <v>6</v>
      </c>
      <c r="AW94" s="100">
        <v>7156.7999999999993</v>
      </c>
      <c r="AX94" s="100">
        <v>6</v>
      </c>
      <c r="AY94" s="100">
        <v>7156.7999999999993</v>
      </c>
      <c r="AZ94" s="100">
        <v>6</v>
      </c>
      <c r="BA94" s="100">
        <v>7156.7999999999993</v>
      </c>
      <c r="BB94" s="100">
        <v>7</v>
      </c>
      <c r="BC94" s="100">
        <v>8349.6</v>
      </c>
      <c r="BD94" s="100">
        <v>6</v>
      </c>
      <c r="BE94" s="100">
        <v>7156.7999999999993</v>
      </c>
      <c r="BF94" s="100">
        <v>6</v>
      </c>
      <c r="BG94" s="100">
        <v>7156.7999999999993</v>
      </c>
      <c r="BH94" s="100">
        <v>6</v>
      </c>
      <c r="BI94" s="100">
        <v>7156.7999999999993</v>
      </c>
      <c r="BJ94" s="100">
        <v>2.1242236024844727</v>
      </c>
      <c r="BK94" s="100">
        <v>2533.7739130434788</v>
      </c>
      <c r="BL94" s="100">
        <v>11</v>
      </c>
      <c r="BM94" s="100">
        <v>13120.8</v>
      </c>
      <c r="BN94" s="100">
        <v>8</v>
      </c>
      <c r="BO94" s="100">
        <v>9542.4</v>
      </c>
      <c r="BP94" s="100">
        <v>10</v>
      </c>
      <c r="BQ94" s="100">
        <v>11928</v>
      </c>
      <c r="BR94" s="100">
        <v>9</v>
      </c>
      <c r="BS94" s="100">
        <v>10735.199999999999</v>
      </c>
      <c r="BT94" s="100">
        <v>8</v>
      </c>
      <c r="BU94" s="100">
        <v>9542.4</v>
      </c>
      <c r="BV94" s="100">
        <v>3.1818181818181825</v>
      </c>
      <c r="BW94" s="100">
        <v>3795.2727272727279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7.8369098712446359</v>
      </c>
      <c r="CE94" s="100">
        <v>9347.8660944206022</v>
      </c>
      <c r="CF94" s="100">
        <v>12</v>
      </c>
      <c r="CG94" s="100">
        <v>14313.599999999999</v>
      </c>
      <c r="CH94" s="100">
        <v>5.4969325153374244</v>
      </c>
      <c r="CI94" s="100">
        <v>6556.7411042944796</v>
      </c>
      <c r="CJ94" s="100">
        <v>6.3255813953488369</v>
      </c>
      <c r="CK94" s="100">
        <v>7545.1534883720924</v>
      </c>
      <c r="CL94" s="100">
        <v>6.5420912685626256</v>
      </c>
      <c r="CM94" s="100">
        <v>7803.4064651414992</v>
      </c>
      <c r="CN94" s="100">
        <v>5.7627118644067794</v>
      </c>
      <c r="CO94" s="100">
        <v>6873.7627118644059</v>
      </c>
      <c r="CP94" s="100">
        <v>0.38269731655867867</v>
      </c>
      <c r="CQ94" s="100">
        <v>456.48135919119187</v>
      </c>
      <c r="CR94" s="100">
        <v>7.4316939890710367</v>
      </c>
      <c r="CS94" s="100">
        <v>8864.5245901639319</v>
      </c>
      <c r="CT94" s="100">
        <v>6</v>
      </c>
      <c r="CU94" s="100">
        <v>7156.7999999999993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8</v>
      </c>
      <c r="G95" s="100">
        <v>2630.4</v>
      </c>
      <c r="H95" s="100">
        <v>13</v>
      </c>
      <c r="I95" s="100">
        <v>4274.4000000000005</v>
      </c>
      <c r="J95" s="100">
        <v>9</v>
      </c>
      <c r="K95" s="100">
        <v>2959.2000000000003</v>
      </c>
      <c r="L95" s="100">
        <v>9</v>
      </c>
      <c r="M95" s="100">
        <v>2959.2000000000003</v>
      </c>
      <c r="N95" s="100">
        <v>7</v>
      </c>
      <c r="O95" s="100">
        <v>2301.6</v>
      </c>
      <c r="P95" s="100">
        <v>10</v>
      </c>
      <c r="Q95" s="100">
        <v>3288</v>
      </c>
      <c r="R95" s="100">
        <v>7</v>
      </c>
      <c r="S95" s="100">
        <v>2301.6</v>
      </c>
      <c r="T95" s="100">
        <v>12</v>
      </c>
      <c r="U95" s="100">
        <v>3945.6000000000004</v>
      </c>
      <c r="V95" s="100">
        <v>8</v>
      </c>
      <c r="W95" s="100">
        <v>2630.4</v>
      </c>
      <c r="X95" s="100">
        <v>7</v>
      </c>
      <c r="Y95" s="100">
        <v>2301.6</v>
      </c>
      <c r="Z95" s="100">
        <v>2.7689360894627</v>
      </c>
      <c r="AA95" s="100">
        <v>910.42618621533575</v>
      </c>
      <c r="AB95" s="100">
        <v>7.3118279569892479</v>
      </c>
      <c r="AC95" s="100">
        <v>2404.1290322580649</v>
      </c>
      <c r="AD95" s="100">
        <v>7.9439252336448591</v>
      </c>
      <c r="AE95" s="100">
        <v>2611.9626168224299</v>
      </c>
      <c r="AF95" s="100">
        <v>12</v>
      </c>
      <c r="AG95" s="100">
        <v>3945.6000000000004</v>
      </c>
      <c r="AH95" s="100">
        <v>6.9026548672566381</v>
      </c>
      <c r="AI95" s="100">
        <v>2269.5929203539827</v>
      </c>
      <c r="AJ95" s="100">
        <v>11</v>
      </c>
      <c r="AK95" s="100">
        <v>3616.8</v>
      </c>
      <c r="AL95" s="100">
        <v>7</v>
      </c>
      <c r="AM95" s="100">
        <v>2301.6</v>
      </c>
      <c r="AN95" s="100">
        <v>11</v>
      </c>
      <c r="AO95" s="100">
        <v>3616.8</v>
      </c>
      <c r="AP95" s="100">
        <v>10</v>
      </c>
      <c r="AQ95" s="100">
        <v>3288</v>
      </c>
      <c r="AR95" s="100">
        <v>12</v>
      </c>
      <c r="AS95" s="100">
        <v>3945.6000000000004</v>
      </c>
      <c r="AT95" s="100">
        <v>7</v>
      </c>
      <c r="AU95" s="100">
        <v>2301.6</v>
      </c>
      <c r="AV95" s="100">
        <v>12</v>
      </c>
      <c r="AW95" s="100">
        <v>3945.6000000000004</v>
      </c>
      <c r="AX95" s="100">
        <v>7</v>
      </c>
      <c r="AY95" s="100">
        <v>2301.6</v>
      </c>
      <c r="AZ95" s="100">
        <v>9</v>
      </c>
      <c r="BA95" s="100">
        <v>2959.2000000000003</v>
      </c>
      <c r="BB95" s="100">
        <v>11</v>
      </c>
      <c r="BC95" s="100">
        <v>3616.8</v>
      </c>
      <c r="BD95" s="100">
        <v>9</v>
      </c>
      <c r="BE95" s="100">
        <v>2959.2000000000003</v>
      </c>
      <c r="BF95" s="100">
        <v>7</v>
      </c>
      <c r="BG95" s="100">
        <v>2301.6</v>
      </c>
      <c r="BH95" s="100">
        <v>12</v>
      </c>
      <c r="BI95" s="100">
        <v>3945.6000000000004</v>
      </c>
      <c r="BJ95" s="100">
        <v>2.8322981366459632</v>
      </c>
      <c r="BK95" s="100">
        <v>931.25962732919277</v>
      </c>
      <c r="BL95" s="100">
        <v>13</v>
      </c>
      <c r="BM95" s="100">
        <v>4274.4000000000005</v>
      </c>
      <c r="BN95" s="100">
        <v>7</v>
      </c>
      <c r="BO95" s="100">
        <v>2301.6</v>
      </c>
      <c r="BP95" s="100">
        <v>10</v>
      </c>
      <c r="BQ95" s="100">
        <v>3288</v>
      </c>
      <c r="BR95" s="100">
        <v>9</v>
      </c>
      <c r="BS95" s="100">
        <v>2959.2000000000003</v>
      </c>
      <c r="BT95" s="100">
        <v>8</v>
      </c>
      <c r="BU95" s="100">
        <v>2630.4</v>
      </c>
      <c r="BV95" s="100">
        <v>3.1818181818181825</v>
      </c>
      <c r="BW95" s="100">
        <v>1046.1818181818185</v>
      </c>
      <c r="BX95" s="100">
        <v>11</v>
      </c>
      <c r="BY95" s="100">
        <v>3616.8</v>
      </c>
      <c r="BZ95" s="100">
        <v>10</v>
      </c>
      <c r="CA95" s="100">
        <v>3288</v>
      </c>
      <c r="CB95" s="100">
        <v>7</v>
      </c>
      <c r="CC95" s="100">
        <v>2301.6</v>
      </c>
      <c r="CD95" s="100">
        <v>9.2618025751072963</v>
      </c>
      <c r="CE95" s="100">
        <v>3045.2806866952792</v>
      </c>
      <c r="CF95" s="100">
        <v>12</v>
      </c>
      <c r="CG95" s="100">
        <v>3945.6000000000004</v>
      </c>
      <c r="CH95" s="100">
        <v>5.4969325153374244</v>
      </c>
      <c r="CI95" s="100">
        <v>1807.3914110429453</v>
      </c>
      <c r="CJ95" s="100">
        <v>9.4883720930232549</v>
      </c>
      <c r="CK95" s="100">
        <v>3119.7767441860465</v>
      </c>
      <c r="CL95" s="100">
        <v>7.268990298402918</v>
      </c>
      <c r="CM95" s="100">
        <v>2390.0440101148797</v>
      </c>
      <c r="CN95" s="100">
        <v>9.6045197740112993</v>
      </c>
      <c r="CO95" s="100">
        <v>3157.9661016949153</v>
      </c>
      <c r="CP95" s="100">
        <v>0.70161174702424423</v>
      </c>
      <c r="CQ95" s="100">
        <v>230.68994242157152</v>
      </c>
      <c r="CR95" s="100">
        <v>5.9453551912568292</v>
      </c>
      <c r="CS95" s="100">
        <v>1954.8327868852455</v>
      </c>
      <c r="CT95" s="100">
        <v>7</v>
      </c>
      <c r="CU95" s="100">
        <v>2301.6</v>
      </c>
    </row>
    <row r="96" spans="2:99">
      <c r="C96" s="99" t="s">
        <v>262</v>
      </c>
      <c r="D96" s="100">
        <v>9</v>
      </c>
      <c r="E96" s="100">
        <v>6253.2</v>
      </c>
      <c r="F96" s="100">
        <v>7</v>
      </c>
      <c r="G96" s="100">
        <v>4863.5999999999995</v>
      </c>
      <c r="H96" s="100">
        <v>11</v>
      </c>
      <c r="I96" s="100">
        <v>7642.7999999999993</v>
      </c>
      <c r="J96" s="100">
        <v>11</v>
      </c>
      <c r="K96" s="100">
        <v>7642.7999999999993</v>
      </c>
      <c r="L96" s="100">
        <v>9</v>
      </c>
      <c r="M96" s="100">
        <v>6253.2</v>
      </c>
      <c r="N96" s="100">
        <v>8</v>
      </c>
      <c r="O96" s="100">
        <v>5558.4</v>
      </c>
      <c r="P96" s="100">
        <v>10</v>
      </c>
      <c r="Q96" s="100">
        <v>6948</v>
      </c>
      <c r="R96" s="100">
        <v>8</v>
      </c>
      <c r="S96" s="100">
        <v>5558.4</v>
      </c>
      <c r="T96" s="100">
        <v>12</v>
      </c>
      <c r="U96" s="100">
        <v>8337.5999999999985</v>
      </c>
      <c r="V96" s="100">
        <v>9</v>
      </c>
      <c r="W96" s="100">
        <v>6253.2</v>
      </c>
      <c r="X96" s="100">
        <v>7</v>
      </c>
      <c r="Y96" s="100">
        <v>4863.5999999999995</v>
      </c>
      <c r="Z96" s="100">
        <v>2.2654931641058456</v>
      </c>
      <c r="AA96" s="100">
        <v>1574.0646504207414</v>
      </c>
      <c r="AB96" s="100">
        <v>7.3118279569892479</v>
      </c>
      <c r="AC96" s="100">
        <v>5080.2580645161288</v>
      </c>
      <c r="AD96" s="100">
        <v>7.9439252336448591</v>
      </c>
      <c r="AE96" s="100">
        <v>5519.4392523364477</v>
      </c>
      <c r="AF96" s="100">
        <v>12</v>
      </c>
      <c r="AG96" s="100">
        <v>8337.5999999999985</v>
      </c>
      <c r="AH96" s="100">
        <v>6.3716814159292046</v>
      </c>
      <c r="AI96" s="100">
        <v>4427.0442477876113</v>
      </c>
      <c r="AJ96" s="100">
        <v>10</v>
      </c>
      <c r="AK96" s="100">
        <v>6948</v>
      </c>
      <c r="AL96" s="100">
        <v>7</v>
      </c>
      <c r="AM96" s="100">
        <v>4863.5999999999995</v>
      </c>
      <c r="AN96" s="100">
        <v>11</v>
      </c>
      <c r="AO96" s="100">
        <v>7642.7999999999993</v>
      </c>
      <c r="AP96" s="100">
        <v>10</v>
      </c>
      <c r="AQ96" s="100">
        <v>6948</v>
      </c>
      <c r="AR96" s="100">
        <v>10</v>
      </c>
      <c r="AS96" s="100">
        <v>6948</v>
      </c>
      <c r="AT96" s="100">
        <v>7</v>
      </c>
      <c r="AU96" s="100">
        <v>4863.5999999999995</v>
      </c>
      <c r="AV96" s="100">
        <v>14</v>
      </c>
      <c r="AW96" s="100">
        <v>9727.1999999999989</v>
      </c>
      <c r="AX96" s="100">
        <v>8</v>
      </c>
      <c r="AY96" s="100">
        <v>5558.4</v>
      </c>
      <c r="AZ96" s="100">
        <v>8</v>
      </c>
      <c r="BA96" s="100">
        <v>5558.4</v>
      </c>
      <c r="BB96" s="100">
        <v>13</v>
      </c>
      <c r="BC96" s="100">
        <v>9032.4</v>
      </c>
      <c r="BD96" s="100">
        <v>8</v>
      </c>
      <c r="BE96" s="100">
        <v>5558.4</v>
      </c>
      <c r="BF96" s="100">
        <v>6</v>
      </c>
      <c r="BG96" s="100">
        <v>4168.7999999999993</v>
      </c>
      <c r="BH96" s="100">
        <v>12</v>
      </c>
      <c r="BI96" s="100">
        <v>8337.5999999999985</v>
      </c>
      <c r="BJ96" s="100">
        <v>3.1863354037267091</v>
      </c>
      <c r="BK96" s="100">
        <v>2213.8658385093172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11</v>
      </c>
      <c r="BQ96" s="100">
        <v>7642.7999999999993</v>
      </c>
      <c r="BR96" s="100">
        <v>10</v>
      </c>
      <c r="BS96" s="100">
        <v>6948</v>
      </c>
      <c r="BT96" s="100">
        <v>7</v>
      </c>
      <c r="BU96" s="100">
        <v>4863.5999999999995</v>
      </c>
      <c r="BV96" s="100">
        <v>3.6363636363636371</v>
      </c>
      <c r="BW96" s="100">
        <v>2526.545454545455</v>
      </c>
      <c r="BX96" s="100">
        <v>9</v>
      </c>
      <c r="BY96" s="100">
        <v>6253.2</v>
      </c>
      <c r="BZ96" s="100">
        <v>8</v>
      </c>
      <c r="CA96" s="100">
        <v>5558.4</v>
      </c>
      <c r="CB96" s="100">
        <v>8</v>
      </c>
      <c r="CC96" s="100">
        <v>5558.4</v>
      </c>
      <c r="CD96" s="100">
        <v>7.8369098712446359</v>
      </c>
      <c r="CE96" s="100">
        <v>5445.0849785407727</v>
      </c>
      <c r="CF96" s="100">
        <v>11</v>
      </c>
      <c r="CG96" s="100">
        <v>7642.7999999999993</v>
      </c>
      <c r="CH96" s="100">
        <v>6.1840490797546019</v>
      </c>
      <c r="CI96" s="100">
        <v>4296.6773006134972</v>
      </c>
      <c r="CJ96" s="100">
        <v>9.4883720930232549</v>
      </c>
      <c r="CK96" s="100">
        <v>6592.5209302325575</v>
      </c>
      <c r="CL96" s="100">
        <v>8.7227883580835002</v>
      </c>
      <c r="CM96" s="100">
        <v>6060.5933511964158</v>
      </c>
      <c r="CN96" s="100">
        <v>9.6045197740112993</v>
      </c>
      <c r="CO96" s="100">
        <v>6673.2203389830502</v>
      </c>
      <c r="CP96" s="100">
        <v>0.76539463311735734</v>
      </c>
      <c r="CQ96" s="100">
        <v>531.79619108993984</v>
      </c>
      <c r="CR96" s="100">
        <v>6.688524590163933</v>
      </c>
      <c r="CS96" s="100">
        <v>4647.1868852459002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8</v>
      </c>
      <c r="E97" s="100">
        <v>3139.2</v>
      </c>
      <c r="F97" s="100">
        <v>7</v>
      </c>
      <c r="G97" s="100">
        <v>2746.7999999999997</v>
      </c>
      <c r="H97" s="100">
        <v>13</v>
      </c>
      <c r="I97" s="100">
        <v>5101.2</v>
      </c>
      <c r="J97" s="100">
        <v>9</v>
      </c>
      <c r="K97" s="100">
        <v>3531.6</v>
      </c>
      <c r="L97" s="100">
        <v>9</v>
      </c>
      <c r="M97" s="100">
        <v>3531.6</v>
      </c>
      <c r="N97" s="100">
        <v>7</v>
      </c>
      <c r="O97" s="100">
        <v>2746.7999999999997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11</v>
      </c>
      <c r="U97" s="100">
        <v>4316.3999999999996</v>
      </c>
      <c r="V97" s="100">
        <v>10</v>
      </c>
      <c r="W97" s="100">
        <v>3924</v>
      </c>
      <c r="X97" s="100">
        <v>8</v>
      </c>
      <c r="Y97" s="100">
        <v>3139.2</v>
      </c>
      <c r="Z97" s="100">
        <v>2.5172146267842725</v>
      </c>
      <c r="AA97" s="100">
        <v>987.75501955014852</v>
      </c>
      <c r="AB97" s="100">
        <v>6.3978494623655919</v>
      </c>
      <c r="AC97" s="100">
        <v>2510.516129032258</v>
      </c>
      <c r="AD97" s="100">
        <v>7.9439252336448591</v>
      </c>
      <c r="AE97" s="100">
        <v>3117.1962616822425</v>
      </c>
      <c r="AF97" s="100">
        <v>13</v>
      </c>
      <c r="AG97" s="100">
        <v>5101.2</v>
      </c>
      <c r="AH97" s="100">
        <v>7.4336283185840717</v>
      </c>
      <c r="AI97" s="100">
        <v>2916.9557522123896</v>
      </c>
      <c r="AJ97" s="100">
        <v>10</v>
      </c>
      <c r="AK97" s="100">
        <v>3924</v>
      </c>
      <c r="AL97" s="100">
        <v>7</v>
      </c>
      <c r="AM97" s="100">
        <v>2746.7999999999997</v>
      </c>
      <c r="AN97" s="100">
        <v>11</v>
      </c>
      <c r="AO97" s="100">
        <v>4316.3999999999996</v>
      </c>
      <c r="AP97" s="100">
        <v>10</v>
      </c>
      <c r="AQ97" s="100">
        <v>3924</v>
      </c>
      <c r="AR97" s="100">
        <v>11</v>
      </c>
      <c r="AS97" s="100">
        <v>4316.3999999999996</v>
      </c>
      <c r="AT97" s="100">
        <v>7</v>
      </c>
      <c r="AU97" s="100">
        <v>2746.7999999999997</v>
      </c>
      <c r="AV97" s="100">
        <v>13</v>
      </c>
      <c r="AW97" s="100">
        <v>5101.2</v>
      </c>
      <c r="AX97" s="100">
        <v>7</v>
      </c>
      <c r="AY97" s="100">
        <v>2746.7999999999997</v>
      </c>
      <c r="AZ97" s="100">
        <v>9</v>
      </c>
      <c r="BA97" s="100">
        <v>3531.6</v>
      </c>
      <c r="BB97" s="100">
        <v>11</v>
      </c>
      <c r="BC97" s="100">
        <v>4316.3999999999996</v>
      </c>
      <c r="BD97" s="100">
        <v>9</v>
      </c>
      <c r="BE97" s="100">
        <v>3531.6</v>
      </c>
      <c r="BF97" s="100">
        <v>7</v>
      </c>
      <c r="BG97" s="100">
        <v>2746.7999999999997</v>
      </c>
      <c r="BH97" s="100">
        <v>12</v>
      </c>
      <c r="BI97" s="100">
        <v>4708.7999999999993</v>
      </c>
      <c r="BJ97" s="100">
        <v>2.8322981366459632</v>
      </c>
      <c r="BK97" s="100">
        <v>1111.3937888198759</v>
      </c>
      <c r="BL97" s="100">
        <v>12</v>
      </c>
      <c r="BM97" s="100">
        <v>4708.7999999999993</v>
      </c>
      <c r="BN97" s="100">
        <v>7</v>
      </c>
      <c r="BO97" s="100">
        <v>2746.7999999999997</v>
      </c>
      <c r="BP97" s="100">
        <v>10</v>
      </c>
      <c r="BQ97" s="100">
        <v>3924</v>
      </c>
      <c r="BR97" s="100">
        <v>10</v>
      </c>
      <c r="BS97" s="100">
        <v>3924</v>
      </c>
      <c r="BT97" s="100">
        <v>7</v>
      </c>
      <c r="BU97" s="100">
        <v>2746.7999999999997</v>
      </c>
      <c r="BV97" s="100">
        <v>3.1818181818181825</v>
      </c>
      <c r="BW97" s="100">
        <v>1248.5454545454547</v>
      </c>
      <c r="BX97" s="100">
        <v>10</v>
      </c>
      <c r="BY97" s="100">
        <v>3924</v>
      </c>
      <c r="BZ97" s="100">
        <v>10</v>
      </c>
      <c r="CA97" s="100">
        <v>3924</v>
      </c>
      <c r="CB97" s="100">
        <v>7</v>
      </c>
      <c r="CC97" s="100">
        <v>2746.7999999999997</v>
      </c>
      <c r="CD97" s="100">
        <v>9.2618025751072963</v>
      </c>
      <c r="CE97" s="100">
        <v>3634.3313304721028</v>
      </c>
      <c r="CF97" s="100">
        <v>11</v>
      </c>
      <c r="CG97" s="100">
        <v>4316.3999999999996</v>
      </c>
      <c r="CH97" s="100">
        <v>6.1840490797546019</v>
      </c>
      <c r="CI97" s="100">
        <v>2426.6208588957056</v>
      </c>
      <c r="CJ97" s="100">
        <v>8.6976744186046506</v>
      </c>
      <c r="CK97" s="100">
        <v>3412.9674418604645</v>
      </c>
      <c r="CL97" s="100">
        <v>7.9958893282432095</v>
      </c>
      <c r="CM97" s="100">
        <v>3137.5869724026352</v>
      </c>
      <c r="CN97" s="100">
        <v>9.6045197740112993</v>
      </c>
      <c r="CO97" s="100">
        <v>3768.8135593220336</v>
      </c>
      <c r="CP97" s="100">
        <v>0.70161174702424423</v>
      </c>
      <c r="CQ97" s="100">
        <v>275.31244953231339</v>
      </c>
      <c r="CR97" s="100">
        <v>6.688524590163933</v>
      </c>
      <c r="CS97" s="100">
        <v>2624.5770491803273</v>
      </c>
      <c r="CT97" s="100">
        <v>8</v>
      </c>
      <c r="CU97" s="100">
        <v>3139.2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8</v>
      </c>
      <c r="G98" s="100">
        <v>4204.8</v>
      </c>
      <c r="H98" s="100">
        <v>13</v>
      </c>
      <c r="I98" s="100">
        <v>6832.8</v>
      </c>
      <c r="J98" s="100">
        <v>10</v>
      </c>
      <c r="K98" s="100">
        <v>5256</v>
      </c>
      <c r="L98" s="100">
        <v>9</v>
      </c>
      <c r="M98" s="100">
        <v>4730.4000000000005</v>
      </c>
      <c r="N98" s="100">
        <v>8</v>
      </c>
      <c r="O98" s="100">
        <v>4204.8</v>
      </c>
      <c r="P98" s="100">
        <v>11</v>
      </c>
      <c r="Q98" s="100">
        <v>5781.6</v>
      </c>
      <c r="R98" s="100">
        <v>7</v>
      </c>
      <c r="S98" s="100">
        <v>3679.2000000000003</v>
      </c>
      <c r="T98" s="100">
        <v>11</v>
      </c>
      <c r="U98" s="100">
        <v>5781.6</v>
      </c>
      <c r="V98" s="100">
        <v>9</v>
      </c>
      <c r="W98" s="100">
        <v>4730.4000000000005</v>
      </c>
      <c r="X98" s="100">
        <v>9</v>
      </c>
      <c r="Y98" s="100">
        <v>4730.4000000000005</v>
      </c>
      <c r="Z98" s="100">
        <v>2.5172146267842725</v>
      </c>
      <c r="AA98" s="100">
        <v>1323.0480078378137</v>
      </c>
      <c r="AB98" s="100">
        <v>7.3118279569892479</v>
      </c>
      <c r="AC98" s="100">
        <v>3843.0967741935488</v>
      </c>
      <c r="AD98" s="100">
        <v>7.9439252336448591</v>
      </c>
      <c r="AE98" s="100">
        <v>4175.3271028037379</v>
      </c>
      <c r="AF98" s="100">
        <v>12</v>
      </c>
      <c r="AG98" s="100">
        <v>6307.2000000000007</v>
      </c>
      <c r="AH98" s="100">
        <v>6.3716814159292046</v>
      </c>
      <c r="AI98" s="100">
        <v>3348.9557522123901</v>
      </c>
      <c r="AJ98" s="100">
        <v>11</v>
      </c>
      <c r="AK98" s="100">
        <v>5781.6</v>
      </c>
      <c r="AL98" s="100">
        <v>7</v>
      </c>
      <c r="AM98" s="100">
        <v>3679.2000000000003</v>
      </c>
      <c r="AN98" s="100">
        <v>10</v>
      </c>
      <c r="AO98" s="100">
        <v>5256</v>
      </c>
      <c r="AP98" s="100">
        <v>12</v>
      </c>
      <c r="AQ98" s="100">
        <v>6307.2000000000007</v>
      </c>
      <c r="AR98" s="100">
        <v>10</v>
      </c>
      <c r="AS98" s="100">
        <v>5256</v>
      </c>
      <c r="AT98" s="100">
        <v>7</v>
      </c>
      <c r="AU98" s="100">
        <v>3679.2000000000003</v>
      </c>
      <c r="AV98" s="100">
        <v>14</v>
      </c>
      <c r="AW98" s="100">
        <v>7358.4000000000005</v>
      </c>
      <c r="AX98" s="100">
        <v>7</v>
      </c>
      <c r="AY98" s="100">
        <v>3679.2000000000003</v>
      </c>
      <c r="AZ98" s="100">
        <v>9</v>
      </c>
      <c r="BA98" s="100">
        <v>4730.4000000000005</v>
      </c>
      <c r="BB98" s="100">
        <v>11</v>
      </c>
      <c r="BC98" s="100">
        <v>5781.6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13</v>
      </c>
      <c r="BI98" s="100">
        <v>6832.8</v>
      </c>
      <c r="BJ98" s="100">
        <v>3.1863354037267091</v>
      </c>
      <c r="BK98" s="100">
        <v>1674.7378881987584</v>
      </c>
      <c r="BL98" s="100">
        <v>11</v>
      </c>
      <c r="BM98" s="100">
        <v>5781.6</v>
      </c>
      <c r="BN98" s="100">
        <v>7</v>
      </c>
      <c r="BO98" s="100">
        <v>3679.2000000000003</v>
      </c>
      <c r="BP98" s="100">
        <v>12</v>
      </c>
      <c r="BQ98" s="100">
        <v>6307.2000000000007</v>
      </c>
      <c r="BR98" s="100">
        <v>9</v>
      </c>
      <c r="BS98" s="100">
        <v>4730.4000000000005</v>
      </c>
      <c r="BT98" s="100">
        <v>8</v>
      </c>
      <c r="BU98" s="100">
        <v>4204.8</v>
      </c>
      <c r="BV98" s="100">
        <v>3.1818181818181825</v>
      </c>
      <c r="BW98" s="100">
        <v>1672.3636363636367</v>
      </c>
      <c r="BX98" s="100">
        <v>11</v>
      </c>
      <c r="BY98" s="100">
        <v>5781.6</v>
      </c>
      <c r="BZ98" s="100">
        <v>9</v>
      </c>
      <c r="CA98" s="100">
        <v>4730.4000000000005</v>
      </c>
      <c r="CB98" s="100">
        <v>9</v>
      </c>
      <c r="CC98" s="100">
        <v>4730.4000000000005</v>
      </c>
      <c r="CD98" s="100">
        <v>8.5493562231759661</v>
      </c>
      <c r="CE98" s="100">
        <v>4493.541630901288</v>
      </c>
      <c r="CF98" s="100">
        <v>11</v>
      </c>
      <c r="CG98" s="100">
        <v>5781.6</v>
      </c>
      <c r="CH98" s="100">
        <v>5.4969325153374244</v>
      </c>
      <c r="CI98" s="100">
        <v>2889.1877300613505</v>
      </c>
      <c r="CJ98" s="100">
        <v>8.6976744186046506</v>
      </c>
      <c r="CK98" s="100">
        <v>4571.4976744186042</v>
      </c>
      <c r="CL98" s="100">
        <v>7.268990298402918</v>
      </c>
      <c r="CM98" s="100">
        <v>3820.5813008405739</v>
      </c>
      <c r="CN98" s="100">
        <v>10.564971751412429</v>
      </c>
      <c r="CO98" s="100">
        <v>5552.9491525423728</v>
      </c>
      <c r="CP98" s="100">
        <v>0.76539463311735734</v>
      </c>
      <c r="CQ98" s="100">
        <v>402.29141916648302</v>
      </c>
      <c r="CR98" s="100">
        <v>6.688524590163933</v>
      </c>
      <c r="CS98" s="100">
        <v>3515.4885245901633</v>
      </c>
      <c r="CT98" s="100">
        <v>8</v>
      </c>
      <c r="CU98" s="100">
        <v>4204.8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6</v>
      </c>
      <c r="G99" s="100">
        <v>25250.399999999998</v>
      </c>
      <c r="H99" s="100">
        <v>9</v>
      </c>
      <c r="I99" s="100">
        <v>37875.599999999999</v>
      </c>
      <c r="J99" s="100">
        <v>9</v>
      </c>
      <c r="K99" s="100">
        <v>37875.599999999999</v>
      </c>
      <c r="L99" s="100">
        <v>7</v>
      </c>
      <c r="M99" s="100">
        <v>29458.799999999996</v>
      </c>
      <c r="N99" s="100">
        <v>7</v>
      </c>
      <c r="O99" s="100">
        <v>29458.799999999996</v>
      </c>
      <c r="P99" s="100">
        <v>9</v>
      </c>
      <c r="Q99" s="100">
        <v>37875.599999999999</v>
      </c>
      <c r="R99" s="100">
        <v>6</v>
      </c>
      <c r="S99" s="100">
        <v>25250.399999999998</v>
      </c>
      <c r="T99" s="100">
        <v>9</v>
      </c>
      <c r="U99" s="100">
        <v>37875.599999999999</v>
      </c>
      <c r="V99" s="100">
        <v>7</v>
      </c>
      <c r="W99" s="100">
        <v>29458.799999999996</v>
      </c>
      <c r="X99" s="100">
        <v>7</v>
      </c>
      <c r="Y99" s="100">
        <v>29458.799999999996</v>
      </c>
      <c r="Z99" s="100">
        <v>1.7620502387489907</v>
      </c>
      <c r="AA99" s="100">
        <v>7415.4122247512514</v>
      </c>
      <c r="AB99" s="100">
        <v>5.4838709677419351</v>
      </c>
      <c r="AC99" s="100">
        <v>23078.322580645159</v>
      </c>
      <c r="AD99" s="100">
        <v>6.3551401869158877</v>
      </c>
      <c r="AE99" s="100">
        <v>26744.971962616819</v>
      </c>
      <c r="AF99" s="100">
        <v>9</v>
      </c>
      <c r="AG99" s="100">
        <v>37875.599999999999</v>
      </c>
      <c r="AH99" s="100">
        <v>5.8407079646017701</v>
      </c>
      <c r="AI99" s="100">
        <v>24580.035398230088</v>
      </c>
      <c r="AJ99" s="100">
        <v>9</v>
      </c>
      <c r="AK99" s="100">
        <v>37875.599999999999</v>
      </c>
      <c r="AL99" s="100">
        <v>7</v>
      </c>
      <c r="AM99" s="100">
        <v>29458.799999999996</v>
      </c>
      <c r="AN99" s="100">
        <v>9</v>
      </c>
      <c r="AO99" s="100">
        <v>37875.599999999999</v>
      </c>
      <c r="AP99" s="100">
        <v>9</v>
      </c>
      <c r="AQ99" s="100">
        <v>37875.599999999999</v>
      </c>
      <c r="AR99" s="100">
        <v>10</v>
      </c>
      <c r="AS99" s="100">
        <v>42084</v>
      </c>
      <c r="AT99" s="100">
        <v>6</v>
      </c>
      <c r="AU99" s="100">
        <v>25250.399999999998</v>
      </c>
      <c r="AV99" s="100">
        <v>12</v>
      </c>
      <c r="AW99" s="100">
        <v>50500.799999999996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9</v>
      </c>
      <c r="BC99" s="100">
        <v>37875.599999999999</v>
      </c>
      <c r="BD99" s="100">
        <v>7</v>
      </c>
      <c r="BE99" s="100">
        <v>29458.799999999996</v>
      </c>
      <c r="BF99" s="100">
        <v>5</v>
      </c>
      <c r="BG99" s="100">
        <v>21042</v>
      </c>
      <c r="BH99" s="100">
        <v>10</v>
      </c>
      <c r="BI99" s="100">
        <v>42084</v>
      </c>
      <c r="BJ99" s="100">
        <v>2.4782608695652177</v>
      </c>
      <c r="BK99" s="100">
        <v>10429.513043478262</v>
      </c>
      <c r="BL99" s="100">
        <v>10</v>
      </c>
      <c r="BM99" s="100">
        <v>42084</v>
      </c>
      <c r="BN99" s="100">
        <v>6</v>
      </c>
      <c r="BO99" s="100">
        <v>25250.399999999998</v>
      </c>
      <c r="BP99" s="100">
        <v>9</v>
      </c>
      <c r="BQ99" s="100">
        <v>37875.599999999999</v>
      </c>
      <c r="BR99" s="100">
        <v>7</v>
      </c>
      <c r="BS99" s="100">
        <v>29458.799999999996</v>
      </c>
      <c r="BT99" s="100">
        <v>7</v>
      </c>
      <c r="BU99" s="100">
        <v>29458.799999999996</v>
      </c>
      <c r="BV99" s="100">
        <v>2.727272727272728</v>
      </c>
      <c r="BW99" s="100">
        <v>11477.454545454548</v>
      </c>
      <c r="BX99" s="100">
        <v>8</v>
      </c>
      <c r="BY99" s="100">
        <v>33667.199999999997</v>
      </c>
      <c r="BZ99" s="100">
        <v>7</v>
      </c>
      <c r="CA99" s="100">
        <v>29458.799999999996</v>
      </c>
      <c r="CB99" s="100">
        <v>6</v>
      </c>
      <c r="CC99" s="100">
        <v>25250.399999999998</v>
      </c>
      <c r="CD99" s="100">
        <v>7.1244635193133048</v>
      </c>
      <c r="CE99" s="100">
        <v>29982.592274678111</v>
      </c>
      <c r="CF99" s="100">
        <v>10</v>
      </c>
      <c r="CG99" s="100">
        <v>42084</v>
      </c>
      <c r="CH99" s="100">
        <v>4.8098159509202461</v>
      </c>
      <c r="CI99" s="100">
        <v>20241.629447852763</v>
      </c>
      <c r="CJ99" s="100">
        <v>7.1162790697674421</v>
      </c>
      <c r="CK99" s="100">
        <v>29948.148837209301</v>
      </c>
      <c r="CL99" s="100">
        <v>6.5420912685626256</v>
      </c>
      <c r="CM99" s="100">
        <v>27531.736894618953</v>
      </c>
      <c r="CN99" s="100">
        <v>7.6836158192090398</v>
      </c>
      <c r="CO99" s="100">
        <v>32335.728813559319</v>
      </c>
      <c r="CP99" s="100">
        <v>0.574045974838018</v>
      </c>
      <c r="CQ99" s="100">
        <v>2415.8150805083146</v>
      </c>
      <c r="CR99" s="100">
        <v>5.2021857923497254</v>
      </c>
      <c r="CS99" s="100">
        <v>21892.878688524583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13</v>
      </c>
      <c r="I100" s="100">
        <v>4212</v>
      </c>
      <c r="J100" s="100">
        <v>10</v>
      </c>
      <c r="K100" s="100">
        <v>3240</v>
      </c>
      <c r="L100" s="100">
        <v>9</v>
      </c>
      <c r="M100" s="100">
        <v>2916</v>
      </c>
      <c r="N100" s="100">
        <v>9</v>
      </c>
      <c r="O100" s="100">
        <v>2916</v>
      </c>
      <c r="P100" s="100">
        <v>10</v>
      </c>
      <c r="Q100" s="100">
        <v>3240</v>
      </c>
      <c r="R100" s="100">
        <v>8</v>
      </c>
      <c r="S100" s="100">
        <v>2592</v>
      </c>
      <c r="T100" s="100">
        <v>13</v>
      </c>
      <c r="U100" s="100">
        <v>4212</v>
      </c>
      <c r="V100" s="100">
        <v>10</v>
      </c>
      <c r="W100" s="100">
        <v>3240</v>
      </c>
      <c r="X100" s="100">
        <v>8</v>
      </c>
      <c r="Y100" s="100">
        <v>2592</v>
      </c>
      <c r="Z100" s="100">
        <v>2.5172146267842725</v>
      </c>
      <c r="AA100" s="100">
        <v>815.57753907810434</v>
      </c>
      <c r="AB100" s="100">
        <v>7.3118279569892479</v>
      </c>
      <c r="AC100" s="100">
        <v>2369.0322580645161</v>
      </c>
      <c r="AD100" s="100">
        <v>8.7383177570093462</v>
      </c>
      <c r="AE100" s="100">
        <v>2831.2149532710282</v>
      </c>
      <c r="AF100" s="100">
        <v>11</v>
      </c>
      <c r="AG100" s="100">
        <v>3564</v>
      </c>
      <c r="AH100" s="100">
        <v>6.9026548672566381</v>
      </c>
      <c r="AI100" s="100">
        <v>2236.4601769911505</v>
      </c>
      <c r="AJ100" s="100">
        <v>10</v>
      </c>
      <c r="AK100" s="100">
        <v>3240</v>
      </c>
      <c r="AL100" s="100">
        <v>8</v>
      </c>
      <c r="AM100" s="100">
        <v>2592</v>
      </c>
      <c r="AN100" s="100">
        <v>11</v>
      </c>
      <c r="AO100" s="100">
        <v>3564</v>
      </c>
      <c r="AP100" s="100">
        <v>10</v>
      </c>
      <c r="AQ100" s="100">
        <v>3240</v>
      </c>
      <c r="AR100" s="100">
        <v>10</v>
      </c>
      <c r="AS100" s="100">
        <v>3240</v>
      </c>
      <c r="AT100" s="100">
        <v>7</v>
      </c>
      <c r="AU100" s="100">
        <v>2268</v>
      </c>
      <c r="AV100" s="100">
        <v>14</v>
      </c>
      <c r="AW100" s="100">
        <v>4536</v>
      </c>
      <c r="AX100" s="100">
        <v>8</v>
      </c>
      <c r="AY100" s="100">
        <v>2592</v>
      </c>
      <c r="AZ100" s="100">
        <v>8</v>
      </c>
      <c r="BA100" s="100">
        <v>2592</v>
      </c>
      <c r="BB100" s="100">
        <v>11</v>
      </c>
      <c r="BC100" s="100">
        <v>3564</v>
      </c>
      <c r="BD100" s="100">
        <v>9</v>
      </c>
      <c r="BE100" s="100">
        <v>2916</v>
      </c>
      <c r="BF100" s="100">
        <v>8</v>
      </c>
      <c r="BG100" s="100">
        <v>2592</v>
      </c>
      <c r="BH100" s="100">
        <v>13</v>
      </c>
      <c r="BI100" s="100">
        <v>4212</v>
      </c>
      <c r="BJ100" s="100">
        <v>3.1863354037267091</v>
      </c>
      <c r="BK100" s="100">
        <v>1032.3726708074537</v>
      </c>
      <c r="BL100" s="100">
        <v>11</v>
      </c>
      <c r="BM100" s="100">
        <v>3564</v>
      </c>
      <c r="BN100" s="100">
        <v>7</v>
      </c>
      <c r="BO100" s="100">
        <v>2268</v>
      </c>
      <c r="BP100" s="100">
        <v>10</v>
      </c>
      <c r="BQ100" s="100">
        <v>3240</v>
      </c>
      <c r="BR100" s="100">
        <v>9</v>
      </c>
      <c r="BS100" s="100">
        <v>2916</v>
      </c>
      <c r="BT100" s="100">
        <v>8</v>
      </c>
      <c r="BU100" s="100">
        <v>2592</v>
      </c>
      <c r="BV100" s="100">
        <v>3.6363636363636371</v>
      </c>
      <c r="BW100" s="100">
        <v>1178.1818181818185</v>
      </c>
      <c r="BX100" s="100">
        <v>10</v>
      </c>
      <c r="BY100" s="100">
        <v>3240</v>
      </c>
      <c r="BZ100" s="100">
        <v>10</v>
      </c>
      <c r="CA100" s="100">
        <v>3240</v>
      </c>
      <c r="CB100" s="100">
        <v>7</v>
      </c>
      <c r="CC100" s="100">
        <v>2268</v>
      </c>
      <c r="CD100" s="100">
        <v>8.5493562231759661</v>
      </c>
      <c r="CE100" s="100">
        <v>2769.9914163090129</v>
      </c>
      <c r="CF100" s="100">
        <v>11</v>
      </c>
      <c r="CG100" s="100">
        <v>3564</v>
      </c>
      <c r="CH100" s="100">
        <v>5.4969325153374244</v>
      </c>
      <c r="CI100" s="100">
        <v>1781.0061349693256</v>
      </c>
      <c r="CJ100" s="100">
        <v>9.4883720930232549</v>
      </c>
      <c r="CK100" s="100">
        <v>3074.2325581395344</v>
      </c>
      <c r="CL100" s="100">
        <v>7.9958893282432095</v>
      </c>
      <c r="CM100" s="100">
        <v>2590.6681423507998</v>
      </c>
      <c r="CN100" s="100">
        <v>10.564971751412429</v>
      </c>
      <c r="CO100" s="100">
        <v>3423.0508474576272</v>
      </c>
      <c r="CP100" s="100">
        <v>0.70161174702424423</v>
      </c>
      <c r="CQ100" s="100">
        <v>227.32220603585512</v>
      </c>
      <c r="CR100" s="100">
        <v>5.9453551912568292</v>
      </c>
      <c r="CS100" s="100">
        <v>1926.2950819672126</v>
      </c>
      <c r="CT100" s="100">
        <v>7</v>
      </c>
      <c r="CU100" s="100">
        <v>2268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7</v>
      </c>
      <c r="G101" s="100">
        <v>5065.2</v>
      </c>
      <c r="H101" s="100">
        <v>11</v>
      </c>
      <c r="I101" s="100">
        <v>7959.6</v>
      </c>
      <c r="J101" s="100">
        <v>10</v>
      </c>
      <c r="K101" s="100">
        <v>7236</v>
      </c>
      <c r="L101" s="100">
        <v>9</v>
      </c>
      <c r="M101" s="100">
        <v>6512.4000000000005</v>
      </c>
      <c r="N101" s="100">
        <v>8</v>
      </c>
      <c r="O101" s="100">
        <v>5788.8</v>
      </c>
      <c r="P101" s="100">
        <v>10</v>
      </c>
      <c r="Q101" s="100">
        <v>7236</v>
      </c>
      <c r="R101" s="100">
        <v>8</v>
      </c>
      <c r="S101" s="100">
        <v>5788.8</v>
      </c>
      <c r="T101" s="100">
        <v>12</v>
      </c>
      <c r="U101" s="100">
        <v>8683.2000000000007</v>
      </c>
      <c r="V101" s="100">
        <v>8</v>
      </c>
      <c r="W101" s="100">
        <v>5788.8</v>
      </c>
      <c r="X101" s="100">
        <v>8</v>
      </c>
      <c r="Y101" s="100">
        <v>5788.8</v>
      </c>
      <c r="Z101" s="100">
        <v>2.2654931641058456</v>
      </c>
      <c r="AA101" s="100">
        <v>1639.3108535469898</v>
      </c>
      <c r="AB101" s="100">
        <v>6.3978494623655919</v>
      </c>
      <c r="AC101" s="100">
        <v>4629.4838709677424</v>
      </c>
      <c r="AD101" s="100">
        <v>8.7383177570093462</v>
      </c>
      <c r="AE101" s="100">
        <v>6323.0467289719627</v>
      </c>
      <c r="AF101" s="100">
        <v>11</v>
      </c>
      <c r="AG101" s="100">
        <v>7959.6</v>
      </c>
      <c r="AH101" s="100">
        <v>6.3716814159292046</v>
      </c>
      <c r="AI101" s="100">
        <v>4610.5486725663723</v>
      </c>
      <c r="AJ101" s="100">
        <v>11</v>
      </c>
      <c r="AK101" s="100">
        <v>7959.6</v>
      </c>
      <c r="AL101" s="100">
        <v>8</v>
      </c>
      <c r="AM101" s="100">
        <v>5788.8</v>
      </c>
      <c r="AN101" s="100">
        <v>11</v>
      </c>
      <c r="AO101" s="100">
        <v>7959.6</v>
      </c>
      <c r="AP101" s="100">
        <v>10</v>
      </c>
      <c r="AQ101" s="100">
        <v>7236</v>
      </c>
      <c r="AR101" s="100">
        <v>11</v>
      </c>
      <c r="AS101" s="100">
        <v>7959.6</v>
      </c>
      <c r="AT101" s="100">
        <v>8</v>
      </c>
      <c r="AU101" s="100">
        <v>5788.8</v>
      </c>
      <c r="AV101" s="100">
        <v>13</v>
      </c>
      <c r="AW101" s="100">
        <v>9406.8000000000011</v>
      </c>
      <c r="AX101" s="100">
        <v>8</v>
      </c>
      <c r="AY101" s="100">
        <v>5788.8</v>
      </c>
      <c r="AZ101" s="100">
        <v>7</v>
      </c>
      <c r="BA101" s="100">
        <v>5065.2</v>
      </c>
      <c r="BB101" s="100">
        <v>13</v>
      </c>
      <c r="BC101" s="100">
        <v>9406.8000000000011</v>
      </c>
      <c r="BD101" s="100">
        <v>8</v>
      </c>
      <c r="BE101" s="100">
        <v>5788.8</v>
      </c>
      <c r="BF101" s="100">
        <v>7</v>
      </c>
      <c r="BG101" s="100">
        <v>5065.2</v>
      </c>
      <c r="BH101" s="100">
        <v>13</v>
      </c>
      <c r="BI101" s="100">
        <v>9406.8000000000011</v>
      </c>
      <c r="BJ101" s="100">
        <v>3.1863354037267091</v>
      </c>
      <c r="BK101" s="100">
        <v>2305.6322981366466</v>
      </c>
      <c r="BL101" s="100">
        <v>11</v>
      </c>
      <c r="BM101" s="100">
        <v>7959.6</v>
      </c>
      <c r="BN101" s="100">
        <v>7</v>
      </c>
      <c r="BO101" s="100">
        <v>5065.2</v>
      </c>
      <c r="BP101" s="100">
        <v>11</v>
      </c>
      <c r="BQ101" s="100">
        <v>7959.6</v>
      </c>
      <c r="BR101" s="100">
        <v>10</v>
      </c>
      <c r="BS101" s="100">
        <v>7236</v>
      </c>
      <c r="BT101" s="100">
        <v>7</v>
      </c>
      <c r="BU101" s="100">
        <v>5065.2</v>
      </c>
      <c r="BV101" s="100">
        <v>3.1818181818181825</v>
      </c>
      <c r="BW101" s="100">
        <v>2302.3636363636369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8</v>
      </c>
      <c r="CC101" s="100">
        <v>5788.8</v>
      </c>
      <c r="CD101" s="100">
        <v>8.5493562231759661</v>
      </c>
      <c r="CE101" s="100">
        <v>6186.3141630901291</v>
      </c>
      <c r="CF101" s="100">
        <v>11</v>
      </c>
      <c r="CG101" s="100">
        <v>7959.6</v>
      </c>
      <c r="CH101" s="100">
        <v>4.8098159509202461</v>
      </c>
      <c r="CI101" s="100">
        <v>3480.38282208589</v>
      </c>
      <c r="CJ101" s="100">
        <v>9.4883720930232549</v>
      </c>
      <c r="CK101" s="100">
        <v>6865.7860465116273</v>
      </c>
      <c r="CL101" s="100">
        <v>7.268990298402918</v>
      </c>
      <c r="CM101" s="100">
        <v>5259.8413799243517</v>
      </c>
      <c r="CN101" s="100">
        <v>9.6045197740112993</v>
      </c>
      <c r="CO101" s="100">
        <v>6949.8305084745762</v>
      </c>
      <c r="CP101" s="100">
        <v>0.70161174702424423</v>
      </c>
      <c r="CQ101" s="100">
        <v>507.68626014674317</v>
      </c>
      <c r="CR101" s="100">
        <v>5.9453551912568292</v>
      </c>
      <c r="CS101" s="100">
        <v>4302.0590163934421</v>
      </c>
      <c r="CT101" s="100">
        <v>8</v>
      </c>
      <c r="CU101" s="100">
        <v>5788.8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8</v>
      </c>
      <c r="G102" s="100">
        <v>4252.8</v>
      </c>
      <c r="H102" s="100">
        <v>13</v>
      </c>
      <c r="I102" s="100">
        <v>6910.8</v>
      </c>
      <c r="J102" s="100">
        <v>10</v>
      </c>
      <c r="K102" s="100">
        <v>5316</v>
      </c>
      <c r="L102" s="100">
        <v>9</v>
      </c>
      <c r="M102" s="100">
        <v>4784.4000000000005</v>
      </c>
      <c r="N102" s="100">
        <v>8</v>
      </c>
      <c r="O102" s="100">
        <v>4252.8</v>
      </c>
      <c r="P102" s="100">
        <v>10</v>
      </c>
      <c r="Q102" s="100">
        <v>5316</v>
      </c>
      <c r="R102" s="100">
        <v>8</v>
      </c>
      <c r="S102" s="100">
        <v>4252.8</v>
      </c>
      <c r="T102" s="100">
        <v>13</v>
      </c>
      <c r="U102" s="100">
        <v>6910.8</v>
      </c>
      <c r="V102" s="100">
        <v>8</v>
      </c>
      <c r="W102" s="100">
        <v>4252.8</v>
      </c>
      <c r="X102" s="100">
        <v>9</v>
      </c>
      <c r="Y102" s="100">
        <v>4784.4000000000005</v>
      </c>
      <c r="Z102" s="100">
        <v>2.5172146267842725</v>
      </c>
      <c r="AA102" s="100">
        <v>1338.1512955985193</v>
      </c>
      <c r="AB102" s="100">
        <v>7.3118279569892479</v>
      </c>
      <c r="AC102" s="100">
        <v>3886.9677419354844</v>
      </c>
      <c r="AD102" s="100">
        <v>9.5327102803738324</v>
      </c>
      <c r="AE102" s="100">
        <v>5067.5887850467298</v>
      </c>
      <c r="AF102" s="100">
        <v>11</v>
      </c>
      <c r="AG102" s="100">
        <v>5847.6</v>
      </c>
      <c r="AH102" s="100">
        <v>6.3716814159292046</v>
      </c>
      <c r="AI102" s="100">
        <v>3387.1858407079653</v>
      </c>
      <c r="AJ102" s="100">
        <v>10</v>
      </c>
      <c r="AK102" s="100">
        <v>5316</v>
      </c>
      <c r="AL102" s="100">
        <v>8</v>
      </c>
      <c r="AM102" s="100">
        <v>4252.8</v>
      </c>
      <c r="AN102" s="100">
        <v>10</v>
      </c>
      <c r="AO102" s="100">
        <v>5316</v>
      </c>
      <c r="AP102" s="100">
        <v>12</v>
      </c>
      <c r="AQ102" s="100">
        <v>6379.2000000000007</v>
      </c>
      <c r="AR102" s="100">
        <v>12</v>
      </c>
      <c r="AS102" s="100">
        <v>6379.2000000000007</v>
      </c>
      <c r="AT102" s="100">
        <v>6</v>
      </c>
      <c r="AU102" s="100">
        <v>3189.6000000000004</v>
      </c>
      <c r="AV102" s="100">
        <v>13</v>
      </c>
      <c r="AW102" s="100">
        <v>6910.8</v>
      </c>
      <c r="AX102" s="100">
        <v>8</v>
      </c>
      <c r="AY102" s="100">
        <v>4252.8</v>
      </c>
      <c r="AZ102" s="100">
        <v>8</v>
      </c>
      <c r="BA102" s="100">
        <v>4252.8</v>
      </c>
      <c r="BB102" s="100">
        <v>13</v>
      </c>
      <c r="BC102" s="100">
        <v>6910.8</v>
      </c>
      <c r="BD102" s="100">
        <v>8</v>
      </c>
      <c r="BE102" s="100">
        <v>4252.8</v>
      </c>
      <c r="BF102" s="100">
        <v>7</v>
      </c>
      <c r="BG102" s="100">
        <v>3721.2000000000003</v>
      </c>
      <c r="BH102" s="100">
        <v>13</v>
      </c>
      <c r="BI102" s="100">
        <v>6910.8</v>
      </c>
      <c r="BJ102" s="100">
        <v>2.8322981366459632</v>
      </c>
      <c r="BK102" s="100">
        <v>1505.6496894409941</v>
      </c>
      <c r="BL102" s="100">
        <v>12</v>
      </c>
      <c r="BM102" s="100">
        <v>6379.2000000000007</v>
      </c>
      <c r="BN102" s="100">
        <v>7</v>
      </c>
      <c r="BO102" s="100">
        <v>3721.2000000000003</v>
      </c>
      <c r="BP102" s="100">
        <v>11</v>
      </c>
      <c r="BQ102" s="100">
        <v>5847.6</v>
      </c>
      <c r="BR102" s="100">
        <v>10</v>
      </c>
      <c r="BS102" s="100">
        <v>5316</v>
      </c>
      <c r="BT102" s="100">
        <v>8</v>
      </c>
      <c r="BU102" s="100">
        <v>4252.8</v>
      </c>
      <c r="BV102" s="100">
        <v>3.1818181818181825</v>
      </c>
      <c r="BW102" s="100">
        <v>1691.454545454546</v>
      </c>
      <c r="BX102" s="100">
        <v>10</v>
      </c>
      <c r="BY102" s="100">
        <v>5316</v>
      </c>
      <c r="BZ102" s="100">
        <v>9</v>
      </c>
      <c r="CA102" s="100">
        <v>4784.4000000000005</v>
      </c>
      <c r="CB102" s="100">
        <v>8</v>
      </c>
      <c r="CC102" s="100">
        <v>4252.8</v>
      </c>
      <c r="CD102" s="100">
        <v>8.5493562231759661</v>
      </c>
      <c r="CE102" s="100">
        <v>4544.8377682403434</v>
      </c>
      <c r="CF102" s="100">
        <v>11</v>
      </c>
      <c r="CG102" s="100">
        <v>5847.6</v>
      </c>
      <c r="CH102" s="100">
        <v>5.4969325153374244</v>
      </c>
      <c r="CI102" s="100">
        <v>2922.1693251533748</v>
      </c>
      <c r="CJ102" s="100">
        <v>8.6976744186046506</v>
      </c>
      <c r="CK102" s="100">
        <v>4623.6837209302321</v>
      </c>
      <c r="CL102" s="100">
        <v>7.9958893282432095</v>
      </c>
      <c r="CM102" s="100">
        <v>4250.6147668940903</v>
      </c>
      <c r="CN102" s="100">
        <v>10.564971751412429</v>
      </c>
      <c r="CO102" s="100">
        <v>5616.3389830508477</v>
      </c>
      <c r="CP102" s="100">
        <v>0.76539463311735734</v>
      </c>
      <c r="CQ102" s="100">
        <v>406.8837869651872</v>
      </c>
      <c r="CR102" s="100">
        <v>6.688524590163933</v>
      </c>
      <c r="CS102" s="100">
        <v>3555.6196721311471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8</v>
      </c>
      <c r="G103" s="100">
        <v>4713.5999999999995</v>
      </c>
      <c r="H103" s="100">
        <v>13</v>
      </c>
      <c r="I103" s="100">
        <v>7659.5999999999995</v>
      </c>
      <c r="J103" s="100">
        <v>11</v>
      </c>
      <c r="K103" s="100">
        <v>6481.1999999999989</v>
      </c>
      <c r="L103" s="100">
        <v>10</v>
      </c>
      <c r="M103" s="100">
        <v>5891.9999999999991</v>
      </c>
      <c r="N103" s="100">
        <v>8</v>
      </c>
      <c r="O103" s="100">
        <v>4713.5999999999995</v>
      </c>
      <c r="P103" s="100">
        <v>10</v>
      </c>
      <c r="Q103" s="100">
        <v>5891.9999999999991</v>
      </c>
      <c r="R103" s="100">
        <v>8</v>
      </c>
      <c r="S103" s="100">
        <v>4713.5999999999995</v>
      </c>
      <c r="T103" s="100">
        <v>11</v>
      </c>
      <c r="U103" s="100">
        <v>6481.1999999999989</v>
      </c>
      <c r="V103" s="100">
        <v>9</v>
      </c>
      <c r="W103" s="100">
        <v>5302.7999999999993</v>
      </c>
      <c r="X103" s="100">
        <v>9</v>
      </c>
      <c r="Y103" s="100">
        <v>5302.7999999999993</v>
      </c>
      <c r="Z103" s="100">
        <v>2.2654931641058456</v>
      </c>
      <c r="AA103" s="100">
        <v>1334.8285722911639</v>
      </c>
      <c r="AB103" s="100">
        <v>7.3118279569892479</v>
      </c>
      <c r="AC103" s="100">
        <v>4308.1290322580644</v>
      </c>
      <c r="AD103" s="100">
        <v>7.9439252336448591</v>
      </c>
      <c r="AE103" s="100">
        <v>4680.5607476635505</v>
      </c>
      <c r="AF103" s="100">
        <v>11</v>
      </c>
      <c r="AG103" s="100">
        <v>6481.1999999999989</v>
      </c>
      <c r="AH103" s="100">
        <v>6.3716814159292046</v>
      </c>
      <c r="AI103" s="100">
        <v>3754.1946902654868</v>
      </c>
      <c r="AJ103" s="100">
        <v>10</v>
      </c>
      <c r="AK103" s="100">
        <v>5891.9999999999991</v>
      </c>
      <c r="AL103" s="100">
        <v>7</v>
      </c>
      <c r="AM103" s="100">
        <v>4124.3999999999996</v>
      </c>
      <c r="AN103" s="100">
        <v>10</v>
      </c>
      <c r="AO103" s="100">
        <v>5891.9999999999991</v>
      </c>
      <c r="AP103" s="100">
        <v>11</v>
      </c>
      <c r="AQ103" s="100">
        <v>6481.1999999999989</v>
      </c>
      <c r="AR103" s="100">
        <v>11</v>
      </c>
      <c r="AS103" s="100">
        <v>6481.1999999999989</v>
      </c>
      <c r="AT103" s="100">
        <v>7</v>
      </c>
      <c r="AU103" s="100">
        <v>4124.3999999999996</v>
      </c>
      <c r="AV103" s="100">
        <v>15</v>
      </c>
      <c r="AW103" s="100">
        <v>8837.9999999999982</v>
      </c>
      <c r="AX103" s="100">
        <v>7</v>
      </c>
      <c r="AY103" s="100">
        <v>4124.3999999999996</v>
      </c>
      <c r="AZ103" s="100">
        <v>9</v>
      </c>
      <c r="BA103" s="100">
        <v>5302.7999999999993</v>
      </c>
      <c r="BB103" s="100">
        <v>13</v>
      </c>
      <c r="BC103" s="100">
        <v>7659.5999999999995</v>
      </c>
      <c r="BD103" s="100">
        <v>8</v>
      </c>
      <c r="BE103" s="100">
        <v>4713.5999999999995</v>
      </c>
      <c r="BF103" s="100">
        <v>7</v>
      </c>
      <c r="BG103" s="100">
        <v>4124.3999999999996</v>
      </c>
      <c r="BH103" s="100">
        <v>11</v>
      </c>
      <c r="BI103" s="100">
        <v>6481.1999999999989</v>
      </c>
      <c r="BJ103" s="100">
        <v>2.8322981366459632</v>
      </c>
      <c r="BK103" s="100">
        <v>1668.7900621118013</v>
      </c>
      <c r="BL103" s="100">
        <v>13</v>
      </c>
      <c r="BM103" s="100">
        <v>7659.5999999999995</v>
      </c>
      <c r="BN103" s="100">
        <v>8</v>
      </c>
      <c r="BO103" s="100">
        <v>4713.5999999999995</v>
      </c>
      <c r="BP103" s="100">
        <v>12</v>
      </c>
      <c r="BQ103" s="100">
        <v>7070.4</v>
      </c>
      <c r="BR103" s="100">
        <v>10</v>
      </c>
      <c r="BS103" s="100">
        <v>5891.9999999999991</v>
      </c>
      <c r="BT103" s="100">
        <v>8</v>
      </c>
      <c r="BU103" s="100">
        <v>4713.5999999999995</v>
      </c>
      <c r="BV103" s="100">
        <v>3.1818181818181825</v>
      </c>
      <c r="BW103" s="100">
        <v>1874.727272727273</v>
      </c>
      <c r="BX103" s="100">
        <v>10</v>
      </c>
      <c r="BY103" s="100">
        <v>5891.9999999999991</v>
      </c>
      <c r="BZ103" s="100">
        <v>9</v>
      </c>
      <c r="CA103" s="100">
        <v>5302.7999999999993</v>
      </c>
      <c r="CB103" s="100">
        <v>8</v>
      </c>
      <c r="CC103" s="100">
        <v>4713.5999999999995</v>
      </c>
      <c r="CD103" s="100">
        <v>8.5493562231759661</v>
      </c>
      <c r="CE103" s="100">
        <v>5037.2806866952787</v>
      </c>
      <c r="CF103" s="100">
        <v>11</v>
      </c>
      <c r="CG103" s="100">
        <v>6481.1999999999989</v>
      </c>
      <c r="CH103" s="100">
        <v>6.1840490797546019</v>
      </c>
      <c r="CI103" s="100">
        <v>3643.6417177914109</v>
      </c>
      <c r="CJ103" s="100">
        <v>8.6976744186046506</v>
      </c>
      <c r="CK103" s="100">
        <v>5124.6697674418592</v>
      </c>
      <c r="CL103" s="100">
        <v>7.268990298402918</v>
      </c>
      <c r="CM103" s="100">
        <v>4282.8890838189991</v>
      </c>
      <c r="CN103" s="100">
        <v>9.6045197740112993</v>
      </c>
      <c r="CO103" s="100">
        <v>5658.983050847457</v>
      </c>
      <c r="CP103" s="100">
        <v>0.70161174702424423</v>
      </c>
      <c r="CQ103" s="100">
        <v>413.38964134668464</v>
      </c>
      <c r="CR103" s="100">
        <v>6.688524590163933</v>
      </c>
      <c r="CS103" s="100">
        <v>3940.8786885245891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8</v>
      </c>
      <c r="E104" s="100">
        <v>5059.2</v>
      </c>
      <c r="F104" s="100">
        <v>7</v>
      </c>
      <c r="G104" s="100">
        <v>4426.8</v>
      </c>
      <c r="H104" s="100">
        <v>13</v>
      </c>
      <c r="I104" s="100">
        <v>8221.1999999999989</v>
      </c>
      <c r="J104" s="100">
        <v>9</v>
      </c>
      <c r="K104" s="100">
        <v>5691.5999999999995</v>
      </c>
      <c r="L104" s="100">
        <v>9</v>
      </c>
      <c r="M104" s="100">
        <v>5691.5999999999995</v>
      </c>
      <c r="N104" s="100">
        <v>8</v>
      </c>
      <c r="O104" s="100">
        <v>5059.2</v>
      </c>
      <c r="P104" s="100">
        <v>10</v>
      </c>
      <c r="Q104" s="100">
        <v>6324</v>
      </c>
      <c r="R104" s="100">
        <v>7</v>
      </c>
      <c r="S104" s="100">
        <v>4426.8</v>
      </c>
      <c r="T104" s="100">
        <v>13</v>
      </c>
      <c r="U104" s="100">
        <v>8221.1999999999989</v>
      </c>
      <c r="V104" s="100">
        <v>9</v>
      </c>
      <c r="W104" s="100">
        <v>5691.5999999999995</v>
      </c>
      <c r="X104" s="100">
        <v>9</v>
      </c>
      <c r="Y104" s="100">
        <v>5691.5999999999995</v>
      </c>
      <c r="Z104" s="100">
        <v>2.5172146267842725</v>
      </c>
      <c r="AA104" s="100">
        <v>1591.8865299783738</v>
      </c>
      <c r="AB104" s="100">
        <v>7.3118279569892479</v>
      </c>
      <c r="AC104" s="100">
        <v>4624</v>
      </c>
      <c r="AD104" s="100">
        <v>8.7383177570093462</v>
      </c>
      <c r="AE104" s="100">
        <v>5526.1121495327106</v>
      </c>
      <c r="AF104" s="100">
        <v>12</v>
      </c>
      <c r="AG104" s="100">
        <v>7588.7999999999993</v>
      </c>
      <c r="AH104" s="100">
        <v>7.4336283185840717</v>
      </c>
      <c r="AI104" s="100">
        <v>4701.0265486725666</v>
      </c>
      <c r="AJ104" s="100">
        <v>9</v>
      </c>
      <c r="AK104" s="100">
        <v>5691.5999999999995</v>
      </c>
      <c r="AL104" s="100">
        <v>8</v>
      </c>
      <c r="AM104" s="100">
        <v>5059.2</v>
      </c>
      <c r="AN104" s="100">
        <v>12</v>
      </c>
      <c r="AO104" s="100">
        <v>7588.7999999999993</v>
      </c>
      <c r="AP104" s="100">
        <v>11</v>
      </c>
      <c r="AQ104" s="100">
        <v>6956.4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13</v>
      </c>
      <c r="AW104" s="100">
        <v>8221.1999999999989</v>
      </c>
      <c r="AX104" s="100">
        <v>8</v>
      </c>
      <c r="AY104" s="100">
        <v>5059.2</v>
      </c>
      <c r="AZ104" s="100">
        <v>8</v>
      </c>
      <c r="BA104" s="100">
        <v>5059.2</v>
      </c>
      <c r="BB104" s="100">
        <v>11</v>
      </c>
      <c r="BC104" s="100">
        <v>6956.4</v>
      </c>
      <c r="BD104" s="100">
        <v>9</v>
      </c>
      <c r="BE104" s="100">
        <v>5691.5999999999995</v>
      </c>
      <c r="BF104" s="100">
        <v>6</v>
      </c>
      <c r="BG104" s="100">
        <v>3794.3999999999996</v>
      </c>
      <c r="BH104" s="100">
        <v>12</v>
      </c>
      <c r="BI104" s="100">
        <v>7588.7999999999993</v>
      </c>
      <c r="BJ104" s="100">
        <v>3.1863354037267091</v>
      </c>
      <c r="BK104" s="100">
        <v>2015.0385093167708</v>
      </c>
      <c r="BL104" s="100">
        <v>11</v>
      </c>
      <c r="BM104" s="100">
        <v>6956.4</v>
      </c>
      <c r="BN104" s="100">
        <v>7</v>
      </c>
      <c r="BO104" s="100">
        <v>4426.8</v>
      </c>
      <c r="BP104" s="100">
        <v>10</v>
      </c>
      <c r="BQ104" s="100">
        <v>6324</v>
      </c>
      <c r="BR104" s="100">
        <v>9</v>
      </c>
      <c r="BS104" s="100">
        <v>5691.5999999999995</v>
      </c>
      <c r="BT104" s="100">
        <v>8</v>
      </c>
      <c r="BU104" s="100">
        <v>5059.2</v>
      </c>
      <c r="BV104" s="100">
        <v>3.1818181818181825</v>
      </c>
      <c r="BW104" s="100">
        <v>2012.1818181818185</v>
      </c>
      <c r="BX104" s="100">
        <v>10</v>
      </c>
      <c r="BY104" s="100">
        <v>6324</v>
      </c>
      <c r="BZ104" s="100">
        <v>9</v>
      </c>
      <c r="CA104" s="100">
        <v>5691.5999999999995</v>
      </c>
      <c r="CB104" s="100">
        <v>8</v>
      </c>
      <c r="CC104" s="100">
        <v>5059.2</v>
      </c>
      <c r="CD104" s="100">
        <v>8.5493562231759661</v>
      </c>
      <c r="CE104" s="100">
        <v>5406.6128755364807</v>
      </c>
      <c r="CF104" s="100">
        <v>12</v>
      </c>
      <c r="CG104" s="100">
        <v>7588.7999999999993</v>
      </c>
      <c r="CH104" s="100">
        <v>5.4969325153374244</v>
      </c>
      <c r="CI104" s="100">
        <v>3476.260122699387</v>
      </c>
      <c r="CJ104" s="100">
        <v>9.4883720930232549</v>
      </c>
      <c r="CK104" s="100">
        <v>6000.4465116279061</v>
      </c>
      <c r="CL104" s="100">
        <v>7.268990298402918</v>
      </c>
      <c r="CM104" s="100">
        <v>4596.9094647100055</v>
      </c>
      <c r="CN104" s="100">
        <v>9.6045197740112993</v>
      </c>
      <c r="CO104" s="100">
        <v>6073.8983050847455</v>
      </c>
      <c r="CP104" s="100">
        <v>0.70161174702424423</v>
      </c>
      <c r="CQ104" s="100">
        <v>443.69926881813205</v>
      </c>
      <c r="CR104" s="100">
        <v>6.688524590163933</v>
      </c>
      <c r="CS104" s="100">
        <v>4229.822950819671</v>
      </c>
      <c r="CT104" s="100">
        <v>7</v>
      </c>
      <c r="CU104" s="100">
        <v>4426.8</v>
      </c>
    </row>
    <row r="105" spans="2:99">
      <c r="C105" s="99" t="s">
        <v>271</v>
      </c>
      <c r="D105" s="100">
        <v>9</v>
      </c>
      <c r="E105" s="100">
        <v>5011.2</v>
      </c>
      <c r="F105" s="100">
        <v>8</v>
      </c>
      <c r="G105" s="100">
        <v>4454.3999999999996</v>
      </c>
      <c r="H105" s="100">
        <v>12</v>
      </c>
      <c r="I105" s="100">
        <v>6681.5999999999995</v>
      </c>
      <c r="J105" s="100">
        <v>10</v>
      </c>
      <c r="K105" s="100">
        <v>5568</v>
      </c>
      <c r="L105" s="100">
        <v>9</v>
      </c>
      <c r="M105" s="100">
        <v>5011.2</v>
      </c>
      <c r="N105" s="100">
        <v>7</v>
      </c>
      <c r="O105" s="100">
        <v>3897.5999999999995</v>
      </c>
      <c r="P105" s="100">
        <v>11</v>
      </c>
      <c r="Q105" s="100">
        <v>6124.7999999999993</v>
      </c>
      <c r="R105" s="100">
        <v>8</v>
      </c>
      <c r="S105" s="100">
        <v>4454.3999999999996</v>
      </c>
      <c r="T105" s="100">
        <v>13</v>
      </c>
      <c r="U105" s="100">
        <v>7238.4</v>
      </c>
      <c r="V105" s="100">
        <v>10</v>
      </c>
      <c r="W105" s="100">
        <v>5568</v>
      </c>
      <c r="X105" s="100">
        <v>7</v>
      </c>
      <c r="Y105" s="100">
        <v>3897.5999999999995</v>
      </c>
      <c r="Z105" s="100">
        <v>2.5172146267842725</v>
      </c>
      <c r="AA105" s="100">
        <v>1401.5851041934829</v>
      </c>
      <c r="AB105" s="100">
        <v>7.3118279569892479</v>
      </c>
      <c r="AC105" s="100">
        <v>4071.2258064516127</v>
      </c>
      <c r="AD105" s="100">
        <v>7.9439252336448591</v>
      </c>
      <c r="AE105" s="100">
        <v>4423.1775700934568</v>
      </c>
      <c r="AF105" s="100">
        <v>11</v>
      </c>
      <c r="AG105" s="100">
        <v>6124.7999999999993</v>
      </c>
      <c r="AH105" s="100">
        <v>6.3716814159292046</v>
      </c>
      <c r="AI105" s="100">
        <v>3547.7522123893809</v>
      </c>
      <c r="AJ105" s="100">
        <v>9</v>
      </c>
      <c r="AK105" s="100">
        <v>5011.2</v>
      </c>
      <c r="AL105" s="100">
        <v>7</v>
      </c>
      <c r="AM105" s="100">
        <v>3897.5999999999995</v>
      </c>
      <c r="AN105" s="100">
        <v>11</v>
      </c>
      <c r="AO105" s="100">
        <v>6124.7999999999993</v>
      </c>
      <c r="AP105" s="100">
        <v>10</v>
      </c>
      <c r="AQ105" s="100">
        <v>5568</v>
      </c>
      <c r="AR105" s="100">
        <v>12</v>
      </c>
      <c r="AS105" s="100">
        <v>6681.5999999999995</v>
      </c>
      <c r="AT105" s="100">
        <v>7</v>
      </c>
      <c r="AU105" s="100">
        <v>3897.5999999999995</v>
      </c>
      <c r="AV105" s="100">
        <v>13</v>
      </c>
      <c r="AW105" s="100">
        <v>7238.4</v>
      </c>
      <c r="AX105" s="100">
        <v>8</v>
      </c>
      <c r="AY105" s="100">
        <v>4454.3999999999996</v>
      </c>
      <c r="AZ105" s="100">
        <v>9</v>
      </c>
      <c r="BA105" s="100">
        <v>5011.2</v>
      </c>
      <c r="BB105" s="100">
        <v>12</v>
      </c>
      <c r="BC105" s="100">
        <v>6681.5999999999995</v>
      </c>
      <c r="BD105" s="100">
        <v>8</v>
      </c>
      <c r="BE105" s="100">
        <v>4454.3999999999996</v>
      </c>
      <c r="BF105" s="100">
        <v>7</v>
      </c>
      <c r="BG105" s="100">
        <v>3897.5999999999995</v>
      </c>
      <c r="BH105" s="100">
        <v>11</v>
      </c>
      <c r="BI105" s="100">
        <v>6124.7999999999993</v>
      </c>
      <c r="BJ105" s="100">
        <v>2.8322981366459632</v>
      </c>
      <c r="BK105" s="100">
        <v>1577.0236024844721</v>
      </c>
      <c r="BL105" s="100">
        <v>11</v>
      </c>
      <c r="BM105" s="100">
        <v>6124.7999999999993</v>
      </c>
      <c r="BN105" s="100">
        <v>8</v>
      </c>
      <c r="BO105" s="100">
        <v>4454.3999999999996</v>
      </c>
      <c r="BP105" s="100">
        <v>10</v>
      </c>
      <c r="BQ105" s="100">
        <v>5568</v>
      </c>
      <c r="BR105" s="100">
        <v>10</v>
      </c>
      <c r="BS105" s="100">
        <v>5568</v>
      </c>
      <c r="BT105" s="100">
        <v>8</v>
      </c>
      <c r="BU105" s="100">
        <v>4454.3999999999996</v>
      </c>
      <c r="BV105" s="100">
        <v>3.1818181818181825</v>
      </c>
      <c r="BW105" s="100">
        <v>1771.636363636364</v>
      </c>
      <c r="BX105" s="100">
        <v>11</v>
      </c>
      <c r="BY105" s="100">
        <v>6124.7999999999993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8.5493562231759661</v>
      </c>
      <c r="CE105" s="100">
        <v>4760.2815450643775</v>
      </c>
      <c r="CF105" s="100">
        <v>12</v>
      </c>
      <c r="CG105" s="100">
        <v>6681.5999999999995</v>
      </c>
      <c r="CH105" s="100">
        <v>5.4969325153374244</v>
      </c>
      <c r="CI105" s="100">
        <v>3060.6920245398778</v>
      </c>
      <c r="CJ105" s="100">
        <v>7.9069767441860463</v>
      </c>
      <c r="CK105" s="100">
        <v>4402.6046511627901</v>
      </c>
      <c r="CL105" s="100">
        <v>7.9958893282432095</v>
      </c>
      <c r="CM105" s="100">
        <v>4452.1111779658186</v>
      </c>
      <c r="CN105" s="100">
        <v>10.564971751412429</v>
      </c>
      <c r="CO105" s="100">
        <v>5882.57627118644</v>
      </c>
      <c r="CP105" s="100">
        <v>0.70161174702424423</v>
      </c>
      <c r="CQ105" s="100">
        <v>390.65742074309918</v>
      </c>
      <c r="CR105" s="100">
        <v>5.9453551912568292</v>
      </c>
      <c r="CS105" s="100">
        <v>3310.3737704918021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483</v>
      </c>
      <c r="E109" s="100">
        <f>SUM(L$6:L$19)+SUM(N$6:N$19)+SUM(P$6:P$19)+SUM(R$6:R$19)</f>
        <v>452.72932061376423</v>
      </c>
      <c r="F109" s="100">
        <f>SUM(T$6:T$19)+SUM(V$6:V$19)+SUM(X$6:X$19)+SUM(Z$6:Z$19)</f>
        <v>470.76442460603653</v>
      </c>
      <c r="G109" s="100">
        <f>SUM(AB$6:AB$19)+SUM(AD$6:AD$19)+SUM(AF$6:AF$19)+SUM(AH$6:AH$19)</f>
        <v>481.3599160736112</v>
      </c>
      <c r="H109" s="100">
        <f>SUM(AJ$6:AJ$19)+SUM(AL$6:AL$19)+SUM(AN$6:AN$19)+SUM(AP$6:AP$19)</f>
        <v>430.59657757020943</v>
      </c>
      <c r="I109" s="100">
        <f>SUM(AR$6:AR$19)+SUM(AT$6:AT$19)+SUM(AV$6:AV$19)+SUM(AX$6:AX$19)</f>
        <v>476</v>
      </c>
      <c r="J109" s="100">
        <f>SUM(AZ$6:AZ$19)+SUM(BB$6:BB$19)+SUM(BD$6:BD$19)+SUM(BF$6:BF$19)</f>
        <v>504.47999057123263</v>
      </c>
      <c r="K109" s="100">
        <f>SUM(BH$6:BH$19)+SUM(BJ$6:BJ$19)+SUM(BL$6:BL$19)+SUM(BN$6:BN$19)</f>
        <v>419.18997939110818</v>
      </c>
      <c r="L109" s="100">
        <f>SUM(BP$6:BP$19)+SUM(BR$6:BR$19)+SUM(BT$6:BT$19)+SUM(BV$6:BV$19)</f>
        <v>388.73848494253178</v>
      </c>
      <c r="M109" s="100">
        <f>SUM(BX$6:BX$19)+SUM(BZ$6:BZ$19)+SUM(CB$6:CB$19)+SUM(CD$6:CD$19)</f>
        <v>330.24192070201383</v>
      </c>
      <c r="N109" s="100">
        <f>SUM(CF$6:CF$19)+SUM(CH$6:CH$19)+SUM(CJ$6:CJ$19)+SUM(CL$6:CL$19)</f>
        <v>550</v>
      </c>
      <c r="O109" s="100">
        <f>SUM(CN$6:CN$19)+SUM(CP$6:CP$19)+SUM(CR$6:CR$19)+SUM(CT$6:CT$19)</f>
        <v>471.3130944053508</v>
      </c>
    </row>
    <row r="110" spans="2:99">
      <c r="C110" s="99" t="s">
        <v>127</v>
      </c>
      <c r="D110" s="100">
        <f>SUM(D$20:D$36)+SUM(F$20:F$36)+SUM(H$20:H$36)+SUM(J$20:J$36)</f>
        <v>1115</v>
      </c>
      <c r="E110" s="100">
        <f>SUM(L$20:L$36)+SUM(N$20:N$36)+SUM(P$20:P$36)+SUM(R$20:R$36)</f>
        <v>1183.2550486571065</v>
      </c>
      <c r="F110" s="100">
        <f>SUM(T$20:T$36)+SUM(V$20:V$36)+SUM(X$20:X$36)+SUM(Z$20:Z$36)</f>
        <v>1119.4756695618842</v>
      </c>
      <c r="G110" s="100">
        <f>SUM(AB$20:AB$36)+SUM(AD$20:AD$36)+SUM(AF$20:AF$36)+SUM(AH$20:AH$36)</f>
        <v>1038.7742310069448</v>
      </c>
      <c r="H110" s="100">
        <f>SUM(AJ$20:AJ$36)+SUM(AL$20:AL$36)+SUM(AN$20:AN$36)+SUM(AP$20:AP$36)</f>
        <v>996.36743199336047</v>
      </c>
      <c r="I110" s="100">
        <f>SUM(AR$20:AR$36)+SUM(AT$20:AT$36)+SUM(AV$20:AV$36)+SUM(AX$20:AX$36)</f>
        <v>1274</v>
      </c>
      <c r="J110" s="100">
        <f>SUM(AZ$20:AZ$36)+SUM(BB$20:BB$36)+SUM(BD$20:BD$36)+SUM(BF$20:BF$36)</f>
        <v>935.57089251913612</v>
      </c>
      <c r="K110" s="100">
        <f>SUM(BH$20:BH$36)+SUM(BJ$20:BJ$36)+SUM(BL$20:BL$36)+SUM(BN$20:BN$36)</f>
        <v>925.56993817332454</v>
      </c>
      <c r="L110" s="100">
        <f>SUM(BP$20:BP$36)+SUM(BR$20:BR$36)+SUM(BT$20:BT$36)+SUM(BV$20:BV$36)</f>
        <v>932.2789150988848</v>
      </c>
      <c r="M110" s="100">
        <f>SUM(BX$20:BX$36)+SUM(BZ$20:BZ$36)+SUM(CB$20:CB$36)+SUM(CD$20:CD$36)</f>
        <v>692.73619071299004</v>
      </c>
      <c r="N110" s="100">
        <f>SUM(CF$20:CF$36)+SUM(CH$20:CH$36)+SUM(CJ$20:CJ$36)+SUM(CL$20:CL$36)</f>
        <v>1072</v>
      </c>
      <c r="O110" s="100">
        <f>SUM(CN$20:CN$36)+SUM(CP$20:CP$36)+SUM(CR$20:CR$36)+SUM(CT$20:CT$36)</f>
        <v>848.84806714222168</v>
      </c>
    </row>
    <row r="111" spans="2:99">
      <c r="C111" s="99" t="s">
        <v>128</v>
      </c>
      <c r="D111" s="100">
        <f>SUM(D$37:D$48)+SUM(F$37:F$48)+SUM(H$37:H$48)+SUM(J$37:J$48)</f>
        <v>509</v>
      </c>
      <c r="E111" s="100">
        <f>SUM(L$37:L$48)+SUM(N$37:N$48)+SUM(P$37:P$48)+SUM(R$37:R$48)</f>
        <v>446.28034736080627</v>
      </c>
      <c r="F111" s="100">
        <f>SUM(T$37:T$48)+SUM(V$37:V$48)+SUM(X$37:X$48)+SUM(Z$37:Z$48)</f>
        <v>469.79225877509305</v>
      </c>
      <c r="G111" s="100">
        <f>SUM(AB$37:AB$48)+SUM(AD$37:AD$48)+SUM(AF$37:AF$48)+SUM(AH$37:AH$48)</f>
        <v>523.26006518750012</v>
      </c>
      <c r="H111" s="100">
        <f>SUM(AJ$37:AJ$48)+SUM(AL$37:AL$48)+SUM(AN$37:AN$48)+SUM(AP$37:AP$48)</f>
        <v>462.09789499399204</v>
      </c>
      <c r="I111" s="100">
        <f>SUM(AR$37:AR$48)+SUM(AT$37:AT$48)+SUM(AV$37:AV$48)+SUM(AX$37:AX$48)</f>
        <v>580</v>
      </c>
      <c r="J111" s="100">
        <f>SUM(AZ$37:AZ$48)+SUM(BB$37:BB$48)+SUM(BD$37:BD$48)+SUM(BF$37:BF$48)</f>
        <v>500.24944500239911</v>
      </c>
      <c r="K111" s="100">
        <f>SUM(BH$37:BH$48)+SUM(BJ$37:BJ$48)+SUM(BL$37:BL$48)+SUM(BN$37:BN$48)</f>
        <v>510.92885710248726</v>
      </c>
      <c r="L111" s="100">
        <f>SUM(BP$37:BP$48)+SUM(BR$37:BR$48)+SUM(BT$37:BT$48)+SUM(BV$37:BV$48)</f>
        <v>376.64792394636424</v>
      </c>
      <c r="M111" s="100">
        <f>SUM(BX$37:BX$48)+SUM(BZ$37:BZ$48)+SUM(CB$37:CB$48)+SUM(CD$37:CD$48)</f>
        <v>402.5453625252934</v>
      </c>
      <c r="N111" s="100">
        <f>SUM(CF$37:CF$48)+SUM(CH$37:CH$48)+SUM(CJ$37:CJ$48)+SUM(CL$37:CL$48)</f>
        <v>564</v>
      </c>
      <c r="O111" s="100">
        <f>SUM(CN$37:CN$48)+SUM(CP$37:CP$48)+SUM(CR$37:CR$48)+SUM(CT$37:CT$48)</f>
        <v>531.11552533107522</v>
      </c>
    </row>
    <row r="112" spans="2:99">
      <c r="C112" s="99" t="s">
        <v>129</v>
      </c>
      <c r="D112" s="100">
        <f>SUM(D$49:D$70)+SUM(F$49:F$70)+SUM(H$49:H$70)+SUM(J$49:J$70)</f>
        <v>796.94816580393785</v>
      </c>
      <c r="E112" s="100">
        <f>SUM(L$49:L$70)+SUM(N$49:N$70)+SUM(P$49:P$70)+SUM(R$49:R$70)</f>
        <v>645.89561438293549</v>
      </c>
      <c r="F112" s="100">
        <f>SUM(T$49:T$70)+SUM(V$49:V$70)+SUM(X$49:X$70)+SUM(Z$49:Z$70)</f>
        <v>576.91997016130699</v>
      </c>
      <c r="G112" s="100">
        <f>SUM(AB$49:AB$70)+SUM(AD$49:AD$70)+SUM(AF$49:AF$70)+SUM(AH$49:AH$70)</f>
        <v>676.44616654251672</v>
      </c>
      <c r="H112" s="100">
        <f>SUM(AJ$49:AJ$70)+SUM(AL$49:AL$70)+SUM(AN$49:AN$70)+SUM(AP$49:AP$70)</f>
        <v>629.93582982864723</v>
      </c>
      <c r="I112" s="100">
        <f>SUM(AR$49:AR$70)+SUM(AT$49:AT$70)+SUM(AV$49:AV$70)+SUM(AX$49:AX$70)</f>
        <v>592.50211855959299</v>
      </c>
      <c r="J112" s="100">
        <f>SUM(AZ$49:AZ$70)+SUM(BB$49:BB$70)+SUM(BD$49:BD$70)+SUM(BF$49:BF$70)</f>
        <v>583.55991561466885</v>
      </c>
      <c r="K112" s="100">
        <f>SUM(BH$49:BH$70)+SUM(BJ$49:BJ$70)+SUM(BL$49:BL$70)+SUM(BN$49:BN$70)</f>
        <v>545.78609523919727</v>
      </c>
      <c r="L112" s="100">
        <f>SUM(BP$49:BP$70)+SUM(BR$49:BR$70)+SUM(BT$49:BT$70)+SUM(BV$49:BV$70)</f>
        <v>646.1533128588926</v>
      </c>
      <c r="M112" s="100">
        <f>SUM(BX$49:BX$70)+SUM(BZ$49:BZ$70)+SUM(CB$49:CB$70)+SUM(CD$49:CD$70)</f>
        <v>540.46465073170077</v>
      </c>
      <c r="N112" s="100">
        <f>SUM(CF$49:CF$70)+SUM(CH$49:CH$70)+SUM(CJ$49:CJ$70)+SUM(CL$49:CL$70)</f>
        <v>725.23897401597833</v>
      </c>
      <c r="O112" s="100">
        <f>SUM(CN$49:CN$70)+SUM(CP$49:CP$70)+SUM(CR$49:CR$70)+SUM(CT$49:CT$70)</f>
        <v>729.44456578954248</v>
      </c>
    </row>
    <row r="113" spans="2:15">
      <c r="C113" s="99" t="s">
        <v>130</v>
      </c>
      <c r="D113" s="100">
        <f>SUM(D$71:D$86)+SUM(F$71:F$86)+SUM(H$71:H$86)+SUM(J$71:J$86)</f>
        <v>578.48433161728826</v>
      </c>
      <c r="E113" s="100">
        <f>SUM(L$71:L$86)+SUM(N$71:N$86)+SUM(P$71:P$86)+SUM(R$71:R$86)</f>
        <v>538</v>
      </c>
      <c r="F113" s="100">
        <f>SUM(T$71:T$86)+SUM(V$71:V$86)+SUM(X$71:X$86)+SUM(Z$71:Z$86)</f>
        <v>831</v>
      </c>
      <c r="G113" s="100">
        <f>SUM(AB$71:AB$86)+SUM(AD$71:AD$86)+SUM(AF$71:AF$86)+SUM(AH$71:AH$86)</f>
        <v>672</v>
      </c>
      <c r="H113" s="100">
        <f>SUM(AJ$71:AJ$86)+SUM(AL$71:AL$86)+SUM(AN$71:AN$86)+SUM(AP$71:AP$86)</f>
        <v>718.63882801265754</v>
      </c>
      <c r="I113" s="100">
        <f>SUM(AR$71:AR$86)+SUM(AT$71:AT$86)+SUM(AV$71:AV$86)+SUM(AX$71:AX$86)</f>
        <v>643.19597274316698</v>
      </c>
      <c r="J113" s="100">
        <f>SUM(AZ$71:AZ$86)+SUM(BB$71:BB$86)+SUM(BD$71:BD$86)+SUM(BF$71:BF$86)</f>
        <v>732.4767431893946</v>
      </c>
      <c r="K113" s="100">
        <f>SUM(BH$71:BH$86)+SUM(BJ$71:BJ$86)+SUM(BL$71:BL$86)+SUM(BN$71:BN$86)</f>
        <v>578.80479288671177</v>
      </c>
      <c r="L113" s="100">
        <f>SUM(BP$71:BP$86)+SUM(BR$71:BR$86)+SUM(BT$71:BT$86)+SUM(BV$71:BV$86)</f>
        <v>654.05928853754949</v>
      </c>
      <c r="M113" s="100">
        <f>SUM(BX$71:BX$86)+SUM(BZ$71:BZ$86)+SUM(CB$71:CB$86)+SUM(CD$71:CD$86)</f>
        <v>616</v>
      </c>
      <c r="N113" s="100">
        <f>SUM(CF$71:CF$86)+SUM(CH$71:CH$86)+SUM(CJ$71:CJ$86)+SUM(CL$71:CL$86)</f>
        <v>717.02145922746843</v>
      </c>
      <c r="O113" s="100">
        <f>SUM(CN$71:CN$86)+SUM(CP$71:CP$86)+SUM(CR$71:CR$86)+SUM(CT$71:CT$86)</f>
        <v>647.55535992341925</v>
      </c>
    </row>
    <row r="114" spans="2:15">
      <c r="C114" s="99" t="s">
        <v>131</v>
      </c>
      <c r="D114" s="100">
        <f>SUM(D$87:D$94)+SUM(F$87:F$94)+SUM(H$87:H$94)+SUM(J$87:J$94)</f>
        <v>250</v>
      </c>
      <c r="E114" s="100">
        <f>SUM(L$87:L$94)+SUM(N$87:N$94)+SUM(P$87:P$94)+SUM(R$87:R$94)</f>
        <v>234</v>
      </c>
      <c r="F114" s="100">
        <f>SUM(T$87:T$94)+SUM(V$87:V$94)+SUM(X$87:X$94)+SUM(Z$87:Z$94)</f>
        <v>245.62738823820362</v>
      </c>
      <c r="G114" s="100">
        <f>SUM(AB$87:AB$94)+SUM(AD$87:AD$94)+SUM(AF$87:AF$94)+SUM(AH$87:AH$94)</f>
        <v>265.63282028843992</v>
      </c>
      <c r="H114" s="100">
        <f>SUM(AJ$87:AJ$94)+SUM(AL$87:AL$94)+SUM(AN$87:AN$94)+SUM(AP$87:AP$94)</f>
        <v>261</v>
      </c>
      <c r="I114" s="100">
        <f>SUM(AR$87:AR$94)+SUM(AT$87:AT$94)+SUM(AV$87:AV$94)+SUM(AX$87:AX$94)</f>
        <v>245</v>
      </c>
      <c r="J114" s="100">
        <f>SUM(AZ$87:AZ$94)+SUM(BB$87:BB$94)+SUM(BD$87:BD$94)+SUM(BF$87:BF$94)</f>
        <v>216</v>
      </c>
      <c r="K114" s="100">
        <f>SUM(BH$87:BH$94)+SUM(BJ$87:BJ$94)+SUM(BL$87:BL$94)+SUM(BN$87:BN$94)</f>
        <v>210.47204968944101</v>
      </c>
      <c r="L114" s="100">
        <f>SUM(BP$87:BP$94)+SUM(BR$87:BR$94)+SUM(BT$87:BT$94)+SUM(BV$87:BV$94)</f>
        <v>244.90909090909091</v>
      </c>
      <c r="M114" s="100">
        <f>SUM(BX$87:BX$94)+SUM(BZ$87:BZ$94)+SUM(CB$87:CB$94)+SUM(CD$87:CD$94)</f>
        <v>234.83261802575106</v>
      </c>
      <c r="N114" s="100">
        <f>SUM(CF$87:CF$94)+SUM(CH$87:CH$94)+SUM(CJ$87:CJ$94)+SUM(CL$87:CL$94)</f>
        <v>236.11679610636156</v>
      </c>
      <c r="O114" s="100">
        <f>SUM(CN$87:CN$94)+SUM(CP$87:CP$94)+SUM(CR$87:CR$94)+SUM(CT$87:CT$94)</f>
        <v>162.25805233466397</v>
      </c>
    </row>
    <row r="115" spans="2:15">
      <c r="C115" s="99" t="s">
        <v>132</v>
      </c>
      <c r="D115" s="100">
        <f>SUM(D$95:D$105)+SUM(F$95:F$105)+SUM(H$95:H$105)+SUM(J$95:J$105)</f>
        <v>416</v>
      </c>
      <c r="E115" s="100">
        <f>SUM(L$95:L$105)+SUM(N$95:N$105)+SUM(P$95:P$105)+SUM(R$95:R$105)</f>
        <v>376</v>
      </c>
      <c r="F115" s="100">
        <f>SUM(T$95:T$105)+SUM(V$95:V$105)+SUM(X$95:X$105)+SUM(Z$95:Z$105)</f>
        <v>341.43075358123485</v>
      </c>
      <c r="G115" s="100">
        <f>SUM(AB$95:AB$105)+SUM(AD$95:AD$105)+SUM(AF$95:AF$105)+SUM(AH$95:AH$105)</f>
        <v>364.28391152043241</v>
      </c>
      <c r="H115" s="100">
        <f>SUM(AJ$95:AJ$105)+SUM(AL$95:AL$105)+SUM(AN$95:AN$105)+SUM(AP$95:AP$105)</f>
        <v>423</v>
      </c>
      <c r="I115" s="100">
        <f>SUM(AR$95:AR$105)+SUM(AT$95:AT$105)+SUM(AV$95:AV$105)+SUM(AX$95:AX$105)</f>
        <v>424</v>
      </c>
      <c r="J115" s="100">
        <f>SUM(AZ$95:AZ$105)+SUM(BB$95:BB$105)+SUM(BD$95:BD$105)+SUM(BF$95:BF$105)</f>
        <v>384</v>
      </c>
      <c r="K115" s="100">
        <f>SUM(BH$95:BH$105)+SUM(BJ$95:BJ$105)+SUM(BL$95:BL$105)+SUM(BN$95:BN$105)</f>
        <v>369.57142857142856</v>
      </c>
      <c r="L115" s="100">
        <f>SUM(BP$95:BP$105)+SUM(BR$95:BR$105)+SUM(BT$95:BT$105)+SUM(BV$95:BV$105)</f>
        <v>338.4545454545455</v>
      </c>
      <c r="M115" s="100">
        <f>SUM(BX$95:BX$105)+SUM(BZ$95:BZ$105)+SUM(CB$95:CB$105)+SUM(CD$95:CD$105)</f>
        <v>385.3304721030043</v>
      </c>
      <c r="N115" s="100">
        <f>SUM(CF$95:CF$105)+SUM(CH$95:CH$105)+SUM(CJ$95:CJ$105)+SUM(CL$95:CL$105)</f>
        <v>365.00257661825083</v>
      </c>
      <c r="O115" s="100">
        <f>SUM(CN$95:CN$105)+SUM(CP$95:CP$105)+SUM(CR$95:CR$105)+SUM(CT$95:CT$105)</f>
        <v>264.466887670647</v>
      </c>
    </row>
    <row r="116" spans="2:15">
      <c r="C116" s="99" t="s">
        <v>278</v>
      </c>
      <c r="D116" s="100">
        <f t="shared" ref="D116:O116" si="0">SUM(D$109:D$115)</f>
        <v>4148.4324974212259</v>
      </c>
      <c r="E116" s="100">
        <f t="shared" si="0"/>
        <v>3876.1603310146124</v>
      </c>
      <c r="F116" s="100">
        <f t="shared" si="0"/>
        <v>4055.0104649237596</v>
      </c>
      <c r="G116" s="100">
        <f t="shared" si="0"/>
        <v>4021.7571106194446</v>
      </c>
      <c r="H116" s="100">
        <f t="shared" si="0"/>
        <v>3921.6365623988668</v>
      </c>
      <c r="I116" s="100">
        <f t="shared" si="0"/>
        <v>4234.6980913027601</v>
      </c>
      <c r="J116" s="100">
        <f t="shared" si="0"/>
        <v>3856.3369868968316</v>
      </c>
      <c r="K116" s="100">
        <f t="shared" si="0"/>
        <v>3560.3231410536987</v>
      </c>
      <c r="L116" s="100">
        <f t="shared" si="0"/>
        <v>3581.2415617478591</v>
      </c>
      <c r="M116" s="100">
        <f t="shared" si="0"/>
        <v>3202.1512148007532</v>
      </c>
      <c r="N116" s="100">
        <f t="shared" si="0"/>
        <v>4229.3798059680594</v>
      </c>
      <c r="O116" s="100">
        <f t="shared" si="0"/>
        <v>3655.0015525969206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3381000</v>
      </c>
      <c r="E120" s="100">
        <f>E109*pricing!E15*2000</f>
        <v>3169105.2442963496</v>
      </c>
      <c r="F120" s="100">
        <f>F109*pricing!F15*2000</f>
        <v>3295350.9722422557</v>
      </c>
      <c r="G120" s="100">
        <f>G109*pricing!G15*2000</f>
        <v>3369519.4125152784</v>
      </c>
      <c r="H120" s="100">
        <f>H109*pricing!H15*2000</f>
        <v>3014176.0429914664</v>
      </c>
      <c r="I120" s="100">
        <f>I109*pricing!I15*2000</f>
        <v>3332000</v>
      </c>
      <c r="J120" s="100">
        <f>J109*pricing!J15*2000</f>
        <v>3531359.9339986285</v>
      </c>
      <c r="K120" s="100">
        <f>K109*pricing!K15*2000</f>
        <v>2934329.8557377574</v>
      </c>
      <c r="L120" s="100">
        <f>L109*pricing!L15*2000</f>
        <v>2721169.3945977227</v>
      </c>
      <c r="M120" s="100">
        <f>M109*pricing!M15*2000</f>
        <v>2311693.444914097</v>
      </c>
      <c r="N120" s="100">
        <f>N109*pricing!N15*2000</f>
        <v>3850000</v>
      </c>
      <c r="O120" s="100">
        <f>O109*pricing!O15*2000</f>
        <v>3299191.6608374552</v>
      </c>
    </row>
    <row r="121" spans="2:15">
      <c r="C121" s="99" t="s">
        <v>127</v>
      </c>
      <c r="D121" s="100">
        <f>D110*pricing!D16*2000</f>
        <v>7805000</v>
      </c>
      <c r="E121" s="100">
        <f>E110*pricing!E16*2000</f>
        <v>8282785.3405997446</v>
      </c>
      <c r="F121" s="100">
        <f>F110*pricing!F16*2000</f>
        <v>7836329.6869331887</v>
      </c>
      <c r="G121" s="100">
        <f>G110*pricing!G16*2000</f>
        <v>7271419.6170486137</v>
      </c>
      <c r="H121" s="100">
        <f>H110*pricing!H16*2000</f>
        <v>6974572.0239535235</v>
      </c>
      <c r="I121" s="100">
        <f>I110*pricing!I16*2000</f>
        <v>8918000</v>
      </c>
      <c r="J121" s="100">
        <f>J110*pricing!J16*2000</f>
        <v>6548996.2476339536</v>
      </c>
      <c r="K121" s="100">
        <f>K110*pricing!K16*2000</f>
        <v>6478989.5672132717</v>
      </c>
      <c r="L121" s="100">
        <f>L110*pricing!L16*2000</f>
        <v>6525952.4056921937</v>
      </c>
      <c r="M121" s="100">
        <f>M110*pricing!M16*2000</f>
        <v>4849153.3349909307</v>
      </c>
      <c r="N121" s="100">
        <f>N110*pricing!N16*2000</f>
        <v>7504000</v>
      </c>
      <c r="O121" s="100">
        <f>O110*pricing!O16*2000</f>
        <v>5941936.4699955517</v>
      </c>
    </row>
    <row r="122" spans="2:15">
      <c r="C122" s="99" t="s">
        <v>128</v>
      </c>
      <c r="D122" s="100">
        <f>D111*pricing!D17*2000</f>
        <v>3563000</v>
      </c>
      <c r="E122" s="100">
        <f>E111*pricing!E17*2000</f>
        <v>3123962.4315256439</v>
      </c>
      <c r="F122" s="100">
        <f>F111*pricing!F17*2000</f>
        <v>3288545.8114256514</v>
      </c>
      <c r="G122" s="100">
        <f>G111*pricing!G17*2000</f>
        <v>3662820.4563125009</v>
      </c>
      <c r="H122" s="100">
        <f>H111*pricing!H17*2000</f>
        <v>3234685.2649579439</v>
      </c>
      <c r="I122" s="100">
        <f>I111*pricing!I17*2000</f>
        <v>4060000</v>
      </c>
      <c r="J122" s="100">
        <f>J111*pricing!J17*2000</f>
        <v>3501746.1150167938</v>
      </c>
      <c r="K122" s="100">
        <f>K111*pricing!K17*2000</f>
        <v>3576501.9997174107</v>
      </c>
      <c r="L122" s="100">
        <f>L111*pricing!L17*2000</f>
        <v>2636535.4676245498</v>
      </c>
      <c r="M122" s="100">
        <f>M111*pricing!M17*2000</f>
        <v>2817817.5376770538</v>
      </c>
      <c r="N122" s="100">
        <f>N111*pricing!N17*2000</f>
        <v>3948000</v>
      </c>
      <c r="O122" s="100">
        <f>O111*pricing!O17*2000</f>
        <v>3717808.6773175262</v>
      </c>
    </row>
    <row r="123" spans="2:15">
      <c r="C123" s="99" t="s">
        <v>129</v>
      </c>
      <c r="D123" s="100">
        <f>D112*pricing!D18*2000</f>
        <v>5578637.1606275653</v>
      </c>
      <c r="E123" s="100">
        <f>E112*pricing!E18*2000</f>
        <v>4521269.3006805489</v>
      </c>
      <c r="F123" s="100">
        <f>F112*pricing!F18*2000</f>
        <v>4038439.791129149</v>
      </c>
      <c r="G123" s="100">
        <f>G112*pricing!G18*2000</f>
        <v>4735123.1657976173</v>
      </c>
      <c r="H123" s="100">
        <f>H112*pricing!H18*2000</f>
        <v>4409550.8088005306</v>
      </c>
      <c r="I123" s="100">
        <f>I112*pricing!I18*2000</f>
        <v>4147514.8299171505</v>
      </c>
      <c r="J123" s="100">
        <f>J112*pricing!J18*2000</f>
        <v>4084919.4093026817</v>
      </c>
      <c r="K123" s="100">
        <f>K112*pricing!K18*2000</f>
        <v>3820502.6666743807</v>
      </c>
      <c r="L123" s="100">
        <f>L112*pricing!L18*2000</f>
        <v>4523073.1900122482</v>
      </c>
      <c r="M123" s="100">
        <f>M112*pricing!M18*2000</f>
        <v>3783252.5551219056</v>
      </c>
      <c r="N123" s="100">
        <f>N112*pricing!N18*2000</f>
        <v>5076672.818111849</v>
      </c>
      <c r="O123" s="100">
        <f>O112*pricing!O18*2000</f>
        <v>5106111.9605267979</v>
      </c>
    </row>
    <row r="124" spans="2:15">
      <c r="C124" s="99" t="s">
        <v>130</v>
      </c>
      <c r="D124" s="100">
        <f>D113*pricing!D19*2000</f>
        <v>4049390.321321018</v>
      </c>
      <c r="E124" s="100">
        <f>E113*pricing!E19*2000</f>
        <v>3766000</v>
      </c>
      <c r="F124" s="100">
        <f>F113*pricing!F19*2000</f>
        <v>5817000</v>
      </c>
      <c r="G124" s="100">
        <f>G113*pricing!G19*2000</f>
        <v>4704000</v>
      </c>
      <c r="H124" s="100">
        <f>H113*pricing!H19*2000</f>
        <v>5030471.7960886024</v>
      </c>
      <c r="I124" s="100">
        <f>I113*pricing!I19*2000</f>
        <v>4502371.8092021691</v>
      </c>
      <c r="J124" s="100">
        <f>J113*pricing!J19*2000</f>
        <v>5127337.2023257622</v>
      </c>
      <c r="K124" s="100">
        <f>K113*pricing!K19*2000</f>
        <v>4051633.5502069825</v>
      </c>
      <c r="L124" s="100">
        <f>L113*pricing!L19*2000</f>
        <v>4578415.0197628457</v>
      </c>
      <c r="M124" s="100">
        <f>M113*pricing!M19*2000</f>
        <v>4312000</v>
      </c>
      <c r="N124" s="100">
        <f>N113*pricing!N19*2000</f>
        <v>5019150.2145922789</v>
      </c>
      <c r="O124" s="100">
        <f>O113*pricing!O19*2000</f>
        <v>4532887.5194639349</v>
      </c>
    </row>
    <row r="125" spans="2:15">
      <c r="C125" s="99" t="s">
        <v>131</v>
      </c>
      <c r="D125" s="100">
        <f>D114*pricing!D20*2000</f>
        <v>1750000</v>
      </c>
      <c r="E125" s="100">
        <f>E114*pricing!E20*2000</f>
        <v>1638000</v>
      </c>
      <c r="F125" s="100">
        <f>F114*pricing!F20*2000</f>
        <v>1719391.7176674253</v>
      </c>
      <c r="G125" s="100">
        <f>G114*pricing!G20*2000</f>
        <v>1859429.7420190794</v>
      </c>
      <c r="H125" s="100">
        <f>H114*pricing!H20*2000</f>
        <v>1827000</v>
      </c>
      <c r="I125" s="100">
        <f>I114*pricing!I20*2000</f>
        <v>1715000</v>
      </c>
      <c r="J125" s="100">
        <f>J114*pricing!J20*2000</f>
        <v>1512000</v>
      </c>
      <c r="K125" s="100">
        <f>K114*pricing!K20*2000</f>
        <v>1473304.3478260869</v>
      </c>
      <c r="L125" s="100">
        <f>L114*pricing!L20*2000</f>
        <v>1714363.6363636362</v>
      </c>
      <c r="M125" s="100">
        <f>M114*pricing!M20*2000</f>
        <v>1643828.3261802574</v>
      </c>
      <c r="N125" s="100">
        <f>N114*pricing!N20*2000</f>
        <v>1652817.5727445309</v>
      </c>
      <c r="O125" s="100">
        <f>O114*pricing!O20*2000</f>
        <v>1135806.3663426479</v>
      </c>
    </row>
    <row r="126" spans="2:15">
      <c r="C126" s="99" t="s">
        <v>132</v>
      </c>
      <c r="D126" s="100">
        <f>D115*pricing!D21*2000</f>
        <v>2912000</v>
      </c>
      <c r="E126" s="100">
        <f>E115*pricing!E21*2000</f>
        <v>2632000</v>
      </c>
      <c r="F126" s="100">
        <f>F115*pricing!F21*2000</f>
        <v>2390015.275068644</v>
      </c>
      <c r="G126" s="100">
        <f>G115*pricing!G21*2000</f>
        <v>2549987.3806430269</v>
      </c>
      <c r="H126" s="100">
        <f>H115*pricing!H21*2000</f>
        <v>2961000</v>
      </c>
      <c r="I126" s="100">
        <f>I115*pricing!I21*2000</f>
        <v>2968000</v>
      </c>
      <c r="J126" s="100">
        <f>J115*pricing!J21*2000</f>
        <v>2688000</v>
      </c>
      <c r="K126" s="100">
        <f>K115*pricing!K21*2000</f>
        <v>2587000</v>
      </c>
      <c r="L126" s="100">
        <f>L115*pricing!L21*2000</f>
        <v>2369181.8181818184</v>
      </c>
      <c r="M126" s="100">
        <f>M115*pricing!M21*2000</f>
        <v>2697313.3047210299</v>
      </c>
      <c r="N126" s="100">
        <f>N115*pricing!N21*2000</f>
        <v>2555018.036327756</v>
      </c>
      <c r="O126" s="100">
        <f>O115*pricing!O21*2000</f>
        <v>1851268.2136945291</v>
      </c>
    </row>
    <row r="127" spans="2:15">
      <c r="C127" s="99" t="s">
        <v>278</v>
      </c>
      <c r="D127" s="100">
        <f t="shared" ref="D127:O127" si="1">SUM(D$120:D$126)</f>
        <v>29039027.481948584</v>
      </c>
      <c r="E127" s="100">
        <f t="shared" si="1"/>
        <v>27133122.317102287</v>
      </c>
      <c r="F127" s="100">
        <f t="shared" si="1"/>
        <v>28385073.254466318</v>
      </c>
      <c r="G127" s="100">
        <f t="shared" si="1"/>
        <v>28152299.774336115</v>
      </c>
      <c r="H127" s="100">
        <f t="shared" si="1"/>
        <v>27451455.936792068</v>
      </c>
      <c r="I127" s="100">
        <f t="shared" si="1"/>
        <v>29642886.63911932</v>
      </c>
      <c r="J127" s="100">
        <f t="shared" si="1"/>
        <v>26994358.908277817</v>
      </c>
      <c r="K127" s="100">
        <f t="shared" si="1"/>
        <v>24922261.987375889</v>
      </c>
      <c r="L127" s="100">
        <f t="shared" si="1"/>
        <v>25068690.932235017</v>
      </c>
      <c r="M127" s="100">
        <f t="shared" si="1"/>
        <v>22415058.503605276</v>
      </c>
      <c r="N127" s="100">
        <f t="shared" si="1"/>
        <v>29605658.641776413</v>
      </c>
      <c r="O127" s="100">
        <f t="shared" si="1"/>
        <v>25585010.868178442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244695.6</v>
      </c>
      <c r="E131" s="106">
        <f>SUM(M$6:M$19)+SUM(O$6:O$19)+SUM(Q$6:Q$19)+SUM(S$6:S$19)</f>
        <v>227699.83546891122</v>
      </c>
      <c r="F131" s="106">
        <f>SUM(U$6:U$19)+SUM(W$6:W$19)+SUM(Y$6:Y$19)+SUM(AA$6:AA$19)</f>
        <v>237725.71697221615</v>
      </c>
      <c r="G131" s="106">
        <f>SUM(AC$6:AC$19)+SUM(AE$6:AE$19)+SUM(AG$6:AG$19)+SUM(AI$6:AI$19)</f>
        <v>243002.91514742505</v>
      </c>
      <c r="H131" s="106">
        <f>SUM(AK$6:AK$19)+SUM(AM$6:AM$19)+SUM(AO$6:AO$19)+SUM(AQ$6:AQ$19)</f>
        <v>218714.91391164361</v>
      </c>
      <c r="I131" s="106">
        <f>SUM(AS$6:AS$19)+SUM(AU$6:AU$19)+SUM(AW$6:AW$19)+SUM(AY$6:AY$19)</f>
        <v>238816.79999999993</v>
      </c>
      <c r="J131" s="106">
        <f>SUM(BA$6:BA$19)+SUM(BC$6:BC$19)+SUM(BE$6:BE$19)+SUM(BG$6:BG$19)</f>
        <v>253711.26855726645</v>
      </c>
      <c r="K131" s="106">
        <f>SUM(BI$6:BI$19)+SUM(BK$6:BK$19)+SUM(BM$6:BM$19)+SUM(BO$6:BO$19)</f>
        <v>212490.49437807378</v>
      </c>
      <c r="L131" s="106">
        <f>SUM(BQ$6:BQ$19)+SUM(BS$6:BS$19)+SUM(BU$6:BU$19)+SUM(BW$6:BW$19)</f>
        <v>195419.61789517367</v>
      </c>
      <c r="M131" s="106">
        <f>SUM(BY$6:BY$19)+SUM(CA$6:CA$19)+SUM(CC$6:CC$19)+SUM(CE$6:CE$19)</f>
        <v>166682.94034186911</v>
      </c>
      <c r="N131" s="106">
        <f>SUM(CG$6:CG$19)+SUM(CI$6:CI$19)+SUM(CK$6:CK$19)+SUM(CM$6:CM$19)</f>
        <v>277663.2</v>
      </c>
      <c r="O131" s="106">
        <f>SUM(CO$6:CO$19)+SUM(CQ$6:CQ$19)+SUM(CS$6:CS$19)+SUM(CU$6:CU$19)</f>
        <v>236714.41960161852</v>
      </c>
    </row>
    <row r="132" spans="2:15">
      <c r="C132" s="105" t="s">
        <v>127</v>
      </c>
      <c r="D132" s="106">
        <f>SUM(E$20:E$36)+SUM(G$20:G$36)+SUM(I$20:I$36)+SUM(K$20:K$36)</f>
        <v>477858</v>
      </c>
      <c r="E132" s="106">
        <f>SUM(M$20:M$36)+SUM(O$20:O$36)+SUM(Q$20:Q$36)+SUM(S$20:S$36)</f>
        <v>505040.93839252752</v>
      </c>
      <c r="F132" s="106">
        <f>SUM(U$20:U$36)+SUM(W$20:W$36)+SUM(Y$20:Y$36)+SUM(AA$20:AA$36)</f>
        <v>478245.35294890712</v>
      </c>
      <c r="G132" s="106">
        <f>SUM(AC$20:AC$36)+SUM(AE$20:AE$36)+SUM(AG$20:AG$36)+SUM(AI$20:AI$36)</f>
        <v>447873.01476587512</v>
      </c>
      <c r="H132" s="106">
        <f>SUM(AK$20:AK$36)+SUM(AM$20:AM$36)+SUM(AO$20:AO$36)+SUM(AQ$20:AQ$36)</f>
        <v>424608.95537721063</v>
      </c>
      <c r="I132" s="106">
        <f>SUM(AS$20:AS$36)+SUM(AU$20:AU$36)+SUM(AW$20:AW$36)+SUM(AY$20:AY$36)</f>
        <v>546084</v>
      </c>
      <c r="J132" s="106">
        <f>SUM(BA$20:BA$36)+SUM(BC$20:BC$36)+SUM(BE$20:BE$36)+SUM(BG$20:BG$36)</f>
        <v>401072.62936386809</v>
      </c>
      <c r="K132" s="106">
        <f>SUM(BI$20:BI$36)+SUM(BK$20:BK$36)+SUM(BM$20:BM$36)+SUM(BO$20:BO$36)</f>
        <v>395044.45008937083</v>
      </c>
      <c r="L132" s="106">
        <f>SUM(BQ$20:BQ$36)+SUM(BS$20:BS$36)+SUM(BU$20:BU$36)+SUM(BW$20:BW$36)</f>
        <v>397294.10460228636</v>
      </c>
      <c r="M132" s="106">
        <f>SUM(BY$20:BY$36)+SUM(CA$20:CA$36)+SUM(CC$20:CC$36)+SUM(CE$20:CE$36)</f>
        <v>296460.8402096483</v>
      </c>
      <c r="N132" s="106">
        <f>SUM(CG$20:CG$36)+SUM(CI$20:CI$36)+SUM(CK$20:CK$36)+SUM(CM$20:CM$36)</f>
        <v>458914.8</v>
      </c>
      <c r="O132" s="106">
        <f>SUM(CO$20:CO$36)+SUM(CQ$20:CQ$36)+SUM(CS$20:CS$36)+SUM(CU$20:CU$36)</f>
        <v>366153.33755607891</v>
      </c>
    </row>
    <row r="133" spans="2:15">
      <c r="C133" s="105" t="s">
        <v>128</v>
      </c>
      <c r="D133" s="106">
        <f>SUM(E$37:E$48)+SUM(G$37:G$48)+SUM(I$37:I$48)+SUM(K$37:K$48)</f>
        <v>534711.6</v>
      </c>
      <c r="E133" s="106">
        <f>SUM(M$37:M$48)+SUM(O$37:O$48)+SUM(Q$37:Q$48)+SUM(S$37:S$48)</f>
        <v>469513.47137278947</v>
      </c>
      <c r="F133" s="106">
        <f>SUM(U$37:U$48)+SUM(W$37:W$48)+SUM(Y$37:Y$48)+SUM(AA$37:AA$48)</f>
        <v>493976.04495342512</v>
      </c>
      <c r="G133" s="106">
        <f>SUM(AC$37:AC$48)+SUM(AE$37:AE$48)+SUM(AG$37:AG$48)+SUM(AI$37:AI$48)</f>
        <v>548415.00137887686</v>
      </c>
      <c r="H133" s="106">
        <f>SUM(AK$37:AK$48)+SUM(AM$37:AM$48)+SUM(AO$37:AO$48)+SUM(AQ$37:AQ$48)</f>
        <v>483712.6394238472</v>
      </c>
      <c r="I133" s="106">
        <f>SUM(AS$37:AS$48)+SUM(AU$37:AU$48)+SUM(AW$37:AW$48)+SUM(AY$37:AY$48)</f>
        <v>611022</v>
      </c>
      <c r="J133" s="106">
        <f>SUM(BA$37:BA$48)+SUM(BC$37:BC$48)+SUM(BE$37:BE$48)+SUM(BG$37:BG$48)</f>
        <v>525525.19894050946</v>
      </c>
      <c r="K133" s="106">
        <f>SUM(BI$37:BI$48)+SUM(BK$37:BK$48)+SUM(BM$37:BM$48)+SUM(BO$37:BO$48)</f>
        <v>535166.12136010535</v>
      </c>
      <c r="L133" s="106">
        <f>SUM(BQ$37:BQ$48)+SUM(BS$37:BS$48)+SUM(BU$37:BU$48)+SUM(BW$37:BW$48)</f>
        <v>395444.45735527406</v>
      </c>
      <c r="M133" s="106">
        <f>SUM(BY$37:BY$48)+SUM(CA$37:CA$48)+SUM(CC$37:CC$48)+SUM(CE$37:CE$48)</f>
        <v>421931.56496282388</v>
      </c>
      <c r="N133" s="106">
        <f>SUM(CG$37:CG$48)+SUM(CI$37:CI$48)+SUM(CK$37:CK$48)+SUM(CM$37:CM$48)</f>
        <v>591654</v>
      </c>
      <c r="O133" s="106">
        <f>SUM(CO$37:CO$48)+SUM(CQ$37:CQ$48)+SUM(CS$37:CS$48)+SUM(CU$37:CU$48)</f>
        <v>557491.66265773005</v>
      </c>
    </row>
    <row r="134" spans="2:15">
      <c r="C134" s="105" t="s">
        <v>129</v>
      </c>
      <c r="D134" s="106">
        <f>SUM(E$49:E$70)+SUM(G$49:G$70)+SUM(I$49:I$70)+SUM(K$49:K$70)</f>
        <v>667945.42604856007</v>
      </c>
      <c r="E134" s="106">
        <f>SUM(M$49:M$70)+SUM(O$49:O$70)+SUM(Q$49:Q$70)+SUM(S$49:S$70)</f>
        <v>548670.11268406478</v>
      </c>
      <c r="F134" s="106">
        <f>SUM(U$49:U$70)+SUM(W$49:W$70)+SUM(Y$49:Y$70)+SUM(AA$49:AA$70)</f>
        <v>482441.93995983456</v>
      </c>
      <c r="G134" s="106">
        <f>SUM(AC$49:AC$70)+SUM(AE$49:AE$70)+SUM(AG$49:AG$70)+SUM(AI$49:AI$70)</f>
        <v>566141.29970911331</v>
      </c>
      <c r="H134" s="106">
        <f>SUM(AK$49:AK$70)+SUM(AM$49:AM$70)+SUM(AO$49:AO$70)+SUM(AQ$49:AQ$70)</f>
        <v>534257.16128997214</v>
      </c>
      <c r="I134" s="106">
        <f>SUM(AS$49:AS$70)+SUM(AU$49:AU$70)+SUM(AW$49:AW$70)+SUM(AY$49:AY$70)</f>
        <v>496682.89058663184</v>
      </c>
      <c r="J134" s="106">
        <f>SUM(BA$49:BA$70)+SUM(BC$49:BC$70)+SUM(BE$49:BE$70)+SUM(BG$49:BG$70)</f>
        <v>498864.45833636652</v>
      </c>
      <c r="K134" s="106">
        <f>SUM(BI$49:BI$70)+SUM(BK$49:BK$70)+SUM(BM$49:BM$70)+SUM(BO$49:BO$70)</f>
        <v>456442.63157389604</v>
      </c>
      <c r="L134" s="106">
        <f>SUM(BQ$49:BQ$70)+SUM(BS$49:BS$70)+SUM(BU$49:BU$70)+SUM(BW$49:BW$70)</f>
        <v>552949.21494193911</v>
      </c>
      <c r="M134" s="106">
        <f>SUM(BY$49:BY$70)+SUM(CA$49:CA$70)+SUM(CC$49:CC$70)+SUM(CE$49:CE$70)</f>
        <v>464749.87881012569</v>
      </c>
      <c r="N134" s="106">
        <f>SUM(CG$49:CG$70)+SUM(CI$49:CI$70)+SUM(CK$49:CK$70)+SUM(CM$49:CM$70)</f>
        <v>606239.21836459031</v>
      </c>
      <c r="O134" s="106">
        <f>SUM(CO$49:CO$70)+SUM(CQ$49:CQ$70)+SUM(CS$49:CS$70)+SUM(CU$49:CU$70)</f>
        <v>604640.2161391452</v>
      </c>
    </row>
    <row r="135" spans="2:15">
      <c r="C135" s="105" t="s">
        <v>130</v>
      </c>
      <c r="D135" s="106">
        <f>SUM(E$71:E$86)+SUM(G$71:G$86)+SUM(I$71:I$86)+SUM(K$71:K$86)</f>
        <v>323284.00176370953</v>
      </c>
      <c r="E135" s="106">
        <f>SUM(M$71:M$86)+SUM(O$71:O$86)+SUM(Q$71:Q$86)+SUM(S$71:S$86)</f>
        <v>300469.2</v>
      </c>
      <c r="F135" s="106">
        <f>SUM(U$71:U$86)+SUM(W$71:W$86)+SUM(Y$71:Y$86)+SUM(AA$71:AA$86)</f>
        <v>465067.19999999995</v>
      </c>
      <c r="G135" s="106">
        <f>SUM(AC$71:AC$86)+SUM(AE$71:AE$86)+SUM(AG$71:AG$86)+SUM(AI$71:AI$86)</f>
        <v>375535.2</v>
      </c>
      <c r="H135" s="106">
        <f>SUM(AK$71:AK$86)+SUM(AM$71:AM$86)+SUM(AO$71:AO$86)+SUM(AQ$71:AQ$86)</f>
        <v>401686.81887883681</v>
      </c>
      <c r="I135" s="106">
        <f>SUM(AS$71:AS$86)+SUM(AU$71:AU$86)+SUM(AW$71:AW$86)+SUM(AY$71:AY$86)</f>
        <v>359020.70871348347</v>
      </c>
      <c r="J135" s="106">
        <f>SUM(BA$71:BA$86)+SUM(BC$71:BC$86)+SUM(BE$71:BE$86)+SUM(BG$71:BG$86)</f>
        <v>410239.6051689632</v>
      </c>
      <c r="K135" s="106">
        <f>SUM(BI$71:BI$86)+SUM(BK$71:BK$86)+SUM(BM$71:BM$86)+SUM(BO$71:BO$86)</f>
        <v>326002.93467213598</v>
      </c>
      <c r="L135" s="106">
        <f>SUM(BQ$71:BQ$86)+SUM(BS$71:BS$86)+SUM(BU$71:BU$86)+SUM(BW$71:BW$86)</f>
        <v>366741.95098814229</v>
      </c>
      <c r="M135" s="106">
        <f>SUM(BY$71:BY$86)+SUM(CA$71:CA$86)+SUM(CC$71:CC$86)+SUM(CE$71:CE$86)</f>
        <v>345586.80000000005</v>
      </c>
      <c r="N135" s="106">
        <f>SUM(CG$71:CG$86)+SUM(CI$71:CI$86)+SUM(CK$71:CK$86)+SUM(CM$71:CM$86)</f>
        <v>401408.89442060119</v>
      </c>
      <c r="O135" s="106">
        <f>SUM(CO$71:CO$86)+SUM(CQ$71:CQ$86)+SUM(CS$71:CS$86)+SUM(CU$71:CU$86)</f>
        <v>360952.56142748403</v>
      </c>
    </row>
    <row r="136" spans="2:15">
      <c r="C136" s="105" t="s">
        <v>131</v>
      </c>
      <c r="D136" s="106">
        <f>SUM(E$87:E$94)+SUM(G$87:G$94)+SUM(I$87:I$94)+SUM(K$87:K$94)</f>
        <v>249778.8</v>
      </c>
      <c r="E136" s="106">
        <f>SUM(M$87:M$94)+SUM(O$87:O$94)+SUM(Q$87:Q$94)+SUM(S$87:S$94)</f>
        <v>235000.8</v>
      </c>
      <c r="F136" s="106">
        <f>SUM(U$87:U$94)+SUM(W$87:W$94)+SUM(Y$87:Y$94)+SUM(AA$87:AA$94)</f>
        <v>246896.70114684358</v>
      </c>
      <c r="G136" s="106">
        <f>SUM(AC$87:AC$94)+SUM(AE$87:AE$94)+SUM(AG$87:AG$94)+SUM(AI$87:AI$94)</f>
        <v>266007.93021202117</v>
      </c>
      <c r="H136" s="106">
        <f>SUM(AK$87:AK$94)+SUM(AM$87:AM$94)+SUM(AO$87:AO$94)+SUM(AQ$87:AQ$94)</f>
        <v>262548</v>
      </c>
      <c r="I136" s="106">
        <f>SUM(AS$87:AS$94)+SUM(AU$87:AU$94)+SUM(AW$87:AW$94)+SUM(AY$87:AY$94)</f>
        <v>245498.4</v>
      </c>
      <c r="J136" s="106">
        <f>SUM(BA$87:BA$94)+SUM(BC$87:BC$94)+SUM(BE$87:BE$94)+SUM(BG$87:BG$94)</f>
        <v>216232.8</v>
      </c>
      <c r="K136" s="106">
        <f>SUM(BI$87:BI$94)+SUM(BK$87:BK$94)+SUM(BM$87:BM$94)+SUM(BO$87:BO$94)</f>
        <v>212137.1254658385</v>
      </c>
      <c r="L136" s="106">
        <f>SUM(BQ$87:BQ$94)+SUM(BS$87:BS$94)+SUM(BU$87:BU$94)+SUM(BW$87:BW$94)</f>
        <v>246480.76363636367</v>
      </c>
      <c r="M136" s="106">
        <f>SUM(BY$87:BY$94)+SUM(CA$87:CA$94)+SUM(CC$87:CC$94)+SUM(CE$87:CE$94)</f>
        <v>235902.30386266092</v>
      </c>
      <c r="N136" s="106">
        <f>SUM(CG$87:CG$94)+SUM(CI$87:CI$94)+SUM(CK$87:CK$94)+SUM(CM$87:CM$94)</f>
        <v>237525.10140513384</v>
      </c>
      <c r="O136" s="106">
        <f>SUM(CO$87:CO$94)+SUM(CQ$87:CQ$94)+SUM(CS$87:CS$94)+SUM(CU$87:CU$94)</f>
        <v>162834.17873415345</v>
      </c>
    </row>
    <row r="137" spans="2:15">
      <c r="C137" s="105" t="s">
        <v>132</v>
      </c>
      <c r="D137" s="106">
        <f>SUM(E$95:E$105)+SUM(G$95:G$105)+SUM(I$95:I$105)+SUM(K$95:K$105)</f>
        <v>334255.2</v>
      </c>
      <c r="E137" s="106">
        <f>SUM(M$95:M$105)+SUM(O$95:O$105)+SUM(Q$95:Q$105)+SUM(S$95:S$105)</f>
        <v>306354</v>
      </c>
      <c r="F137" s="106">
        <f>SUM(U$95:U$105)+SUM(W$95:W$105)+SUM(Y$95:Y$105)+SUM(AA$95:AA$105)</f>
        <v>271727.24598346191</v>
      </c>
      <c r="G137" s="106">
        <f>SUM(AC$95:AC$105)+SUM(AE$95:AE$105)+SUM(AG$95:AG$105)+SUM(AI$95:AI$105)</f>
        <v>290738.71163355309</v>
      </c>
      <c r="H137" s="106">
        <f>SUM(AK$95:AK$105)+SUM(AM$95:AM$105)+SUM(AO$95:AO$105)+SUM(AQ$95:AQ$105)</f>
        <v>349377.6</v>
      </c>
      <c r="I137" s="106">
        <f>SUM(AS$95:AS$105)+SUM(AU$95:AU$105)+SUM(AW$95:AW$105)+SUM(AY$95:AY$105)</f>
        <v>350377.19999999995</v>
      </c>
      <c r="J137" s="106">
        <f>SUM(BA$95:BA$105)+SUM(BC$95:BC$105)+SUM(BE$95:BE$105)+SUM(BG$95:BG$105)</f>
        <v>302304</v>
      </c>
      <c r="K137" s="106">
        <f>SUM(BI$95:BI$105)+SUM(BK$95:BK$105)+SUM(BM$95:BM$105)+SUM(BO$95:BO$105)</f>
        <v>300419.27701863355</v>
      </c>
      <c r="L137" s="106">
        <f>SUM(BQ$95:BQ$105)+SUM(BS$95:BS$105)+SUM(BU$95:BU$105)+SUM(BW$95:BW$105)</f>
        <v>274530.43636363634</v>
      </c>
      <c r="M137" s="106">
        <f>SUM(BY$95:BY$105)+SUM(CA$95:CA$105)+SUM(CC$95:CC$105)+SUM(CE$95:CE$105)</f>
        <v>306584.5493562232</v>
      </c>
      <c r="N137" s="106">
        <f>SUM(CG$95:CG$105)+SUM(CI$95:CI$105)+SUM(CK$95:CK$105)+SUM(CM$95:CM$105)</f>
        <v>298028.77032426395</v>
      </c>
      <c r="O137" s="106">
        <f>SUM(CO$95:CO$105)+SUM(CQ$95:CQ$105)+SUM(CS$95:CS$105)+SUM(CU$95:CU$105)</f>
        <v>215433.7127137318</v>
      </c>
    </row>
    <row r="138" spans="2:15">
      <c r="C138" s="105" t="s">
        <v>278</v>
      </c>
      <c r="D138" s="100">
        <f t="shared" ref="D138:O138" si="2">SUM(D$131:D$137)</f>
        <v>2832528.6278122696</v>
      </c>
      <c r="E138" s="100">
        <f t="shared" si="2"/>
        <v>2592748.3579182927</v>
      </c>
      <c r="F138" s="100">
        <f t="shared" si="2"/>
        <v>2676080.201964688</v>
      </c>
      <c r="G138" s="100">
        <f t="shared" si="2"/>
        <v>2737714.0728468653</v>
      </c>
      <c r="H138" s="100">
        <f t="shared" si="2"/>
        <v>2674906.0888815108</v>
      </c>
      <c r="I138" s="100">
        <f t="shared" si="2"/>
        <v>2847501.9993001148</v>
      </c>
      <c r="J138" s="100">
        <f t="shared" si="2"/>
        <v>2607949.9603669737</v>
      </c>
      <c r="K138" s="100">
        <f t="shared" si="2"/>
        <v>2437703.0345580541</v>
      </c>
      <c r="L138" s="100">
        <f t="shared" si="2"/>
        <v>2428860.5457828157</v>
      </c>
      <c r="M138" s="100">
        <f t="shared" si="2"/>
        <v>2237898.8775433511</v>
      </c>
      <c r="N138" s="100">
        <f t="shared" si="2"/>
        <v>2871433.9845145894</v>
      </c>
      <c r="O138" s="100">
        <f t="shared" si="2"/>
        <v>2504220.0888299425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4</v>
      </c>
      <c r="G6" s="100">
        <v>2313.6</v>
      </c>
      <c r="H6" s="100">
        <v>8</v>
      </c>
      <c r="I6" s="100">
        <v>4627.2</v>
      </c>
      <c r="J6" s="100">
        <v>5</v>
      </c>
      <c r="K6" s="100">
        <v>2892</v>
      </c>
      <c r="L6" s="100">
        <v>7</v>
      </c>
      <c r="M6" s="100">
        <v>4048.7999999999997</v>
      </c>
      <c r="N6" s="100">
        <v>5.6791284398777071</v>
      </c>
      <c r="O6" s="100">
        <v>3284.8078896252655</v>
      </c>
      <c r="P6" s="100">
        <v>1.3851835690090299</v>
      </c>
      <c r="Q6" s="100">
        <v>801.19017631482291</v>
      </c>
      <c r="R6" s="100">
        <v>7.0475454789182388</v>
      </c>
      <c r="S6" s="100">
        <v>4076.3003050063094</v>
      </c>
      <c r="T6" s="100">
        <v>5.4378041482749655</v>
      </c>
      <c r="U6" s="100">
        <v>3145.2259193622399</v>
      </c>
      <c r="V6" s="100">
        <v>6</v>
      </c>
      <c r="W6" s="100">
        <v>3470.3999999999996</v>
      </c>
      <c r="X6" s="100">
        <v>9.1042308124712186</v>
      </c>
      <c r="Y6" s="100">
        <v>5265.8871019333528</v>
      </c>
      <c r="Z6" s="100">
        <v>7</v>
      </c>
      <c r="AA6" s="100">
        <v>4048.7999999999997</v>
      </c>
      <c r="AB6" s="100">
        <v>5</v>
      </c>
      <c r="AC6" s="100">
        <v>2892</v>
      </c>
      <c r="AD6" s="100">
        <v>5.6513808012091182</v>
      </c>
      <c r="AE6" s="100">
        <v>3268.758655419354</v>
      </c>
      <c r="AF6" s="100">
        <v>7.0853792077442703</v>
      </c>
      <c r="AG6" s="100">
        <v>4098.1833337592861</v>
      </c>
      <c r="AH6" s="100">
        <v>3.1897137247722367</v>
      </c>
      <c r="AI6" s="100">
        <v>1844.9304184082616</v>
      </c>
      <c r="AJ6" s="100">
        <v>9</v>
      </c>
      <c r="AK6" s="100">
        <v>5205.5999999999995</v>
      </c>
      <c r="AL6" s="100">
        <v>9.4471903620411943</v>
      </c>
      <c r="AM6" s="100">
        <v>5464.2549054046267</v>
      </c>
      <c r="AN6" s="100">
        <v>2.0219265717391122</v>
      </c>
      <c r="AO6" s="100">
        <v>1169.4823290939025</v>
      </c>
      <c r="AP6" s="100">
        <v>7</v>
      </c>
      <c r="AQ6" s="100">
        <v>4048.7999999999997</v>
      </c>
      <c r="AR6" s="100">
        <v>6</v>
      </c>
      <c r="AS6" s="100">
        <v>3470.3999999999996</v>
      </c>
      <c r="AT6" s="100">
        <v>8</v>
      </c>
      <c r="AU6" s="100">
        <v>4627.2</v>
      </c>
      <c r="AV6" s="100">
        <v>8.9449357782400583</v>
      </c>
      <c r="AW6" s="100">
        <v>5173.7508541340494</v>
      </c>
      <c r="AX6" s="100">
        <v>3.3653355534223546</v>
      </c>
      <c r="AY6" s="100">
        <v>1946.5100840994899</v>
      </c>
      <c r="AZ6" s="100">
        <v>4.9898898360246262</v>
      </c>
      <c r="BA6" s="100">
        <v>2886.1522811566438</v>
      </c>
      <c r="BB6" s="100">
        <v>1.83447677416483</v>
      </c>
      <c r="BC6" s="100">
        <v>1061.0613661769376</v>
      </c>
      <c r="BD6" s="100">
        <v>7</v>
      </c>
      <c r="BE6" s="100">
        <v>4048.7999999999997</v>
      </c>
      <c r="BF6" s="100">
        <v>6</v>
      </c>
      <c r="BG6" s="100">
        <v>3470.3999999999996</v>
      </c>
      <c r="BH6" s="100">
        <v>10.388556896034853</v>
      </c>
      <c r="BI6" s="100">
        <v>6008.7413086665583</v>
      </c>
      <c r="BJ6" s="100">
        <v>2.1137317268418681</v>
      </c>
      <c r="BK6" s="100">
        <v>1222.5824308053363</v>
      </c>
      <c r="BL6" s="100">
        <v>6</v>
      </c>
      <c r="BM6" s="100">
        <v>3470.3999999999996</v>
      </c>
      <c r="BN6" s="100">
        <v>6</v>
      </c>
      <c r="BO6" s="100">
        <v>3470.3999999999996</v>
      </c>
      <c r="BP6" s="100">
        <v>7</v>
      </c>
      <c r="BQ6" s="100">
        <v>4048.7999999999997</v>
      </c>
      <c r="BR6" s="100">
        <v>7.2163558655820541</v>
      </c>
      <c r="BS6" s="100">
        <v>4173.9402326526597</v>
      </c>
      <c r="BT6" s="100">
        <v>0.80113127638732762</v>
      </c>
      <c r="BU6" s="100">
        <v>463.37433026243025</v>
      </c>
      <c r="BV6" s="100">
        <v>4.8443119676895465</v>
      </c>
      <c r="BW6" s="100">
        <v>2801.9500421116336</v>
      </c>
      <c r="BX6" s="100">
        <v>7</v>
      </c>
      <c r="BY6" s="100">
        <v>4048.7999999999997</v>
      </c>
      <c r="BZ6" s="100">
        <v>7</v>
      </c>
      <c r="CA6" s="100">
        <v>4048.7999999999997</v>
      </c>
      <c r="CB6" s="100">
        <v>7.326404474295483</v>
      </c>
      <c r="CC6" s="100">
        <v>4237.5923479325074</v>
      </c>
      <c r="CD6" s="100">
        <v>3.605984397677906</v>
      </c>
      <c r="CE6" s="100">
        <v>2085.7013756169008</v>
      </c>
      <c r="CF6" s="100">
        <v>4.4336100897423067E-4</v>
      </c>
      <c r="CG6" s="100">
        <v>0.25644000759069502</v>
      </c>
      <c r="CH6" s="100">
        <v>9</v>
      </c>
      <c r="CI6" s="100">
        <v>5205.5999999999995</v>
      </c>
      <c r="CJ6" s="100">
        <v>9</v>
      </c>
      <c r="CK6" s="100">
        <v>5205.5999999999995</v>
      </c>
      <c r="CL6" s="100">
        <v>7</v>
      </c>
      <c r="CM6" s="100">
        <v>4048.7999999999997</v>
      </c>
      <c r="CN6" s="100">
        <v>7</v>
      </c>
      <c r="CO6" s="100">
        <v>4048.7999999999997</v>
      </c>
      <c r="CP6" s="100">
        <v>10</v>
      </c>
      <c r="CQ6" s="100">
        <v>5784</v>
      </c>
      <c r="CR6" s="100">
        <v>7</v>
      </c>
      <c r="CS6" s="100">
        <v>4048.7999999999997</v>
      </c>
      <c r="CT6" s="100">
        <v>8.1087265351760927</v>
      </c>
      <c r="CU6" s="100">
        <v>4690.0874279458521</v>
      </c>
    </row>
    <row r="7" spans="1:99">
      <c r="C7" s="99" t="s">
        <v>173</v>
      </c>
      <c r="D7" s="100">
        <v>6</v>
      </c>
      <c r="E7" s="100">
        <v>4730.3999999999996</v>
      </c>
      <c r="F7" s="100">
        <v>4</v>
      </c>
      <c r="G7" s="100">
        <v>3153.6</v>
      </c>
      <c r="H7" s="100">
        <v>9</v>
      </c>
      <c r="I7" s="100">
        <v>7095.5999999999995</v>
      </c>
      <c r="J7" s="100">
        <v>6</v>
      </c>
      <c r="K7" s="100">
        <v>4730.3999999999996</v>
      </c>
      <c r="L7" s="100">
        <v>7</v>
      </c>
      <c r="M7" s="100">
        <v>5518.8</v>
      </c>
      <c r="N7" s="100">
        <v>5.6791284398777071</v>
      </c>
      <c r="O7" s="100">
        <v>4477.4248619995842</v>
      </c>
      <c r="P7" s="100">
        <v>1.3851835690090299</v>
      </c>
      <c r="Q7" s="100">
        <v>1092.0787258067191</v>
      </c>
      <c r="R7" s="100">
        <v>8.0356591091886784</v>
      </c>
      <c r="S7" s="100">
        <v>6335.3136416843536</v>
      </c>
      <c r="T7" s="100">
        <v>4.5315034568958046</v>
      </c>
      <c r="U7" s="100">
        <v>3572.6373254166524</v>
      </c>
      <c r="V7" s="100">
        <v>7</v>
      </c>
      <c r="W7" s="100">
        <v>5518.8</v>
      </c>
      <c r="X7" s="100">
        <v>8.1340110446058524</v>
      </c>
      <c r="Y7" s="100">
        <v>6412.8543075672542</v>
      </c>
      <c r="Z7" s="100">
        <v>9</v>
      </c>
      <c r="AA7" s="100">
        <v>7095.5999999999995</v>
      </c>
      <c r="AB7" s="100">
        <v>5</v>
      </c>
      <c r="AC7" s="100">
        <v>3942</v>
      </c>
      <c r="AD7" s="100">
        <v>6.5932776014106382</v>
      </c>
      <c r="AE7" s="100">
        <v>5198.140060952147</v>
      </c>
      <c r="AF7" s="100">
        <v>6.0758926291060185</v>
      </c>
      <c r="AG7" s="100">
        <v>4790.2337487871846</v>
      </c>
      <c r="AH7" s="100">
        <v>3.1897137247722367</v>
      </c>
      <c r="AI7" s="100">
        <v>2514.7703006104311</v>
      </c>
      <c r="AJ7" s="100">
        <v>8</v>
      </c>
      <c r="AK7" s="100">
        <v>6307.2</v>
      </c>
      <c r="AL7" s="100">
        <v>7.4471903620411943</v>
      </c>
      <c r="AM7" s="100">
        <v>5871.3648814332773</v>
      </c>
      <c r="AN7" s="100">
        <v>2.0219265717391122</v>
      </c>
      <c r="AO7" s="100">
        <v>1594.086909159116</v>
      </c>
      <c r="AP7" s="100">
        <v>7</v>
      </c>
      <c r="AQ7" s="100">
        <v>5518.8</v>
      </c>
      <c r="AR7" s="100">
        <v>7</v>
      </c>
      <c r="AS7" s="100">
        <v>5518.8</v>
      </c>
      <c r="AT7" s="100">
        <v>9</v>
      </c>
      <c r="AU7" s="100">
        <v>7095.5999999999995</v>
      </c>
      <c r="AV7" s="100">
        <v>8.9449357782400583</v>
      </c>
      <c r="AW7" s="100">
        <v>7052.187367564462</v>
      </c>
      <c r="AX7" s="100">
        <v>3.3653355534223546</v>
      </c>
      <c r="AY7" s="100">
        <v>2653.2305503181842</v>
      </c>
      <c r="AZ7" s="100">
        <v>4.9586754946690581</v>
      </c>
      <c r="BA7" s="100">
        <v>3909.4197599970853</v>
      </c>
      <c r="BB7" s="100">
        <v>1.83447677416483</v>
      </c>
      <c r="BC7" s="100">
        <v>1446.3014887515519</v>
      </c>
      <c r="BD7" s="100">
        <v>7</v>
      </c>
      <c r="BE7" s="100">
        <v>5518.8</v>
      </c>
      <c r="BF7" s="100">
        <v>6</v>
      </c>
      <c r="BG7" s="100">
        <v>4730.3999999999996</v>
      </c>
      <c r="BH7" s="100">
        <v>9.4371265080392099</v>
      </c>
      <c r="BI7" s="100">
        <v>7440.2305389381127</v>
      </c>
      <c r="BJ7" s="100">
        <v>2.1137317268418681</v>
      </c>
      <c r="BK7" s="100">
        <v>1666.4660934421288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7</v>
      </c>
      <c r="BQ7" s="100">
        <v>5518.8</v>
      </c>
      <c r="BR7" s="100">
        <v>7.2379914521402595</v>
      </c>
      <c r="BS7" s="100">
        <v>5706.4324608673805</v>
      </c>
      <c r="BT7" s="100">
        <v>0.79629628481264703</v>
      </c>
      <c r="BU7" s="100">
        <v>627.7999909462909</v>
      </c>
      <c r="BV7" s="100">
        <v>5.6516972956378044</v>
      </c>
      <c r="BW7" s="100">
        <v>4455.7981478808451</v>
      </c>
      <c r="BX7" s="100">
        <v>7</v>
      </c>
      <c r="BY7" s="100">
        <v>5518.8</v>
      </c>
      <c r="BZ7" s="100">
        <v>7</v>
      </c>
      <c r="CA7" s="100">
        <v>5518.8</v>
      </c>
      <c r="CB7" s="100">
        <v>6.326404474295483</v>
      </c>
      <c r="CC7" s="100">
        <v>4987.7372875345591</v>
      </c>
      <c r="CD7" s="100">
        <v>3.605984397677906</v>
      </c>
      <c r="CE7" s="100">
        <v>2842.958099129261</v>
      </c>
      <c r="CF7" s="100">
        <v>5.0669829597054937E-4</v>
      </c>
      <c r="CG7" s="100">
        <v>0.39948093654318112</v>
      </c>
      <c r="CH7" s="100">
        <v>10</v>
      </c>
      <c r="CI7" s="100">
        <v>7884</v>
      </c>
      <c r="CJ7" s="100">
        <v>8</v>
      </c>
      <c r="CK7" s="100">
        <v>6307.2</v>
      </c>
      <c r="CL7" s="100">
        <v>7</v>
      </c>
      <c r="CM7" s="100">
        <v>5518.8</v>
      </c>
      <c r="CN7" s="100">
        <v>7</v>
      </c>
      <c r="CO7" s="100">
        <v>5518.8</v>
      </c>
      <c r="CP7" s="100">
        <v>12</v>
      </c>
      <c r="CQ7" s="100">
        <v>9460.7999999999993</v>
      </c>
      <c r="CR7" s="100">
        <v>8</v>
      </c>
      <c r="CS7" s="100">
        <v>6307.2</v>
      </c>
      <c r="CT7" s="100">
        <v>8.0857536319203369</v>
      </c>
      <c r="CU7" s="100">
        <v>6374.8081634059936</v>
      </c>
    </row>
    <row r="8" spans="1:99">
      <c r="C8" s="99" t="s">
        <v>174</v>
      </c>
      <c r="D8" s="100">
        <v>7</v>
      </c>
      <c r="E8" s="100">
        <v>2167.1999999999998</v>
      </c>
      <c r="F8" s="100">
        <v>5</v>
      </c>
      <c r="G8" s="100">
        <v>1547.9999999999998</v>
      </c>
      <c r="H8" s="100">
        <v>8</v>
      </c>
      <c r="I8" s="100">
        <v>2476.7999999999997</v>
      </c>
      <c r="J8" s="100">
        <v>6</v>
      </c>
      <c r="K8" s="100">
        <v>1857.6</v>
      </c>
      <c r="L8" s="100">
        <v>8</v>
      </c>
      <c r="M8" s="100">
        <v>2476.7999999999997</v>
      </c>
      <c r="N8" s="100">
        <v>5.6791284398777071</v>
      </c>
      <c r="O8" s="100">
        <v>1758.2581649861379</v>
      </c>
      <c r="P8" s="100">
        <v>1.3851835690090299</v>
      </c>
      <c r="Q8" s="100">
        <v>428.8528329651956</v>
      </c>
      <c r="R8" s="100">
        <v>8.0356591091886784</v>
      </c>
      <c r="S8" s="100">
        <v>2487.8400602048146</v>
      </c>
      <c r="T8" s="100">
        <v>5.4378041482749655</v>
      </c>
      <c r="U8" s="100">
        <v>1683.5441643059291</v>
      </c>
      <c r="V8" s="100">
        <v>7</v>
      </c>
      <c r="W8" s="100">
        <v>2167.1999999999998</v>
      </c>
      <c r="X8" s="100">
        <v>10.104230812471219</v>
      </c>
      <c r="Y8" s="100">
        <v>3128.2698595410889</v>
      </c>
      <c r="Z8" s="100">
        <v>9</v>
      </c>
      <c r="AA8" s="100">
        <v>2786.3999999999996</v>
      </c>
      <c r="AB8" s="100">
        <v>5</v>
      </c>
      <c r="AC8" s="100">
        <v>1547.9999999999998</v>
      </c>
      <c r="AD8" s="100">
        <v>6.5932776014106382</v>
      </c>
      <c r="AE8" s="100">
        <v>2041.2787453967335</v>
      </c>
      <c r="AF8" s="100">
        <v>6.0853792077442703</v>
      </c>
      <c r="AG8" s="100">
        <v>1884.0334027176259</v>
      </c>
      <c r="AH8" s="100">
        <v>3.1897137247722367</v>
      </c>
      <c r="AI8" s="100">
        <v>987.53536918948441</v>
      </c>
      <c r="AJ8" s="100">
        <v>9</v>
      </c>
      <c r="AK8" s="100">
        <v>2786.3999999999996</v>
      </c>
      <c r="AL8" s="100">
        <v>8.4968781800457709</v>
      </c>
      <c r="AM8" s="100">
        <v>2630.6334845421702</v>
      </c>
      <c r="AN8" s="100">
        <v>2.426311886086935</v>
      </c>
      <c r="AO8" s="100">
        <v>751.18615993251501</v>
      </c>
      <c r="AP8" s="100">
        <v>6</v>
      </c>
      <c r="AQ8" s="100">
        <v>1857.6</v>
      </c>
      <c r="AR8" s="100">
        <v>7</v>
      </c>
      <c r="AS8" s="100">
        <v>2167.1999999999998</v>
      </c>
      <c r="AT8" s="100">
        <v>8</v>
      </c>
      <c r="AU8" s="100">
        <v>2476.7999999999997</v>
      </c>
      <c r="AV8" s="100">
        <v>7.9510540251022723</v>
      </c>
      <c r="AW8" s="100">
        <v>2461.6463261716631</v>
      </c>
      <c r="AX8" s="100">
        <v>4.0384026641068251</v>
      </c>
      <c r="AY8" s="100">
        <v>1250.289464807473</v>
      </c>
      <c r="AZ8" s="100">
        <v>5.6492209417043124</v>
      </c>
      <c r="BA8" s="100">
        <v>1748.9988035516549</v>
      </c>
      <c r="BB8" s="100">
        <v>2.0637863709354338</v>
      </c>
      <c r="BC8" s="100">
        <v>638.94826044161027</v>
      </c>
      <c r="BD8" s="100">
        <v>7</v>
      </c>
      <c r="BE8" s="100">
        <v>2167.1999999999998</v>
      </c>
      <c r="BF8" s="100">
        <v>7</v>
      </c>
      <c r="BG8" s="100">
        <v>2167.1999999999998</v>
      </c>
      <c r="BH8" s="100">
        <v>10.388556896034853</v>
      </c>
      <c r="BI8" s="100">
        <v>3216.2972150123901</v>
      </c>
      <c r="BJ8" s="100">
        <v>1.8495152609866345</v>
      </c>
      <c r="BK8" s="100">
        <v>572.60992480146194</v>
      </c>
      <c r="BL8" s="100">
        <v>6</v>
      </c>
      <c r="BM8" s="100">
        <v>1857.6</v>
      </c>
      <c r="BN8" s="100">
        <v>6</v>
      </c>
      <c r="BO8" s="100">
        <v>1857.6</v>
      </c>
      <c r="BP8" s="100">
        <v>6</v>
      </c>
      <c r="BQ8" s="100">
        <v>1857.6</v>
      </c>
      <c r="BR8" s="100">
        <v>8.2163558655820541</v>
      </c>
      <c r="BS8" s="100">
        <v>2543.7837759842037</v>
      </c>
      <c r="BT8" s="100">
        <v>0.80113127638732762</v>
      </c>
      <c r="BU8" s="100">
        <v>248.03024316951661</v>
      </c>
      <c r="BV8" s="100">
        <v>5.6516972956378044</v>
      </c>
      <c r="BW8" s="100">
        <v>1749.7654827294641</v>
      </c>
      <c r="BX8" s="100">
        <v>6</v>
      </c>
      <c r="BY8" s="100">
        <v>1857.6</v>
      </c>
      <c r="BZ8" s="100">
        <v>7</v>
      </c>
      <c r="CA8" s="100">
        <v>2167.1999999999998</v>
      </c>
      <c r="CB8" s="100">
        <v>6.3730336849091236</v>
      </c>
      <c r="CC8" s="100">
        <v>1973.0912288478644</v>
      </c>
      <c r="CD8" s="100">
        <v>4.3271812772134872</v>
      </c>
      <c r="CE8" s="100">
        <v>1339.6953234252956</v>
      </c>
      <c r="CF8" s="100">
        <v>4.4336100897423067E-4</v>
      </c>
      <c r="CG8" s="100">
        <v>0.1372645683784218</v>
      </c>
      <c r="CH8" s="100">
        <v>9</v>
      </c>
      <c r="CI8" s="100">
        <v>2786.3999999999996</v>
      </c>
      <c r="CJ8" s="100">
        <v>9</v>
      </c>
      <c r="CK8" s="100">
        <v>2786.3999999999996</v>
      </c>
      <c r="CL8" s="100">
        <v>8</v>
      </c>
      <c r="CM8" s="100">
        <v>2476.7999999999997</v>
      </c>
      <c r="CN8" s="100">
        <v>7</v>
      </c>
      <c r="CO8" s="100">
        <v>2167.1999999999998</v>
      </c>
      <c r="CP8" s="100">
        <v>11</v>
      </c>
      <c r="CQ8" s="100">
        <v>3405.5999999999995</v>
      </c>
      <c r="CR8" s="100">
        <v>8</v>
      </c>
      <c r="CS8" s="100">
        <v>2476.7999999999997</v>
      </c>
      <c r="CT8" s="100">
        <v>8.1087265351760927</v>
      </c>
      <c r="CU8" s="100">
        <v>2510.4617352905179</v>
      </c>
    </row>
    <row r="9" spans="1:99">
      <c r="C9" s="99" t="s">
        <v>175</v>
      </c>
      <c r="D9" s="100">
        <v>7</v>
      </c>
      <c r="E9" s="100">
        <v>4914</v>
      </c>
      <c r="F9" s="100">
        <v>4</v>
      </c>
      <c r="G9" s="100">
        <v>2808</v>
      </c>
      <c r="H9" s="100">
        <v>8</v>
      </c>
      <c r="I9" s="100">
        <v>5616</v>
      </c>
      <c r="J9" s="100">
        <v>6</v>
      </c>
      <c r="K9" s="100">
        <v>4212</v>
      </c>
      <c r="L9" s="100">
        <v>7</v>
      </c>
      <c r="M9" s="100">
        <v>4914</v>
      </c>
      <c r="N9" s="100">
        <v>5.6791284398777071</v>
      </c>
      <c r="O9" s="100">
        <v>3986.7481647941504</v>
      </c>
      <c r="P9" s="100">
        <v>1.3851835690090299</v>
      </c>
      <c r="Q9" s="100">
        <v>972.39886544433898</v>
      </c>
      <c r="R9" s="100">
        <v>7.0416022940534591</v>
      </c>
      <c r="S9" s="100">
        <v>4943.2048104255282</v>
      </c>
      <c r="T9" s="100">
        <v>5.4378041482749655</v>
      </c>
      <c r="U9" s="100">
        <v>3817.3385120890257</v>
      </c>
      <c r="V9" s="100">
        <v>7</v>
      </c>
      <c r="W9" s="100">
        <v>4914</v>
      </c>
      <c r="X9" s="100">
        <v>9.1042308124712186</v>
      </c>
      <c r="Y9" s="100">
        <v>6391.170030354795</v>
      </c>
      <c r="Z9" s="100">
        <v>8</v>
      </c>
      <c r="AA9" s="100">
        <v>5616</v>
      </c>
      <c r="AB9" s="100">
        <v>5</v>
      </c>
      <c r="AC9" s="100">
        <v>3510</v>
      </c>
      <c r="AD9" s="100">
        <v>5.6513808012091182</v>
      </c>
      <c r="AE9" s="100">
        <v>3967.2693224488012</v>
      </c>
      <c r="AF9" s="100">
        <v>7.0948657863825231</v>
      </c>
      <c r="AG9" s="100">
        <v>4980.595782040531</v>
      </c>
      <c r="AH9" s="100">
        <v>3.1897137247722367</v>
      </c>
      <c r="AI9" s="100">
        <v>2239.1790347901101</v>
      </c>
      <c r="AJ9" s="100">
        <v>9</v>
      </c>
      <c r="AK9" s="100">
        <v>6318</v>
      </c>
      <c r="AL9" s="100">
        <v>8.4471903620411943</v>
      </c>
      <c r="AM9" s="100">
        <v>5929.9276341529185</v>
      </c>
      <c r="AN9" s="100">
        <v>2.0219265717391122</v>
      </c>
      <c r="AO9" s="100">
        <v>1419.3924533608567</v>
      </c>
      <c r="AP9" s="100">
        <v>6</v>
      </c>
      <c r="AQ9" s="100">
        <v>4212</v>
      </c>
      <c r="AR9" s="100">
        <v>7</v>
      </c>
      <c r="AS9" s="100">
        <v>4914</v>
      </c>
      <c r="AT9" s="100">
        <v>9</v>
      </c>
      <c r="AU9" s="100">
        <v>6318</v>
      </c>
      <c r="AV9" s="100">
        <v>7.9510540251022723</v>
      </c>
      <c r="AW9" s="100">
        <v>5581.6399256217956</v>
      </c>
      <c r="AX9" s="100">
        <v>4.0384026641068251</v>
      </c>
      <c r="AY9" s="100">
        <v>2834.9586702029915</v>
      </c>
      <c r="AZ9" s="100">
        <v>4.9586754946690581</v>
      </c>
      <c r="BA9" s="100">
        <v>3480.9901972576786</v>
      </c>
      <c r="BB9" s="100">
        <v>2.2930959677060376</v>
      </c>
      <c r="BC9" s="100">
        <v>1609.7533693296384</v>
      </c>
      <c r="BD9" s="100">
        <v>7</v>
      </c>
      <c r="BE9" s="100">
        <v>4914</v>
      </c>
      <c r="BF9" s="100">
        <v>7</v>
      </c>
      <c r="BG9" s="100">
        <v>4914</v>
      </c>
      <c r="BH9" s="100">
        <v>9.4371265080392099</v>
      </c>
      <c r="BI9" s="100">
        <v>6624.8628086435256</v>
      </c>
      <c r="BJ9" s="100">
        <v>2.1137317268418681</v>
      </c>
      <c r="BK9" s="100">
        <v>1483.8396722429914</v>
      </c>
      <c r="BL9" s="100">
        <v>6</v>
      </c>
      <c r="BM9" s="100">
        <v>4212</v>
      </c>
      <c r="BN9" s="100">
        <v>6</v>
      </c>
      <c r="BO9" s="100">
        <v>4212</v>
      </c>
      <c r="BP9" s="100">
        <v>7</v>
      </c>
      <c r="BQ9" s="100">
        <v>4914</v>
      </c>
      <c r="BR9" s="100">
        <v>8.2379914521402586</v>
      </c>
      <c r="BS9" s="100">
        <v>5783.0699994024617</v>
      </c>
      <c r="BT9" s="100">
        <v>0.67002689277677974</v>
      </c>
      <c r="BU9" s="100">
        <v>470.35887872929936</v>
      </c>
      <c r="BV9" s="100">
        <v>5.6516972956378044</v>
      </c>
      <c r="BW9" s="100">
        <v>3967.4915015377387</v>
      </c>
      <c r="BX9" s="100">
        <v>6</v>
      </c>
      <c r="BY9" s="100">
        <v>4212</v>
      </c>
      <c r="BZ9" s="100">
        <v>8</v>
      </c>
      <c r="CA9" s="100">
        <v>5616</v>
      </c>
      <c r="CB9" s="100">
        <v>7.326404474295483</v>
      </c>
      <c r="CC9" s="100">
        <v>5143.1359409554289</v>
      </c>
      <c r="CD9" s="100">
        <v>3.605984397677906</v>
      </c>
      <c r="CE9" s="100">
        <v>2531.4010471698898</v>
      </c>
      <c r="CF9" s="100">
        <v>5.0669829597054937E-4</v>
      </c>
      <c r="CG9" s="100">
        <v>0.35570220377132566</v>
      </c>
      <c r="CH9" s="100">
        <v>10</v>
      </c>
      <c r="CI9" s="100">
        <v>7020</v>
      </c>
      <c r="CJ9" s="100">
        <v>9</v>
      </c>
      <c r="CK9" s="100">
        <v>6318</v>
      </c>
      <c r="CL9" s="100">
        <v>7</v>
      </c>
      <c r="CM9" s="100">
        <v>4914</v>
      </c>
      <c r="CN9" s="100">
        <v>7</v>
      </c>
      <c r="CO9" s="100">
        <v>4914</v>
      </c>
      <c r="CP9" s="100">
        <v>11</v>
      </c>
      <c r="CQ9" s="100">
        <v>7722</v>
      </c>
      <c r="CR9" s="100">
        <v>8</v>
      </c>
      <c r="CS9" s="100">
        <v>5616</v>
      </c>
      <c r="CT9" s="100">
        <v>7.4154269381938018</v>
      </c>
      <c r="CU9" s="100">
        <v>5205.6297106120492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4</v>
      </c>
      <c r="G10" s="100">
        <v>2179.1999999999998</v>
      </c>
      <c r="H10" s="100">
        <v>9</v>
      </c>
      <c r="I10" s="100">
        <v>4903.2</v>
      </c>
      <c r="J10" s="100">
        <v>5</v>
      </c>
      <c r="K10" s="100">
        <v>2724</v>
      </c>
      <c r="L10" s="100">
        <v>7</v>
      </c>
      <c r="M10" s="100">
        <v>3813.5999999999995</v>
      </c>
      <c r="N10" s="100">
        <v>5.6791284398777071</v>
      </c>
      <c r="O10" s="100">
        <v>3093.9891740453745</v>
      </c>
      <c r="P10" s="100">
        <v>1.3851835690090299</v>
      </c>
      <c r="Q10" s="100">
        <v>754.64800839611951</v>
      </c>
      <c r="R10" s="100">
        <v>7.0416022940534591</v>
      </c>
      <c r="S10" s="100">
        <v>3836.2649298003244</v>
      </c>
      <c r="T10" s="100">
        <v>5.4378041482749655</v>
      </c>
      <c r="U10" s="100">
        <v>2962.5156999802011</v>
      </c>
      <c r="V10" s="100">
        <v>7</v>
      </c>
      <c r="W10" s="100">
        <v>3813.5999999999995</v>
      </c>
      <c r="X10" s="100">
        <v>9.1340110446058524</v>
      </c>
      <c r="Y10" s="100">
        <v>4976.2092171012682</v>
      </c>
      <c r="Z10" s="100">
        <v>9</v>
      </c>
      <c r="AA10" s="100">
        <v>4903.2</v>
      </c>
      <c r="AB10" s="100">
        <v>5</v>
      </c>
      <c r="AC10" s="100">
        <v>2724</v>
      </c>
      <c r="AD10" s="100">
        <v>6.5932776014106382</v>
      </c>
      <c r="AE10" s="100">
        <v>3592.0176372485153</v>
      </c>
      <c r="AF10" s="100">
        <v>7.0948657863825231</v>
      </c>
      <c r="AG10" s="100">
        <v>3865.2828804211981</v>
      </c>
      <c r="AH10" s="100">
        <v>3.1897137247722367</v>
      </c>
      <c r="AI10" s="100">
        <v>1737.7560372559144</v>
      </c>
      <c r="AJ10" s="100">
        <v>9</v>
      </c>
      <c r="AK10" s="100">
        <v>4903.2</v>
      </c>
      <c r="AL10" s="100">
        <v>9.4471903620411943</v>
      </c>
      <c r="AM10" s="100">
        <v>5146.8293092400427</v>
      </c>
      <c r="AN10" s="100">
        <v>2.0219265717391122</v>
      </c>
      <c r="AO10" s="100">
        <v>1101.5455962834683</v>
      </c>
      <c r="AP10" s="100">
        <v>7</v>
      </c>
      <c r="AQ10" s="100">
        <v>3813.5999999999995</v>
      </c>
      <c r="AR10" s="100">
        <v>6</v>
      </c>
      <c r="AS10" s="100">
        <v>3268.7999999999997</v>
      </c>
      <c r="AT10" s="100">
        <v>8</v>
      </c>
      <c r="AU10" s="100">
        <v>4358.3999999999996</v>
      </c>
      <c r="AV10" s="100">
        <v>7.9510540251022723</v>
      </c>
      <c r="AW10" s="100">
        <v>4331.7342328757177</v>
      </c>
      <c r="AX10" s="100">
        <v>4.0384026641068251</v>
      </c>
      <c r="AY10" s="100">
        <v>2200.1217714053982</v>
      </c>
      <c r="AZ10" s="100">
        <v>4.9898898360246262</v>
      </c>
      <c r="BA10" s="100">
        <v>2718.4919826662162</v>
      </c>
      <c r="BB10" s="100">
        <v>2.0637863709354338</v>
      </c>
      <c r="BC10" s="100">
        <v>1124.3508148856242</v>
      </c>
      <c r="BD10" s="100">
        <v>7</v>
      </c>
      <c r="BE10" s="100">
        <v>3813.5999999999995</v>
      </c>
      <c r="BF10" s="100">
        <v>7</v>
      </c>
      <c r="BG10" s="100">
        <v>3813.5999999999995</v>
      </c>
      <c r="BH10" s="100">
        <v>9.3885568960348529</v>
      </c>
      <c r="BI10" s="100">
        <v>5114.8857969597875</v>
      </c>
      <c r="BJ10" s="100">
        <v>1.8495152609866345</v>
      </c>
      <c r="BK10" s="100">
        <v>1007.6159141855184</v>
      </c>
      <c r="BL10" s="100">
        <v>6</v>
      </c>
      <c r="BM10" s="100">
        <v>3268.7999999999997</v>
      </c>
      <c r="BN10" s="100">
        <v>7</v>
      </c>
      <c r="BO10" s="100">
        <v>3813.5999999999995</v>
      </c>
      <c r="BP10" s="100">
        <v>7</v>
      </c>
      <c r="BQ10" s="100">
        <v>3813.5999999999995</v>
      </c>
      <c r="BR10" s="100">
        <v>8.2379914521402586</v>
      </c>
      <c r="BS10" s="100">
        <v>4488.0577431260126</v>
      </c>
      <c r="BT10" s="100">
        <v>0.80596626796200788</v>
      </c>
      <c r="BU10" s="100">
        <v>439.09042278570183</v>
      </c>
      <c r="BV10" s="100">
        <v>4.8443119676895465</v>
      </c>
      <c r="BW10" s="100">
        <v>2639.1811599972648</v>
      </c>
      <c r="BX10" s="100">
        <v>6</v>
      </c>
      <c r="BY10" s="100">
        <v>3268.7999999999997</v>
      </c>
      <c r="BZ10" s="100">
        <v>7</v>
      </c>
      <c r="CA10" s="100">
        <v>3813.5999999999995</v>
      </c>
      <c r="CB10" s="100">
        <v>7.3730336849091236</v>
      </c>
      <c r="CC10" s="100">
        <v>4016.82875153849</v>
      </c>
      <c r="CD10" s="100">
        <v>3.605984397677906</v>
      </c>
      <c r="CE10" s="100">
        <v>1964.540299854923</v>
      </c>
      <c r="CF10" s="100">
        <v>5.0669829597054937E-4</v>
      </c>
      <c r="CG10" s="100">
        <v>0.27604923164475526</v>
      </c>
      <c r="CH10" s="100">
        <v>9</v>
      </c>
      <c r="CI10" s="100">
        <v>4903.2</v>
      </c>
      <c r="CJ10" s="100">
        <v>10</v>
      </c>
      <c r="CK10" s="100">
        <v>5448</v>
      </c>
      <c r="CL10" s="100">
        <v>6</v>
      </c>
      <c r="CM10" s="100">
        <v>3268.7999999999997</v>
      </c>
      <c r="CN10" s="100">
        <v>7</v>
      </c>
      <c r="CO10" s="100">
        <v>3813.5999999999995</v>
      </c>
      <c r="CP10" s="100">
        <v>12</v>
      </c>
      <c r="CQ10" s="100">
        <v>6537.5999999999995</v>
      </c>
      <c r="CR10" s="100">
        <v>8</v>
      </c>
      <c r="CS10" s="100">
        <v>4358.3999999999996</v>
      </c>
      <c r="CT10" s="100">
        <v>8.824999035414141</v>
      </c>
      <c r="CU10" s="100">
        <v>4807.8594744936236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5</v>
      </c>
      <c r="G11" s="100">
        <v>2664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7</v>
      </c>
      <c r="M11" s="100">
        <v>3729.5999999999995</v>
      </c>
      <c r="N11" s="100">
        <v>5.6465234111128684</v>
      </c>
      <c r="O11" s="100">
        <v>3008.4676734409359</v>
      </c>
      <c r="P11" s="100">
        <v>1.3851835690090299</v>
      </c>
      <c r="Q11" s="100">
        <v>738.02580556801104</v>
      </c>
      <c r="R11" s="100">
        <v>7.0416022940534591</v>
      </c>
      <c r="S11" s="100">
        <v>3751.7657022716826</v>
      </c>
      <c r="T11" s="100">
        <v>5.4378041482749655</v>
      </c>
      <c r="U11" s="100">
        <v>2897.2620502009013</v>
      </c>
      <c r="V11" s="100">
        <v>6</v>
      </c>
      <c r="W11" s="100">
        <v>3196.7999999999997</v>
      </c>
      <c r="X11" s="100">
        <v>9.1340110446058524</v>
      </c>
      <c r="Y11" s="100">
        <v>4866.6010845659976</v>
      </c>
      <c r="Z11" s="100">
        <v>8</v>
      </c>
      <c r="AA11" s="100">
        <v>4262.3999999999996</v>
      </c>
      <c r="AB11" s="100">
        <v>5</v>
      </c>
      <c r="AC11" s="100">
        <v>2664</v>
      </c>
      <c r="AD11" s="100">
        <v>6.5932776014106382</v>
      </c>
      <c r="AE11" s="100">
        <v>3512.8983060315877</v>
      </c>
      <c r="AF11" s="100">
        <v>8.0853792077442712</v>
      </c>
      <c r="AG11" s="100">
        <v>4307.8900418861476</v>
      </c>
      <c r="AH11" s="100">
        <v>3.1897137247722367</v>
      </c>
      <c r="AI11" s="100">
        <v>1699.4794725586476</v>
      </c>
      <c r="AJ11" s="100">
        <v>8</v>
      </c>
      <c r="AK11" s="100">
        <v>4262.3999999999996</v>
      </c>
      <c r="AL11" s="100">
        <v>8.4968781800457709</v>
      </c>
      <c r="AM11" s="100">
        <v>4527.1366943283865</v>
      </c>
      <c r="AN11" s="100">
        <v>2.0219265717391122</v>
      </c>
      <c r="AO11" s="100">
        <v>1077.282477422599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8</v>
      </c>
      <c r="AU11" s="100">
        <v>4262.3999999999996</v>
      </c>
      <c r="AV11" s="100">
        <v>7.9510540251022723</v>
      </c>
      <c r="AW11" s="100">
        <v>4236.3215845744908</v>
      </c>
      <c r="AX11" s="100">
        <v>4.0384026641068251</v>
      </c>
      <c r="AY11" s="100">
        <v>2151.6609394361162</v>
      </c>
      <c r="AZ11" s="100">
        <v>4.9898898360246262</v>
      </c>
      <c r="BA11" s="100">
        <v>2658.6133046339205</v>
      </c>
      <c r="BB11" s="100">
        <v>2.0637863709354338</v>
      </c>
      <c r="BC11" s="100">
        <v>1099.585378434399</v>
      </c>
      <c r="BD11" s="100">
        <v>7</v>
      </c>
      <c r="BE11" s="100">
        <v>3729.5999999999995</v>
      </c>
      <c r="BF11" s="100">
        <v>7</v>
      </c>
      <c r="BG11" s="100">
        <v>3729.5999999999995</v>
      </c>
      <c r="BH11" s="100">
        <v>10.43712650803921</v>
      </c>
      <c r="BI11" s="100">
        <v>5560.9010034832909</v>
      </c>
      <c r="BJ11" s="100">
        <v>2.1137317268418681</v>
      </c>
      <c r="BK11" s="100">
        <v>1126.1962640613472</v>
      </c>
      <c r="BL11" s="100">
        <v>6</v>
      </c>
      <c r="BM11" s="100">
        <v>3196.7999999999997</v>
      </c>
      <c r="BN11" s="100">
        <v>6</v>
      </c>
      <c r="BO11" s="100">
        <v>3196.7999999999997</v>
      </c>
      <c r="BP11" s="100">
        <v>7</v>
      </c>
      <c r="BQ11" s="100">
        <v>3729.5999999999995</v>
      </c>
      <c r="BR11" s="100">
        <v>8.2379914521402586</v>
      </c>
      <c r="BS11" s="100">
        <v>4389.2018457003296</v>
      </c>
      <c r="BT11" s="100">
        <v>0.80113127638732762</v>
      </c>
      <c r="BU11" s="100">
        <v>426.84274405916813</v>
      </c>
      <c r="BV11" s="100">
        <v>4.8443119676895465</v>
      </c>
      <c r="BW11" s="100">
        <v>2581.0494163849903</v>
      </c>
      <c r="BX11" s="100">
        <v>7</v>
      </c>
      <c r="BY11" s="100">
        <v>3729.5999999999995</v>
      </c>
      <c r="BZ11" s="100">
        <v>8</v>
      </c>
      <c r="CA11" s="100">
        <v>4262.3999999999996</v>
      </c>
      <c r="CB11" s="100">
        <v>6.3730336849091236</v>
      </c>
      <c r="CC11" s="100">
        <v>3395.5523473195808</v>
      </c>
      <c r="CD11" s="100">
        <v>3.605984397677906</v>
      </c>
      <c r="CE11" s="100">
        <v>1921.2684870827882</v>
      </c>
      <c r="CF11" s="100">
        <v>5.0669829597054937E-4</v>
      </c>
      <c r="CG11" s="100">
        <v>0.26996885209310867</v>
      </c>
      <c r="CH11" s="100">
        <v>9</v>
      </c>
      <c r="CI11" s="100">
        <v>4795.2</v>
      </c>
      <c r="CJ11" s="100">
        <v>10</v>
      </c>
      <c r="CK11" s="100">
        <v>5328</v>
      </c>
      <c r="CL11" s="100">
        <v>7</v>
      </c>
      <c r="CM11" s="100">
        <v>3729.5999999999995</v>
      </c>
      <c r="CN11" s="100">
        <v>7</v>
      </c>
      <c r="CO11" s="100">
        <v>3729.5999999999995</v>
      </c>
      <c r="CP11" s="100">
        <v>11</v>
      </c>
      <c r="CQ11" s="100">
        <v>5860.7999999999993</v>
      </c>
      <c r="CR11" s="100">
        <v>8</v>
      </c>
      <c r="CS11" s="100">
        <v>4262.3999999999996</v>
      </c>
      <c r="CT11" s="100">
        <v>7.3924540349380443</v>
      </c>
      <c r="CU11" s="100">
        <v>3938.6995098149896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4</v>
      </c>
      <c r="G12" s="100">
        <v>2251.1999999999998</v>
      </c>
      <c r="H12" s="100">
        <v>8</v>
      </c>
      <c r="I12" s="100">
        <v>4502.3999999999996</v>
      </c>
      <c r="J12" s="100">
        <v>5</v>
      </c>
      <c r="K12" s="100">
        <v>2814</v>
      </c>
      <c r="L12" s="100">
        <v>7</v>
      </c>
      <c r="M12" s="100">
        <v>3939.5999999999995</v>
      </c>
      <c r="N12" s="100">
        <v>5.6791284398777071</v>
      </c>
      <c r="O12" s="100">
        <v>3196.2134859631733</v>
      </c>
      <c r="P12" s="100">
        <v>1.3851835690090299</v>
      </c>
      <c r="Q12" s="100">
        <v>779.58131263828204</v>
      </c>
      <c r="R12" s="100">
        <v>8.0416022940534582</v>
      </c>
      <c r="S12" s="100">
        <v>4525.8137710932861</v>
      </c>
      <c r="T12" s="100">
        <v>5.4378041482749655</v>
      </c>
      <c r="U12" s="100">
        <v>3060.3961746491505</v>
      </c>
      <c r="V12" s="100">
        <v>7</v>
      </c>
      <c r="W12" s="100">
        <v>3939.5999999999995</v>
      </c>
      <c r="X12" s="100">
        <v>9.1340110446058524</v>
      </c>
      <c r="Y12" s="100">
        <v>5140.6214159041738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6.5932776014106382</v>
      </c>
      <c r="AE12" s="100">
        <v>3710.6966340739068</v>
      </c>
      <c r="AF12" s="100">
        <v>6.0948657863825231</v>
      </c>
      <c r="AG12" s="100">
        <v>3430.1904645760837</v>
      </c>
      <c r="AH12" s="100">
        <v>3.8276564697266839</v>
      </c>
      <c r="AI12" s="100">
        <v>2154.2050611621776</v>
      </c>
      <c r="AJ12" s="100">
        <v>8</v>
      </c>
      <c r="AK12" s="100">
        <v>4502.3999999999996</v>
      </c>
      <c r="AL12" s="100">
        <v>8.4471903620411943</v>
      </c>
      <c r="AM12" s="100">
        <v>4754.0787357567842</v>
      </c>
      <c r="AN12" s="100">
        <v>2.0219265717391122</v>
      </c>
      <c r="AO12" s="100">
        <v>1137.9402745747723</v>
      </c>
      <c r="AP12" s="100">
        <v>6</v>
      </c>
      <c r="AQ12" s="100">
        <v>3376.7999999999997</v>
      </c>
      <c r="AR12" s="100">
        <v>8</v>
      </c>
      <c r="AS12" s="100">
        <v>4502.3999999999996</v>
      </c>
      <c r="AT12" s="100">
        <v>8</v>
      </c>
      <c r="AU12" s="100">
        <v>4502.3999999999996</v>
      </c>
      <c r="AV12" s="100">
        <v>7.9510540251022723</v>
      </c>
      <c r="AW12" s="100">
        <v>4474.8532053275585</v>
      </c>
      <c r="AX12" s="100">
        <v>4.0384026641068251</v>
      </c>
      <c r="AY12" s="100">
        <v>2272.8130193593211</v>
      </c>
      <c r="AZ12" s="100">
        <v>5.6492209417043124</v>
      </c>
      <c r="BA12" s="100">
        <v>3179.3815459911866</v>
      </c>
      <c r="BB12" s="100">
        <v>1.83447677416483</v>
      </c>
      <c r="BC12" s="100">
        <v>1032.4435284999663</v>
      </c>
      <c r="BD12" s="100">
        <v>8</v>
      </c>
      <c r="BE12" s="100">
        <v>4502.3999999999996</v>
      </c>
      <c r="BF12" s="100">
        <v>6</v>
      </c>
      <c r="BG12" s="100">
        <v>3376.7999999999997</v>
      </c>
      <c r="BH12" s="100">
        <v>10.43712650803921</v>
      </c>
      <c r="BI12" s="100">
        <v>5874.0147987244673</v>
      </c>
      <c r="BJ12" s="100">
        <v>1.8495152609866345</v>
      </c>
      <c r="BK12" s="100">
        <v>1040.9071888832777</v>
      </c>
      <c r="BL12" s="100">
        <v>6</v>
      </c>
      <c r="BM12" s="100">
        <v>3376.7999999999997</v>
      </c>
      <c r="BN12" s="100">
        <v>6</v>
      </c>
      <c r="BO12" s="100">
        <v>3376.7999999999997</v>
      </c>
      <c r="BP12" s="100">
        <v>7</v>
      </c>
      <c r="BQ12" s="100">
        <v>3939.5999999999995</v>
      </c>
      <c r="BR12" s="100">
        <v>8.2596270386984649</v>
      </c>
      <c r="BS12" s="100">
        <v>4648.5180973794959</v>
      </c>
      <c r="BT12" s="100">
        <v>0.79629628481264703</v>
      </c>
      <c r="BU12" s="100">
        <v>448.15554909255769</v>
      </c>
      <c r="BV12" s="100">
        <v>5.6516972956378044</v>
      </c>
      <c r="BW12" s="100">
        <v>3180.7752379849562</v>
      </c>
      <c r="BX12" s="100">
        <v>7</v>
      </c>
      <c r="BY12" s="100">
        <v>3939.5999999999995</v>
      </c>
      <c r="BZ12" s="100">
        <v>7</v>
      </c>
      <c r="CA12" s="100">
        <v>3939.5999999999995</v>
      </c>
      <c r="CB12" s="100">
        <v>6.326404474295483</v>
      </c>
      <c r="CC12" s="100">
        <v>3560.5004381334975</v>
      </c>
      <c r="CD12" s="100">
        <v>4.3271812772134872</v>
      </c>
      <c r="CE12" s="100">
        <v>2435.3376228157504</v>
      </c>
      <c r="CF12" s="100">
        <v>5.0669829597054937E-4</v>
      </c>
      <c r="CG12" s="100">
        <v>0.28516980097222516</v>
      </c>
      <c r="CH12" s="100">
        <v>10</v>
      </c>
      <c r="CI12" s="100">
        <v>5628</v>
      </c>
      <c r="CJ12" s="100">
        <v>8</v>
      </c>
      <c r="CK12" s="100">
        <v>4502.3999999999996</v>
      </c>
      <c r="CL12" s="100">
        <v>7</v>
      </c>
      <c r="CM12" s="100">
        <v>3939.5999999999995</v>
      </c>
      <c r="CN12" s="100">
        <v>8</v>
      </c>
      <c r="CO12" s="100">
        <v>4502.3999999999996</v>
      </c>
      <c r="CP12" s="100">
        <v>10</v>
      </c>
      <c r="CQ12" s="100">
        <v>5628</v>
      </c>
      <c r="CR12" s="100">
        <v>7</v>
      </c>
      <c r="CS12" s="100">
        <v>3939.5999999999995</v>
      </c>
      <c r="CT12" s="100">
        <v>7.3694811316822886</v>
      </c>
      <c r="CU12" s="100">
        <v>4147.543980910792</v>
      </c>
    </row>
    <row r="13" spans="1:99">
      <c r="C13" s="99" t="s">
        <v>179</v>
      </c>
      <c r="D13" s="100">
        <v>7</v>
      </c>
      <c r="E13" s="100">
        <v>596.4</v>
      </c>
      <c r="F13" s="100">
        <v>5</v>
      </c>
      <c r="G13" s="100">
        <v>426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8</v>
      </c>
      <c r="M13" s="100">
        <v>681.6</v>
      </c>
      <c r="N13" s="100">
        <v>5.6791284398777071</v>
      </c>
      <c r="O13" s="100">
        <v>483.86174307758068</v>
      </c>
      <c r="P13" s="100">
        <v>1.3851835690090299</v>
      </c>
      <c r="Q13" s="100">
        <v>118.01764007956936</v>
      </c>
      <c r="R13" s="100">
        <v>8.0416022940534582</v>
      </c>
      <c r="S13" s="100">
        <v>685.14451545335464</v>
      </c>
      <c r="T13" s="100">
        <v>5.4378041482749655</v>
      </c>
      <c r="U13" s="100">
        <v>463.30091343302706</v>
      </c>
      <c r="V13" s="100">
        <v>7</v>
      </c>
      <c r="W13" s="100">
        <v>596.4</v>
      </c>
      <c r="X13" s="100">
        <v>9.1340110446058524</v>
      </c>
      <c r="Y13" s="100">
        <v>778.21774100041864</v>
      </c>
      <c r="Z13" s="100">
        <v>9</v>
      </c>
      <c r="AA13" s="100">
        <v>766.80000000000007</v>
      </c>
      <c r="AB13" s="100">
        <v>5</v>
      </c>
      <c r="AC13" s="100">
        <v>426</v>
      </c>
      <c r="AD13" s="100">
        <v>6.5932776014106382</v>
      </c>
      <c r="AE13" s="100">
        <v>561.74725164018639</v>
      </c>
      <c r="AF13" s="100">
        <v>8.0948657863825222</v>
      </c>
      <c r="AG13" s="100">
        <v>689.68256499979088</v>
      </c>
      <c r="AH13" s="100">
        <v>3.1897137247722367</v>
      </c>
      <c r="AI13" s="100">
        <v>271.76360935059455</v>
      </c>
      <c r="AJ13" s="100">
        <v>8</v>
      </c>
      <c r="AK13" s="100">
        <v>681.6</v>
      </c>
      <c r="AL13" s="100">
        <v>8.4471903620411943</v>
      </c>
      <c r="AM13" s="100">
        <v>719.70061884590973</v>
      </c>
      <c r="AN13" s="100">
        <v>2.426311886086935</v>
      </c>
      <c r="AO13" s="100">
        <v>206.72177269460687</v>
      </c>
      <c r="AP13" s="100">
        <v>7</v>
      </c>
      <c r="AQ13" s="100">
        <v>596.4</v>
      </c>
      <c r="AR13" s="100">
        <v>7</v>
      </c>
      <c r="AS13" s="100">
        <v>596.4</v>
      </c>
      <c r="AT13" s="100">
        <v>8</v>
      </c>
      <c r="AU13" s="100">
        <v>681.6</v>
      </c>
      <c r="AV13" s="100">
        <v>7.9510540251022723</v>
      </c>
      <c r="AW13" s="100">
        <v>677.42980293871358</v>
      </c>
      <c r="AX13" s="100">
        <v>4.0384026641068251</v>
      </c>
      <c r="AY13" s="100">
        <v>344.07190698190152</v>
      </c>
      <c r="AZ13" s="100">
        <v>5.6180066003487452</v>
      </c>
      <c r="BA13" s="100">
        <v>478.65416234971309</v>
      </c>
      <c r="BB13" s="100">
        <v>2.0637863709354338</v>
      </c>
      <c r="BC13" s="100">
        <v>175.83459880369898</v>
      </c>
      <c r="BD13" s="100">
        <v>8</v>
      </c>
      <c r="BE13" s="100">
        <v>681.6</v>
      </c>
      <c r="BF13" s="100">
        <v>7</v>
      </c>
      <c r="BG13" s="100">
        <v>596.4</v>
      </c>
      <c r="BH13" s="100">
        <v>10.388556896034853</v>
      </c>
      <c r="BI13" s="100">
        <v>885.10504754216947</v>
      </c>
      <c r="BJ13" s="100">
        <v>1.8495152609866345</v>
      </c>
      <c r="BK13" s="100">
        <v>157.57870023606128</v>
      </c>
      <c r="BL13" s="100">
        <v>6</v>
      </c>
      <c r="BM13" s="100">
        <v>511.20000000000005</v>
      </c>
      <c r="BN13" s="100">
        <v>6</v>
      </c>
      <c r="BO13" s="100">
        <v>511.20000000000005</v>
      </c>
      <c r="BP13" s="100">
        <v>6</v>
      </c>
      <c r="BQ13" s="100">
        <v>511.20000000000005</v>
      </c>
      <c r="BR13" s="100">
        <v>8.2596270386984649</v>
      </c>
      <c r="BS13" s="100">
        <v>703.72022369710919</v>
      </c>
      <c r="BT13" s="100">
        <v>0.67969687592614059</v>
      </c>
      <c r="BU13" s="100">
        <v>57.910173828907183</v>
      </c>
      <c r="BV13" s="100">
        <v>5.6516972956378044</v>
      </c>
      <c r="BW13" s="100">
        <v>481.52460958834098</v>
      </c>
      <c r="BX13" s="100">
        <v>7</v>
      </c>
      <c r="BY13" s="100">
        <v>596.4</v>
      </c>
      <c r="BZ13" s="100">
        <v>7</v>
      </c>
      <c r="CA13" s="100">
        <v>596.4</v>
      </c>
      <c r="CB13" s="100">
        <v>6.326404474295483</v>
      </c>
      <c r="CC13" s="100">
        <v>539.00966120997521</v>
      </c>
      <c r="CD13" s="100">
        <v>4.3271812772134872</v>
      </c>
      <c r="CE13" s="100">
        <v>368.6758448185891</v>
      </c>
      <c r="CF13" s="100">
        <v>5.7003558296686802E-4</v>
      </c>
      <c r="CG13" s="100">
        <v>4.8567031668777155E-2</v>
      </c>
      <c r="CH13" s="100">
        <v>9</v>
      </c>
      <c r="CI13" s="100">
        <v>766.80000000000007</v>
      </c>
      <c r="CJ13" s="100">
        <v>8</v>
      </c>
      <c r="CK13" s="100">
        <v>681.6</v>
      </c>
      <c r="CL13" s="100">
        <v>7</v>
      </c>
      <c r="CM13" s="100">
        <v>596.4</v>
      </c>
      <c r="CN13" s="100">
        <v>8</v>
      </c>
      <c r="CO13" s="100">
        <v>681.6</v>
      </c>
      <c r="CP13" s="100">
        <v>12</v>
      </c>
      <c r="CQ13" s="100">
        <v>1022.4000000000001</v>
      </c>
      <c r="CR13" s="100">
        <v>8</v>
      </c>
      <c r="CS13" s="100">
        <v>681.6</v>
      </c>
      <c r="CT13" s="100">
        <v>8.1316994384318502</v>
      </c>
      <c r="CU13" s="100">
        <v>692.82079215439364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5</v>
      </c>
      <c r="G14" s="100">
        <v>2442</v>
      </c>
      <c r="H14" s="100">
        <v>9</v>
      </c>
      <c r="I14" s="100">
        <v>4395.5999999999995</v>
      </c>
      <c r="J14" s="100">
        <v>5</v>
      </c>
      <c r="K14" s="100">
        <v>2442</v>
      </c>
      <c r="L14" s="100">
        <v>7</v>
      </c>
      <c r="M14" s="100">
        <v>3418.7999999999997</v>
      </c>
      <c r="N14" s="100">
        <v>5.6465234111128684</v>
      </c>
      <c r="O14" s="100">
        <v>2757.7620339875248</v>
      </c>
      <c r="P14" s="100">
        <v>1.3851835690090299</v>
      </c>
      <c r="Q14" s="100">
        <v>676.52365510401023</v>
      </c>
      <c r="R14" s="100">
        <v>8.0416022940534582</v>
      </c>
      <c r="S14" s="100">
        <v>3927.5185604157086</v>
      </c>
      <c r="T14" s="100">
        <v>5.4378041482749655</v>
      </c>
      <c r="U14" s="100">
        <v>2655.8235460174928</v>
      </c>
      <c r="V14" s="100">
        <v>7</v>
      </c>
      <c r="W14" s="100">
        <v>3418.7999999999997</v>
      </c>
      <c r="X14" s="100">
        <v>10.104230812471219</v>
      </c>
      <c r="Y14" s="100">
        <v>4934.9063288109428</v>
      </c>
      <c r="Z14" s="100">
        <v>8</v>
      </c>
      <c r="AA14" s="100">
        <v>3907.2</v>
      </c>
      <c r="AB14" s="100">
        <v>5</v>
      </c>
      <c r="AC14" s="100">
        <v>2442</v>
      </c>
      <c r="AD14" s="100">
        <v>5.6513808012091182</v>
      </c>
      <c r="AE14" s="100">
        <v>2760.1343833105334</v>
      </c>
      <c r="AF14" s="100">
        <v>7.0948657863825231</v>
      </c>
      <c r="AG14" s="100">
        <v>3465.132450069224</v>
      </c>
      <c r="AH14" s="100">
        <v>3.1897137247722367</v>
      </c>
      <c r="AI14" s="100">
        <v>1557.8561831787604</v>
      </c>
      <c r="AJ14" s="100">
        <v>8</v>
      </c>
      <c r="AK14" s="100">
        <v>3907.2</v>
      </c>
      <c r="AL14" s="100">
        <v>9.4471903620411943</v>
      </c>
      <c r="AM14" s="100">
        <v>4614.0077728209189</v>
      </c>
      <c r="AN14" s="100">
        <v>2.0219265717391122</v>
      </c>
      <c r="AO14" s="100">
        <v>987.50893763738236</v>
      </c>
      <c r="AP14" s="100">
        <v>7</v>
      </c>
      <c r="AQ14" s="100">
        <v>3418.7999999999997</v>
      </c>
      <c r="AR14" s="100">
        <v>7</v>
      </c>
      <c r="AS14" s="100">
        <v>3418.7999999999997</v>
      </c>
      <c r="AT14" s="100">
        <v>8</v>
      </c>
      <c r="AU14" s="100">
        <v>3907.2</v>
      </c>
      <c r="AV14" s="100">
        <v>7.9510540251022723</v>
      </c>
      <c r="AW14" s="100">
        <v>3883.2947858599496</v>
      </c>
      <c r="AX14" s="100">
        <v>4.0384026641068251</v>
      </c>
      <c r="AY14" s="100">
        <v>1972.3558611497733</v>
      </c>
      <c r="AZ14" s="100">
        <v>5.6180066003487452</v>
      </c>
      <c r="BA14" s="100">
        <v>2743.8344236103271</v>
      </c>
      <c r="BB14" s="100">
        <v>2.0637863709354338</v>
      </c>
      <c r="BC14" s="100">
        <v>1007.9532635648658</v>
      </c>
      <c r="BD14" s="100">
        <v>8</v>
      </c>
      <c r="BE14" s="100">
        <v>3907.2</v>
      </c>
      <c r="BF14" s="100">
        <v>6</v>
      </c>
      <c r="BG14" s="100">
        <v>2930.3999999999996</v>
      </c>
      <c r="BH14" s="100">
        <v>9.3885568960348529</v>
      </c>
      <c r="BI14" s="100">
        <v>4585.3711880234223</v>
      </c>
      <c r="BJ14" s="100">
        <v>2.1137317268418681</v>
      </c>
      <c r="BK14" s="100">
        <v>1032.3465753895682</v>
      </c>
      <c r="BL14" s="100">
        <v>6</v>
      </c>
      <c r="BM14" s="100">
        <v>2930.3999999999996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8.2379914521402586</v>
      </c>
      <c r="BS14" s="100">
        <v>4023.4350252253021</v>
      </c>
      <c r="BT14" s="100">
        <v>0.80596626796200788</v>
      </c>
      <c r="BU14" s="100">
        <v>393.6339252726446</v>
      </c>
      <c r="BV14" s="100">
        <v>4.8443119676895465</v>
      </c>
      <c r="BW14" s="100">
        <v>2365.9619650195746</v>
      </c>
      <c r="BX14" s="100">
        <v>7</v>
      </c>
      <c r="BY14" s="100">
        <v>3418.7999999999997</v>
      </c>
      <c r="BZ14" s="100">
        <v>8</v>
      </c>
      <c r="CA14" s="100">
        <v>3907.2</v>
      </c>
      <c r="CB14" s="100">
        <v>7.3730336849091236</v>
      </c>
      <c r="CC14" s="100">
        <v>3600.9896517096158</v>
      </c>
      <c r="CD14" s="100">
        <v>4.3271812772134872</v>
      </c>
      <c r="CE14" s="100">
        <v>2113.3953357910673</v>
      </c>
      <c r="CF14" s="100">
        <v>5.0669829597054937E-4</v>
      </c>
      <c r="CG14" s="100">
        <v>0.24747144775201629</v>
      </c>
      <c r="CH14" s="100">
        <v>10</v>
      </c>
      <c r="CI14" s="100">
        <v>4884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8</v>
      </c>
      <c r="CO14" s="100">
        <v>3907.2</v>
      </c>
      <c r="CP14" s="100">
        <v>10</v>
      </c>
      <c r="CQ14" s="100">
        <v>4884</v>
      </c>
      <c r="CR14" s="100">
        <v>7</v>
      </c>
      <c r="CS14" s="100">
        <v>3418.7999999999997</v>
      </c>
      <c r="CT14" s="100">
        <v>7.4154269381938018</v>
      </c>
      <c r="CU14" s="100">
        <v>3621.6945166138526</v>
      </c>
    </row>
    <row r="15" spans="1:99">
      <c r="C15" s="99" t="s">
        <v>181</v>
      </c>
      <c r="D15" s="100">
        <v>6</v>
      </c>
      <c r="E15" s="100">
        <v>4579.2</v>
      </c>
      <c r="F15" s="100">
        <v>5</v>
      </c>
      <c r="G15" s="100">
        <v>3815.9999999999995</v>
      </c>
      <c r="H15" s="100">
        <v>8</v>
      </c>
      <c r="I15" s="100">
        <v>6105.5999999999995</v>
      </c>
      <c r="J15" s="100">
        <v>5</v>
      </c>
      <c r="K15" s="100">
        <v>3815.9999999999995</v>
      </c>
      <c r="L15" s="100">
        <v>8</v>
      </c>
      <c r="M15" s="100">
        <v>6105.5999999999995</v>
      </c>
      <c r="N15" s="100">
        <v>5.6465234111128684</v>
      </c>
      <c r="O15" s="100">
        <v>4309.4266673613411</v>
      </c>
      <c r="P15" s="100">
        <v>1.3851835690090299</v>
      </c>
      <c r="Q15" s="100">
        <v>1057.1720998676915</v>
      </c>
      <c r="R15" s="100">
        <v>8.0416022940534582</v>
      </c>
      <c r="S15" s="100">
        <v>6137.3508708215986</v>
      </c>
      <c r="T15" s="100">
        <v>5.4378041482749655</v>
      </c>
      <c r="U15" s="100">
        <v>4150.1321259634533</v>
      </c>
      <c r="V15" s="100">
        <v>7</v>
      </c>
      <c r="W15" s="100">
        <v>5342.4</v>
      </c>
      <c r="X15" s="100">
        <v>9.1191209285385355</v>
      </c>
      <c r="Y15" s="100">
        <v>6959.7130926606096</v>
      </c>
      <c r="Z15" s="100">
        <v>9</v>
      </c>
      <c r="AA15" s="100">
        <v>6868.7999999999993</v>
      </c>
      <c r="AB15" s="100">
        <v>5</v>
      </c>
      <c r="AC15" s="100">
        <v>3815.9999999999995</v>
      </c>
      <c r="AD15" s="100">
        <v>5.6513808012091182</v>
      </c>
      <c r="AE15" s="100">
        <v>4313.1338274827986</v>
      </c>
      <c r="AF15" s="100">
        <v>7.0948657863825231</v>
      </c>
      <c r="AG15" s="100">
        <v>5414.8015681671413</v>
      </c>
      <c r="AH15" s="100">
        <v>3.8276564697266839</v>
      </c>
      <c r="AI15" s="100">
        <v>2921.2674176954051</v>
      </c>
      <c r="AJ15" s="100">
        <v>9</v>
      </c>
      <c r="AK15" s="100">
        <v>6868.7999999999993</v>
      </c>
      <c r="AL15" s="100">
        <v>8.4968781800457709</v>
      </c>
      <c r="AM15" s="100">
        <v>6484.8174270109321</v>
      </c>
      <c r="AN15" s="100">
        <v>2.426311886086935</v>
      </c>
      <c r="AO15" s="100">
        <v>1851.7612314615487</v>
      </c>
      <c r="AP15" s="100">
        <v>6</v>
      </c>
      <c r="AQ15" s="100">
        <v>4579.2</v>
      </c>
      <c r="AR15" s="100">
        <v>7</v>
      </c>
      <c r="AS15" s="100">
        <v>5342.4</v>
      </c>
      <c r="AT15" s="100">
        <v>8</v>
      </c>
      <c r="AU15" s="100">
        <v>6105.5999999999995</v>
      </c>
      <c r="AV15" s="100">
        <v>7.9510540251022723</v>
      </c>
      <c r="AW15" s="100">
        <v>6068.2444319580536</v>
      </c>
      <c r="AX15" s="100">
        <v>3.3653355534223546</v>
      </c>
      <c r="AY15" s="100">
        <v>2568.4240943719406</v>
      </c>
      <c r="AZ15" s="100">
        <v>5.6180066003487452</v>
      </c>
      <c r="BA15" s="100">
        <v>4287.6626373861618</v>
      </c>
      <c r="BB15" s="100">
        <v>2.0637863709354338</v>
      </c>
      <c r="BC15" s="100">
        <v>1575.081758297923</v>
      </c>
      <c r="BD15" s="100">
        <v>8</v>
      </c>
      <c r="BE15" s="100">
        <v>6105.5999999999995</v>
      </c>
      <c r="BF15" s="100">
        <v>6</v>
      </c>
      <c r="BG15" s="100">
        <v>4579.2</v>
      </c>
      <c r="BH15" s="100">
        <v>10.388556896034853</v>
      </c>
      <c r="BI15" s="100">
        <v>7928.5466230537986</v>
      </c>
      <c r="BJ15" s="100">
        <v>1.8495152609866345</v>
      </c>
      <c r="BK15" s="100">
        <v>1411.5500471849994</v>
      </c>
      <c r="BL15" s="100">
        <v>6</v>
      </c>
      <c r="BM15" s="100">
        <v>4579.2</v>
      </c>
      <c r="BN15" s="100">
        <v>7</v>
      </c>
      <c r="BO15" s="100">
        <v>5342.4</v>
      </c>
      <c r="BP15" s="100">
        <v>7</v>
      </c>
      <c r="BQ15" s="100">
        <v>5342.4</v>
      </c>
      <c r="BR15" s="100">
        <v>8.2379914521402586</v>
      </c>
      <c r="BS15" s="100">
        <v>6287.235076273445</v>
      </c>
      <c r="BT15" s="100">
        <v>0.67002689277677974</v>
      </c>
      <c r="BU15" s="100">
        <v>511.36452456723828</v>
      </c>
      <c r="BV15" s="100">
        <v>5.6516972956378044</v>
      </c>
      <c r="BW15" s="100">
        <v>4313.3753760307718</v>
      </c>
      <c r="BX15" s="100">
        <v>7</v>
      </c>
      <c r="BY15" s="100">
        <v>5342.4</v>
      </c>
      <c r="BZ15" s="100">
        <v>8</v>
      </c>
      <c r="CA15" s="100">
        <v>6105.5999999999995</v>
      </c>
      <c r="CB15" s="100">
        <v>6.326404474295483</v>
      </c>
      <c r="CC15" s="100">
        <v>4828.3118947823123</v>
      </c>
      <c r="CD15" s="100">
        <v>3.605984397677906</v>
      </c>
      <c r="CE15" s="100">
        <v>2752.0872923077777</v>
      </c>
      <c r="CF15" s="100">
        <v>5.0669829597054937E-4</v>
      </c>
      <c r="CG15" s="100">
        <v>0.38671213948472327</v>
      </c>
      <c r="CH15" s="100">
        <v>9</v>
      </c>
      <c r="CI15" s="100">
        <v>6868.7999999999993</v>
      </c>
      <c r="CJ15" s="100">
        <v>10</v>
      </c>
      <c r="CK15" s="100">
        <v>7631.9999999999991</v>
      </c>
      <c r="CL15" s="100">
        <v>7</v>
      </c>
      <c r="CM15" s="100">
        <v>5342.4</v>
      </c>
      <c r="CN15" s="100">
        <v>8</v>
      </c>
      <c r="CO15" s="100">
        <v>6105.5999999999995</v>
      </c>
      <c r="CP15" s="100">
        <v>11</v>
      </c>
      <c r="CQ15" s="100">
        <v>8395.1999999999989</v>
      </c>
      <c r="CR15" s="100">
        <v>8</v>
      </c>
      <c r="CS15" s="100">
        <v>6105.5999999999995</v>
      </c>
      <c r="CT15" s="100">
        <v>7.3924540349380443</v>
      </c>
      <c r="CU15" s="100">
        <v>5641.9209194647146</v>
      </c>
    </row>
    <row r="16" spans="1:99">
      <c r="C16" s="99" t="s">
        <v>182</v>
      </c>
      <c r="D16" s="100">
        <v>7</v>
      </c>
      <c r="E16" s="100">
        <v>2385.6</v>
      </c>
      <c r="F16" s="100">
        <v>5</v>
      </c>
      <c r="G16" s="100">
        <v>1704</v>
      </c>
      <c r="H16" s="100">
        <v>10</v>
      </c>
      <c r="I16" s="100">
        <v>3408</v>
      </c>
      <c r="J16" s="100">
        <v>6</v>
      </c>
      <c r="K16" s="100">
        <v>2044.8000000000002</v>
      </c>
      <c r="L16" s="100">
        <v>8</v>
      </c>
      <c r="M16" s="100">
        <v>2726.4</v>
      </c>
      <c r="N16" s="100">
        <v>5.6791284398777071</v>
      </c>
      <c r="O16" s="100">
        <v>1935.4469723103227</v>
      </c>
      <c r="P16" s="100">
        <v>1.6622202828108359</v>
      </c>
      <c r="Q16" s="100">
        <v>566.48467238193291</v>
      </c>
      <c r="R16" s="100">
        <v>7.0416022940534591</v>
      </c>
      <c r="S16" s="100">
        <v>2399.7780618134188</v>
      </c>
      <c r="T16" s="100">
        <v>5.4378041482749655</v>
      </c>
      <c r="U16" s="100">
        <v>1853.2036537321083</v>
      </c>
      <c r="V16" s="100">
        <v>7</v>
      </c>
      <c r="W16" s="100">
        <v>2385.6</v>
      </c>
      <c r="X16" s="100">
        <v>10.119120928538536</v>
      </c>
      <c r="Y16" s="100">
        <v>3448.5964124459329</v>
      </c>
      <c r="Z16" s="100">
        <v>8</v>
      </c>
      <c r="AA16" s="100">
        <v>2726.4</v>
      </c>
      <c r="AB16" s="100">
        <v>5</v>
      </c>
      <c r="AC16" s="100">
        <v>1704</v>
      </c>
      <c r="AD16" s="100">
        <v>6.5932776014106382</v>
      </c>
      <c r="AE16" s="100">
        <v>2246.9890065607456</v>
      </c>
      <c r="AF16" s="100">
        <v>6.0948657863825231</v>
      </c>
      <c r="AG16" s="100">
        <v>2077.1302599991641</v>
      </c>
      <c r="AH16" s="100">
        <v>3.1897137247722367</v>
      </c>
      <c r="AI16" s="100">
        <v>1087.0544374023782</v>
      </c>
      <c r="AJ16" s="100">
        <v>9</v>
      </c>
      <c r="AK16" s="100">
        <v>3067.2000000000003</v>
      </c>
      <c r="AL16" s="100">
        <v>8.397502544036616</v>
      </c>
      <c r="AM16" s="100">
        <v>2861.868867007679</v>
      </c>
      <c r="AN16" s="100">
        <v>2.426311886086935</v>
      </c>
      <c r="AO16" s="100">
        <v>826.88709077842748</v>
      </c>
      <c r="AP16" s="100">
        <v>7</v>
      </c>
      <c r="AQ16" s="100">
        <v>2385.6</v>
      </c>
      <c r="AR16" s="100">
        <v>7</v>
      </c>
      <c r="AS16" s="100">
        <v>2385.6</v>
      </c>
      <c r="AT16" s="100">
        <v>8</v>
      </c>
      <c r="AU16" s="100">
        <v>2726.4</v>
      </c>
      <c r="AV16" s="100">
        <v>7.9510540251022723</v>
      </c>
      <c r="AW16" s="100">
        <v>2709.7192117548543</v>
      </c>
      <c r="AX16" s="100">
        <v>3.3653355534223546</v>
      </c>
      <c r="AY16" s="100">
        <v>1146.9063566063385</v>
      </c>
      <c r="AZ16" s="100">
        <v>5.6804352830598814</v>
      </c>
      <c r="BA16" s="100">
        <v>1935.8923444668076</v>
      </c>
      <c r="BB16" s="100">
        <v>1.83447677416483</v>
      </c>
      <c r="BC16" s="100">
        <v>625.18968463537408</v>
      </c>
      <c r="BD16" s="100">
        <v>7</v>
      </c>
      <c r="BE16" s="100">
        <v>2385.6</v>
      </c>
      <c r="BF16" s="100">
        <v>6</v>
      </c>
      <c r="BG16" s="100">
        <v>2044.8000000000002</v>
      </c>
      <c r="BH16" s="100">
        <v>10.388556896034853</v>
      </c>
      <c r="BI16" s="100">
        <v>3540.4201901686779</v>
      </c>
      <c r="BJ16" s="100">
        <v>1.8495152609866345</v>
      </c>
      <c r="BK16" s="100">
        <v>630.31480094424512</v>
      </c>
      <c r="BL16" s="100">
        <v>7</v>
      </c>
      <c r="BM16" s="100">
        <v>2385.6</v>
      </c>
      <c r="BN16" s="100">
        <v>7</v>
      </c>
      <c r="BO16" s="100">
        <v>2385.6</v>
      </c>
      <c r="BP16" s="100">
        <v>7</v>
      </c>
      <c r="BQ16" s="100">
        <v>2385.6</v>
      </c>
      <c r="BR16" s="100">
        <v>8.2596270386984649</v>
      </c>
      <c r="BS16" s="100">
        <v>2814.8808947884368</v>
      </c>
      <c r="BT16" s="100">
        <v>0.80596626796200788</v>
      </c>
      <c r="BU16" s="100">
        <v>274.6733041214523</v>
      </c>
      <c r="BV16" s="100">
        <v>5.6516972956378044</v>
      </c>
      <c r="BW16" s="100">
        <v>1926.0984383533639</v>
      </c>
      <c r="BX16" s="100">
        <v>7</v>
      </c>
      <c r="BY16" s="100">
        <v>2385.6</v>
      </c>
      <c r="BZ16" s="100">
        <v>7</v>
      </c>
      <c r="CA16" s="100">
        <v>2385.6</v>
      </c>
      <c r="CB16" s="100">
        <v>6.326404474295483</v>
      </c>
      <c r="CC16" s="100">
        <v>2156.0386448399008</v>
      </c>
      <c r="CD16" s="100">
        <v>3.605984397677906</v>
      </c>
      <c r="CE16" s="100">
        <v>1228.9194827286303</v>
      </c>
      <c r="CF16" s="100">
        <v>5.7003558296686802E-4</v>
      </c>
      <c r="CG16" s="100">
        <v>0.19426812667510862</v>
      </c>
      <c r="CH16" s="100">
        <v>10</v>
      </c>
      <c r="CI16" s="100">
        <v>3408</v>
      </c>
      <c r="CJ16" s="100">
        <v>9</v>
      </c>
      <c r="CK16" s="100">
        <v>3067.2000000000003</v>
      </c>
      <c r="CL16" s="100">
        <v>7</v>
      </c>
      <c r="CM16" s="100">
        <v>2385.6</v>
      </c>
      <c r="CN16" s="100">
        <v>8</v>
      </c>
      <c r="CO16" s="100">
        <v>2726.4</v>
      </c>
      <c r="CP16" s="100">
        <v>11</v>
      </c>
      <c r="CQ16" s="100">
        <v>3748.8</v>
      </c>
      <c r="CR16" s="100">
        <v>8</v>
      </c>
      <c r="CS16" s="100">
        <v>2726.4</v>
      </c>
      <c r="CT16" s="100">
        <v>7.4154269381938018</v>
      </c>
      <c r="CU16" s="100">
        <v>2527.177500536448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5</v>
      </c>
      <c r="G17" s="100">
        <v>2112</v>
      </c>
      <c r="H17" s="100">
        <v>9</v>
      </c>
      <c r="I17" s="100">
        <v>3801.6</v>
      </c>
      <c r="J17" s="100">
        <v>6</v>
      </c>
      <c r="K17" s="100">
        <v>2534.3999999999996</v>
      </c>
      <c r="L17" s="100">
        <v>7</v>
      </c>
      <c r="M17" s="100">
        <v>2956.7999999999997</v>
      </c>
      <c r="N17" s="100">
        <v>5.6791284398777071</v>
      </c>
      <c r="O17" s="100">
        <v>2398.8638530043431</v>
      </c>
      <c r="P17" s="100">
        <v>1.3851835690090299</v>
      </c>
      <c r="Q17" s="100">
        <v>585.10153954941427</v>
      </c>
      <c r="R17" s="100">
        <v>8.0416022940534582</v>
      </c>
      <c r="S17" s="100">
        <v>3396.7728090081805</v>
      </c>
      <c r="T17" s="100">
        <v>4.5315034568958046</v>
      </c>
      <c r="U17" s="100">
        <v>1914.1070601927877</v>
      </c>
      <c r="V17" s="100">
        <v>7</v>
      </c>
      <c r="W17" s="100">
        <v>2956.7999999999997</v>
      </c>
      <c r="X17" s="100">
        <v>10.134011044605852</v>
      </c>
      <c r="Y17" s="100">
        <v>4280.6062652415121</v>
      </c>
      <c r="Z17" s="100">
        <v>8</v>
      </c>
      <c r="AA17" s="100">
        <v>3379.2</v>
      </c>
      <c r="AB17" s="100">
        <v>5</v>
      </c>
      <c r="AC17" s="100">
        <v>2112</v>
      </c>
      <c r="AD17" s="100">
        <v>6.5932776014106382</v>
      </c>
      <c r="AE17" s="100">
        <v>2785.0004588358534</v>
      </c>
      <c r="AF17" s="100">
        <v>7.0853792077442703</v>
      </c>
      <c r="AG17" s="100">
        <v>2992.8641773511795</v>
      </c>
      <c r="AH17" s="100">
        <v>3.1897137247722367</v>
      </c>
      <c r="AI17" s="100">
        <v>1347.3350773437928</v>
      </c>
      <c r="AJ17" s="100">
        <v>8</v>
      </c>
      <c r="AK17" s="100">
        <v>3379.2</v>
      </c>
      <c r="AL17" s="100">
        <v>8.4471903620411943</v>
      </c>
      <c r="AM17" s="100">
        <v>3568.0932089262001</v>
      </c>
      <c r="AN17" s="100">
        <v>2.426311886086935</v>
      </c>
      <c r="AO17" s="100">
        <v>1024.8741406831214</v>
      </c>
      <c r="AP17" s="100">
        <v>7</v>
      </c>
      <c r="AQ17" s="100">
        <v>2956.7999999999997</v>
      </c>
      <c r="AR17" s="100">
        <v>6</v>
      </c>
      <c r="AS17" s="100">
        <v>2534.3999999999996</v>
      </c>
      <c r="AT17" s="100">
        <v>9</v>
      </c>
      <c r="AU17" s="100">
        <v>3801.6</v>
      </c>
      <c r="AV17" s="100">
        <v>7.9510540251022723</v>
      </c>
      <c r="AW17" s="100">
        <v>3358.5252202031998</v>
      </c>
      <c r="AX17" s="100">
        <v>4.0384026641068251</v>
      </c>
      <c r="AY17" s="100">
        <v>1705.8212853187229</v>
      </c>
      <c r="AZ17" s="100">
        <v>5.6804352830598814</v>
      </c>
      <c r="BA17" s="100">
        <v>2399.415863564494</v>
      </c>
      <c r="BB17" s="100">
        <v>1.83447677416483</v>
      </c>
      <c r="BC17" s="100">
        <v>774.88298940722416</v>
      </c>
      <c r="BD17" s="100">
        <v>7</v>
      </c>
      <c r="BE17" s="100">
        <v>2956.7999999999997</v>
      </c>
      <c r="BF17" s="100">
        <v>6</v>
      </c>
      <c r="BG17" s="100">
        <v>2534.3999999999996</v>
      </c>
      <c r="BH17" s="100">
        <v>10.388556896034853</v>
      </c>
      <c r="BI17" s="100">
        <v>4388.1264328851212</v>
      </c>
      <c r="BJ17" s="100">
        <v>1.8495152609866345</v>
      </c>
      <c r="BK17" s="100">
        <v>781.23524624075435</v>
      </c>
      <c r="BL17" s="100">
        <v>6</v>
      </c>
      <c r="BM17" s="100">
        <v>2534.3999999999996</v>
      </c>
      <c r="BN17" s="100">
        <v>7</v>
      </c>
      <c r="BO17" s="100">
        <v>2956.7999999999997</v>
      </c>
      <c r="BP17" s="100">
        <v>7</v>
      </c>
      <c r="BQ17" s="100">
        <v>2956.7999999999997</v>
      </c>
      <c r="BR17" s="100">
        <v>7.2596270386984649</v>
      </c>
      <c r="BS17" s="100">
        <v>3066.4664611462313</v>
      </c>
      <c r="BT17" s="100">
        <v>0.80113127638732762</v>
      </c>
      <c r="BU17" s="100">
        <v>338.39785114600716</v>
      </c>
      <c r="BV17" s="100">
        <v>5.6516972956378044</v>
      </c>
      <c r="BW17" s="100">
        <v>2387.2769376774086</v>
      </c>
      <c r="BX17" s="100">
        <v>7</v>
      </c>
      <c r="BY17" s="100">
        <v>2956.7999999999997</v>
      </c>
      <c r="BZ17" s="100">
        <v>8</v>
      </c>
      <c r="CA17" s="100">
        <v>3379.2</v>
      </c>
      <c r="CB17" s="100">
        <v>6.326404474295483</v>
      </c>
      <c r="CC17" s="100">
        <v>2672.2732499424119</v>
      </c>
      <c r="CD17" s="100">
        <v>3.605984397677906</v>
      </c>
      <c r="CE17" s="100">
        <v>1523.1678095791474</v>
      </c>
      <c r="CF17" s="100">
        <v>5.0669829597054937E-4</v>
      </c>
      <c r="CG17" s="100">
        <v>0.21402936021796004</v>
      </c>
      <c r="CH17" s="100">
        <v>9</v>
      </c>
      <c r="CI17" s="100">
        <v>3801.6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8</v>
      </c>
      <c r="CO17" s="100">
        <v>3379.2</v>
      </c>
      <c r="CP17" s="100">
        <v>11</v>
      </c>
      <c r="CQ17" s="100">
        <v>4646.3999999999996</v>
      </c>
      <c r="CR17" s="100">
        <v>8</v>
      </c>
      <c r="CS17" s="100">
        <v>3379.2</v>
      </c>
      <c r="CT17" s="100">
        <v>7.3694811316822886</v>
      </c>
      <c r="CU17" s="100">
        <v>3112.8688300225986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4</v>
      </c>
      <c r="G18" s="100">
        <v>2611.1999999999998</v>
      </c>
      <c r="H18" s="100">
        <v>9</v>
      </c>
      <c r="I18" s="100">
        <v>5875.2</v>
      </c>
      <c r="J18" s="100">
        <v>5</v>
      </c>
      <c r="K18" s="100">
        <v>3264</v>
      </c>
      <c r="L18" s="100">
        <v>7</v>
      </c>
      <c r="M18" s="100">
        <v>4569.5999999999995</v>
      </c>
      <c r="N18" s="100">
        <v>5.6791284398777071</v>
      </c>
      <c r="O18" s="100">
        <v>3707.3350455521668</v>
      </c>
      <c r="P18" s="100">
        <v>1.3851835690090299</v>
      </c>
      <c r="Q18" s="100">
        <v>904.24783384909472</v>
      </c>
      <c r="R18" s="100">
        <v>7.0416022940534591</v>
      </c>
      <c r="S18" s="100">
        <v>4596.757977558098</v>
      </c>
      <c r="T18" s="100">
        <v>5.4378041482749655</v>
      </c>
      <c r="U18" s="100">
        <v>3549.798547993897</v>
      </c>
      <c r="V18" s="100">
        <v>7</v>
      </c>
      <c r="W18" s="100">
        <v>4569.5999999999995</v>
      </c>
      <c r="X18" s="100">
        <v>9.1340110446058524</v>
      </c>
      <c r="Y18" s="100">
        <v>5962.6824099186997</v>
      </c>
      <c r="Z18" s="100">
        <v>8</v>
      </c>
      <c r="AA18" s="100">
        <v>5222.3999999999996</v>
      </c>
      <c r="AB18" s="100">
        <v>5</v>
      </c>
      <c r="AC18" s="100">
        <v>3264</v>
      </c>
      <c r="AD18" s="100">
        <v>5.6513808012091182</v>
      </c>
      <c r="AE18" s="100">
        <v>3689.2213870293122</v>
      </c>
      <c r="AF18" s="100">
        <v>7.0948657863825231</v>
      </c>
      <c r="AG18" s="100">
        <v>4631.5283853505107</v>
      </c>
      <c r="AH18" s="100">
        <v>3.1897137247722367</v>
      </c>
      <c r="AI18" s="100">
        <v>2082.245119531316</v>
      </c>
      <c r="AJ18" s="100">
        <v>8</v>
      </c>
      <c r="AK18" s="100">
        <v>5222.3999999999996</v>
      </c>
      <c r="AL18" s="100">
        <v>8.4968781800457709</v>
      </c>
      <c r="AM18" s="100">
        <v>5546.7620759338788</v>
      </c>
      <c r="AN18" s="100">
        <v>2.0219265717391122</v>
      </c>
      <c r="AO18" s="100">
        <v>1319.9136660312922</v>
      </c>
      <c r="AP18" s="100">
        <v>7</v>
      </c>
      <c r="AQ18" s="100">
        <v>4569.5999999999995</v>
      </c>
      <c r="AR18" s="100">
        <v>7</v>
      </c>
      <c r="AS18" s="100">
        <v>4569.5999999999995</v>
      </c>
      <c r="AT18" s="100">
        <v>9</v>
      </c>
      <c r="AU18" s="100">
        <v>5875.2</v>
      </c>
      <c r="AV18" s="100">
        <v>7.9510540251022723</v>
      </c>
      <c r="AW18" s="100">
        <v>5190.4480675867626</v>
      </c>
      <c r="AX18" s="100">
        <v>4.0384026641068251</v>
      </c>
      <c r="AY18" s="100">
        <v>2636.2692591289351</v>
      </c>
      <c r="AZ18" s="100">
        <v>5.6492209417043124</v>
      </c>
      <c r="BA18" s="100">
        <v>3687.8114307445749</v>
      </c>
      <c r="BB18" s="100">
        <v>1.83447677416483</v>
      </c>
      <c r="BC18" s="100">
        <v>1197.5464381748009</v>
      </c>
      <c r="BD18" s="100">
        <v>8</v>
      </c>
      <c r="BE18" s="100">
        <v>5222.3999999999996</v>
      </c>
      <c r="BF18" s="100">
        <v>6</v>
      </c>
      <c r="BG18" s="100">
        <v>3916.7999999999997</v>
      </c>
      <c r="BH18" s="100">
        <v>10.388556896034853</v>
      </c>
      <c r="BI18" s="100">
        <v>6781.6499417315517</v>
      </c>
      <c r="BJ18" s="100">
        <v>2.1137317268418681</v>
      </c>
      <c r="BK18" s="100">
        <v>1379.8440712823713</v>
      </c>
      <c r="BL18" s="100">
        <v>6</v>
      </c>
      <c r="BM18" s="100">
        <v>3916.7999999999997</v>
      </c>
      <c r="BN18" s="100">
        <v>7</v>
      </c>
      <c r="BO18" s="100">
        <v>4569.5999999999995</v>
      </c>
      <c r="BP18" s="100">
        <v>6</v>
      </c>
      <c r="BQ18" s="100">
        <v>3916.7999999999997</v>
      </c>
      <c r="BR18" s="100">
        <v>7.2596270386984649</v>
      </c>
      <c r="BS18" s="100">
        <v>4739.0845308623575</v>
      </c>
      <c r="BT18" s="100">
        <v>0.67486188435146033</v>
      </c>
      <c r="BU18" s="100">
        <v>440.5498381046333</v>
      </c>
      <c r="BV18" s="100">
        <v>5.6516972956378044</v>
      </c>
      <c r="BW18" s="100">
        <v>3689.4279945923586</v>
      </c>
      <c r="BX18" s="100">
        <v>7</v>
      </c>
      <c r="BY18" s="100">
        <v>4569.5999999999995</v>
      </c>
      <c r="BZ18" s="100">
        <v>7</v>
      </c>
      <c r="CA18" s="100">
        <v>4569.5999999999995</v>
      </c>
      <c r="CB18" s="100">
        <v>7.326404474295483</v>
      </c>
      <c r="CC18" s="100">
        <v>4782.6768408200905</v>
      </c>
      <c r="CD18" s="100">
        <v>4.3271812772134872</v>
      </c>
      <c r="CE18" s="100">
        <v>2824.7839377649643</v>
      </c>
      <c r="CF18" s="100">
        <v>5.0669829597054937E-4</v>
      </c>
      <c r="CG18" s="100">
        <v>0.33077264760957459</v>
      </c>
      <c r="CH18" s="100">
        <v>9</v>
      </c>
      <c r="CI18" s="100">
        <v>5875.2</v>
      </c>
      <c r="CJ18" s="100">
        <v>8</v>
      </c>
      <c r="CK18" s="100">
        <v>5222.3999999999996</v>
      </c>
      <c r="CL18" s="100">
        <v>7</v>
      </c>
      <c r="CM18" s="100">
        <v>4569.5999999999995</v>
      </c>
      <c r="CN18" s="100">
        <v>7</v>
      </c>
      <c r="CO18" s="100">
        <v>4569.5999999999995</v>
      </c>
      <c r="CP18" s="100">
        <v>10</v>
      </c>
      <c r="CQ18" s="100">
        <v>6528</v>
      </c>
      <c r="CR18" s="100">
        <v>7</v>
      </c>
      <c r="CS18" s="100">
        <v>4569.5999999999995</v>
      </c>
      <c r="CT18" s="100">
        <v>8.1316994384318502</v>
      </c>
      <c r="CU18" s="100">
        <v>5308.3733934083111</v>
      </c>
    </row>
    <row r="19" spans="2:99">
      <c r="C19" s="99" t="s">
        <v>185</v>
      </c>
      <c r="D19" s="100">
        <v>7</v>
      </c>
      <c r="E19" s="100">
        <v>2310</v>
      </c>
      <c r="F19" s="100">
        <v>5</v>
      </c>
      <c r="G19" s="100">
        <v>1650</v>
      </c>
      <c r="H19" s="100">
        <v>8</v>
      </c>
      <c r="I19" s="100">
        <v>2640</v>
      </c>
      <c r="J19" s="100">
        <v>5</v>
      </c>
      <c r="K19" s="100">
        <v>1650</v>
      </c>
      <c r="L19" s="100">
        <v>8</v>
      </c>
      <c r="M19" s="100">
        <v>2640</v>
      </c>
      <c r="N19" s="100">
        <v>4.7706462334570672</v>
      </c>
      <c r="O19" s="100">
        <v>1574.3132570408322</v>
      </c>
      <c r="P19" s="100">
        <v>1.3851835690090299</v>
      </c>
      <c r="Q19" s="100">
        <v>457.11057777297987</v>
      </c>
      <c r="R19" s="100">
        <v>7.0475454789182388</v>
      </c>
      <c r="S19" s="100">
        <v>2325.6900080430187</v>
      </c>
      <c r="T19" s="100">
        <v>4.5315034568958046</v>
      </c>
      <c r="U19" s="100">
        <v>1495.3961407756155</v>
      </c>
      <c r="V19" s="100">
        <v>6</v>
      </c>
      <c r="W19" s="100">
        <v>1980</v>
      </c>
      <c r="X19" s="100">
        <v>10.104230812471219</v>
      </c>
      <c r="Y19" s="100">
        <v>3334.396168115502</v>
      </c>
      <c r="Z19" s="100">
        <v>9</v>
      </c>
      <c r="AA19" s="100">
        <v>2970</v>
      </c>
      <c r="AB19" s="100">
        <v>5</v>
      </c>
      <c r="AC19" s="100">
        <v>1650</v>
      </c>
      <c r="AD19" s="100">
        <v>6.5932776014106382</v>
      </c>
      <c r="AE19" s="100">
        <v>2175.7816084655105</v>
      </c>
      <c r="AF19" s="100">
        <v>7.0853792077442703</v>
      </c>
      <c r="AG19" s="100">
        <v>2338.175138555609</v>
      </c>
      <c r="AH19" s="100">
        <v>3.1897137247722367</v>
      </c>
      <c r="AI19" s="100">
        <v>1052.605529174838</v>
      </c>
      <c r="AJ19" s="100">
        <v>9</v>
      </c>
      <c r="AK19" s="100">
        <v>2970</v>
      </c>
      <c r="AL19" s="100">
        <v>8.4471903620411943</v>
      </c>
      <c r="AM19" s="100">
        <v>2787.5728194735943</v>
      </c>
      <c r="AN19" s="100">
        <v>2.0219265717391122</v>
      </c>
      <c r="AO19" s="100">
        <v>667.23576867390705</v>
      </c>
      <c r="AP19" s="100">
        <v>7</v>
      </c>
      <c r="AQ19" s="100">
        <v>2310</v>
      </c>
      <c r="AR19" s="100">
        <v>6</v>
      </c>
      <c r="AS19" s="100">
        <v>1980</v>
      </c>
      <c r="AT19" s="100">
        <v>9</v>
      </c>
      <c r="AU19" s="100">
        <v>2970</v>
      </c>
      <c r="AV19" s="100">
        <v>7.9510540251022723</v>
      </c>
      <c r="AW19" s="100">
        <v>2623.84782828375</v>
      </c>
      <c r="AX19" s="100">
        <v>4.0384026641068251</v>
      </c>
      <c r="AY19" s="100">
        <v>1332.6728791552523</v>
      </c>
      <c r="AZ19" s="100">
        <v>5.6492209417043124</v>
      </c>
      <c r="BA19" s="100">
        <v>1864.2429107624232</v>
      </c>
      <c r="BB19" s="100">
        <v>2.0637863709354338</v>
      </c>
      <c r="BC19" s="100">
        <v>681.04950240869312</v>
      </c>
      <c r="BD19" s="100">
        <v>8</v>
      </c>
      <c r="BE19" s="100">
        <v>2640</v>
      </c>
      <c r="BF19" s="100">
        <v>7</v>
      </c>
      <c r="BG19" s="100">
        <v>2310</v>
      </c>
      <c r="BH19" s="100">
        <v>9.3885568960348529</v>
      </c>
      <c r="BI19" s="100">
        <v>3098.2237756915015</v>
      </c>
      <c r="BJ19" s="100">
        <v>1.8495152609866345</v>
      </c>
      <c r="BK19" s="100">
        <v>610.34003612558945</v>
      </c>
      <c r="BL19" s="100">
        <v>6</v>
      </c>
      <c r="BM19" s="100">
        <v>1980</v>
      </c>
      <c r="BN19" s="100">
        <v>7</v>
      </c>
      <c r="BO19" s="100">
        <v>2310</v>
      </c>
      <c r="BP19" s="100">
        <v>7</v>
      </c>
      <c r="BQ19" s="100">
        <v>2310</v>
      </c>
      <c r="BR19" s="100">
        <v>8.2163558655820541</v>
      </c>
      <c r="BS19" s="100">
        <v>2711.3974356420777</v>
      </c>
      <c r="BT19" s="100">
        <v>0.80113127638732762</v>
      </c>
      <c r="BU19" s="100">
        <v>264.37332120781809</v>
      </c>
      <c r="BV19" s="100">
        <v>5.6516972956378044</v>
      </c>
      <c r="BW19" s="100">
        <v>1865.0601075604754</v>
      </c>
      <c r="BX19" s="100">
        <v>7</v>
      </c>
      <c r="BY19" s="100">
        <v>2310</v>
      </c>
      <c r="BZ19" s="100">
        <v>8</v>
      </c>
      <c r="CA19" s="100">
        <v>2640</v>
      </c>
      <c r="CB19" s="100">
        <v>7.326404474295483</v>
      </c>
      <c r="CC19" s="100">
        <v>2417.7134765175092</v>
      </c>
      <c r="CD19" s="100">
        <v>4.3271812772134872</v>
      </c>
      <c r="CE19" s="100">
        <v>1427.9698214804507</v>
      </c>
      <c r="CF19" s="100">
        <v>5.0669829597054937E-4</v>
      </c>
      <c r="CG19" s="100">
        <v>0.16721043767028129</v>
      </c>
      <c r="CH19" s="100">
        <v>10</v>
      </c>
      <c r="CI19" s="100">
        <v>3300</v>
      </c>
      <c r="CJ19" s="100">
        <v>9</v>
      </c>
      <c r="CK19" s="100">
        <v>2970</v>
      </c>
      <c r="CL19" s="100">
        <v>7</v>
      </c>
      <c r="CM19" s="100">
        <v>2310</v>
      </c>
      <c r="CN19" s="100">
        <v>7</v>
      </c>
      <c r="CO19" s="100">
        <v>2310</v>
      </c>
      <c r="CP19" s="100">
        <v>10</v>
      </c>
      <c r="CQ19" s="100">
        <v>3300</v>
      </c>
      <c r="CR19" s="100">
        <v>7</v>
      </c>
      <c r="CS19" s="100">
        <v>2310</v>
      </c>
      <c r="CT19" s="100">
        <v>8.8479719386698967</v>
      </c>
      <c r="CU19" s="100">
        <v>2919.8307397610661</v>
      </c>
    </row>
    <row r="20" spans="2:99">
      <c r="B20" s="99" t="s">
        <v>127</v>
      </c>
      <c r="C20" s="99" t="s">
        <v>186</v>
      </c>
      <c r="D20" s="100">
        <v>7</v>
      </c>
      <c r="E20" s="100">
        <v>2007.6000000000001</v>
      </c>
      <c r="F20" s="100">
        <v>12</v>
      </c>
      <c r="G20" s="100">
        <v>3441.6000000000004</v>
      </c>
      <c r="H20" s="100">
        <v>10</v>
      </c>
      <c r="I20" s="100">
        <v>2868</v>
      </c>
      <c r="J20" s="100">
        <v>8</v>
      </c>
      <c r="K20" s="100">
        <v>2294.4</v>
      </c>
      <c r="L20" s="100">
        <v>12</v>
      </c>
      <c r="M20" s="100">
        <v>3441.6000000000004</v>
      </c>
      <c r="N20" s="100">
        <v>9.7043176107383289</v>
      </c>
      <c r="O20" s="100">
        <v>2783.198290759753</v>
      </c>
      <c r="P20" s="100">
        <v>2.7703671380180599</v>
      </c>
      <c r="Q20" s="100">
        <v>794.54129518357956</v>
      </c>
      <c r="R20" s="100">
        <v>13</v>
      </c>
      <c r="S20" s="100">
        <v>3728.4</v>
      </c>
      <c r="T20" s="100">
        <v>10.875608296549931</v>
      </c>
      <c r="U20" s="100">
        <v>3119.1244594505201</v>
      </c>
      <c r="V20" s="100">
        <v>9</v>
      </c>
      <c r="W20" s="100">
        <v>2581.2000000000003</v>
      </c>
      <c r="X20" s="100">
        <v>9.2233517410097541</v>
      </c>
      <c r="Y20" s="100">
        <v>2645.2572793215977</v>
      </c>
      <c r="Z20" s="100">
        <v>12</v>
      </c>
      <c r="AA20" s="100">
        <v>3441.6000000000004</v>
      </c>
      <c r="AB20" s="100">
        <v>9</v>
      </c>
      <c r="AC20" s="100">
        <v>2581.2000000000003</v>
      </c>
      <c r="AD20" s="100">
        <v>12.244658402619757</v>
      </c>
      <c r="AE20" s="100">
        <v>3511.7680298713467</v>
      </c>
      <c r="AF20" s="100">
        <v>11.189731572765046</v>
      </c>
      <c r="AG20" s="100">
        <v>3209.2150150690154</v>
      </c>
      <c r="AH20" s="100">
        <v>6.3794274495444734</v>
      </c>
      <c r="AI20" s="100">
        <v>1829.619792529355</v>
      </c>
      <c r="AJ20" s="100">
        <v>12</v>
      </c>
      <c r="AK20" s="100">
        <v>3441.6000000000004</v>
      </c>
      <c r="AL20" s="100">
        <v>13.993756360091542</v>
      </c>
      <c r="AM20" s="100">
        <v>4013.4093240742545</v>
      </c>
      <c r="AN20" s="100">
        <v>2.830697200434757</v>
      </c>
      <c r="AO20" s="100">
        <v>811.84395708468833</v>
      </c>
      <c r="AP20" s="100">
        <v>13</v>
      </c>
      <c r="AQ20" s="100">
        <v>3728.4</v>
      </c>
      <c r="AR20" s="100">
        <v>13</v>
      </c>
      <c r="AS20" s="100">
        <v>3728.4</v>
      </c>
      <c r="AT20" s="100">
        <v>14</v>
      </c>
      <c r="AU20" s="100">
        <v>4015.2000000000003</v>
      </c>
      <c r="AV20" s="100">
        <v>9.9388175313778415</v>
      </c>
      <c r="AW20" s="100">
        <v>2850.4528679991649</v>
      </c>
      <c r="AX20" s="100">
        <v>10.096006660267063</v>
      </c>
      <c r="AY20" s="100">
        <v>2895.5347101645939</v>
      </c>
      <c r="AZ20" s="100">
        <v>9.7924936239158438</v>
      </c>
      <c r="BA20" s="100">
        <v>2808.4871713390639</v>
      </c>
      <c r="BB20" s="100">
        <v>3.2103343547884529</v>
      </c>
      <c r="BC20" s="100">
        <v>920.72389295332835</v>
      </c>
      <c r="BD20" s="100">
        <v>15</v>
      </c>
      <c r="BE20" s="100">
        <v>4302</v>
      </c>
      <c r="BF20" s="100">
        <v>10</v>
      </c>
      <c r="BG20" s="100">
        <v>2868</v>
      </c>
      <c r="BH20" s="100">
        <v>11.068531464095848</v>
      </c>
      <c r="BI20" s="100">
        <v>3174.4548239026894</v>
      </c>
      <c r="BJ20" s="100">
        <v>3.6990305219732691</v>
      </c>
      <c r="BK20" s="100">
        <v>1060.8819537019335</v>
      </c>
      <c r="BL20" s="100">
        <v>8</v>
      </c>
      <c r="BM20" s="100">
        <v>2294.4</v>
      </c>
      <c r="BN20" s="100">
        <v>10</v>
      </c>
      <c r="BO20" s="100">
        <v>2868</v>
      </c>
      <c r="BP20" s="100">
        <v>9</v>
      </c>
      <c r="BQ20" s="100">
        <v>2581.2000000000003</v>
      </c>
      <c r="BR20" s="100">
        <v>11.346169384931287</v>
      </c>
      <c r="BS20" s="100">
        <v>3254.0813795982931</v>
      </c>
      <c r="BT20" s="100">
        <v>1.1364245283228052</v>
      </c>
      <c r="BU20" s="100">
        <v>325.92655472298054</v>
      </c>
      <c r="BV20" s="100">
        <v>8.881238607430836</v>
      </c>
      <c r="BW20" s="100">
        <v>2547.1392326111641</v>
      </c>
      <c r="BX20" s="100">
        <v>12</v>
      </c>
      <c r="BY20" s="100">
        <v>3441.6000000000004</v>
      </c>
      <c r="BZ20" s="100">
        <v>13</v>
      </c>
      <c r="CA20" s="100">
        <v>3728.4</v>
      </c>
      <c r="CB20" s="100">
        <v>9.9792134228864491</v>
      </c>
      <c r="CC20" s="100">
        <v>2862.0384096838338</v>
      </c>
      <c r="CD20" s="100">
        <v>10.817953193033718</v>
      </c>
      <c r="CE20" s="100">
        <v>3102.5889757620703</v>
      </c>
      <c r="CF20" s="100">
        <v>8.8672201794846135E-4</v>
      </c>
      <c r="CG20" s="100">
        <v>0.25431187474761874</v>
      </c>
      <c r="CH20" s="100">
        <v>13</v>
      </c>
      <c r="CI20" s="100">
        <v>3728.4</v>
      </c>
      <c r="CJ20" s="100">
        <v>9</v>
      </c>
      <c r="CK20" s="100">
        <v>2581.2000000000003</v>
      </c>
      <c r="CL20" s="100">
        <v>11</v>
      </c>
      <c r="CM20" s="100">
        <v>3154.8</v>
      </c>
      <c r="CN20" s="100">
        <v>9</v>
      </c>
      <c r="CO20" s="100">
        <v>2581.2000000000003</v>
      </c>
      <c r="CP20" s="100">
        <v>8</v>
      </c>
      <c r="CQ20" s="100">
        <v>2294.4</v>
      </c>
      <c r="CR20" s="100">
        <v>13</v>
      </c>
      <c r="CS20" s="100">
        <v>3728.4</v>
      </c>
      <c r="CT20" s="100">
        <v>6.7680731477230207</v>
      </c>
      <c r="CU20" s="100">
        <v>1941.0833787669624</v>
      </c>
    </row>
    <row r="21" spans="2:99">
      <c r="C21" s="99" t="s">
        <v>187</v>
      </c>
      <c r="D21" s="100">
        <v>8</v>
      </c>
      <c r="E21" s="100">
        <v>499.2</v>
      </c>
      <c r="F21" s="100">
        <v>12</v>
      </c>
      <c r="G21" s="100">
        <v>748.8</v>
      </c>
      <c r="H21" s="100">
        <v>11</v>
      </c>
      <c r="I21" s="100">
        <v>686.4</v>
      </c>
      <c r="J21" s="100">
        <v>7</v>
      </c>
      <c r="K21" s="100">
        <v>436.8</v>
      </c>
      <c r="L21" s="100">
        <v>12</v>
      </c>
      <c r="M21" s="100">
        <v>748.8</v>
      </c>
      <c r="N21" s="100">
        <v>9.7043176107383289</v>
      </c>
      <c r="O21" s="100">
        <v>605.54941891007172</v>
      </c>
      <c r="P21" s="100">
        <v>2.4933304242162539</v>
      </c>
      <c r="Q21" s="100">
        <v>155.58381847109425</v>
      </c>
      <c r="R21" s="100">
        <v>12.101034142701257</v>
      </c>
      <c r="S21" s="100">
        <v>755.1045305045584</v>
      </c>
      <c r="T21" s="100">
        <v>11.781908987929091</v>
      </c>
      <c r="U21" s="100">
        <v>735.19112084677522</v>
      </c>
      <c r="V21" s="100">
        <v>9</v>
      </c>
      <c r="W21" s="100">
        <v>561.6</v>
      </c>
      <c r="X21" s="100">
        <v>10.208461624942437</v>
      </c>
      <c r="Y21" s="100">
        <v>637.00800539640807</v>
      </c>
      <c r="Z21" s="100">
        <v>11</v>
      </c>
      <c r="AA21" s="100">
        <v>686.4</v>
      </c>
      <c r="AB21" s="100">
        <v>10</v>
      </c>
      <c r="AC21" s="100">
        <v>624</v>
      </c>
      <c r="AD21" s="100">
        <v>13.186555202821276</v>
      </c>
      <c r="AE21" s="100">
        <v>822.84104465604764</v>
      </c>
      <c r="AF21" s="100">
        <v>13.170758415488541</v>
      </c>
      <c r="AG21" s="100">
        <v>821.8553251264849</v>
      </c>
      <c r="AH21" s="100">
        <v>7.0173701944989197</v>
      </c>
      <c r="AI21" s="100">
        <v>437.88390013673256</v>
      </c>
      <c r="AJ21" s="100">
        <v>13</v>
      </c>
      <c r="AK21" s="100">
        <v>811.19999999999993</v>
      </c>
      <c r="AL21" s="100">
        <v>13.093131996100697</v>
      </c>
      <c r="AM21" s="100">
        <v>817.01143655668341</v>
      </c>
      <c r="AN21" s="100">
        <v>3.2350825147825799</v>
      </c>
      <c r="AO21" s="100">
        <v>201.86914892243297</v>
      </c>
      <c r="AP21" s="100">
        <v>13</v>
      </c>
      <c r="AQ21" s="100">
        <v>811.19999999999993</v>
      </c>
      <c r="AR21" s="100">
        <v>13</v>
      </c>
      <c r="AS21" s="100">
        <v>811.19999999999993</v>
      </c>
      <c r="AT21" s="100">
        <v>15</v>
      </c>
      <c r="AU21" s="100">
        <v>936</v>
      </c>
      <c r="AV21" s="100">
        <v>10.932699284515627</v>
      </c>
      <c r="AW21" s="100">
        <v>682.20043535377511</v>
      </c>
      <c r="AX21" s="100">
        <v>9.4229395495825923</v>
      </c>
      <c r="AY21" s="100">
        <v>587.99142789395376</v>
      </c>
      <c r="AZ21" s="100">
        <v>9.7612792825602757</v>
      </c>
      <c r="BA21" s="100">
        <v>609.10382723176122</v>
      </c>
      <c r="BB21" s="100">
        <v>3.4396439515590562</v>
      </c>
      <c r="BC21" s="100">
        <v>214.6337825772851</v>
      </c>
      <c r="BD21" s="100">
        <v>16</v>
      </c>
      <c r="BE21" s="100">
        <v>998.4</v>
      </c>
      <c r="BF21" s="100">
        <v>10</v>
      </c>
      <c r="BG21" s="100">
        <v>624</v>
      </c>
      <c r="BH21" s="100">
        <v>11.019961852091491</v>
      </c>
      <c r="BI21" s="100">
        <v>687.64561957050898</v>
      </c>
      <c r="BJ21" s="100">
        <v>3.9632469878285028</v>
      </c>
      <c r="BK21" s="100">
        <v>247.30661204049858</v>
      </c>
      <c r="BL21" s="100">
        <v>9</v>
      </c>
      <c r="BM21" s="100">
        <v>561.6</v>
      </c>
      <c r="BN21" s="100">
        <v>8</v>
      </c>
      <c r="BO21" s="100">
        <v>499.2</v>
      </c>
      <c r="BP21" s="100">
        <v>9</v>
      </c>
      <c r="BQ21" s="100">
        <v>561.6</v>
      </c>
      <c r="BR21" s="100">
        <v>11.346169384931287</v>
      </c>
      <c r="BS21" s="100">
        <v>708.00096961971224</v>
      </c>
      <c r="BT21" s="100">
        <v>1.1364245283228052</v>
      </c>
      <c r="BU21" s="100">
        <v>70.912890567343041</v>
      </c>
      <c r="BV21" s="100">
        <v>8.881238607430836</v>
      </c>
      <c r="BW21" s="100">
        <v>554.18928910368413</v>
      </c>
      <c r="BX21" s="100">
        <v>15</v>
      </c>
      <c r="BY21" s="100">
        <v>936</v>
      </c>
      <c r="BZ21" s="100">
        <v>14</v>
      </c>
      <c r="CA21" s="100">
        <v>873.6</v>
      </c>
      <c r="CB21" s="100">
        <v>10.025842633500091</v>
      </c>
      <c r="CC21" s="100">
        <v>625.61258033040565</v>
      </c>
      <c r="CD21" s="100">
        <v>10.817953193033718</v>
      </c>
      <c r="CE21" s="100">
        <v>675.04027924530396</v>
      </c>
      <c r="CF21" s="100">
        <v>8.2338473095214259E-4</v>
      </c>
      <c r="CG21" s="100">
        <v>5.1379207211413695E-2</v>
      </c>
      <c r="CH21" s="100">
        <v>11</v>
      </c>
      <c r="CI21" s="100">
        <v>686.4</v>
      </c>
      <c r="CJ21" s="100">
        <v>10</v>
      </c>
      <c r="CK21" s="100">
        <v>624</v>
      </c>
      <c r="CL21" s="100">
        <v>12</v>
      </c>
      <c r="CM21" s="100">
        <v>748.8</v>
      </c>
      <c r="CN21" s="100">
        <v>8</v>
      </c>
      <c r="CO21" s="100">
        <v>499.2</v>
      </c>
      <c r="CP21" s="100">
        <v>9</v>
      </c>
      <c r="CQ21" s="100">
        <v>561.6</v>
      </c>
      <c r="CR21" s="100">
        <v>13</v>
      </c>
      <c r="CS21" s="100">
        <v>811.19999999999993</v>
      </c>
      <c r="CT21" s="100">
        <v>7.5302914544725814</v>
      </c>
      <c r="CU21" s="100">
        <v>469.89018675908909</v>
      </c>
    </row>
    <row r="22" spans="2:99">
      <c r="C22" s="99" t="s">
        <v>188</v>
      </c>
      <c r="D22" s="100">
        <v>7</v>
      </c>
      <c r="E22" s="100">
        <v>1310.3999999999999</v>
      </c>
      <c r="F22" s="100">
        <v>14</v>
      </c>
      <c r="G22" s="100">
        <v>2620.7999999999997</v>
      </c>
      <c r="H22" s="100">
        <v>10</v>
      </c>
      <c r="I22" s="100">
        <v>1872</v>
      </c>
      <c r="J22" s="100">
        <v>8</v>
      </c>
      <c r="K22" s="100">
        <v>1497.6</v>
      </c>
      <c r="L22" s="100">
        <v>12</v>
      </c>
      <c r="M22" s="100">
        <v>2246.3999999999996</v>
      </c>
      <c r="N22" s="100">
        <v>9.6065025244438118</v>
      </c>
      <c r="O22" s="100">
        <v>1798.3372725758816</v>
      </c>
      <c r="P22" s="100">
        <v>2.7703671380180599</v>
      </c>
      <c r="Q22" s="100">
        <v>518.61272823698073</v>
      </c>
      <c r="R22" s="100">
        <v>14.101034142701257</v>
      </c>
      <c r="S22" s="100">
        <v>2639.7135915136751</v>
      </c>
      <c r="T22" s="100">
        <v>11.781908987929091</v>
      </c>
      <c r="U22" s="100">
        <v>2205.5733625403259</v>
      </c>
      <c r="V22" s="100">
        <v>9</v>
      </c>
      <c r="W22" s="100">
        <v>1684.8</v>
      </c>
      <c r="X22" s="100">
        <v>9.1935715088751202</v>
      </c>
      <c r="Y22" s="100">
        <v>1721.0365864614223</v>
      </c>
      <c r="Z22" s="100">
        <v>11</v>
      </c>
      <c r="AA22" s="100">
        <v>2059.1999999999998</v>
      </c>
      <c r="AB22" s="100">
        <v>9</v>
      </c>
      <c r="AC22" s="100">
        <v>1684.8</v>
      </c>
      <c r="AD22" s="100">
        <v>12.244658402619757</v>
      </c>
      <c r="AE22" s="100">
        <v>2292.2000529704183</v>
      </c>
      <c r="AF22" s="100">
        <v>13.170758415488541</v>
      </c>
      <c r="AG22" s="100">
        <v>2465.5659753794548</v>
      </c>
      <c r="AH22" s="100">
        <v>7.0173701944989197</v>
      </c>
      <c r="AI22" s="100">
        <v>1313.6517004101977</v>
      </c>
      <c r="AJ22" s="100">
        <v>13</v>
      </c>
      <c r="AK22" s="100">
        <v>2433.6</v>
      </c>
      <c r="AL22" s="100">
        <v>13.993756360091542</v>
      </c>
      <c r="AM22" s="100">
        <v>2619.6311906091364</v>
      </c>
      <c r="AN22" s="100">
        <v>3.2350825147825799</v>
      </c>
      <c r="AO22" s="100">
        <v>605.60744676729894</v>
      </c>
      <c r="AP22" s="100">
        <v>13</v>
      </c>
      <c r="AQ22" s="100">
        <v>2433.6</v>
      </c>
      <c r="AR22" s="100">
        <v>13</v>
      </c>
      <c r="AS22" s="100">
        <v>2433.6</v>
      </c>
      <c r="AT22" s="100">
        <v>14</v>
      </c>
      <c r="AU22" s="100">
        <v>2620.7999999999997</v>
      </c>
      <c r="AV22" s="100">
        <v>9.9388175313778415</v>
      </c>
      <c r="AW22" s="100">
        <v>1860.5466418739318</v>
      </c>
      <c r="AX22" s="100">
        <v>9.4229395495825923</v>
      </c>
      <c r="AY22" s="100">
        <v>1763.9742836818612</v>
      </c>
      <c r="AZ22" s="100">
        <v>11.079941493919648</v>
      </c>
      <c r="BA22" s="100">
        <v>2074.1650476617579</v>
      </c>
      <c r="BB22" s="100">
        <v>3.66895354832966</v>
      </c>
      <c r="BC22" s="100">
        <v>686.82810424731235</v>
      </c>
      <c r="BD22" s="100">
        <v>15</v>
      </c>
      <c r="BE22" s="100">
        <v>2808</v>
      </c>
      <c r="BF22" s="100">
        <v>11</v>
      </c>
      <c r="BG22" s="100">
        <v>2059.1999999999998</v>
      </c>
      <c r="BH22" s="100">
        <v>10.971392240087134</v>
      </c>
      <c r="BI22" s="100">
        <v>2053.8446273443114</v>
      </c>
      <c r="BJ22" s="100">
        <v>3.9632469878285028</v>
      </c>
      <c r="BK22" s="100">
        <v>741.91983612149568</v>
      </c>
      <c r="BL22" s="100">
        <v>9</v>
      </c>
      <c r="BM22" s="100">
        <v>1684.8</v>
      </c>
      <c r="BN22" s="100">
        <v>8</v>
      </c>
      <c r="BO22" s="100">
        <v>1497.6</v>
      </c>
      <c r="BP22" s="100">
        <v>9</v>
      </c>
      <c r="BQ22" s="100">
        <v>1684.8</v>
      </c>
      <c r="BR22" s="100">
        <v>12.389440558047697</v>
      </c>
      <c r="BS22" s="100">
        <v>2319.3032724665286</v>
      </c>
      <c r="BT22" s="100">
        <v>1.1364245283228052</v>
      </c>
      <c r="BU22" s="100">
        <v>212.73867170202911</v>
      </c>
      <c r="BV22" s="100">
        <v>8.881238607430836</v>
      </c>
      <c r="BW22" s="100">
        <v>1662.5678673110524</v>
      </c>
      <c r="BX22" s="100">
        <v>14</v>
      </c>
      <c r="BY22" s="100">
        <v>2620.7999999999997</v>
      </c>
      <c r="BZ22" s="100">
        <v>13</v>
      </c>
      <c r="CA22" s="100">
        <v>2433.6</v>
      </c>
      <c r="CB22" s="100">
        <v>11.07247184411373</v>
      </c>
      <c r="CC22" s="100">
        <v>2072.7667292180899</v>
      </c>
      <c r="CD22" s="100">
        <v>11.539150072569299</v>
      </c>
      <c r="CE22" s="100">
        <v>2160.1288935849725</v>
      </c>
      <c r="CF22" s="100">
        <v>9.5005930494477999E-4</v>
      </c>
      <c r="CG22" s="100">
        <v>0.1778511018856628</v>
      </c>
      <c r="CH22" s="100">
        <v>13</v>
      </c>
      <c r="CI22" s="100">
        <v>2433.6</v>
      </c>
      <c r="CJ22" s="100">
        <v>8</v>
      </c>
      <c r="CK22" s="100">
        <v>1497.6</v>
      </c>
      <c r="CL22" s="100">
        <v>11</v>
      </c>
      <c r="CM22" s="100">
        <v>2059.1999999999998</v>
      </c>
      <c r="CN22" s="100">
        <v>9</v>
      </c>
      <c r="CO22" s="100">
        <v>1684.8</v>
      </c>
      <c r="CP22" s="100">
        <v>8</v>
      </c>
      <c r="CQ22" s="100">
        <v>1497.6</v>
      </c>
      <c r="CR22" s="100">
        <v>12</v>
      </c>
      <c r="CS22" s="100">
        <v>2246.3999999999996</v>
      </c>
      <c r="CT22" s="100">
        <v>7.5073185512168266</v>
      </c>
      <c r="CU22" s="100">
        <v>1405.3700327877898</v>
      </c>
    </row>
    <row r="23" spans="2:99">
      <c r="C23" s="99" t="s">
        <v>189</v>
      </c>
      <c r="D23" s="100">
        <v>7</v>
      </c>
      <c r="E23" s="100">
        <v>2058</v>
      </c>
      <c r="F23" s="100">
        <v>11</v>
      </c>
      <c r="G23" s="100">
        <v>3234</v>
      </c>
      <c r="H23" s="100">
        <v>11</v>
      </c>
      <c r="I23" s="100">
        <v>3234</v>
      </c>
      <c r="J23" s="100">
        <v>8</v>
      </c>
      <c r="K23" s="100">
        <v>2352</v>
      </c>
      <c r="L23" s="100">
        <v>13</v>
      </c>
      <c r="M23" s="100">
        <v>3822</v>
      </c>
      <c r="N23" s="100">
        <v>9.7043176107383289</v>
      </c>
      <c r="O23" s="100">
        <v>2853.0693775570685</v>
      </c>
      <c r="P23" s="100">
        <v>2.7703671380180599</v>
      </c>
      <c r="Q23" s="100">
        <v>814.48793857730959</v>
      </c>
      <c r="R23" s="100">
        <v>11</v>
      </c>
      <c r="S23" s="100">
        <v>3234</v>
      </c>
      <c r="T23" s="100">
        <v>10.875608296549931</v>
      </c>
      <c r="U23" s="100">
        <v>3197.4288391856799</v>
      </c>
      <c r="V23" s="100">
        <v>9</v>
      </c>
      <c r="W23" s="100">
        <v>2646</v>
      </c>
      <c r="X23" s="100">
        <v>11.19357150887512</v>
      </c>
      <c r="Y23" s="100">
        <v>3290.9100236092854</v>
      </c>
      <c r="Z23" s="100">
        <v>11</v>
      </c>
      <c r="AA23" s="100">
        <v>3234</v>
      </c>
      <c r="AB23" s="100">
        <v>9</v>
      </c>
      <c r="AC23" s="100">
        <v>2646</v>
      </c>
      <c r="AD23" s="100">
        <v>12.244658402619757</v>
      </c>
      <c r="AE23" s="100">
        <v>3599.9295703702087</v>
      </c>
      <c r="AF23" s="100">
        <v>12.199218151403297</v>
      </c>
      <c r="AG23" s="100">
        <v>3586.5701365125692</v>
      </c>
      <c r="AH23" s="100">
        <v>7.0173701944989197</v>
      </c>
      <c r="AI23" s="100">
        <v>2063.1068371826823</v>
      </c>
      <c r="AJ23" s="100">
        <v>12</v>
      </c>
      <c r="AK23" s="100">
        <v>3528</v>
      </c>
      <c r="AL23" s="100">
        <v>12.993756360091542</v>
      </c>
      <c r="AM23" s="100">
        <v>3820.1643698669131</v>
      </c>
      <c r="AN23" s="100">
        <v>2.830697200434757</v>
      </c>
      <c r="AO23" s="100">
        <v>832.2249769278186</v>
      </c>
      <c r="AP23" s="100">
        <v>12</v>
      </c>
      <c r="AQ23" s="100">
        <v>3528</v>
      </c>
      <c r="AR23" s="100">
        <v>14</v>
      </c>
      <c r="AS23" s="100">
        <v>4116</v>
      </c>
      <c r="AT23" s="100">
        <v>15</v>
      </c>
      <c r="AU23" s="100">
        <v>4410</v>
      </c>
      <c r="AV23" s="100">
        <v>10.932699284515627</v>
      </c>
      <c r="AW23" s="100">
        <v>3214.2135896475943</v>
      </c>
      <c r="AX23" s="100">
        <v>9.4229395495825923</v>
      </c>
      <c r="AY23" s="100">
        <v>2770.3442275772823</v>
      </c>
      <c r="AZ23" s="100">
        <v>9.0707338355250204</v>
      </c>
      <c r="BA23" s="100">
        <v>2666.7957476443562</v>
      </c>
      <c r="BB23" s="100">
        <v>3.2103343547884529</v>
      </c>
      <c r="BC23" s="100">
        <v>943.83830030780518</v>
      </c>
      <c r="BD23" s="100">
        <v>15</v>
      </c>
      <c r="BE23" s="100">
        <v>4410</v>
      </c>
      <c r="BF23" s="100">
        <v>10</v>
      </c>
      <c r="BG23" s="100">
        <v>2940</v>
      </c>
      <c r="BH23" s="100">
        <v>11.068531464095848</v>
      </c>
      <c r="BI23" s="100">
        <v>3254.1482504441792</v>
      </c>
      <c r="BJ23" s="100">
        <v>3.9632469878285028</v>
      </c>
      <c r="BK23" s="100">
        <v>1165.1946144215799</v>
      </c>
      <c r="BL23" s="100">
        <v>9</v>
      </c>
      <c r="BM23" s="100">
        <v>2646</v>
      </c>
      <c r="BN23" s="100">
        <v>10</v>
      </c>
      <c r="BO23" s="100">
        <v>2940</v>
      </c>
      <c r="BP23" s="100">
        <v>9</v>
      </c>
      <c r="BQ23" s="100">
        <v>2646</v>
      </c>
      <c r="BR23" s="100">
        <v>13.389440558047697</v>
      </c>
      <c r="BS23" s="100">
        <v>3936.4955240660229</v>
      </c>
      <c r="BT23" s="100">
        <v>1.0101551362869381</v>
      </c>
      <c r="BU23" s="100">
        <v>296.98561006835979</v>
      </c>
      <c r="BV23" s="100">
        <v>9.6886239353790931</v>
      </c>
      <c r="BW23" s="100">
        <v>2848.4554370014534</v>
      </c>
      <c r="BX23" s="100">
        <v>15</v>
      </c>
      <c r="BY23" s="100">
        <v>4410</v>
      </c>
      <c r="BZ23" s="100">
        <v>14</v>
      </c>
      <c r="CA23" s="100">
        <v>4116</v>
      </c>
      <c r="CB23" s="100">
        <v>10.932584212272809</v>
      </c>
      <c r="CC23" s="100">
        <v>3214.179758408206</v>
      </c>
      <c r="CD23" s="100">
        <v>10.817953193033718</v>
      </c>
      <c r="CE23" s="100">
        <v>3180.4782387519131</v>
      </c>
      <c r="CF23" s="100">
        <v>8.8672201794846135E-4</v>
      </c>
      <c r="CG23" s="100">
        <v>0.26069627327684763</v>
      </c>
      <c r="CH23" s="100">
        <v>12</v>
      </c>
      <c r="CI23" s="100">
        <v>3528</v>
      </c>
      <c r="CJ23" s="100">
        <v>9</v>
      </c>
      <c r="CK23" s="100">
        <v>2646</v>
      </c>
      <c r="CL23" s="100">
        <v>11</v>
      </c>
      <c r="CM23" s="100">
        <v>3234</v>
      </c>
      <c r="CN23" s="100">
        <v>9</v>
      </c>
      <c r="CO23" s="100">
        <v>2646</v>
      </c>
      <c r="CP23" s="100">
        <v>9</v>
      </c>
      <c r="CQ23" s="100">
        <v>2646</v>
      </c>
      <c r="CR23" s="100">
        <v>13</v>
      </c>
      <c r="CS23" s="100">
        <v>3822</v>
      </c>
      <c r="CT23" s="100">
        <v>7.484345647961069</v>
      </c>
      <c r="CU23" s="100">
        <v>2200.3976205005542</v>
      </c>
    </row>
    <row r="24" spans="2:99">
      <c r="C24" s="99" t="s">
        <v>190</v>
      </c>
      <c r="D24" s="100">
        <v>8</v>
      </c>
      <c r="E24" s="100">
        <v>2937.6</v>
      </c>
      <c r="F24" s="100">
        <v>12</v>
      </c>
      <c r="G24" s="100">
        <v>4406.3999999999996</v>
      </c>
      <c r="H24" s="100">
        <v>10</v>
      </c>
      <c r="I24" s="100">
        <v>3672</v>
      </c>
      <c r="J24" s="100">
        <v>7</v>
      </c>
      <c r="K24" s="100">
        <v>2570.4</v>
      </c>
      <c r="L24" s="100">
        <v>11</v>
      </c>
      <c r="M24" s="100">
        <v>4039.2</v>
      </c>
      <c r="N24" s="100">
        <v>8.7632303755528511</v>
      </c>
      <c r="O24" s="100">
        <v>3217.8581939030068</v>
      </c>
      <c r="P24" s="100">
        <v>2.4933304242162539</v>
      </c>
      <c r="Q24" s="100">
        <v>915.5509317722084</v>
      </c>
      <c r="R24" s="100">
        <v>11.106977327566037</v>
      </c>
      <c r="S24" s="100">
        <v>4078.4820746822488</v>
      </c>
      <c r="T24" s="100">
        <v>10.875608296549931</v>
      </c>
      <c r="U24" s="100">
        <v>3993.5233664931347</v>
      </c>
      <c r="V24" s="100">
        <v>9</v>
      </c>
      <c r="W24" s="100">
        <v>3304.7999999999997</v>
      </c>
      <c r="X24" s="100">
        <v>11.208461624942437</v>
      </c>
      <c r="Y24" s="100">
        <v>4115.7471086788628</v>
      </c>
      <c r="Z24" s="100">
        <v>11</v>
      </c>
      <c r="AA24" s="100">
        <v>4039.2</v>
      </c>
      <c r="AB24" s="100">
        <v>9</v>
      </c>
      <c r="AC24" s="100">
        <v>3304.7999999999997</v>
      </c>
      <c r="AD24" s="100">
        <v>13.186555202821276</v>
      </c>
      <c r="AE24" s="100">
        <v>4842.1030704759723</v>
      </c>
      <c r="AF24" s="100">
        <v>12.180244994126793</v>
      </c>
      <c r="AG24" s="100">
        <v>4472.5859618433587</v>
      </c>
      <c r="AH24" s="100">
        <v>6.3794274495444734</v>
      </c>
      <c r="AI24" s="100">
        <v>2342.5257594727304</v>
      </c>
      <c r="AJ24" s="100">
        <v>13</v>
      </c>
      <c r="AK24" s="100">
        <v>4773.5999999999995</v>
      </c>
      <c r="AL24" s="100">
        <v>14.093131996100697</v>
      </c>
      <c r="AM24" s="100">
        <v>5174.9980689681761</v>
      </c>
      <c r="AN24" s="100">
        <v>2.830697200434757</v>
      </c>
      <c r="AO24" s="100">
        <v>1039.4320119996428</v>
      </c>
      <c r="AP24" s="100">
        <v>12</v>
      </c>
      <c r="AQ24" s="100">
        <v>4406.3999999999996</v>
      </c>
      <c r="AR24" s="100">
        <v>13</v>
      </c>
      <c r="AS24" s="100">
        <v>4773.5999999999995</v>
      </c>
      <c r="AT24" s="100">
        <v>14</v>
      </c>
      <c r="AU24" s="100">
        <v>5140.8</v>
      </c>
      <c r="AV24" s="100">
        <v>10.932699284515627</v>
      </c>
      <c r="AW24" s="100">
        <v>4014.487177274138</v>
      </c>
      <c r="AX24" s="100">
        <v>10.096006660267063</v>
      </c>
      <c r="AY24" s="100">
        <v>3707.2536456500657</v>
      </c>
      <c r="AZ24" s="100">
        <v>9.1331625182361567</v>
      </c>
      <c r="BA24" s="100">
        <v>3353.6972766963167</v>
      </c>
      <c r="BB24" s="100">
        <v>3.2103343547884529</v>
      </c>
      <c r="BC24" s="100">
        <v>1178.8347750783198</v>
      </c>
      <c r="BD24" s="100">
        <v>15</v>
      </c>
      <c r="BE24" s="100">
        <v>5508</v>
      </c>
      <c r="BF24" s="100">
        <v>11</v>
      </c>
      <c r="BG24" s="100">
        <v>4039.2</v>
      </c>
      <c r="BH24" s="100">
        <v>10.019961852091491</v>
      </c>
      <c r="BI24" s="100">
        <v>3679.3299920879954</v>
      </c>
      <c r="BJ24" s="100">
        <v>3.6990305219732691</v>
      </c>
      <c r="BK24" s="100">
        <v>1358.2840076685843</v>
      </c>
      <c r="BL24" s="100">
        <v>9</v>
      </c>
      <c r="BM24" s="100">
        <v>3304.7999999999997</v>
      </c>
      <c r="BN24" s="100">
        <v>8</v>
      </c>
      <c r="BO24" s="100">
        <v>2937.6</v>
      </c>
      <c r="BP24" s="100">
        <v>8</v>
      </c>
      <c r="BQ24" s="100">
        <v>2937.6</v>
      </c>
      <c r="BR24" s="100">
        <v>12.367804971489491</v>
      </c>
      <c r="BS24" s="100">
        <v>4541.4579855309412</v>
      </c>
      <c r="BT24" s="100">
        <v>1.2476293345404554</v>
      </c>
      <c r="BU24" s="100">
        <v>458.12949164325522</v>
      </c>
      <c r="BV24" s="100">
        <v>8.881238607430836</v>
      </c>
      <c r="BW24" s="100">
        <v>3261.1908166486028</v>
      </c>
      <c r="BX24" s="100">
        <v>13</v>
      </c>
      <c r="BY24" s="100">
        <v>4773.5999999999995</v>
      </c>
      <c r="BZ24" s="100">
        <v>14</v>
      </c>
      <c r="CA24" s="100">
        <v>5140.8</v>
      </c>
      <c r="CB24" s="100">
        <v>9.9325842122728094</v>
      </c>
      <c r="CC24" s="100">
        <v>3647.2449227465754</v>
      </c>
      <c r="CD24" s="100">
        <v>11.539150072569299</v>
      </c>
      <c r="CE24" s="100">
        <v>4237.1759066474469</v>
      </c>
      <c r="CF24" s="100">
        <v>8.2338473095214259E-4</v>
      </c>
      <c r="CG24" s="100">
        <v>0.30234687320562675</v>
      </c>
      <c r="CH24" s="100">
        <v>12</v>
      </c>
      <c r="CI24" s="100">
        <v>4406.3999999999996</v>
      </c>
      <c r="CJ24" s="100">
        <v>10</v>
      </c>
      <c r="CK24" s="100">
        <v>3672</v>
      </c>
      <c r="CL24" s="100">
        <v>12</v>
      </c>
      <c r="CM24" s="100">
        <v>4406.3999999999996</v>
      </c>
      <c r="CN24" s="100">
        <v>8</v>
      </c>
      <c r="CO24" s="100">
        <v>2937.6</v>
      </c>
      <c r="CP24" s="100">
        <v>9</v>
      </c>
      <c r="CQ24" s="100">
        <v>3304.7999999999997</v>
      </c>
      <c r="CR24" s="100">
        <v>13</v>
      </c>
      <c r="CS24" s="100">
        <v>4773.5999999999995</v>
      </c>
      <c r="CT24" s="100">
        <v>7.5073185512168266</v>
      </c>
      <c r="CU24" s="100">
        <v>2756.6873720068188</v>
      </c>
    </row>
    <row r="25" spans="2:99">
      <c r="C25" s="99" t="s">
        <v>191</v>
      </c>
      <c r="D25" s="100">
        <v>8</v>
      </c>
      <c r="E25" s="100">
        <v>4243.2</v>
      </c>
      <c r="F25" s="100">
        <v>11</v>
      </c>
      <c r="G25" s="100">
        <v>5834.4</v>
      </c>
      <c r="H25" s="100">
        <v>10</v>
      </c>
      <c r="I25" s="100">
        <v>5304</v>
      </c>
      <c r="J25" s="100">
        <v>7</v>
      </c>
      <c r="K25" s="100">
        <v>3712.7999999999997</v>
      </c>
      <c r="L25" s="100">
        <v>11</v>
      </c>
      <c r="M25" s="100">
        <v>5834.4</v>
      </c>
      <c r="N25" s="100">
        <v>9.7043176107383289</v>
      </c>
      <c r="O25" s="100">
        <v>5147.1700607356097</v>
      </c>
      <c r="P25" s="100">
        <v>2.7703671380180599</v>
      </c>
      <c r="Q25" s="100">
        <v>1469.402730004779</v>
      </c>
      <c r="R25" s="100">
        <v>13</v>
      </c>
      <c r="S25" s="100">
        <v>6895.2</v>
      </c>
      <c r="T25" s="100">
        <v>10.875608296549931</v>
      </c>
      <c r="U25" s="100">
        <v>5768.4226404900828</v>
      </c>
      <c r="V25" s="100">
        <v>10</v>
      </c>
      <c r="W25" s="100">
        <v>5304</v>
      </c>
      <c r="X25" s="100">
        <v>10.19357150887512</v>
      </c>
      <c r="Y25" s="100">
        <v>5406.6703283073639</v>
      </c>
      <c r="Z25" s="100">
        <v>11</v>
      </c>
      <c r="AA25" s="100">
        <v>5834.4</v>
      </c>
      <c r="AB25" s="100">
        <v>10</v>
      </c>
      <c r="AC25" s="100">
        <v>5304</v>
      </c>
      <c r="AD25" s="100">
        <v>13.186555202821276</v>
      </c>
      <c r="AE25" s="100">
        <v>6994.1488795764044</v>
      </c>
      <c r="AF25" s="100">
        <v>11</v>
      </c>
      <c r="AG25" s="100">
        <v>5834.4</v>
      </c>
      <c r="AH25" s="100">
        <v>6.3794274495444734</v>
      </c>
      <c r="AI25" s="100">
        <v>3383.6483192383885</v>
      </c>
      <c r="AJ25" s="100">
        <v>13</v>
      </c>
      <c r="AK25" s="100">
        <v>6895.2</v>
      </c>
      <c r="AL25" s="100">
        <v>12.04344417809612</v>
      </c>
      <c r="AM25" s="100">
        <v>6387.8427920621816</v>
      </c>
      <c r="AN25" s="100">
        <v>3.6394678291304023</v>
      </c>
      <c r="AO25" s="100">
        <v>1930.3737365707652</v>
      </c>
      <c r="AP25" s="100">
        <v>13</v>
      </c>
      <c r="AQ25" s="100">
        <v>6895.2</v>
      </c>
      <c r="AR25" s="100">
        <v>12</v>
      </c>
      <c r="AS25" s="100">
        <v>6364.7999999999993</v>
      </c>
      <c r="AT25" s="100">
        <v>15</v>
      </c>
      <c r="AU25" s="100">
        <v>7956</v>
      </c>
      <c r="AV25" s="100">
        <v>9.9388175313778415</v>
      </c>
      <c r="AW25" s="100">
        <v>5271.5488186428065</v>
      </c>
      <c r="AX25" s="100">
        <v>10.769073770951534</v>
      </c>
      <c r="AY25" s="100">
        <v>5711.9167281126938</v>
      </c>
      <c r="AZ25" s="100">
        <v>9.0707338355250204</v>
      </c>
      <c r="BA25" s="100">
        <v>4811.1172263624703</v>
      </c>
      <c r="BB25" s="100">
        <v>3.4396439515590562</v>
      </c>
      <c r="BC25" s="100">
        <v>1824.3871519069232</v>
      </c>
      <c r="BD25" s="100">
        <v>16</v>
      </c>
      <c r="BE25" s="100">
        <v>8486.4</v>
      </c>
      <c r="BF25" s="100">
        <v>11</v>
      </c>
      <c r="BG25" s="100">
        <v>5834.4</v>
      </c>
      <c r="BH25" s="100">
        <v>10.019961852091491</v>
      </c>
      <c r="BI25" s="100">
        <v>5314.5877663493266</v>
      </c>
      <c r="BJ25" s="100">
        <v>3.4348140561180358</v>
      </c>
      <c r="BK25" s="100">
        <v>1821.825375365006</v>
      </c>
      <c r="BL25" s="100">
        <v>8</v>
      </c>
      <c r="BM25" s="100">
        <v>4243.2</v>
      </c>
      <c r="BN25" s="100">
        <v>10</v>
      </c>
      <c r="BO25" s="100">
        <v>5304</v>
      </c>
      <c r="BP25" s="100">
        <v>9</v>
      </c>
      <c r="BQ25" s="100">
        <v>4773.5999999999995</v>
      </c>
      <c r="BR25" s="100">
        <v>12.367804971489491</v>
      </c>
      <c r="BS25" s="100">
        <v>6559.8837568780255</v>
      </c>
      <c r="BT25" s="100">
        <v>1.1364245283228052</v>
      </c>
      <c r="BU25" s="100">
        <v>602.75956982241587</v>
      </c>
      <c r="BV25" s="100">
        <v>8.881238607430836</v>
      </c>
      <c r="BW25" s="100">
        <v>4710.6089573813151</v>
      </c>
      <c r="BX25" s="100">
        <v>14</v>
      </c>
      <c r="BY25" s="100">
        <v>7425.5999999999995</v>
      </c>
      <c r="BZ25" s="100">
        <v>12</v>
      </c>
      <c r="CA25" s="100">
        <v>6364.7999999999993</v>
      </c>
      <c r="CB25" s="100">
        <v>9.0258426335000905</v>
      </c>
      <c r="CC25" s="100">
        <v>4787.3069328084475</v>
      </c>
      <c r="CD25" s="100">
        <v>10.817953193033718</v>
      </c>
      <c r="CE25" s="100">
        <v>5737.8423735850838</v>
      </c>
      <c r="CF25" s="100">
        <v>8.8672201794846135E-4</v>
      </c>
      <c r="CG25" s="100">
        <v>0.47031735831986388</v>
      </c>
      <c r="CH25" s="100">
        <v>12</v>
      </c>
      <c r="CI25" s="100">
        <v>6364.7999999999993</v>
      </c>
      <c r="CJ25" s="100">
        <v>9</v>
      </c>
      <c r="CK25" s="100">
        <v>4773.5999999999995</v>
      </c>
      <c r="CL25" s="100">
        <v>11</v>
      </c>
      <c r="CM25" s="100">
        <v>5834.4</v>
      </c>
      <c r="CN25" s="100">
        <v>8</v>
      </c>
      <c r="CO25" s="100">
        <v>4243.2</v>
      </c>
      <c r="CP25" s="100">
        <v>10</v>
      </c>
      <c r="CQ25" s="100">
        <v>5304</v>
      </c>
      <c r="CR25" s="100">
        <v>13</v>
      </c>
      <c r="CS25" s="100">
        <v>6895.2</v>
      </c>
      <c r="CT25" s="100">
        <v>7.484345647961069</v>
      </c>
      <c r="CU25" s="100">
        <v>3969.6969316785508</v>
      </c>
    </row>
    <row r="26" spans="2:99">
      <c r="C26" s="99" t="s">
        <v>192</v>
      </c>
      <c r="D26" s="100">
        <v>8</v>
      </c>
      <c r="E26" s="100">
        <v>3888</v>
      </c>
      <c r="F26" s="100">
        <v>13</v>
      </c>
      <c r="G26" s="100">
        <v>6318</v>
      </c>
      <c r="H26" s="100">
        <v>10</v>
      </c>
      <c r="I26" s="100">
        <v>4860</v>
      </c>
      <c r="J26" s="100">
        <v>8</v>
      </c>
      <c r="K26" s="100">
        <v>3888</v>
      </c>
      <c r="L26" s="100">
        <v>11</v>
      </c>
      <c r="M26" s="100">
        <v>5346</v>
      </c>
      <c r="N26" s="100">
        <v>9.7043176107383289</v>
      </c>
      <c r="O26" s="100">
        <v>4716.2983588188281</v>
      </c>
      <c r="P26" s="100">
        <v>2.4933304242162539</v>
      </c>
      <c r="Q26" s="100">
        <v>1211.7585861690993</v>
      </c>
      <c r="R26" s="100">
        <v>12</v>
      </c>
      <c r="S26" s="100">
        <v>5832</v>
      </c>
      <c r="T26" s="100">
        <v>10.875608296549931</v>
      </c>
      <c r="U26" s="100">
        <v>5285.5456321232668</v>
      </c>
      <c r="V26" s="100">
        <v>9</v>
      </c>
      <c r="W26" s="100">
        <v>4374</v>
      </c>
      <c r="X26" s="100">
        <v>11.223351741009754</v>
      </c>
      <c r="Y26" s="100">
        <v>5454.5489461307407</v>
      </c>
      <c r="Z26" s="100">
        <v>11</v>
      </c>
      <c r="AA26" s="100">
        <v>5346</v>
      </c>
      <c r="AB26" s="100">
        <v>9</v>
      </c>
      <c r="AC26" s="100">
        <v>4374</v>
      </c>
      <c r="AD26" s="100">
        <v>13.186555202821276</v>
      </c>
      <c r="AE26" s="100">
        <v>6408.6658285711401</v>
      </c>
      <c r="AF26" s="100">
        <v>12.161271836850288</v>
      </c>
      <c r="AG26" s="100">
        <v>5910.3781127092398</v>
      </c>
      <c r="AH26" s="100">
        <v>7.0173701944989197</v>
      </c>
      <c r="AI26" s="100">
        <v>3410.4419145264751</v>
      </c>
      <c r="AJ26" s="100">
        <v>12</v>
      </c>
      <c r="AK26" s="100">
        <v>5832</v>
      </c>
      <c r="AL26" s="100">
        <v>13.093131996100697</v>
      </c>
      <c r="AM26" s="100">
        <v>6363.2621501049389</v>
      </c>
      <c r="AN26" s="100">
        <v>3.2350825147825799</v>
      </c>
      <c r="AO26" s="100">
        <v>1572.2501021843339</v>
      </c>
      <c r="AP26" s="100">
        <v>13</v>
      </c>
      <c r="AQ26" s="100">
        <v>6318</v>
      </c>
      <c r="AR26" s="100">
        <v>14</v>
      </c>
      <c r="AS26" s="100">
        <v>6804</v>
      </c>
      <c r="AT26" s="100">
        <v>15</v>
      </c>
      <c r="AU26" s="100">
        <v>7290</v>
      </c>
      <c r="AV26" s="100">
        <v>10.932699284515627</v>
      </c>
      <c r="AW26" s="100">
        <v>5313.2918522745949</v>
      </c>
      <c r="AX26" s="100">
        <v>10.096006660267063</v>
      </c>
      <c r="AY26" s="100">
        <v>4906.6592368897927</v>
      </c>
      <c r="AZ26" s="100">
        <v>10.451824729595531</v>
      </c>
      <c r="BA26" s="100">
        <v>5079.5868185834279</v>
      </c>
      <c r="BB26" s="100">
        <v>3.2103343547884529</v>
      </c>
      <c r="BC26" s="100">
        <v>1560.2224964271882</v>
      </c>
      <c r="BD26" s="100">
        <v>14</v>
      </c>
      <c r="BE26" s="100">
        <v>6804</v>
      </c>
      <c r="BF26" s="100">
        <v>11</v>
      </c>
      <c r="BG26" s="100">
        <v>5346</v>
      </c>
      <c r="BH26" s="100">
        <v>11.068531464095848</v>
      </c>
      <c r="BI26" s="100">
        <v>5379.3062915505825</v>
      </c>
      <c r="BJ26" s="100">
        <v>3.9632469878285028</v>
      </c>
      <c r="BK26" s="100">
        <v>1926.1380360846524</v>
      </c>
      <c r="BL26" s="100">
        <v>8</v>
      </c>
      <c r="BM26" s="100">
        <v>3888</v>
      </c>
      <c r="BN26" s="100">
        <v>9</v>
      </c>
      <c r="BO26" s="100">
        <v>4374</v>
      </c>
      <c r="BP26" s="100">
        <v>9</v>
      </c>
      <c r="BQ26" s="100">
        <v>4374</v>
      </c>
      <c r="BR26" s="100">
        <v>12.367804971489491</v>
      </c>
      <c r="BS26" s="100">
        <v>6010.753216143893</v>
      </c>
      <c r="BT26" s="100">
        <v>1.1364245283228052</v>
      </c>
      <c r="BU26" s="100">
        <v>552.30232076488335</v>
      </c>
      <c r="BV26" s="100">
        <v>9.6886239353790931</v>
      </c>
      <c r="BW26" s="100">
        <v>4708.671232594239</v>
      </c>
      <c r="BX26" s="100">
        <v>14</v>
      </c>
      <c r="BY26" s="100">
        <v>6804</v>
      </c>
      <c r="BZ26" s="100">
        <v>14</v>
      </c>
      <c r="CA26" s="100">
        <v>6804</v>
      </c>
      <c r="CB26" s="100">
        <v>9.9325842122728094</v>
      </c>
      <c r="CC26" s="100">
        <v>4827.2359271645855</v>
      </c>
      <c r="CD26" s="100">
        <v>10.096756313498137</v>
      </c>
      <c r="CE26" s="100">
        <v>4907.0235683600949</v>
      </c>
      <c r="CF26" s="100">
        <v>8.2338473095214259E-4</v>
      </c>
      <c r="CG26" s="100">
        <v>0.4001649792427413</v>
      </c>
      <c r="CH26" s="100">
        <v>13</v>
      </c>
      <c r="CI26" s="100">
        <v>6318</v>
      </c>
      <c r="CJ26" s="100">
        <v>10</v>
      </c>
      <c r="CK26" s="100">
        <v>4860</v>
      </c>
      <c r="CL26" s="100">
        <v>10</v>
      </c>
      <c r="CM26" s="100">
        <v>4860</v>
      </c>
      <c r="CN26" s="100">
        <v>8</v>
      </c>
      <c r="CO26" s="100">
        <v>3888</v>
      </c>
      <c r="CP26" s="100">
        <v>9</v>
      </c>
      <c r="CQ26" s="100">
        <v>4374</v>
      </c>
      <c r="CR26" s="100">
        <v>13</v>
      </c>
      <c r="CS26" s="100">
        <v>6318</v>
      </c>
      <c r="CT26" s="100">
        <v>7.5073185512168266</v>
      </c>
      <c r="CU26" s="100">
        <v>3648.5568158913775</v>
      </c>
    </row>
    <row r="27" spans="2:99">
      <c r="C27" s="99" t="s">
        <v>193</v>
      </c>
      <c r="D27" s="100">
        <v>8</v>
      </c>
      <c r="E27" s="100">
        <v>3417.6</v>
      </c>
      <c r="F27" s="100">
        <v>12</v>
      </c>
      <c r="G27" s="100">
        <v>5126.3999999999996</v>
      </c>
      <c r="H27" s="100">
        <v>12</v>
      </c>
      <c r="I27" s="100">
        <v>5126.3999999999996</v>
      </c>
      <c r="J27" s="100">
        <v>7</v>
      </c>
      <c r="K27" s="100">
        <v>2990.4</v>
      </c>
      <c r="L27" s="100">
        <v>11</v>
      </c>
      <c r="M27" s="100">
        <v>4699.2</v>
      </c>
      <c r="N27" s="100">
        <v>9.6391075532086496</v>
      </c>
      <c r="O27" s="100">
        <v>4117.8267467307351</v>
      </c>
      <c r="P27" s="100">
        <v>2.7703671380180599</v>
      </c>
      <c r="Q27" s="100">
        <v>1183.5008413613152</v>
      </c>
      <c r="R27" s="100">
        <v>12</v>
      </c>
      <c r="S27" s="100">
        <v>5126.3999999999996</v>
      </c>
      <c r="T27" s="100">
        <v>11.781908987929091</v>
      </c>
      <c r="U27" s="100">
        <v>5033.2315196433074</v>
      </c>
      <c r="V27" s="100">
        <v>10</v>
      </c>
      <c r="W27" s="100">
        <v>4272</v>
      </c>
      <c r="X27" s="100">
        <v>11.238241857077071</v>
      </c>
      <c r="Y27" s="100">
        <v>4800.9769213433246</v>
      </c>
      <c r="Z27" s="100">
        <v>12</v>
      </c>
      <c r="AA27" s="100">
        <v>5126.3999999999996</v>
      </c>
      <c r="AB27" s="100">
        <v>10</v>
      </c>
      <c r="AC27" s="100">
        <v>4272</v>
      </c>
      <c r="AD27" s="100">
        <v>12.244658402619757</v>
      </c>
      <c r="AE27" s="100">
        <v>5230.9180695991599</v>
      </c>
      <c r="AF27" s="100">
        <v>11.189731572765046</v>
      </c>
      <c r="AG27" s="100">
        <v>4780.2533278852279</v>
      </c>
      <c r="AH27" s="100">
        <v>6.3794274495444734</v>
      </c>
      <c r="AI27" s="100">
        <v>2725.2914064453989</v>
      </c>
      <c r="AJ27" s="100">
        <v>13</v>
      </c>
      <c r="AK27" s="100">
        <v>5553.5999999999995</v>
      </c>
      <c r="AL27" s="100">
        <v>13.944068542086965</v>
      </c>
      <c r="AM27" s="100">
        <v>5956.9060811795516</v>
      </c>
      <c r="AN27" s="100">
        <v>3.2350825147825799</v>
      </c>
      <c r="AO27" s="100">
        <v>1382.0272503151182</v>
      </c>
      <c r="AP27" s="100">
        <v>13</v>
      </c>
      <c r="AQ27" s="100">
        <v>5553.5999999999995</v>
      </c>
      <c r="AR27" s="100">
        <v>13</v>
      </c>
      <c r="AS27" s="100">
        <v>5553.5999999999995</v>
      </c>
      <c r="AT27" s="100">
        <v>14</v>
      </c>
      <c r="AU27" s="100">
        <v>5980.8</v>
      </c>
      <c r="AV27" s="100">
        <v>9.9388175313778415</v>
      </c>
      <c r="AW27" s="100">
        <v>4245.8628494046134</v>
      </c>
      <c r="AX27" s="100">
        <v>9.4229395495825923</v>
      </c>
      <c r="AY27" s="100">
        <v>4025.4797755816835</v>
      </c>
      <c r="AZ27" s="100">
        <v>9.6988505998491394</v>
      </c>
      <c r="BA27" s="100">
        <v>4143.3489762555519</v>
      </c>
      <c r="BB27" s="100">
        <v>3.2103343547884529</v>
      </c>
      <c r="BC27" s="100">
        <v>1371.454836365627</v>
      </c>
      <c r="BD27" s="100">
        <v>14</v>
      </c>
      <c r="BE27" s="100">
        <v>5980.8</v>
      </c>
      <c r="BF27" s="100">
        <v>10</v>
      </c>
      <c r="BG27" s="100">
        <v>4272</v>
      </c>
      <c r="BH27" s="100">
        <v>9.971392240087134</v>
      </c>
      <c r="BI27" s="100">
        <v>4259.7787649652237</v>
      </c>
      <c r="BJ27" s="100">
        <v>3.9632469878285028</v>
      </c>
      <c r="BK27" s="100">
        <v>1693.0991132003364</v>
      </c>
      <c r="BL27" s="100">
        <v>9</v>
      </c>
      <c r="BM27" s="100">
        <v>3844.7999999999997</v>
      </c>
      <c r="BN27" s="100">
        <v>8</v>
      </c>
      <c r="BO27" s="100">
        <v>3417.6</v>
      </c>
      <c r="BP27" s="100">
        <v>8</v>
      </c>
      <c r="BQ27" s="100">
        <v>3417.6</v>
      </c>
      <c r="BR27" s="100">
        <v>13.367804971489491</v>
      </c>
      <c r="BS27" s="100">
        <v>5710.7262838203105</v>
      </c>
      <c r="BT27" s="100">
        <v>1.1165249509299076</v>
      </c>
      <c r="BU27" s="100">
        <v>476.9794590372565</v>
      </c>
      <c r="BV27" s="100">
        <v>9.6886239353790931</v>
      </c>
      <c r="BW27" s="100">
        <v>4138.9801451939484</v>
      </c>
      <c r="BX27" s="100">
        <v>13</v>
      </c>
      <c r="BY27" s="100">
        <v>5553.5999999999995</v>
      </c>
      <c r="BZ27" s="100">
        <v>12</v>
      </c>
      <c r="CA27" s="100">
        <v>5126.3999999999996</v>
      </c>
      <c r="CB27" s="100">
        <v>9.9325842122728094</v>
      </c>
      <c r="CC27" s="100">
        <v>4243.199975482944</v>
      </c>
      <c r="CD27" s="100">
        <v>10.096756313498137</v>
      </c>
      <c r="CE27" s="100">
        <v>4313.3342971264037</v>
      </c>
      <c r="CF27" s="100">
        <v>8.8672201794846135E-4</v>
      </c>
      <c r="CG27" s="100">
        <v>0.37880764606758266</v>
      </c>
      <c r="CH27" s="100">
        <v>12</v>
      </c>
      <c r="CI27" s="100">
        <v>5126.3999999999996</v>
      </c>
      <c r="CJ27" s="100">
        <v>9</v>
      </c>
      <c r="CK27" s="100">
        <v>3844.7999999999997</v>
      </c>
      <c r="CL27" s="100">
        <v>11</v>
      </c>
      <c r="CM27" s="100">
        <v>4699.2</v>
      </c>
      <c r="CN27" s="100">
        <v>8</v>
      </c>
      <c r="CO27" s="100">
        <v>3417.6</v>
      </c>
      <c r="CP27" s="100">
        <v>9</v>
      </c>
      <c r="CQ27" s="100">
        <v>3844.7999999999997</v>
      </c>
      <c r="CR27" s="100">
        <v>13</v>
      </c>
      <c r="CS27" s="100">
        <v>5553.5999999999995</v>
      </c>
      <c r="CT27" s="100">
        <v>7.484345647961069</v>
      </c>
      <c r="CU27" s="100">
        <v>3197.3124608089688</v>
      </c>
    </row>
    <row r="28" spans="2:99">
      <c r="C28" s="99" t="s">
        <v>194</v>
      </c>
      <c r="D28" s="100">
        <v>7</v>
      </c>
      <c r="E28" s="100">
        <v>5166</v>
      </c>
      <c r="F28" s="100">
        <v>12</v>
      </c>
      <c r="G28" s="100">
        <v>8856</v>
      </c>
      <c r="H28" s="100">
        <v>11</v>
      </c>
      <c r="I28" s="100">
        <v>8118</v>
      </c>
      <c r="J28" s="100">
        <v>7</v>
      </c>
      <c r="K28" s="100">
        <v>5166</v>
      </c>
      <c r="L28" s="100">
        <v>13</v>
      </c>
      <c r="M28" s="100">
        <v>9594</v>
      </c>
      <c r="N28" s="100">
        <v>9.6391075532086496</v>
      </c>
      <c r="O28" s="100">
        <v>7113.6613742679838</v>
      </c>
      <c r="P28" s="100">
        <v>2.4933304242162539</v>
      </c>
      <c r="Q28" s="100">
        <v>1840.0778530715954</v>
      </c>
      <c r="R28" s="100">
        <v>13</v>
      </c>
      <c r="S28" s="100">
        <v>9594</v>
      </c>
      <c r="T28" s="100">
        <v>10.875608296549931</v>
      </c>
      <c r="U28" s="100">
        <v>8026.1989228538487</v>
      </c>
      <c r="V28" s="100">
        <v>9</v>
      </c>
      <c r="W28" s="100">
        <v>6642</v>
      </c>
      <c r="X28" s="100">
        <v>10.19357150887512</v>
      </c>
      <c r="Y28" s="100">
        <v>7522.8557735498389</v>
      </c>
      <c r="Z28" s="100">
        <v>10</v>
      </c>
      <c r="AA28" s="100">
        <v>7380</v>
      </c>
      <c r="AB28" s="100">
        <v>9</v>
      </c>
      <c r="AC28" s="100">
        <v>6642</v>
      </c>
      <c r="AD28" s="100">
        <v>13.186555202821276</v>
      </c>
      <c r="AE28" s="100">
        <v>9731.6777396821017</v>
      </c>
      <c r="AF28" s="100">
        <v>11</v>
      </c>
      <c r="AG28" s="100">
        <v>8118</v>
      </c>
      <c r="AH28" s="100">
        <v>7.0173701944989197</v>
      </c>
      <c r="AI28" s="100">
        <v>5178.8192035402026</v>
      </c>
      <c r="AJ28" s="100">
        <v>11</v>
      </c>
      <c r="AK28" s="100">
        <v>8118</v>
      </c>
      <c r="AL28" s="100">
        <v>13.093131996100697</v>
      </c>
      <c r="AM28" s="100">
        <v>9662.7314131223138</v>
      </c>
      <c r="AN28" s="100">
        <v>3.2350825147825799</v>
      </c>
      <c r="AO28" s="100">
        <v>2387.4908959095442</v>
      </c>
      <c r="AP28" s="100">
        <v>13</v>
      </c>
      <c r="AQ28" s="100">
        <v>9594</v>
      </c>
      <c r="AR28" s="100">
        <v>13</v>
      </c>
      <c r="AS28" s="100">
        <v>9594</v>
      </c>
      <c r="AT28" s="100">
        <v>16</v>
      </c>
      <c r="AU28" s="100">
        <v>11808</v>
      </c>
      <c r="AV28" s="100">
        <v>9.9388175313778415</v>
      </c>
      <c r="AW28" s="100">
        <v>7334.8473381568474</v>
      </c>
      <c r="AX28" s="100">
        <v>10.096006660267063</v>
      </c>
      <c r="AY28" s="100">
        <v>7450.8529152770925</v>
      </c>
      <c r="AZ28" s="100">
        <v>10.389396046884395</v>
      </c>
      <c r="BA28" s="100">
        <v>7667.3742826006828</v>
      </c>
      <c r="BB28" s="100">
        <v>3.2103343547884529</v>
      </c>
      <c r="BC28" s="100">
        <v>2369.2267538338783</v>
      </c>
      <c r="BD28" s="100">
        <v>14</v>
      </c>
      <c r="BE28" s="100">
        <v>10332</v>
      </c>
      <c r="BF28" s="100">
        <v>10</v>
      </c>
      <c r="BG28" s="100">
        <v>7380</v>
      </c>
      <c r="BH28" s="100">
        <v>10.922822628082777</v>
      </c>
      <c r="BI28" s="100">
        <v>8061.043099525089</v>
      </c>
      <c r="BJ28" s="100">
        <v>4.2274634536837361</v>
      </c>
      <c r="BK28" s="100">
        <v>3119.8680288185974</v>
      </c>
      <c r="BL28" s="100">
        <v>9</v>
      </c>
      <c r="BM28" s="100">
        <v>6642</v>
      </c>
      <c r="BN28" s="100">
        <v>9</v>
      </c>
      <c r="BO28" s="100">
        <v>6642</v>
      </c>
      <c r="BP28" s="100">
        <v>9</v>
      </c>
      <c r="BQ28" s="100">
        <v>6642</v>
      </c>
      <c r="BR28" s="100">
        <v>12.32453379837308</v>
      </c>
      <c r="BS28" s="100">
        <v>9095.5059431993341</v>
      </c>
      <c r="BT28" s="100">
        <v>1.1116899593552272</v>
      </c>
      <c r="BU28" s="100">
        <v>820.42719000415764</v>
      </c>
      <c r="BV28" s="100">
        <v>8.0738532794825772</v>
      </c>
      <c r="BW28" s="100">
        <v>5958.5037202581416</v>
      </c>
      <c r="BX28" s="100">
        <v>14</v>
      </c>
      <c r="BY28" s="100">
        <v>10332</v>
      </c>
      <c r="BZ28" s="100">
        <v>14</v>
      </c>
      <c r="CA28" s="100">
        <v>10332</v>
      </c>
      <c r="CB28" s="100">
        <v>9.9325842122728094</v>
      </c>
      <c r="CC28" s="100">
        <v>7330.2471486573331</v>
      </c>
      <c r="CD28" s="100">
        <v>10.096756313498137</v>
      </c>
      <c r="CE28" s="100">
        <v>7451.4061593616252</v>
      </c>
      <c r="CF28" s="100">
        <v>8.2338473095214259E-4</v>
      </c>
      <c r="CG28" s="100">
        <v>0.60765793144268121</v>
      </c>
      <c r="CH28" s="100">
        <v>13</v>
      </c>
      <c r="CI28" s="100">
        <v>9594</v>
      </c>
      <c r="CJ28" s="100">
        <v>10</v>
      </c>
      <c r="CK28" s="100">
        <v>7380</v>
      </c>
      <c r="CL28" s="100">
        <v>10</v>
      </c>
      <c r="CM28" s="100">
        <v>7380</v>
      </c>
      <c r="CN28" s="100">
        <v>9</v>
      </c>
      <c r="CO28" s="100">
        <v>6642</v>
      </c>
      <c r="CP28" s="100">
        <v>8</v>
      </c>
      <c r="CQ28" s="100">
        <v>5904</v>
      </c>
      <c r="CR28" s="100">
        <v>13</v>
      </c>
      <c r="CS28" s="100">
        <v>9594</v>
      </c>
      <c r="CT28" s="100">
        <v>7.5302914544725814</v>
      </c>
      <c r="CU28" s="100">
        <v>5557.3550934007653</v>
      </c>
    </row>
    <row r="29" spans="2:99">
      <c r="C29" s="99" t="s">
        <v>195</v>
      </c>
      <c r="D29" s="100">
        <v>7</v>
      </c>
      <c r="E29" s="100">
        <v>2368.7999999999997</v>
      </c>
      <c r="F29" s="100">
        <v>13</v>
      </c>
      <c r="G29" s="100">
        <v>4399.2</v>
      </c>
      <c r="H29" s="100">
        <v>11</v>
      </c>
      <c r="I29" s="100">
        <v>3722.3999999999996</v>
      </c>
      <c r="J29" s="100">
        <v>7</v>
      </c>
      <c r="K29" s="100">
        <v>2368.7999999999997</v>
      </c>
      <c r="L29" s="100">
        <v>13</v>
      </c>
      <c r="M29" s="100">
        <v>4399.2</v>
      </c>
      <c r="N29" s="100">
        <v>9.6391075532086496</v>
      </c>
      <c r="O29" s="100">
        <v>3261.8739960058069</v>
      </c>
      <c r="P29" s="100">
        <v>2.7703671380180599</v>
      </c>
      <c r="Q29" s="100">
        <v>937.49223950531143</v>
      </c>
      <c r="R29" s="100">
        <v>13.101034142701257</v>
      </c>
      <c r="S29" s="100">
        <v>4433.3899538901051</v>
      </c>
      <c r="T29" s="100">
        <v>10.875608296549931</v>
      </c>
      <c r="U29" s="100">
        <v>3680.3058475524963</v>
      </c>
      <c r="V29" s="100">
        <v>9</v>
      </c>
      <c r="W29" s="100">
        <v>3045.6</v>
      </c>
      <c r="X29" s="100">
        <v>10.223351741009754</v>
      </c>
      <c r="Y29" s="100">
        <v>3459.5822291577006</v>
      </c>
      <c r="Z29" s="100">
        <v>11</v>
      </c>
      <c r="AA29" s="100">
        <v>3722.3999999999996</v>
      </c>
      <c r="AB29" s="100">
        <v>9</v>
      </c>
      <c r="AC29" s="100">
        <v>3045.6</v>
      </c>
      <c r="AD29" s="100">
        <v>14.128452003022797</v>
      </c>
      <c r="AE29" s="100">
        <v>4781.0681578229141</v>
      </c>
      <c r="AF29" s="100">
        <v>12.161271836850288</v>
      </c>
      <c r="AG29" s="100">
        <v>4115.3743895901371</v>
      </c>
      <c r="AH29" s="100">
        <v>6.3794274495444734</v>
      </c>
      <c r="AI29" s="100">
        <v>2158.7982489258497</v>
      </c>
      <c r="AJ29" s="100">
        <v>13</v>
      </c>
      <c r="AK29" s="100">
        <v>4399.2</v>
      </c>
      <c r="AL29" s="100">
        <v>14.993756360091542</v>
      </c>
      <c r="AM29" s="100">
        <v>5073.8871522549771</v>
      </c>
      <c r="AN29" s="100">
        <v>3.6394678291304023</v>
      </c>
      <c r="AO29" s="100">
        <v>1231.595913377728</v>
      </c>
      <c r="AP29" s="100">
        <v>13</v>
      </c>
      <c r="AQ29" s="100">
        <v>4399.2</v>
      </c>
      <c r="AR29" s="100">
        <v>12</v>
      </c>
      <c r="AS29" s="100">
        <v>4060.7999999999997</v>
      </c>
      <c r="AT29" s="100">
        <v>14</v>
      </c>
      <c r="AU29" s="100">
        <v>4737.5999999999995</v>
      </c>
      <c r="AV29" s="100">
        <v>9.9388175313778415</v>
      </c>
      <c r="AW29" s="100">
        <v>3363.2958526182615</v>
      </c>
      <c r="AX29" s="100">
        <v>10.096006660267063</v>
      </c>
      <c r="AY29" s="100">
        <v>3416.488653834374</v>
      </c>
      <c r="AZ29" s="100">
        <v>11.111155835275218</v>
      </c>
      <c r="BA29" s="100">
        <v>3760.0151346571333</v>
      </c>
      <c r="BB29" s="100">
        <v>3.66895354832966</v>
      </c>
      <c r="BC29" s="100">
        <v>1241.5738807547568</v>
      </c>
      <c r="BD29" s="100">
        <v>15</v>
      </c>
      <c r="BE29" s="100">
        <v>5076</v>
      </c>
      <c r="BF29" s="100">
        <v>10</v>
      </c>
      <c r="BG29" s="100">
        <v>3384</v>
      </c>
      <c r="BH29" s="100">
        <v>9.9228226280827769</v>
      </c>
      <c r="BI29" s="100">
        <v>3357.8831773432116</v>
      </c>
      <c r="BJ29" s="100">
        <v>4.2274634536837361</v>
      </c>
      <c r="BK29" s="100">
        <v>1430.5736327265763</v>
      </c>
      <c r="BL29" s="100">
        <v>9</v>
      </c>
      <c r="BM29" s="100">
        <v>3045.6</v>
      </c>
      <c r="BN29" s="100">
        <v>10</v>
      </c>
      <c r="BO29" s="100">
        <v>3384</v>
      </c>
      <c r="BP29" s="100">
        <v>9</v>
      </c>
      <c r="BQ29" s="100">
        <v>3045.6</v>
      </c>
      <c r="BR29" s="100">
        <v>11.346169384931287</v>
      </c>
      <c r="BS29" s="100">
        <v>3839.5437198607469</v>
      </c>
      <c r="BT29" s="100">
        <v>1.2379593513910945</v>
      </c>
      <c r="BU29" s="100">
        <v>418.92544451074633</v>
      </c>
      <c r="BV29" s="100">
        <v>9.6886239353790931</v>
      </c>
      <c r="BW29" s="100">
        <v>3278.6303397322849</v>
      </c>
      <c r="BX29" s="100">
        <v>14</v>
      </c>
      <c r="BY29" s="100">
        <v>4737.5999999999995</v>
      </c>
      <c r="BZ29" s="100">
        <v>13</v>
      </c>
      <c r="CA29" s="100">
        <v>4399.2</v>
      </c>
      <c r="CB29" s="100">
        <v>10.07247184411373</v>
      </c>
      <c r="CC29" s="100">
        <v>3408.524472048086</v>
      </c>
      <c r="CD29" s="100">
        <v>11.539150072569299</v>
      </c>
      <c r="CE29" s="100">
        <v>3904.8483845574506</v>
      </c>
      <c r="CF29" s="100">
        <v>8.2338473095214259E-4</v>
      </c>
      <c r="CG29" s="100">
        <v>0.27863339295420503</v>
      </c>
      <c r="CH29" s="100">
        <v>13</v>
      </c>
      <c r="CI29" s="100">
        <v>4399.2</v>
      </c>
      <c r="CJ29" s="100">
        <v>9</v>
      </c>
      <c r="CK29" s="100">
        <v>3045.6</v>
      </c>
      <c r="CL29" s="100">
        <v>11</v>
      </c>
      <c r="CM29" s="100">
        <v>3722.3999999999996</v>
      </c>
      <c r="CN29" s="100">
        <v>8</v>
      </c>
      <c r="CO29" s="100">
        <v>2707.2</v>
      </c>
      <c r="CP29" s="100">
        <v>8</v>
      </c>
      <c r="CQ29" s="100">
        <v>2707.2</v>
      </c>
      <c r="CR29" s="100">
        <v>13</v>
      </c>
      <c r="CS29" s="100">
        <v>4399.2</v>
      </c>
      <c r="CT29" s="100">
        <v>7.484345647961069</v>
      </c>
      <c r="CU29" s="100">
        <v>2532.7025672700256</v>
      </c>
    </row>
    <row r="30" spans="2:99">
      <c r="C30" s="99" t="s">
        <v>196</v>
      </c>
      <c r="D30" s="100">
        <v>7</v>
      </c>
      <c r="E30" s="100">
        <v>974.39999999999986</v>
      </c>
      <c r="F30" s="100">
        <v>12</v>
      </c>
      <c r="G30" s="100">
        <v>1670.3999999999999</v>
      </c>
      <c r="H30" s="100">
        <v>10</v>
      </c>
      <c r="I30" s="100">
        <v>1392</v>
      </c>
      <c r="J30" s="100">
        <v>7</v>
      </c>
      <c r="K30" s="100">
        <v>974.39999999999986</v>
      </c>
      <c r="L30" s="100">
        <v>13</v>
      </c>
      <c r="M30" s="100">
        <v>1809.6</v>
      </c>
      <c r="N30" s="100">
        <v>8.7632303755528511</v>
      </c>
      <c r="O30" s="100">
        <v>1219.8416682769569</v>
      </c>
      <c r="P30" s="100">
        <v>2.7703671380180599</v>
      </c>
      <c r="Q30" s="100">
        <v>385.63510561211393</v>
      </c>
      <c r="R30" s="100">
        <v>12.101034142701257</v>
      </c>
      <c r="S30" s="100">
        <v>1684.4639526640149</v>
      </c>
      <c r="T30" s="100">
        <v>11.781908987929091</v>
      </c>
      <c r="U30" s="100">
        <v>1640.0417311197293</v>
      </c>
      <c r="V30" s="100">
        <v>9</v>
      </c>
      <c r="W30" s="100">
        <v>1252.8</v>
      </c>
      <c r="X30" s="100">
        <v>10.223351741009754</v>
      </c>
      <c r="Y30" s="100">
        <v>1423.0905623485576</v>
      </c>
      <c r="Z30" s="100">
        <v>11</v>
      </c>
      <c r="AA30" s="100">
        <v>1531.1999999999998</v>
      </c>
      <c r="AB30" s="100">
        <v>9</v>
      </c>
      <c r="AC30" s="100">
        <v>1252.8</v>
      </c>
      <c r="AD30" s="100">
        <v>13.186555202821276</v>
      </c>
      <c r="AE30" s="100">
        <v>1835.5684842327216</v>
      </c>
      <c r="AF30" s="100">
        <v>11.180244994126793</v>
      </c>
      <c r="AG30" s="100">
        <v>1556.2901031824495</v>
      </c>
      <c r="AH30" s="100">
        <v>6.3794274495444734</v>
      </c>
      <c r="AI30" s="100">
        <v>888.01630097659063</v>
      </c>
      <c r="AJ30" s="100">
        <v>13</v>
      </c>
      <c r="AK30" s="100">
        <v>1809.6</v>
      </c>
      <c r="AL30" s="100">
        <v>13.944068542086965</v>
      </c>
      <c r="AM30" s="100">
        <v>1941.0143410585054</v>
      </c>
      <c r="AN30" s="100">
        <v>3.2350825147825799</v>
      </c>
      <c r="AO30" s="100">
        <v>450.32348605773507</v>
      </c>
      <c r="AP30" s="100">
        <v>12</v>
      </c>
      <c r="AQ30" s="100">
        <v>1670.3999999999999</v>
      </c>
      <c r="AR30" s="100">
        <v>13</v>
      </c>
      <c r="AS30" s="100">
        <v>1809.6</v>
      </c>
      <c r="AT30" s="100">
        <v>15</v>
      </c>
      <c r="AU30" s="100">
        <v>2088</v>
      </c>
      <c r="AV30" s="100">
        <v>10.932699284515627</v>
      </c>
      <c r="AW30" s="100">
        <v>1521.8317404045752</v>
      </c>
      <c r="AX30" s="100">
        <v>9.4229395495825923</v>
      </c>
      <c r="AY30" s="100">
        <v>1311.6731853018966</v>
      </c>
      <c r="AZ30" s="100">
        <v>10.420610388239963</v>
      </c>
      <c r="BA30" s="100">
        <v>1450.5489660430028</v>
      </c>
      <c r="BB30" s="100">
        <v>3.2103343547884529</v>
      </c>
      <c r="BC30" s="100">
        <v>446.87854218655258</v>
      </c>
      <c r="BD30" s="100">
        <v>16</v>
      </c>
      <c r="BE30" s="100">
        <v>2227.1999999999998</v>
      </c>
      <c r="BF30" s="100">
        <v>12</v>
      </c>
      <c r="BG30" s="100">
        <v>1670.3999999999999</v>
      </c>
      <c r="BH30" s="100">
        <v>9.9228226280827769</v>
      </c>
      <c r="BI30" s="100">
        <v>1381.2569098291224</v>
      </c>
      <c r="BJ30" s="100">
        <v>3.6990305219732691</v>
      </c>
      <c r="BK30" s="100">
        <v>514.90504865867899</v>
      </c>
      <c r="BL30" s="100">
        <v>8</v>
      </c>
      <c r="BM30" s="100">
        <v>1113.5999999999999</v>
      </c>
      <c r="BN30" s="100">
        <v>9</v>
      </c>
      <c r="BO30" s="100">
        <v>1252.8</v>
      </c>
      <c r="BP30" s="100">
        <v>9</v>
      </c>
      <c r="BQ30" s="100">
        <v>1252.8</v>
      </c>
      <c r="BR30" s="100">
        <v>12.367804971489491</v>
      </c>
      <c r="BS30" s="100">
        <v>1721.598452031337</v>
      </c>
      <c r="BT30" s="100">
        <v>1.0101551362869381</v>
      </c>
      <c r="BU30" s="100">
        <v>140.61359497114177</v>
      </c>
      <c r="BV30" s="100">
        <v>8.881238607430836</v>
      </c>
      <c r="BW30" s="100">
        <v>1236.2684141543723</v>
      </c>
      <c r="BX30" s="100">
        <v>14</v>
      </c>
      <c r="BY30" s="100">
        <v>1948.7999999999997</v>
      </c>
      <c r="BZ30" s="100">
        <v>12</v>
      </c>
      <c r="CA30" s="100">
        <v>1670.3999999999999</v>
      </c>
      <c r="CB30" s="100">
        <v>11.025842633500091</v>
      </c>
      <c r="CC30" s="100">
        <v>1534.7972945832125</v>
      </c>
      <c r="CD30" s="100">
        <v>11.539150072569299</v>
      </c>
      <c r="CE30" s="100">
        <v>1606.2496901016464</v>
      </c>
      <c r="CF30" s="100">
        <v>1.0133965919410987E-3</v>
      </c>
      <c r="CG30" s="100">
        <v>0.14106480559820092</v>
      </c>
      <c r="CH30" s="100">
        <v>13</v>
      </c>
      <c r="CI30" s="100">
        <v>1809.6</v>
      </c>
      <c r="CJ30" s="100">
        <v>9</v>
      </c>
      <c r="CK30" s="100">
        <v>1252.8</v>
      </c>
      <c r="CL30" s="100">
        <v>12</v>
      </c>
      <c r="CM30" s="100">
        <v>1670.3999999999999</v>
      </c>
      <c r="CN30" s="100">
        <v>9</v>
      </c>
      <c r="CO30" s="100">
        <v>1252.8</v>
      </c>
      <c r="CP30" s="100">
        <v>9</v>
      </c>
      <c r="CQ30" s="100">
        <v>1252.8</v>
      </c>
      <c r="CR30" s="100">
        <v>14</v>
      </c>
      <c r="CS30" s="100">
        <v>1948.7999999999997</v>
      </c>
      <c r="CT30" s="100">
        <v>7.484345647961069</v>
      </c>
      <c r="CU30" s="100">
        <v>1041.8209141961806</v>
      </c>
    </row>
    <row r="31" spans="2:99">
      <c r="C31" s="99" t="s">
        <v>197</v>
      </c>
      <c r="D31" s="100">
        <v>8</v>
      </c>
      <c r="E31" s="100">
        <v>2726.4</v>
      </c>
      <c r="F31" s="100">
        <v>11</v>
      </c>
      <c r="G31" s="100">
        <v>3748.8</v>
      </c>
      <c r="H31" s="100">
        <v>12</v>
      </c>
      <c r="I31" s="100">
        <v>4089.6000000000004</v>
      </c>
      <c r="J31" s="100">
        <v>8</v>
      </c>
      <c r="K31" s="100">
        <v>2726.4</v>
      </c>
      <c r="L31" s="100">
        <v>12</v>
      </c>
      <c r="M31" s="100">
        <v>4089.6000000000004</v>
      </c>
      <c r="N31" s="100">
        <v>8.7632303755528511</v>
      </c>
      <c r="O31" s="100">
        <v>2986.5089119884119</v>
      </c>
      <c r="P31" s="100">
        <v>2.4933304242162539</v>
      </c>
      <c r="Q31" s="100">
        <v>849.72700857289942</v>
      </c>
      <c r="R31" s="100">
        <v>12.106977327566037</v>
      </c>
      <c r="S31" s="100">
        <v>4126.0578732345057</v>
      </c>
      <c r="T31" s="100">
        <v>10.875608296549931</v>
      </c>
      <c r="U31" s="100">
        <v>3706.4073074642165</v>
      </c>
      <c r="V31" s="100">
        <v>10</v>
      </c>
      <c r="W31" s="100">
        <v>3408</v>
      </c>
      <c r="X31" s="100">
        <v>10.223351741009754</v>
      </c>
      <c r="Y31" s="100">
        <v>3484.1182733361243</v>
      </c>
      <c r="Z31" s="100">
        <v>11</v>
      </c>
      <c r="AA31" s="100">
        <v>3748.8</v>
      </c>
      <c r="AB31" s="100">
        <v>9</v>
      </c>
      <c r="AC31" s="100">
        <v>3067.2000000000003</v>
      </c>
      <c r="AD31" s="100">
        <v>14.128452003022797</v>
      </c>
      <c r="AE31" s="100">
        <v>4814.9764426301699</v>
      </c>
      <c r="AF31" s="100">
        <v>12.189731572765046</v>
      </c>
      <c r="AG31" s="100">
        <v>4154.2605199983282</v>
      </c>
      <c r="AH31" s="100">
        <v>6.3794274495444734</v>
      </c>
      <c r="AI31" s="100">
        <v>2174.1088748047564</v>
      </c>
      <c r="AJ31" s="100">
        <v>13</v>
      </c>
      <c r="AK31" s="100">
        <v>4430.4000000000005</v>
      </c>
      <c r="AL31" s="100">
        <v>14.093131996100697</v>
      </c>
      <c r="AM31" s="100">
        <v>4802.9393842711179</v>
      </c>
      <c r="AN31" s="100">
        <v>3.2350825147825799</v>
      </c>
      <c r="AO31" s="100">
        <v>1102.5161210379033</v>
      </c>
      <c r="AP31" s="100">
        <v>12</v>
      </c>
      <c r="AQ31" s="100">
        <v>4089.6000000000004</v>
      </c>
      <c r="AR31" s="100">
        <v>13</v>
      </c>
      <c r="AS31" s="100">
        <v>4430.4000000000005</v>
      </c>
      <c r="AT31" s="100">
        <v>14</v>
      </c>
      <c r="AU31" s="100">
        <v>4771.2</v>
      </c>
      <c r="AV31" s="100">
        <v>9.9388175313778415</v>
      </c>
      <c r="AW31" s="100">
        <v>3387.1490146935685</v>
      </c>
      <c r="AX31" s="100">
        <v>9.4229395495825923</v>
      </c>
      <c r="AY31" s="100">
        <v>3211.3377984977474</v>
      </c>
      <c r="AZ31" s="100">
        <v>10.389396046884395</v>
      </c>
      <c r="BA31" s="100">
        <v>3540.706172778202</v>
      </c>
      <c r="BB31" s="100">
        <v>2.9810247580178486</v>
      </c>
      <c r="BC31" s="100">
        <v>1015.9332375324828</v>
      </c>
      <c r="BD31" s="100">
        <v>16</v>
      </c>
      <c r="BE31" s="100">
        <v>5452.8</v>
      </c>
      <c r="BF31" s="100">
        <v>10</v>
      </c>
      <c r="BG31" s="100">
        <v>3408</v>
      </c>
      <c r="BH31" s="100">
        <v>10.922822628082777</v>
      </c>
      <c r="BI31" s="100">
        <v>3722.4979516506105</v>
      </c>
      <c r="BJ31" s="100">
        <v>3.6990305219732691</v>
      </c>
      <c r="BK31" s="100">
        <v>1260.6296018884902</v>
      </c>
      <c r="BL31" s="100">
        <v>9</v>
      </c>
      <c r="BM31" s="100">
        <v>3067.2000000000003</v>
      </c>
      <c r="BN31" s="100">
        <v>9</v>
      </c>
      <c r="BO31" s="100">
        <v>3067.2000000000003</v>
      </c>
      <c r="BP31" s="100">
        <v>8</v>
      </c>
      <c r="BQ31" s="100">
        <v>2726.4</v>
      </c>
      <c r="BR31" s="100">
        <v>12.346169384931287</v>
      </c>
      <c r="BS31" s="100">
        <v>4207.5745263845829</v>
      </c>
      <c r="BT31" s="100">
        <v>1.0101551362869381</v>
      </c>
      <c r="BU31" s="100">
        <v>344.26087044658851</v>
      </c>
      <c r="BV31" s="100">
        <v>8.881238607430836</v>
      </c>
      <c r="BW31" s="100">
        <v>3026.7261174124292</v>
      </c>
      <c r="BX31" s="100">
        <v>13</v>
      </c>
      <c r="BY31" s="100">
        <v>4430.4000000000005</v>
      </c>
      <c r="BZ31" s="100">
        <v>14</v>
      </c>
      <c r="CA31" s="100">
        <v>4771.2</v>
      </c>
      <c r="CB31" s="100">
        <v>8.9325842122728094</v>
      </c>
      <c r="CC31" s="100">
        <v>3044.2246995425735</v>
      </c>
      <c r="CD31" s="100">
        <v>11.539150072569299</v>
      </c>
      <c r="CE31" s="100">
        <v>3932.5423447316175</v>
      </c>
      <c r="CF31" s="100">
        <v>8.8672201794846135E-4</v>
      </c>
      <c r="CG31" s="100">
        <v>0.30219486371683563</v>
      </c>
      <c r="CH31" s="100">
        <v>12</v>
      </c>
      <c r="CI31" s="100">
        <v>4089.6000000000004</v>
      </c>
      <c r="CJ31" s="100">
        <v>10</v>
      </c>
      <c r="CK31" s="100">
        <v>3408</v>
      </c>
      <c r="CL31" s="100">
        <v>11</v>
      </c>
      <c r="CM31" s="100">
        <v>3748.8</v>
      </c>
      <c r="CN31" s="100">
        <v>9</v>
      </c>
      <c r="CO31" s="100">
        <v>3067.2000000000003</v>
      </c>
      <c r="CP31" s="100">
        <v>9</v>
      </c>
      <c r="CQ31" s="100">
        <v>3067.2000000000003</v>
      </c>
      <c r="CR31" s="100">
        <v>12</v>
      </c>
      <c r="CS31" s="100">
        <v>4089.6000000000004</v>
      </c>
      <c r="CT31" s="100">
        <v>7.5302914544725814</v>
      </c>
      <c r="CU31" s="100">
        <v>2566.3233276842557</v>
      </c>
    </row>
    <row r="32" spans="2:99">
      <c r="C32" s="99" t="s">
        <v>198</v>
      </c>
      <c r="D32" s="100">
        <v>7</v>
      </c>
      <c r="E32" s="100">
        <v>5880</v>
      </c>
      <c r="F32" s="100">
        <v>12</v>
      </c>
      <c r="G32" s="100">
        <v>10080</v>
      </c>
      <c r="H32" s="100">
        <v>10</v>
      </c>
      <c r="I32" s="100">
        <v>8400</v>
      </c>
      <c r="J32" s="100">
        <v>8</v>
      </c>
      <c r="K32" s="100">
        <v>6720</v>
      </c>
      <c r="L32" s="100">
        <v>11</v>
      </c>
      <c r="M32" s="100">
        <v>9240</v>
      </c>
      <c r="N32" s="100">
        <v>10.514984730864452</v>
      </c>
      <c r="O32" s="100">
        <v>8832.5871739261402</v>
      </c>
      <c r="P32" s="100">
        <v>2.7703671380180599</v>
      </c>
      <c r="Q32" s="100">
        <v>2327.1083959351704</v>
      </c>
      <c r="R32" s="100">
        <v>12.095090957836478</v>
      </c>
      <c r="S32" s="100">
        <v>10159.876404582641</v>
      </c>
      <c r="T32" s="100">
        <v>10.875608296549931</v>
      </c>
      <c r="U32" s="100">
        <v>9135.5109691019425</v>
      </c>
      <c r="V32" s="100">
        <v>9</v>
      </c>
      <c r="W32" s="100">
        <v>7560</v>
      </c>
      <c r="X32" s="100">
        <v>11.19357150887512</v>
      </c>
      <c r="Y32" s="100">
        <v>9402.6000674551015</v>
      </c>
      <c r="Z32" s="100">
        <v>11</v>
      </c>
      <c r="AA32" s="100">
        <v>9240</v>
      </c>
      <c r="AB32" s="100">
        <v>8</v>
      </c>
      <c r="AC32" s="100">
        <v>6720</v>
      </c>
      <c r="AD32" s="100">
        <v>12.244658402619757</v>
      </c>
      <c r="AE32" s="100">
        <v>10285.513058200597</v>
      </c>
      <c r="AF32" s="100">
        <v>11</v>
      </c>
      <c r="AG32" s="100">
        <v>9240</v>
      </c>
      <c r="AH32" s="100">
        <v>6.3794274495444734</v>
      </c>
      <c r="AI32" s="100">
        <v>5358.719057617358</v>
      </c>
      <c r="AJ32" s="100">
        <v>11</v>
      </c>
      <c r="AK32" s="100">
        <v>9240</v>
      </c>
      <c r="AL32" s="100">
        <v>12.04344417809612</v>
      </c>
      <c r="AM32" s="100">
        <v>10116.49310960074</v>
      </c>
      <c r="AN32" s="100">
        <v>3.2350825147825799</v>
      </c>
      <c r="AO32" s="100">
        <v>2717.4693124173673</v>
      </c>
      <c r="AP32" s="100">
        <v>14</v>
      </c>
      <c r="AQ32" s="100">
        <v>11760</v>
      </c>
      <c r="AR32" s="100">
        <v>14</v>
      </c>
      <c r="AS32" s="100">
        <v>11760</v>
      </c>
      <c r="AT32" s="100">
        <v>14</v>
      </c>
      <c r="AU32" s="100">
        <v>11760</v>
      </c>
      <c r="AV32" s="100">
        <v>10.932699284515627</v>
      </c>
      <c r="AW32" s="100">
        <v>9183.4673989931271</v>
      </c>
      <c r="AX32" s="100">
        <v>9.4229395495825923</v>
      </c>
      <c r="AY32" s="100">
        <v>7915.2692216493779</v>
      </c>
      <c r="AZ32" s="100">
        <v>10.451824729595531</v>
      </c>
      <c r="BA32" s="100">
        <v>8779.532772860246</v>
      </c>
      <c r="BB32" s="100">
        <v>3.2103343547884529</v>
      </c>
      <c r="BC32" s="100">
        <v>2696.6808580223005</v>
      </c>
      <c r="BD32" s="100">
        <v>15</v>
      </c>
      <c r="BE32" s="100">
        <v>12600</v>
      </c>
      <c r="BF32" s="100">
        <v>10</v>
      </c>
      <c r="BG32" s="100">
        <v>8400</v>
      </c>
      <c r="BH32" s="100">
        <v>9.9228226280827769</v>
      </c>
      <c r="BI32" s="100">
        <v>8335.1710075895335</v>
      </c>
      <c r="BJ32" s="100">
        <v>3.9632469878285028</v>
      </c>
      <c r="BK32" s="100">
        <v>3329.1274697759422</v>
      </c>
      <c r="BL32" s="100">
        <v>9</v>
      </c>
      <c r="BM32" s="100">
        <v>7560</v>
      </c>
      <c r="BN32" s="100">
        <v>9</v>
      </c>
      <c r="BO32" s="100">
        <v>7560</v>
      </c>
      <c r="BP32" s="100">
        <v>9</v>
      </c>
      <c r="BQ32" s="100">
        <v>7560</v>
      </c>
      <c r="BR32" s="100">
        <v>10.32453379837308</v>
      </c>
      <c r="BS32" s="100">
        <v>8672.6083906333879</v>
      </c>
      <c r="BT32" s="100">
        <v>1.1364245283228052</v>
      </c>
      <c r="BU32" s="100">
        <v>954.59660379115633</v>
      </c>
      <c r="BV32" s="100">
        <v>8.881238607430836</v>
      </c>
      <c r="BW32" s="100">
        <v>7460.2404302419027</v>
      </c>
      <c r="BX32" s="100">
        <v>14</v>
      </c>
      <c r="BY32" s="100">
        <v>11760</v>
      </c>
      <c r="BZ32" s="100">
        <v>13</v>
      </c>
      <c r="CA32" s="100">
        <v>10920</v>
      </c>
      <c r="CB32" s="100">
        <v>10.025842633500091</v>
      </c>
      <c r="CC32" s="100">
        <v>8421.7078121400755</v>
      </c>
      <c r="CD32" s="100">
        <v>10.817953193033718</v>
      </c>
      <c r="CE32" s="100">
        <v>9087.0806821483238</v>
      </c>
      <c r="CF32" s="100">
        <v>8.2338473095214259E-4</v>
      </c>
      <c r="CG32" s="100">
        <v>0.6916431739997998</v>
      </c>
      <c r="CH32" s="100">
        <v>12</v>
      </c>
      <c r="CI32" s="100">
        <v>10080</v>
      </c>
      <c r="CJ32" s="100">
        <v>9</v>
      </c>
      <c r="CK32" s="100">
        <v>7560</v>
      </c>
      <c r="CL32" s="100">
        <v>11</v>
      </c>
      <c r="CM32" s="100">
        <v>9240</v>
      </c>
      <c r="CN32" s="100">
        <v>9</v>
      </c>
      <c r="CO32" s="100">
        <v>7560</v>
      </c>
      <c r="CP32" s="100">
        <v>10</v>
      </c>
      <c r="CQ32" s="100">
        <v>8400</v>
      </c>
      <c r="CR32" s="100">
        <v>13</v>
      </c>
      <c r="CS32" s="100">
        <v>10920</v>
      </c>
      <c r="CT32" s="100">
        <v>7.484345647961069</v>
      </c>
      <c r="CU32" s="100">
        <v>6286.850344287298</v>
      </c>
    </row>
    <row r="33" spans="2:99">
      <c r="C33" s="99" t="s">
        <v>199</v>
      </c>
      <c r="D33" s="100">
        <v>8</v>
      </c>
      <c r="E33" s="100">
        <v>3792</v>
      </c>
      <c r="F33" s="100">
        <v>12</v>
      </c>
      <c r="G33" s="100">
        <v>5688</v>
      </c>
      <c r="H33" s="100">
        <v>10</v>
      </c>
      <c r="I33" s="100">
        <v>4740</v>
      </c>
      <c r="J33" s="100">
        <v>7</v>
      </c>
      <c r="K33" s="100">
        <v>3318</v>
      </c>
      <c r="L33" s="100">
        <v>13</v>
      </c>
      <c r="M33" s="100">
        <v>6162</v>
      </c>
      <c r="N33" s="100">
        <v>9.6717125819734893</v>
      </c>
      <c r="O33" s="100">
        <v>4584.391763855434</v>
      </c>
      <c r="P33" s="100">
        <v>2.4933304242162539</v>
      </c>
      <c r="Q33" s="100">
        <v>1181.8386210785043</v>
      </c>
      <c r="R33" s="100">
        <v>12</v>
      </c>
      <c r="S33" s="100">
        <v>5688</v>
      </c>
      <c r="T33" s="100">
        <v>10.875608296549931</v>
      </c>
      <c r="U33" s="100">
        <v>5155.0383325646671</v>
      </c>
      <c r="V33" s="100">
        <v>9</v>
      </c>
      <c r="W33" s="100">
        <v>4266</v>
      </c>
      <c r="X33" s="100">
        <v>11.208461624942437</v>
      </c>
      <c r="Y33" s="100">
        <v>5312.8108102227152</v>
      </c>
      <c r="Z33" s="100">
        <v>11</v>
      </c>
      <c r="AA33" s="100">
        <v>5214</v>
      </c>
      <c r="AB33" s="100">
        <v>9</v>
      </c>
      <c r="AC33" s="100">
        <v>4266</v>
      </c>
      <c r="AD33" s="100">
        <v>12.244658402619757</v>
      </c>
      <c r="AE33" s="100">
        <v>5803.968082841765</v>
      </c>
      <c r="AF33" s="100">
        <v>13.170758415488541</v>
      </c>
      <c r="AG33" s="100">
        <v>6242.939488941568</v>
      </c>
      <c r="AH33" s="100">
        <v>6.3794274495444734</v>
      </c>
      <c r="AI33" s="100">
        <v>3023.8486110840804</v>
      </c>
      <c r="AJ33" s="100">
        <v>14</v>
      </c>
      <c r="AK33" s="100">
        <v>6636</v>
      </c>
      <c r="AL33" s="100">
        <v>13.04344417809612</v>
      </c>
      <c r="AM33" s="100">
        <v>6182.5925404175605</v>
      </c>
      <c r="AN33" s="100">
        <v>2.830697200434757</v>
      </c>
      <c r="AO33" s="100">
        <v>1341.7504730060748</v>
      </c>
      <c r="AP33" s="100">
        <v>13</v>
      </c>
      <c r="AQ33" s="100">
        <v>6162</v>
      </c>
      <c r="AR33" s="100">
        <v>13</v>
      </c>
      <c r="AS33" s="100">
        <v>6162</v>
      </c>
      <c r="AT33" s="100">
        <v>14</v>
      </c>
      <c r="AU33" s="100">
        <v>6636</v>
      </c>
      <c r="AV33" s="100">
        <v>8.9449357782400583</v>
      </c>
      <c r="AW33" s="100">
        <v>4239.8995588857879</v>
      </c>
      <c r="AX33" s="100">
        <v>9.4229395495825923</v>
      </c>
      <c r="AY33" s="100">
        <v>4466.4733465021491</v>
      </c>
      <c r="AZ33" s="100">
        <v>9.1331625182361567</v>
      </c>
      <c r="BA33" s="100">
        <v>4329.1190336439386</v>
      </c>
      <c r="BB33" s="100">
        <v>3.2103343547884529</v>
      </c>
      <c r="BC33" s="100">
        <v>1521.6984841697267</v>
      </c>
      <c r="BD33" s="100">
        <v>14</v>
      </c>
      <c r="BE33" s="100">
        <v>6636</v>
      </c>
      <c r="BF33" s="100">
        <v>11</v>
      </c>
      <c r="BG33" s="100">
        <v>5214</v>
      </c>
      <c r="BH33" s="100">
        <v>10.068531464095848</v>
      </c>
      <c r="BI33" s="100">
        <v>4772.4839139814321</v>
      </c>
      <c r="BJ33" s="100">
        <v>4.2274634536837361</v>
      </c>
      <c r="BK33" s="100">
        <v>2003.8176770460909</v>
      </c>
      <c r="BL33" s="100">
        <v>8</v>
      </c>
      <c r="BM33" s="100">
        <v>3792</v>
      </c>
      <c r="BN33" s="100">
        <v>9</v>
      </c>
      <c r="BO33" s="100">
        <v>4266</v>
      </c>
      <c r="BP33" s="100">
        <v>9</v>
      </c>
      <c r="BQ33" s="100">
        <v>4266</v>
      </c>
      <c r="BR33" s="100">
        <v>11.32453379837308</v>
      </c>
      <c r="BS33" s="100">
        <v>5367.8290204288396</v>
      </c>
      <c r="BT33" s="100">
        <v>1.1116899593552272</v>
      </c>
      <c r="BU33" s="100">
        <v>526.94104073437768</v>
      </c>
      <c r="BV33" s="100">
        <v>9.6886239353790931</v>
      </c>
      <c r="BW33" s="100">
        <v>4592.40774536969</v>
      </c>
      <c r="BX33" s="100">
        <v>12</v>
      </c>
      <c r="BY33" s="100">
        <v>5688</v>
      </c>
      <c r="BZ33" s="100">
        <v>13</v>
      </c>
      <c r="CA33" s="100">
        <v>6162</v>
      </c>
      <c r="CB33" s="100">
        <v>8.885955001659168</v>
      </c>
      <c r="CC33" s="100">
        <v>4211.9426707864459</v>
      </c>
      <c r="CD33" s="100">
        <v>9.3755594339625556</v>
      </c>
      <c r="CE33" s="100">
        <v>4444.0151716982509</v>
      </c>
      <c r="CF33" s="100">
        <v>9.5005930494477999E-4</v>
      </c>
      <c r="CG33" s="100">
        <v>0.45032811054382571</v>
      </c>
      <c r="CH33" s="100">
        <v>11</v>
      </c>
      <c r="CI33" s="100">
        <v>5214</v>
      </c>
      <c r="CJ33" s="100">
        <v>9</v>
      </c>
      <c r="CK33" s="100">
        <v>4266</v>
      </c>
      <c r="CL33" s="100">
        <v>12</v>
      </c>
      <c r="CM33" s="100">
        <v>5688</v>
      </c>
      <c r="CN33" s="100">
        <v>9</v>
      </c>
      <c r="CO33" s="100">
        <v>4266</v>
      </c>
      <c r="CP33" s="100">
        <v>9</v>
      </c>
      <c r="CQ33" s="100">
        <v>4266</v>
      </c>
      <c r="CR33" s="100">
        <v>13</v>
      </c>
      <c r="CS33" s="100">
        <v>6162</v>
      </c>
      <c r="CT33" s="100">
        <v>7.484345647961069</v>
      </c>
      <c r="CU33" s="100">
        <v>3547.5798371335468</v>
      </c>
    </row>
    <row r="34" spans="2:99">
      <c r="C34" s="99" t="s">
        <v>200</v>
      </c>
      <c r="D34" s="100">
        <v>8</v>
      </c>
      <c r="E34" s="100">
        <v>4387.2</v>
      </c>
      <c r="F34" s="100">
        <v>12</v>
      </c>
      <c r="G34" s="100">
        <v>6580.7999999999993</v>
      </c>
      <c r="H34" s="100">
        <v>10</v>
      </c>
      <c r="I34" s="100">
        <v>5484</v>
      </c>
      <c r="J34" s="100">
        <v>8</v>
      </c>
      <c r="K34" s="100">
        <v>4387.2</v>
      </c>
      <c r="L34" s="100">
        <v>11</v>
      </c>
      <c r="M34" s="100">
        <v>6032.4</v>
      </c>
      <c r="N34" s="100">
        <v>10.580194788394129</v>
      </c>
      <c r="O34" s="100">
        <v>5802.17882195534</v>
      </c>
      <c r="P34" s="100">
        <v>2.7703671380180599</v>
      </c>
      <c r="Q34" s="100">
        <v>1519.269338489104</v>
      </c>
      <c r="R34" s="100">
        <v>13</v>
      </c>
      <c r="S34" s="100">
        <v>7129.2</v>
      </c>
      <c r="T34" s="100">
        <v>11.781908987929091</v>
      </c>
      <c r="U34" s="100">
        <v>6461.1988889803133</v>
      </c>
      <c r="V34" s="100">
        <v>9</v>
      </c>
      <c r="W34" s="100">
        <v>4935.5999999999995</v>
      </c>
      <c r="X34" s="100">
        <v>9.2084616249424371</v>
      </c>
      <c r="Y34" s="100">
        <v>5049.9203551184319</v>
      </c>
      <c r="Z34" s="100">
        <v>11</v>
      </c>
      <c r="AA34" s="100">
        <v>6032.4</v>
      </c>
      <c r="AB34" s="100">
        <v>9</v>
      </c>
      <c r="AC34" s="100">
        <v>4935.5999999999995</v>
      </c>
      <c r="AD34" s="100">
        <v>13.186555202821276</v>
      </c>
      <c r="AE34" s="100">
        <v>7231.5068732271875</v>
      </c>
      <c r="AF34" s="100">
        <v>11.180244994126793</v>
      </c>
      <c r="AG34" s="100">
        <v>6131.2463547791331</v>
      </c>
      <c r="AH34" s="100">
        <v>6.3794274495444734</v>
      </c>
      <c r="AI34" s="100">
        <v>3498.4780133301892</v>
      </c>
      <c r="AJ34" s="100">
        <v>14</v>
      </c>
      <c r="AK34" s="100">
        <v>7677.5999999999995</v>
      </c>
      <c r="AL34" s="100">
        <v>12.944068542086965</v>
      </c>
      <c r="AM34" s="100">
        <v>7098.5271884804915</v>
      </c>
      <c r="AN34" s="100">
        <v>2.830697200434757</v>
      </c>
      <c r="AO34" s="100">
        <v>1552.3543447184206</v>
      </c>
      <c r="AP34" s="100">
        <v>14</v>
      </c>
      <c r="AQ34" s="100">
        <v>7677.5999999999995</v>
      </c>
      <c r="AR34" s="100">
        <v>13</v>
      </c>
      <c r="AS34" s="100">
        <v>7129.2</v>
      </c>
      <c r="AT34" s="100">
        <v>13</v>
      </c>
      <c r="AU34" s="100">
        <v>7129.2</v>
      </c>
      <c r="AV34" s="100">
        <v>9.9388175313778415</v>
      </c>
      <c r="AW34" s="100">
        <v>5450.4475342076084</v>
      </c>
      <c r="AX34" s="100">
        <v>10.096006660267063</v>
      </c>
      <c r="AY34" s="100">
        <v>5536.6500524904577</v>
      </c>
      <c r="AZ34" s="100">
        <v>9.7612792825602757</v>
      </c>
      <c r="BA34" s="100">
        <v>5353.0855585560548</v>
      </c>
      <c r="BB34" s="100">
        <v>3.2103343547884529</v>
      </c>
      <c r="BC34" s="100">
        <v>1760.5473601659876</v>
      </c>
      <c r="BD34" s="100">
        <v>15</v>
      </c>
      <c r="BE34" s="100">
        <v>8226</v>
      </c>
      <c r="BF34" s="100">
        <v>10</v>
      </c>
      <c r="BG34" s="100">
        <v>5484</v>
      </c>
      <c r="BH34" s="100">
        <v>9.9228226280827769</v>
      </c>
      <c r="BI34" s="100">
        <v>5441.675929240595</v>
      </c>
      <c r="BJ34" s="100">
        <v>3.6990305219732691</v>
      </c>
      <c r="BK34" s="100">
        <v>2028.5483382501407</v>
      </c>
      <c r="BL34" s="100">
        <v>9</v>
      </c>
      <c r="BM34" s="100">
        <v>4935.5999999999995</v>
      </c>
      <c r="BN34" s="100">
        <v>10</v>
      </c>
      <c r="BO34" s="100">
        <v>5484</v>
      </c>
      <c r="BP34" s="100">
        <v>9</v>
      </c>
      <c r="BQ34" s="100">
        <v>4935.5999999999995</v>
      </c>
      <c r="BR34" s="100">
        <v>12.367804971489491</v>
      </c>
      <c r="BS34" s="100">
        <v>6782.5042463648369</v>
      </c>
      <c r="BT34" s="100">
        <v>1.2427943429657748</v>
      </c>
      <c r="BU34" s="100">
        <v>681.54841768243091</v>
      </c>
      <c r="BV34" s="100">
        <v>8.0738532794825772</v>
      </c>
      <c r="BW34" s="100">
        <v>4427.7011384682455</v>
      </c>
      <c r="BX34" s="100">
        <v>14</v>
      </c>
      <c r="BY34" s="100">
        <v>7677.5999999999995</v>
      </c>
      <c r="BZ34" s="100">
        <v>14</v>
      </c>
      <c r="CA34" s="100">
        <v>7677.5999999999995</v>
      </c>
      <c r="CB34" s="100">
        <v>11.025842633500091</v>
      </c>
      <c r="CC34" s="100">
        <v>6046.5721002114497</v>
      </c>
      <c r="CD34" s="100">
        <v>10.096756313498137</v>
      </c>
      <c r="CE34" s="100">
        <v>5537.0611623223776</v>
      </c>
      <c r="CF34" s="100">
        <v>9.5005930494477999E-4</v>
      </c>
      <c r="CG34" s="100">
        <v>0.52101252283171728</v>
      </c>
      <c r="CH34" s="100">
        <v>12</v>
      </c>
      <c r="CI34" s="100">
        <v>6580.7999999999993</v>
      </c>
      <c r="CJ34" s="100">
        <v>8</v>
      </c>
      <c r="CK34" s="100">
        <v>4387.2</v>
      </c>
      <c r="CL34" s="100">
        <v>11</v>
      </c>
      <c r="CM34" s="100">
        <v>6032.4</v>
      </c>
      <c r="CN34" s="100">
        <v>9</v>
      </c>
      <c r="CO34" s="100">
        <v>4935.5999999999995</v>
      </c>
      <c r="CP34" s="100">
        <v>8</v>
      </c>
      <c r="CQ34" s="100">
        <v>4387.2</v>
      </c>
      <c r="CR34" s="100">
        <v>12</v>
      </c>
      <c r="CS34" s="100">
        <v>6580.7999999999993</v>
      </c>
      <c r="CT34" s="100">
        <v>8.2465639547106306</v>
      </c>
      <c r="CU34" s="100">
        <v>4522.4156727633099</v>
      </c>
    </row>
    <row r="35" spans="2:99">
      <c r="C35" s="99" t="s">
        <v>201</v>
      </c>
      <c r="D35" s="100">
        <v>8</v>
      </c>
      <c r="E35" s="100">
        <v>4022.3999999999992</v>
      </c>
      <c r="F35" s="100">
        <v>13</v>
      </c>
      <c r="G35" s="100">
        <v>6536.3999999999987</v>
      </c>
      <c r="H35" s="100">
        <v>10</v>
      </c>
      <c r="I35" s="100">
        <v>5027.9999999999991</v>
      </c>
      <c r="J35" s="100">
        <v>8</v>
      </c>
      <c r="K35" s="100">
        <v>4022.3999999999992</v>
      </c>
      <c r="L35" s="100">
        <v>13</v>
      </c>
      <c r="M35" s="100">
        <v>6536.3999999999987</v>
      </c>
      <c r="N35" s="100">
        <v>9.7043176107383289</v>
      </c>
      <c r="O35" s="100">
        <v>4879.3308946792304</v>
      </c>
      <c r="P35" s="100">
        <v>2.7703671380180599</v>
      </c>
      <c r="Q35" s="100">
        <v>1392.9405969954803</v>
      </c>
      <c r="R35" s="100">
        <v>13</v>
      </c>
      <c r="S35" s="100">
        <v>6536.3999999999987</v>
      </c>
      <c r="T35" s="100">
        <v>11.781908987929091</v>
      </c>
      <c r="U35" s="100">
        <v>5923.9438391307458</v>
      </c>
      <c r="V35" s="100">
        <v>9</v>
      </c>
      <c r="W35" s="100">
        <v>4525.1999999999989</v>
      </c>
      <c r="X35" s="100">
        <v>10.223351741009754</v>
      </c>
      <c r="Y35" s="100">
        <v>5140.3012553797034</v>
      </c>
      <c r="Z35" s="100">
        <v>12</v>
      </c>
      <c r="AA35" s="100">
        <v>6033.5999999999985</v>
      </c>
      <c r="AB35" s="100">
        <v>9</v>
      </c>
      <c r="AC35" s="100">
        <v>4525.1999999999989</v>
      </c>
      <c r="AD35" s="100">
        <v>13.186555202821276</v>
      </c>
      <c r="AE35" s="100">
        <v>6630.1999559785363</v>
      </c>
      <c r="AF35" s="100">
        <v>12.189731572765046</v>
      </c>
      <c r="AG35" s="100">
        <v>6128.9970347862636</v>
      </c>
      <c r="AH35" s="100">
        <v>6.3794274495444734</v>
      </c>
      <c r="AI35" s="100">
        <v>3207.5761216309606</v>
      </c>
      <c r="AJ35" s="100">
        <v>14</v>
      </c>
      <c r="AK35" s="100">
        <v>7039.1999999999989</v>
      </c>
      <c r="AL35" s="100">
        <v>13.093131996100697</v>
      </c>
      <c r="AM35" s="100">
        <v>6583.2267676394285</v>
      </c>
      <c r="AN35" s="100">
        <v>2.830697200434757</v>
      </c>
      <c r="AO35" s="100">
        <v>1423.2745523785954</v>
      </c>
      <c r="AP35" s="100">
        <v>13</v>
      </c>
      <c r="AQ35" s="100">
        <v>6536.3999999999987</v>
      </c>
      <c r="AR35" s="100">
        <v>12</v>
      </c>
      <c r="AS35" s="100">
        <v>6033.5999999999985</v>
      </c>
      <c r="AT35" s="100">
        <v>16</v>
      </c>
      <c r="AU35" s="100">
        <v>8044.7999999999984</v>
      </c>
      <c r="AV35" s="100">
        <v>10.932699284515627</v>
      </c>
      <c r="AW35" s="100">
        <v>5496.9612002544563</v>
      </c>
      <c r="AX35" s="100">
        <v>9.4229395495825923</v>
      </c>
      <c r="AY35" s="100">
        <v>4737.8540055301264</v>
      </c>
      <c r="AZ35" s="100">
        <v>9.7924936239158438</v>
      </c>
      <c r="BA35" s="100">
        <v>4923.6657941048852</v>
      </c>
      <c r="BB35" s="100">
        <v>2.9810247580178486</v>
      </c>
      <c r="BC35" s="100">
        <v>1498.8592483313739</v>
      </c>
      <c r="BD35" s="100">
        <v>14</v>
      </c>
      <c r="BE35" s="100">
        <v>7039.1999999999989</v>
      </c>
      <c r="BF35" s="100">
        <v>11</v>
      </c>
      <c r="BG35" s="100">
        <v>5530.7999999999993</v>
      </c>
      <c r="BH35" s="100">
        <v>10.068531464095848</v>
      </c>
      <c r="BI35" s="100">
        <v>5062.457620147391</v>
      </c>
      <c r="BJ35" s="100">
        <v>3.6990305219732691</v>
      </c>
      <c r="BK35" s="100">
        <v>1859.8725464481593</v>
      </c>
      <c r="BL35" s="100">
        <v>9</v>
      </c>
      <c r="BM35" s="100">
        <v>4525.1999999999989</v>
      </c>
      <c r="BN35" s="100">
        <v>9</v>
      </c>
      <c r="BO35" s="100">
        <v>4525.1999999999989</v>
      </c>
      <c r="BP35" s="100">
        <v>9</v>
      </c>
      <c r="BQ35" s="100">
        <v>4525.1999999999989</v>
      </c>
      <c r="BR35" s="100">
        <v>11.346169384931287</v>
      </c>
      <c r="BS35" s="100">
        <v>5704.8539667434497</v>
      </c>
      <c r="BT35" s="100">
        <v>1.0101551362869381</v>
      </c>
      <c r="BU35" s="100">
        <v>507.90600252507238</v>
      </c>
      <c r="BV35" s="100">
        <v>8.881238607430836</v>
      </c>
      <c r="BW35" s="100">
        <v>4465.4867718162232</v>
      </c>
      <c r="BX35" s="100">
        <v>12</v>
      </c>
      <c r="BY35" s="100">
        <v>6033.5999999999985</v>
      </c>
      <c r="BZ35" s="100">
        <v>14</v>
      </c>
      <c r="CA35" s="100">
        <v>7039.1999999999989</v>
      </c>
      <c r="CB35" s="100">
        <v>10.025842633500091</v>
      </c>
      <c r="CC35" s="100">
        <v>5040.9936761238441</v>
      </c>
      <c r="CD35" s="100">
        <v>10.817953193033718</v>
      </c>
      <c r="CE35" s="100">
        <v>5439.2668654573527</v>
      </c>
      <c r="CF35" s="100">
        <v>9.5005930494477999E-4</v>
      </c>
      <c r="CG35" s="100">
        <v>0.47768981852623527</v>
      </c>
      <c r="CH35" s="100">
        <v>11</v>
      </c>
      <c r="CI35" s="100">
        <v>5530.7999999999993</v>
      </c>
      <c r="CJ35" s="100">
        <v>8</v>
      </c>
      <c r="CK35" s="100">
        <v>4022.3999999999992</v>
      </c>
      <c r="CL35" s="100">
        <v>12</v>
      </c>
      <c r="CM35" s="100">
        <v>6033.5999999999985</v>
      </c>
      <c r="CN35" s="100">
        <v>9</v>
      </c>
      <c r="CO35" s="100">
        <v>4525.1999999999989</v>
      </c>
      <c r="CP35" s="100">
        <v>8</v>
      </c>
      <c r="CQ35" s="100">
        <v>4022.3999999999992</v>
      </c>
      <c r="CR35" s="100">
        <v>12</v>
      </c>
      <c r="CS35" s="100">
        <v>6033.5999999999985</v>
      </c>
      <c r="CT35" s="100">
        <v>7.5073185512168266</v>
      </c>
      <c r="CU35" s="100">
        <v>3774.6797675518196</v>
      </c>
    </row>
    <row r="36" spans="2:99">
      <c r="C36" s="99" t="s">
        <v>202</v>
      </c>
      <c r="D36" s="100">
        <v>8</v>
      </c>
      <c r="E36" s="100">
        <v>6086.4</v>
      </c>
      <c r="F36" s="100">
        <v>12</v>
      </c>
      <c r="G36" s="100">
        <v>9129.5999999999985</v>
      </c>
      <c r="H36" s="100">
        <v>10</v>
      </c>
      <c r="I36" s="100">
        <v>7608</v>
      </c>
      <c r="J36" s="100">
        <v>7</v>
      </c>
      <c r="K36" s="100">
        <v>5325.5999999999995</v>
      </c>
      <c r="L36" s="100">
        <v>12</v>
      </c>
      <c r="M36" s="100">
        <v>9129.5999999999985</v>
      </c>
      <c r="N36" s="100">
        <v>9.6717125819734893</v>
      </c>
      <c r="O36" s="100">
        <v>7358.2389323654306</v>
      </c>
      <c r="P36" s="100">
        <v>2.4933304242162539</v>
      </c>
      <c r="Q36" s="100">
        <v>1896.9257867437259</v>
      </c>
      <c r="R36" s="100">
        <v>12</v>
      </c>
      <c r="S36" s="100">
        <v>9129.5999999999985</v>
      </c>
      <c r="T36" s="100">
        <v>10.875608296549931</v>
      </c>
      <c r="U36" s="100">
        <v>8274.1627920151877</v>
      </c>
      <c r="V36" s="100">
        <v>8</v>
      </c>
      <c r="W36" s="100">
        <v>6086.4</v>
      </c>
      <c r="X36" s="100">
        <v>10.208461624942437</v>
      </c>
      <c r="Y36" s="100">
        <v>7766.5976042562061</v>
      </c>
      <c r="Z36" s="100">
        <v>10</v>
      </c>
      <c r="AA36" s="100">
        <v>7608</v>
      </c>
      <c r="AB36" s="100">
        <v>10</v>
      </c>
      <c r="AC36" s="100">
        <v>7608</v>
      </c>
      <c r="AD36" s="100">
        <v>11.302761602418236</v>
      </c>
      <c r="AE36" s="100">
        <v>8599.1410271197947</v>
      </c>
      <c r="AF36" s="100">
        <v>13.180244994126793</v>
      </c>
      <c r="AG36" s="100">
        <v>10027.530391531664</v>
      </c>
      <c r="AH36" s="100">
        <v>5.7414847045900261</v>
      </c>
      <c r="AI36" s="100">
        <v>4368.1215632520916</v>
      </c>
      <c r="AJ36" s="100">
        <v>12</v>
      </c>
      <c r="AK36" s="100">
        <v>9129.5999999999985</v>
      </c>
      <c r="AL36" s="100">
        <v>13.944068542086965</v>
      </c>
      <c r="AM36" s="100">
        <v>10608.647346819762</v>
      </c>
      <c r="AN36" s="100">
        <v>3.6394678291304023</v>
      </c>
      <c r="AO36" s="100">
        <v>2768.9071244024099</v>
      </c>
      <c r="AP36" s="100">
        <v>13</v>
      </c>
      <c r="AQ36" s="100">
        <v>9890.4</v>
      </c>
      <c r="AR36" s="100">
        <v>13</v>
      </c>
      <c r="AS36" s="100">
        <v>9890.4</v>
      </c>
      <c r="AT36" s="100">
        <v>15</v>
      </c>
      <c r="AU36" s="100">
        <v>11412</v>
      </c>
      <c r="AV36" s="100">
        <v>9.9388175313778415</v>
      </c>
      <c r="AW36" s="100">
        <v>7561.4523778722614</v>
      </c>
      <c r="AX36" s="100">
        <v>8.7498724388981213</v>
      </c>
      <c r="AY36" s="100">
        <v>6656.9029515136899</v>
      </c>
      <c r="AZ36" s="100">
        <v>9.7612792825602757</v>
      </c>
      <c r="BA36" s="100">
        <v>7426.381278171857</v>
      </c>
      <c r="BB36" s="100">
        <v>3.2103343547884529</v>
      </c>
      <c r="BC36" s="100">
        <v>2442.422377123055</v>
      </c>
      <c r="BD36" s="100">
        <v>14</v>
      </c>
      <c r="BE36" s="100">
        <v>10651.199999999999</v>
      </c>
      <c r="BF36" s="100">
        <v>10</v>
      </c>
      <c r="BG36" s="100">
        <v>7608</v>
      </c>
      <c r="BH36" s="100">
        <v>10.019961852091491</v>
      </c>
      <c r="BI36" s="100">
        <v>7623.1869770712055</v>
      </c>
      <c r="BJ36" s="100">
        <v>3.9632469878285028</v>
      </c>
      <c r="BK36" s="100">
        <v>3015.238308339925</v>
      </c>
      <c r="BL36" s="100">
        <v>9</v>
      </c>
      <c r="BM36" s="100">
        <v>6847.2</v>
      </c>
      <c r="BN36" s="100">
        <v>8</v>
      </c>
      <c r="BO36" s="100">
        <v>6086.4</v>
      </c>
      <c r="BP36" s="100">
        <v>8</v>
      </c>
      <c r="BQ36" s="100">
        <v>6086.4</v>
      </c>
      <c r="BR36" s="100">
        <v>10.346169384931287</v>
      </c>
      <c r="BS36" s="100">
        <v>7871.3656680557224</v>
      </c>
      <c r="BT36" s="100">
        <v>1.1364245283228052</v>
      </c>
      <c r="BU36" s="100">
        <v>864.5917811479901</v>
      </c>
      <c r="BV36" s="100">
        <v>8.881238607430836</v>
      </c>
      <c r="BW36" s="100">
        <v>6756.8463325333796</v>
      </c>
      <c r="BX36" s="100">
        <v>12</v>
      </c>
      <c r="BY36" s="100">
        <v>9129.5999999999985</v>
      </c>
      <c r="BZ36" s="100">
        <v>12</v>
      </c>
      <c r="CA36" s="100">
        <v>9129.5999999999985</v>
      </c>
      <c r="CB36" s="100">
        <v>9.0258426335000905</v>
      </c>
      <c r="CC36" s="100">
        <v>6866.8610755668687</v>
      </c>
      <c r="CD36" s="100">
        <v>10.096756313498137</v>
      </c>
      <c r="CE36" s="100">
        <v>7681.6122033093825</v>
      </c>
      <c r="CF36" s="100">
        <v>8.2338473095214259E-4</v>
      </c>
      <c r="CG36" s="100">
        <v>0.62643110330839002</v>
      </c>
      <c r="CH36" s="100">
        <v>11</v>
      </c>
      <c r="CI36" s="100">
        <v>8368.7999999999993</v>
      </c>
      <c r="CJ36" s="100">
        <v>8</v>
      </c>
      <c r="CK36" s="100">
        <v>6086.4</v>
      </c>
      <c r="CL36" s="100">
        <v>11</v>
      </c>
      <c r="CM36" s="100">
        <v>8368.7999999999993</v>
      </c>
      <c r="CN36" s="100">
        <v>8</v>
      </c>
      <c r="CO36" s="100">
        <v>6086.4</v>
      </c>
      <c r="CP36" s="100">
        <v>10</v>
      </c>
      <c r="CQ36" s="100">
        <v>7608</v>
      </c>
      <c r="CR36" s="100">
        <v>12</v>
      </c>
      <c r="CS36" s="100">
        <v>9129.5999999999985</v>
      </c>
      <c r="CT36" s="100">
        <v>7.484345647961069</v>
      </c>
      <c r="CU36" s="100">
        <v>5694.0901689687807</v>
      </c>
    </row>
    <row r="37" spans="2:99">
      <c r="B37" s="99" t="s">
        <v>128</v>
      </c>
      <c r="C37" s="99" t="s">
        <v>203</v>
      </c>
      <c r="D37" s="100">
        <v>7</v>
      </c>
      <c r="E37" s="100">
        <v>6022.8</v>
      </c>
      <c r="F37" s="100">
        <v>9</v>
      </c>
      <c r="G37" s="100">
        <v>7743.5999999999995</v>
      </c>
      <c r="H37" s="100">
        <v>6</v>
      </c>
      <c r="I37" s="100">
        <v>5162.3999999999996</v>
      </c>
      <c r="J37" s="100">
        <v>5</v>
      </c>
      <c r="K37" s="100">
        <v>4302</v>
      </c>
      <c r="L37" s="100">
        <v>6</v>
      </c>
      <c r="M37" s="100">
        <v>5162.3999999999996</v>
      </c>
      <c r="N37" s="100">
        <v>8.4371800879044621</v>
      </c>
      <c r="O37" s="100">
        <v>7259.3497476329985</v>
      </c>
      <c r="P37" s="100">
        <v>1.6622202828108359</v>
      </c>
      <c r="Q37" s="100">
        <v>1430.1743313304432</v>
      </c>
      <c r="R37" s="100">
        <v>8.0534886637830194</v>
      </c>
      <c r="S37" s="100">
        <v>6929.2216463189097</v>
      </c>
      <c r="T37" s="100">
        <v>5.4378041482749655</v>
      </c>
      <c r="U37" s="100">
        <v>4678.68668917578</v>
      </c>
      <c r="V37" s="100">
        <v>5</v>
      </c>
      <c r="W37" s="100">
        <v>4302</v>
      </c>
      <c r="X37" s="100">
        <v>8.1637912767404863</v>
      </c>
      <c r="Y37" s="100">
        <v>7024.1260145075139</v>
      </c>
      <c r="Z37" s="100">
        <v>5</v>
      </c>
      <c r="AA37" s="100">
        <v>4302</v>
      </c>
      <c r="AB37" s="100">
        <v>8</v>
      </c>
      <c r="AC37" s="100">
        <v>6883.2</v>
      </c>
      <c r="AD37" s="100">
        <v>5.6513808012091182</v>
      </c>
      <c r="AE37" s="100">
        <v>4862.4480413603251</v>
      </c>
      <c r="AF37" s="100">
        <v>6</v>
      </c>
      <c r="AG37" s="100">
        <v>5162.3999999999996</v>
      </c>
      <c r="AH37" s="100">
        <v>3.8276564697266839</v>
      </c>
      <c r="AI37" s="100">
        <v>3293.3156265528387</v>
      </c>
      <c r="AJ37" s="100">
        <v>6</v>
      </c>
      <c r="AK37" s="100">
        <v>5162.3999999999996</v>
      </c>
      <c r="AL37" s="100">
        <v>10.695629452064079</v>
      </c>
      <c r="AM37" s="100">
        <v>9202.5195805559324</v>
      </c>
      <c r="AN37" s="100">
        <v>3.2350825147825799</v>
      </c>
      <c r="AO37" s="100">
        <v>2783.4649957189317</v>
      </c>
      <c r="AP37" s="100">
        <v>7</v>
      </c>
      <c r="AQ37" s="100">
        <v>6022.8</v>
      </c>
      <c r="AR37" s="100">
        <v>6</v>
      </c>
      <c r="AS37" s="100">
        <v>5162.3999999999996</v>
      </c>
      <c r="AT37" s="100">
        <v>6</v>
      </c>
      <c r="AU37" s="100">
        <v>5162.3999999999996</v>
      </c>
      <c r="AV37" s="100">
        <v>6.9571722719644891</v>
      </c>
      <c r="AW37" s="100">
        <v>5985.9510227982464</v>
      </c>
      <c r="AX37" s="100">
        <v>5.3845368854757671</v>
      </c>
      <c r="AY37" s="100">
        <v>4632.8555362633497</v>
      </c>
      <c r="AZ37" s="100">
        <v>5.0523185187357615</v>
      </c>
      <c r="BA37" s="100">
        <v>4347.0148535202488</v>
      </c>
      <c r="BB37" s="100">
        <v>1.3758575806236226</v>
      </c>
      <c r="BC37" s="100">
        <v>1183.7878623685649</v>
      </c>
      <c r="BD37" s="100">
        <v>5</v>
      </c>
      <c r="BE37" s="100">
        <v>4302</v>
      </c>
      <c r="BF37" s="100">
        <v>6</v>
      </c>
      <c r="BG37" s="100">
        <v>5162.3999999999996</v>
      </c>
      <c r="BH37" s="100">
        <v>7.485696120043567</v>
      </c>
      <c r="BI37" s="100">
        <v>6440.6929416854846</v>
      </c>
      <c r="BJ37" s="100">
        <v>1.8495152609866345</v>
      </c>
      <c r="BK37" s="100">
        <v>1591.3229305529003</v>
      </c>
      <c r="BL37" s="100">
        <v>5</v>
      </c>
      <c r="BM37" s="100">
        <v>4302</v>
      </c>
      <c r="BN37" s="100">
        <v>6</v>
      </c>
      <c r="BO37" s="100">
        <v>5162.3999999999996</v>
      </c>
      <c r="BP37" s="100">
        <v>5</v>
      </c>
      <c r="BQ37" s="100">
        <v>4302</v>
      </c>
      <c r="BR37" s="100">
        <v>8.3245337983730803</v>
      </c>
      <c r="BS37" s="100">
        <v>7162.4288801201983</v>
      </c>
      <c r="BT37" s="100">
        <v>1.0536700604590619</v>
      </c>
      <c r="BU37" s="100">
        <v>906.57772001897683</v>
      </c>
      <c r="BV37" s="100">
        <v>7.2664679515343202</v>
      </c>
      <c r="BW37" s="100">
        <v>6252.0690255001291</v>
      </c>
      <c r="BX37" s="100">
        <v>5</v>
      </c>
      <c r="BY37" s="100">
        <v>4302</v>
      </c>
      <c r="BZ37" s="100">
        <v>7</v>
      </c>
      <c r="CA37" s="100">
        <v>6022.8</v>
      </c>
      <c r="CB37" s="100">
        <v>8.5129213167500453</v>
      </c>
      <c r="CC37" s="100">
        <v>7324.5175009317391</v>
      </c>
      <c r="CD37" s="100">
        <v>4.3271812772134872</v>
      </c>
      <c r="CE37" s="100">
        <v>3723.1067709144845</v>
      </c>
      <c r="CF37" s="100">
        <v>5.0669829597054937E-4</v>
      </c>
      <c r="CG37" s="100">
        <v>0.43596321385306069</v>
      </c>
      <c r="CH37" s="100">
        <v>9</v>
      </c>
      <c r="CI37" s="100">
        <v>7743.5999999999995</v>
      </c>
      <c r="CJ37" s="100">
        <v>8</v>
      </c>
      <c r="CK37" s="100">
        <v>6883.2</v>
      </c>
      <c r="CL37" s="100">
        <v>6</v>
      </c>
      <c r="CM37" s="100">
        <v>5162.3999999999996</v>
      </c>
      <c r="CN37" s="100">
        <v>6</v>
      </c>
      <c r="CO37" s="100">
        <v>5162.3999999999996</v>
      </c>
      <c r="CP37" s="100">
        <v>5</v>
      </c>
      <c r="CQ37" s="100">
        <v>4302</v>
      </c>
      <c r="CR37" s="100">
        <v>8</v>
      </c>
      <c r="CS37" s="100">
        <v>6883.2</v>
      </c>
      <c r="CT37" s="100">
        <v>3.8800102435150716</v>
      </c>
      <c r="CU37" s="100">
        <v>3338.3608135203676</v>
      </c>
    </row>
    <row r="38" spans="2:99">
      <c r="C38" s="99" t="s">
        <v>204</v>
      </c>
      <c r="D38" s="100">
        <v>7</v>
      </c>
      <c r="E38" s="100">
        <v>8694</v>
      </c>
      <c r="F38" s="100">
        <v>8</v>
      </c>
      <c r="G38" s="100">
        <v>9936</v>
      </c>
      <c r="H38" s="100">
        <v>5</v>
      </c>
      <c r="I38" s="100">
        <v>6210</v>
      </c>
      <c r="J38" s="100">
        <v>5</v>
      </c>
      <c r="K38" s="100">
        <v>6210</v>
      </c>
      <c r="L38" s="100">
        <v>7</v>
      </c>
      <c r="M38" s="100">
        <v>8694</v>
      </c>
      <c r="N38" s="100">
        <v>8.4371800879044621</v>
      </c>
      <c r="O38" s="100">
        <v>10478.977669177342</v>
      </c>
      <c r="P38" s="100">
        <v>1.6622202828108359</v>
      </c>
      <c r="Q38" s="100">
        <v>2064.4775912510581</v>
      </c>
      <c r="R38" s="100">
        <v>8.0475454789182379</v>
      </c>
      <c r="S38" s="100">
        <v>9995.0514848164512</v>
      </c>
      <c r="T38" s="100">
        <v>4.5315034568958046</v>
      </c>
      <c r="U38" s="100">
        <v>5628.1272934645895</v>
      </c>
      <c r="V38" s="100">
        <v>5</v>
      </c>
      <c r="W38" s="100">
        <v>6210</v>
      </c>
      <c r="X38" s="100">
        <v>8.1489011606731694</v>
      </c>
      <c r="Y38" s="100">
        <v>10120.935241556077</v>
      </c>
      <c r="Z38" s="100">
        <v>5</v>
      </c>
      <c r="AA38" s="100">
        <v>6210</v>
      </c>
      <c r="AB38" s="100">
        <v>7</v>
      </c>
      <c r="AC38" s="100">
        <v>8694</v>
      </c>
      <c r="AD38" s="100">
        <v>5.6513808012091182</v>
      </c>
      <c r="AE38" s="100">
        <v>7019.0149551017248</v>
      </c>
      <c r="AF38" s="100">
        <v>6</v>
      </c>
      <c r="AG38" s="100">
        <v>7452</v>
      </c>
      <c r="AH38" s="100">
        <v>3.8276564697266839</v>
      </c>
      <c r="AI38" s="100">
        <v>4753.9493354005417</v>
      </c>
      <c r="AJ38" s="100">
        <v>6</v>
      </c>
      <c r="AK38" s="100">
        <v>7452</v>
      </c>
      <c r="AL38" s="100">
        <v>9.6956294520640789</v>
      </c>
      <c r="AM38" s="100">
        <v>12041.971779463585</v>
      </c>
      <c r="AN38" s="100">
        <v>2.830697200434757</v>
      </c>
      <c r="AO38" s="100">
        <v>3515.7259229399683</v>
      </c>
      <c r="AP38" s="100">
        <v>7</v>
      </c>
      <c r="AQ38" s="100">
        <v>8694</v>
      </c>
      <c r="AR38" s="100">
        <v>6</v>
      </c>
      <c r="AS38" s="100">
        <v>7452</v>
      </c>
      <c r="AT38" s="100">
        <v>6</v>
      </c>
      <c r="AU38" s="100">
        <v>7452</v>
      </c>
      <c r="AV38" s="100">
        <v>6.9571722719644891</v>
      </c>
      <c r="AW38" s="100">
        <v>8640.8079617798958</v>
      </c>
      <c r="AX38" s="100">
        <v>5.3845368854757671</v>
      </c>
      <c r="AY38" s="100">
        <v>6687.5948117609032</v>
      </c>
      <c r="AZ38" s="100">
        <v>4.3929874130560753</v>
      </c>
      <c r="BA38" s="100">
        <v>5456.0903670156458</v>
      </c>
      <c r="BB38" s="100">
        <v>1.3758575806236226</v>
      </c>
      <c r="BC38" s="100">
        <v>1708.8151151345394</v>
      </c>
      <c r="BD38" s="100">
        <v>5</v>
      </c>
      <c r="BE38" s="100">
        <v>6210</v>
      </c>
      <c r="BF38" s="100">
        <v>6</v>
      </c>
      <c r="BG38" s="100">
        <v>7452</v>
      </c>
      <c r="BH38" s="100">
        <v>7.534265732047924</v>
      </c>
      <c r="BI38" s="100">
        <v>9357.5580392035208</v>
      </c>
      <c r="BJ38" s="100">
        <v>1.585298795131401</v>
      </c>
      <c r="BK38" s="100">
        <v>1968.9411035532</v>
      </c>
      <c r="BL38" s="100">
        <v>5</v>
      </c>
      <c r="BM38" s="100">
        <v>6210</v>
      </c>
      <c r="BN38" s="100">
        <v>5</v>
      </c>
      <c r="BO38" s="100">
        <v>6210</v>
      </c>
      <c r="BP38" s="100">
        <v>5</v>
      </c>
      <c r="BQ38" s="100">
        <v>6210</v>
      </c>
      <c r="BR38" s="100">
        <v>7.2812626252566703</v>
      </c>
      <c r="BS38" s="100">
        <v>9043.3281805687839</v>
      </c>
      <c r="BT38" s="100">
        <v>1.1799394524949292</v>
      </c>
      <c r="BU38" s="100">
        <v>1465.4847999987021</v>
      </c>
      <c r="BV38" s="100">
        <v>7.2664679515343202</v>
      </c>
      <c r="BW38" s="100">
        <v>9024.953195805625</v>
      </c>
      <c r="BX38" s="100">
        <v>5</v>
      </c>
      <c r="BY38" s="100">
        <v>6210</v>
      </c>
      <c r="BZ38" s="100">
        <v>7</v>
      </c>
      <c r="CA38" s="100">
        <v>8694</v>
      </c>
      <c r="CB38" s="100">
        <v>7.5129213167500453</v>
      </c>
      <c r="CC38" s="100">
        <v>9331.0482754035565</v>
      </c>
      <c r="CD38" s="100">
        <v>4.3271812772134872</v>
      </c>
      <c r="CE38" s="100">
        <v>5374.3591462991508</v>
      </c>
      <c r="CF38" s="100">
        <v>5.0669829597054937E-4</v>
      </c>
      <c r="CG38" s="100">
        <v>0.62931928359542233</v>
      </c>
      <c r="CH38" s="100">
        <v>8</v>
      </c>
      <c r="CI38" s="100">
        <v>9936</v>
      </c>
      <c r="CJ38" s="100">
        <v>8</v>
      </c>
      <c r="CK38" s="100">
        <v>9936</v>
      </c>
      <c r="CL38" s="100">
        <v>6</v>
      </c>
      <c r="CM38" s="100">
        <v>7452</v>
      </c>
      <c r="CN38" s="100">
        <v>7</v>
      </c>
      <c r="CO38" s="100">
        <v>8694</v>
      </c>
      <c r="CP38" s="100">
        <v>6</v>
      </c>
      <c r="CQ38" s="100">
        <v>7452</v>
      </c>
      <c r="CR38" s="100">
        <v>8</v>
      </c>
      <c r="CS38" s="100">
        <v>9936</v>
      </c>
      <c r="CT38" s="100">
        <v>3.8570373402593154</v>
      </c>
      <c r="CU38" s="100">
        <v>4790.4403766020696</v>
      </c>
    </row>
    <row r="39" spans="2:99">
      <c r="C39" s="99" t="s">
        <v>205</v>
      </c>
      <c r="D39" s="100">
        <v>7</v>
      </c>
      <c r="E39" s="100">
        <v>9962.4</v>
      </c>
      <c r="F39" s="100">
        <v>9</v>
      </c>
      <c r="G39" s="100">
        <v>12808.800000000001</v>
      </c>
      <c r="H39" s="100">
        <v>6</v>
      </c>
      <c r="I39" s="100">
        <v>8539.2000000000007</v>
      </c>
      <c r="J39" s="100">
        <v>6</v>
      </c>
      <c r="K39" s="100">
        <v>8539.2000000000007</v>
      </c>
      <c r="L39" s="100">
        <v>6</v>
      </c>
      <c r="M39" s="100">
        <v>8539.2000000000007</v>
      </c>
      <c r="N39" s="100">
        <v>7.528697881483823</v>
      </c>
      <c r="O39" s="100">
        <v>10714.842824927777</v>
      </c>
      <c r="P39" s="100">
        <v>1.6622202828108359</v>
      </c>
      <c r="Q39" s="100">
        <v>2365.6719064963818</v>
      </c>
      <c r="R39" s="100">
        <v>9.0534886637830194</v>
      </c>
      <c r="S39" s="100">
        <v>12884.925066295993</v>
      </c>
      <c r="T39" s="100">
        <v>5.4378041482749655</v>
      </c>
      <c r="U39" s="100">
        <v>7739.0828638249313</v>
      </c>
      <c r="V39" s="100">
        <v>5</v>
      </c>
      <c r="W39" s="100">
        <v>7116</v>
      </c>
      <c r="X39" s="100">
        <v>7.1489011606731694</v>
      </c>
      <c r="Y39" s="100">
        <v>10174.316131870055</v>
      </c>
      <c r="Z39" s="100">
        <v>5</v>
      </c>
      <c r="AA39" s="100">
        <v>7116</v>
      </c>
      <c r="AB39" s="100">
        <v>8</v>
      </c>
      <c r="AC39" s="100">
        <v>11385.6</v>
      </c>
      <c r="AD39" s="100">
        <v>4.7094840010075991</v>
      </c>
      <c r="AE39" s="100">
        <v>6702.5376302340155</v>
      </c>
      <c r="AF39" s="100">
        <v>7</v>
      </c>
      <c r="AG39" s="100">
        <v>9962.4</v>
      </c>
      <c r="AH39" s="100">
        <v>3.8276564697266839</v>
      </c>
      <c r="AI39" s="100">
        <v>5447.5206877150167</v>
      </c>
      <c r="AJ39" s="100">
        <v>5</v>
      </c>
      <c r="AK39" s="100">
        <v>7116</v>
      </c>
      <c r="AL39" s="100">
        <v>9.6459416340595023</v>
      </c>
      <c r="AM39" s="100">
        <v>13728.104133593484</v>
      </c>
      <c r="AN39" s="100">
        <v>3.2350825147825799</v>
      </c>
      <c r="AO39" s="100">
        <v>4604.1694350385678</v>
      </c>
      <c r="AP39" s="100">
        <v>7</v>
      </c>
      <c r="AQ39" s="100">
        <v>9962.4</v>
      </c>
      <c r="AR39" s="100">
        <v>6</v>
      </c>
      <c r="AS39" s="100">
        <v>8539.2000000000007</v>
      </c>
      <c r="AT39" s="100">
        <v>5</v>
      </c>
      <c r="AU39" s="100">
        <v>7116</v>
      </c>
      <c r="AV39" s="100">
        <v>7.9510540251022723</v>
      </c>
      <c r="AW39" s="100">
        <v>11315.940088525555</v>
      </c>
      <c r="AX39" s="100">
        <v>5.3845368854757671</v>
      </c>
      <c r="AY39" s="100">
        <v>7663.2728954091117</v>
      </c>
      <c r="AZ39" s="100">
        <v>4.4242017544116434</v>
      </c>
      <c r="BA39" s="100">
        <v>6296.5239368786515</v>
      </c>
      <c r="BB39" s="100">
        <v>1.1465479838530188</v>
      </c>
      <c r="BC39" s="100">
        <v>1631.7670906196165</v>
      </c>
      <c r="BD39" s="100">
        <v>5</v>
      </c>
      <c r="BE39" s="100">
        <v>7116</v>
      </c>
      <c r="BF39" s="100">
        <v>5</v>
      </c>
      <c r="BG39" s="100">
        <v>7116</v>
      </c>
      <c r="BH39" s="100">
        <v>6.485696120043567</v>
      </c>
      <c r="BI39" s="100">
        <v>9230.4427180460043</v>
      </c>
      <c r="BJ39" s="100">
        <v>1.585298795131401</v>
      </c>
      <c r="BK39" s="100">
        <v>2256.1972452310101</v>
      </c>
      <c r="BL39" s="100">
        <v>5</v>
      </c>
      <c r="BM39" s="100">
        <v>7116</v>
      </c>
      <c r="BN39" s="100">
        <v>5</v>
      </c>
      <c r="BO39" s="100">
        <v>7116</v>
      </c>
      <c r="BP39" s="100">
        <v>5</v>
      </c>
      <c r="BQ39" s="100">
        <v>7116</v>
      </c>
      <c r="BR39" s="100">
        <v>7.3245337983730812</v>
      </c>
      <c r="BS39" s="100">
        <v>10424.27650184457</v>
      </c>
      <c r="BT39" s="100">
        <v>1.1751044609202486</v>
      </c>
      <c r="BU39" s="100">
        <v>1672.4086687816978</v>
      </c>
      <c r="BV39" s="100">
        <v>6.4590826235860623</v>
      </c>
      <c r="BW39" s="100">
        <v>9192.5663898876846</v>
      </c>
      <c r="BX39" s="100">
        <v>5</v>
      </c>
      <c r="BY39" s="100">
        <v>7116</v>
      </c>
      <c r="BZ39" s="100">
        <v>6</v>
      </c>
      <c r="CA39" s="100">
        <v>8539.2000000000007</v>
      </c>
      <c r="CB39" s="100">
        <v>7.5595505273636858</v>
      </c>
      <c r="CC39" s="100">
        <v>10758.752310543998</v>
      </c>
      <c r="CD39" s="100">
        <v>4.3271812772134872</v>
      </c>
      <c r="CE39" s="100">
        <v>6158.4443937302349</v>
      </c>
      <c r="CF39" s="100">
        <v>5.0669829597054937E-4</v>
      </c>
      <c r="CG39" s="100">
        <v>0.72113301482528591</v>
      </c>
      <c r="CH39" s="100">
        <v>8</v>
      </c>
      <c r="CI39" s="100">
        <v>11385.6</v>
      </c>
      <c r="CJ39" s="100">
        <v>8</v>
      </c>
      <c r="CK39" s="100">
        <v>11385.6</v>
      </c>
      <c r="CL39" s="100">
        <v>6</v>
      </c>
      <c r="CM39" s="100">
        <v>8539.2000000000007</v>
      </c>
      <c r="CN39" s="100">
        <v>7</v>
      </c>
      <c r="CO39" s="100">
        <v>9962.4</v>
      </c>
      <c r="CP39" s="100">
        <v>5</v>
      </c>
      <c r="CQ39" s="100">
        <v>7116</v>
      </c>
      <c r="CR39" s="100">
        <v>9</v>
      </c>
      <c r="CS39" s="100">
        <v>12808.800000000001</v>
      </c>
      <c r="CT39" s="100">
        <v>3.8340644370035597</v>
      </c>
      <c r="CU39" s="100">
        <v>5456.6405067434662</v>
      </c>
    </row>
    <row r="40" spans="2:99">
      <c r="C40" s="99" t="s">
        <v>206</v>
      </c>
      <c r="D40" s="100">
        <v>7</v>
      </c>
      <c r="E40" s="100">
        <v>5073.5999999999995</v>
      </c>
      <c r="F40" s="100">
        <v>9</v>
      </c>
      <c r="G40" s="100">
        <v>6523.2</v>
      </c>
      <c r="H40" s="100">
        <v>6</v>
      </c>
      <c r="I40" s="100">
        <v>4348.7999999999993</v>
      </c>
      <c r="J40" s="100">
        <v>5</v>
      </c>
      <c r="K40" s="100">
        <v>3624</v>
      </c>
      <c r="L40" s="100">
        <v>7</v>
      </c>
      <c r="M40" s="100">
        <v>5073.5999999999995</v>
      </c>
      <c r="N40" s="100">
        <v>8.4371800879044621</v>
      </c>
      <c r="O40" s="100">
        <v>6115.2681277131533</v>
      </c>
      <c r="P40" s="100">
        <v>1.6622202828108359</v>
      </c>
      <c r="Q40" s="100">
        <v>1204.7772609812937</v>
      </c>
      <c r="R40" s="100">
        <v>8.0594318486477992</v>
      </c>
      <c r="S40" s="100">
        <v>5841.4762038999243</v>
      </c>
      <c r="T40" s="100">
        <v>5.4378041482749655</v>
      </c>
      <c r="U40" s="100">
        <v>3941.3204466696948</v>
      </c>
      <c r="V40" s="100">
        <v>5</v>
      </c>
      <c r="W40" s="100">
        <v>3624</v>
      </c>
      <c r="X40" s="100">
        <v>9.1489011606731694</v>
      </c>
      <c r="Y40" s="100">
        <v>6631.123561255913</v>
      </c>
      <c r="Z40" s="100">
        <v>5</v>
      </c>
      <c r="AA40" s="100">
        <v>3624</v>
      </c>
      <c r="AB40" s="100">
        <v>7</v>
      </c>
      <c r="AC40" s="100">
        <v>5073.5999999999995</v>
      </c>
      <c r="AD40" s="100">
        <v>5.6513808012091182</v>
      </c>
      <c r="AE40" s="100">
        <v>4096.1208047163682</v>
      </c>
      <c r="AF40" s="100">
        <v>7</v>
      </c>
      <c r="AG40" s="100">
        <v>5073.5999999999995</v>
      </c>
      <c r="AH40" s="100">
        <v>3.8276564697266839</v>
      </c>
      <c r="AI40" s="100">
        <v>2774.2854092579005</v>
      </c>
      <c r="AJ40" s="100">
        <v>6</v>
      </c>
      <c r="AK40" s="100">
        <v>4348.7999999999993</v>
      </c>
      <c r="AL40" s="100">
        <v>8.6956294520640789</v>
      </c>
      <c r="AM40" s="100">
        <v>6302.5922268560444</v>
      </c>
      <c r="AN40" s="100">
        <v>2.830697200434757</v>
      </c>
      <c r="AO40" s="100">
        <v>2051.6893308751119</v>
      </c>
      <c r="AP40" s="100">
        <v>7</v>
      </c>
      <c r="AQ40" s="100">
        <v>5073.5999999999995</v>
      </c>
      <c r="AR40" s="100">
        <v>6</v>
      </c>
      <c r="AS40" s="100">
        <v>4348.7999999999993</v>
      </c>
      <c r="AT40" s="100">
        <v>6</v>
      </c>
      <c r="AU40" s="100">
        <v>4348.7999999999993</v>
      </c>
      <c r="AV40" s="100">
        <v>8.9449357782400583</v>
      </c>
      <c r="AW40" s="100">
        <v>6483.289452068394</v>
      </c>
      <c r="AX40" s="100">
        <v>6.0576039961602373</v>
      </c>
      <c r="AY40" s="100">
        <v>4390.55137641694</v>
      </c>
      <c r="AZ40" s="100">
        <v>4.3617730717005072</v>
      </c>
      <c r="BA40" s="100">
        <v>3161.4131223685276</v>
      </c>
      <c r="BB40" s="100">
        <v>1.3758575806236226</v>
      </c>
      <c r="BC40" s="100">
        <v>997.22157443600156</v>
      </c>
      <c r="BD40" s="100">
        <v>5</v>
      </c>
      <c r="BE40" s="100">
        <v>3624</v>
      </c>
      <c r="BF40" s="100">
        <v>6</v>
      </c>
      <c r="BG40" s="100">
        <v>4348.7999999999993</v>
      </c>
      <c r="BH40" s="100">
        <v>7.534265732047924</v>
      </c>
      <c r="BI40" s="100">
        <v>5460.8358025883354</v>
      </c>
      <c r="BJ40" s="100">
        <v>1.585298795131401</v>
      </c>
      <c r="BK40" s="100">
        <v>1149.0245667112395</v>
      </c>
      <c r="BL40" s="100">
        <v>5</v>
      </c>
      <c r="BM40" s="100">
        <v>3624</v>
      </c>
      <c r="BN40" s="100">
        <v>5</v>
      </c>
      <c r="BO40" s="100">
        <v>3624</v>
      </c>
      <c r="BP40" s="100">
        <v>5</v>
      </c>
      <c r="BQ40" s="100">
        <v>3624</v>
      </c>
      <c r="BR40" s="100">
        <v>8.3028982118148758</v>
      </c>
      <c r="BS40" s="100">
        <v>6017.9406239234213</v>
      </c>
      <c r="BT40" s="100">
        <v>1.3013738529561159</v>
      </c>
      <c r="BU40" s="100">
        <v>943.23576862259267</v>
      </c>
      <c r="BV40" s="100">
        <v>7.2664679515343202</v>
      </c>
      <c r="BW40" s="100">
        <v>5266.7359712720754</v>
      </c>
      <c r="BX40" s="100">
        <v>5</v>
      </c>
      <c r="BY40" s="100">
        <v>3624</v>
      </c>
      <c r="BZ40" s="100">
        <v>7</v>
      </c>
      <c r="CA40" s="100">
        <v>5073.5999999999995</v>
      </c>
      <c r="CB40" s="100">
        <v>7.5595505273636858</v>
      </c>
      <c r="CC40" s="100">
        <v>5479.1622222331989</v>
      </c>
      <c r="CD40" s="100">
        <v>4.3271812772134872</v>
      </c>
      <c r="CE40" s="100">
        <v>3136.3409897243355</v>
      </c>
      <c r="CF40" s="100">
        <v>5.0669829597054937E-4</v>
      </c>
      <c r="CG40" s="100">
        <v>0.36725492491945416</v>
      </c>
      <c r="CH40" s="100">
        <v>9</v>
      </c>
      <c r="CI40" s="100">
        <v>6523.2</v>
      </c>
      <c r="CJ40" s="100">
        <v>9</v>
      </c>
      <c r="CK40" s="100">
        <v>6523.2</v>
      </c>
      <c r="CL40" s="100">
        <v>6</v>
      </c>
      <c r="CM40" s="100">
        <v>4348.7999999999993</v>
      </c>
      <c r="CN40" s="100">
        <v>7</v>
      </c>
      <c r="CO40" s="100">
        <v>5073.5999999999995</v>
      </c>
      <c r="CP40" s="100">
        <v>5</v>
      </c>
      <c r="CQ40" s="100">
        <v>3624</v>
      </c>
      <c r="CR40" s="100">
        <v>9</v>
      </c>
      <c r="CS40" s="100">
        <v>6523.2</v>
      </c>
      <c r="CT40" s="100">
        <v>3.8340644370035597</v>
      </c>
      <c r="CU40" s="100">
        <v>2778.9299039401799</v>
      </c>
    </row>
    <row r="41" spans="2:99">
      <c r="C41" s="99" t="s">
        <v>207</v>
      </c>
      <c r="D41" s="100">
        <v>7</v>
      </c>
      <c r="E41" s="100">
        <v>4620</v>
      </c>
      <c r="F41" s="100">
        <v>8</v>
      </c>
      <c r="G41" s="100">
        <v>5280</v>
      </c>
      <c r="H41" s="100">
        <v>6</v>
      </c>
      <c r="I41" s="100">
        <v>3960</v>
      </c>
      <c r="J41" s="100">
        <v>6</v>
      </c>
      <c r="K41" s="100">
        <v>3960</v>
      </c>
      <c r="L41" s="100">
        <v>7</v>
      </c>
      <c r="M41" s="100">
        <v>4620</v>
      </c>
      <c r="N41" s="100">
        <v>7.5613029102486626</v>
      </c>
      <c r="O41" s="100">
        <v>4990.4599207641177</v>
      </c>
      <c r="P41" s="100">
        <v>1.6622202828108359</v>
      </c>
      <c r="Q41" s="100">
        <v>1097.0653866551518</v>
      </c>
      <c r="R41" s="100">
        <v>9.0534886637830194</v>
      </c>
      <c r="S41" s="100">
        <v>5975.3025180967925</v>
      </c>
      <c r="T41" s="100">
        <v>4.5315034568958046</v>
      </c>
      <c r="U41" s="100">
        <v>2990.7922815512311</v>
      </c>
      <c r="V41" s="100">
        <v>6</v>
      </c>
      <c r="W41" s="100">
        <v>3960</v>
      </c>
      <c r="X41" s="100">
        <v>8.1637912767404863</v>
      </c>
      <c r="Y41" s="100">
        <v>5388.1022426487207</v>
      </c>
      <c r="Z41" s="100">
        <v>5</v>
      </c>
      <c r="AA41" s="100">
        <v>3300</v>
      </c>
      <c r="AB41" s="100">
        <v>8</v>
      </c>
      <c r="AC41" s="100">
        <v>5280</v>
      </c>
      <c r="AD41" s="100">
        <v>5.6513808012091182</v>
      </c>
      <c r="AE41" s="100">
        <v>3729.9113287980181</v>
      </c>
      <c r="AF41" s="100">
        <v>6</v>
      </c>
      <c r="AG41" s="100">
        <v>3960</v>
      </c>
      <c r="AH41" s="100">
        <v>4.4655992146811307</v>
      </c>
      <c r="AI41" s="100">
        <v>2947.2954816895462</v>
      </c>
      <c r="AJ41" s="100">
        <v>6</v>
      </c>
      <c r="AK41" s="100">
        <v>3960</v>
      </c>
      <c r="AL41" s="100">
        <v>9.6956294520640789</v>
      </c>
      <c r="AM41" s="100">
        <v>6399.1154383622925</v>
      </c>
      <c r="AN41" s="100">
        <v>2.830697200434757</v>
      </c>
      <c r="AO41" s="100">
        <v>1868.2601522869397</v>
      </c>
      <c r="AP41" s="100">
        <v>6</v>
      </c>
      <c r="AQ41" s="100">
        <v>3960</v>
      </c>
      <c r="AR41" s="100">
        <v>6</v>
      </c>
      <c r="AS41" s="100">
        <v>3960</v>
      </c>
      <c r="AT41" s="100">
        <v>6</v>
      </c>
      <c r="AU41" s="100">
        <v>3960</v>
      </c>
      <c r="AV41" s="100">
        <v>8.9449357782400583</v>
      </c>
      <c r="AW41" s="100">
        <v>5903.6576136384383</v>
      </c>
      <c r="AX41" s="100">
        <v>6.0576039961602373</v>
      </c>
      <c r="AY41" s="100">
        <v>3998.0186374657565</v>
      </c>
      <c r="AZ41" s="100">
        <v>4.3929874130560753</v>
      </c>
      <c r="BA41" s="100">
        <v>2899.3716926170096</v>
      </c>
      <c r="BB41" s="100">
        <v>1.3758575806236226</v>
      </c>
      <c r="BC41" s="100">
        <v>908.0660032115909</v>
      </c>
      <c r="BD41" s="100">
        <v>5</v>
      </c>
      <c r="BE41" s="100">
        <v>3300</v>
      </c>
      <c r="BF41" s="100">
        <v>6</v>
      </c>
      <c r="BG41" s="100">
        <v>3960</v>
      </c>
      <c r="BH41" s="100">
        <v>7.534265732047924</v>
      </c>
      <c r="BI41" s="100">
        <v>4972.6153831516294</v>
      </c>
      <c r="BJ41" s="100">
        <v>1.585298795131401</v>
      </c>
      <c r="BK41" s="100">
        <v>1046.2972047867247</v>
      </c>
      <c r="BL41" s="100">
        <v>5</v>
      </c>
      <c r="BM41" s="100">
        <v>3300</v>
      </c>
      <c r="BN41" s="100">
        <v>6</v>
      </c>
      <c r="BO41" s="100">
        <v>3960</v>
      </c>
      <c r="BP41" s="100">
        <v>5</v>
      </c>
      <c r="BQ41" s="100">
        <v>3300</v>
      </c>
      <c r="BR41" s="100">
        <v>8.2812626252566695</v>
      </c>
      <c r="BS41" s="100">
        <v>5465.6333326694021</v>
      </c>
      <c r="BT41" s="100">
        <v>1.1847744440696097</v>
      </c>
      <c r="BU41" s="100">
        <v>781.95113308594239</v>
      </c>
      <c r="BV41" s="100">
        <v>6.4590826235860623</v>
      </c>
      <c r="BW41" s="100">
        <v>4262.994531566801</v>
      </c>
      <c r="BX41" s="100">
        <v>5</v>
      </c>
      <c r="BY41" s="100">
        <v>3300</v>
      </c>
      <c r="BZ41" s="100">
        <v>7</v>
      </c>
      <c r="CA41" s="100">
        <v>4620</v>
      </c>
      <c r="CB41" s="100">
        <v>7.6061797379773264</v>
      </c>
      <c r="CC41" s="100">
        <v>5020.0786270650351</v>
      </c>
      <c r="CD41" s="100">
        <v>4.3271812772134872</v>
      </c>
      <c r="CE41" s="100">
        <v>2855.9396429609014</v>
      </c>
      <c r="CF41" s="100">
        <v>5.0669829597054937E-4</v>
      </c>
      <c r="CG41" s="100">
        <v>0.33442087534056258</v>
      </c>
      <c r="CH41" s="100">
        <v>9</v>
      </c>
      <c r="CI41" s="100">
        <v>5940</v>
      </c>
      <c r="CJ41" s="100">
        <v>8</v>
      </c>
      <c r="CK41" s="100">
        <v>5280</v>
      </c>
      <c r="CL41" s="100">
        <v>6</v>
      </c>
      <c r="CM41" s="100">
        <v>3960</v>
      </c>
      <c r="CN41" s="100">
        <v>7</v>
      </c>
      <c r="CO41" s="100">
        <v>4620</v>
      </c>
      <c r="CP41" s="100">
        <v>6</v>
      </c>
      <c r="CQ41" s="100">
        <v>3960</v>
      </c>
      <c r="CR41" s="100">
        <v>9</v>
      </c>
      <c r="CS41" s="100">
        <v>5940</v>
      </c>
      <c r="CT41" s="100">
        <v>3.8800102435150716</v>
      </c>
      <c r="CU41" s="100">
        <v>2560.8067607199473</v>
      </c>
    </row>
    <row r="42" spans="2:99">
      <c r="C42" s="99" t="s">
        <v>208</v>
      </c>
      <c r="D42" s="100">
        <v>7</v>
      </c>
      <c r="E42" s="100">
        <v>5922</v>
      </c>
      <c r="F42" s="100">
        <v>8</v>
      </c>
      <c r="G42" s="100">
        <v>6768</v>
      </c>
      <c r="H42" s="100">
        <v>5</v>
      </c>
      <c r="I42" s="100">
        <v>4230</v>
      </c>
      <c r="J42" s="100">
        <v>5</v>
      </c>
      <c r="K42" s="100">
        <v>4230</v>
      </c>
      <c r="L42" s="100">
        <v>6</v>
      </c>
      <c r="M42" s="100">
        <v>5076</v>
      </c>
      <c r="N42" s="100">
        <v>7.528697881483823</v>
      </c>
      <c r="O42" s="100">
        <v>6369.2784077353144</v>
      </c>
      <c r="P42" s="100">
        <v>1.6622202828108359</v>
      </c>
      <c r="Q42" s="100">
        <v>1406.2383592579672</v>
      </c>
      <c r="R42" s="100">
        <v>10.047545478918238</v>
      </c>
      <c r="S42" s="100">
        <v>8500.2234751648284</v>
      </c>
      <c r="T42" s="100">
        <v>5.4378041482749655</v>
      </c>
      <c r="U42" s="100">
        <v>4600.3823094406207</v>
      </c>
      <c r="V42" s="100">
        <v>5</v>
      </c>
      <c r="W42" s="100">
        <v>4230</v>
      </c>
      <c r="X42" s="100">
        <v>8.1489011606731694</v>
      </c>
      <c r="Y42" s="100">
        <v>6893.9703819295009</v>
      </c>
      <c r="Z42" s="100">
        <v>5</v>
      </c>
      <c r="AA42" s="100">
        <v>4230</v>
      </c>
      <c r="AB42" s="100">
        <v>7</v>
      </c>
      <c r="AC42" s="100">
        <v>5922</v>
      </c>
      <c r="AD42" s="100">
        <v>5.6513808012091182</v>
      </c>
      <c r="AE42" s="100">
        <v>4781.0681578229141</v>
      </c>
      <c r="AF42" s="100">
        <v>7</v>
      </c>
      <c r="AG42" s="100">
        <v>5922</v>
      </c>
      <c r="AH42" s="100">
        <v>3.8276564697266839</v>
      </c>
      <c r="AI42" s="100">
        <v>3238.1973733887744</v>
      </c>
      <c r="AJ42" s="100">
        <v>6</v>
      </c>
      <c r="AK42" s="100">
        <v>5076</v>
      </c>
      <c r="AL42" s="100">
        <v>9.7950050880732338</v>
      </c>
      <c r="AM42" s="100">
        <v>8286.5743045099553</v>
      </c>
      <c r="AN42" s="100">
        <v>2.830697200434757</v>
      </c>
      <c r="AO42" s="100">
        <v>2394.7698315678044</v>
      </c>
      <c r="AP42" s="100">
        <v>7</v>
      </c>
      <c r="AQ42" s="100">
        <v>5922</v>
      </c>
      <c r="AR42" s="100">
        <v>7</v>
      </c>
      <c r="AS42" s="100">
        <v>5922</v>
      </c>
      <c r="AT42" s="100">
        <v>5</v>
      </c>
      <c r="AU42" s="100">
        <v>4230</v>
      </c>
      <c r="AV42" s="100">
        <v>7.9510540251022723</v>
      </c>
      <c r="AW42" s="100">
        <v>6726.5917052365221</v>
      </c>
      <c r="AX42" s="100">
        <v>6.0576039961602373</v>
      </c>
      <c r="AY42" s="100">
        <v>5124.7329807515607</v>
      </c>
      <c r="AZ42" s="100">
        <v>4.4242017544116434</v>
      </c>
      <c r="BA42" s="100">
        <v>3742.8746842322503</v>
      </c>
      <c r="BB42" s="100">
        <v>1.3758575806236226</v>
      </c>
      <c r="BC42" s="100">
        <v>1163.9755132075848</v>
      </c>
      <c r="BD42" s="100">
        <v>5</v>
      </c>
      <c r="BE42" s="100">
        <v>4230</v>
      </c>
      <c r="BF42" s="100">
        <v>5</v>
      </c>
      <c r="BG42" s="100">
        <v>4230</v>
      </c>
      <c r="BH42" s="100">
        <v>7.485696120043567</v>
      </c>
      <c r="BI42" s="100">
        <v>6332.8989175568577</v>
      </c>
      <c r="BJ42" s="100">
        <v>1.585298795131401</v>
      </c>
      <c r="BK42" s="100">
        <v>1341.1627806811653</v>
      </c>
      <c r="BL42" s="100">
        <v>5</v>
      </c>
      <c r="BM42" s="100">
        <v>4230</v>
      </c>
      <c r="BN42" s="100">
        <v>6</v>
      </c>
      <c r="BO42" s="100">
        <v>5076</v>
      </c>
      <c r="BP42" s="100">
        <v>5</v>
      </c>
      <c r="BQ42" s="100">
        <v>4230</v>
      </c>
      <c r="BR42" s="100">
        <v>8.3245337983730803</v>
      </c>
      <c r="BS42" s="100">
        <v>7042.5555934236263</v>
      </c>
      <c r="BT42" s="100">
        <v>1.3013738529561159</v>
      </c>
      <c r="BU42" s="100">
        <v>1100.9622796008739</v>
      </c>
      <c r="BV42" s="100">
        <v>7.2664679515343202</v>
      </c>
      <c r="BW42" s="100">
        <v>6147.4318869980352</v>
      </c>
      <c r="BX42" s="100">
        <v>5</v>
      </c>
      <c r="BY42" s="100">
        <v>4230</v>
      </c>
      <c r="BZ42" s="100">
        <v>7</v>
      </c>
      <c r="CA42" s="100">
        <v>5922</v>
      </c>
      <c r="CB42" s="100">
        <v>7.5129213167500453</v>
      </c>
      <c r="CC42" s="100">
        <v>6355.9314339705379</v>
      </c>
      <c r="CD42" s="100">
        <v>4.3271812772134872</v>
      </c>
      <c r="CE42" s="100">
        <v>3660.7953605226103</v>
      </c>
      <c r="CF42" s="100">
        <v>4.4336100897423067E-4</v>
      </c>
      <c r="CG42" s="100">
        <v>0.37508341359219916</v>
      </c>
      <c r="CH42" s="100">
        <v>9</v>
      </c>
      <c r="CI42" s="100">
        <v>7614</v>
      </c>
      <c r="CJ42" s="100">
        <v>9</v>
      </c>
      <c r="CK42" s="100">
        <v>7614</v>
      </c>
      <c r="CL42" s="100">
        <v>6</v>
      </c>
      <c r="CM42" s="100">
        <v>5076</v>
      </c>
      <c r="CN42" s="100">
        <v>7</v>
      </c>
      <c r="CO42" s="100">
        <v>5922</v>
      </c>
      <c r="CP42" s="100">
        <v>5</v>
      </c>
      <c r="CQ42" s="100">
        <v>4230</v>
      </c>
      <c r="CR42" s="100">
        <v>8</v>
      </c>
      <c r="CS42" s="100">
        <v>6768</v>
      </c>
      <c r="CT42" s="100">
        <v>3.8340644370035597</v>
      </c>
      <c r="CU42" s="100">
        <v>3243.6185137050115</v>
      </c>
    </row>
    <row r="43" spans="2:99">
      <c r="C43" s="99" t="s">
        <v>209</v>
      </c>
      <c r="D43" s="100">
        <v>7</v>
      </c>
      <c r="E43" s="100">
        <v>7156.8</v>
      </c>
      <c r="F43" s="100">
        <v>8</v>
      </c>
      <c r="G43" s="100">
        <v>8179.2</v>
      </c>
      <c r="H43" s="100">
        <v>5</v>
      </c>
      <c r="I43" s="100">
        <v>5112</v>
      </c>
      <c r="J43" s="100">
        <v>5</v>
      </c>
      <c r="K43" s="100">
        <v>5112</v>
      </c>
      <c r="L43" s="100">
        <v>6</v>
      </c>
      <c r="M43" s="100">
        <v>6134.4</v>
      </c>
      <c r="N43" s="100">
        <v>8.4371800879044621</v>
      </c>
      <c r="O43" s="100">
        <v>8626.1729218735218</v>
      </c>
      <c r="P43" s="100">
        <v>1.6622202828108359</v>
      </c>
      <c r="Q43" s="100">
        <v>1699.4540171457986</v>
      </c>
      <c r="R43" s="100">
        <v>8.0534886637830194</v>
      </c>
      <c r="S43" s="100">
        <v>8233.8868098517596</v>
      </c>
      <c r="T43" s="100">
        <v>5.4378041482749655</v>
      </c>
      <c r="U43" s="100">
        <v>5559.6109611963248</v>
      </c>
      <c r="V43" s="100">
        <v>5</v>
      </c>
      <c r="W43" s="100">
        <v>5112</v>
      </c>
      <c r="X43" s="100">
        <v>8.1489011606731694</v>
      </c>
      <c r="Y43" s="100">
        <v>8331.4365466722484</v>
      </c>
      <c r="Z43" s="100">
        <v>5</v>
      </c>
      <c r="AA43" s="100">
        <v>5112</v>
      </c>
      <c r="AB43" s="100">
        <v>8</v>
      </c>
      <c r="AC43" s="100">
        <v>8179.2</v>
      </c>
      <c r="AD43" s="100">
        <v>6.5932776014106382</v>
      </c>
      <c r="AE43" s="100">
        <v>6740.9670196822362</v>
      </c>
      <c r="AF43" s="100">
        <v>7</v>
      </c>
      <c r="AG43" s="100">
        <v>7156.8</v>
      </c>
      <c r="AH43" s="100">
        <v>3.8276564697266839</v>
      </c>
      <c r="AI43" s="100">
        <v>3913.3959746485616</v>
      </c>
      <c r="AJ43" s="100">
        <v>6</v>
      </c>
      <c r="AK43" s="100">
        <v>6134.4</v>
      </c>
      <c r="AL43" s="100">
        <v>9.6956294520640789</v>
      </c>
      <c r="AM43" s="100">
        <v>9912.8115517903134</v>
      </c>
      <c r="AN43" s="100">
        <v>2.830697200434757</v>
      </c>
      <c r="AO43" s="100">
        <v>2894.1048177244957</v>
      </c>
      <c r="AP43" s="100">
        <v>6</v>
      </c>
      <c r="AQ43" s="100">
        <v>6134.4</v>
      </c>
      <c r="AR43" s="100">
        <v>6</v>
      </c>
      <c r="AS43" s="100">
        <v>6134.4</v>
      </c>
      <c r="AT43" s="100">
        <v>6</v>
      </c>
      <c r="AU43" s="100">
        <v>6134.4</v>
      </c>
      <c r="AV43" s="100">
        <v>8.9449357782400583</v>
      </c>
      <c r="AW43" s="100">
        <v>9145.3023396726348</v>
      </c>
      <c r="AX43" s="100">
        <v>6.0576039961602373</v>
      </c>
      <c r="AY43" s="100">
        <v>6193.2943256742265</v>
      </c>
      <c r="AZ43" s="100">
        <v>4.3929874130560753</v>
      </c>
      <c r="BA43" s="100">
        <v>4491.3903311085314</v>
      </c>
      <c r="BB43" s="100">
        <v>1.3758575806236226</v>
      </c>
      <c r="BC43" s="100">
        <v>1406.6767904295918</v>
      </c>
      <c r="BD43" s="100">
        <v>5</v>
      </c>
      <c r="BE43" s="100">
        <v>5112</v>
      </c>
      <c r="BF43" s="100">
        <v>6</v>
      </c>
      <c r="BG43" s="100">
        <v>6134.4</v>
      </c>
      <c r="BH43" s="100">
        <v>6.534265732047924</v>
      </c>
      <c r="BI43" s="100">
        <v>6680.6332844457975</v>
      </c>
      <c r="BJ43" s="100">
        <v>1.585298795131401</v>
      </c>
      <c r="BK43" s="100">
        <v>1620.8094881423444</v>
      </c>
      <c r="BL43" s="100">
        <v>5</v>
      </c>
      <c r="BM43" s="100">
        <v>5112</v>
      </c>
      <c r="BN43" s="100">
        <v>6</v>
      </c>
      <c r="BO43" s="100">
        <v>6134.4</v>
      </c>
      <c r="BP43" s="100">
        <v>5</v>
      </c>
      <c r="BQ43" s="100">
        <v>5112</v>
      </c>
      <c r="BR43" s="100">
        <v>7.3028982118148758</v>
      </c>
      <c r="BS43" s="100">
        <v>7466.483131759529</v>
      </c>
      <c r="BT43" s="100">
        <v>1.3062088445307964</v>
      </c>
      <c r="BU43" s="100">
        <v>1335.4679226482863</v>
      </c>
      <c r="BV43" s="100">
        <v>6.4590826235860623</v>
      </c>
      <c r="BW43" s="100">
        <v>6603.7660743543902</v>
      </c>
      <c r="BX43" s="100">
        <v>5</v>
      </c>
      <c r="BY43" s="100">
        <v>5112</v>
      </c>
      <c r="BZ43" s="100">
        <v>7</v>
      </c>
      <c r="CA43" s="100">
        <v>7156.8</v>
      </c>
      <c r="CB43" s="100">
        <v>8.5595505273636849</v>
      </c>
      <c r="CC43" s="100">
        <v>8751.2844591766316</v>
      </c>
      <c r="CD43" s="100">
        <v>5.0483781567490684</v>
      </c>
      <c r="CE43" s="100">
        <v>5161.4618274602472</v>
      </c>
      <c r="CF43" s="100">
        <v>4.4336100897423067E-4</v>
      </c>
      <c r="CG43" s="100">
        <v>0.45329229557525341</v>
      </c>
      <c r="CH43" s="100">
        <v>8</v>
      </c>
      <c r="CI43" s="100">
        <v>8179.2</v>
      </c>
      <c r="CJ43" s="100">
        <v>9</v>
      </c>
      <c r="CK43" s="100">
        <v>9201.6</v>
      </c>
      <c r="CL43" s="100">
        <v>6</v>
      </c>
      <c r="CM43" s="100">
        <v>6134.4</v>
      </c>
      <c r="CN43" s="100">
        <v>6</v>
      </c>
      <c r="CO43" s="100">
        <v>6134.4</v>
      </c>
      <c r="CP43" s="100">
        <v>5</v>
      </c>
      <c r="CQ43" s="100">
        <v>5112</v>
      </c>
      <c r="CR43" s="100">
        <v>9</v>
      </c>
      <c r="CS43" s="100">
        <v>9201.6</v>
      </c>
      <c r="CT43" s="100">
        <v>3.8570373402593154</v>
      </c>
      <c r="CU43" s="100">
        <v>3943.4349766811242</v>
      </c>
    </row>
    <row r="44" spans="2:99">
      <c r="C44" s="99" t="s">
        <v>210</v>
      </c>
      <c r="D44" s="100">
        <v>7</v>
      </c>
      <c r="E44" s="100">
        <v>7156.8</v>
      </c>
      <c r="F44" s="100">
        <v>8</v>
      </c>
      <c r="G44" s="100">
        <v>8179.2</v>
      </c>
      <c r="H44" s="100">
        <v>6</v>
      </c>
      <c r="I44" s="100">
        <v>6134.4</v>
      </c>
      <c r="J44" s="100">
        <v>5</v>
      </c>
      <c r="K44" s="100">
        <v>5112</v>
      </c>
      <c r="L44" s="100">
        <v>6</v>
      </c>
      <c r="M44" s="100">
        <v>6134.4</v>
      </c>
      <c r="N44" s="100">
        <v>7.4960928527189843</v>
      </c>
      <c r="O44" s="100">
        <v>7664.0053326198895</v>
      </c>
      <c r="P44" s="100">
        <v>1.6622202828108359</v>
      </c>
      <c r="Q44" s="100">
        <v>1699.4540171457986</v>
      </c>
      <c r="R44" s="100">
        <v>10.047545478918238</v>
      </c>
      <c r="S44" s="100">
        <v>10272.610497646006</v>
      </c>
      <c r="T44" s="100">
        <v>5.4378041482749655</v>
      </c>
      <c r="U44" s="100">
        <v>5559.6109611963248</v>
      </c>
      <c r="V44" s="100">
        <v>5</v>
      </c>
      <c r="W44" s="100">
        <v>5112</v>
      </c>
      <c r="X44" s="100">
        <v>9.1637912767404863</v>
      </c>
      <c r="Y44" s="100">
        <v>9369.0602013394728</v>
      </c>
      <c r="Z44" s="100">
        <v>5</v>
      </c>
      <c r="AA44" s="100">
        <v>5112</v>
      </c>
      <c r="AB44" s="100">
        <v>7</v>
      </c>
      <c r="AC44" s="100">
        <v>7156.8</v>
      </c>
      <c r="AD44" s="100">
        <v>5.6513808012091182</v>
      </c>
      <c r="AE44" s="100">
        <v>5777.9717311562026</v>
      </c>
      <c r="AF44" s="100">
        <v>6</v>
      </c>
      <c r="AG44" s="100">
        <v>6134.4</v>
      </c>
      <c r="AH44" s="100">
        <v>3.8276564697266839</v>
      </c>
      <c r="AI44" s="100">
        <v>3913.3959746485616</v>
      </c>
      <c r="AJ44" s="100">
        <v>6</v>
      </c>
      <c r="AK44" s="100">
        <v>6134.4</v>
      </c>
      <c r="AL44" s="100">
        <v>9.6956294520640789</v>
      </c>
      <c r="AM44" s="100">
        <v>9912.8115517903134</v>
      </c>
      <c r="AN44" s="100">
        <v>2.830697200434757</v>
      </c>
      <c r="AO44" s="100">
        <v>2894.1048177244957</v>
      </c>
      <c r="AP44" s="100">
        <v>6</v>
      </c>
      <c r="AQ44" s="100">
        <v>6134.4</v>
      </c>
      <c r="AR44" s="100">
        <v>6</v>
      </c>
      <c r="AS44" s="100">
        <v>6134.4</v>
      </c>
      <c r="AT44" s="100">
        <v>6</v>
      </c>
      <c r="AU44" s="100">
        <v>6134.4</v>
      </c>
      <c r="AV44" s="100">
        <v>8.9449357782400583</v>
      </c>
      <c r="AW44" s="100">
        <v>9145.3023396726348</v>
      </c>
      <c r="AX44" s="100">
        <v>6.0576039961602373</v>
      </c>
      <c r="AY44" s="100">
        <v>6193.2943256742265</v>
      </c>
      <c r="AZ44" s="100">
        <v>5.0523185187357615</v>
      </c>
      <c r="BA44" s="100">
        <v>5165.4904535554424</v>
      </c>
      <c r="BB44" s="100">
        <v>1.1465479838530188</v>
      </c>
      <c r="BC44" s="100">
        <v>1172.2306586913264</v>
      </c>
      <c r="BD44" s="100">
        <v>5</v>
      </c>
      <c r="BE44" s="100">
        <v>5112</v>
      </c>
      <c r="BF44" s="100">
        <v>6</v>
      </c>
      <c r="BG44" s="100">
        <v>6134.4</v>
      </c>
      <c r="BH44" s="100">
        <v>7.534265732047924</v>
      </c>
      <c r="BI44" s="100">
        <v>7703.0332844457971</v>
      </c>
      <c r="BJ44" s="100">
        <v>1.585298795131401</v>
      </c>
      <c r="BK44" s="100">
        <v>1620.8094881423444</v>
      </c>
      <c r="BL44" s="100">
        <v>5</v>
      </c>
      <c r="BM44" s="100">
        <v>5112</v>
      </c>
      <c r="BN44" s="100">
        <v>6</v>
      </c>
      <c r="BO44" s="100">
        <v>6134.4</v>
      </c>
      <c r="BP44" s="100">
        <v>4</v>
      </c>
      <c r="BQ44" s="100">
        <v>4089.6</v>
      </c>
      <c r="BR44" s="100">
        <v>8.3245337983730803</v>
      </c>
      <c r="BS44" s="100">
        <v>8511.0033554566362</v>
      </c>
      <c r="BT44" s="100">
        <v>1.3062088445307964</v>
      </c>
      <c r="BU44" s="100">
        <v>1335.4679226482863</v>
      </c>
      <c r="BV44" s="100">
        <v>6.4590826235860623</v>
      </c>
      <c r="BW44" s="100">
        <v>6603.7660743543902</v>
      </c>
      <c r="BX44" s="100">
        <v>5</v>
      </c>
      <c r="BY44" s="100">
        <v>5112</v>
      </c>
      <c r="BZ44" s="100">
        <v>7</v>
      </c>
      <c r="CA44" s="100">
        <v>7156.8</v>
      </c>
      <c r="CB44" s="100">
        <v>8.5129213167500453</v>
      </c>
      <c r="CC44" s="100">
        <v>8703.6107542452464</v>
      </c>
      <c r="CD44" s="100">
        <v>4.3271812772134872</v>
      </c>
      <c r="CE44" s="100">
        <v>4424.1101378230696</v>
      </c>
      <c r="CF44" s="100">
        <v>5.0669829597054937E-4</v>
      </c>
      <c r="CG44" s="100">
        <v>0.51804833780028969</v>
      </c>
      <c r="CH44" s="100">
        <v>8</v>
      </c>
      <c r="CI44" s="100">
        <v>8179.2</v>
      </c>
      <c r="CJ44" s="100">
        <v>8</v>
      </c>
      <c r="CK44" s="100">
        <v>8179.2</v>
      </c>
      <c r="CL44" s="100">
        <v>5</v>
      </c>
      <c r="CM44" s="100">
        <v>5112</v>
      </c>
      <c r="CN44" s="100">
        <v>7</v>
      </c>
      <c r="CO44" s="100">
        <v>7156.8</v>
      </c>
      <c r="CP44" s="100">
        <v>5</v>
      </c>
      <c r="CQ44" s="100">
        <v>5112</v>
      </c>
      <c r="CR44" s="100">
        <v>8</v>
      </c>
      <c r="CS44" s="100">
        <v>8179.2</v>
      </c>
      <c r="CT44" s="100">
        <v>3.8340644370035597</v>
      </c>
      <c r="CU44" s="100">
        <v>3919.9474803924395</v>
      </c>
    </row>
    <row r="45" spans="2:99">
      <c r="C45" s="99" t="s">
        <v>211</v>
      </c>
      <c r="D45" s="100">
        <v>7</v>
      </c>
      <c r="E45" s="100">
        <v>8744.4</v>
      </c>
      <c r="F45" s="100">
        <v>8</v>
      </c>
      <c r="G45" s="100">
        <v>9993.6</v>
      </c>
      <c r="H45" s="100">
        <v>5</v>
      </c>
      <c r="I45" s="100">
        <v>6246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7.528697881483823</v>
      </c>
      <c r="O45" s="100">
        <v>9404.8493935495917</v>
      </c>
      <c r="P45" s="100">
        <v>1.6622202828108359</v>
      </c>
      <c r="Q45" s="100">
        <v>2076.4455772872961</v>
      </c>
      <c r="R45" s="100">
        <v>9.0475454789182379</v>
      </c>
      <c r="S45" s="100">
        <v>11302.193812264662</v>
      </c>
      <c r="T45" s="100">
        <v>5.4378041482749655</v>
      </c>
      <c r="U45" s="100">
        <v>6792.9049420250867</v>
      </c>
      <c r="V45" s="100">
        <v>5</v>
      </c>
      <c r="W45" s="100">
        <v>6246</v>
      </c>
      <c r="X45" s="100">
        <v>9.1637912767404863</v>
      </c>
      <c r="Y45" s="100">
        <v>11447.408062904216</v>
      </c>
      <c r="Z45" s="100">
        <v>5</v>
      </c>
      <c r="AA45" s="100">
        <v>6246</v>
      </c>
      <c r="AB45" s="100">
        <v>8</v>
      </c>
      <c r="AC45" s="100">
        <v>9993.6</v>
      </c>
      <c r="AD45" s="100">
        <v>5.6513808012091182</v>
      </c>
      <c r="AE45" s="100">
        <v>7059.7048968704312</v>
      </c>
      <c r="AF45" s="100">
        <v>6</v>
      </c>
      <c r="AG45" s="100">
        <v>7495.2000000000007</v>
      </c>
      <c r="AH45" s="100">
        <v>3.8276564697266839</v>
      </c>
      <c r="AI45" s="100">
        <v>4781.5084619825739</v>
      </c>
      <c r="AJ45" s="100">
        <v>6</v>
      </c>
      <c r="AK45" s="100">
        <v>7495.2000000000007</v>
      </c>
      <c r="AL45" s="100">
        <v>9.6459416340595023</v>
      </c>
      <c r="AM45" s="100">
        <v>12049.71028926713</v>
      </c>
      <c r="AN45" s="100">
        <v>3.2350825147825799</v>
      </c>
      <c r="AO45" s="100">
        <v>4041.2650774663989</v>
      </c>
      <c r="AP45" s="100">
        <v>6</v>
      </c>
      <c r="AQ45" s="100">
        <v>7495.2000000000007</v>
      </c>
      <c r="AR45" s="100">
        <v>6</v>
      </c>
      <c r="AS45" s="100">
        <v>7495.2000000000007</v>
      </c>
      <c r="AT45" s="100">
        <v>6</v>
      </c>
      <c r="AU45" s="100">
        <v>7495.2000000000007</v>
      </c>
      <c r="AV45" s="100">
        <v>7.9510540251022723</v>
      </c>
      <c r="AW45" s="100">
        <v>9932.4566881577593</v>
      </c>
      <c r="AX45" s="100">
        <v>6.0576039961602373</v>
      </c>
      <c r="AY45" s="100">
        <v>7567.1589120033686</v>
      </c>
      <c r="AZ45" s="100">
        <v>4.3929874130560753</v>
      </c>
      <c r="BA45" s="100">
        <v>5487.7198763896495</v>
      </c>
      <c r="BB45" s="100">
        <v>1.3758575806236226</v>
      </c>
      <c r="BC45" s="100">
        <v>1718.7212897150293</v>
      </c>
      <c r="BD45" s="100">
        <v>5</v>
      </c>
      <c r="BE45" s="100">
        <v>6246</v>
      </c>
      <c r="BF45" s="100">
        <v>5</v>
      </c>
      <c r="BG45" s="100">
        <v>6246</v>
      </c>
      <c r="BH45" s="100">
        <v>7.534265732047924</v>
      </c>
      <c r="BI45" s="100">
        <v>9411.8047524742669</v>
      </c>
      <c r="BJ45" s="100">
        <v>1.585298795131401</v>
      </c>
      <c r="BK45" s="100">
        <v>1980.3552548781463</v>
      </c>
      <c r="BL45" s="100">
        <v>5</v>
      </c>
      <c r="BM45" s="100">
        <v>6246</v>
      </c>
      <c r="BN45" s="100">
        <v>6</v>
      </c>
      <c r="BO45" s="100">
        <v>7495.2000000000007</v>
      </c>
      <c r="BP45" s="100">
        <v>5</v>
      </c>
      <c r="BQ45" s="100">
        <v>6246</v>
      </c>
      <c r="BR45" s="100">
        <v>7.3245337983730812</v>
      </c>
      <c r="BS45" s="100">
        <v>9149.8076209276533</v>
      </c>
      <c r="BT45" s="100">
        <v>1.1751044609202486</v>
      </c>
      <c r="BU45" s="100">
        <v>1467.9404925815745</v>
      </c>
      <c r="BV45" s="100">
        <v>6.4590826235860623</v>
      </c>
      <c r="BW45" s="100">
        <v>8068.686013383709</v>
      </c>
      <c r="BX45" s="100">
        <v>5</v>
      </c>
      <c r="BY45" s="100">
        <v>6246</v>
      </c>
      <c r="BZ45" s="100">
        <v>6</v>
      </c>
      <c r="CA45" s="100">
        <v>7495.2000000000007</v>
      </c>
      <c r="CB45" s="100">
        <v>7.5595505273636858</v>
      </c>
      <c r="CC45" s="100">
        <v>9443.3905187827168</v>
      </c>
      <c r="CD45" s="100">
        <v>3.605984397677906</v>
      </c>
      <c r="CE45" s="100">
        <v>4504.5957095792401</v>
      </c>
      <c r="CF45" s="100">
        <v>5.0669829597054937E-4</v>
      </c>
      <c r="CG45" s="100">
        <v>0.63296751132641027</v>
      </c>
      <c r="CH45" s="100">
        <v>8</v>
      </c>
      <c r="CI45" s="100">
        <v>9993.6</v>
      </c>
      <c r="CJ45" s="100">
        <v>8</v>
      </c>
      <c r="CK45" s="100">
        <v>9993.6</v>
      </c>
      <c r="CL45" s="100">
        <v>6</v>
      </c>
      <c r="CM45" s="100">
        <v>7495.2000000000007</v>
      </c>
      <c r="CN45" s="100">
        <v>6</v>
      </c>
      <c r="CO45" s="100">
        <v>7495.2000000000007</v>
      </c>
      <c r="CP45" s="100">
        <v>5</v>
      </c>
      <c r="CQ45" s="100">
        <v>6246</v>
      </c>
      <c r="CR45" s="100">
        <v>9</v>
      </c>
      <c r="CS45" s="100">
        <v>11242.800000000001</v>
      </c>
      <c r="CT45" s="100">
        <v>3.8340644370035597</v>
      </c>
      <c r="CU45" s="100">
        <v>4789.5132947048469</v>
      </c>
    </row>
    <row r="46" spans="2:99">
      <c r="C46" s="99" t="s">
        <v>212</v>
      </c>
      <c r="D46" s="100">
        <v>8</v>
      </c>
      <c r="E46" s="100">
        <v>9696</v>
      </c>
      <c r="F46" s="100">
        <v>8</v>
      </c>
      <c r="G46" s="100">
        <v>9696</v>
      </c>
      <c r="H46" s="100">
        <v>6</v>
      </c>
      <c r="I46" s="100">
        <v>7272</v>
      </c>
      <c r="J46" s="100">
        <v>6</v>
      </c>
      <c r="K46" s="100">
        <v>7272</v>
      </c>
      <c r="L46" s="100">
        <v>7</v>
      </c>
      <c r="M46" s="100">
        <v>8484</v>
      </c>
      <c r="N46" s="100">
        <v>8.4371800879044621</v>
      </c>
      <c r="O46" s="100">
        <v>10225.862266540207</v>
      </c>
      <c r="P46" s="100">
        <v>1.6622202828108359</v>
      </c>
      <c r="Q46" s="100">
        <v>2014.6109827667331</v>
      </c>
      <c r="R46" s="100">
        <v>10.053488663783019</v>
      </c>
      <c r="S46" s="100">
        <v>12184.828260505019</v>
      </c>
      <c r="T46" s="100">
        <v>4.5315034568958046</v>
      </c>
      <c r="U46" s="100">
        <v>5492.1821897577156</v>
      </c>
      <c r="V46" s="100">
        <v>5</v>
      </c>
      <c r="W46" s="100">
        <v>6060</v>
      </c>
      <c r="X46" s="100">
        <v>9.1637912767404863</v>
      </c>
      <c r="Y46" s="100">
        <v>11106.515027409469</v>
      </c>
      <c r="Z46" s="100">
        <v>5</v>
      </c>
      <c r="AA46" s="100">
        <v>6060</v>
      </c>
      <c r="AB46" s="100">
        <v>8</v>
      </c>
      <c r="AC46" s="100">
        <v>9696</v>
      </c>
      <c r="AD46" s="100">
        <v>5.6513808012091182</v>
      </c>
      <c r="AE46" s="100">
        <v>6849.4735310654514</v>
      </c>
      <c r="AF46" s="100">
        <v>7</v>
      </c>
      <c r="AG46" s="100">
        <v>8484</v>
      </c>
      <c r="AH46" s="100">
        <v>3.1897137247722367</v>
      </c>
      <c r="AI46" s="100">
        <v>3865.9330344239511</v>
      </c>
      <c r="AJ46" s="100">
        <v>5</v>
      </c>
      <c r="AK46" s="100">
        <v>6060</v>
      </c>
      <c r="AL46" s="100">
        <v>8.6459416340595023</v>
      </c>
      <c r="AM46" s="100">
        <v>10478.881260480117</v>
      </c>
      <c r="AN46" s="100">
        <v>3.2350825147825799</v>
      </c>
      <c r="AO46" s="100">
        <v>3920.9200079164871</v>
      </c>
      <c r="AP46" s="100">
        <v>7</v>
      </c>
      <c r="AQ46" s="100">
        <v>8484</v>
      </c>
      <c r="AR46" s="100">
        <v>6</v>
      </c>
      <c r="AS46" s="100">
        <v>7272</v>
      </c>
      <c r="AT46" s="100">
        <v>6</v>
      </c>
      <c r="AU46" s="100">
        <v>7272</v>
      </c>
      <c r="AV46" s="100">
        <v>7.9510540251022723</v>
      </c>
      <c r="AW46" s="100">
        <v>9636.6774784239533</v>
      </c>
      <c r="AX46" s="100">
        <v>5.3845368854757671</v>
      </c>
      <c r="AY46" s="100">
        <v>6526.0587051966295</v>
      </c>
      <c r="AZ46" s="100">
        <v>5.0523185187357615</v>
      </c>
      <c r="BA46" s="100">
        <v>6123.4100447077426</v>
      </c>
      <c r="BB46" s="100">
        <v>1.1465479838530188</v>
      </c>
      <c r="BC46" s="100">
        <v>1389.6161564298588</v>
      </c>
      <c r="BD46" s="100">
        <v>5</v>
      </c>
      <c r="BE46" s="100">
        <v>6060</v>
      </c>
      <c r="BF46" s="100">
        <v>6</v>
      </c>
      <c r="BG46" s="100">
        <v>7272</v>
      </c>
      <c r="BH46" s="100">
        <v>7.534265732047924</v>
      </c>
      <c r="BI46" s="100">
        <v>9131.5300672420835</v>
      </c>
      <c r="BJ46" s="100">
        <v>1.585298795131401</v>
      </c>
      <c r="BK46" s="100">
        <v>1921.382139699258</v>
      </c>
      <c r="BL46" s="100">
        <v>5</v>
      </c>
      <c r="BM46" s="100">
        <v>6060</v>
      </c>
      <c r="BN46" s="100">
        <v>5</v>
      </c>
      <c r="BO46" s="100">
        <v>6060</v>
      </c>
      <c r="BP46" s="100">
        <v>5</v>
      </c>
      <c r="BQ46" s="100">
        <v>6060</v>
      </c>
      <c r="BR46" s="100">
        <v>8.3028982118148758</v>
      </c>
      <c r="BS46" s="100">
        <v>10063.112632719629</v>
      </c>
      <c r="BT46" s="100">
        <v>1.1799394524949292</v>
      </c>
      <c r="BU46" s="100">
        <v>1430.0866164238541</v>
      </c>
      <c r="BV46" s="100">
        <v>6.4590826235860623</v>
      </c>
      <c r="BW46" s="100">
        <v>7828.4081397863074</v>
      </c>
      <c r="BX46" s="100">
        <v>6</v>
      </c>
      <c r="BY46" s="100">
        <v>7272</v>
      </c>
      <c r="BZ46" s="100">
        <v>6</v>
      </c>
      <c r="CA46" s="100">
        <v>7272</v>
      </c>
      <c r="CB46" s="100">
        <v>7.5595505273636858</v>
      </c>
      <c r="CC46" s="100">
        <v>9162.1752391647879</v>
      </c>
      <c r="CD46" s="100">
        <v>4.3271812772134872</v>
      </c>
      <c r="CE46" s="100">
        <v>5244.5437079827461</v>
      </c>
      <c r="CF46" s="100">
        <v>4.4336100897423067E-4</v>
      </c>
      <c r="CG46" s="100">
        <v>0.53735354287676762</v>
      </c>
      <c r="CH46" s="100">
        <v>9</v>
      </c>
      <c r="CI46" s="100">
        <v>10908</v>
      </c>
      <c r="CJ46" s="100">
        <v>8</v>
      </c>
      <c r="CK46" s="100">
        <v>9696</v>
      </c>
      <c r="CL46" s="100">
        <v>5</v>
      </c>
      <c r="CM46" s="100">
        <v>6060</v>
      </c>
      <c r="CN46" s="100">
        <v>6</v>
      </c>
      <c r="CO46" s="100">
        <v>7272</v>
      </c>
      <c r="CP46" s="100">
        <v>5</v>
      </c>
      <c r="CQ46" s="100">
        <v>6060</v>
      </c>
      <c r="CR46" s="100">
        <v>8</v>
      </c>
      <c r="CS46" s="100">
        <v>9696</v>
      </c>
      <c r="CT46" s="100">
        <v>3.8570373402593154</v>
      </c>
      <c r="CU46" s="100">
        <v>4674.7292563942901</v>
      </c>
    </row>
    <row r="47" spans="2:99">
      <c r="C47" s="99" t="s">
        <v>213</v>
      </c>
      <c r="D47" s="100">
        <v>7</v>
      </c>
      <c r="E47" s="100">
        <v>10693.199999999999</v>
      </c>
      <c r="F47" s="100">
        <v>8</v>
      </c>
      <c r="G47" s="100">
        <v>12220.8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7</v>
      </c>
      <c r="M47" s="100">
        <v>10693.199999999999</v>
      </c>
      <c r="N47" s="100">
        <v>7.528697881483823</v>
      </c>
      <c r="O47" s="100">
        <v>11500.838883754688</v>
      </c>
      <c r="P47" s="100">
        <v>1.6622202828108359</v>
      </c>
      <c r="Q47" s="100">
        <v>2539.2077040218328</v>
      </c>
      <c r="R47" s="100">
        <v>8.0534886637830194</v>
      </c>
      <c r="S47" s="100">
        <v>12302.509282794939</v>
      </c>
      <c r="T47" s="100">
        <v>4.5315034568958046</v>
      </c>
      <c r="U47" s="100">
        <v>6922.3246807540309</v>
      </c>
      <c r="V47" s="100">
        <v>5</v>
      </c>
      <c r="W47" s="100">
        <v>7638</v>
      </c>
      <c r="X47" s="100">
        <v>8.1637912767404863</v>
      </c>
      <c r="Y47" s="100">
        <v>12471.007554348766</v>
      </c>
      <c r="Z47" s="100">
        <v>4</v>
      </c>
      <c r="AA47" s="100">
        <v>6110.4</v>
      </c>
      <c r="AB47" s="100">
        <v>8</v>
      </c>
      <c r="AC47" s="100">
        <v>12220.8</v>
      </c>
      <c r="AD47" s="100">
        <v>5.6513808012091182</v>
      </c>
      <c r="AE47" s="100">
        <v>8633.0493119270486</v>
      </c>
      <c r="AF47" s="100">
        <v>7</v>
      </c>
      <c r="AG47" s="100">
        <v>10693.199999999999</v>
      </c>
      <c r="AH47" s="100">
        <v>3.8276564697266839</v>
      </c>
      <c r="AI47" s="100">
        <v>5847.1280231544824</v>
      </c>
      <c r="AJ47" s="100">
        <v>6</v>
      </c>
      <c r="AK47" s="100">
        <v>9165.5999999999985</v>
      </c>
      <c r="AL47" s="100">
        <v>9.6459416340595023</v>
      </c>
      <c r="AM47" s="100">
        <v>14735.140440189294</v>
      </c>
      <c r="AN47" s="100">
        <v>3.2350825147825799</v>
      </c>
      <c r="AO47" s="100">
        <v>4941.9120495818688</v>
      </c>
      <c r="AP47" s="100">
        <v>6</v>
      </c>
      <c r="AQ47" s="100">
        <v>9165.5999999999985</v>
      </c>
      <c r="AR47" s="100">
        <v>7</v>
      </c>
      <c r="AS47" s="100">
        <v>10693.199999999999</v>
      </c>
      <c r="AT47" s="100">
        <v>6</v>
      </c>
      <c r="AU47" s="100">
        <v>9165.5999999999985</v>
      </c>
      <c r="AV47" s="100">
        <v>6.9571722719644891</v>
      </c>
      <c r="AW47" s="100">
        <v>10627.776362652952</v>
      </c>
      <c r="AX47" s="100">
        <v>5.3845368854757671</v>
      </c>
      <c r="AY47" s="100">
        <v>8225.4185462527821</v>
      </c>
      <c r="AZ47" s="100">
        <v>5.0211041773801943</v>
      </c>
      <c r="BA47" s="100">
        <v>7670.2387413659844</v>
      </c>
      <c r="BB47" s="100">
        <v>1.1465479838530188</v>
      </c>
      <c r="BC47" s="100">
        <v>1751.4667001338714</v>
      </c>
      <c r="BD47" s="100">
        <v>5</v>
      </c>
      <c r="BE47" s="100">
        <v>7638</v>
      </c>
      <c r="BF47" s="100">
        <v>6</v>
      </c>
      <c r="BG47" s="100">
        <v>9165.5999999999985</v>
      </c>
      <c r="BH47" s="100">
        <v>6.4371265080392099</v>
      </c>
      <c r="BI47" s="100">
        <v>9833.3544536806967</v>
      </c>
      <c r="BJ47" s="100">
        <v>1.585298795131401</v>
      </c>
      <c r="BK47" s="100">
        <v>2421.7024394427281</v>
      </c>
      <c r="BL47" s="100">
        <v>5</v>
      </c>
      <c r="BM47" s="100">
        <v>7638</v>
      </c>
      <c r="BN47" s="100">
        <v>6</v>
      </c>
      <c r="BO47" s="100">
        <v>9165.5999999999985</v>
      </c>
      <c r="BP47" s="100">
        <v>5</v>
      </c>
      <c r="BQ47" s="100">
        <v>7638</v>
      </c>
      <c r="BR47" s="100">
        <v>8.3245337983730803</v>
      </c>
      <c r="BS47" s="100">
        <v>12716.557830394717</v>
      </c>
      <c r="BT47" s="100">
        <v>1.0488350688843815</v>
      </c>
      <c r="BU47" s="100">
        <v>1602.2004512277811</v>
      </c>
      <c r="BV47" s="100">
        <v>7.2664679515343202</v>
      </c>
      <c r="BW47" s="100">
        <v>11100.256442763826</v>
      </c>
      <c r="BX47" s="100">
        <v>5</v>
      </c>
      <c r="BY47" s="100">
        <v>7638</v>
      </c>
      <c r="BZ47" s="100">
        <v>7</v>
      </c>
      <c r="CA47" s="100">
        <v>10693.199999999999</v>
      </c>
      <c r="CB47" s="100">
        <v>8.5129213167500453</v>
      </c>
      <c r="CC47" s="100">
        <v>13004.338603467368</v>
      </c>
      <c r="CD47" s="100">
        <v>4.3271812772134872</v>
      </c>
      <c r="CE47" s="100">
        <v>6610.2021190713231</v>
      </c>
      <c r="CF47" s="100">
        <v>4.4336100897423067E-4</v>
      </c>
      <c r="CG47" s="100">
        <v>0.67727827730903478</v>
      </c>
      <c r="CH47" s="100">
        <v>9</v>
      </c>
      <c r="CI47" s="100">
        <v>13748.4</v>
      </c>
      <c r="CJ47" s="100">
        <v>9</v>
      </c>
      <c r="CK47" s="100">
        <v>13748.4</v>
      </c>
      <c r="CL47" s="100">
        <v>5</v>
      </c>
      <c r="CM47" s="100">
        <v>7638</v>
      </c>
      <c r="CN47" s="100">
        <v>6</v>
      </c>
      <c r="CO47" s="100">
        <v>9165.5999999999985</v>
      </c>
      <c r="CP47" s="100">
        <v>5</v>
      </c>
      <c r="CQ47" s="100">
        <v>7638</v>
      </c>
      <c r="CR47" s="100">
        <v>9</v>
      </c>
      <c r="CS47" s="100">
        <v>13748.4</v>
      </c>
      <c r="CT47" s="100">
        <v>3.8340644370035597</v>
      </c>
      <c r="CU47" s="100">
        <v>5856.9168339666376</v>
      </c>
    </row>
    <row r="48" spans="2:99">
      <c r="C48" s="99" t="s">
        <v>214</v>
      </c>
      <c r="D48" s="100">
        <v>8</v>
      </c>
      <c r="E48" s="100">
        <v>6940.8</v>
      </c>
      <c r="F48" s="100">
        <v>9</v>
      </c>
      <c r="G48" s="100">
        <v>7808.4000000000005</v>
      </c>
      <c r="H48" s="100">
        <v>5</v>
      </c>
      <c r="I48" s="100">
        <v>4338</v>
      </c>
      <c r="J48" s="100">
        <v>6</v>
      </c>
      <c r="K48" s="100">
        <v>5205.6000000000004</v>
      </c>
      <c r="L48" s="100">
        <v>7</v>
      </c>
      <c r="M48" s="100">
        <v>6073.2</v>
      </c>
      <c r="N48" s="100">
        <v>7.528697881483823</v>
      </c>
      <c r="O48" s="100">
        <v>6531.8982819753646</v>
      </c>
      <c r="P48" s="100">
        <v>1.6622202828108359</v>
      </c>
      <c r="Q48" s="100">
        <v>1442.1423173666813</v>
      </c>
      <c r="R48" s="100">
        <v>9.0534886637830194</v>
      </c>
      <c r="S48" s="100">
        <v>7854.8067646981481</v>
      </c>
      <c r="T48" s="100">
        <v>5.4378041482749655</v>
      </c>
      <c r="U48" s="100">
        <v>4717.8388790433601</v>
      </c>
      <c r="V48" s="100">
        <v>5</v>
      </c>
      <c r="W48" s="100">
        <v>4338</v>
      </c>
      <c r="X48" s="100">
        <v>8.1489011606731694</v>
      </c>
      <c r="Y48" s="100">
        <v>7069.9866470000416</v>
      </c>
      <c r="Z48" s="100">
        <v>5</v>
      </c>
      <c r="AA48" s="100">
        <v>4338</v>
      </c>
      <c r="AB48" s="100">
        <v>7</v>
      </c>
      <c r="AC48" s="100">
        <v>6073.2</v>
      </c>
      <c r="AD48" s="100">
        <v>6.5932776014106382</v>
      </c>
      <c r="AE48" s="100">
        <v>5720.3276469838702</v>
      </c>
      <c r="AF48" s="100">
        <v>6</v>
      </c>
      <c r="AG48" s="100">
        <v>5205.6000000000004</v>
      </c>
      <c r="AH48" s="100">
        <v>3.8276564697266839</v>
      </c>
      <c r="AI48" s="100">
        <v>3320.8747531348713</v>
      </c>
      <c r="AJ48" s="100">
        <v>6</v>
      </c>
      <c r="AK48" s="100">
        <v>5205.6000000000004</v>
      </c>
      <c r="AL48" s="100">
        <v>9.7453172700686572</v>
      </c>
      <c r="AM48" s="100">
        <v>8455.0372635115673</v>
      </c>
      <c r="AN48" s="100">
        <v>3.6394678291304023</v>
      </c>
      <c r="AO48" s="100">
        <v>3157.6022885535372</v>
      </c>
      <c r="AP48" s="100">
        <v>6</v>
      </c>
      <c r="AQ48" s="100">
        <v>5205.6000000000004</v>
      </c>
      <c r="AR48" s="100">
        <v>6</v>
      </c>
      <c r="AS48" s="100">
        <v>5205.6000000000004</v>
      </c>
      <c r="AT48" s="100">
        <v>6</v>
      </c>
      <c r="AU48" s="100">
        <v>5205.6000000000004</v>
      </c>
      <c r="AV48" s="100">
        <v>7.9510540251022723</v>
      </c>
      <c r="AW48" s="100">
        <v>6898.3344721787316</v>
      </c>
      <c r="AX48" s="100">
        <v>5.3845368854757671</v>
      </c>
      <c r="AY48" s="100">
        <v>4671.6242018387757</v>
      </c>
      <c r="AZ48" s="100">
        <v>4.3617730717005072</v>
      </c>
      <c r="BA48" s="100">
        <v>3784.27431700736</v>
      </c>
      <c r="BB48" s="100">
        <v>1.1465479838530188</v>
      </c>
      <c r="BC48" s="100">
        <v>994.74503079087913</v>
      </c>
      <c r="BD48" s="100">
        <v>5</v>
      </c>
      <c r="BE48" s="100">
        <v>4338</v>
      </c>
      <c r="BF48" s="100">
        <v>5</v>
      </c>
      <c r="BG48" s="100">
        <v>4338</v>
      </c>
      <c r="BH48" s="100">
        <v>7.4371265080392099</v>
      </c>
      <c r="BI48" s="100">
        <v>6452.4509583748186</v>
      </c>
      <c r="BJ48" s="100">
        <v>1.585298795131401</v>
      </c>
      <c r="BK48" s="100">
        <v>1375.4052346560036</v>
      </c>
      <c r="BL48" s="100">
        <v>5</v>
      </c>
      <c r="BM48" s="100">
        <v>4338</v>
      </c>
      <c r="BN48" s="100">
        <v>6</v>
      </c>
      <c r="BO48" s="100">
        <v>5205.6000000000004</v>
      </c>
      <c r="BP48" s="100">
        <v>5</v>
      </c>
      <c r="BQ48" s="100">
        <v>4338</v>
      </c>
      <c r="BR48" s="100">
        <v>8.3028982118148758</v>
      </c>
      <c r="BS48" s="100">
        <v>7203.5944885705867</v>
      </c>
      <c r="BT48" s="100">
        <v>1.1751044609202486</v>
      </c>
      <c r="BU48" s="100">
        <v>1019.5206302944076</v>
      </c>
      <c r="BV48" s="100">
        <v>7.2664679515343202</v>
      </c>
      <c r="BW48" s="100">
        <v>6304.387594751176</v>
      </c>
      <c r="BX48" s="100">
        <v>5</v>
      </c>
      <c r="BY48" s="100">
        <v>4338</v>
      </c>
      <c r="BZ48" s="100">
        <v>8</v>
      </c>
      <c r="CA48" s="100">
        <v>6940.8</v>
      </c>
      <c r="CB48" s="100">
        <v>8.5129213167500453</v>
      </c>
      <c r="CC48" s="100">
        <v>7385.8105344123396</v>
      </c>
      <c r="CD48" s="100">
        <v>3.605984397677906</v>
      </c>
      <c r="CE48" s="100">
        <v>3128.5520634253512</v>
      </c>
      <c r="CF48" s="100">
        <v>4.4336100897423067E-4</v>
      </c>
      <c r="CG48" s="100">
        <v>0.38466001138604256</v>
      </c>
      <c r="CH48" s="100">
        <v>9</v>
      </c>
      <c r="CI48" s="100">
        <v>7808.4000000000005</v>
      </c>
      <c r="CJ48" s="100">
        <v>8</v>
      </c>
      <c r="CK48" s="100">
        <v>6940.8</v>
      </c>
      <c r="CL48" s="100">
        <v>5</v>
      </c>
      <c r="CM48" s="100">
        <v>4338</v>
      </c>
      <c r="CN48" s="100">
        <v>6</v>
      </c>
      <c r="CO48" s="100">
        <v>5205.6000000000004</v>
      </c>
      <c r="CP48" s="100">
        <v>5</v>
      </c>
      <c r="CQ48" s="100">
        <v>4338</v>
      </c>
      <c r="CR48" s="100">
        <v>10</v>
      </c>
      <c r="CS48" s="100">
        <v>8676</v>
      </c>
      <c r="CT48" s="100">
        <v>3.8340644370035597</v>
      </c>
      <c r="CU48" s="100">
        <v>3326.4343055442887</v>
      </c>
    </row>
    <row r="49" spans="2:99">
      <c r="B49" s="99" t="s">
        <v>129</v>
      </c>
      <c r="C49" s="99" t="s">
        <v>215</v>
      </c>
      <c r="D49" s="100">
        <v>4.9968088371367143</v>
      </c>
      <c r="E49" s="100">
        <v>4922.8560663470907</v>
      </c>
      <c r="F49" s="100">
        <v>3.5347052829222649</v>
      </c>
      <c r="G49" s="100">
        <v>3482.3916447350152</v>
      </c>
      <c r="H49" s="100">
        <v>1.5973802477456052</v>
      </c>
      <c r="I49" s="100">
        <v>1573.73902007897</v>
      </c>
      <c r="J49" s="100">
        <v>5.3692685191158356</v>
      </c>
      <c r="K49" s="100">
        <v>5289.8033450329212</v>
      </c>
      <c r="L49" s="100">
        <v>0.75331543317309602</v>
      </c>
      <c r="M49" s="100">
        <v>742.16636476213409</v>
      </c>
      <c r="N49" s="100">
        <v>5</v>
      </c>
      <c r="O49" s="100">
        <v>4926</v>
      </c>
      <c r="P49" s="100">
        <v>6</v>
      </c>
      <c r="Q49" s="100">
        <v>5911.2</v>
      </c>
      <c r="R49" s="100">
        <v>3</v>
      </c>
      <c r="S49" s="100">
        <v>2955.6</v>
      </c>
      <c r="T49" s="100">
        <v>6</v>
      </c>
      <c r="U49" s="100">
        <v>5911.2</v>
      </c>
      <c r="V49" s="100">
        <v>6</v>
      </c>
      <c r="W49" s="100">
        <v>5911.2</v>
      </c>
      <c r="X49" s="100">
        <v>5</v>
      </c>
      <c r="Y49" s="100">
        <v>4926</v>
      </c>
      <c r="Z49" s="100">
        <v>6</v>
      </c>
      <c r="AA49" s="100">
        <v>5911.2</v>
      </c>
      <c r="AB49" s="100">
        <v>4</v>
      </c>
      <c r="AC49" s="100">
        <v>3940.7999999999997</v>
      </c>
      <c r="AD49" s="100">
        <v>6</v>
      </c>
      <c r="AE49" s="100">
        <v>5911.2</v>
      </c>
      <c r="AF49" s="100">
        <v>6</v>
      </c>
      <c r="AG49" s="100">
        <v>5911.2</v>
      </c>
      <c r="AH49" s="100">
        <v>5</v>
      </c>
      <c r="AI49" s="100">
        <v>4926</v>
      </c>
      <c r="AJ49" s="100">
        <v>5</v>
      </c>
      <c r="AK49" s="100">
        <v>4926</v>
      </c>
      <c r="AL49" s="100">
        <v>5.3283251260214923</v>
      </c>
      <c r="AM49" s="100">
        <v>5249.4659141563743</v>
      </c>
      <c r="AN49" s="100">
        <v>5</v>
      </c>
      <c r="AO49" s="100">
        <v>4926</v>
      </c>
      <c r="AP49" s="100">
        <v>6</v>
      </c>
      <c r="AQ49" s="100">
        <v>5911.2</v>
      </c>
      <c r="AR49" s="100">
        <v>7.0473092847536867</v>
      </c>
      <c r="AS49" s="100">
        <v>6943.0091073393314</v>
      </c>
      <c r="AT49" s="100">
        <v>5</v>
      </c>
      <c r="AU49" s="100">
        <v>4926</v>
      </c>
      <c r="AV49" s="100">
        <v>6</v>
      </c>
      <c r="AW49" s="100">
        <v>5911.2</v>
      </c>
      <c r="AX49" s="100">
        <v>7</v>
      </c>
      <c r="AY49" s="100">
        <v>6896.4</v>
      </c>
      <c r="AZ49" s="100">
        <v>4.5135005035728621</v>
      </c>
      <c r="BA49" s="100">
        <v>4446.7006961199831</v>
      </c>
      <c r="BB49" s="100">
        <v>4</v>
      </c>
      <c r="BC49" s="100">
        <v>3940.7999999999997</v>
      </c>
      <c r="BD49" s="100">
        <v>3.9803849902690551</v>
      </c>
      <c r="BE49" s="100">
        <v>3921.475292413073</v>
      </c>
      <c r="BF49" s="100">
        <v>3.2091939399167191</v>
      </c>
      <c r="BG49" s="100">
        <v>3161.6978696059514</v>
      </c>
      <c r="BH49" s="100">
        <v>1.842039727557405</v>
      </c>
      <c r="BI49" s="100">
        <v>1814.7775395895553</v>
      </c>
      <c r="BJ49" s="100">
        <v>4</v>
      </c>
      <c r="BK49" s="100">
        <v>3940.7999999999997</v>
      </c>
      <c r="BL49" s="100">
        <v>4</v>
      </c>
      <c r="BM49" s="100">
        <v>3940.7999999999997</v>
      </c>
      <c r="BN49" s="100">
        <v>5.4414748199243315</v>
      </c>
      <c r="BO49" s="100">
        <v>5360.9409925894506</v>
      </c>
      <c r="BP49" s="100">
        <v>1.8921736838225571</v>
      </c>
      <c r="BQ49" s="100">
        <v>1864.1695133019832</v>
      </c>
      <c r="BR49" s="100">
        <v>6.4165251332504853</v>
      </c>
      <c r="BS49" s="100">
        <v>6321.5605612783775</v>
      </c>
      <c r="BT49" s="100">
        <v>4</v>
      </c>
      <c r="BU49" s="100">
        <v>3940.7999999999997</v>
      </c>
      <c r="BV49" s="100">
        <v>4</v>
      </c>
      <c r="BW49" s="100">
        <v>3940.7999999999997</v>
      </c>
      <c r="BX49" s="100">
        <v>3</v>
      </c>
      <c r="BY49" s="100">
        <v>2955.6</v>
      </c>
      <c r="BZ49" s="100">
        <v>3</v>
      </c>
      <c r="CA49" s="100">
        <v>2955.6</v>
      </c>
      <c r="CB49" s="100">
        <v>2.0732982169464398</v>
      </c>
      <c r="CC49" s="100">
        <v>2042.6134033356323</v>
      </c>
      <c r="CD49" s="100">
        <v>4.8797922213484002</v>
      </c>
      <c r="CE49" s="100">
        <v>4807.5712964724435</v>
      </c>
      <c r="CF49" s="100">
        <v>2.028995063681768</v>
      </c>
      <c r="CG49" s="100">
        <v>1998.9659367392776</v>
      </c>
      <c r="CH49" s="100">
        <v>5.9582019094468786</v>
      </c>
      <c r="CI49" s="100">
        <v>5870.0205211870643</v>
      </c>
      <c r="CJ49" s="100">
        <v>5</v>
      </c>
      <c r="CK49" s="100">
        <v>4926</v>
      </c>
      <c r="CL49" s="100">
        <v>4</v>
      </c>
      <c r="CM49" s="100">
        <v>3940.7999999999997</v>
      </c>
      <c r="CN49" s="100">
        <v>4</v>
      </c>
      <c r="CO49" s="100">
        <v>3940.7999999999997</v>
      </c>
      <c r="CP49" s="100">
        <v>6.9941722109051749</v>
      </c>
      <c r="CQ49" s="100">
        <v>6890.6584621837783</v>
      </c>
      <c r="CR49" s="100">
        <v>1.9024616717813974</v>
      </c>
      <c r="CS49" s="100">
        <v>1874.3052390390326</v>
      </c>
      <c r="CT49" s="100">
        <v>5</v>
      </c>
      <c r="CU49" s="100">
        <v>4926</v>
      </c>
    </row>
    <row r="50" spans="2:99">
      <c r="C50" s="99" t="s">
        <v>216</v>
      </c>
      <c r="D50" s="100">
        <v>5</v>
      </c>
      <c r="E50" s="100">
        <v>1410</v>
      </c>
      <c r="F50" s="100">
        <v>5</v>
      </c>
      <c r="G50" s="100">
        <v>1410</v>
      </c>
      <c r="H50" s="100">
        <v>5</v>
      </c>
      <c r="I50" s="100">
        <v>1410</v>
      </c>
      <c r="J50" s="100">
        <v>5</v>
      </c>
      <c r="K50" s="100">
        <v>1410</v>
      </c>
      <c r="L50" s="100">
        <v>7</v>
      </c>
      <c r="M50" s="100">
        <v>1974</v>
      </c>
      <c r="N50" s="100">
        <v>4.8684613197515834</v>
      </c>
      <c r="O50" s="100">
        <v>1372.9060921699465</v>
      </c>
      <c r="P50" s="100">
        <v>1.9392569966126418</v>
      </c>
      <c r="Q50" s="100">
        <v>546.87047304476505</v>
      </c>
      <c r="R50" s="100">
        <v>3.0356591091886789</v>
      </c>
      <c r="S50" s="100">
        <v>856.05586879120744</v>
      </c>
      <c r="T50" s="100">
        <v>6.3441048396541264</v>
      </c>
      <c r="U50" s="100">
        <v>1789.0375647824637</v>
      </c>
      <c r="V50" s="100">
        <v>7</v>
      </c>
      <c r="W50" s="100">
        <v>1974</v>
      </c>
      <c r="X50" s="100">
        <v>5.1042308124712186</v>
      </c>
      <c r="Y50" s="100">
        <v>1439.3930891168836</v>
      </c>
      <c r="Z50" s="100">
        <v>5</v>
      </c>
      <c r="AA50" s="100">
        <v>1410</v>
      </c>
      <c r="AB50" s="100">
        <v>4</v>
      </c>
      <c r="AC50" s="100">
        <v>1128</v>
      </c>
      <c r="AD50" s="100">
        <v>5.6513808012091182</v>
      </c>
      <c r="AE50" s="100">
        <v>1593.6893859409713</v>
      </c>
      <c r="AF50" s="100">
        <v>5.0853792077442703</v>
      </c>
      <c r="AG50" s="100">
        <v>1434.0769365838842</v>
      </c>
      <c r="AH50" s="100">
        <v>3.1897137247722367</v>
      </c>
      <c r="AI50" s="100">
        <v>899.49927038577073</v>
      </c>
      <c r="AJ50" s="100">
        <v>5</v>
      </c>
      <c r="AK50" s="100">
        <v>1410</v>
      </c>
      <c r="AL50" s="100">
        <v>5.5465659980503483</v>
      </c>
      <c r="AM50" s="100">
        <v>1564.1316114501983</v>
      </c>
      <c r="AN50" s="100">
        <v>2.0219265717391122</v>
      </c>
      <c r="AO50" s="100">
        <v>570.18329323042963</v>
      </c>
      <c r="AP50" s="100">
        <v>6</v>
      </c>
      <c r="AQ50" s="100">
        <v>1692</v>
      </c>
      <c r="AR50" s="100">
        <v>7</v>
      </c>
      <c r="AS50" s="100">
        <v>1974</v>
      </c>
      <c r="AT50" s="100">
        <v>5</v>
      </c>
      <c r="AU50" s="100">
        <v>1410</v>
      </c>
      <c r="AV50" s="100">
        <v>6.9571722719644891</v>
      </c>
      <c r="AW50" s="100">
        <v>1961.922580693986</v>
      </c>
      <c r="AX50" s="100">
        <v>4.0384026641068251</v>
      </c>
      <c r="AY50" s="100">
        <v>1138.8295512781247</v>
      </c>
      <c r="AZ50" s="100">
        <v>4.1744870235670986</v>
      </c>
      <c r="BA50" s="100">
        <v>1177.2053406459218</v>
      </c>
      <c r="BB50" s="100">
        <v>0.91723838708241501</v>
      </c>
      <c r="BC50" s="100">
        <v>258.66122515724101</v>
      </c>
      <c r="BD50" s="100">
        <v>4</v>
      </c>
      <c r="BE50" s="100">
        <v>1128</v>
      </c>
      <c r="BF50" s="100">
        <v>4</v>
      </c>
      <c r="BG50" s="100">
        <v>1128</v>
      </c>
      <c r="BH50" s="100">
        <v>5.3885568960348538</v>
      </c>
      <c r="BI50" s="100">
        <v>1519.5730446818288</v>
      </c>
      <c r="BJ50" s="100">
        <v>1.056865863420934</v>
      </c>
      <c r="BK50" s="100">
        <v>298.0361734847034</v>
      </c>
      <c r="BL50" s="100">
        <v>4</v>
      </c>
      <c r="BM50" s="100">
        <v>1128</v>
      </c>
      <c r="BN50" s="100">
        <v>5</v>
      </c>
      <c r="BO50" s="100">
        <v>1410</v>
      </c>
      <c r="BP50" s="100">
        <v>4</v>
      </c>
      <c r="BQ50" s="100">
        <v>1128</v>
      </c>
      <c r="BR50" s="100">
        <v>6.1730846924656433</v>
      </c>
      <c r="BS50" s="100">
        <v>1740.8098832753114</v>
      </c>
      <c r="BT50" s="100">
        <v>0.55826247546495378</v>
      </c>
      <c r="BU50" s="100">
        <v>157.43001808111697</v>
      </c>
      <c r="BV50" s="100">
        <v>3.2295413117930312</v>
      </c>
      <c r="BW50" s="100">
        <v>910.73064992563479</v>
      </c>
      <c r="BX50" s="100">
        <v>4</v>
      </c>
      <c r="BY50" s="100">
        <v>1128</v>
      </c>
      <c r="BZ50" s="100">
        <v>4</v>
      </c>
      <c r="CA50" s="100">
        <v>1128</v>
      </c>
      <c r="CB50" s="100">
        <v>5.5129213167500453</v>
      </c>
      <c r="CC50" s="100">
        <v>1554.6438113235129</v>
      </c>
      <c r="CD50" s="100">
        <v>4.3271812772134872</v>
      </c>
      <c r="CE50" s="100">
        <v>1220.2651201742035</v>
      </c>
      <c r="CF50" s="100">
        <v>2.5334914798527469E-4</v>
      </c>
      <c r="CG50" s="100">
        <v>7.1444459731847459E-2</v>
      </c>
      <c r="CH50" s="100">
        <v>6</v>
      </c>
      <c r="CI50" s="100">
        <v>1692</v>
      </c>
      <c r="CJ50" s="100">
        <v>6</v>
      </c>
      <c r="CK50" s="100">
        <v>1692</v>
      </c>
      <c r="CL50" s="100">
        <v>4</v>
      </c>
      <c r="CM50" s="100">
        <v>1128</v>
      </c>
      <c r="CN50" s="100">
        <v>5</v>
      </c>
      <c r="CO50" s="100">
        <v>1410</v>
      </c>
      <c r="CP50" s="100">
        <v>6</v>
      </c>
      <c r="CQ50" s="100">
        <v>1692</v>
      </c>
      <c r="CR50" s="100">
        <v>6</v>
      </c>
      <c r="CS50" s="100">
        <v>1692</v>
      </c>
      <c r="CT50" s="100">
        <v>3.5813625011902412</v>
      </c>
      <c r="CU50" s="100">
        <v>1009.9442253356481</v>
      </c>
    </row>
    <row r="51" spans="2:99">
      <c r="C51" s="99" t="s">
        <v>217</v>
      </c>
      <c r="D51" s="100">
        <v>5</v>
      </c>
      <c r="E51" s="100">
        <v>4272</v>
      </c>
      <c r="F51" s="100">
        <v>5</v>
      </c>
      <c r="G51" s="100">
        <v>4272</v>
      </c>
      <c r="H51" s="100">
        <v>5</v>
      </c>
      <c r="I51" s="100">
        <v>4272</v>
      </c>
      <c r="J51" s="100">
        <v>5</v>
      </c>
      <c r="K51" s="100">
        <v>4272</v>
      </c>
      <c r="L51" s="100">
        <v>7</v>
      </c>
      <c r="M51" s="100">
        <v>5980.8</v>
      </c>
      <c r="N51" s="100">
        <v>4.8684613197515834</v>
      </c>
      <c r="O51" s="100">
        <v>4159.6133515957526</v>
      </c>
      <c r="P51" s="100">
        <v>1.6622202828108359</v>
      </c>
      <c r="Q51" s="100">
        <v>1420.2010096335782</v>
      </c>
      <c r="R51" s="100">
        <v>4.0356591091886793</v>
      </c>
      <c r="S51" s="100">
        <v>3448.0671428908076</v>
      </c>
      <c r="T51" s="100">
        <v>5.4378041482749655</v>
      </c>
      <c r="U51" s="100">
        <v>4646.0598642861305</v>
      </c>
      <c r="V51" s="100">
        <v>6</v>
      </c>
      <c r="W51" s="100">
        <v>5126.3999999999996</v>
      </c>
      <c r="X51" s="100">
        <v>6.1042308124712186</v>
      </c>
      <c r="Y51" s="100">
        <v>5215.4548061754094</v>
      </c>
      <c r="Z51" s="100">
        <v>5</v>
      </c>
      <c r="AA51" s="100">
        <v>4272</v>
      </c>
      <c r="AB51" s="100">
        <v>4</v>
      </c>
      <c r="AC51" s="100">
        <v>3417.6</v>
      </c>
      <c r="AD51" s="100">
        <v>5.6513808012091182</v>
      </c>
      <c r="AE51" s="100">
        <v>4828.5397565530702</v>
      </c>
      <c r="AF51" s="100">
        <v>6.0948657863825231</v>
      </c>
      <c r="AG51" s="100">
        <v>5207.4533278852277</v>
      </c>
      <c r="AH51" s="100">
        <v>3.1897137247722367</v>
      </c>
      <c r="AI51" s="100">
        <v>2725.2914064453989</v>
      </c>
      <c r="AJ51" s="100">
        <v>5</v>
      </c>
      <c r="AK51" s="100">
        <v>4272</v>
      </c>
      <c r="AL51" s="100">
        <v>6.4968781800457709</v>
      </c>
      <c r="AM51" s="100">
        <v>5550.9327170311062</v>
      </c>
      <c r="AN51" s="100">
        <v>2.426311886086935</v>
      </c>
      <c r="AO51" s="100">
        <v>2073.0408754726773</v>
      </c>
      <c r="AP51" s="100">
        <v>6</v>
      </c>
      <c r="AQ51" s="100">
        <v>5126.3999999999996</v>
      </c>
      <c r="AR51" s="100">
        <v>7</v>
      </c>
      <c r="AS51" s="100">
        <v>5980.8</v>
      </c>
      <c r="AT51" s="100">
        <v>6</v>
      </c>
      <c r="AU51" s="100">
        <v>5126.3999999999996</v>
      </c>
      <c r="AV51" s="100">
        <v>5.9632905188267049</v>
      </c>
      <c r="AW51" s="100">
        <v>5095.0354192855366</v>
      </c>
      <c r="AX51" s="100">
        <v>4.0384026641068251</v>
      </c>
      <c r="AY51" s="100">
        <v>3450.4112362128712</v>
      </c>
      <c r="AZ51" s="100">
        <v>4.1744870235670986</v>
      </c>
      <c r="BA51" s="100">
        <v>3566.6817129357287</v>
      </c>
      <c r="BB51" s="100">
        <v>0.91723838708241501</v>
      </c>
      <c r="BC51" s="100">
        <v>783.68847792321537</v>
      </c>
      <c r="BD51" s="100">
        <v>4</v>
      </c>
      <c r="BE51" s="100">
        <v>3417.6</v>
      </c>
      <c r="BF51" s="100">
        <v>4</v>
      </c>
      <c r="BG51" s="100">
        <v>3417.6</v>
      </c>
      <c r="BH51" s="100">
        <v>4.3885568960348538</v>
      </c>
      <c r="BI51" s="100">
        <v>3749.5830119721791</v>
      </c>
      <c r="BJ51" s="100">
        <v>1.3210823292761675</v>
      </c>
      <c r="BK51" s="100">
        <v>1128.7327421335576</v>
      </c>
      <c r="BL51" s="100">
        <v>4</v>
      </c>
      <c r="BM51" s="100">
        <v>3417.6</v>
      </c>
      <c r="BN51" s="100">
        <v>5</v>
      </c>
      <c r="BO51" s="100">
        <v>4272</v>
      </c>
      <c r="BP51" s="100">
        <v>4</v>
      </c>
      <c r="BQ51" s="100">
        <v>3417.6</v>
      </c>
      <c r="BR51" s="100">
        <v>6.1730846924656433</v>
      </c>
      <c r="BS51" s="100">
        <v>5274.2835612426452</v>
      </c>
      <c r="BT51" s="100">
        <v>0.55342748389027341</v>
      </c>
      <c r="BU51" s="100">
        <v>472.84844223584957</v>
      </c>
      <c r="BV51" s="100">
        <v>3.2295413117930312</v>
      </c>
      <c r="BW51" s="100">
        <v>2759.3200967959656</v>
      </c>
      <c r="BX51" s="100">
        <v>4</v>
      </c>
      <c r="BY51" s="100">
        <v>3417.6</v>
      </c>
      <c r="BZ51" s="100">
        <v>4</v>
      </c>
      <c r="CA51" s="100">
        <v>3417.6</v>
      </c>
      <c r="CB51" s="100">
        <v>4.4662921061364047</v>
      </c>
      <c r="CC51" s="100">
        <v>3815.9999754829441</v>
      </c>
      <c r="CD51" s="100">
        <v>3.605984397677906</v>
      </c>
      <c r="CE51" s="100">
        <v>3080.953069376003</v>
      </c>
      <c r="CF51" s="100">
        <v>2.5334914798527469E-4</v>
      </c>
      <c r="CG51" s="100">
        <v>0.21646151203861869</v>
      </c>
      <c r="CH51" s="100">
        <v>6</v>
      </c>
      <c r="CI51" s="100">
        <v>5126.3999999999996</v>
      </c>
      <c r="CJ51" s="100">
        <v>6</v>
      </c>
      <c r="CK51" s="100">
        <v>5126.3999999999996</v>
      </c>
      <c r="CL51" s="100">
        <v>4</v>
      </c>
      <c r="CM51" s="100">
        <v>3417.6</v>
      </c>
      <c r="CN51" s="100">
        <v>4</v>
      </c>
      <c r="CO51" s="100">
        <v>3417.6</v>
      </c>
      <c r="CP51" s="100">
        <v>6</v>
      </c>
      <c r="CQ51" s="100">
        <v>5126.3999999999996</v>
      </c>
      <c r="CR51" s="100">
        <v>6</v>
      </c>
      <c r="CS51" s="100">
        <v>5126.3999999999996</v>
      </c>
      <c r="CT51" s="100">
        <v>3.1177919367655109</v>
      </c>
      <c r="CU51" s="100">
        <v>2663.8414307724524</v>
      </c>
    </row>
    <row r="52" spans="2:99">
      <c r="C52" s="99" t="s">
        <v>218</v>
      </c>
      <c r="D52" s="100">
        <v>5</v>
      </c>
      <c r="E52" s="100">
        <v>2700</v>
      </c>
      <c r="F52" s="100">
        <v>6</v>
      </c>
      <c r="G52" s="100">
        <v>3240</v>
      </c>
      <c r="H52" s="100">
        <v>5</v>
      </c>
      <c r="I52" s="100">
        <v>2700</v>
      </c>
      <c r="J52" s="100">
        <v>5</v>
      </c>
      <c r="K52" s="100">
        <v>2700</v>
      </c>
      <c r="L52" s="100">
        <v>7</v>
      </c>
      <c r="M52" s="100">
        <v>3780</v>
      </c>
      <c r="N52" s="100">
        <v>4.8684613197515834</v>
      </c>
      <c r="O52" s="100">
        <v>2628.9691126658549</v>
      </c>
      <c r="P52" s="100">
        <v>1.9392569966126418</v>
      </c>
      <c r="Q52" s="100">
        <v>1047.1987781708267</v>
      </c>
      <c r="R52" s="100">
        <v>4.0356591091886793</v>
      </c>
      <c r="S52" s="100">
        <v>2179.2559189618869</v>
      </c>
      <c r="T52" s="100">
        <v>5.4378041482749655</v>
      </c>
      <c r="U52" s="100">
        <v>2936.4142400684814</v>
      </c>
      <c r="V52" s="100">
        <v>7</v>
      </c>
      <c r="W52" s="100">
        <v>3780</v>
      </c>
      <c r="X52" s="100">
        <v>6.1042308124712186</v>
      </c>
      <c r="Y52" s="100">
        <v>3296.284638734458</v>
      </c>
      <c r="Z52" s="100">
        <v>6</v>
      </c>
      <c r="AA52" s="100">
        <v>3240</v>
      </c>
      <c r="AB52" s="100">
        <v>3</v>
      </c>
      <c r="AC52" s="100">
        <v>1620</v>
      </c>
      <c r="AD52" s="100">
        <v>4.7094840010075991</v>
      </c>
      <c r="AE52" s="100">
        <v>2543.1213605441035</v>
      </c>
      <c r="AF52" s="100">
        <v>5.0948657863825231</v>
      </c>
      <c r="AG52" s="100">
        <v>2751.2275246465624</v>
      </c>
      <c r="AH52" s="100">
        <v>3.1897137247722367</v>
      </c>
      <c r="AI52" s="100">
        <v>1722.4454113770078</v>
      </c>
      <c r="AJ52" s="100">
        <v>5</v>
      </c>
      <c r="AK52" s="100">
        <v>2700</v>
      </c>
      <c r="AL52" s="100">
        <v>5.4471903620411943</v>
      </c>
      <c r="AM52" s="100">
        <v>2941.4827955022452</v>
      </c>
      <c r="AN52" s="100">
        <v>2.0219265717391122</v>
      </c>
      <c r="AO52" s="100">
        <v>1091.8403487391206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5</v>
      </c>
      <c r="AU52" s="100">
        <v>2700</v>
      </c>
      <c r="AV52" s="100">
        <v>6.9571722719644891</v>
      </c>
      <c r="AW52" s="100">
        <v>3756.8730268608242</v>
      </c>
      <c r="AX52" s="100">
        <v>4.7114697747912961</v>
      </c>
      <c r="AY52" s="100">
        <v>2544.1936783872998</v>
      </c>
      <c r="AZ52" s="100">
        <v>4.2057013649226667</v>
      </c>
      <c r="BA52" s="100">
        <v>2271.0787370582402</v>
      </c>
      <c r="BB52" s="100">
        <v>0.91723838708241501</v>
      </c>
      <c r="BC52" s="100">
        <v>495.30872902450409</v>
      </c>
      <c r="BD52" s="100">
        <v>4</v>
      </c>
      <c r="BE52" s="100">
        <v>2160</v>
      </c>
      <c r="BF52" s="100">
        <v>5</v>
      </c>
      <c r="BG52" s="100">
        <v>2700</v>
      </c>
      <c r="BH52" s="100">
        <v>5.3885568960348538</v>
      </c>
      <c r="BI52" s="100">
        <v>2909.8207238588211</v>
      </c>
      <c r="BJ52" s="100">
        <v>1.056865863420934</v>
      </c>
      <c r="BK52" s="100">
        <v>570.70756624730438</v>
      </c>
      <c r="BL52" s="100">
        <v>4</v>
      </c>
      <c r="BM52" s="100">
        <v>2160</v>
      </c>
      <c r="BN52" s="100">
        <v>5</v>
      </c>
      <c r="BO52" s="100">
        <v>2700</v>
      </c>
      <c r="BP52" s="100">
        <v>4</v>
      </c>
      <c r="BQ52" s="100">
        <v>2160</v>
      </c>
      <c r="BR52" s="100">
        <v>7.1947202790238487</v>
      </c>
      <c r="BS52" s="100">
        <v>3885.1489506728781</v>
      </c>
      <c r="BT52" s="100">
        <v>0.55826247546495378</v>
      </c>
      <c r="BU52" s="100">
        <v>301.46173675107502</v>
      </c>
      <c r="BV52" s="100">
        <v>3.2295413117930312</v>
      </c>
      <c r="BW52" s="100">
        <v>1743.9523083682368</v>
      </c>
      <c r="BX52" s="100">
        <v>4</v>
      </c>
      <c r="BY52" s="100">
        <v>2160</v>
      </c>
      <c r="BZ52" s="100">
        <v>3</v>
      </c>
      <c r="CA52" s="100">
        <v>1620</v>
      </c>
      <c r="CB52" s="100">
        <v>4.4662921061364047</v>
      </c>
      <c r="CC52" s="100">
        <v>2411.7977373136587</v>
      </c>
      <c r="CD52" s="100">
        <v>4.3271812772134872</v>
      </c>
      <c r="CE52" s="100">
        <v>2336.6778896952833</v>
      </c>
      <c r="CF52" s="100">
        <v>2.5334914798527469E-4</v>
      </c>
      <c r="CG52" s="100">
        <v>0.13680853991204833</v>
      </c>
      <c r="CH52" s="100">
        <v>6</v>
      </c>
      <c r="CI52" s="100">
        <v>3240</v>
      </c>
      <c r="CJ52" s="100">
        <v>7</v>
      </c>
      <c r="CK52" s="100">
        <v>3780</v>
      </c>
      <c r="CL52" s="100">
        <v>4</v>
      </c>
      <c r="CM52" s="100">
        <v>2160</v>
      </c>
      <c r="CN52" s="100">
        <v>5</v>
      </c>
      <c r="CO52" s="100">
        <v>2700</v>
      </c>
      <c r="CP52" s="100">
        <v>7</v>
      </c>
      <c r="CQ52" s="100">
        <v>3780</v>
      </c>
      <c r="CR52" s="100">
        <v>6</v>
      </c>
      <c r="CS52" s="100">
        <v>3240</v>
      </c>
      <c r="CT52" s="100">
        <v>3.8110915337478031</v>
      </c>
      <c r="CU52" s="100">
        <v>2057.9894282238138</v>
      </c>
    </row>
    <row r="53" spans="2:99">
      <c r="C53" s="99" t="s">
        <v>219</v>
      </c>
      <c r="D53" s="100">
        <v>5</v>
      </c>
      <c r="E53" s="100">
        <v>2034</v>
      </c>
      <c r="F53" s="100">
        <v>5</v>
      </c>
      <c r="G53" s="100">
        <v>2034</v>
      </c>
      <c r="H53" s="100">
        <v>5</v>
      </c>
      <c r="I53" s="100">
        <v>2034</v>
      </c>
      <c r="J53" s="100">
        <v>5</v>
      </c>
      <c r="K53" s="100">
        <v>2034</v>
      </c>
      <c r="L53" s="100">
        <v>7</v>
      </c>
      <c r="M53" s="100">
        <v>2847.6</v>
      </c>
      <c r="N53" s="100">
        <v>4.8684613197515834</v>
      </c>
      <c r="O53" s="100">
        <v>1980.4900648749442</v>
      </c>
      <c r="P53" s="100">
        <v>1.6622202828108359</v>
      </c>
      <c r="Q53" s="100">
        <v>676.19121104744806</v>
      </c>
      <c r="R53" s="100">
        <v>4.0356591091886793</v>
      </c>
      <c r="S53" s="100">
        <v>1641.7061256179547</v>
      </c>
      <c r="T53" s="100">
        <v>6.3441048396541264</v>
      </c>
      <c r="U53" s="100">
        <v>2580.7818487712989</v>
      </c>
      <c r="V53" s="100">
        <v>7</v>
      </c>
      <c r="W53" s="100">
        <v>2847.6</v>
      </c>
      <c r="X53" s="100">
        <v>5.1191209285385355</v>
      </c>
      <c r="Y53" s="100">
        <v>2082.4583937294765</v>
      </c>
      <c r="Z53" s="100">
        <v>5</v>
      </c>
      <c r="AA53" s="100">
        <v>2034</v>
      </c>
      <c r="AB53" s="100">
        <v>3</v>
      </c>
      <c r="AC53" s="100">
        <v>1220.4000000000001</v>
      </c>
      <c r="AD53" s="100">
        <v>5.6513808012091182</v>
      </c>
      <c r="AE53" s="100">
        <v>2298.9817099318693</v>
      </c>
      <c r="AF53" s="100">
        <v>5.0948657863825231</v>
      </c>
      <c r="AG53" s="100">
        <v>2072.5914019004103</v>
      </c>
      <c r="AH53" s="100">
        <v>3.1897137247722367</v>
      </c>
      <c r="AI53" s="100">
        <v>1297.575543237346</v>
      </c>
      <c r="AJ53" s="100">
        <v>5</v>
      </c>
      <c r="AK53" s="100">
        <v>2034</v>
      </c>
      <c r="AL53" s="100">
        <v>6.4968781800457709</v>
      </c>
      <c r="AM53" s="100">
        <v>2642.9300436426197</v>
      </c>
      <c r="AN53" s="100">
        <v>2.0219265717391122</v>
      </c>
      <c r="AO53" s="100">
        <v>822.5197293834708</v>
      </c>
      <c r="AP53" s="100">
        <v>6</v>
      </c>
      <c r="AQ53" s="100">
        <v>2440.8000000000002</v>
      </c>
      <c r="AR53" s="100">
        <v>6</v>
      </c>
      <c r="AS53" s="100">
        <v>2440.8000000000002</v>
      </c>
      <c r="AT53" s="100">
        <v>6</v>
      </c>
      <c r="AU53" s="100">
        <v>2440.8000000000002</v>
      </c>
      <c r="AV53" s="100">
        <v>5.9632905188267049</v>
      </c>
      <c r="AW53" s="100">
        <v>2425.8665830587038</v>
      </c>
      <c r="AX53" s="100">
        <v>4.7114697747912961</v>
      </c>
      <c r="AY53" s="100">
        <v>1916.6259043850994</v>
      </c>
      <c r="AZ53" s="100">
        <v>4.1744870235670986</v>
      </c>
      <c r="BA53" s="100">
        <v>1698.1813211870958</v>
      </c>
      <c r="BB53" s="100">
        <v>0.91723838708241501</v>
      </c>
      <c r="BC53" s="100">
        <v>373.13257586512646</v>
      </c>
      <c r="BD53" s="100">
        <v>4</v>
      </c>
      <c r="BE53" s="100">
        <v>1627.2</v>
      </c>
      <c r="BF53" s="100">
        <v>4</v>
      </c>
      <c r="BG53" s="100">
        <v>1627.2</v>
      </c>
      <c r="BH53" s="100">
        <v>5.3885568960348538</v>
      </c>
      <c r="BI53" s="100">
        <v>2192.0649453069786</v>
      </c>
      <c r="BJ53" s="100">
        <v>1.3210823292761675</v>
      </c>
      <c r="BK53" s="100">
        <v>537.41629154954501</v>
      </c>
      <c r="BL53" s="100">
        <v>4</v>
      </c>
      <c r="BM53" s="100">
        <v>1627.2</v>
      </c>
      <c r="BN53" s="100">
        <v>5</v>
      </c>
      <c r="BO53" s="100">
        <v>2034</v>
      </c>
      <c r="BP53" s="100">
        <v>3</v>
      </c>
      <c r="BQ53" s="100">
        <v>1220.4000000000001</v>
      </c>
      <c r="BR53" s="100">
        <v>6.1730846924656433</v>
      </c>
      <c r="BS53" s="100">
        <v>2511.2108528950239</v>
      </c>
      <c r="BT53" s="100">
        <v>0.55826247546495378</v>
      </c>
      <c r="BU53" s="100">
        <v>227.1011750191432</v>
      </c>
      <c r="BV53" s="100">
        <v>3.2295413117930312</v>
      </c>
      <c r="BW53" s="100">
        <v>1313.7774056374051</v>
      </c>
      <c r="BX53" s="100">
        <v>4</v>
      </c>
      <c r="BY53" s="100">
        <v>1627.2</v>
      </c>
      <c r="BZ53" s="100">
        <v>4</v>
      </c>
      <c r="CA53" s="100">
        <v>1627.2</v>
      </c>
      <c r="CB53" s="100">
        <v>4.4662921061364047</v>
      </c>
      <c r="CC53" s="100">
        <v>1816.8876287762894</v>
      </c>
      <c r="CD53" s="100">
        <v>4.3271812772134872</v>
      </c>
      <c r="CE53" s="100">
        <v>1760.2973435704466</v>
      </c>
      <c r="CF53" s="100">
        <v>2.5334914798527469E-4</v>
      </c>
      <c r="CG53" s="100">
        <v>0.10306243340040974</v>
      </c>
      <c r="CH53" s="100">
        <v>6</v>
      </c>
      <c r="CI53" s="100">
        <v>2440.8000000000002</v>
      </c>
      <c r="CJ53" s="100">
        <v>7</v>
      </c>
      <c r="CK53" s="100">
        <v>2847.6</v>
      </c>
      <c r="CL53" s="100">
        <v>4</v>
      </c>
      <c r="CM53" s="100">
        <v>1627.2</v>
      </c>
      <c r="CN53" s="100">
        <v>4</v>
      </c>
      <c r="CO53" s="100">
        <v>1627.2</v>
      </c>
      <c r="CP53" s="100">
        <v>6</v>
      </c>
      <c r="CQ53" s="100">
        <v>2440.8000000000002</v>
      </c>
      <c r="CR53" s="100">
        <v>6</v>
      </c>
      <c r="CS53" s="100">
        <v>2440.8000000000002</v>
      </c>
      <c r="CT53" s="100">
        <v>3.8340644370035597</v>
      </c>
      <c r="CU53" s="100">
        <v>1559.6974129730481</v>
      </c>
    </row>
    <row r="54" spans="2:99">
      <c r="C54" s="99" t="s">
        <v>220</v>
      </c>
      <c r="D54" s="100">
        <v>5</v>
      </c>
      <c r="E54" s="100">
        <v>1674</v>
      </c>
      <c r="F54" s="100">
        <v>6</v>
      </c>
      <c r="G54" s="100">
        <v>2008.8000000000002</v>
      </c>
      <c r="H54" s="100">
        <v>5</v>
      </c>
      <c r="I54" s="100">
        <v>1674</v>
      </c>
      <c r="J54" s="100">
        <v>5</v>
      </c>
      <c r="K54" s="100">
        <v>1674</v>
      </c>
      <c r="L54" s="100">
        <v>6</v>
      </c>
      <c r="M54" s="100">
        <v>2008.8000000000002</v>
      </c>
      <c r="N54" s="100">
        <v>4.8358562909867446</v>
      </c>
      <c r="O54" s="100">
        <v>1619.0446862223621</v>
      </c>
      <c r="P54" s="100">
        <v>1.6622202828108359</v>
      </c>
      <c r="Q54" s="100">
        <v>556.5113506850679</v>
      </c>
      <c r="R54" s="100">
        <v>4.0416022940534591</v>
      </c>
      <c r="S54" s="100">
        <v>1353.1284480490981</v>
      </c>
      <c r="T54" s="100">
        <v>5.4378041482749655</v>
      </c>
      <c r="U54" s="100">
        <v>1820.5768288424586</v>
      </c>
      <c r="V54" s="100">
        <v>6</v>
      </c>
      <c r="W54" s="100">
        <v>2008.8000000000002</v>
      </c>
      <c r="X54" s="100">
        <v>6.1191209285385355</v>
      </c>
      <c r="Y54" s="100">
        <v>2048.6816868747019</v>
      </c>
      <c r="Z54" s="100">
        <v>5</v>
      </c>
      <c r="AA54" s="100">
        <v>1674</v>
      </c>
      <c r="AB54" s="100">
        <v>3</v>
      </c>
      <c r="AC54" s="100">
        <v>1004.4000000000001</v>
      </c>
      <c r="AD54" s="100">
        <v>4.7094840010075991</v>
      </c>
      <c r="AE54" s="100">
        <v>1576.7352435373443</v>
      </c>
      <c r="AF54" s="100">
        <v>6.0948657863825231</v>
      </c>
      <c r="AG54" s="100">
        <v>2040.5610652808689</v>
      </c>
      <c r="AH54" s="100">
        <v>3.1897137247722367</v>
      </c>
      <c r="AI54" s="100">
        <v>1067.9161550537449</v>
      </c>
      <c r="AJ54" s="100">
        <v>5</v>
      </c>
      <c r="AK54" s="100">
        <v>1674</v>
      </c>
      <c r="AL54" s="100">
        <v>5.4471903620411943</v>
      </c>
      <c r="AM54" s="100">
        <v>1823.7193332113918</v>
      </c>
      <c r="AN54" s="100">
        <v>2.0219265717391122</v>
      </c>
      <c r="AO54" s="100">
        <v>676.94101621825473</v>
      </c>
      <c r="AP54" s="100">
        <v>6</v>
      </c>
      <c r="AQ54" s="100">
        <v>2008.8000000000002</v>
      </c>
      <c r="AR54" s="100">
        <v>6</v>
      </c>
      <c r="AS54" s="100">
        <v>2008.8000000000002</v>
      </c>
      <c r="AT54" s="100">
        <v>6</v>
      </c>
      <c r="AU54" s="100">
        <v>2008.8000000000002</v>
      </c>
      <c r="AV54" s="100">
        <v>5.9632905188267049</v>
      </c>
      <c r="AW54" s="100">
        <v>1996.5096657031809</v>
      </c>
      <c r="AX54" s="100">
        <v>4.7114697747912961</v>
      </c>
      <c r="AY54" s="100">
        <v>1577.4000806001261</v>
      </c>
      <c r="AZ54" s="100">
        <v>4.1744870235670986</v>
      </c>
      <c r="BA54" s="100">
        <v>1397.6182554902646</v>
      </c>
      <c r="BB54" s="100">
        <v>0.91723838708241501</v>
      </c>
      <c r="BC54" s="100">
        <v>307.09141199519257</v>
      </c>
      <c r="BD54" s="100">
        <v>4</v>
      </c>
      <c r="BE54" s="100">
        <v>1339.2</v>
      </c>
      <c r="BF54" s="100">
        <v>4</v>
      </c>
      <c r="BG54" s="100">
        <v>1339.2</v>
      </c>
      <c r="BH54" s="100">
        <v>5.4371265080392099</v>
      </c>
      <c r="BI54" s="100">
        <v>1820.3499548915277</v>
      </c>
      <c r="BJ54" s="100">
        <v>1.3210823292761675</v>
      </c>
      <c r="BK54" s="100">
        <v>442.29836384166089</v>
      </c>
      <c r="BL54" s="100">
        <v>4</v>
      </c>
      <c r="BM54" s="100">
        <v>1339.2</v>
      </c>
      <c r="BN54" s="100">
        <v>6</v>
      </c>
      <c r="BO54" s="100">
        <v>2008.8000000000002</v>
      </c>
      <c r="BP54" s="100">
        <v>4</v>
      </c>
      <c r="BQ54" s="100">
        <v>1339.2</v>
      </c>
      <c r="BR54" s="100">
        <v>7.1730846924656433</v>
      </c>
      <c r="BS54" s="100">
        <v>2401.5487550374974</v>
      </c>
      <c r="BT54" s="100">
        <v>0.55826247546495378</v>
      </c>
      <c r="BU54" s="100">
        <v>186.90627678566653</v>
      </c>
      <c r="BV54" s="100">
        <v>3.2295413117930312</v>
      </c>
      <c r="BW54" s="100">
        <v>1081.2504311883069</v>
      </c>
      <c r="BX54" s="100">
        <v>4</v>
      </c>
      <c r="BY54" s="100">
        <v>1339.2</v>
      </c>
      <c r="BZ54" s="100">
        <v>4</v>
      </c>
      <c r="CA54" s="100">
        <v>1339.2</v>
      </c>
      <c r="CB54" s="100">
        <v>5.4662921061364047</v>
      </c>
      <c r="CC54" s="100">
        <v>1830.1145971344683</v>
      </c>
      <c r="CD54" s="100">
        <v>4.3271812772134872</v>
      </c>
      <c r="CE54" s="100">
        <v>1448.7402916110755</v>
      </c>
      <c r="CF54" s="100">
        <v>3.1668643498159333E-4</v>
      </c>
      <c r="CG54" s="100">
        <v>0.10602661843183744</v>
      </c>
      <c r="CH54" s="100">
        <v>7</v>
      </c>
      <c r="CI54" s="100">
        <v>2343.6</v>
      </c>
      <c r="CJ54" s="100">
        <v>7</v>
      </c>
      <c r="CK54" s="100">
        <v>2343.6</v>
      </c>
      <c r="CL54" s="100">
        <v>4</v>
      </c>
      <c r="CM54" s="100">
        <v>1339.2</v>
      </c>
      <c r="CN54" s="100">
        <v>4</v>
      </c>
      <c r="CO54" s="100">
        <v>1339.2</v>
      </c>
      <c r="CP54" s="100">
        <v>7</v>
      </c>
      <c r="CQ54" s="100">
        <v>2343.6</v>
      </c>
      <c r="CR54" s="100">
        <v>6</v>
      </c>
      <c r="CS54" s="100">
        <v>2008.8000000000002</v>
      </c>
      <c r="CT54" s="100">
        <v>3.8340644370035597</v>
      </c>
      <c r="CU54" s="100">
        <v>1283.6447735087918</v>
      </c>
    </row>
    <row r="55" spans="2:99">
      <c r="C55" s="99" t="s">
        <v>221</v>
      </c>
      <c r="D55" s="100">
        <v>5</v>
      </c>
      <c r="E55" s="100">
        <v>3318</v>
      </c>
      <c r="F55" s="100">
        <v>5</v>
      </c>
      <c r="G55" s="100">
        <v>3318</v>
      </c>
      <c r="H55" s="100">
        <v>5</v>
      </c>
      <c r="I55" s="100">
        <v>3318</v>
      </c>
      <c r="J55" s="100">
        <v>5</v>
      </c>
      <c r="K55" s="100">
        <v>3318</v>
      </c>
      <c r="L55" s="100">
        <v>6</v>
      </c>
      <c r="M55" s="100">
        <v>3981.6000000000004</v>
      </c>
      <c r="N55" s="100">
        <v>4.8684613197515834</v>
      </c>
      <c r="O55" s="100">
        <v>3230.7109317871509</v>
      </c>
      <c r="P55" s="100">
        <v>1.6622202828108359</v>
      </c>
      <c r="Q55" s="100">
        <v>1103.0493796732708</v>
      </c>
      <c r="R55" s="100">
        <v>4.0416022940534591</v>
      </c>
      <c r="S55" s="100">
        <v>2682.0072823338755</v>
      </c>
      <c r="T55" s="100">
        <v>6.3441048396541264</v>
      </c>
      <c r="U55" s="100">
        <v>4209.9479715944781</v>
      </c>
      <c r="V55" s="100">
        <v>7</v>
      </c>
      <c r="W55" s="100">
        <v>4645.2</v>
      </c>
      <c r="X55" s="100">
        <v>6.1042308124712186</v>
      </c>
      <c r="Y55" s="100">
        <v>4050.7675671559009</v>
      </c>
      <c r="Z55" s="100">
        <v>6</v>
      </c>
      <c r="AA55" s="100">
        <v>3981.6000000000004</v>
      </c>
      <c r="AB55" s="100">
        <v>4</v>
      </c>
      <c r="AC55" s="100">
        <v>2654.4</v>
      </c>
      <c r="AD55" s="100">
        <v>4.7094840010075991</v>
      </c>
      <c r="AE55" s="100">
        <v>3125.2135830686429</v>
      </c>
      <c r="AF55" s="100">
        <v>5.0948657863825231</v>
      </c>
      <c r="AG55" s="100">
        <v>3380.9529358434424</v>
      </c>
      <c r="AH55" s="100">
        <v>3.1897137247722367</v>
      </c>
      <c r="AI55" s="100">
        <v>2116.6940277588565</v>
      </c>
      <c r="AJ55" s="100">
        <v>5</v>
      </c>
      <c r="AK55" s="100">
        <v>3318</v>
      </c>
      <c r="AL55" s="100">
        <v>5.4471903620411943</v>
      </c>
      <c r="AM55" s="100">
        <v>3614.7555242505368</v>
      </c>
      <c r="AN55" s="100">
        <v>2.0219265717391122</v>
      </c>
      <c r="AO55" s="100">
        <v>1341.7504730060748</v>
      </c>
      <c r="AP55" s="100">
        <v>6</v>
      </c>
      <c r="AQ55" s="100">
        <v>3981.6000000000004</v>
      </c>
      <c r="AR55" s="100">
        <v>7</v>
      </c>
      <c r="AS55" s="100">
        <v>4645.2</v>
      </c>
      <c r="AT55" s="100">
        <v>5</v>
      </c>
      <c r="AU55" s="100">
        <v>3318</v>
      </c>
      <c r="AV55" s="100">
        <v>5.9632905188267049</v>
      </c>
      <c r="AW55" s="100">
        <v>3957.2395882934015</v>
      </c>
      <c r="AX55" s="100">
        <v>4.0384026641068251</v>
      </c>
      <c r="AY55" s="100">
        <v>2679.8840079012894</v>
      </c>
      <c r="AZ55" s="100">
        <v>4.2057013649226667</v>
      </c>
      <c r="BA55" s="100">
        <v>2790.9034257626818</v>
      </c>
      <c r="BB55" s="100">
        <v>0.91723838708241501</v>
      </c>
      <c r="BC55" s="100">
        <v>608.67939366789062</v>
      </c>
      <c r="BD55" s="100">
        <v>4</v>
      </c>
      <c r="BE55" s="100">
        <v>2654.4</v>
      </c>
      <c r="BF55" s="100">
        <v>4</v>
      </c>
      <c r="BG55" s="100">
        <v>2654.4</v>
      </c>
      <c r="BH55" s="100">
        <v>5.4371265080392099</v>
      </c>
      <c r="BI55" s="100">
        <v>3608.07715073482</v>
      </c>
      <c r="BJ55" s="100">
        <v>1.056865863420934</v>
      </c>
      <c r="BK55" s="100">
        <v>701.33618696613189</v>
      </c>
      <c r="BL55" s="100">
        <v>4</v>
      </c>
      <c r="BM55" s="100">
        <v>2654.4</v>
      </c>
      <c r="BN55" s="100">
        <v>5</v>
      </c>
      <c r="BO55" s="100">
        <v>3318</v>
      </c>
      <c r="BP55" s="100">
        <v>4</v>
      </c>
      <c r="BQ55" s="100">
        <v>2654.4</v>
      </c>
      <c r="BR55" s="100">
        <v>7.1947202790238487</v>
      </c>
      <c r="BS55" s="100">
        <v>4774.4163771602261</v>
      </c>
      <c r="BT55" s="100">
        <v>0.55826247546495378</v>
      </c>
      <c r="BU55" s="100">
        <v>370.46297871854335</v>
      </c>
      <c r="BV55" s="100">
        <v>3.2295413117930312</v>
      </c>
      <c r="BW55" s="100">
        <v>2143.1236145058556</v>
      </c>
      <c r="BX55" s="100">
        <v>4</v>
      </c>
      <c r="BY55" s="100">
        <v>2654.4</v>
      </c>
      <c r="BZ55" s="100">
        <v>4</v>
      </c>
      <c r="CA55" s="100">
        <v>2654.4</v>
      </c>
      <c r="CB55" s="100">
        <v>4.4662921061364047</v>
      </c>
      <c r="CC55" s="100">
        <v>2963.8314416321182</v>
      </c>
      <c r="CD55" s="100">
        <v>4.3271812772134872</v>
      </c>
      <c r="CE55" s="100">
        <v>2871.51749555887</v>
      </c>
      <c r="CF55" s="100">
        <v>3.1668643498159333E-4</v>
      </c>
      <c r="CG55" s="100">
        <v>0.21015311825378535</v>
      </c>
      <c r="CH55" s="100">
        <v>7</v>
      </c>
      <c r="CI55" s="100">
        <v>4645.2</v>
      </c>
      <c r="CJ55" s="100">
        <v>5</v>
      </c>
      <c r="CK55" s="100">
        <v>3318</v>
      </c>
      <c r="CL55" s="100">
        <v>4</v>
      </c>
      <c r="CM55" s="100">
        <v>2654.4</v>
      </c>
      <c r="CN55" s="100">
        <v>5</v>
      </c>
      <c r="CO55" s="100">
        <v>3318</v>
      </c>
      <c r="CP55" s="100">
        <v>7</v>
      </c>
      <c r="CQ55" s="100">
        <v>4645.2</v>
      </c>
      <c r="CR55" s="100">
        <v>6</v>
      </c>
      <c r="CS55" s="100">
        <v>3981.6000000000004</v>
      </c>
      <c r="CT55" s="100">
        <v>3.5813625011902412</v>
      </c>
      <c r="CU55" s="100">
        <v>2376.5921557898441</v>
      </c>
    </row>
    <row r="56" spans="2:99">
      <c r="C56" s="99" t="s">
        <v>222</v>
      </c>
      <c r="D56" s="100">
        <v>1.5372821088415427</v>
      </c>
      <c r="E56" s="100">
        <v>1508.9961180388582</v>
      </c>
      <c r="F56" s="100">
        <v>5</v>
      </c>
      <c r="G56" s="100">
        <v>4908</v>
      </c>
      <c r="H56" s="100">
        <v>3.3556841739576613</v>
      </c>
      <c r="I56" s="100">
        <v>3293.9395851568402</v>
      </c>
      <c r="J56" s="100">
        <v>5</v>
      </c>
      <c r="K56" s="100">
        <v>4908</v>
      </c>
      <c r="L56" s="100">
        <v>6</v>
      </c>
      <c r="M56" s="100">
        <v>5889.5999999999995</v>
      </c>
      <c r="N56" s="100">
        <v>5</v>
      </c>
      <c r="O56" s="100">
        <v>4908</v>
      </c>
      <c r="P56" s="100">
        <v>6</v>
      </c>
      <c r="Q56" s="100">
        <v>5889.5999999999995</v>
      </c>
      <c r="R56" s="100">
        <v>3</v>
      </c>
      <c r="S56" s="100">
        <v>2944.7999999999997</v>
      </c>
      <c r="T56" s="100">
        <v>6</v>
      </c>
      <c r="U56" s="100">
        <v>5889.5999999999995</v>
      </c>
      <c r="V56" s="100">
        <v>6</v>
      </c>
      <c r="W56" s="100">
        <v>5889.5999999999995</v>
      </c>
      <c r="X56" s="100">
        <v>6</v>
      </c>
      <c r="Y56" s="100">
        <v>5889.5999999999995</v>
      </c>
      <c r="Z56" s="100">
        <v>5.0876682434419997</v>
      </c>
      <c r="AA56" s="100">
        <v>4994.0551477626668</v>
      </c>
      <c r="AB56" s="100">
        <v>0.46542149537780481</v>
      </c>
      <c r="AC56" s="100">
        <v>456.85773986285318</v>
      </c>
      <c r="AD56" s="100">
        <v>5.0507673994618463</v>
      </c>
      <c r="AE56" s="100">
        <v>4957.8332793117479</v>
      </c>
      <c r="AF56" s="100">
        <v>5.9999999999999973</v>
      </c>
      <c r="AG56" s="100">
        <v>5889.5999999999967</v>
      </c>
      <c r="AH56" s="100">
        <v>6.2988487743754407</v>
      </c>
      <c r="AI56" s="100">
        <v>6182.9499569269319</v>
      </c>
      <c r="AJ56" s="100">
        <v>4.7527464641560098</v>
      </c>
      <c r="AK56" s="100">
        <v>4665.2959292155383</v>
      </c>
      <c r="AL56" s="100">
        <v>6</v>
      </c>
      <c r="AM56" s="100">
        <v>5889.5999999999995</v>
      </c>
      <c r="AN56" s="100">
        <v>5</v>
      </c>
      <c r="AO56" s="100">
        <v>4908</v>
      </c>
      <c r="AP56" s="100">
        <v>6</v>
      </c>
      <c r="AQ56" s="100">
        <v>5889.5999999999995</v>
      </c>
      <c r="AR56" s="100">
        <v>6</v>
      </c>
      <c r="AS56" s="100">
        <v>5889.5999999999995</v>
      </c>
      <c r="AT56" s="100">
        <v>5</v>
      </c>
      <c r="AU56" s="100">
        <v>4908</v>
      </c>
      <c r="AV56" s="100">
        <v>4.2867932256960204</v>
      </c>
      <c r="AW56" s="100">
        <v>4207.9162303432131</v>
      </c>
      <c r="AX56" s="100">
        <v>6.3636363636363624</v>
      </c>
      <c r="AY56" s="100">
        <v>6246.5454545454531</v>
      </c>
      <c r="AZ56" s="100">
        <v>5.2941176470588216</v>
      </c>
      <c r="BA56" s="100">
        <v>5196.7058823529387</v>
      </c>
      <c r="BB56" s="100">
        <v>3.0379746835443031</v>
      </c>
      <c r="BC56" s="100">
        <v>2982.0759493670876</v>
      </c>
      <c r="BD56" s="100">
        <v>4</v>
      </c>
      <c r="BE56" s="100">
        <v>3926.3999999999996</v>
      </c>
      <c r="BF56" s="100">
        <v>3.1463414634146321</v>
      </c>
      <c r="BG56" s="100">
        <v>3088.4487804878027</v>
      </c>
      <c r="BH56" s="100">
        <v>3.7499999999999982</v>
      </c>
      <c r="BI56" s="100">
        <v>3680.9999999999977</v>
      </c>
      <c r="BJ56" s="100">
        <v>3.2327755622084378</v>
      </c>
      <c r="BK56" s="100">
        <v>3173.2924918638023</v>
      </c>
      <c r="BL56" s="100">
        <v>0.482968705651385</v>
      </c>
      <c r="BM56" s="100">
        <v>474.08208146739946</v>
      </c>
      <c r="BN56" s="100">
        <v>5</v>
      </c>
      <c r="BO56" s="100">
        <v>4908</v>
      </c>
      <c r="BP56" s="100">
        <v>4</v>
      </c>
      <c r="BQ56" s="100">
        <v>3926.3999999999996</v>
      </c>
      <c r="BR56" s="100">
        <v>6</v>
      </c>
      <c r="BS56" s="100">
        <v>5889.5999999999995</v>
      </c>
      <c r="BT56" s="100">
        <v>4</v>
      </c>
      <c r="BU56" s="100">
        <v>3926.3999999999996</v>
      </c>
      <c r="BV56" s="100">
        <v>3.4958677685950414</v>
      </c>
      <c r="BW56" s="100">
        <v>3431.5438016528924</v>
      </c>
      <c r="BX56" s="100">
        <v>0.64522809096963463</v>
      </c>
      <c r="BY56" s="100">
        <v>633.35589409579325</v>
      </c>
      <c r="BZ56" s="100">
        <v>4</v>
      </c>
      <c r="CA56" s="100">
        <v>3926.3999999999996</v>
      </c>
      <c r="CB56" s="100">
        <v>4</v>
      </c>
      <c r="CC56" s="100">
        <v>3926.3999999999996</v>
      </c>
      <c r="CD56" s="100">
        <v>6.2458398570612834</v>
      </c>
      <c r="CE56" s="100">
        <v>6130.9164036913553</v>
      </c>
      <c r="CF56" s="100">
        <v>1.9764289266866413</v>
      </c>
      <c r="CG56" s="100">
        <v>1940.0626344356069</v>
      </c>
      <c r="CH56" s="100">
        <v>6.2579848695848543</v>
      </c>
      <c r="CI56" s="100">
        <v>6142.8379479844925</v>
      </c>
      <c r="CJ56" s="100">
        <v>5.2350790778056275</v>
      </c>
      <c r="CK56" s="100">
        <v>5138.7536227740038</v>
      </c>
      <c r="CL56" s="100">
        <v>3.1154606952992436</v>
      </c>
      <c r="CM56" s="100">
        <v>3058.1362185057374</v>
      </c>
      <c r="CN56" s="100">
        <v>4.2811101824072413</v>
      </c>
      <c r="CO56" s="100">
        <v>4202.3377550509476</v>
      </c>
      <c r="CP56" s="100">
        <v>4.2701298716229008</v>
      </c>
      <c r="CQ56" s="100">
        <v>4191.5594819850394</v>
      </c>
      <c r="CR56" s="100">
        <v>0.34217173718755828</v>
      </c>
      <c r="CS56" s="100">
        <v>335.87577722330718</v>
      </c>
      <c r="CT56" s="100">
        <v>3.5556240960623673</v>
      </c>
      <c r="CU56" s="100">
        <v>3490.2006126948195</v>
      </c>
    </row>
    <row r="57" spans="2:99">
      <c r="C57" s="99" t="s">
        <v>223</v>
      </c>
      <c r="D57" s="100">
        <v>5</v>
      </c>
      <c r="E57" s="100">
        <v>7056</v>
      </c>
      <c r="F57" s="100">
        <v>5</v>
      </c>
      <c r="G57" s="100">
        <v>7056</v>
      </c>
      <c r="H57" s="100">
        <v>5</v>
      </c>
      <c r="I57" s="100">
        <v>7056</v>
      </c>
      <c r="J57" s="100">
        <v>5</v>
      </c>
      <c r="K57" s="100">
        <v>7056</v>
      </c>
      <c r="L57" s="100">
        <v>6</v>
      </c>
      <c r="M57" s="100">
        <v>8467.2000000000007</v>
      </c>
      <c r="N57" s="100">
        <v>4.8358562909867446</v>
      </c>
      <c r="O57" s="100">
        <v>6824.3603978404944</v>
      </c>
      <c r="P57" s="100">
        <v>1.6622202828108359</v>
      </c>
      <c r="Q57" s="100">
        <v>2345.7252631026518</v>
      </c>
      <c r="R57" s="100">
        <v>4.0356591091886793</v>
      </c>
      <c r="S57" s="100">
        <v>5695.122134887064</v>
      </c>
      <c r="T57" s="100">
        <v>5.4378041482749655</v>
      </c>
      <c r="U57" s="100">
        <v>7673.8292140456315</v>
      </c>
      <c r="V57" s="100">
        <v>6</v>
      </c>
      <c r="W57" s="100">
        <v>8467.2000000000007</v>
      </c>
      <c r="X57" s="100">
        <v>5.1042308124712186</v>
      </c>
      <c r="Y57" s="100">
        <v>7203.0905225593842</v>
      </c>
      <c r="Z57" s="100">
        <v>6</v>
      </c>
      <c r="AA57" s="100">
        <v>8467.2000000000007</v>
      </c>
      <c r="AB57" s="100">
        <v>3</v>
      </c>
      <c r="AC57" s="100">
        <v>4233.6000000000004</v>
      </c>
      <c r="AD57" s="100">
        <v>4.7094840010075991</v>
      </c>
      <c r="AE57" s="100">
        <v>6646.0238222219241</v>
      </c>
      <c r="AF57" s="100">
        <v>5.0758926291060185</v>
      </c>
      <c r="AG57" s="100">
        <v>7163.0996781944132</v>
      </c>
      <c r="AH57" s="100">
        <v>3.1897137247722367</v>
      </c>
      <c r="AI57" s="100">
        <v>4501.3240083985802</v>
      </c>
      <c r="AJ57" s="100">
        <v>4</v>
      </c>
      <c r="AK57" s="100">
        <v>5644.8</v>
      </c>
      <c r="AL57" s="100">
        <v>5.4471903620411943</v>
      </c>
      <c r="AM57" s="100">
        <v>7687.0750389125333</v>
      </c>
      <c r="AN57" s="100">
        <v>2.0219265717391122</v>
      </c>
      <c r="AO57" s="100">
        <v>2853.3427780382353</v>
      </c>
      <c r="AP57" s="100">
        <v>6</v>
      </c>
      <c r="AQ57" s="100">
        <v>8467.2000000000007</v>
      </c>
      <c r="AR57" s="100">
        <v>6</v>
      </c>
      <c r="AS57" s="100">
        <v>8467.2000000000007</v>
      </c>
      <c r="AT57" s="100">
        <v>6</v>
      </c>
      <c r="AU57" s="100">
        <v>8467.2000000000007</v>
      </c>
      <c r="AV57" s="100">
        <v>6.9571722719644891</v>
      </c>
      <c r="AW57" s="100">
        <v>9817.9615101962881</v>
      </c>
      <c r="AX57" s="100">
        <v>4.7114697747912961</v>
      </c>
      <c r="AY57" s="100">
        <v>6648.8261461854772</v>
      </c>
      <c r="AZ57" s="100">
        <v>4.2057013649226667</v>
      </c>
      <c r="BA57" s="100">
        <v>5935.0857661788677</v>
      </c>
      <c r="BB57" s="100">
        <v>0.91723838708241501</v>
      </c>
      <c r="BC57" s="100">
        <v>1294.4068118507041</v>
      </c>
      <c r="BD57" s="100">
        <v>4</v>
      </c>
      <c r="BE57" s="100">
        <v>5644.8</v>
      </c>
      <c r="BF57" s="100">
        <v>4</v>
      </c>
      <c r="BG57" s="100">
        <v>5644.8</v>
      </c>
      <c r="BH57" s="100">
        <v>4.3399872840304967</v>
      </c>
      <c r="BI57" s="100">
        <v>6124.5900552238372</v>
      </c>
      <c r="BJ57" s="100">
        <v>1.056865863420934</v>
      </c>
      <c r="BK57" s="100">
        <v>1491.449106459622</v>
      </c>
      <c r="BL57" s="100">
        <v>4</v>
      </c>
      <c r="BM57" s="100">
        <v>5644.8</v>
      </c>
      <c r="BN57" s="100">
        <v>5</v>
      </c>
      <c r="BO57" s="100">
        <v>7056</v>
      </c>
      <c r="BP57" s="100">
        <v>4</v>
      </c>
      <c r="BQ57" s="100">
        <v>5644.8</v>
      </c>
      <c r="BR57" s="100">
        <v>6.1730846924656433</v>
      </c>
      <c r="BS57" s="100">
        <v>8711.4571180075163</v>
      </c>
      <c r="BT57" s="100">
        <v>0.55826247546495378</v>
      </c>
      <c r="BU57" s="100">
        <v>787.82000537614283</v>
      </c>
      <c r="BV57" s="100">
        <v>3.2295413117930312</v>
      </c>
      <c r="BW57" s="100">
        <v>4557.5286992023257</v>
      </c>
      <c r="BX57" s="100">
        <v>4</v>
      </c>
      <c r="BY57" s="100">
        <v>5644.8</v>
      </c>
      <c r="BZ57" s="100">
        <v>4</v>
      </c>
      <c r="CA57" s="100">
        <v>5644.8</v>
      </c>
      <c r="CB57" s="100">
        <v>4.4662921061364047</v>
      </c>
      <c r="CC57" s="100">
        <v>6302.8314201796948</v>
      </c>
      <c r="CD57" s="100">
        <v>4.3271812772134872</v>
      </c>
      <c r="CE57" s="100">
        <v>6106.518218403673</v>
      </c>
      <c r="CF57" s="100">
        <v>3.1668643498159333E-4</v>
      </c>
      <c r="CG57" s="100">
        <v>0.44690789704602452</v>
      </c>
      <c r="CH57" s="100">
        <v>6</v>
      </c>
      <c r="CI57" s="100">
        <v>8467.2000000000007</v>
      </c>
      <c r="CJ57" s="100">
        <v>6</v>
      </c>
      <c r="CK57" s="100">
        <v>8467.2000000000007</v>
      </c>
      <c r="CL57" s="100">
        <v>4</v>
      </c>
      <c r="CM57" s="100">
        <v>5644.8</v>
      </c>
      <c r="CN57" s="100">
        <v>5</v>
      </c>
      <c r="CO57" s="100">
        <v>7056</v>
      </c>
      <c r="CP57" s="100">
        <v>6</v>
      </c>
      <c r="CQ57" s="100">
        <v>8467.2000000000007</v>
      </c>
      <c r="CR57" s="100">
        <v>6</v>
      </c>
      <c r="CS57" s="100">
        <v>8467.2000000000007</v>
      </c>
      <c r="CT57" s="100">
        <v>3.5813625011902412</v>
      </c>
      <c r="CU57" s="100">
        <v>5054.0187616796684</v>
      </c>
    </row>
    <row r="58" spans="2:99">
      <c r="C58" s="99" t="s">
        <v>224</v>
      </c>
      <c r="D58" s="100">
        <v>4.9968088371367143</v>
      </c>
      <c r="E58" s="100">
        <v>5882.2433630773403</v>
      </c>
      <c r="F58" s="100">
        <v>2.8277642263378118</v>
      </c>
      <c r="G58" s="100">
        <v>3328.8440472448719</v>
      </c>
      <c r="H58" s="100">
        <v>1.9967253096820068</v>
      </c>
      <c r="I58" s="100">
        <v>2350.5450345576583</v>
      </c>
      <c r="J58" s="100">
        <v>4.3347217616550759</v>
      </c>
      <c r="K58" s="100">
        <v>5102.834457820356</v>
      </c>
      <c r="L58" s="100">
        <v>0.87886800536861198</v>
      </c>
      <c r="M58" s="100">
        <v>1034.6034159199301</v>
      </c>
      <c r="N58" s="100">
        <v>5</v>
      </c>
      <c r="O58" s="100">
        <v>5886</v>
      </c>
      <c r="P58" s="100">
        <v>5</v>
      </c>
      <c r="Q58" s="100">
        <v>5886</v>
      </c>
      <c r="R58" s="100">
        <v>4</v>
      </c>
      <c r="S58" s="100">
        <v>4708.8</v>
      </c>
      <c r="T58" s="100">
        <v>7</v>
      </c>
      <c r="U58" s="100">
        <v>8240.4</v>
      </c>
      <c r="V58" s="100">
        <v>7</v>
      </c>
      <c r="W58" s="100">
        <v>8240.4</v>
      </c>
      <c r="X58" s="100">
        <v>5</v>
      </c>
      <c r="Y58" s="100">
        <v>5886</v>
      </c>
      <c r="Z58" s="100">
        <v>5</v>
      </c>
      <c r="AA58" s="100">
        <v>5886</v>
      </c>
      <c r="AB58" s="100">
        <v>4</v>
      </c>
      <c r="AC58" s="100">
        <v>4708.8</v>
      </c>
      <c r="AD58" s="100">
        <v>5</v>
      </c>
      <c r="AE58" s="100">
        <v>5886</v>
      </c>
      <c r="AF58" s="100">
        <v>5</v>
      </c>
      <c r="AG58" s="100">
        <v>5886</v>
      </c>
      <c r="AH58" s="100">
        <v>5</v>
      </c>
      <c r="AI58" s="100">
        <v>5886</v>
      </c>
      <c r="AJ58" s="100">
        <v>5</v>
      </c>
      <c r="AK58" s="100">
        <v>5886</v>
      </c>
      <c r="AL58" s="100">
        <v>5.3283251260214923</v>
      </c>
      <c r="AM58" s="100">
        <v>6272.5043383525008</v>
      </c>
      <c r="AN58" s="100">
        <v>5</v>
      </c>
      <c r="AO58" s="100">
        <v>5886</v>
      </c>
      <c r="AP58" s="100">
        <v>5</v>
      </c>
      <c r="AQ58" s="100">
        <v>5886</v>
      </c>
      <c r="AR58" s="100">
        <v>7.0473092847536867</v>
      </c>
      <c r="AS58" s="100">
        <v>8296.0924900120408</v>
      </c>
      <c r="AT58" s="100">
        <v>6</v>
      </c>
      <c r="AU58" s="100">
        <v>7063.2000000000007</v>
      </c>
      <c r="AV58" s="100">
        <v>6</v>
      </c>
      <c r="AW58" s="100">
        <v>7063.2000000000007</v>
      </c>
      <c r="AX58" s="100">
        <v>7</v>
      </c>
      <c r="AY58" s="100">
        <v>8240.4</v>
      </c>
      <c r="AZ58" s="100">
        <v>5.4162006042874342</v>
      </c>
      <c r="BA58" s="100">
        <v>6375.9513513671682</v>
      </c>
      <c r="BB58" s="100">
        <v>5</v>
      </c>
      <c r="BC58" s="100">
        <v>5886</v>
      </c>
      <c r="BD58" s="100">
        <v>3.9803849902690551</v>
      </c>
      <c r="BE58" s="100">
        <v>4685.7092105447318</v>
      </c>
      <c r="BF58" s="100">
        <v>3.2091939399167191</v>
      </c>
      <c r="BG58" s="100">
        <v>3777.8631060699618</v>
      </c>
      <c r="BH58" s="100">
        <v>1.842039727557405</v>
      </c>
      <c r="BI58" s="100">
        <v>2168.4491672805771</v>
      </c>
      <c r="BJ58" s="100">
        <v>4</v>
      </c>
      <c r="BK58" s="100">
        <v>4708.8</v>
      </c>
      <c r="BL58" s="100">
        <v>5</v>
      </c>
      <c r="BM58" s="100">
        <v>5886</v>
      </c>
      <c r="BN58" s="100">
        <v>5.4414748199243315</v>
      </c>
      <c r="BO58" s="100">
        <v>6405.7041580149235</v>
      </c>
      <c r="BP58" s="100">
        <v>1.9149518468731497</v>
      </c>
      <c r="BQ58" s="100">
        <v>2254.281314139072</v>
      </c>
      <c r="BR58" s="100">
        <v>6.4165251332504853</v>
      </c>
      <c r="BS58" s="100">
        <v>7553.5333868624721</v>
      </c>
      <c r="BT58" s="100">
        <v>4</v>
      </c>
      <c r="BU58" s="100">
        <v>4708.8</v>
      </c>
      <c r="BV58" s="100">
        <v>3</v>
      </c>
      <c r="BW58" s="100">
        <v>3531.6000000000004</v>
      </c>
      <c r="BX58" s="100">
        <v>4</v>
      </c>
      <c r="BY58" s="100">
        <v>4708.8</v>
      </c>
      <c r="BZ58" s="100">
        <v>4</v>
      </c>
      <c r="CA58" s="100">
        <v>4708.8</v>
      </c>
      <c r="CB58" s="100">
        <v>2.0732982169464398</v>
      </c>
      <c r="CC58" s="100">
        <v>2440.6866609893491</v>
      </c>
      <c r="CD58" s="100">
        <v>5.8557506656180802</v>
      </c>
      <c r="CE58" s="100">
        <v>6893.3896835656042</v>
      </c>
      <c r="CF58" s="100">
        <v>1.6307384900897051</v>
      </c>
      <c r="CG58" s="100">
        <v>1919.7053505336009</v>
      </c>
      <c r="CH58" s="100">
        <v>5.9582019094468786</v>
      </c>
      <c r="CI58" s="100">
        <v>7013.9952878008653</v>
      </c>
      <c r="CJ58" s="100">
        <v>6</v>
      </c>
      <c r="CK58" s="100">
        <v>7063.2000000000007</v>
      </c>
      <c r="CL58" s="100">
        <v>4</v>
      </c>
      <c r="CM58" s="100">
        <v>4708.8</v>
      </c>
      <c r="CN58" s="100">
        <v>4</v>
      </c>
      <c r="CO58" s="100">
        <v>4708.8</v>
      </c>
      <c r="CP58" s="100">
        <v>5.0895714143837534</v>
      </c>
      <c r="CQ58" s="100">
        <v>5991.4434690125545</v>
      </c>
      <c r="CR58" s="100">
        <v>1.9024616717813974</v>
      </c>
      <c r="CS58" s="100">
        <v>2239.577880021061</v>
      </c>
      <c r="CT58" s="100">
        <v>5</v>
      </c>
      <c r="CU58" s="100">
        <v>5886</v>
      </c>
    </row>
    <row r="59" spans="2:99">
      <c r="C59" s="99" t="s">
        <v>225</v>
      </c>
      <c r="D59" s="100">
        <v>5</v>
      </c>
      <c r="E59" s="100">
        <v>1517.9999999999998</v>
      </c>
      <c r="F59" s="100">
        <v>5</v>
      </c>
      <c r="G59" s="100">
        <v>1517.9999999999998</v>
      </c>
      <c r="H59" s="100">
        <v>5</v>
      </c>
      <c r="I59" s="100">
        <v>1517.9999999999998</v>
      </c>
      <c r="J59" s="100">
        <v>5</v>
      </c>
      <c r="K59" s="100">
        <v>1517.9999999999998</v>
      </c>
      <c r="L59" s="100">
        <v>6</v>
      </c>
      <c r="M59" s="100">
        <v>1821.6</v>
      </c>
      <c r="N59" s="100">
        <v>4.8684613197515834</v>
      </c>
      <c r="O59" s="100">
        <v>1478.0648566765806</v>
      </c>
      <c r="P59" s="100">
        <v>1.9392569966126418</v>
      </c>
      <c r="Q59" s="100">
        <v>588.75842417159799</v>
      </c>
      <c r="R59" s="100">
        <v>4.0416022940534591</v>
      </c>
      <c r="S59" s="100">
        <v>1227.03045647463</v>
      </c>
      <c r="T59" s="100">
        <v>5.4378041482749655</v>
      </c>
      <c r="U59" s="100">
        <v>1650.9173394162794</v>
      </c>
      <c r="V59" s="100">
        <v>7</v>
      </c>
      <c r="W59" s="100">
        <v>2125.1999999999998</v>
      </c>
      <c r="X59" s="100">
        <v>5.1191209285385355</v>
      </c>
      <c r="Y59" s="100">
        <v>1554.1651139042992</v>
      </c>
      <c r="Z59" s="100">
        <v>5</v>
      </c>
      <c r="AA59" s="100">
        <v>1517.9999999999998</v>
      </c>
      <c r="AB59" s="100">
        <v>4</v>
      </c>
      <c r="AC59" s="100">
        <v>1214.3999999999999</v>
      </c>
      <c r="AD59" s="100">
        <v>5.6513808012091182</v>
      </c>
      <c r="AE59" s="100">
        <v>1715.7592112470882</v>
      </c>
      <c r="AF59" s="100">
        <v>6.1043523650207749</v>
      </c>
      <c r="AG59" s="100">
        <v>1853.2813780203071</v>
      </c>
      <c r="AH59" s="100">
        <v>3.1897137247722367</v>
      </c>
      <c r="AI59" s="100">
        <v>968.39708684085099</v>
      </c>
      <c r="AJ59" s="100">
        <v>5</v>
      </c>
      <c r="AK59" s="100">
        <v>1517.9999999999998</v>
      </c>
      <c r="AL59" s="100">
        <v>5.4968781800457709</v>
      </c>
      <c r="AM59" s="100">
        <v>1668.8522154618959</v>
      </c>
      <c r="AN59" s="100">
        <v>2.0219265717391122</v>
      </c>
      <c r="AO59" s="100">
        <v>613.85690717999444</v>
      </c>
      <c r="AP59" s="100">
        <v>6</v>
      </c>
      <c r="AQ59" s="100">
        <v>1821.6</v>
      </c>
      <c r="AR59" s="100">
        <v>7</v>
      </c>
      <c r="AS59" s="100">
        <v>2125.1999999999998</v>
      </c>
      <c r="AT59" s="100">
        <v>6</v>
      </c>
      <c r="AU59" s="100">
        <v>1821.6</v>
      </c>
      <c r="AV59" s="100">
        <v>5.9632905188267049</v>
      </c>
      <c r="AW59" s="100">
        <v>1810.4550015157874</v>
      </c>
      <c r="AX59" s="100">
        <v>4.7114697747912961</v>
      </c>
      <c r="AY59" s="100">
        <v>1430.4022236266374</v>
      </c>
      <c r="AZ59" s="100">
        <v>4.2057013649226667</v>
      </c>
      <c r="BA59" s="100">
        <v>1276.8509343905214</v>
      </c>
      <c r="BB59" s="100">
        <v>0.91723838708241501</v>
      </c>
      <c r="BC59" s="100">
        <v>278.47357431822115</v>
      </c>
      <c r="BD59" s="100">
        <v>4</v>
      </c>
      <c r="BE59" s="100">
        <v>1214.3999999999999</v>
      </c>
      <c r="BF59" s="100">
        <v>4</v>
      </c>
      <c r="BG59" s="100">
        <v>1214.3999999999999</v>
      </c>
      <c r="BH59" s="100">
        <v>5.3885568960348538</v>
      </c>
      <c r="BI59" s="100">
        <v>1635.9658736361814</v>
      </c>
      <c r="BJ59" s="100">
        <v>1.056865863420934</v>
      </c>
      <c r="BK59" s="100">
        <v>320.86447613459552</v>
      </c>
      <c r="BL59" s="100">
        <v>5</v>
      </c>
      <c r="BM59" s="100">
        <v>1517.9999999999998</v>
      </c>
      <c r="BN59" s="100">
        <v>5</v>
      </c>
      <c r="BO59" s="100">
        <v>1517.9999999999998</v>
      </c>
      <c r="BP59" s="100">
        <v>4</v>
      </c>
      <c r="BQ59" s="100">
        <v>1214.3999999999999</v>
      </c>
      <c r="BR59" s="100">
        <v>6.1730846924656433</v>
      </c>
      <c r="BS59" s="100">
        <v>1874.148512632569</v>
      </c>
      <c r="BT59" s="100">
        <v>0.55826247546495378</v>
      </c>
      <c r="BU59" s="100">
        <v>169.48848755115995</v>
      </c>
      <c r="BV59" s="100">
        <v>3.2295413117930312</v>
      </c>
      <c r="BW59" s="100">
        <v>980.48874226036412</v>
      </c>
      <c r="BX59" s="100">
        <v>4</v>
      </c>
      <c r="BY59" s="100">
        <v>1214.3999999999999</v>
      </c>
      <c r="BZ59" s="100">
        <v>4</v>
      </c>
      <c r="CA59" s="100">
        <v>1214.3999999999999</v>
      </c>
      <c r="CB59" s="100">
        <v>5.5129213167500453</v>
      </c>
      <c r="CC59" s="100">
        <v>1673.7229117653135</v>
      </c>
      <c r="CD59" s="100">
        <v>4.3271812772134872</v>
      </c>
      <c r="CE59" s="100">
        <v>1313.7322357620146</v>
      </c>
      <c r="CF59" s="100">
        <v>3.1668643498159333E-4</v>
      </c>
      <c r="CG59" s="100">
        <v>9.614600166041172E-2</v>
      </c>
      <c r="CH59" s="100">
        <v>7</v>
      </c>
      <c r="CI59" s="100">
        <v>2125.1999999999998</v>
      </c>
      <c r="CJ59" s="100">
        <v>6</v>
      </c>
      <c r="CK59" s="100">
        <v>1821.6</v>
      </c>
      <c r="CL59" s="100">
        <v>4</v>
      </c>
      <c r="CM59" s="100">
        <v>1214.3999999999999</v>
      </c>
      <c r="CN59" s="100">
        <v>4</v>
      </c>
      <c r="CO59" s="100">
        <v>1214.3999999999999</v>
      </c>
      <c r="CP59" s="100">
        <v>6</v>
      </c>
      <c r="CQ59" s="100">
        <v>1821.6</v>
      </c>
      <c r="CR59" s="100">
        <v>6</v>
      </c>
      <c r="CS59" s="100">
        <v>1821.6</v>
      </c>
      <c r="CT59" s="100">
        <v>3.5813625011902412</v>
      </c>
      <c r="CU59" s="100">
        <v>1087.301655361357</v>
      </c>
    </row>
    <row r="60" spans="2:99">
      <c r="C60" s="99" t="s">
        <v>226</v>
      </c>
      <c r="D60" s="100">
        <v>4</v>
      </c>
      <c r="E60" s="100">
        <v>2606.4</v>
      </c>
      <c r="F60" s="100">
        <v>5</v>
      </c>
      <c r="G60" s="100">
        <v>3258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4.8684613197515834</v>
      </c>
      <c r="O60" s="100">
        <v>3172.2893959501316</v>
      </c>
      <c r="P60" s="100">
        <v>1.6622202828108359</v>
      </c>
      <c r="Q60" s="100">
        <v>1083.1027362795407</v>
      </c>
      <c r="R60" s="100">
        <v>4.0416022940534591</v>
      </c>
      <c r="S60" s="100">
        <v>2633.5080548052342</v>
      </c>
      <c r="T60" s="100">
        <v>6.3441048396541264</v>
      </c>
      <c r="U60" s="100">
        <v>4133.818713518629</v>
      </c>
      <c r="V60" s="100">
        <v>7</v>
      </c>
      <c r="W60" s="100">
        <v>4561.2</v>
      </c>
      <c r="X60" s="100">
        <v>6.1042308124712186</v>
      </c>
      <c r="Y60" s="100">
        <v>3977.516797406246</v>
      </c>
      <c r="Z60" s="100">
        <v>5</v>
      </c>
      <c r="AA60" s="100">
        <v>3258</v>
      </c>
      <c r="AB60" s="100">
        <v>4</v>
      </c>
      <c r="AC60" s="100">
        <v>2606.4</v>
      </c>
      <c r="AD60" s="100">
        <v>4.7094840010075991</v>
      </c>
      <c r="AE60" s="100">
        <v>3068.6997750565515</v>
      </c>
      <c r="AF60" s="100">
        <v>5.0853792077442703</v>
      </c>
      <c r="AG60" s="100">
        <v>3313.6330917661667</v>
      </c>
      <c r="AH60" s="100">
        <v>3.1897137247722367</v>
      </c>
      <c r="AI60" s="100">
        <v>2078.4174630615894</v>
      </c>
      <c r="AJ60" s="100">
        <v>5</v>
      </c>
      <c r="AK60" s="100">
        <v>3258</v>
      </c>
      <c r="AL60" s="100">
        <v>6.4471903620411943</v>
      </c>
      <c r="AM60" s="100">
        <v>4200.9892399060427</v>
      </c>
      <c r="AN60" s="100">
        <v>2.0219265717391122</v>
      </c>
      <c r="AO60" s="100">
        <v>1317.4873541452055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5</v>
      </c>
      <c r="AU60" s="100">
        <v>3258</v>
      </c>
      <c r="AV60" s="100">
        <v>5.9632905188267049</v>
      </c>
      <c r="AW60" s="100">
        <v>3885.6801020674811</v>
      </c>
      <c r="AX60" s="100">
        <v>4.7114697747912961</v>
      </c>
      <c r="AY60" s="100">
        <v>3069.9937052540085</v>
      </c>
      <c r="AZ60" s="100">
        <v>4.1744870235670986</v>
      </c>
      <c r="BA60" s="100">
        <v>2720.0957445563217</v>
      </c>
      <c r="BB60" s="100">
        <v>1.1465479838530188</v>
      </c>
      <c r="BC60" s="100">
        <v>747.09066627862705</v>
      </c>
      <c r="BD60" s="100">
        <v>4</v>
      </c>
      <c r="BE60" s="100">
        <v>2606.4</v>
      </c>
      <c r="BF60" s="100">
        <v>4</v>
      </c>
      <c r="BG60" s="100">
        <v>2606.4</v>
      </c>
      <c r="BH60" s="100">
        <v>4.4371265080392099</v>
      </c>
      <c r="BI60" s="100">
        <v>2891.2316326383493</v>
      </c>
      <c r="BJ60" s="100">
        <v>1.3210823292761675</v>
      </c>
      <c r="BK60" s="100">
        <v>860.81724575635076</v>
      </c>
      <c r="BL60" s="100">
        <v>4</v>
      </c>
      <c r="BM60" s="100">
        <v>2606.4</v>
      </c>
      <c r="BN60" s="100">
        <v>5</v>
      </c>
      <c r="BO60" s="100">
        <v>3258</v>
      </c>
      <c r="BP60" s="100">
        <v>3</v>
      </c>
      <c r="BQ60" s="100">
        <v>1954.8000000000002</v>
      </c>
      <c r="BR60" s="100">
        <v>7.1730846924656433</v>
      </c>
      <c r="BS60" s="100">
        <v>4673.9819856106133</v>
      </c>
      <c r="BT60" s="100">
        <v>0.56309746703963426</v>
      </c>
      <c r="BU60" s="100">
        <v>366.91430952302568</v>
      </c>
      <c r="BV60" s="100">
        <v>3.2295413117930312</v>
      </c>
      <c r="BW60" s="100">
        <v>2104.369118764339</v>
      </c>
      <c r="BX60" s="100">
        <v>4</v>
      </c>
      <c r="BY60" s="100">
        <v>2606.4</v>
      </c>
      <c r="BZ60" s="100">
        <v>3</v>
      </c>
      <c r="CA60" s="100">
        <v>1954.8000000000002</v>
      </c>
      <c r="CB60" s="100">
        <v>5.5129213167500453</v>
      </c>
      <c r="CC60" s="100">
        <v>3592.2195299943296</v>
      </c>
      <c r="CD60" s="100">
        <v>4.3271812772134872</v>
      </c>
      <c r="CE60" s="100">
        <v>2819.5913202323086</v>
      </c>
      <c r="CF60" s="100">
        <v>3.1668643498159333E-4</v>
      </c>
      <c r="CG60" s="100">
        <v>0.20635288103400623</v>
      </c>
      <c r="CH60" s="100">
        <v>6</v>
      </c>
      <c r="CI60" s="100">
        <v>3909.6000000000004</v>
      </c>
      <c r="CJ60" s="100">
        <v>6</v>
      </c>
      <c r="CK60" s="100">
        <v>3909.6000000000004</v>
      </c>
      <c r="CL60" s="100">
        <v>4</v>
      </c>
      <c r="CM60" s="100">
        <v>2606.4</v>
      </c>
      <c r="CN60" s="100">
        <v>4</v>
      </c>
      <c r="CO60" s="100">
        <v>2606.4</v>
      </c>
      <c r="CP60" s="100">
        <v>6</v>
      </c>
      <c r="CQ60" s="100">
        <v>3909.6000000000004</v>
      </c>
      <c r="CR60" s="100">
        <v>6</v>
      </c>
      <c r="CS60" s="100">
        <v>3909.6000000000004</v>
      </c>
      <c r="CT60" s="100">
        <v>3.5813625011902412</v>
      </c>
      <c r="CU60" s="100">
        <v>2333.6158057755611</v>
      </c>
    </row>
    <row r="61" spans="2:99">
      <c r="C61" s="99" t="s">
        <v>227</v>
      </c>
      <c r="D61" s="100">
        <v>4</v>
      </c>
      <c r="E61" s="100">
        <v>3806.3999999999996</v>
      </c>
      <c r="F61" s="100">
        <v>5</v>
      </c>
      <c r="G61" s="100">
        <v>4758</v>
      </c>
      <c r="H61" s="100">
        <v>4</v>
      </c>
      <c r="I61" s="100">
        <v>3806.3999999999996</v>
      </c>
      <c r="J61" s="100">
        <v>5</v>
      </c>
      <c r="K61" s="100">
        <v>4758</v>
      </c>
      <c r="L61" s="100">
        <v>6</v>
      </c>
      <c r="M61" s="100">
        <v>5709.5999999999995</v>
      </c>
      <c r="N61" s="100">
        <v>4.8684613197515834</v>
      </c>
      <c r="O61" s="100">
        <v>4632.8277918756066</v>
      </c>
      <c r="P61" s="100">
        <v>1.6622202828108359</v>
      </c>
      <c r="Q61" s="100">
        <v>1581.7688211227912</v>
      </c>
      <c r="R61" s="100">
        <v>4.0356591091886793</v>
      </c>
      <c r="S61" s="100">
        <v>3840.3332083039468</v>
      </c>
      <c r="T61" s="100">
        <v>5.4378041482749655</v>
      </c>
      <c r="U61" s="100">
        <v>5174.6144274984563</v>
      </c>
      <c r="V61" s="100">
        <v>6</v>
      </c>
      <c r="W61" s="100">
        <v>5709.5999999999995</v>
      </c>
      <c r="X61" s="100">
        <v>5.1042308124712186</v>
      </c>
      <c r="Y61" s="100">
        <v>4857.1860411476109</v>
      </c>
      <c r="Z61" s="100">
        <v>6</v>
      </c>
      <c r="AA61" s="100">
        <v>5709.5999999999995</v>
      </c>
      <c r="AB61" s="100">
        <v>4</v>
      </c>
      <c r="AC61" s="100">
        <v>3806.3999999999996</v>
      </c>
      <c r="AD61" s="100">
        <v>5.6513808012091182</v>
      </c>
      <c r="AE61" s="100">
        <v>5377.8539704305967</v>
      </c>
      <c r="AF61" s="100">
        <v>6.0948657863825231</v>
      </c>
      <c r="AG61" s="100">
        <v>5799.874282321608</v>
      </c>
      <c r="AH61" s="100">
        <v>3.1897137247722367</v>
      </c>
      <c r="AI61" s="100">
        <v>3035.3315804932599</v>
      </c>
      <c r="AJ61" s="100">
        <v>5</v>
      </c>
      <c r="AK61" s="100">
        <v>4758</v>
      </c>
      <c r="AL61" s="100">
        <v>5.4968781800457709</v>
      </c>
      <c r="AM61" s="100">
        <v>5230.8292761315552</v>
      </c>
      <c r="AN61" s="100">
        <v>2.0219265717391122</v>
      </c>
      <c r="AO61" s="100">
        <v>1924.0653256669389</v>
      </c>
      <c r="AP61" s="100">
        <v>6</v>
      </c>
      <c r="AQ61" s="100">
        <v>5709.5999999999995</v>
      </c>
      <c r="AR61" s="100">
        <v>7</v>
      </c>
      <c r="AS61" s="100">
        <v>6661.1999999999989</v>
      </c>
      <c r="AT61" s="100">
        <v>6</v>
      </c>
      <c r="AU61" s="100">
        <v>5709.5999999999995</v>
      </c>
      <c r="AV61" s="100">
        <v>5.9632905188267049</v>
      </c>
      <c r="AW61" s="100">
        <v>5674.6672577154923</v>
      </c>
      <c r="AX61" s="100">
        <v>4.7114697747912961</v>
      </c>
      <c r="AY61" s="100">
        <v>4483.4346376913973</v>
      </c>
      <c r="AZ61" s="100">
        <v>4.2057013649226667</v>
      </c>
      <c r="BA61" s="100">
        <v>4002.1454188604093</v>
      </c>
      <c r="BB61" s="100">
        <v>1.1465479838530188</v>
      </c>
      <c r="BC61" s="100">
        <v>1091.0550614345325</v>
      </c>
      <c r="BD61" s="100">
        <v>4</v>
      </c>
      <c r="BE61" s="100">
        <v>3806.3999999999996</v>
      </c>
      <c r="BF61" s="100">
        <v>4</v>
      </c>
      <c r="BG61" s="100">
        <v>3806.3999999999996</v>
      </c>
      <c r="BH61" s="100">
        <v>5.4371265080392099</v>
      </c>
      <c r="BI61" s="100">
        <v>5173.9695850501121</v>
      </c>
      <c r="BJ61" s="100">
        <v>1.3210823292761675</v>
      </c>
      <c r="BK61" s="100">
        <v>1257.1419445392009</v>
      </c>
      <c r="BL61" s="100">
        <v>5</v>
      </c>
      <c r="BM61" s="100">
        <v>4758</v>
      </c>
      <c r="BN61" s="100">
        <v>5</v>
      </c>
      <c r="BO61" s="100">
        <v>4758</v>
      </c>
      <c r="BP61" s="100">
        <v>4</v>
      </c>
      <c r="BQ61" s="100">
        <v>3806.3999999999996</v>
      </c>
      <c r="BR61" s="100">
        <v>6.1730846924656433</v>
      </c>
      <c r="BS61" s="100">
        <v>5874.3073933503056</v>
      </c>
      <c r="BT61" s="100">
        <v>0.55342748389027341</v>
      </c>
      <c r="BU61" s="100">
        <v>526.6415936699841</v>
      </c>
      <c r="BV61" s="100">
        <v>3.2295413117930312</v>
      </c>
      <c r="BW61" s="100">
        <v>3073.2315123022481</v>
      </c>
      <c r="BX61" s="100">
        <v>4</v>
      </c>
      <c r="BY61" s="100">
        <v>3806.3999999999996</v>
      </c>
      <c r="BZ61" s="100">
        <v>4</v>
      </c>
      <c r="CA61" s="100">
        <v>3806.3999999999996</v>
      </c>
      <c r="CB61" s="100">
        <v>4.4662921061364047</v>
      </c>
      <c r="CC61" s="100">
        <v>4250.1235681994021</v>
      </c>
      <c r="CD61" s="100">
        <v>4.3271812772134872</v>
      </c>
      <c r="CE61" s="100">
        <v>4117.7457033963537</v>
      </c>
      <c r="CF61" s="100">
        <v>3.1668643498159333E-4</v>
      </c>
      <c r="CG61" s="100">
        <v>0.30135881152848421</v>
      </c>
      <c r="CH61" s="100">
        <v>6</v>
      </c>
      <c r="CI61" s="100">
        <v>5709.5999999999995</v>
      </c>
      <c r="CJ61" s="100">
        <v>6</v>
      </c>
      <c r="CK61" s="100">
        <v>5709.5999999999995</v>
      </c>
      <c r="CL61" s="100">
        <v>3</v>
      </c>
      <c r="CM61" s="100">
        <v>2854.7999999999997</v>
      </c>
      <c r="CN61" s="100">
        <v>5</v>
      </c>
      <c r="CO61" s="100">
        <v>4758</v>
      </c>
      <c r="CP61" s="100">
        <v>6</v>
      </c>
      <c r="CQ61" s="100">
        <v>5709.5999999999995</v>
      </c>
      <c r="CR61" s="100">
        <v>6</v>
      </c>
      <c r="CS61" s="100">
        <v>5709.5999999999995</v>
      </c>
      <c r="CT61" s="100">
        <v>3.5813625011902412</v>
      </c>
      <c r="CU61" s="100">
        <v>3408.0245561326333</v>
      </c>
    </row>
    <row r="62" spans="2:99">
      <c r="C62" s="99" t="s">
        <v>228</v>
      </c>
      <c r="D62" s="100">
        <v>1.229825687073234</v>
      </c>
      <c r="E62" s="100">
        <v>2052.8250368626423</v>
      </c>
      <c r="F62" s="100">
        <v>5</v>
      </c>
      <c r="G62" s="100">
        <v>8346</v>
      </c>
      <c r="H62" s="100">
        <v>3.3556841739576613</v>
      </c>
      <c r="I62" s="100">
        <v>5601.3080231701288</v>
      </c>
      <c r="J62" s="100">
        <v>5</v>
      </c>
      <c r="K62" s="100">
        <v>8346</v>
      </c>
      <c r="L62" s="100">
        <v>6</v>
      </c>
      <c r="M62" s="100">
        <v>10015.200000000001</v>
      </c>
      <c r="N62" s="100">
        <v>5</v>
      </c>
      <c r="O62" s="100">
        <v>8346</v>
      </c>
      <c r="P62" s="100">
        <v>6</v>
      </c>
      <c r="Q62" s="100">
        <v>10015.200000000001</v>
      </c>
      <c r="R62" s="100">
        <v>3</v>
      </c>
      <c r="S62" s="100">
        <v>5007.6000000000004</v>
      </c>
      <c r="T62" s="100">
        <v>6</v>
      </c>
      <c r="U62" s="100">
        <v>10015.200000000001</v>
      </c>
      <c r="V62" s="100">
        <v>7</v>
      </c>
      <c r="W62" s="100">
        <v>11684.4</v>
      </c>
      <c r="X62" s="100">
        <v>6</v>
      </c>
      <c r="Y62" s="100">
        <v>10015.200000000001</v>
      </c>
      <c r="Z62" s="100">
        <v>5.0515152718454548</v>
      </c>
      <c r="AA62" s="100">
        <v>8431.9892917644338</v>
      </c>
      <c r="AB62" s="100">
        <v>0.46542149537780481</v>
      </c>
      <c r="AC62" s="100">
        <v>776.88156008463181</v>
      </c>
      <c r="AD62" s="100">
        <v>5.0823225672182017</v>
      </c>
      <c r="AE62" s="100">
        <v>8483.4128292006226</v>
      </c>
      <c r="AF62" s="100">
        <v>4.9999999999999973</v>
      </c>
      <c r="AG62" s="100">
        <v>8345.9999999999964</v>
      </c>
      <c r="AH62" s="100">
        <v>5.2988487743754407</v>
      </c>
      <c r="AI62" s="100">
        <v>8844.8383741874859</v>
      </c>
      <c r="AJ62" s="100">
        <v>4.7527464641560098</v>
      </c>
      <c r="AK62" s="100">
        <v>7933.2843979692116</v>
      </c>
      <c r="AL62" s="100">
        <v>5</v>
      </c>
      <c r="AM62" s="100">
        <v>8346</v>
      </c>
      <c r="AN62" s="100">
        <v>5</v>
      </c>
      <c r="AO62" s="100">
        <v>8346</v>
      </c>
      <c r="AP62" s="100">
        <v>5</v>
      </c>
      <c r="AQ62" s="100">
        <v>8346</v>
      </c>
      <c r="AR62" s="100">
        <v>6</v>
      </c>
      <c r="AS62" s="100">
        <v>10015.200000000001</v>
      </c>
      <c r="AT62" s="100">
        <v>5</v>
      </c>
      <c r="AU62" s="100">
        <v>8346</v>
      </c>
      <c r="AV62" s="100">
        <v>4.2867932256960204</v>
      </c>
      <c r="AW62" s="100">
        <v>7155.5152523317975</v>
      </c>
      <c r="AX62" s="100">
        <v>5.4545454545454533</v>
      </c>
      <c r="AY62" s="100">
        <v>9104.7272727272702</v>
      </c>
      <c r="AZ62" s="100">
        <v>5.2941176470588216</v>
      </c>
      <c r="BA62" s="100">
        <v>8836.9411764705856</v>
      </c>
      <c r="BB62" s="100">
        <v>3.0379746835443031</v>
      </c>
      <c r="BC62" s="100">
        <v>5070.987341772151</v>
      </c>
      <c r="BD62" s="100">
        <v>4</v>
      </c>
      <c r="BE62" s="100">
        <v>6676.8</v>
      </c>
      <c r="BF62" s="100">
        <v>3.1463414634146321</v>
      </c>
      <c r="BG62" s="100">
        <v>5251.8731707317038</v>
      </c>
      <c r="BH62" s="100">
        <v>3.7499999999999982</v>
      </c>
      <c r="BI62" s="100">
        <v>6259.4999999999973</v>
      </c>
      <c r="BJ62" s="100">
        <v>3.2327755622084378</v>
      </c>
      <c r="BK62" s="100">
        <v>5396.1489684383241</v>
      </c>
      <c r="BL62" s="100">
        <v>0.482968705651385</v>
      </c>
      <c r="BM62" s="100">
        <v>806.17136347329188</v>
      </c>
      <c r="BN62" s="100">
        <v>5</v>
      </c>
      <c r="BO62" s="100">
        <v>8346</v>
      </c>
      <c r="BP62" s="100">
        <v>3</v>
      </c>
      <c r="BQ62" s="100">
        <v>5007.6000000000004</v>
      </c>
      <c r="BR62" s="100">
        <v>6</v>
      </c>
      <c r="BS62" s="100">
        <v>10015.200000000001</v>
      </c>
      <c r="BT62" s="100">
        <v>3</v>
      </c>
      <c r="BU62" s="100">
        <v>5007.6000000000004</v>
      </c>
      <c r="BV62" s="100">
        <v>3.446280991735537</v>
      </c>
      <c r="BW62" s="100">
        <v>5752.532231404959</v>
      </c>
      <c r="BX62" s="100">
        <v>0.86030412129284606</v>
      </c>
      <c r="BY62" s="100">
        <v>1436.0196392620187</v>
      </c>
      <c r="BZ62" s="100">
        <v>3</v>
      </c>
      <c r="CA62" s="100">
        <v>5007.6000000000004</v>
      </c>
      <c r="CB62" s="100">
        <v>4</v>
      </c>
      <c r="CC62" s="100">
        <v>6676.8</v>
      </c>
      <c r="CD62" s="100">
        <v>5.2048665475510694</v>
      </c>
      <c r="CE62" s="100">
        <v>8687.963241172245</v>
      </c>
      <c r="CF62" s="100">
        <v>1.9764289266866413</v>
      </c>
      <c r="CG62" s="100">
        <v>3299.0551644253419</v>
      </c>
      <c r="CH62" s="100">
        <v>6.2579848695848543</v>
      </c>
      <c r="CI62" s="100">
        <v>10445.828344311039</v>
      </c>
      <c r="CJ62" s="100">
        <v>5.2625923746902208</v>
      </c>
      <c r="CK62" s="100">
        <v>8784.3191918329176</v>
      </c>
      <c r="CL62" s="100">
        <v>3.1154606952992436</v>
      </c>
      <c r="CM62" s="100">
        <v>5200.3269925934974</v>
      </c>
      <c r="CN62" s="100">
        <v>3.4300215849272875</v>
      </c>
      <c r="CO62" s="100">
        <v>5725.3920295606285</v>
      </c>
      <c r="CP62" s="100">
        <v>4.2618123460949606</v>
      </c>
      <c r="CQ62" s="100">
        <v>7113.8171681017084</v>
      </c>
      <c r="CR62" s="100">
        <v>0.29483880986829164</v>
      </c>
      <c r="CS62" s="100">
        <v>492.14494143215239</v>
      </c>
      <c r="CT62" s="100">
        <v>3.5556240960623673</v>
      </c>
      <c r="CU62" s="100">
        <v>5935.0477411473039</v>
      </c>
    </row>
    <row r="63" spans="2:99">
      <c r="C63" s="99" t="s">
        <v>229</v>
      </c>
      <c r="D63" s="100">
        <v>5</v>
      </c>
      <c r="E63" s="100">
        <v>3978</v>
      </c>
      <c r="F63" s="100">
        <v>5</v>
      </c>
      <c r="G63" s="100">
        <v>3978</v>
      </c>
      <c r="H63" s="100">
        <v>5</v>
      </c>
      <c r="I63" s="100">
        <v>3978</v>
      </c>
      <c r="J63" s="100">
        <v>5</v>
      </c>
      <c r="K63" s="100">
        <v>3978</v>
      </c>
      <c r="L63" s="100">
        <v>7</v>
      </c>
      <c r="M63" s="100">
        <v>5569.2</v>
      </c>
      <c r="N63" s="100">
        <v>4.8684613197515834</v>
      </c>
      <c r="O63" s="100">
        <v>3873.3478259943599</v>
      </c>
      <c r="P63" s="100">
        <v>1.6622202828108359</v>
      </c>
      <c r="Q63" s="100">
        <v>1322.4624570043011</v>
      </c>
      <c r="R63" s="100">
        <v>4.0356591091886793</v>
      </c>
      <c r="S63" s="100">
        <v>3210.7703872705133</v>
      </c>
      <c r="T63" s="100">
        <v>5.4378041482749655</v>
      </c>
      <c r="U63" s="100">
        <v>4326.3169803675628</v>
      </c>
      <c r="V63" s="100">
        <v>6</v>
      </c>
      <c r="W63" s="100">
        <v>4773.6000000000004</v>
      </c>
      <c r="X63" s="100">
        <v>5.1191209285385355</v>
      </c>
      <c r="Y63" s="100">
        <v>4072.772610745259</v>
      </c>
      <c r="Z63" s="100">
        <v>6</v>
      </c>
      <c r="AA63" s="100">
        <v>4773.6000000000004</v>
      </c>
      <c r="AB63" s="100">
        <v>4</v>
      </c>
      <c r="AC63" s="100">
        <v>3182.4</v>
      </c>
      <c r="AD63" s="100">
        <v>4.7094840010075991</v>
      </c>
      <c r="AE63" s="100">
        <v>3746.865471201646</v>
      </c>
      <c r="AF63" s="100">
        <v>6.0853792077442703</v>
      </c>
      <c r="AG63" s="100">
        <v>4841.527697681342</v>
      </c>
      <c r="AH63" s="100">
        <v>3.1897137247722367</v>
      </c>
      <c r="AI63" s="100">
        <v>2537.7362394287916</v>
      </c>
      <c r="AJ63" s="100">
        <v>5</v>
      </c>
      <c r="AK63" s="100">
        <v>3978</v>
      </c>
      <c r="AL63" s="100">
        <v>6.4471903620411943</v>
      </c>
      <c r="AM63" s="100">
        <v>5129.3846520399748</v>
      </c>
      <c r="AN63" s="100">
        <v>2.0219265717391122</v>
      </c>
      <c r="AO63" s="100">
        <v>1608.6447804756376</v>
      </c>
      <c r="AP63" s="100">
        <v>6</v>
      </c>
      <c r="AQ63" s="100">
        <v>4773.6000000000004</v>
      </c>
      <c r="AR63" s="100">
        <v>6</v>
      </c>
      <c r="AS63" s="100">
        <v>4773.6000000000004</v>
      </c>
      <c r="AT63" s="100">
        <v>6</v>
      </c>
      <c r="AU63" s="100">
        <v>4773.6000000000004</v>
      </c>
      <c r="AV63" s="100">
        <v>6.9571722719644891</v>
      </c>
      <c r="AW63" s="100">
        <v>5535.1262595749477</v>
      </c>
      <c r="AX63" s="100">
        <v>4.7114697747912961</v>
      </c>
      <c r="AY63" s="100">
        <v>3748.4453528239551</v>
      </c>
      <c r="AZ63" s="100">
        <v>4.8338181292467857</v>
      </c>
      <c r="BA63" s="100">
        <v>3845.7857036287428</v>
      </c>
      <c r="BB63" s="100">
        <v>1.1465479838530188</v>
      </c>
      <c r="BC63" s="100">
        <v>912.19357595346185</v>
      </c>
      <c r="BD63" s="100">
        <v>4</v>
      </c>
      <c r="BE63" s="100">
        <v>3182.4</v>
      </c>
      <c r="BF63" s="100">
        <v>5</v>
      </c>
      <c r="BG63" s="100">
        <v>3978</v>
      </c>
      <c r="BH63" s="100">
        <v>4.3399872840304967</v>
      </c>
      <c r="BI63" s="100">
        <v>3452.8938831746632</v>
      </c>
      <c r="BJ63" s="100">
        <v>1.056865863420934</v>
      </c>
      <c r="BK63" s="100">
        <v>840.84248093769509</v>
      </c>
      <c r="BL63" s="100">
        <v>4</v>
      </c>
      <c r="BM63" s="100">
        <v>3182.4</v>
      </c>
      <c r="BN63" s="100">
        <v>5</v>
      </c>
      <c r="BO63" s="100">
        <v>3978</v>
      </c>
      <c r="BP63" s="100">
        <v>4</v>
      </c>
      <c r="BQ63" s="100">
        <v>3182.4</v>
      </c>
      <c r="BR63" s="100">
        <v>7.1730846924656433</v>
      </c>
      <c r="BS63" s="100">
        <v>5706.9061813256658</v>
      </c>
      <c r="BT63" s="100">
        <v>0.56309746703963426</v>
      </c>
      <c r="BU63" s="100">
        <v>448.00034477673302</v>
      </c>
      <c r="BV63" s="100">
        <v>3.2295413117930312</v>
      </c>
      <c r="BW63" s="100">
        <v>2569.4230676625357</v>
      </c>
      <c r="BX63" s="100">
        <v>4</v>
      </c>
      <c r="BY63" s="100">
        <v>3182.4</v>
      </c>
      <c r="BZ63" s="100">
        <v>4</v>
      </c>
      <c r="CA63" s="100">
        <v>3182.4</v>
      </c>
      <c r="CB63" s="100">
        <v>4.4662921061364047</v>
      </c>
      <c r="CC63" s="100">
        <v>3553.3819996421239</v>
      </c>
      <c r="CD63" s="100">
        <v>4.3271812772134872</v>
      </c>
      <c r="CE63" s="100">
        <v>3442.7054241510505</v>
      </c>
      <c r="CF63" s="100">
        <v>2.5334914798527469E-4</v>
      </c>
      <c r="CG63" s="100">
        <v>0.20156458213708456</v>
      </c>
      <c r="CH63" s="100">
        <v>6</v>
      </c>
      <c r="CI63" s="100">
        <v>4773.6000000000004</v>
      </c>
      <c r="CJ63" s="100">
        <v>6</v>
      </c>
      <c r="CK63" s="100">
        <v>4773.6000000000004</v>
      </c>
      <c r="CL63" s="100">
        <v>4</v>
      </c>
      <c r="CM63" s="100">
        <v>3182.4</v>
      </c>
      <c r="CN63" s="100">
        <v>4</v>
      </c>
      <c r="CO63" s="100">
        <v>3182.4</v>
      </c>
      <c r="CP63" s="100">
        <v>6</v>
      </c>
      <c r="CQ63" s="100">
        <v>4773.6000000000004</v>
      </c>
      <c r="CR63" s="100">
        <v>6</v>
      </c>
      <c r="CS63" s="100">
        <v>4773.6000000000004</v>
      </c>
      <c r="CT63" s="100">
        <v>3.8110915337478031</v>
      </c>
      <c r="CU63" s="100">
        <v>3032.1044242497524</v>
      </c>
    </row>
    <row r="64" spans="2:99">
      <c r="C64" s="99" t="s">
        <v>230</v>
      </c>
      <c r="D64" s="100">
        <v>5</v>
      </c>
      <c r="E64" s="100">
        <v>5045.9999999999991</v>
      </c>
      <c r="F64" s="100">
        <v>5</v>
      </c>
      <c r="G64" s="100">
        <v>5045.9999999999991</v>
      </c>
      <c r="H64" s="100">
        <v>5</v>
      </c>
      <c r="I64" s="100">
        <v>5045.9999999999991</v>
      </c>
      <c r="J64" s="100">
        <v>4</v>
      </c>
      <c r="K64" s="100">
        <v>4036.7999999999993</v>
      </c>
      <c r="L64" s="100">
        <v>7</v>
      </c>
      <c r="M64" s="100">
        <v>7064.3999999999987</v>
      </c>
      <c r="N64" s="100">
        <v>4.8358562909867446</v>
      </c>
      <c r="O64" s="100">
        <v>4880.3461688638217</v>
      </c>
      <c r="P64" s="100">
        <v>1.6622202828108359</v>
      </c>
      <c r="Q64" s="100">
        <v>1677.5127094126954</v>
      </c>
      <c r="R64" s="100">
        <v>4.0416022940534591</v>
      </c>
      <c r="S64" s="100">
        <v>4078.7850351587504</v>
      </c>
      <c r="T64" s="100">
        <v>5.4378041482749655</v>
      </c>
      <c r="U64" s="100">
        <v>5487.8319464390943</v>
      </c>
      <c r="V64" s="100">
        <v>7</v>
      </c>
      <c r="W64" s="100">
        <v>7064.3999999999987</v>
      </c>
      <c r="X64" s="100">
        <v>5.1042308124712186</v>
      </c>
      <c r="Y64" s="100">
        <v>5151.1897359459526</v>
      </c>
      <c r="Z64" s="100">
        <v>6</v>
      </c>
      <c r="AA64" s="100">
        <v>6055.1999999999989</v>
      </c>
      <c r="AB64" s="100">
        <v>3</v>
      </c>
      <c r="AC64" s="100">
        <v>3027.5999999999995</v>
      </c>
      <c r="AD64" s="100">
        <v>5.6513808012091182</v>
      </c>
      <c r="AE64" s="100">
        <v>5703.3735045802414</v>
      </c>
      <c r="AF64" s="100">
        <v>5.0853792077442703</v>
      </c>
      <c r="AG64" s="100">
        <v>5132.1646964555166</v>
      </c>
      <c r="AH64" s="100">
        <v>3.1897137247722367</v>
      </c>
      <c r="AI64" s="100">
        <v>3219.0590910401406</v>
      </c>
      <c r="AJ64" s="100">
        <v>5</v>
      </c>
      <c r="AK64" s="100">
        <v>5045.9999999999991</v>
      </c>
      <c r="AL64" s="100">
        <v>6.4968781800457709</v>
      </c>
      <c r="AM64" s="100">
        <v>6556.6494593021907</v>
      </c>
      <c r="AN64" s="100">
        <v>2.0219265717391122</v>
      </c>
      <c r="AO64" s="100">
        <v>2040.5282961991115</v>
      </c>
      <c r="AP64" s="100">
        <v>6</v>
      </c>
      <c r="AQ64" s="100">
        <v>6055.1999999999989</v>
      </c>
      <c r="AR64" s="100">
        <v>6</v>
      </c>
      <c r="AS64" s="100">
        <v>6055.1999999999989</v>
      </c>
      <c r="AT64" s="100">
        <v>6</v>
      </c>
      <c r="AU64" s="100">
        <v>6055.1999999999989</v>
      </c>
      <c r="AV64" s="100">
        <v>5.9632905188267049</v>
      </c>
      <c r="AW64" s="100">
        <v>6018.1527915999095</v>
      </c>
      <c r="AX64" s="100">
        <v>4.7114697747912961</v>
      </c>
      <c r="AY64" s="100">
        <v>4754.8152967193755</v>
      </c>
      <c r="AZ64" s="100">
        <v>3.515155917887411</v>
      </c>
      <c r="BA64" s="100">
        <v>3547.4953523319746</v>
      </c>
      <c r="BB64" s="100">
        <v>0.91723838708241501</v>
      </c>
      <c r="BC64" s="100">
        <v>925.6769802435731</v>
      </c>
      <c r="BD64" s="100">
        <v>4</v>
      </c>
      <c r="BE64" s="100">
        <v>4036.7999999999993</v>
      </c>
      <c r="BF64" s="100">
        <v>4</v>
      </c>
      <c r="BG64" s="100">
        <v>4036.7999999999993</v>
      </c>
      <c r="BH64" s="100">
        <v>5.3885568960348538</v>
      </c>
      <c r="BI64" s="100">
        <v>5438.1316194783731</v>
      </c>
      <c r="BJ64" s="100">
        <v>1.056865863420934</v>
      </c>
      <c r="BK64" s="100">
        <v>1066.5890293644063</v>
      </c>
      <c r="BL64" s="100">
        <v>5</v>
      </c>
      <c r="BM64" s="100">
        <v>5045.9999999999991</v>
      </c>
      <c r="BN64" s="100">
        <v>5</v>
      </c>
      <c r="BO64" s="100">
        <v>5045.9999999999991</v>
      </c>
      <c r="BP64" s="100">
        <v>4</v>
      </c>
      <c r="BQ64" s="100">
        <v>4036.7999999999993</v>
      </c>
      <c r="BR64" s="100">
        <v>6.1730846924656433</v>
      </c>
      <c r="BS64" s="100">
        <v>6229.877071636326</v>
      </c>
      <c r="BT64" s="100">
        <v>0.55826247546495378</v>
      </c>
      <c r="BU64" s="100">
        <v>563.39849023923125</v>
      </c>
      <c r="BV64" s="100">
        <v>3.2295413117930312</v>
      </c>
      <c r="BW64" s="100">
        <v>3259.2530918615266</v>
      </c>
      <c r="BX64" s="100">
        <v>4</v>
      </c>
      <c r="BY64" s="100">
        <v>4036.7999999999993</v>
      </c>
      <c r="BZ64" s="100">
        <v>4</v>
      </c>
      <c r="CA64" s="100">
        <v>4036.7999999999993</v>
      </c>
      <c r="CB64" s="100">
        <v>5.4196628955227641</v>
      </c>
      <c r="CC64" s="100">
        <v>5469.5237941615724</v>
      </c>
      <c r="CD64" s="100">
        <v>4.3271812772134872</v>
      </c>
      <c r="CE64" s="100">
        <v>4366.9913449638507</v>
      </c>
      <c r="CF64" s="100">
        <v>3.1668643498159333E-4</v>
      </c>
      <c r="CG64" s="100">
        <v>0.31959995018342391</v>
      </c>
      <c r="CH64" s="100">
        <v>6</v>
      </c>
      <c r="CI64" s="100">
        <v>6055.1999999999989</v>
      </c>
      <c r="CJ64" s="100">
        <v>6</v>
      </c>
      <c r="CK64" s="100">
        <v>6055.1999999999989</v>
      </c>
      <c r="CL64" s="100">
        <v>4</v>
      </c>
      <c r="CM64" s="100">
        <v>4036.7999999999993</v>
      </c>
      <c r="CN64" s="100">
        <v>4</v>
      </c>
      <c r="CO64" s="100">
        <v>4036.7999999999993</v>
      </c>
      <c r="CP64" s="100">
        <v>7</v>
      </c>
      <c r="CQ64" s="100">
        <v>7064.3999999999987</v>
      </c>
      <c r="CR64" s="100">
        <v>6</v>
      </c>
      <c r="CS64" s="100">
        <v>6055.1999999999989</v>
      </c>
      <c r="CT64" s="100">
        <v>3.8110915337478031</v>
      </c>
      <c r="CU64" s="100">
        <v>3846.1535758582822</v>
      </c>
    </row>
    <row r="65" spans="2:99">
      <c r="C65" s="99" t="s">
        <v>231</v>
      </c>
      <c r="D65" s="100">
        <v>5</v>
      </c>
      <c r="E65" s="100">
        <v>5130</v>
      </c>
      <c r="F65" s="100">
        <v>5</v>
      </c>
      <c r="G65" s="100">
        <v>5130</v>
      </c>
      <c r="H65" s="100">
        <v>5</v>
      </c>
      <c r="I65" s="100">
        <v>5130</v>
      </c>
      <c r="J65" s="100">
        <v>5</v>
      </c>
      <c r="K65" s="100">
        <v>5130</v>
      </c>
      <c r="L65" s="100">
        <v>7</v>
      </c>
      <c r="M65" s="100">
        <v>7182</v>
      </c>
      <c r="N65" s="100">
        <v>4.8358562909867446</v>
      </c>
      <c r="O65" s="100">
        <v>4961.5885545523997</v>
      </c>
      <c r="P65" s="100">
        <v>1.6622202828108359</v>
      </c>
      <c r="Q65" s="100">
        <v>1705.4380101639176</v>
      </c>
      <c r="R65" s="100">
        <v>4.0356591091886793</v>
      </c>
      <c r="S65" s="100">
        <v>4140.5862460275848</v>
      </c>
      <c r="T65" s="100">
        <v>5.4378041482749655</v>
      </c>
      <c r="U65" s="100">
        <v>5579.1870561301148</v>
      </c>
      <c r="V65" s="100">
        <v>6</v>
      </c>
      <c r="W65" s="100">
        <v>6156</v>
      </c>
      <c r="X65" s="100">
        <v>6.1191209285385355</v>
      </c>
      <c r="Y65" s="100">
        <v>6278.2180726805373</v>
      </c>
      <c r="Z65" s="100">
        <v>5</v>
      </c>
      <c r="AA65" s="100">
        <v>5130</v>
      </c>
      <c r="AB65" s="100">
        <v>3</v>
      </c>
      <c r="AC65" s="100">
        <v>3078</v>
      </c>
      <c r="AD65" s="100">
        <v>4.7094840010075991</v>
      </c>
      <c r="AE65" s="100">
        <v>4831.9305850337969</v>
      </c>
      <c r="AF65" s="100">
        <v>5.0948657863825231</v>
      </c>
      <c r="AG65" s="100">
        <v>5227.3322968284683</v>
      </c>
      <c r="AH65" s="100">
        <v>3.1897137247722367</v>
      </c>
      <c r="AI65" s="100">
        <v>3272.6462816163148</v>
      </c>
      <c r="AJ65" s="100">
        <v>5</v>
      </c>
      <c r="AK65" s="100">
        <v>5130</v>
      </c>
      <c r="AL65" s="100">
        <v>5.4968781800457709</v>
      </c>
      <c r="AM65" s="100">
        <v>5639.7970127269609</v>
      </c>
      <c r="AN65" s="100">
        <v>2.0219265717391122</v>
      </c>
      <c r="AO65" s="100">
        <v>2074.4966626043292</v>
      </c>
      <c r="AP65" s="100">
        <v>6</v>
      </c>
      <c r="AQ65" s="100">
        <v>6156</v>
      </c>
      <c r="AR65" s="100">
        <v>6</v>
      </c>
      <c r="AS65" s="100">
        <v>6156</v>
      </c>
      <c r="AT65" s="100">
        <v>6</v>
      </c>
      <c r="AU65" s="100">
        <v>6156</v>
      </c>
      <c r="AV65" s="100">
        <v>5.9632905188267049</v>
      </c>
      <c r="AW65" s="100">
        <v>6118.3360723161995</v>
      </c>
      <c r="AX65" s="100">
        <v>4.0384026641068251</v>
      </c>
      <c r="AY65" s="100">
        <v>4143.4011333736025</v>
      </c>
      <c r="AZ65" s="100">
        <v>4.1744870235670986</v>
      </c>
      <c r="BA65" s="100">
        <v>4283.023686179843</v>
      </c>
      <c r="BB65" s="100">
        <v>0.91723838708241501</v>
      </c>
      <c r="BC65" s="100">
        <v>941.08658514655781</v>
      </c>
      <c r="BD65" s="100">
        <v>4</v>
      </c>
      <c r="BE65" s="100">
        <v>4104</v>
      </c>
      <c r="BF65" s="100">
        <v>5</v>
      </c>
      <c r="BG65" s="100">
        <v>5130</v>
      </c>
      <c r="BH65" s="100">
        <v>4.3885568960348538</v>
      </c>
      <c r="BI65" s="100">
        <v>4502.6593753317602</v>
      </c>
      <c r="BJ65" s="100">
        <v>1.3210823292761675</v>
      </c>
      <c r="BK65" s="100">
        <v>1355.4304698373478</v>
      </c>
      <c r="BL65" s="100">
        <v>5</v>
      </c>
      <c r="BM65" s="100">
        <v>5130</v>
      </c>
      <c r="BN65" s="100">
        <v>5</v>
      </c>
      <c r="BO65" s="100">
        <v>5130</v>
      </c>
      <c r="BP65" s="100">
        <v>3</v>
      </c>
      <c r="BQ65" s="100">
        <v>3078</v>
      </c>
      <c r="BR65" s="100">
        <v>7.1730846924656433</v>
      </c>
      <c r="BS65" s="100">
        <v>7359.58489446975</v>
      </c>
      <c r="BT65" s="100">
        <v>0.55342748389027341</v>
      </c>
      <c r="BU65" s="100">
        <v>567.81659847142055</v>
      </c>
      <c r="BV65" s="100">
        <v>2.4221559838447733</v>
      </c>
      <c r="BW65" s="100">
        <v>2485.1320394247373</v>
      </c>
      <c r="BX65" s="100">
        <v>4</v>
      </c>
      <c r="BY65" s="100">
        <v>4104</v>
      </c>
      <c r="BZ65" s="100">
        <v>4</v>
      </c>
      <c r="CA65" s="100">
        <v>4104</v>
      </c>
      <c r="CB65" s="100">
        <v>4.4196628955227641</v>
      </c>
      <c r="CC65" s="100">
        <v>4534.5741308063562</v>
      </c>
      <c r="CD65" s="100">
        <v>3.605984397677906</v>
      </c>
      <c r="CE65" s="100">
        <v>3699.7399920175317</v>
      </c>
      <c r="CF65" s="100">
        <v>3.1668643498159333E-4</v>
      </c>
      <c r="CG65" s="100">
        <v>0.32492028229111475</v>
      </c>
      <c r="CH65" s="100">
        <v>6</v>
      </c>
      <c r="CI65" s="100">
        <v>6156</v>
      </c>
      <c r="CJ65" s="100">
        <v>6</v>
      </c>
      <c r="CK65" s="100">
        <v>6156</v>
      </c>
      <c r="CL65" s="100">
        <v>4</v>
      </c>
      <c r="CM65" s="100">
        <v>4104</v>
      </c>
      <c r="CN65" s="100">
        <v>5</v>
      </c>
      <c r="CO65" s="100">
        <v>5130</v>
      </c>
      <c r="CP65" s="100">
        <v>6</v>
      </c>
      <c r="CQ65" s="100">
        <v>6156</v>
      </c>
      <c r="CR65" s="100">
        <v>6</v>
      </c>
      <c r="CS65" s="100">
        <v>6156</v>
      </c>
      <c r="CT65" s="100">
        <v>3.5813625011902412</v>
      </c>
      <c r="CU65" s="100">
        <v>3674.4779262211873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5</v>
      </c>
      <c r="G66" s="100">
        <v>5951.9999999999991</v>
      </c>
      <c r="H66" s="100">
        <v>4</v>
      </c>
      <c r="I66" s="100">
        <v>4761.5999999999995</v>
      </c>
      <c r="J66" s="100">
        <v>5</v>
      </c>
      <c r="K66" s="100">
        <v>5951.9999999999991</v>
      </c>
      <c r="L66" s="100">
        <v>7</v>
      </c>
      <c r="M66" s="100">
        <v>8332.7999999999993</v>
      </c>
      <c r="N66" s="100">
        <v>4.8358562909867446</v>
      </c>
      <c r="O66" s="100">
        <v>5756.6033287906203</v>
      </c>
      <c r="P66" s="100">
        <v>1.6622202828108359</v>
      </c>
      <c r="Q66" s="100">
        <v>1978.7070246580188</v>
      </c>
      <c r="R66" s="100">
        <v>4.0356591091886793</v>
      </c>
      <c r="S66" s="100">
        <v>4804.0486035782033</v>
      </c>
      <c r="T66" s="100">
        <v>5.4378041482749655</v>
      </c>
      <c r="U66" s="100">
        <v>6473.1620581065181</v>
      </c>
      <c r="V66" s="100">
        <v>6</v>
      </c>
      <c r="W66" s="100">
        <v>7142.4</v>
      </c>
      <c r="X66" s="100">
        <v>5.1042308124712186</v>
      </c>
      <c r="Y66" s="100">
        <v>6076.0763591657378</v>
      </c>
      <c r="Z66" s="100">
        <v>5</v>
      </c>
      <c r="AA66" s="100">
        <v>5951.9999999999991</v>
      </c>
      <c r="AB66" s="100">
        <v>4</v>
      </c>
      <c r="AC66" s="100">
        <v>4761.5999999999995</v>
      </c>
      <c r="AD66" s="100">
        <v>4.7094840010075991</v>
      </c>
      <c r="AE66" s="100">
        <v>5606.1697547994454</v>
      </c>
      <c r="AF66" s="100">
        <v>5.0853792077442703</v>
      </c>
      <c r="AG66" s="100">
        <v>6053.6354088987791</v>
      </c>
      <c r="AH66" s="100">
        <v>3.1897137247722367</v>
      </c>
      <c r="AI66" s="100">
        <v>3797.0352179688703</v>
      </c>
      <c r="AJ66" s="100">
        <v>5</v>
      </c>
      <c r="AK66" s="100">
        <v>5951.9999999999991</v>
      </c>
      <c r="AL66" s="100">
        <v>5.4968781800457709</v>
      </c>
      <c r="AM66" s="100">
        <v>6543.483785526485</v>
      </c>
      <c r="AN66" s="100">
        <v>2.0219265717391122</v>
      </c>
      <c r="AO66" s="100">
        <v>2406.9013909982386</v>
      </c>
      <c r="AP66" s="100">
        <v>6</v>
      </c>
      <c r="AQ66" s="100">
        <v>7142.4</v>
      </c>
      <c r="AR66" s="100">
        <v>6</v>
      </c>
      <c r="AS66" s="100">
        <v>7142.4</v>
      </c>
      <c r="AT66" s="100">
        <v>6</v>
      </c>
      <c r="AU66" s="100">
        <v>7142.4</v>
      </c>
      <c r="AV66" s="100">
        <v>5.9632905188267049</v>
      </c>
      <c r="AW66" s="100">
        <v>7098.701033611309</v>
      </c>
      <c r="AX66" s="100">
        <v>4.7114697747912961</v>
      </c>
      <c r="AY66" s="100">
        <v>5608.5336199115582</v>
      </c>
      <c r="AZ66" s="100">
        <v>4.1744870235670986</v>
      </c>
      <c r="BA66" s="100">
        <v>4969.3093528542731</v>
      </c>
      <c r="BB66" s="100">
        <v>0.91723838708241501</v>
      </c>
      <c r="BC66" s="100">
        <v>1091.8805759829067</v>
      </c>
      <c r="BD66" s="100">
        <v>4</v>
      </c>
      <c r="BE66" s="100">
        <v>4761.5999999999995</v>
      </c>
      <c r="BF66" s="100">
        <v>5</v>
      </c>
      <c r="BG66" s="100">
        <v>5951.9999999999991</v>
      </c>
      <c r="BH66" s="100">
        <v>5.4371265080392099</v>
      </c>
      <c r="BI66" s="100">
        <v>6472.355395169875</v>
      </c>
      <c r="BJ66" s="100">
        <v>1.056865863420934</v>
      </c>
      <c r="BK66" s="100">
        <v>1258.0931238162798</v>
      </c>
      <c r="BL66" s="100">
        <v>4</v>
      </c>
      <c r="BM66" s="100">
        <v>4761.5999999999995</v>
      </c>
      <c r="BN66" s="100">
        <v>5</v>
      </c>
      <c r="BO66" s="100">
        <v>5951.9999999999991</v>
      </c>
      <c r="BP66" s="100">
        <v>3</v>
      </c>
      <c r="BQ66" s="100">
        <v>3571.2</v>
      </c>
      <c r="BR66" s="100">
        <v>6.1730846924656433</v>
      </c>
      <c r="BS66" s="100">
        <v>7348.4400179111008</v>
      </c>
      <c r="BT66" s="100">
        <v>0.55826247546495378</v>
      </c>
      <c r="BU66" s="100">
        <v>664.55565079348094</v>
      </c>
      <c r="BV66" s="100">
        <v>3.2295413117930312</v>
      </c>
      <c r="BW66" s="100">
        <v>3844.4459775584237</v>
      </c>
      <c r="BX66" s="100">
        <v>4</v>
      </c>
      <c r="BY66" s="100">
        <v>4761.5999999999995</v>
      </c>
      <c r="BZ66" s="100">
        <v>3</v>
      </c>
      <c r="CA66" s="100">
        <v>3571.2</v>
      </c>
      <c r="CB66" s="100">
        <v>4.4662921061364047</v>
      </c>
      <c r="CC66" s="100">
        <v>5316.6741231447759</v>
      </c>
      <c r="CD66" s="100">
        <v>3.605984397677906</v>
      </c>
      <c r="CE66" s="100">
        <v>4292.563826995779</v>
      </c>
      <c r="CF66" s="100">
        <v>2.5334914798527469E-4</v>
      </c>
      <c r="CG66" s="100">
        <v>0.30158682576167095</v>
      </c>
      <c r="CH66" s="100">
        <v>6</v>
      </c>
      <c r="CI66" s="100">
        <v>7142.4</v>
      </c>
      <c r="CJ66" s="100">
        <v>6</v>
      </c>
      <c r="CK66" s="100">
        <v>7142.4</v>
      </c>
      <c r="CL66" s="100">
        <v>4</v>
      </c>
      <c r="CM66" s="100">
        <v>4761.5999999999995</v>
      </c>
      <c r="CN66" s="100">
        <v>4</v>
      </c>
      <c r="CO66" s="100">
        <v>4761.5999999999995</v>
      </c>
      <c r="CP66" s="100">
        <v>6</v>
      </c>
      <c r="CQ66" s="100">
        <v>7142.4</v>
      </c>
      <c r="CR66" s="100">
        <v>6</v>
      </c>
      <c r="CS66" s="100">
        <v>7142.4</v>
      </c>
      <c r="CT66" s="100">
        <v>3.5813625011902412</v>
      </c>
      <c r="CU66" s="100">
        <v>4263.2539214168628</v>
      </c>
    </row>
    <row r="67" spans="2:99">
      <c r="C67" s="99" t="s">
        <v>233</v>
      </c>
      <c r="D67" s="100">
        <v>5</v>
      </c>
      <c r="E67" s="100">
        <v>5616</v>
      </c>
      <c r="F67" s="100">
        <v>5</v>
      </c>
      <c r="G67" s="100">
        <v>5616</v>
      </c>
      <c r="H67" s="100">
        <v>4</v>
      </c>
      <c r="I67" s="100">
        <v>4492.8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4.8684613197515834</v>
      </c>
      <c r="O67" s="100">
        <v>5468.2557543449784</v>
      </c>
      <c r="P67" s="100">
        <v>1.6622202828108359</v>
      </c>
      <c r="Q67" s="100">
        <v>1867.0058216531309</v>
      </c>
      <c r="R67" s="100">
        <v>3.0416022940534591</v>
      </c>
      <c r="S67" s="100">
        <v>3416.3276966808453</v>
      </c>
      <c r="T67" s="100">
        <v>5.4378041482749655</v>
      </c>
      <c r="U67" s="100">
        <v>6107.7416193424415</v>
      </c>
      <c r="V67" s="100">
        <v>6</v>
      </c>
      <c r="W67" s="100">
        <v>6739.2000000000007</v>
      </c>
      <c r="X67" s="100">
        <v>6.1191209285385355</v>
      </c>
      <c r="Y67" s="100">
        <v>6872.9966269344832</v>
      </c>
      <c r="Z67" s="100">
        <v>5</v>
      </c>
      <c r="AA67" s="100">
        <v>5616</v>
      </c>
      <c r="AB67" s="100">
        <v>4</v>
      </c>
      <c r="AC67" s="100">
        <v>4492.8</v>
      </c>
      <c r="AD67" s="100">
        <v>4.7094840010075991</v>
      </c>
      <c r="AE67" s="100">
        <v>5289.6924299317352</v>
      </c>
      <c r="AF67" s="100">
        <v>5.0948657863825231</v>
      </c>
      <c r="AG67" s="100">
        <v>5722.5532512648506</v>
      </c>
      <c r="AH67" s="100">
        <v>3.1897137247722367</v>
      </c>
      <c r="AI67" s="100">
        <v>3582.6864556641763</v>
      </c>
      <c r="AJ67" s="100">
        <v>5</v>
      </c>
      <c r="AK67" s="100">
        <v>5616</v>
      </c>
      <c r="AL67" s="100">
        <v>5.4471903620411943</v>
      </c>
      <c r="AM67" s="100">
        <v>6118.2842146446701</v>
      </c>
      <c r="AN67" s="100">
        <v>2.0219265717391122</v>
      </c>
      <c r="AO67" s="100">
        <v>2271.027925377371</v>
      </c>
      <c r="AP67" s="100">
        <v>6</v>
      </c>
      <c r="AQ67" s="100">
        <v>6739.2000000000007</v>
      </c>
      <c r="AR67" s="100">
        <v>6</v>
      </c>
      <c r="AS67" s="100">
        <v>6739.2000000000007</v>
      </c>
      <c r="AT67" s="100">
        <v>6</v>
      </c>
      <c r="AU67" s="100">
        <v>6739.2000000000007</v>
      </c>
      <c r="AV67" s="100">
        <v>5.9632905188267049</v>
      </c>
      <c r="AW67" s="100">
        <v>6697.9679107461552</v>
      </c>
      <c r="AX67" s="100">
        <v>4.0384026641068251</v>
      </c>
      <c r="AY67" s="100">
        <v>4535.9338723247865</v>
      </c>
      <c r="AZ67" s="100">
        <v>3.515155917887411</v>
      </c>
      <c r="BA67" s="100">
        <v>3948.2231269711401</v>
      </c>
      <c r="BB67" s="100">
        <v>0.91723838708241501</v>
      </c>
      <c r="BC67" s="100">
        <v>1030.2421563709686</v>
      </c>
      <c r="BD67" s="100">
        <v>4</v>
      </c>
      <c r="BE67" s="100">
        <v>4492.8</v>
      </c>
      <c r="BF67" s="100">
        <v>5</v>
      </c>
      <c r="BG67" s="100">
        <v>5616</v>
      </c>
      <c r="BH67" s="100">
        <v>5.3885568960348538</v>
      </c>
      <c r="BI67" s="100">
        <v>6052.4271056263478</v>
      </c>
      <c r="BJ67" s="100">
        <v>1.056865863420934</v>
      </c>
      <c r="BK67" s="100">
        <v>1187.0717377943931</v>
      </c>
      <c r="BL67" s="100">
        <v>4</v>
      </c>
      <c r="BM67" s="100">
        <v>4492.8</v>
      </c>
      <c r="BN67" s="100">
        <v>5</v>
      </c>
      <c r="BO67" s="100">
        <v>5616</v>
      </c>
      <c r="BP67" s="100">
        <v>4</v>
      </c>
      <c r="BQ67" s="100">
        <v>4492.8</v>
      </c>
      <c r="BR67" s="100">
        <v>6.1514491059074379</v>
      </c>
      <c r="BS67" s="100">
        <v>6909.3076357552345</v>
      </c>
      <c r="BT67" s="100">
        <v>0.55342748389027341</v>
      </c>
      <c r="BU67" s="100">
        <v>621.60974990555508</v>
      </c>
      <c r="BV67" s="100">
        <v>3.2295413117930312</v>
      </c>
      <c r="BW67" s="100">
        <v>3627.4208014059327</v>
      </c>
      <c r="BX67" s="100">
        <v>4</v>
      </c>
      <c r="BY67" s="100">
        <v>4492.8</v>
      </c>
      <c r="BZ67" s="100">
        <v>4</v>
      </c>
      <c r="CA67" s="100">
        <v>4492.8</v>
      </c>
      <c r="CB67" s="100">
        <v>4.4196628955227641</v>
      </c>
      <c r="CC67" s="100">
        <v>4964.1653642511692</v>
      </c>
      <c r="CD67" s="100">
        <v>3.605984397677906</v>
      </c>
      <c r="CE67" s="100">
        <v>4050.2416754718242</v>
      </c>
      <c r="CF67" s="100">
        <v>2.5334914798527469E-4</v>
      </c>
      <c r="CG67" s="100">
        <v>0.28456176301706054</v>
      </c>
      <c r="CH67" s="100">
        <v>6</v>
      </c>
      <c r="CI67" s="100">
        <v>6739.2000000000007</v>
      </c>
      <c r="CJ67" s="100">
        <v>6</v>
      </c>
      <c r="CK67" s="100">
        <v>6739.2000000000007</v>
      </c>
      <c r="CL67" s="100">
        <v>4</v>
      </c>
      <c r="CM67" s="100">
        <v>4492.8</v>
      </c>
      <c r="CN67" s="100">
        <v>4</v>
      </c>
      <c r="CO67" s="100">
        <v>4492.8</v>
      </c>
      <c r="CP67" s="100">
        <v>6</v>
      </c>
      <c r="CQ67" s="100">
        <v>6739.2000000000007</v>
      </c>
      <c r="CR67" s="100">
        <v>6</v>
      </c>
      <c r="CS67" s="100">
        <v>6739.2000000000007</v>
      </c>
      <c r="CT67" s="100">
        <v>3.8110915337478031</v>
      </c>
      <c r="CU67" s="100">
        <v>4280.6180107055325</v>
      </c>
    </row>
    <row r="68" spans="2:99">
      <c r="C68" s="99" t="s">
        <v>234</v>
      </c>
      <c r="D68" s="100">
        <v>5</v>
      </c>
      <c r="E68" s="100">
        <v>5166</v>
      </c>
      <c r="F68" s="100">
        <v>5</v>
      </c>
      <c r="G68" s="100">
        <v>5166</v>
      </c>
      <c r="H68" s="100">
        <v>5</v>
      </c>
      <c r="I68" s="100">
        <v>5166</v>
      </c>
      <c r="J68" s="100">
        <v>5</v>
      </c>
      <c r="K68" s="100">
        <v>5166</v>
      </c>
      <c r="L68" s="100">
        <v>7</v>
      </c>
      <c r="M68" s="100">
        <v>7232.4000000000005</v>
      </c>
      <c r="N68" s="100">
        <v>4.8684613197515834</v>
      </c>
      <c r="O68" s="100">
        <v>5030.094235567336</v>
      </c>
      <c r="P68" s="100">
        <v>1.6622202828108359</v>
      </c>
      <c r="Q68" s="100">
        <v>1717.4059962001556</v>
      </c>
      <c r="R68" s="100">
        <v>4.0416022940534591</v>
      </c>
      <c r="S68" s="100">
        <v>4175.7834902160339</v>
      </c>
      <c r="T68" s="100">
        <v>5.4378041482749655</v>
      </c>
      <c r="U68" s="100">
        <v>5618.3392459976949</v>
      </c>
      <c r="V68" s="100">
        <v>6</v>
      </c>
      <c r="W68" s="100">
        <v>6199.2000000000007</v>
      </c>
      <c r="X68" s="100">
        <v>6.1191209285385355</v>
      </c>
      <c r="Y68" s="100">
        <v>6322.2757433660154</v>
      </c>
      <c r="Z68" s="100">
        <v>5</v>
      </c>
      <c r="AA68" s="100">
        <v>5166</v>
      </c>
      <c r="AB68" s="100">
        <v>4</v>
      </c>
      <c r="AC68" s="100">
        <v>4132.8</v>
      </c>
      <c r="AD68" s="100">
        <v>5.6513808012091182</v>
      </c>
      <c r="AE68" s="100">
        <v>5839.0066438092608</v>
      </c>
      <c r="AF68" s="100">
        <v>5.0853792077442703</v>
      </c>
      <c r="AG68" s="100">
        <v>5254.2137974413799</v>
      </c>
      <c r="AH68" s="100">
        <v>3.1897137247722367</v>
      </c>
      <c r="AI68" s="100">
        <v>3295.6122204346752</v>
      </c>
      <c r="AJ68" s="100">
        <v>5</v>
      </c>
      <c r="AK68" s="100">
        <v>5166</v>
      </c>
      <c r="AL68" s="100">
        <v>5.4471903620411943</v>
      </c>
      <c r="AM68" s="100">
        <v>5628.0370820609623</v>
      </c>
      <c r="AN68" s="100">
        <v>2.0219265717391122</v>
      </c>
      <c r="AO68" s="100">
        <v>2089.0545339208506</v>
      </c>
      <c r="AP68" s="100">
        <v>5</v>
      </c>
      <c r="AQ68" s="100">
        <v>5166</v>
      </c>
      <c r="AR68" s="100">
        <v>6</v>
      </c>
      <c r="AS68" s="100">
        <v>6199.2000000000007</v>
      </c>
      <c r="AT68" s="100">
        <v>5</v>
      </c>
      <c r="AU68" s="100">
        <v>5166</v>
      </c>
      <c r="AV68" s="100">
        <v>5.9632905188267049</v>
      </c>
      <c r="AW68" s="100">
        <v>6161.2717640517521</v>
      </c>
      <c r="AX68" s="100">
        <v>4.7114697747912961</v>
      </c>
      <c r="AY68" s="100">
        <v>4867.8905713143677</v>
      </c>
      <c r="AZ68" s="100">
        <v>3.515155917887411</v>
      </c>
      <c r="BA68" s="100">
        <v>3631.859094361273</v>
      </c>
      <c r="BB68" s="100">
        <v>0.91723838708241501</v>
      </c>
      <c r="BC68" s="100">
        <v>947.69070153355119</v>
      </c>
      <c r="BD68" s="100">
        <v>4</v>
      </c>
      <c r="BE68" s="100">
        <v>4132.8</v>
      </c>
      <c r="BF68" s="100">
        <v>5</v>
      </c>
      <c r="BG68" s="100">
        <v>5166</v>
      </c>
      <c r="BH68" s="100">
        <v>4.3885568960348538</v>
      </c>
      <c r="BI68" s="100">
        <v>4534.2569849832107</v>
      </c>
      <c r="BJ68" s="100">
        <v>1.056865863420934</v>
      </c>
      <c r="BK68" s="100">
        <v>1091.9538100865091</v>
      </c>
      <c r="BL68" s="100">
        <v>4</v>
      </c>
      <c r="BM68" s="100">
        <v>4132.8</v>
      </c>
      <c r="BN68" s="100">
        <v>5</v>
      </c>
      <c r="BO68" s="100">
        <v>5166</v>
      </c>
      <c r="BP68" s="100">
        <v>3</v>
      </c>
      <c r="BQ68" s="100">
        <v>3099.6000000000004</v>
      </c>
      <c r="BR68" s="100">
        <v>6.1730846924656433</v>
      </c>
      <c r="BS68" s="100">
        <v>6378.0311042555031</v>
      </c>
      <c r="BT68" s="100">
        <v>0.55826247546495378</v>
      </c>
      <c r="BU68" s="100">
        <v>576.79678965039022</v>
      </c>
      <c r="BV68" s="100">
        <v>2.4221559838447733</v>
      </c>
      <c r="BW68" s="100">
        <v>2502.5715625084199</v>
      </c>
      <c r="BX68" s="100">
        <v>3</v>
      </c>
      <c r="BY68" s="100">
        <v>3099.6000000000004</v>
      </c>
      <c r="BZ68" s="100">
        <v>4</v>
      </c>
      <c r="CA68" s="100">
        <v>4132.8</v>
      </c>
      <c r="CB68" s="100">
        <v>4.4662921061364047</v>
      </c>
      <c r="CC68" s="100">
        <v>4614.5730040601338</v>
      </c>
      <c r="CD68" s="100">
        <v>3.605984397677906</v>
      </c>
      <c r="CE68" s="100">
        <v>3725.7030796808126</v>
      </c>
      <c r="CF68" s="100">
        <v>2.5334914798527469E-4</v>
      </c>
      <c r="CG68" s="100">
        <v>0.2617603396983858</v>
      </c>
      <c r="CH68" s="100">
        <v>6</v>
      </c>
      <c r="CI68" s="100">
        <v>6199.2000000000007</v>
      </c>
      <c r="CJ68" s="100">
        <v>6</v>
      </c>
      <c r="CK68" s="100">
        <v>6199.2000000000007</v>
      </c>
      <c r="CL68" s="100">
        <v>4</v>
      </c>
      <c r="CM68" s="100">
        <v>4132.8</v>
      </c>
      <c r="CN68" s="100">
        <v>5</v>
      </c>
      <c r="CO68" s="100">
        <v>5166</v>
      </c>
      <c r="CP68" s="100">
        <v>6</v>
      </c>
      <c r="CQ68" s="100">
        <v>6199.2000000000007</v>
      </c>
      <c r="CR68" s="100">
        <v>6</v>
      </c>
      <c r="CS68" s="100">
        <v>6199.2000000000007</v>
      </c>
      <c r="CT68" s="100">
        <v>3.5813625011902412</v>
      </c>
      <c r="CU68" s="100">
        <v>3700.2637362297573</v>
      </c>
    </row>
    <row r="69" spans="2:99">
      <c r="C69" s="99" t="s">
        <v>235</v>
      </c>
      <c r="D69" s="100">
        <v>5</v>
      </c>
      <c r="E69" s="100">
        <v>3792</v>
      </c>
      <c r="F69" s="100">
        <v>5</v>
      </c>
      <c r="G69" s="100">
        <v>3792</v>
      </c>
      <c r="H69" s="100">
        <v>5</v>
      </c>
      <c r="I69" s="100">
        <v>3792</v>
      </c>
      <c r="J69" s="100">
        <v>5</v>
      </c>
      <c r="K69" s="100">
        <v>3792</v>
      </c>
      <c r="L69" s="100">
        <v>7</v>
      </c>
      <c r="M69" s="100">
        <v>5308.8</v>
      </c>
      <c r="N69" s="100">
        <v>4.8358562909867446</v>
      </c>
      <c r="O69" s="100">
        <v>3667.5134110843469</v>
      </c>
      <c r="P69" s="100">
        <v>1.6622202828108359</v>
      </c>
      <c r="Q69" s="100">
        <v>1260.627862483738</v>
      </c>
      <c r="R69" s="100">
        <v>4.0416022940534591</v>
      </c>
      <c r="S69" s="100">
        <v>3065.1511798101433</v>
      </c>
      <c r="T69" s="100">
        <v>5.4378041482749655</v>
      </c>
      <c r="U69" s="100">
        <v>4124.0306660517335</v>
      </c>
      <c r="V69" s="100">
        <v>7</v>
      </c>
      <c r="W69" s="100">
        <v>5308.8</v>
      </c>
      <c r="X69" s="100">
        <v>5.1042308124712186</v>
      </c>
      <c r="Y69" s="100">
        <v>3871.0486481781722</v>
      </c>
      <c r="Z69" s="100">
        <v>6</v>
      </c>
      <c r="AA69" s="100">
        <v>4550.3999999999996</v>
      </c>
      <c r="AB69" s="100">
        <v>4</v>
      </c>
      <c r="AC69" s="100">
        <v>3033.6</v>
      </c>
      <c r="AD69" s="100">
        <v>4.7094840010075991</v>
      </c>
      <c r="AE69" s="100">
        <v>3571.672666364163</v>
      </c>
      <c r="AF69" s="100">
        <v>5.0948657863825231</v>
      </c>
      <c r="AG69" s="100">
        <v>3863.9462123925055</v>
      </c>
      <c r="AH69" s="100">
        <v>3.1897137247722367</v>
      </c>
      <c r="AI69" s="100">
        <v>2419.0788888672641</v>
      </c>
      <c r="AJ69" s="100">
        <v>5</v>
      </c>
      <c r="AK69" s="100">
        <v>3792</v>
      </c>
      <c r="AL69" s="100">
        <v>5.4471903620411943</v>
      </c>
      <c r="AM69" s="100">
        <v>4131.1491705720418</v>
      </c>
      <c r="AN69" s="100">
        <v>2.0219265717391122</v>
      </c>
      <c r="AO69" s="100">
        <v>1533.4291120069427</v>
      </c>
      <c r="AP69" s="100">
        <v>6</v>
      </c>
      <c r="AQ69" s="100">
        <v>4550.3999999999996</v>
      </c>
      <c r="AR69" s="100">
        <v>6</v>
      </c>
      <c r="AS69" s="100">
        <v>4550.3999999999996</v>
      </c>
      <c r="AT69" s="100">
        <v>6</v>
      </c>
      <c r="AU69" s="100">
        <v>4550.3999999999996</v>
      </c>
      <c r="AV69" s="100">
        <v>5.9632905188267049</v>
      </c>
      <c r="AW69" s="100">
        <v>4522.5595294781733</v>
      </c>
      <c r="AX69" s="100">
        <v>4.7114697747912961</v>
      </c>
      <c r="AY69" s="100">
        <v>3573.178677201719</v>
      </c>
      <c r="AZ69" s="100">
        <v>4.2057013649226667</v>
      </c>
      <c r="BA69" s="100">
        <v>3189.6039151573505</v>
      </c>
      <c r="BB69" s="100">
        <v>0.91723838708241501</v>
      </c>
      <c r="BC69" s="100">
        <v>695.63359276330357</v>
      </c>
      <c r="BD69" s="100">
        <v>4</v>
      </c>
      <c r="BE69" s="100">
        <v>3033.6</v>
      </c>
      <c r="BF69" s="100">
        <v>5</v>
      </c>
      <c r="BG69" s="100">
        <v>3792</v>
      </c>
      <c r="BH69" s="100">
        <v>5.3885568960348538</v>
      </c>
      <c r="BI69" s="100">
        <v>4086.6815499528329</v>
      </c>
      <c r="BJ69" s="100">
        <v>1.056865863420934</v>
      </c>
      <c r="BK69" s="100">
        <v>801.5270708184363</v>
      </c>
      <c r="BL69" s="100">
        <v>5</v>
      </c>
      <c r="BM69" s="100">
        <v>3792</v>
      </c>
      <c r="BN69" s="100">
        <v>5</v>
      </c>
      <c r="BO69" s="100">
        <v>3792</v>
      </c>
      <c r="BP69" s="100">
        <v>4</v>
      </c>
      <c r="BQ69" s="100">
        <v>3033.6</v>
      </c>
      <c r="BR69" s="100">
        <v>7.1514491059074379</v>
      </c>
      <c r="BS69" s="100">
        <v>5423.6590019202004</v>
      </c>
      <c r="BT69" s="100">
        <v>0.55342748389027341</v>
      </c>
      <c r="BU69" s="100">
        <v>419.71940378238332</v>
      </c>
      <c r="BV69" s="100">
        <v>3.2295413117930312</v>
      </c>
      <c r="BW69" s="100">
        <v>2449.2841308638349</v>
      </c>
      <c r="BX69" s="100">
        <v>4</v>
      </c>
      <c r="BY69" s="100">
        <v>3033.6</v>
      </c>
      <c r="BZ69" s="100">
        <v>4</v>
      </c>
      <c r="CA69" s="100">
        <v>3033.6</v>
      </c>
      <c r="CB69" s="100">
        <v>4.5129213167500453</v>
      </c>
      <c r="CC69" s="100">
        <v>3422.5995266232344</v>
      </c>
      <c r="CD69" s="100">
        <v>3.605984397677906</v>
      </c>
      <c r="CE69" s="100">
        <v>2734.7785671989241</v>
      </c>
      <c r="CF69" s="100">
        <v>3.1668643498159333E-4</v>
      </c>
      <c r="CG69" s="100">
        <v>0.24017499229004038</v>
      </c>
      <c r="CH69" s="100">
        <v>6</v>
      </c>
      <c r="CI69" s="100">
        <v>4550.3999999999996</v>
      </c>
      <c r="CJ69" s="100">
        <v>7</v>
      </c>
      <c r="CK69" s="100">
        <v>5308.8</v>
      </c>
      <c r="CL69" s="100">
        <v>4</v>
      </c>
      <c r="CM69" s="100">
        <v>3033.6</v>
      </c>
      <c r="CN69" s="100">
        <v>4</v>
      </c>
      <c r="CO69" s="100">
        <v>3033.6</v>
      </c>
      <c r="CP69" s="100">
        <v>6</v>
      </c>
      <c r="CQ69" s="100">
        <v>4550.3999999999996</v>
      </c>
      <c r="CR69" s="100">
        <v>6</v>
      </c>
      <c r="CS69" s="100">
        <v>4550.3999999999996</v>
      </c>
      <c r="CT69" s="100">
        <v>3.8110915337478031</v>
      </c>
      <c r="CU69" s="100">
        <v>2890.3318191943335</v>
      </c>
    </row>
    <row r="70" spans="2:99">
      <c r="C70" s="99" t="s">
        <v>236</v>
      </c>
      <c r="D70" s="100">
        <v>5</v>
      </c>
      <c r="E70" s="100">
        <v>2675.9999999999995</v>
      </c>
      <c r="F70" s="100">
        <v>5</v>
      </c>
      <c r="G70" s="100">
        <v>2675.9999999999995</v>
      </c>
      <c r="H70" s="100">
        <v>5</v>
      </c>
      <c r="I70" s="100">
        <v>2675.9999999999995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4.8358562909867446</v>
      </c>
      <c r="O70" s="100">
        <v>2588.1502869361052</v>
      </c>
      <c r="P70" s="100">
        <v>1.9392569966126418</v>
      </c>
      <c r="Q70" s="100">
        <v>1037.8903445870858</v>
      </c>
      <c r="R70" s="100">
        <v>4.0356591091886793</v>
      </c>
      <c r="S70" s="100">
        <v>2159.8847552377811</v>
      </c>
      <c r="T70" s="100">
        <v>6.3441048396541264</v>
      </c>
      <c r="U70" s="100">
        <v>3395.3649101828878</v>
      </c>
      <c r="V70" s="100">
        <v>7</v>
      </c>
      <c r="W70" s="100">
        <v>3746.3999999999996</v>
      </c>
      <c r="X70" s="100">
        <v>5.1191209285385355</v>
      </c>
      <c r="Y70" s="100">
        <v>2739.7535209538237</v>
      </c>
      <c r="Z70" s="100">
        <v>6</v>
      </c>
      <c r="AA70" s="100">
        <v>3211.2</v>
      </c>
      <c r="AB70" s="100">
        <v>4</v>
      </c>
      <c r="AC70" s="100">
        <v>2140.7999999999997</v>
      </c>
      <c r="AD70" s="100">
        <v>5.6513808012091182</v>
      </c>
      <c r="AE70" s="100">
        <v>3024.6190048071198</v>
      </c>
      <c r="AF70" s="100">
        <v>5.0948657863825231</v>
      </c>
      <c r="AG70" s="100">
        <v>2726.7721688719262</v>
      </c>
      <c r="AH70" s="100">
        <v>3.8276564697266839</v>
      </c>
      <c r="AI70" s="100">
        <v>2048.5617425977211</v>
      </c>
      <c r="AJ70" s="100">
        <v>5</v>
      </c>
      <c r="AK70" s="100">
        <v>2675.9999999999995</v>
      </c>
      <c r="AL70" s="100">
        <v>6.4471903620411943</v>
      </c>
      <c r="AM70" s="100">
        <v>3450.5362817644468</v>
      </c>
      <c r="AN70" s="100">
        <v>2.426311886086935</v>
      </c>
      <c r="AO70" s="100">
        <v>1298.5621214337275</v>
      </c>
      <c r="AP70" s="100">
        <v>6</v>
      </c>
      <c r="AQ70" s="100">
        <v>3211.2</v>
      </c>
      <c r="AR70" s="100">
        <v>7</v>
      </c>
      <c r="AS70" s="100">
        <v>3746.3999999999996</v>
      </c>
      <c r="AT70" s="100">
        <v>5</v>
      </c>
      <c r="AU70" s="100">
        <v>2675.9999999999995</v>
      </c>
      <c r="AV70" s="100">
        <v>5.9632905188267049</v>
      </c>
      <c r="AW70" s="100">
        <v>3191.553085676052</v>
      </c>
      <c r="AX70" s="100">
        <v>4.0384026641068251</v>
      </c>
      <c r="AY70" s="100">
        <v>2161.3531058299727</v>
      </c>
      <c r="AZ70" s="100">
        <v>4.2057013649226667</v>
      </c>
      <c r="BA70" s="100">
        <v>2250.8913705066111</v>
      </c>
      <c r="BB70" s="100">
        <v>0.91723838708241501</v>
      </c>
      <c r="BC70" s="100">
        <v>490.90598476650842</v>
      </c>
      <c r="BD70" s="100">
        <v>4</v>
      </c>
      <c r="BE70" s="100">
        <v>2140.7999999999997</v>
      </c>
      <c r="BF70" s="100">
        <v>5</v>
      </c>
      <c r="BG70" s="100">
        <v>2675.9999999999995</v>
      </c>
      <c r="BH70" s="100">
        <v>5.3885568960348538</v>
      </c>
      <c r="BI70" s="100">
        <v>2883.9556507578532</v>
      </c>
      <c r="BJ70" s="100">
        <v>1.3210823292761675</v>
      </c>
      <c r="BK70" s="100">
        <v>707.04326262860479</v>
      </c>
      <c r="BL70" s="100">
        <v>5</v>
      </c>
      <c r="BM70" s="100">
        <v>2675.9999999999995</v>
      </c>
      <c r="BN70" s="100">
        <v>5</v>
      </c>
      <c r="BO70" s="100">
        <v>2675.9999999999995</v>
      </c>
      <c r="BP70" s="100">
        <v>3</v>
      </c>
      <c r="BQ70" s="100">
        <v>1605.6</v>
      </c>
      <c r="BR70" s="100">
        <v>7.1947202790238487</v>
      </c>
      <c r="BS70" s="100">
        <v>3850.6142933335632</v>
      </c>
      <c r="BT70" s="100">
        <v>0.55826247546495378</v>
      </c>
      <c r="BU70" s="100">
        <v>298.78207686884321</v>
      </c>
      <c r="BV70" s="100">
        <v>3.2295413117930312</v>
      </c>
      <c r="BW70" s="100">
        <v>1728.4505100716301</v>
      </c>
      <c r="BX70" s="100">
        <v>4</v>
      </c>
      <c r="BY70" s="100">
        <v>2140.7999999999997</v>
      </c>
      <c r="BZ70" s="100">
        <v>4</v>
      </c>
      <c r="CA70" s="100">
        <v>2140.7999999999997</v>
      </c>
      <c r="CB70" s="100">
        <v>4.5129213167500453</v>
      </c>
      <c r="CC70" s="100">
        <v>2415.3154887246237</v>
      </c>
      <c r="CD70" s="100">
        <v>4.3271812772134872</v>
      </c>
      <c r="CE70" s="100">
        <v>2315.9074195646581</v>
      </c>
      <c r="CF70" s="100">
        <v>3.1668643498159333E-4</v>
      </c>
      <c r="CG70" s="100">
        <v>0.16949058000214873</v>
      </c>
      <c r="CH70" s="100">
        <v>6</v>
      </c>
      <c r="CI70" s="100">
        <v>3211.2</v>
      </c>
      <c r="CJ70" s="100">
        <v>5</v>
      </c>
      <c r="CK70" s="100">
        <v>2675.9999999999995</v>
      </c>
      <c r="CL70" s="100">
        <v>4</v>
      </c>
      <c r="CM70" s="100">
        <v>2140.7999999999997</v>
      </c>
      <c r="CN70" s="100">
        <v>5</v>
      </c>
      <c r="CO70" s="100">
        <v>2675.9999999999995</v>
      </c>
      <c r="CP70" s="100">
        <v>6</v>
      </c>
      <c r="CQ70" s="100">
        <v>3211.2</v>
      </c>
      <c r="CR70" s="100">
        <v>7</v>
      </c>
      <c r="CS70" s="100">
        <v>3746.3999999999996</v>
      </c>
      <c r="CT70" s="100">
        <v>3.8340644370035597</v>
      </c>
      <c r="CU70" s="100">
        <v>2051.9912866843047</v>
      </c>
    </row>
    <row r="71" spans="2:99">
      <c r="B71" s="99" t="s">
        <v>130</v>
      </c>
      <c r="C71" s="99" t="s">
        <v>237</v>
      </c>
      <c r="D71" s="100">
        <v>5.9961706045640577</v>
      </c>
      <c r="E71" s="100">
        <v>3381.8402209741284</v>
      </c>
      <c r="F71" s="100">
        <v>3.5347052829222649</v>
      </c>
      <c r="G71" s="100">
        <v>1993.5737795681575</v>
      </c>
      <c r="H71" s="100">
        <v>2.396070371618408</v>
      </c>
      <c r="I71" s="100">
        <v>1351.383689592782</v>
      </c>
      <c r="J71" s="100">
        <v>6.6003500083886344</v>
      </c>
      <c r="K71" s="100">
        <v>3722.5974047311897</v>
      </c>
      <c r="L71" s="100">
        <v>0.50221028878206397</v>
      </c>
      <c r="M71" s="100">
        <v>283.2466028730841</v>
      </c>
      <c r="N71" s="100">
        <v>5</v>
      </c>
      <c r="O71" s="100">
        <v>2820</v>
      </c>
      <c r="P71" s="100">
        <v>3</v>
      </c>
      <c r="Q71" s="100">
        <v>1692</v>
      </c>
      <c r="R71" s="100">
        <v>3</v>
      </c>
      <c r="S71" s="100">
        <v>1692</v>
      </c>
      <c r="T71" s="100">
        <v>5</v>
      </c>
      <c r="U71" s="100">
        <v>2820</v>
      </c>
      <c r="V71" s="100">
        <v>4</v>
      </c>
      <c r="W71" s="100">
        <v>2256</v>
      </c>
      <c r="X71" s="100">
        <v>5</v>
      </c>
      <c r="Y71" s="100">
        <v>2820</v>
      </c>
      <c r="Z71" s="100">
        <v>4</v>
      </c>
      <c r="AA71" s="100">
        <v>2256</v>
      </c>
      <c r="AB71" s="100">
        <v>5</v>
      </c>
      <c r="AC71" s="100">
        <v>2820</v>
      </c>
      <c r="AD71" s="100">
        <v>6</v>
      </c>
      <c r="AE71" s="100">
        <v>3384</v>
      </c>
      <c r="AF71" s="100">
        <v>4</v>
      </c>
      <c r="AG71" s="100">
        <v>2256</v>
      </c>
      <c r="AH71" s="100">
        <v>3</v>
      </c>
      <c r="AI71" s="100">
        <v>1692</v>
      </c>
      <c r="AJ71" s="100">
        <v>3</v>
      </c>
      <c r="AK71" s="100">
        <v>1692</v>
      </c>
      <c r="AL71" s="100">
        <v>5</v>
      </c>
      <c r="AM71" s="100">
        <v>2820</v>
      </c>
      <c r="AN71" s="100">
        <v>3</v>
      </c>
      <c r="AO71" s="100">
        <v>1692</v>
      </c>
      <c r="AP71" s="100">
        <v>5</v>
      </c>
      <c r="AQ71" s="100">
        <v>2820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5</v>
      </c>
      <c r="AW71" s="100">
        <v>2820</v>
      </c>
      <c r="AX71" s="100">
        <v>3</v>
      </c>
      <c r="AY71" s="100">
        <v>1692</v>
      </c>
      <c r="AZ71" s="100">
        <v>2.7081003021437171</v>
      </c>
      <c r="BA71" s="100">
        <v>1527.3685704090565</v>
      </c>
      <c r="BB71" s="100">
        <v>5</v>
      </c>
      <c r="BC71" s="100">
        <v>2820</v>
      </c>
      <c r="BD71" s="100">
        <v>4.9754812378363189</v>
      </c>
      <c r="BE71" s="100">
        <v>2806.1714181396837</v>
      </c>
      <c r="BF71" s="100">
        <v>3.9543601075762509</v>
      </c>
      <c r="BG71" s="100">
        <v>2230.2591006730054</v>
      </c>
      <c r="BH71" s="100">
        <v>2.2104476730688862</v>
      </c>
      <c r="BI71" s="100">
        <v>1246.6924876108519</v>
      </c>
      <c r="BJ71" s="100">
        <v>3</v>
      </c>
      <c r="BK71" s="100">
        <v>1692</v>
      </c>
      <c r="BL71" s="100">
        <v>3</v>
      </c>
      <c r="BM71" s="100">
        <v>1692</v>
      </c>
      <c r="BN71" s="100">
        <v>4.588633093232442</v>
      </c>
      <c r="BO71" s="100">
        <v>2587.9890645830974</v>
      </c>
      <c r="BP71" s="100">
        <v>2.2191894044221776</v>
      </c>
      <c r="BQ71" s="100">
        <v>1251.6228240941082</v>
      </c>
      <c r="BR71" s="100">
        <v>3.6665857904288486</v>
      </c>
      <c r="BS71" s="100">
        <v>2067.9543858018706</v>
      </c>
      <c r="BT71" s="100">
        <v>5</v>
      </c>
      <c r="BU71" s="100">
        <v>2820</v>
      </c>
      <c r="BV71" s="100">
        <v>6</v>
      </c>
      <c r="BW71" s="100">
        <v>3384</v>
      </c>
      <c r="BX71" s="100">
        <v>5</v>
      </c>
      <c r="BY71" s="100">
        <v>2820</v>
      </c>
      <c r="BZ71" s="100">
        <v>6</v>
      </c>
      <c r="CA71" s="100">
        <v>3384</v>
      </c>
      <c r="CB71" s="100">
        <v>2.0732982169464398</v>
      </c>
      <c r="CC71" s="100">
        <v>1169.3401943577921</v>
      </c>
      <c r="CD71" s="100">
        <v>3.9038337770787206</v>
      </c>
      <c r="CE71" s="100">
        <v>2201.7622502723984</v>
      </c>
      <c r="CF71" s="100">
        <v>1.9912828679603143</v>
      </c>
      <c r="CG71" s="100">
        <v>1123.0835375296172</v>
      </c>
      <c r="CH71" s="100">
        <v>3.972134606297919</v>
      </c>
      <c r="CI71" s="100">
        <v>2240.2839179520265</v>
      </c>
      <c r="CJ71" s="100">
        <v>5</v>
      </c>
      <c r="CK71" s="100">
        <v>2820</v>
      </c>
      <c r="CL71" s="100">
        <v>3</v>
      </c>
      <c r="CM71" s="100">
        <v>1692</v>
      </c>
      <c r="CN71" s="100">
        <v>6</v>
      </c>
      <c r="CO71" s="100">
        <v>3384</v>
      </c>
      <c r="CP71" s="100">
        <v>5.1551852989997942</v>
      </c>
      <c r="CQ71" s="100">
        <v>2907.5245086358841</v>
      </c>
      <c r="CR71" s="100">
        <v>1.9024616717813974</v>
      </c>
      <c r="CS71" s="100">
        <v>1072.988382884708</v>
      </c>
      <c r="CT71" s="100">
        <v>4</v>
      </c>
      <c r="CU71" s="100">
        <v>2256</v>
      </c>
    </row>
    <row r="72" spans="2:99">
      <c r="C72" s="99" t="s">
        <v>238</v>
      </c>
      <c r="D72" s="100">
        <v>5.9961706045640577</v>
      </c>
      <c r="E72" s="100">
        <v>446.11509297956582</v>
      </c>
      <c r="F72" s="100">
        <v>4.2416463395067181</v>
      </c>
      <c r="G72" s="100">
        <v>315.57848765929981</v>
      </c>
      <c r="H72" s="100">
        <v>2.396070371618408</v>
      </c>
      <c r="I72" s="100">
        <v>178.26763564840954</v>
      </c>
      <c r="J72" s="100">
        <v>5.9124784470464977</v>
      </c>
      <c r="K72" s="100">
        <v>439.8883964602594</v>
      </c>
      <c r="L72" s="100">
        <v>0.50221028878206397</v>
      </c>
      <c r="M72" s="100">
        <v>37.364445485385552</v>
      </c>
      <c r="N72" s="100">
        <v>6</v>
      </c>
      <c r="O72" s="100">
        <v>446.4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6</v>
      </c>
      <c r="Y72" s="100">
        <v>446.4</v>
      </c>
      <c r="Z72" s="100">
        <v>4</v>
      </c>
      <c r="AA72" s="100">
        <v>297.59999999999997</v>
      </c>
      <c r="AB72" s="100">
        <v>5</v>
      </c>
      <c r="AC72" s="100">
        <v>371.99999999999994</v>
      </c>
      <c r="AD72" s="100">
        <v>6</v>
      </c>
      <c r="AE72" s="100">
        <v>446.4</v>
      </c>
      <c r="AF72" s="100">
        <v>4</v>
      </c>
      <c r="AG72" s="100">
        <v>297.59999999999997</v>
      </c>
      <c r="AH72" s="100">
        <v>3</v>
      </c>
      <c r="AI72" s="100">
        <v>223.2</v>
      </c>
      <c r="AJ72" s="100">
        <v>3</v>
      </c>
      <c r="AK72" s="100">
        <v>223.2</v>
      </c>
      <c r="AL72" s="100">
        <v>5</v>
      </c>
      <c r="AM72" s="100">
        <v>371.99999999999994</v>
      </c>
      <c r="AN72" s="100">
        <v>4</v>
      </c>
      <c r="AO72" s="100">
        <v>297.59999999999997</v>
      </c>
      <c r="AP72" s="100">
        <v>4</v>
      </c>
      <c r="AQ72" s="100">
        <v>297.59999999999997</v>
      </c>
      <c r="AR72" s="100">
        <v>6</v>
      </c>
      <c r="AS72" s="100">
        <v>446.4</v>
      </c>
      <c r="AT72" s="100">
        <v>4</v>
      </c>
      <c r="AU72" s="100">
        <v>297.59999999999997</v>
      </c>
      <c r="AV72" s="100">
        <v>6</v>
      </c>
      <c r="AW72" s="100">
        <v>446.4</v>
      </c>
      <c r="AX72" s="100">
        <v>4</v>
      </c>
      <c r="AY72" s="100">
        <v>297.59999999999997</v>
      </c>
      <c r="AZ72" s="100">
        <v>2.7081003021437171</v>
      </c>
      <c r="BA72" s="100">
        <v>201.48266247949252</v>
      </c>
      <c r="BB72" s="100">
        <v>6</v>
      </c>
      <c r="BC72" s="100">
        <v>446.4</v>
      </c>
      <c r="BD72" s="100">
        <v>4.9754812378363189</v>
      </c>
      <c r="BE72" s="100">
        <v>370.1758040950221</v>
      </c>
      <c r="BF72" s="100">
        <v>4.7452321290915016</v>
      </c>
      <c r="BG72" s="100">
        <v>353.04527040440769</v>
      </c>
      <c r="BH72" s="100">
        <v>2.2104476730688862</v>
      </c>
      <c r="BI72" s="100">
        <v>164.45730687632511</v>
      </c>
      <c r="BJ72" s="100">
        <v>4</v>
      </c>
      <c r="BK72" s="100">
        <v>297.59999999999997</v>
      </c>
      <c r="BL72" s="100">
        <v>4</v>
      </c>
      <c r="BM72" s="100">
        <v>297.59999999999997</v>
      </c>
      <c r="BN72" s="100">
        <v>4.588633093232442</v>
      </c>
      <c r="BO72" s="100">
        <v>341.39430213649365</v>
      </c>
      <c r="BP72" s="100">
        <v>2.773986755527722</v>
      </c>
      <c r="BQ72" s="100">
        <v>206.38461461126249</v>
      </c>
      <c r="BR72" s="100">
        <v>3.6665857904288486</v>
      </c>
      <c r="BS72" s="100">
        <v>272.79398280790627</v>
      </c>
      <c r="BT72" s="100">
        <v>4</v>
      </c>
      <c r="BU72" s="100">
        <v>297.59999999999997</v>
      </c>
      <c r="BV72" s="100">
        <v>6</v>
      </c>
      <c r="BW72" s="100">
        <v>446.4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2.59162277118305</v>
      </c>
      <c r="CC72" s="100">
        <v>192.81673417601888</v>
      </c>
      <c r="CD72" s="100">
        <v>3.9038337770787206</v>
      </c>
      <c r="CE72" s="100">
        <v>290.44523301465676</v>
      </c>
      <c r="CF72" s="100">
        <v>1.9912828679603143</v>
      </c>
      <c r="CG72" s="100">
        <v>148.15144537624735</v>
      </c>
      <c r="CH72" s="100">
        <v>3.972134606297919</v>
      </c>
      <c r="CI72" s="100">
        <v>295.52681470856515</v>
      </c>
      <c r="CJ72" s="100">
        <v>6</v>
      </c>
      <c r="CK72" s="100">
        <v>446.4</v>
      </c>
      <c r="CL72" s="100">
        <v>4</v>
      </c>
      <c r="CM72" s="100">
        <v>297.59999999999997</v>
      </c>
      <c r="CN72" s="100">
        <v>6</v>
      </c>
      <c r="CO72" s="100">
        <v>446.4</v>
      </c>
      <c r="CP72" s="100">
        <v>5.713802389564262</v>
      </c>
      <c r="CQ72" s="100">
        <v>425.10689778358102</v>
      </c>
      <c r="CR72" s="100">
        <v>2.2195386170782965</v>
      </c>
      <c r="CS72" s="100">
        <v>165.13367311062524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5.9961706045640577</v>
      </c>
      <c r="E73" s="100">
        <v>3353.0586020722208</v>
      </c>
      <c r="F73" s="100">
        <v>3.5347052829222649</v>
      </c>
      <c r="G73" s="100">
        <v>1976.6071942101303</v>
      </c>
      <c r="H73" s="100">
        <v>1.9967253096820068</v>
      </c>
      <c r="I73" s="100">
        <v>1116.5687931741782</v>
      </c>
      <c r="J73" s="100">
        <v>6.6003500083886344</v>
      </c>
      <c r="K73" s="100">
        <v>3690.915724690924</v>
      </c>
      <c r="L73" s="100">
        <v>0.50221028878206397</v>
      </c>
      <c r="M73" s="100">
        <v>280.83599348693014</v>
      </c>
      <c r="N73" s="100">
        <v>5</v>
      </c>
      <c r="O73" s="100">
        <v>2795.9999999999995</v>
      </c>
      <c r="P73" s="100">
        <v>3</v>
      </c>
      <c r="Q73" s="100">
        <v>1677.6</v>
      </c>
      <c r="R73" s="100">
        <v>3</v>
      </c>
      <c r="S73" s="100">
        <v>1677.6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6</v>
      </c>
      <c r="Y73" s="100">
        <v>3355.2</v>
      </c>
      <c r="Z73" s="100">
        <v>4</v>
      </c>
      <c r="AA73" s="100">
        <v>2236.7999999999997</v>
      </c>
      <c r="AB73" s="100">
        <v>4</v>
      </c>
      <c r="AC73" s="100">
        <v>2236.7999999999997</v>
      </c>
      <c r="AD73" s="100">
        <v>6</v>
      </c>
      <c r="AE73" s="100">
        <v>3355.2</v>
      </c>
      <c r="AF73" s="100">
        <v>4</v>
      </c>
      <c r="AG73" s="100">
        <v>2236.7999999999997</v>
      </c>
      <c r="AH73" s="100">
        <v>3</v>
      </c>
      <c r="AI73" s="100">
        <v>1677.6</v>
      </c>
      <c r="AJ73" s="100">
        <v>3</v>
      </c>
      <c r="AK73" s="100">
        <v>1677.6</v>
      </c>
      <c r="AL73" s="100">
        <v>6</v>
      </c>
      <c r="AM73" s="100">
        <v>3355.2</v>
      </c>
      <c r="AN73" s="100">
        <v>4</v>
      </c>
      <c r="AO73" s="100">
        <v>2236.7999999999997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4</v>
      </c>
      <c r="AU73" s="100">
        <v>2236.7999999999997</v>
      </c>
      <c r="AV73" s="100">
        <v>6</v>
      </c>
      <c r="AW73" s="100">
        <v>3355.2</v>
      </c>
      <c r="AX73" s="100">
        <v>4</v>
      </c>
      <c r="AY73" s="100">
        <v>2236.7999999999997</v>
      </c>
      <c r="AZ73" s="100">
        <v>2.7081003021437171</v>
      </c>
      <c r="BA73" s="100">
        <v>1514.3696889587663</v>
      </c>
      <c r="BB73" s="100">
        <v>6</v>
      </c>
      <c r="BC73" s="100">
        <v>3355.2</v>
      </c>
      <c r="BD73" s="100">
        <v>5.9705774854035827</v>
      </c>
      <c r="BE73" s="100">
        <v>3338.7469298376832</v>
      </c>
      <c r="BF73" s="100">
        <v>4.0305365306691145</v>
      </c>
      <c r="BG73" s="100">
        <v>2253.8760279501685</v>
      </c>
      <c r="BH73" s="100">
        <v>2.2104476730688862</v>
      </c>
      <c r="BI73" s="100">
        <v>1236.0823387801211</v>
      </c>
      <c r="BJ73" s="100">
        <v>4</v>
      </c>
      <c r="BK73" s="100">
        <v>2236.7999999999997</v>
      </c>
      <c r="BL73" s="100">
        <v>3</v>
      </c>
      <c r="BM73" s="100">
        <v>1677.6</v>
      </c>
      <c r="BN73" s="100">
        <v>4.686738608771182</v>
      </c>
      <c r="BO73" s="100">
        <v>2620.8242300248448</v>
      </c>
      <c r="BP73" s="100">
        <v>2.773986755527722</v>
      </c>
      <c r="BQ73" s="100">
        <v>1551.2133936911021</v>
      </c>
      <c r="BR73" s="100">
        <v>3.6665857904288486</v>
      </c>
      <c r="BS73" s="100">
        <v>2050.354774007812</v>
      </c>
      <c r="BT73" s="100">
        <v>4</v>
      </c>
      <c r="BU73" s="100">
        <v>2236.7999999999997</v>
      </c>
      <c r="BV73" s="100">
        <v>5</v>
      </c>
      <c r="BW73" s="100">
        <v>2795.9999999999995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2.59162277118305</v>
      </c>
      <c r="CC73" s="100">
        <v>1449.2354536455614</v>
      </c>
      <c r="CD73" s="100">
        <v>4.8797922213484002</v>
      </c>
      <c r="CE73" s="100">
        <v>2728.7798101780249</v>
      </c>
      <c r="CF73" s="100">
        <v>1.9912828679603143</v>
      </c>
      <c r="CG73" s="100">
        <v>1113.5253797634075</v>
      </c>
      <c r="CH73" s="100">
        <v>3.972134606297919</v>
      </c>
      <c r="CI73" s="100">
        <v>2221.2176718417959</v>
      </c>
      <c r="CJ73" s="100">
        <v>5</v>
      </c>
      <c r="CK73" s="100">
        <v>2795.9999999999995</v>
      </c>
      <c r="CL73" s="100">
        <v>4</v>
      </c>
      <c r="CM73" s="100">
        <v>2236.7999999999997</v>
      </c>
      <c r="CN73" s="100">
        <v>6</v>
      </c>
      <c r="CO73" s="100">
        <v>3355.2</v>
      </c>
      <c r="CP73" s="100">
        <v>5.713802389564262</v>
      </c>
      <c r="CQ73" s="100">
        <v>3195.1582962443349</v>
      </c>
      <c r="CR73" s="100">
        <v>1.9024616717813974</v>
      </c>
      <c r="CS73" s="100">
        <v>1063.8565668601573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4.9968088371367143</v>
      </c>
      <c r="E74" s="100">
        <v>2014.7133231335231</v>
      </c>
      <c r="F74" s="100">
        <v>4.2416463395067181</v>
      </c>
      <c r="G74" s="100">
        <v>1710.2318040891087</v>
      </c>
      <c r="H74" s="100">
        <v>2.396070371618408</v>
      </c>
      <c r="I74" s="100">
        <v>966.09557383654203</v>
      </c>
      <c r="J74" s="100">
        <v>6.6003500083886344</v>
      </c>
      <c r="K74" s="100">
        <v>2661.2611233822972</v>
      </c>
      <c r="L74" s="100">
        <v>0.50221028878206397</v>
      </c>
      <c r="M74" s="100">
        <v>202.49118843692818</v>
      </c>
      <c r="N74" s="100">
        <v>5</v>
      </c>
      <c r="O74" s="100">
        <v>2016</v>
      </c>
      <c r="P74" s="100">
        <v>3</v>
      </c>
      <c r="Q74" s="100">
        <v>1209.5999999999999</v>
      </c>
      <c r="R74" s="100">
        <v>3</v>
      </c>
      <c r="S74" s="100">
        <v>1209.5999999999999</v>
      </c>
      <c r="T74" s="100">
        <v>4</v>
      </c>
      <c r="U74" s="100">
        <v>1612.8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4</v>
      </c>
      <c r="AA74" s="100">
        <v>1612.8</v>
      </c>
      <c r="AB74" s="100">
        <v>4</v>
      </c>
      <c r="AC74" s="100">
        <v>1612.8</v>
      </c>
      <c r="AD74" s="100">
        <v>6</v>
      </c>
      <c r="AE74" s="100">
        <v>2419.1999999999998</v>
      </c>
      <c r="AF74" s="100">
        <v>4</v>
      </c>
      <c r="AG74" s="100">
        <v>1612.8</v>
      </c>
      <c r="AH74" s="100">
        <v>3</v>
      </c>
      <c r="AI74" s="100">
        <v>1209.5999999999999</v>
      </c>
      <c r="AJ74" s="100">
        <v>3</v>
      </c>
      <c r="AK74" s="100">
        <v>1209.5999999999999</v>
      </c>
      <c r="AL74" s="100">
        <v>6</v>
      </c>
      <c r="AM74" s="100">
        <v>2419.1999999999998</v>
      </c>
      <c r="AN74" s="100">
        <v>3</v>
      </c>
      <c r="AO74" s="100">
        <v>1209.5999999999999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4</v>
      </c>
      <c r="AU74" s="100">
        <v>1612.8</v>
      </c>
      <c r="AV74" s="100">
        <v>5</v>
      </c>
      <c r="AW74" s="100">
        <v>2016</v>
      </c>
      <c r="AX74" s="100">
        <v>4</v>
      </c>
      <c r="AY74" s="100">
        <v>1612.8</v>
      </c>
      <c r="AZ74" s="100">
        <v>2.7081003021437171</v>
      </c>
      <c r="BA74" s="100">
        <v>1091.9060418243466</v>
      </c>
      <c r="BB74" s="100">
        <v>6</v>
      </c>
      <c r="BC74" s="100">
        <v>2419.1999999999998</v>
      </c>
      <c r="BD74" s="100">
        <v>4.9754812378363189</v>
      </c>
      <c r="BE74" s="100">
        <v>2006.1140350956036</v>
      </c>
      <c r="BF74" s="100">
        <v>4.7452321290915016</v>
      </c>
      <c r="BG74" s="100">
        <v>1913.2775944496934</v>
      </c>
      <c r="BH74" s="100">
        <v>2.2104476730688862</v>
      </c>
      <c r="BI74" s="100">
        <v>891.25250178137492</v>
      </c>
      <c r="BJ74" s="100">
        <v>4</v>
      </c>
      <c r="BK74" s="100">
        <v>1612.8</v>
      </c>
      <c r="BL74" s="100">
        <v>3</v>
      </c>
      <c r="BM74" s="100">
        <v>1209.5999999999999</v>
      </c>
      <c r="BN74" s="100">
        <v>4.588633093232442</v>
      </c>
      <c r="BO74" s="100">
        <v>1850.1368631913206</v>
      </c>
      <c r="BP74" s="100">
        <v>2.2191894044221776</v>
      </c>
      <c r="BQ74" s="100">
        <v>894.77716786302199</v>
      </c>
      <c r="BR74" s="100">
        <v>3.6665857904288486</v>
      </c>
      <c r="BS74" s="100">
        <v>1478.3673907009118</v>
      </c>
      <c r="BT74" s="100">
        <v>4</v>
      </c>
      <c r="BU74" s="100">
        <v>1612.8</v>
      </c>
      <c r="BV74" s="100">
        <v>6</v>
      </c>
      <c r="BW74" s="100">
        <v>2419.1999999999998</v>
      </c>
      <c r="BX74" s="100">
        <v>5</v>
      </c>
      <c r="BY74" s="100">
        <v>2016</v>
      </c>
      <c r="BZ74" s="100">
        <v>6</v>
      </c>
      <c r="CA74" s="100">
        <v>2419.1999999999998</v>
      </c>
      <c r="CB74" s="100">
        <v>2.59162277118305</v>
      </c>
      <c r="CC74" s="100">
        <v>1044.9423013410058</v>
      </c>
      <c r="CD74" s="100">
        <v>3.9038337770787206</v>
      </c>
      <c r="CE74" s="100">
        <v>1574.0257789181401</v>
      </c>
      <c r="CF74" s="100">
        <v>1.9912828679603143</v>
      </c>
      <c r="CG74" s="100">
        <v>802.88525236159865</v>
      </c>
      <c r="CH74" s="100">
        <v>3.972134606297919</v>
      </c>
      <c r="CI74" s="100">
        <v>1601.5646732593209</v>
      </c>
      <c r="CJ74" s="100">
        <v>5</v>
      </c>
      <c r="CK74" s="100">
        <v>2016</v>
      </c>
      <c r="CL74" s="100">
        <v>4</v>
      </c>
      <c r="CM74" s="100">
        <v>1612.8</v>
      </c>
      <c r="CN74" s="100">
        <v>5</v>
      </c>
      <c r="CO74" s="100">
        <v>2016</v>
      </c>
      <c r="CP74" s="100">
        <v>4.7615019913035521</v>
      </c>
      <c r="CQ74" s="100">
        <v>1919.8376028935922</v>
      </c>
      <c r="CR74" s="100">
        <v>1.9024616717813974</v>
      </c>
      <c r="CS74" s="100">
        <v>767.07254606225945</v>
      </c>
      <c r="CT74" s="100">
        <v>4</v>
      </c>
      <c r="CU74" s="100">
        <v>1612.8</v>
      </c>
    </row>
    <row r="75" spans="2:99">
      <c r="C75" s="99" t="s">
        <v>241</v>
      </c>
      <c r="D75" s="100">
        <v>4.9968088371367143</v>
      </c>
      <c r="E75" s="100">
        <v>3213.9474440463341</v>
      </c>
      <c r="F75" s="100">
        <v>4.2416463395067181</v>
      </c>
      <c r="G75" s="100">
        <v>2728.2269255707206</v>
      </c>
      <c r="H75" s="100">
        <v>1.9967253096820068</v>
      </c>
      <c r="I75" s="100">
        <v>1284.2937191874666</v>
      </c>
      <c r="J75" s="100">
        <v>5.9124784470464977</v>
      </c>
      <c r="K75" s="100">
        <v>3802.9061371403068</v>
      </c>
      <c r="L75" s="100">
        <v>0.50221028878206397</v>
      </c>
      <c r="M75" s="100">
        <v>323.0216577446235</v>
      </c>
      <c r="N75" s="100">
        <v>6</v>
      </c>
      <c r="O75" s="100">
        <v>3859.2</v>
      </c>
      <c r="P75" s="100">
        <v>3</v>
      </c>
      <c r="Q75" s="100">
        <v>1929.6</v>
      </c>
      <c r="R75" s="100">
        <v>3</v>
      </c>
      <c r="S75" s="100">
        <v>1929.6</v>
      </c>
      <c r="T75" s="100">
        <v>4</v>
      </c>
      <c r="U75" s="100">
        <v>2572.7999999999997</v>
      </c>
      <c r="V75" s="100">
        <v>5</v>
      </c>
      <c r="W75" s="100">
        <v>3215.9999999999995</v>
      </c>
      <c r="X75" s="100">
        <v>6</v>
      </c>
      <c r="Y75" s="100">
        <v>3859.2</v>
      </c>
      <c r="Z75" s="100">
        <v>4</v>
      </c>
      <c r="AA75" s="100">
        <v>2572.7999999999997</v>
      </c>
      <c r="AB75" s="100">
        <v>5</v>
      </c>
      <c r="AC75" s="100">
        <v>3215.9999999999995</v>
      </c>
      <c r="AD75" s="100">
        <v>6</v>
      </c>
      <c r="AE75" s="100">
        <v>3859.2</v>
      </c>
      <c r="AF75" s="100">
        <v>4</v>
      </c>
      <c r="AG75" s="100">
        <v>2572.7999999999997</v>
      </c>
      <c r="AH75" s="100">
        <v>3</v>
      </c>
      <c r="AI75" s="100">
        <v>1929.6</v>
      </c>
      <c r="AJ75" s="100">
        <v>3</v>
      </c>
      <c r="AK75" s="100">
        <v>1929.6</v>
      </c>
      <c r="AL75" s="100">
        <v>6</v>
      </c>
      <c r="AM75" s="100">
        <v>3859.2</v>
      </c>
      <c r="AN75" s="100">
        <v>3</v>
      </c>
      <c r="AO75" s="100">
        <v>1929.6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4</v>
      </c>
      <c r="AU75" s="100">
        <v>2572.7999999999997</v>
      </c>
      <c r="AV75" s="100">
        <v>5</v>
      </c>
      <c r="AW75" s="100">
        <v>3215.9999999999995</v>
      </c>
      <c r="AX75" s="100">
        <v>4</v>
      </c>
      <c r="AY75" s="100">
        <v>2572.7999999999997</v>
      </c>
      <c r="AZ75" s="100">
        <v>2.7081003021437171</v>
      </c>
      <c r="BA75" s="100">
        <v>1741.8501143388387</v>
      </c>
      <c r="BB75" s="100">
        <v>6</v>
      </c>
      <c r="BC75" s="100">
        <v>3859.2</v>
      </c>
      <c r="BD75" s="100">
        <v>5.9705774854035827</v>
      </c>
      <c r="BE75" s="100">
        <v>3840.2754386115839</v>
      </c>
      <c r="BF75" s="100">
        <v>3.9543601075762509</v>
      </c>
      <c r="BG75" s="100">
        <v>2543.4444211930445</v>
      </c>
      <c r="BH75" s="100">
        <v>1.842039727557405</v>
      </c>
      <c r="BI75" s="100">
        <v>1184.7999527649229</v>
      </c>
      <c r="BJ75" s="100">
        <v>4</v>
      </c>
      <c r="BK75" s="100">
        <v>2572.7999999999997</v>
      </c>
      <c r="BL75" s="100">
        <v>4</v>
      </c>
      <c r="BM75" s="100">
        <v>2572.7999999999997</v>
      </c>
      <c r="BN75" s="100">
        <v>4.588633093232442</v>
      </c>
      <c r="BO75" s="100">
        <v>2951.4088055671064</v>
      </c>
      <c r="BP75" s="100">
        <v>2.2191894044221776</v>
      </c>
      <c r="BQ75" s="100">
        <v>1427.3826249243446</v>
      </c>
      <c r="BR75" s="100">
        <v>3.6665857904288486</v>
      </c>
      <c r="BS75" s="100">
        <v>2358.3479804038352</v>
      </c>
      <c r="BT75" s="100">
        <v>4</v>
      </c>
      <c r="BU75" s="100">
        <v>2572.7999999999997</v>
      </c>
      <c r="BV75" s="100">
        <v>6</v>
      </c>
      <c r="BW75" s="100">
        <v>3859.2</v>
      </c>
      <c r="BX75" s="100">
        <v>5</v>
      </c>
      <c r="BY75" s="100">
        <v>3215.9999999999995</v>
      </c>
      <c r="BZ75" s="100">
        <v>7</v>
      </c>
      <c r="CA75" s="100">
        <v>4502.3999999999996</v>
      </c>
      <c r="CB75" s="100">
        <v>2.59162277118305</v>
      </c>
      <c r="CC75" s="100">
        <v>1666.9317664249375</v>
      </c>
      <c r="CD75" s="100">
        <v>3.9038337770787206</v>
      </c>
      <c r="CE75" s="100">
        <v>2510.945885417033</v>
      </c>
      <c r="CF75" s="100">
        <v>1.9912828679603143</v>
      </c>
      <c r="CG75" s="100">
        <v>1280.7931406720741</v>
      </c>
      <c r="CH75" s="100">
        <v>2.9791009547234393</v>
      </c>
      <c r="CI75" s="100">
        <v>1916.1577340781159</v>
      </c>
      <c r="CJ75" s="100">
        <v>6</v>
      </c>
      <c r="CK75" s="100">
        <v>3859.2</v>
      </c>
      <c r="CL75" s="100">
        <v>4</v>
      </c>
      <c r="CM75" s="100">
        <v>2572.7999999999997</v>
      </c>
      <c r="CN75" s="100">
        <v>5</v>
      </c>
      <c r="CO75" s="100">
        <v>3215.9999999999995</v>
      </c>
      <c r="CP75" s="100">
        <v>4.7615019913035521</v>
      </c>
      <c r="CQ75" s="100">
        <v>3062.5980808064446</v>
      </c>
      <c r="CR75" s="100">
        <v>1.5853847264844978</v>
      </c>
      <c r="CS75" s="100">
        <v>1019.7194560748288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5.9961706045640577</v>
      </c>
      <c r="E76" s="100">
        <v>4669.8176668344877</v>
      </c>
      <c r="F76" s="100">
        <v>4.2416463395067181</v>
      </c>
      <c r="G76" s="100">
        <v>3303.394169207832</v>
      </c>
      <c r="H76" s="100">
        <v>2.396070371618408</v>
      </c>
      <c r="I76" s="100">
        <v>1866.0596054164159</v>
      </c>
      <c r="J76" s="100">
        <v>6.5512163254356244</v>
      </c>
      <c r="K76" s="100">
        <v>5102.0872742492638</v>
      </c>
      <c r="L76" s="100">
        <v>0.50221028878206397</v>
      </c>
      <c r="M76" s="100">
        <v>391.12137290347141</v>
      </c>
      <c r="N76" s="100">
        <v>5</v>
      </c>
      <c r="O76" s="100">
        <v>3894</v>
      </c>
      <c r="P76" s="100">
        <v>3</v>
      </c>
      <c r="Q76" s="100">
        <v>2336.3999999999996</v>
      </c>
      <c r="R76" s="100">
        <v>3</v>
      </c>
      <c r="S76" s="100">
        <v>2336.3999999999996</v>
      </c>
      <c r="T76" s="100">
        <v>4</v>
      </c>
      <c r="U76" s="100">
        <v>3115.2</v>
      </c>
      <c r="V76" s="100">
        <v>5</v>
      </c>
      <c r="W76" s="100">
        <v>3894</v>
      </c>
      <c r="X76" s="100">
        <v>6</v>
      </c>
      <c r="Y76" s="100">
        <v>4672.7999999999993</v>
      </c>
      <c r="Z76" s="100">
        <v>4</v>
      </c>
      <c r="AA76" s="100">
        <v>3115.2</v>
      </c>
      <c r="AB76" s="100">
        <v>4</v>
      </c>
      <c r="AC76" s="100">
        <v>3115.2</v>
      </c>
      <c r="AD76" s="100">
        <v>6</v>
      </c>
      <c r="AE76" s="100">
        <v>4672.7999999999993</v>
      </c>
      <c r="AF76" s="100">
        <v>4</v>
      </c>
      <c r="AG76" s="100">
        <v>3115.2</v>
      </c>
      <c r="AH76" s="100">
        <v>3</v>
      </c>
      <c r="AI76" s="100">
        <v>2336.3999999999996</v>
      </c>
      <c r="AJ76" s="100">
        <v>3</v>
      </c>
      <c r="AK76" s="100">
        <v>2336.3999999999996</v>
      </c>
      <c r="AL76" s="100">
        <v>5</v>
      </c>
      <c r="AM76" s="100">
        <v>3894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6</v>
      </c>
      <c r="AS76" s="100">
        <v>4672.7999999999993</v>
      </c>
      <c r="AT76" s="100">
        <v>4</v>
      </c>
      <c r="AU76" s="100">
        <v>3115.2</v>
      </c>
      <c r="AV76" s="100">
        <v>5</v>
      </c>
      <c r="AW76" s="100">
        <v>3894</v>
      </c>
      <c r="AX76" s="100">
        <v>4</v>
      </c>
      <c r="AY76" s="100">
        <v>3115.2</v>
      </c>
      <c r="AZ76" s="100">
        <v>2.7081003021437171</v>
      </c>
      <c r="BA76" s="100">
        <v>2109.0685153095269</v>
      </c>
      <c r="BB76" s="100">
        <v>6</v>
      </c>
      <c r="BC76" s="100">
        <v>4672.7999999999993</v>
      </c>
      <c r="BD76" s="100">
        <v>5.9705774854035827</v>
      </c>
      <c r="BE76" s="100">
        <v>4649.8857456323103</v>
      </c>
      <c r="BF76" s="100">
        <v>4.0305365306691145</v>
      </c>
      <c r="BG76" s="100">
        <v>3138.9818500851061</v>
      </c>
      <c r="BH76" s="100">
        <v>2.2104476730688862</v>
      </c>
      <c r="BI76" s="100">
        <v>1721.4966477860485</v>
      </c>
      <c r="BJ76" s="100">
        <v>3</v>
      </c>
      <c r="BK76" s="100">
        <v>2336.3999999999996</v>
      </c>
      <c r="BL76" s="100">
        <v>4</v>
      </c>
      <c r="BM76" s="100">
        <v>3115.2</v>
      </c>
      <c r="BN76" s="100">
        <v>4.588633093232442</v>
      </c>
      <c r="BO76" s="100">
        <v>3573.6274530094256</v>
      </c>
      <c r="BP76" s="100">
        <v>2.2191894044221776</v>
      </c>
      <c r="BQ76" s="100">
        <v>1728.3047081639918</v>
      </c>
      <c r="BR76" s="100">
        <v>3.6665857904288486</v>
      </c>
      <c r="BS76" s="100">
        <v>2855.5370135859871</v>
      </c>
      <c r="BT76" s="100">
        <v>4</v>
      </c>
      <c r="BU76" s="100">
        <v>3115.2</v>
      </c>
      <c r="BV76" s="100">
        <v>6</v>
      </c>
      <c r="BW76" s="100">
        <v>4672.7999999999993</v>
      </c>
      <c r="BX76" s="100">
        <v>5</v>
      </c>
      <c r="BY76" s="100">
        <v>3894</v>
      </c>
      <c r="BZ76" s="100">
        <v>6</v>
      </c>
      <c r="CA76" s="100">
        <v>4672.7999999999993</v>
      </c>
      <c r="CB76" s="100">
        <v>2.0732982169464398</v>
      </c>
      <c r="CC76" s="100">
        <v>1614.6846513578871</v>
      </c>
      <c r="CD76" s="100">
        <v>3.9038337770787206</v>
      </c>
      <c r="CE76" s="100">
        <v>3040.3057455889075</v>
      </c>
      <c r="CF76" s="100">
        <v>1.5930262943682514</v>
      </c>
      <c r="CG76" s="100">
        <v>1240.6488780539942</v>
      </c>
      <c r="CH76" s="100">
        <v>3.972134606297919</v>
      </c>
      <c r="CI76" s="100">
        <v>3093.498431384819</v>
      </c>
      <c r="CJ76" s="100">
        <v>5</v>
      </c>
      <c r="CK76" s="100">
        <v>3894</v>
      </c>
      <c r="CL76" s="100">
        <v>4</v>
      </c>
      <c r="CM76" s="100">
        <v>3115.2</v>
      </c>
      <c r="CN76" s="100">
        <v>5</v>
      </c>
      <c r="CO76" s="100">
        <v>3894</v>
      </c>
      <c r="CP76" s="100">
        <v>4.7615019913035521</v>
      </c>
      <c r="CQ76" s="100">
        <v>3708.2577508272061</v>
      </c>
      <c r="CR76" s="100">
        <v>1.9024616717813974</v>
      </c>
      <c r="CS76" s="100">
        <v>1481.6371499833522</v>
      </c>
      <c r="CT76" s="100">
        <v>3</v>
      </c>
      <c r="CU76" s="100">
        <v>2336.3999999999996</v>
      </c>
    </row>
    <row r="77" spans="2:99">
      <c r="C77" s="99" t="s">
        <v>243</v>
      </c>
      <c r="D77" s="100">
        <v>5.9961706045640577</v>
      </c>
      <c r="E77" s="100">
        <v>1669.3338963106335</v>
      </c>
      <c r="F77" s="100">
        <v>4.2416463395067181</v>
      </c>
      <c r="G77" s="100">
        <v>1180.8743409186702</v>
      </c>
      <c r="H77" s="100">
        <v>1.9967253096820068</v>
      </c>
      <c r="I77" s="100">
        <v>555.88832621547067</v>
      </c>
      <c r="J77" s="100">
        <v>6.6003500083886344</v>
      </c>
      <c r="K77" s="100">
        <v>1837.5374423353956</v>
      </c>
      <c r="L77" s="100">
        <v>0.50221028878206397</v>
      </c>
      <c r="M77" s="100">
        <v>139.8153443969266</v>
      </c>
      <c r="N77" s="100">
        <v>5</v>
      </c>
      <c r="O77" s="100">
        <v>1392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4</v>
      </c>
      <c r="U77" s="100">
        <v>1113.5999999999999</v>
      </c>
      <c r="V77" s="100">
        <v>5</v>
      </c>
      <c r="W77" s="100">
        <v>1392</v>
      </c>
      <c r="X77" s="100">
        <v>5</v>
      </c>
      <c r="Y77" s="100">
        <v>1392</v>
      </c>
      <c r="Z77" s="100">
        <v>4</v>
      </c>
      <c r="AA77" s="100">
        <v>1113.5999999999999</v>
      </c>
      <c r="AB77" s="100">
        <v>4</v>
      </c>
      <c r="AC77" s="100">
        <v>1113.5999999999999</v>
      </c>
      <c r="AD77" s="100">
        <v>6</v>
      </c>
      <c r="AE77" s="100">
        <v>1670.3999999999999</v>
      </c>
      <c r="AF77" s="100">
        <v>4</v>
      </c>
      <c r="AG77" s="100">
        <v>1113.5999999999999</v>
      </c>
      <c r="AH77" s="100">
        <v>3</v>
      </c>
      <c r="AI77" s="100">
        <v>835.19999999999993</v>
      </c>
      <c r="AJ77" s="100">
        <v>3</v>
      </c>
      <c r="AK77" s="100">
        <v>835.19999999999993</v>
      </c>
      <c r="AL77" s="100">
        <v>5</v>
      </c>
      <c r="AM77" s="100">
        <v>1392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6</v>
      </c>
      <c r="AS77" s="100">
        <v>1670.3999999999999</v>
      </c>
      <c r="AT77" s="100">
        <v>4</v>
      </c>
      <c r="AU77" s="100">
        <v>1113.5999999999999</v>
      </c>
      <c r="AV77" s="100">
        <v>5</v>
      </c>
      <c r="AW77" s="100">
        <v>1392</v>
      </c>
      <c r="AX77" s="100">
        <v>4</v>
      </c>
      <c r="AY77" s="100">
        <v>1113.5999999999999</v>
      </c>
      <c r="AZ77" s="100">
        <v>3.6108004028582896</v>
      </c>
      <c r="BA77" s="100">
        <v>1005.2468321557477</v>
      </c>
      <c r="BB77" s="100">
        <v>6</v>
      </c>
      <c r="BC77" s="100">
        <v>1670.3999999999999</v>
      </c>
      <c r="BD77" s="100">
        <v>5.9705774854035827</v>
      </c>
      <c r="BE77" s="100">
        <v>1662.2087719363574</v>
      </c>
      <c r="BF77" s="100">
        <v>3.9543601075762509</v>
      </c>
      <c r="BG77" s="100">
        <v>1100.8938539492281</v>
      </c>
      <c r="BH77" s="100">
        <v>1.842039727557405</v>
      </c>
      <c r="BI77" s="100">
        <v>512.82386015198153</v>
      </c>
      <c r="BJ77" s="100">
        <v>3</v>
      </c>
      <c r="BK77" s="100">
        <v>835.19999999999993</v>
      </c>
      <c r="BL77" s="100">
        <v>3</v>
      </c>
      <c r="BM77" s="100">
        <v>835.19999999999993</v>
      </c>
      <c r="BN77" s="100">
        <v>4.588633093232442</v>
      </c>
      <c r="BO77" s="100">
        <v>1277.4754531559117</v>
      </c>
      <c r="BP77" s="100">
        <v>2.2191894044221776</v>
      </c>
      <c r="BQ77" s="100">
        <v>617.82233019113414</v>
      </c>
      <c r="BR77" s="100">
        <v>3.6665857904288486</v>
      </c>
      <c r="BS77" s="100">
        <v>1020.7774840553914</v>
      </c>
      <c r="BT77" s="100">
        <v>4</v>
      </c>
      <c r="BU77" s="100">
        <v>1113.5999999999999</v>
      </c>
      <c r="BV77" s="100">
        <v>6</v>
      </c>
      <c r="BW77" s="100">
        <v>1670.3999999999999</v>
      </c>
      <c r="BX77" s="100">
        <v>5</v>
      </c>
      <c r="BY77" s="100">
        <v>1392</v>
      </c>
      <c r="BZ77" s="100">
        <v>6</v>
      </c>
      <c r="CA77" s="100">
        <v>1670.3999999999999</v>
      </c>
      <c r="CB77" s="100">
        <v>2.0732982169464398</v>
      </c>
      <c r="CC77" s="100">
        <v>577.20622359788877</v>
      </c>
      <c r="CD77" s="100">
        <v>3.9038337770787206</v>
      </c>
      <c r="CE77" s="100">
        <v>1086.8273235387157</v>
      </c>
      <c r="CF77" s="100">
        <v>1.9912828679603143</v>
      </c>
      <c r="CG77" s="100">
        <v>554.37315044015145</v>
      </c>
      <c r="CH77" s="100">
        <v>3.972134606297919</v>
      </c>
      <c r="CI77" s="100">
        <v>1105.8422743933406</v>
      </c>
      <c r="CJ77" s="100">
        <v>6</v>
      </c>
      <c r="CK77" s="100">
        <v>1670.3999999999999</v>
      </c>
      <c r="CL77" s="100">
        <v>4</v>
      </c>
      <c r="CM77" s="100">
        <v>1113.5999999999999</v>
      </c>
      <c r="CN77" s="100">
        <v>5</v>
      </c>
      <c r="CO77" s="100">
        <v>1392</v>
      </c>
      <c r="CP77" s="100">
        <v>4.7615019913035521</v>
      </c>
      <c r="CQ77" s="100">
        <v>1325.6021543789088</v>
      </c>
      <c r="CR77" s="100">
        <v>1.9024616717813974</v>
      </c>
      <c r="CS77" s="100">
        <v>529.64532942394101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5.9961706045640577</v>
      </c>
      <c r="E78" s="100">
        <v>3309.8861737193597</v>
      </c>
      <c r="F78" s="100">
        <v>4.2416463395067181</v>
      </c>
      <c r="G78" s="100">
        <v>2341.3887794077082</v>
      </c>
      <c r="H78" s="100">
        <v>1.9967253096820068</v>
      </c>
      <c r="I78" s="100">
        <v>1102.1923709444677</v>
      </c>
      <c r="J78" s="100">
        <v>6.6494836913416435</v>
      </c>
      <c r="K78" s="100">
        <v>3670.5149976205871</v>
      </c>
      <c r="L78" s="100">
        <v>0.50221028878206397</v>
      </c>
      <c r="M78" s="100">
        <v>277.2200794076993</v>
      </c>
      <c r="N78" s="100">
        <v>6</v>
      </c>
      <c r="O78" s="100">
        <v>3312</v>
      </c>
      <c r="P78" s="100">
        <v>3</v>
      </c>
      <c r="Q78" s="100">
        <v>1656</v>
      </c>
      <c r="R78" s="100">
        <v>4</v>
      </c>
      <c r="S78" s="100">
        <v>2208</v>
      </c>
      <c r="T78" s="100">
        <v>5</v>
      </c>
      <c r="U78" s="100">
        <v>2760</v>
      </c>
      <c r="V78" s="100">
        <v>5</v>
      </c>
      <c r="W78" s="100">
        <v>2760</v>
      </c>
      <c r="X78" s="100">
        <v>5</v>
      </c>
      <c r="Y78" s="100">
        <v>2760</v>
      </c>
      <c r="Z78" s="100">
        <v>4</v>
      </c>
      <c r="AA78" s="100">
        <v>2208</v>
      </c>
      <c r="AB78" s="100">
        <v>4</v>
      </c>
      <c r="AC78" s="100">
        <v>2208</v>
      </c>
      <c r="AD78" s="100">
        <v>6</v>
      </c>
      <c r="AE78" s="100">
        <v>3312</v>
      </c>
      <c r="AF78" s="100">
        <v>4</v>
      </c>
      <c r="AG78" s="100">
        <v>2208</v>
      </c>
      <c r="AH78" s="100">
        <v>3</v>
      </c>
      <c r="AI78" s="100">
        <v>1656</v>
      </c>
      <c r="AJ78" s="100">
        <v>3</v>
      </c>
      <c r="AK78" s="100">
        <v>1656</v>
      </c>
      <c r="AL78" s="100">
        <v>6</v>
      </c>
      <c r="AM78" s="100">
        <v>3312</v>
      </c>
      <c r="AN78" s="100">
        <v>3</v>
      </c>
      <c r="AO78" s="100">
        <v>1656</v>
      </c>
      <c r="AP78" s="100">
        <v>4</v>
      </c>
      <c r="AQ78" s="100">
        <v>2208</v>
      </c>
      <c r="AR78" s="100">
        <v>6</v>
      </c>
      <c r="AS78" s="100">
        <v>3312</v>
      </c>
      <c r="AT78" s="100">
        <v>4</v>
      </c>
      <c r="AU78" s="100">
        <v>2208</v>
      </c>
      <c r="AV78" s="100">
        <v>5</v>
      </c>
      <c r="AW78" s="100">
        <v>2760</v>
      </c>
      <c r="AX78" s="100">
        <v>4</v>
      </c>
      <c r="AY78" s="100">
        <v>2208</v>
      </c>
      <c r="AZ78" s="100">
        <v>3.6108004028582896</v>
      </c>
      <c r="BA78" s="100">
        <v>1993.1618223777759</v>
      </c>
      <c r="BB78" s="100">
        <v>6</v>
      </c>
      <c r="BC78" s="100">
        <v>3312</v>
      </c>
      <c r="BD78" s="100">
        <v>5.9705774854035827</v>
      </c>
      <c r="BE78" s="100">
        <v>3295.7587719427775</v>
      </c>
      <c r="BF78" s="100">
        <v>3.9543601075762509</v>
      </c>
      <c r="BG78" s="100">
        <v>2182.8067793820906</v>
      </c>
      <c r="BH78" s="100">
        <v>2.2104476730688862</v>
      </c>
      <c r="BI78" s="100">
        <v>1220.1671155340252</v>
      </c>
      <c r="BJ78" s="100">
        <v>4</v>
      </c>
      <c r="BK78" s="100">
        <v>2208</v>
      </c>
      <c r="BL78" s="100">
        <v>4</v>
      </c>
      <c r="BM78" s="100">
        <v>2208</v>
      </c>
      <c r="BN78" s="100">
        <v>4.6376858510018124</v>
      </c>
      <c r="BO78" s="100">
        <v>2560.0025897530004</v>
      </c>
      <c r="BP78" s="100">
        <v>2.2191894044221776</v>
      </c>
      <c r="BQ78" s="100">
        <v>1224.9925512410421</v>
      </c>
      <c r="BR78" s="100">
        <v>3.6665857904288486</v>
      </c>
      <c r="BS78" s="100">
        <v>2023.9553563167244</v>
      </c>
      <c r="BT78" s="100">
        <v>4</v>
      </c>
      <c r="BU78" s="100">
        <v>2208</v>
      </c>
      <c r="BV78" s="100">
        <v>6</v>
      </c>
      <c r="BW78" s="100">
        <v>3312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2.0732982169464398</v>
      </c>
      <c r="CC78" s="100">
        <v>1144.4606157544347</v>
      </c>
      <c r="CD78" s="100">
        <v>3.9038337770787206</v>
      </c>
      <c r="CE78" s="100">
        <v>2154.9162449474538</v>
      </c>
      <c r="CF78" s="100">
        <v>1.9912828679603143</v>
      </c>
      <c r="CG78" s="100">
        <v>1099.1881431140935</v>
      </c>
      <c r="CH78" s="100">
        <v>3.972134606297919</v>
      </c>
      <c r="CI78" s="100">
        <v>2192.6183026764511</v>
      </c>
      <c r="CJ78" s="100">
        <v>6</v>
      </c>
      <c r="CK78" s="100">
        <v>3312</v>
      </c>
      <c r="CL78" s="100">
        <v>4</v>
      </c>
      <c r="CM78" s="100">
        <v>2208</v>
      </c>
      <c r="CN78" s="100">
        <v>6</v>
      </c>
      <c r="CO78" s="100">
        <v>3312</v>
      </c>
      <c r="CP78" s="100">
        <v>4.7615019913035521</v>
      </c>
      <c r="CQ78" s="100">
        <v>2628.3490991995609</v>
      </c>
      <c r="CR78" s="100">
        <v>1.9024616717813974</v>
      </c>
      <c r="CS78" s="100">
        <v>1050.1588428233313</v>
      </c>
      <c r="CT78" s="100">
        <v>3</v>
      </c>
      <c r="CU78" s="100">
        <v>1656</v>
      </c>
    </row>
    <row r="79" spans="2:99">
      <c r="C79" s="99" t="s">
        <v>245</v>
      </c>
      <c r="D79" s="100">
        <v>4.9968088371367143</v>
      </c>
      <c r="E79" s="100">
        <v>3783.5836514799198</v>
      </c>
      <c r="F79" s="100">
        <v>3.5347052829222649</v>
      </c>
      <c r="G79" s="100">
        <v>2676.4788402287386</v>
      </c>
      <c r="H79" s="100">
        <v>2.396070371618408</v>
      </c>
      <c r="I79" s="100">
        <v>1814.3044853894583</v>
      </c>
      <c r="J79" s="100">
        <v>5.9124784470464977</v>
      </c>
      <c r="K79" s="100">
        <v>4476.9286801036078</v>
      </c>
      <c r="L79" s="100">
        <v>0.50221028878206397</v>
      </c>
      <c r="M79" s="100">
        <v>380.2736306657788</v>
      </c>
      <c r="N79" s="100">
        <v>5</v>
      </c>
      <c r="O79" s="100">
        <v>3785.9999999999995</v>
      </c>
      <c r="P79" s="100">
        <v>3</v>
      </c>
      <c r="Q79" s="100">
        <v>2271.6</v>
      </c>
      <c r="R79" s="100">
        <v>3</v>
      </c>
      <c r="S79" s="100">
        <v>2271.6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6</v>
      </c>
      <c r="Y79" s="100">
        <v>4543.2</v>
      </c>
      <c r="Z79" s="100">
        <v>4</v>
      </c>
      <c r="AA79" s="100">
        <v>3028.7999999999997</v>
      </c>
      <c r="AB79" s="100">
        <v>4</v>
      </c>
      <c r="AC79" s="100">
        <v>3028.7999999999997</v>
      </c>
      <c r="AD79" s="100">
        <v>6</v>
      </c>
      <c r="AE79" s="100">
        <v>4543.2</v>
      </c>
      <c r="AF79" s="100">
        <v>4</v>
      </c>
      <c r="AG79" s="100">
        <v>3028.7999999999997</v>
      </c>
      <c r="AH79" s="100">
        <v>3</v>
      </c>
      <c r="AI79" s="100">
        <v>2271.6</v>
      </c>
      <c r="AJ79" s="100">
        <v>3</v>
      </c>
      <c r="AK79" s="100">
        <v>2271.6</v>
      </c>
      <c r="AL79" s="100">
        <v>5</v>
      </c>
      <c r="AM79" s="100">
        <v>3785.9999999999995</v>
      </c>
      <c r="AN79" s="100">
        <v>3</v>
      </c>
      <c r="AO79" s="100">
        <v>2271.6</v>
      </c>
      <c r="AP79" s="100">
        <v>5</v>
      </c>
      <c r="AQ79" s="100">
        <v>3785.9999999999995</v>
      </c>
      <c r="AR79" s="100">
        <v>6</v>
      </c>
      <c r="AS79" s="100">
        <v>4543.2</v>
      </c>
      <c r="AT79" s="100">
        <v>4</v>
      </c>
      <c r="AU79" s="100">
        <v>3028.7999999999997</v>
      </c>
      <c r="AV79" s="100">
        <v>5</v>
      </c>
      <c r="AW79" s="100">
        <v>3785.9999999999995</v>
      </c>
      <c r="AX79" s="100">
        <v>4</v>
      </c>
      <c r="AY79" s="100">
        <v>3028.7999999999997</v>
      </c>
      <c r="AZ79" s="100">
        <v>3.6108004028582896</v>
      </c>
      <c r="BA79" s="100">
        <v>2734.0980650442966</v>
      </c>
      <c r="BB79" s="100">
        <v>5</v>
      </c>
      <c r="BC79" s="100">
        <v>3785.9999999999995</v>
      </c>
      <c r="BD79" s="100">
        <v>4.9754812378363189</v>
      </c>
      <c r="BE79" s="100">
        <v>3767.4343932896604</v>
      </c>
      <c r="BF79" s="100">
        <v>3.9543601075762509</v>
      </c>
      <c r="BG79" s="100">
        <v>2994.2414734567369</v>
      </c>
      <c r="BH79" s="100">
        <v>2.2104476730688862</v>
      </c>
      <c r="BI79" s="100">
        <v>1673.7509780477606</v>
      </c>
      <c r="BJ79" s="100">
        <v>3</v>
      </c>
      <c r="BK79" s="100">
        <v>2271.6</v>
      </c>
      <c r="BL79" s="100">
        <v>4</v>
      </c>
      <c r="BM79" s="100">
        <v>3028.7999999999997</v>
      </c>
      <c r="BN79" s="100">
        <v>4.686738608771182</v>
      </c>
      <c r="BO79" s="100">
        <v>3548.7984745615386</v>
      </c>
      <c r="BP79" s="100">
        <v>2.2191894044221776</v>
      </c>
      <c r="BQ79" s="100">
        <v>1680.3702170284728</v>
      </c>
      <c r="BR79" s="100">
        <v>3.6665857904288486</v>
      </c>
      <c r="BS79" s="100">
        <v>2776.3387605127241</v>
      </c>
      <c r="BT79" s="100">
        <v>4</v>
      </c>
      <c r="BU79" s="100">
        <v>3028.7999999999997</v>
      </c>
      <c r="BV79" s="100">
        <v>6</v>
      </c>
      <c r="BW79" s="100">
        <v>4543.2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2.0732982169464398</v>
      </c>
      <c r="CC79" s="100">
        <v>1569.901409871844</v>
      </c>
      <c r="CD79" s="100">
        <v>3.9038337770787206</v>
      </c>
      <c r="CE79" s="100">
        <v>2955.9829360040071</v>
      </c>
      <c r="CF79" s="100">
        <v>1.9912828679603143</v>
      </c>
      <c r="CG79" s="100">
        <v>1507.7993876195499</v>
      </c>
      <c r="CH79" s="100">
        <v>3.972134606297919</v>
      </c>
      <c r="CI79" s="100">
        <v>3007.7003238887842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6</v>
      </c>
      <c r="CO79" s="100">
        <v>4543.2</v>
      </c>
      <c r="CP79" s="100">
        <v>4.7615019913035521</v>
      </c>
      <c r="CQ79" s="100">
        <v>3605.4093078150495</v>
      </c>
      <c r="CR79" s="100">
        <v>1.9024616717813974</v>
      </c>
      <c r="CS79" s="100">
        <v>1440.5439778728739</v>
      </c>
      <c r="CT79" s="100">
        <v>3</v>
      </c>
      <c r="CU79" s="100">
        <v>2271.6</v>
      </c>
    </row>
    <row r="80" spans="2:99">
      <c r="C80" s="99" t="s">
        <v>246</v>
      </c>
      <c r="D80" s="100">
        <v>4.9968088371367143</v>
      </c>
      <c r="E80" s="100">
        <v>4023.430475662482</v>
      </c>
      <c r="F80" s="100">
        <v>4.2416463395067181</v>
      </c>
      <c r="G80" s="100">
        <v>3415.3736325708091</v>
      </c>
      <c r="H80" s="100">
        <v>1.9967253096820068</v>
      </c>
      <c r="I80" s="100">
        <v>1607.7632193559518</v>
      </c>
      <c r="J80" s="100">
        <v>5.9124784470464977</v>
      </c>
      <c r="K80" s="100">
        <v>4760.7276455618394</v>
      </c>
      <c r="L80" s="100">
        <v>0.50221028878206397</v>
      </c>
      <c r="M80" s="100">
        <v>404.37972452731788</v>
      </c>
      <c r="N80" s="100">
        <v>6</v>
      </c>
      <c r="O80" s="100">
        <v>4831.2</v>
      </c>
      <c r="P80" s="100">
        <v>3</v>
      </c>
      <c r="Q80" s="100">
        <v>2415.6</v>
      </c>
      <c r="R80" s="100">
        <v>3</v>
      </c>
      <c r="S80" s="100">
        <v>2415.6</v>
      </c>
      <c r="T80" s="100">
        <v>5</v>
      </c>
      <c r="U80" s="100">
        <v>4025.9999999999995</v>
      </c>
      <c r="V80" s="100">
        <v>5</v>
      </c>
      <c r="W80" s="100">
        <v>4025.9999999999995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4</v>
      </c>
      <c r="AC80" s="100">
        <v>3220.7999999999997</v>
      </c>
      <c r="AD80" s="100">
        <v>6</v>
      </c>
      <c r="AE80" s="100">
        <v>4831.2</v>
      </c>
      <c r="AF80" s="100">
        <v>4</v>
      </c>
      <c r="AG80" s="100">
        <v>3220.7999999999997</v>
      </c>
      <c r="AH80" s="100">
        <v>3</v>
      </c>
      <c r="AI80" s="100">
        <v>2415.6</v>
      </c>
      <c r="AJ80" s="100">
        <v>3</v>
      </c>
      <c r="AK80" s="100">
        <v>2415.6</v>
      </c>
      <c r="AL80" s="100">
        <v>5</v>
      </c>
      <c r="AM80" s="100">
        <v>4025.9999999999995</v>
      </c>
      <c r="AN80" s="100">
        <v>3</v>
      </c>
      <c r="AO80" s="100">
        <v>2415.6</v>
      </c>
      <c r="AP80" s="100">
        <v>4</v>
      </c>
      <c r="AQ80" s="100">
        <v>3220.7999999999997</v>
      </c>
      <c r="AR80" s="100">
        <v>5</v>
      </c>
      <c r="AS80" s="100">
        <v>4025.9999999999995</v>
      </c>
      <c r="AT80" s="100">
        <v>4</v>
      </c>
      <c r="AU80" s="100">
        <v>3220.7999999999997</v>
      </c>
      <c r="AV80" s="100">
        <v>6</v>
      </c>
      <c r="AW80" s="100">
        <v>4831.2</v>
      </c>
      <c r="AX80" s="100">
        <v>3</v>
      </c>
      <c r="AY80" s="100">
        <v>2415.6</v>
      </c>
      <c r="AZ80" s="100">
        <v>3.6108004028582896</v>
      </c>
      <c r="BA80" s="100">
        <v>2907.4164843814947</v>
      </c>
      <c r="BB80" s="100">
        <v>5</v>
      </c>
      <c r="BC80" s="100">
        <v>4025.9999999999995</v>
      </c>
      <c r="BD80" s="100">
        <v>5.9705774854035827</v>
      </c>
      <c r="BE80" s="100">
        <v>4807.5089912469648</v>
      </c>
      <c r="BF80" s="100">
        <v>4.0305365306691145</v>
      </c>
      <c r="BG80" s="100">
        <v>3245.3880144947707</v>
      </c>
      <c r="BH80" s="100">
        <v>2.2104476730688862</v>
      </c>
      <c r="BI80" s="100">
        <v>1779.852466355067</v>
      </c>
      <c r="BJ80" s="100">
        <v>4</v>
      </c>
      <c r="BK80" s="100">
        <v>3220.7999999999997</v>
      </c>
      <c r="BL80" s="100">
        <v>4</v>
      </c>
      <c r="BM80" s="100">
        <v>3220.7999999999997</v>
      </c>
      <c r="BN80" s="100">
        <v>4.6376858510018124</v>
      </c>
      <c r="BO80" s="100">
        <v>3734.2646472266592</v>
      </c>
      <c r="BP80" s="100">
        <v>2.2191894044221776</v>
      </c>
      <c r="BQ80" s="100">
        <v>1786.8913084407372</v>
      </c>
      <c r="BR80" s="100">
        <v>3.6665857904288486</v>
      </c>
      <c r="BS80" s="100">
        <v>2952.3348784533086</v>
      </c>
      <c r="BT80" s="100">
        <v>4</v>
      </c>
      <c r="BU80" s="100">
        <v>3220.7999999999997</v>
      </c>
      <c r="BV80" s="100">
        <v>5</v>
      </c>
      <c r="BW80" s="100">
        <v>4025.9999999999995</v>
      </c>
      <c r="BX80" s="100">
        <v>5</v>
      </c>
      <c r="BY80" s="100">
        <v>4025.9999999999995</v>
      </c>
      <c r="BZ80" s="100">
        <v>6</v>
      </c>
      <c r="CA80" s="100">
        <v>4831.2</v>
      </c>
      <c r="CB80" s="100">
        <v>2.59162277118305</v>
      </c>
      <c r="CC80" s="100">
        <v>2086.7746553565917</v>
      </c>
      <c r="CD80" s="100">
        <v>3.9038337770787206</v>
      </c>
      <c r="CE80" s="100">
        <v>3143.3669573037855</v>
      </c>
      <c r="CF80" s="100">
        <v>1.9912828679603143</v>
      </c>
      <c r="CG80" s="100">
        <v>1603.3809652816449</v>
      </c>
      <c r="CH80" s="100">
        <v>3.972134606297919</v>
      </c>
      <c r="CI80" s="100">
        <v>3198.362784991084</v>
      </c>
      <c r="CJ80" s="100">
        <v>5</v>
      </c>
      <c r="CK80" s="100">
        <v>4025.9999999999995</v>
      </c>
      <c r="CL80" s="100">
        <v>4</v>
      </c>
      <c r="CM80" s="100">
        <v>3220.7999999999997</v>
      </c>
      <c r="CN80" s="100">
        <v>5</v>
      </c>
      <c r="CO80" s="100">
        <v>4025.9999999999995</v>
      </c>
      <c r="CP80" s="100">
        <v>4.7615019913035521</v>
      </c>
      <c r="CQ80" s="100">
        <v>3833.96140339762</v>
      </c>
      <c r="CR80" s="100">
        <v>1.9024616717813974</v>
      </c>
      <c r="CS80" s="100">
        <v>1531.8621381183809</v>
      </c>
      <c r="CT80" s="100">
        <v>3</v>
      </c>
      <c r="CU80" s="100">
        <v>2415.6</v>
      </c>
    </row>
    <row r="81" spans="2:99">
      <c r="C81" s="99" t="s">
        <v>247</v>
      </c>
      <c r="D81" s="100">
        <v>5.9961706045640577</v>
      </c>
      <c r="E81" s="100">
        <v>4518.7141675994744</v>
      </c>
      <c r="F81" s="100">
        <v>4.2416463395067181</v>
      </c>
      <c r="G81" s="100">
        <v>3196.504681452263</v>
      </c>
      <c r="H81" s="100">
        <v>1.9967253096820068</v>
      </c>
      <c r="I81" s="100">
        <v>1504.7321933763603</v>
      </c>
      <c r="J81" s="100">
        <v>5.9124784470464977</v>
      </c>
      <c r="K81" s="100">
        <v>4455.6437576942408</v>
      </c>
      <c r="L81" s="100">
        <v>0.50221028878206397</v>
      </c>
      <c r="M81" s="100">
        <v>378.46567362616344</v>
      </c>
      <c r="N81" s="100">
        <v>5</v>
      </c>
      <c r="O81" s="100">
        <v>3768</v>
      </c>
      <c r="P81" s="100">
        <v>3</v>
      </c>
      <c r="Q81" s="100">
        <v>2260.8000000000002</v>
      </c>
      <c r="R81" s="100">
        <v>3</v>
      </c>
      <c r="S81" s="100">
        <v>2260.8000000000002</v>
      </c>
      <c r="T81" s="100">
        <v>4</v>
      </c>
      <c r="U81" s="100">
        <v>3014.4</v>
      </c>
      <c r="V81" s="100">
        <v>5</v>
      </c>
      <c r="W81" s="100">
        <v>3768</v>
      </c>
      <c r="X81" s="100">
        <v>5</v>
      </c>
      <c r="Y81" s="100">
        <v>3768</v>
      </c>
      <c r="Z81" s="100">
        <v>4</v>
      </c>
      <c r="AA81" s="100">
        <v>3014.4</v>
      </c>
      <c r="AB81" s="100">
        <v>4</v>
      </c>
      <c r="AC81" s="100">
        <v>3014.4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3</v>
      </c>
      <c r="AI81" s="100">
        <v>2260.8000000000002</v>
      </c>
      <c r="AJ81" s="100">
        <v>3</v>
      </c>
      <c r="AK81" s="100">
        <v>2260.8000000000002</v>
      </c>
      <c r="AL81" s="100">
        <v>6</v>
      </c>
      <c r="AM81" s="100">
        <v>4521.6000000000004</v>
      </c>
      <c r="AN81" s="100">
        <v>4</v>
      </c>
      <c r="AO81" s="100">
        <v>3014.4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3</v>
      </c>
      <c r="AU81" s="100">
        <v>2260.8000000000002</v>
      </c>
      <c r="AV81" s="100">
        <v>5</v>
      </c>
      <c r="AW81" s="100">
        <v>3768</v>
      </c>
      <c r="AX81" s="100">
        <v>4</v>
      </c>
      <c r="AY81" s="100">
        <v>3014.4</v>
      </c>
      <c r="AZ81" s="100">
        <v>2.7081003021437171</v>
      </c>
      <c r="BA81" s="100">
        <v>2040.8243876955053</v>
      </c>
      <c r="BB81" s="100">
        <v>6</v>
      </c>
      <c r="BC81" s="100">
        <v>4521.6000000000004</v>
      </c>
      <c r="BD81" s="100">
        <v>5.9705774854035827</v>
      </c>
      <c r="BE81" s="100">
        <v>4499.4271930001396</v>
      </c>
      <c r="BF81" s="100">
        <v>3.9543601075762509</v>
      </c>
      <c r="BG81" s="100">
        <v>2980.005777069463</v>
      </c>
      <c r="BH81" s="100">
        <v>1.842039727557405</v>
      </c>
      <c r="BI81" s="100">
        <v>1388.1611386872605</v>
      </c>
      <c r="BJ81" s="100">
        <v>4</v>
      </c>
      <c r="BK81" s="100">
        <v>3014.4</v>
      </c>
      <c r="BL81" s="100">
        <v>3</v>
      </c>
      <c r="BM81" s="100">
        <v>2260.8000000000002</v>
      </c>
      <c r="BN81" s="100">
        <v>4.6376858510018124</v>
      </c>
      <c r="BO81" s="100">
        <v>3494.960057314966</v>
      </c>
      <c r="BP81" s="100">
        <v>2.2191894044221776</v>
      </c>
      <c r="BQ81" s="100">
        <v>1672.3811351725531</v>
      </c>
      <c r="BR81" s="100">
        <v>3.6665857904288486</v>
      </c>
      <c r="BS81" s="100">
        <v>2763.1390516671804</v>
      </c>
      <c r="BT81" s="100">
        <v>4</v>
      </c>
      <c r="BU81" s="100">
        <v>3014.4</v>
      </c>
      <c r="BV81" s="100">
        <v>6</v>
      </c>
      <c r="BW81" s="100">
        <v>4521.6000000000004</v>
      </c>
      <c r="BX81" s="100">
        <v>5</v>
      </c>
      <c r="BY81" s="100">
        <v>3768</v>
      </c>
      <c r="BZ81" s="100">
        <v>7</v>
      </c>
      <c r="CA81" s="100">
        <v>5275.2</v>
      </c>
      <c r="CB81" s="100">
        <v>2.0732982169464398</v>
      </c>
      <c r="CC81" s="100">
        <v>1562.437536290837</v>
      </c>
      <c r="CD81" s="100">
        <v>3.9038337770787206</v>
      </c>
      <c r="CE81" s="100">
        <v>2941.9291344065241</v>
      </c>
      <c r="CF81" s="100">
        <v>1.5930262943682514</v>
      </c>
      <c r="CG81" s="100">
        <v>1200.5046154359143</v>
      </c>
      <c r="CH81" s="100">
        <v>3.972134606297919</v>
      </c>
      <c r="CI81" s="100">
        <v>2993.4006393061118</v>
      </c>
      <c r="CJ81" s="100">
        <v>5</v>
      </c>
      <c r="CK81" s="100">
        <v>3768</v>
      </c>
      <c r="CL81" s="100">
        <v>4</v>
      </c>
      <c r="CM81" s="100">
        <v>3014.4</v>
      </c>
      <c r="CN81" s="100">
        <v>5</v>
      </c>
      <c r="CO81" s="100">
        <v>3768</v>
      </c>
      <c r="CP81" s="100">
        <v>5.713802389564262</v>
      </c>
      <c r="CQ81" s="100">
        <v>4305.921480775628</v>
      </c>
      <c r="CR81" s="100">
        <v>1.5853847264844978</v>
      </c>
      <c r="CS81" s="100">
        <v>1194.7459298787176</v>
      </c>
      <c r="CT81" s="100">
        <v>3</v>
      </c>
      <c r="CU81" s="100">
        <v>2260.8000000000002</v>
      </c>
    </row>
    <row r="82" spans="2:99">
      <c r="C82" s="99" t="s">
        <v>248</v>
      </c>
      <c r="D82" s="100">
        <v>4.9968088371367143</v>
      </c>
      <c r="E82" s="100">
        <v>2542.3763363351595</v>
      </c>
      <c r="F82" s="100">
        <v>4.2416463395067181</v>
      </c>
      <c r="G82" s="100">
        <v>2158.1496575410179</v>
      </c>
      <c r="H82" s="100">
        <v>1.9967253096820068</v>
      </c>
      <c r="I82" s="100">
        <v>1015.9338375662048</v>
      </c>
      <c r="J82" s="100">
        <v>6.5512163254356244</v>
      </c>
      <c r="K82" s="100">
        <v>3333.258866381645</v>
      </c>
      <c r="L82" s="100">
        <v>0.50221028878206397</v>
      </c>
      <c r="M82" s="100">
        <v>255.5245949323141</v>
      </c>
      <c r="N82" s="100">
        <v>6</v>
      </c>
      <c r="O82" s="100">
        <v>3052.7999999999993</v>
      </c>
      <c r="P82" s="100">
        <v>3</v>
      </c>
      <c r="Q82" s="100">
        <v>1526.3999999999996</v>
      </c>
      <c r="R82" s="100">
        <v>3</v>
      </c>
      <c r="S82" s="100">
        <v>1526.3999999999996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5</v>
      </c>
      <c r="Y82" s="100">
        <v>2543.9999999999995</v>
      </c>
      <c r="Z82" s="100">
        <v>4</v>
      </c>
      <c r="AA82" s="100">
        <v>2035.1999999999996</v>
      </c>
      <c r="AB82" s="100">
        <v>4</v>
      </c>
      <c r="AC82" s="100">
        <v>2035.1999999999996</v>
      </c>
      <c r="AD82" s="100">
        <v>6</v>
      </c>
      <c r="AE82" s="100">
        <v>3052.7999999999993</v>
      </c>
      <c r="AF82" s="100">
        <v>4</v>
      </c>
      <c r="AG82" s="100">
        <v>2035.1999999999996</v>
      </c>
      <c r="AH82" s="100">
        <v>3</v>
      </c>
      <c r="AI82" s="100">
        <v>1526.3999999999996</v>
      </c>
      <c r="AJ82" s="100">
        <v>3</v>
      </c>
      <c r="AK82" s="100">
        <v>1526.3999999999996</v>
      </c>
      <c r="AL82" s="100">
        <v>6</v>
      </c>
      <c r="AM82" s="100">
        <v>3052.7999999999993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6</v>
      </c>
      <c r="AS82" s="100">
        <v>3052.7999999999993</v>
      </c>
      <c r="AT82" s="100">
        <v>3</v>
      </c>
      <c r="AU82" s="100">
        <v>1526.3999999999996</v>
      </c>
      <c r="AV82" s="100">
        <v>5</v>
      </c>
      <c r="AW82" s="100">
        <v>2543.9999999999995</v>
      </c>
      <c r="AX82" s="100">
        <v>4</v>
      </c>
      <c r="AY82" s="100">
        <v>2035.1999999999996</v>
      </c>
      <c r="AZ82" s="100">
        <v>3.6108004028582896</v>
      </c>
      <c r="BA82" s="100">
        <v>1837.1752449742974</v>
      </c>
      <c r="BB82" s="100">
        <v>6</v>
      </c>
      <c r="BC82" s="100">
        <v>3052.7999999999993</v>
      </c>
      <c r="BD82" s="100">
        <v>4.9754812378363189</v>
      </c>
      <c r="BE82" s="100">
        <v>2531.5248538111186</v>
      </c>
      <c r="BF82" s="100">
        <v>3.9543601075762509</v>
      </c>
      <c r="BG82" s="100">
        <v>2011.9784227347961</v>
      </c>
      <c r="BH82" s="100">
        <v>1.842039727557405</v>
      </c>
      <c r="BI82" s="100">
        <v>937.22981338120746</v>
      </c>
      <c r="BJ82" s="100">
        <v>4</v>
      </c>
      <c r="BK82" s="100">
        <v>2035.1999999999996</v>
      </c>
      <c r="BL82" s="100">
        <v>3</v>
      </c>
      <c r="BM82" s="100">
        <v>1526.3999999999996</v>
      </c>
      <c r="BN82" s="100">
        <v>4.5395803354630715</v>
      </c>
      <c r="BO82" s="100">
        <v>2309.7384746836101</v>
      </c>
      <c r="BP82" s="100">
        <v>2.773986755527722</v>
      </c>
      <c r="BQ82" s="100">
        <v>1411.4044612125047</v>
      </c>
      <c r="BR82" s="100">
        <v>3.6665857904288486</v>
      </c>
      <c r="BS82" s="100">
        <v>1865.5588501701977</v>
      </c>
      <c r="BT82" s="100">
        <v>4</v>
      </c>
      <c r="BU82" s="100">
        <v>2035.1999999999996</v>
      </c>
      <c r="BV82" s="100">
        <v>5</v>
      </c>
      <c r="BW82" s="100">
        <v>2543.9999999999995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2.59162277118305</v>
      </c>
      <c r="CC82" s="100">
        <v>1318.6176659779355</v>
      </c>
      <c r="CD82" s="100">
        <v>3.9038337770787206</v>
      </c>
      <c r="CE82" s="100">
        <v>1986.2706257776526</v>
      </c>
      <c r="CF82" s="100">
        <v>1.5930262943682514</v>
      </c>
      <c r="CG82" s="100">
        <v>810.53177857456615</v>
      </c>
      <c r="CH82" s="100">
        <v>2.9791009547234393</v>
      </c>
      <c r="CI82" s="100">
        <v>1515.7665657632856</v>
      </c>
      <c r="CJ82" s="100">
        <v>6</v>
      </c>
      <c r="CK82" s="100">
        <v>3052.7999999999993</v>
      </c>
      <c r="CL82" s="100">
        <v>4</v>
      </c>
      <c r="CM82" s="100">
        <v>2035.1999999999996</v>
      </c>
      <c r="CN82" s="100">
        <v>5</v>
      </c>
      <c r="CO82" s="100">
        <v>2543.9999999999995</v>
      </c>
      <c r="CP82" s="100">
        <v>5.713802389564262</v>
      </c>
      <c r="CQ82" s="100">
        <v>2907.1826558102957</v>
      </c>
      <c r="CR82" s="100">
        <v>1.9024616717813974</v>
      </c>
      <c r="CS82" s="100">
        <v>967.9724986023748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4.9968088371367143</v>
      </c>
      <c r="E83" s="100">
        <v>4299.254323472429</v>
      </c>
      <c r="F83" s="100">
        <v>4.2416463395067181</v>
      </c>
      <c r="G83" s="100">
        <v>3649.5125105115803</v>
      </c>
      <c r="H83" s="100">
        <v>1.9967253096820068</v>
      </c>
      <c r="I83" s="100">
        <v>1717.9824564503986</v>
      </c>
      <c r="J83" s="100">
        <v>5.9124784470464977</v>
      </c>
      <c r="K83" s="100">
        <v>5087.0964558388068</v>
      </c>
      <c r="L83" s="100">
        <v>0.50221028878206397</v>
      </c>
      <c r="M83" s="100">
        <v>432.10173246808785</v>
      </c>
      <c r="N83" s="100">
        <v>5</v>
      </c>
      <c r="O83" s="100">
        <v>4302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4</v>
      </c>
      <c r="U83" s="100">
        <v>3441.6</v>
      </c>
      <c r="V83" s="100">
        <v>5</v>
      </c>
      <c r="W83" s="100">
        <v>4302</v>
      </c>
      <c r="X83" s="100">
        <v>5</v>
      </c>
      <c r="Y83" s="100">
        <v>4302</v>
      </c>
      <c r="Z83" s="100">
        <v>4</v>
      </c>
      <c r="AA83" s="100">
        <v>3441.6</v>
      </c>
      <c r="AB83" s="100">
        <v>4</v>
      </c>
      <c r="AC83" s="100">
        <v>3441.6</v>
      </c>
      <c r="AD83" s="100">
        <v>6</v>
      </c>
      <c r="AE83" s="100">
        <v>5162.3999999999996</v>
      </c>
      <c r="AF83" s="100">
        <v>4</v>
      </c>
      <c r="AG83" s="100">
        <v>3441.6</v>
      </c>
      <c r="AH83" s="100">
        <v>3</v>
      </c>
      <c r="AI83" s="100">
        <v>2581.1999999999998</v>
      </c>
      <c r="AJ83" s="100">
        <v>3</v>
      </c>
      <c r="AK83" s="100">
        <v>2581.1999999999998</v>
      </c>
      <c r="AL83" s="100">
        <v>5</v>
      </c>
      <c r="AM83" s="100">
        <v>4302</v>
      </c>
      <c r="AN83" s="100">
        <v>4</v>
      </c>
      <c r="AO83" s="100">
        <v>3441.6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4</v>
      </c>
      <c r="AU83" s="100">
        <v>3441.6</v>
      </c>
      <c r="AV83" s="100">
        <v>5</v>
      </c>
      <c r="AW83" s="100">
        <v>4302</v>
      </c>
      <c r="AX83" s="100">
        <v>4</v>
      </c>
      <c r="AY83" s="100">
        <v>3441.6</v>
      </c>
      <c r="AZ83" s="100">
        <v>3.6108004028582896</v>
      </c>
      <c r="BA83" s="100">
        <v>3106.7326666192721</v>
      </c>
      <c r="BB83" s="100">
        <v>6</v>
      </c>
      <c r="BC83" s="100">
        <v>5162.3999999999996</v>
      </c>
      <c r="BD83" s="100">
        <v>5.9705774854035827</v>
      </c>
      <c r="BE83" s="100">
        <v>5137.0848684412422</v>
      </c>
      <c r="BF83" s="100">
        <v>3.9543601075762509</v>
      </c>
      <c r="BG83" s="100">
        <v>3402.3314365586061</v>
      </c>
      <c r="BH83" s="100">
        <v>2.2104476730688862</v>
      </c>
      <c r="BI83" s="100">
        <v>1901.8691779084697</v>
      </c>
      <c r="BJ83" s="100">
        <v>3</v>
      </c>
      <c r="BK83" s="100">
        <v>2581.1999999999998</v>
      </c>
      <c r="BL83" s="100">
        <v>3</v>
      </c>
      <c r="BM83" s="100">
        <v>2581.1999999999998</v>
      </c>
      <c r="BN83" s="100">
        <v>4.588633093232442</v>
      </c>
      <c r="BO83" s="100">
        <v>3948.059913417193</v>
      </c>
      <c r="BP83" s="100">
        <v>2.2191894044221776</v>
      </c>
      <c r="BQ83" s="100">
        <v>1909.3905635648416</v>
      </c>
      <c r="BR83" s="100">
        <v>3.6665857904288486</v>
      </c>
      <c r="BS83" s="100">
        <v>3154.730414084981</v>
      </c>
      <c r="BT83" s="100">
        <v>4</v>
      </c>
      <c r="BU83" s="100">
        <v>3441.6</v>
      </c>
      <c r="BV83" s="100">
        <v>6</v>
      </c>
      <c r="BW83" s="100">
        <v>5162.3999999999996</v>
      </c>
      <c r="BX83" s="100">
        <v>5</v>
      </c>
      <c r="BY83" s="100">
        <v>4302</v>
      </c>
      <c r="BZ83" s="100">
        <v>6</v>
      </c>
      <c r="CA83" s="100">
        <v>5162.3999999999996</v>
      </c>
      <c r="CB83" s="100">
        <v>2.59162277118305</v>
      </c>
      <c r="CC83" s="100">
        <v>2229.8322323258963</v>
      </c>
      <c r="CD83" s="100">
        <v>3.9038337770787206</v>
      </c>
      <c r="CE83" s="100">
        <v>3358.8585817985313</v>
      </c>
      <c r="CF83" s="100">
        <v>1.5930262943682514</v>
      </c>
      <c r="CG83" s="100">
        <v>1370.6398236744435</v>
      </c>
      <c r="CH83" s="100">
        <v>2.9791009547234393</v>
      </c>
      <c r="CI83" s="100">
        <v>2563.2184614440471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5</v>
      </c>
      <c r="CO83" s="100">
        <v>4302</v>
      </c>
      <c r="CP83" s="100">
        <v>4.7615019913035521</v>
      </c>
      <c r="CQ83" s="100">
        <v>4096.7963133175763</v>
      </c>
      <c r="CR83" s="100">
        <v>1.9024616717813974</v>
      </c>
      <c r="CS83" s="100">
        <v>1636.8780224007141</v>
      </c>
      <c r="CT83" s="100">
        <v>4</v>
      </c>
      <c r="CU83" s="100">
        <v>3441.6</v>
      </c>
    </row>
    <row r="84" spans="2:99">
      <c r="C84" s="99" t="s">
        <v>250</v>
      </c>
      <c r="D84" s="100">
        <v>5.9961706045640577</v>
      </c>
      <c r="E84" s="100">
        <v>4684.2084762854411</v>
      </c>
      <c r="F84" s="100">
        <v>4.2416463395067181</v>
      </c>
      <c r="G84" s="100">
        <v>3313.5741204226479</v>
      </c>
      <c r="H84" s="100">
        <v>1.9967253096820068</v>
      </c>
      <c r="I84" s="100">
        <v>1559.8418119235835</v>
      </c>
      <c r="J84" s="100">
        <v>5.9124784470464977</v>
      </c>
      <c r="K84" s="100">
        <v>4618.828162832724</v>
      </c>
      <c r="L84" s="100">
        <v>0.50221028878206397</v>
      </c>
      <c r="M84" s="100">
        <v>392.32667759654834</v>
      </c>
      <c r="N84" s="100">
        <v>5</v>
      </c>
      <c r="O84" s="100">
        <v>3905.9999999999995</v>
      </c>
      <c r="P84" s="100">
        <v>3</v>
      </c>
      <c r="Q84" s="100">
        <v>2343.6</v>
      </c>
      <c r="R84" s="100">
        <v>3</v>
      </c>
      <c r="S84" s="100">
        <v>2343.6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4</v>
      </c>
      <c r="AC84" s="100">
        <v>3124.7999999999997</v>
      </c>
      <c r="AD84" s="100">
        <v>6</v>
      </c>
      <c r="AE84" s="100">
        <v>4687.2</v>
      </c>
      <c r="AF84" s="100">
        <v>4</v>
      </c>
      <c r="AG84" s="100">
        <v>3124.7999999999997</v>
      </c>
      <c r="AH84" s="100">
        <v>3</v>
      </c>
      <c r="AI84" s="100">
        <v>2343.6</v>
      </c>
      <c r="AJ84" s="100">
        <v>3</v>
      </c>
      <c r="AK84" s="100">
        <v>2343.6</v>
      </c>
      <c r="AL84" s="100">
        <v>6</v>
      </c>
      <c r="AM84" s="100">
        <v>4687.2</v>
      </c>
      <c r="AN84" s="100">
        <v>4</v>
      </c>
      <c r="AO84" s="100">
        <v>3124.7999999999997</v>
      </c>
      <c r="AP84" s="100">
        <v>4</v>
      </c>
      <c r="AQ84" s="100">
        <v>3124.7999999999997</v>
      </c>
      <c r="AR84" s="100">
        <v>5</v>
      </c>
      <c r="AS84" s="100">
        <v>3905.9999999999995</v>
      </c>
      <c r="AT84" s="100">
        <v>4</v>
      </c>
      <c r="AU84" s="100">
        <v>3124.7999999999997</v>
      </c>
      <c r="AV84" s="100">
        <v>6</v>
      </c>
      <c r="AW84" s="100">
        <v>4687.2</v>
      </c>
      <c r="AX84" s="100">
        <v>4</v>
      </c>
      <c r="AY84" s="100">
        <v>3124.7999999999997</v>
      </c>
      <c r="AZ84" s="100">
        <v>3.6108004028582896</v>
      </c>
      <c r="BA84" s="100">
        <v>2820.7572747128957</v>
      </c>
      <c r="BB84" s="100">
        <v>5</v>
      </c>
      <c r="BC84" s="100">
        <v>3905.9999999999995</v>
      </c>
      <c r="BD84" s="100">
        <v>4.9754812378363189</v>
      </c>
      <c r="BE84" s="100">
        <v>3886.845942997732</v>
      </c>
      <c r="BF84" s="100">
        <v>3.9543601075762509</v>
      </c>
      <c r="BG84" s="100">
        <v>3089.146116038567</v>
      </c>
      <c r="BH84" s="100">
        <v>2.2104476730688862</v>
      </c>
      <c r="BI84" s="100">
        <v>1726.8017222014137</v>
      </c>
      <c r="BJ84" s="100">
        <v>3</v>
      </c>
      <c r="BK84" s="100">
        <v>2343.6</v>
      </c>
      <c r="BL84" s="100">
        <v>3</v>
      </c>
      <c r="BM84" s="100">
        <v>2343.6</v>
      </c>
      <c r="BN84" s="100">
        <v>4.588633093232442</v>
      </c>
      <c r="BO84" s="100">
        <v>3584.6401724331831</v>
      </c>
      <c r="BP84" s="100">
        <v>2.2191894044221776</v>
      </c>
      <c r="BQ84" s="100">
        <v>1733.630762734605</v>
      </c>
      <c r="BR84" s="100">
        <v>3.6665857904288486</v>
      </c>
      <c r="BS84" s="100">
        <v>2864.3368194830164</v>
      </c>
      <c r="BT84" s="100">
        <v>4</v>
      </c>
      <c r="BU84" s="100">
        <v>3124.7999999999997</v>
      </c>
      <c r="BV84" s="100">
        <v>5</v>
      </c>
      <c r="BW84" s="100">
        <v>3905.9999999999995</v>
      </c>
      <c r="BX84" s="100">
        <v>5</v>
      </c>
      <c r="BY84" s="100">
        <v>3905.9999999999995</v>
      </c>
      <c r="BZ84" s="100">
        <v>6</v>
      </c>
      <c r="CA84" s="100">
        <v>4687.2</v>
      </c>
      <c r="CB84" s="100">
        <v>2.0732982169464398</v>
      </c>
      <c r="CC84" s="100">
        <v>1619.6605670785586</v>
      </c>
      <c r="CD84" s="100">
        <v>3.9038337770787206</v>
      </c>
      <c r="CE84" s="100">
        <v>3049.6749466538963</v>
      </c>
      <c r="CF84" s="100">
        <v>1.9912828679603143</v>
      </c>
      <c r="CG84" s="100">
        <v>1555.5901764505975</v>
      </c>
      <c r="CH84" s="100">
        <v>2.9791009547234393</v>
      </c>
      <c r="CI84" s="100">
        <v>2327.2736658299505</v>
      </c>
      <c r="CJ84" s="100">
        <v>5</v>
      </c>
      <c r="CK84" s="100">
        <v>3905.9999999999995</v>
      </c>
      <c r="CL84" s="100">
        <v>3</v>
      </c>
      <c r="CM84" s="100">
        <v>2343.6</v>
      </c>
      <c r="CN84" s="100">
        <v>6</v>
      </c>
      <c r="CO84" s="100">
        <v>4687.2</v>
      </c>
      <c r="CP84" s="100">
        <v>5.1551852989997942</v>
      </c>
      <c r="CQ84" s="100">
        <v>4027.2307555786388</v>
      </c>
      <c r="CR84" s="100">
        <v>1.9024616717813974</v>
      </c>
      <c r="CS84" s="100">
        <v>1486.2030579956274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5.9961706045640577</v>
      </c>
      <c r="E85" s="100">
        <v>899.42559068460866</v>
      </c>
      <c r="F85" s="100">
        <v>4.2416463395067181</v>
      </c>
      <c r="G85" s="100">
        <v>636.24695092600768</v>
      </c>
      <c r="H85" s="100">
        <v>2.396070371618408</v>
      </c>
      <c r="I85" s="100">
        <v>359.41055574276118</v>
      </c>
      <c r="J85" s="100">
        <v>5.9124784470464977</v>
      </c>
      <c r="K85" s="100">
        <v>886.8717670569747</v>
      </c>
      <c r="L85" s="100">
        <v>0.62776286097757994</v>
      </c>
      <c r="M85" s="100">
        <v>94.164429146636991</v>
      </c>
      <c r="N85" s="100">
        <v>6</v>
      </c>
      <c r="O85" s="100">
        <v>900</v>
      </c>
      <c r="P85" s="100">
        <v>3</v>
      </c>
      <c r="Q85" s="100">
        <v>450</v>
      </c>
      <c r="R85" s="100">
        <v>3</v>
      </c>
      <c r="S85" s="100">
        <v>450</v>
      </c>
      <c r="T85" s="100">
        <v>4</v>
      </c>
      <c r="U85" s="100">
        <v>600</v>
      </c>
      <c r="V85" s="100">
        <v>5</v>
      </c>
      <c r="W85" s="100">
        <v>750</v>
      </c>
      <c r="X85" s="100">
        <v>5</v>
      </c>
      <c r="Y85" s="100">
        <v>750</v>
      </c>
      <c r="Z85" s="100">
        <v>4</v>
      </c>
      <c r="AA85" s="100">
        <v>600</v>
      </c>
      <c r="AB85" s="100">
        <v>4</v>
      </c>
      <c r="AC85" s="100">
        <v>600</v>
      </c>
      <c r="AD85" s="100">
        <v>6</v>
      </c>
      <c r="AE85" s="100">
        <v>900</v>
      </c>
      <c r="AF85" s="100">
        <v>4</v>
      </c>
      <c r="AG85" s="100">
        <v>600</v>
      </c>
      <c r="AH85" s="100">
        <v>3</v>
      </c>
      <c r="AI85" s="100">
        <v>450</v>
      </c>
      <c r="AJ85" s="100">
        <v>3</v>
      </c>
      <c r="AK85" s="100">
        <v>450</v>
      </c>
      <c r="AL85" s="100">
        <v>5</v>
      </c>
      <c r="AM85" s="100">
        <v>750</v>
      </c>
      <c r="AN85" s="100">
        <v>4</v>
      </c>
      <c r="AO85" s="100">
        <v>600</v>
      </c>
      <c r="AP85" s="100">
        <v>4</v>
      </c>
      <c r="AQ85" s="100">
        <v>600</v>
      </c>
      <c r="AR85" s="100">
        <v>6</v>
      </c>
      <c r="AS85" s="100">
        <v>900</v>
      </c>
      <c r="AT85" s="100">
        <v>4</v>
      </c>
      <c r="AU85" s="100">
        <v>600</v>
      </c>
      <c r="AV85" s="100">
        <v>6</v>
      </c>
      <c r="AW85" s="100">
        <v>900</v>
      </c>
      <c r="AX85" s="100">
        <v>4</v>
      </c>
      <c r="AY85" s="100">
        <v>600</v>
      </c>
      <c r="AZ85" s="100">
        <v>3.6108004028582896</v>
      </c>
      <c r="BA85" s="100">
        <v>541.6200604287435</v>
      </c>
      <c r="BB85" s="100">
        <v>6</v>
      </c>
      <c r="BC85" s="100">
        <v>900</v>
      </c>
      <c r="BD85" s="100">
        <v>4.9754812378363189</v>
      </c>
      <c r="BE85" s="100">
        <v>746.32218567544783</v>
      </c>
      <c r="BF85" s="100">
        <v>3.9543601075762509</v>
      </c>
      <c r="BG85" s="100">
        <v>593.15401613643769</v>
      </c>
      <c r="BH85" s="100">
        <v>2.2104476730688862</v>
      </c>
      <c r="BI85" s="100">
        <v>331.56715096033292</v>
      </c>
      <c r="BJ85" s="100">
        <v>3</v>
      </c>
      <c r="BK85" s="100">
        <v>450</v>
      </c>
      <c r="BL85" s="100">
        <v>3</v>
      </c>
      <c r="BM85" s="100">
        <v>450</v>
      </c>
      <c r="BN85" s="100">
        <v>5.6376858510018124</v>
      </c>
      <c r="BO85" s="100">
        <v>845.65287765027188</v>
      </c>
      <c r="BP85" s="100">
        <v>2.2191894044221776</v>
      </c>
      <c r="BQ85" s="100">
        <v>332.87841066332663</v>
      </c>
      <c r="BR85" s="100">
        <v>3.6665857904288486</v>
      </c>
      <c r="BS85" s="100">
        <v>549.9878685643273</v>
      </c>
      <c r="BT85" s="100">
        <v>4</v>
      </c>
      <c r="BU85" s="100">
        <v>600</v>
      </c>
      <c r="BV85" s="100">
        <v>6</v>
      </c>
      <c r="BW85" s="100">
        <v>900</v>
      </c>
      <c r="BX85" s="100">
        <v>5</v>
      </c>
      <c r="BY85" s="100">
        <v>750</v>
      </c>
      <c r="BZ85" s="100">
        <v>6</v>
      </c>
      <c r="CA85" s="100">
        <v>900</v>
      </c>
      <c r="CB85" s="100">
        <v>2.0732982169464398</v>
      </c>
      <c r="CC85" s="100">
        <v>310.99473254196596</v>
      </c>
      <c r="CD85" s="100">
        <v>3.9038337770787206</v>
      </c>
      <c r="CE85" s="100">
        <v>585.57506656180806</v>
      </c>
      <c r="CF85" s="100">
        <v>1.9912828679603143</v>
      </c>
      <c r="CG85" s="100">
        <v>298.69243019404712</v>
      </c>
      <c r="CH85" s="100">
        <v>3.972134606297919</v>
      </c>
      <c r="CI85" s="100">
        <v>595.82019094468785</v>
      </c>
      <c r="CJ85" s="100">
        <v>6</v>
      </c>
      <c r="CK85" s="100">
        <v>900</v>
      </c>
      <c r="CL85" s="100">
        <v>4</v>
      </c>
      <c r="CM85" s="100">
        <v>600</v>
      </c>
      <c r="CN85" s="100">
        <v>5</v>
      </c>
      <c r="CO85" s="100">
        <v>750</v>
      </c>
      <c r="CP85" s="100">
        <v>5.1879922413078132</v>
      </c>
      <c r="CQ85" s="100">
        <v>778.19883619617201</v>
      </c>
      <c r="CR85" s="100">
        <v>1.9024616717813974</v>
      </c>
      <c r="CS85" s="100">
        <v>285.36925076720962</v>
      </c>
      <c r="CT85" s="100">
        <v>4</v>
      </c>
      <c r="CU85" s="100">
        <v>600</v>
      </c>
    </row>
    <row r="86" spans="2:99">
      <c r="C86" s="99" t="s">
        <v>252</v>
      </c>
      <c r="D86" s="100">
        <v>4.9968088371367143</v>
      </c>
      <c r="E86" s="100">
        <v>2698.2767720538259</v>
      </c>
      <c r="F86" s="100">
        <v>4.2416463395067181</v>
      </c>
      <c r="G86" s="100">
        <v>2290.4890233336278</v>
      </c>
      <c r="H86" s="100">
        <v>2.396070371618408</v>
      </c>
      <c r="I86" s="100">
        <v>1293.8780006739403</v>
      </c>
      <c r="J86" s="100">
        <v>5.9124784470464977</v>
      </c>
      <c r="K86" s="100">
        <v>3192.7383614051087</v>
      </c>
      <c r="L86" s="100">
        <v>0.50221028878206397</v>
      </c>
      <c r="M86" s="100">
        <v>271.19355594231456</v>
      </c>
      <c r="N86" s="100">
        <v>5</v>
      </c>
      <c r="O86" s="100">
        <v>2700</v>
      </c>
      <c r="P86" s="100">
        <v>3</v>
      </c>
      <c r="Q86" s="100">
        <v>1620</v>
      </c>
      <c r="R86" s="100">
        <v>3</v>
      </c>
      <c r="S86" s="100">
        <v>1620</v>
      </c>
      <c r="T86" s="100">
        <v>4</v>
      </c>
      <c r="U86" s="100">
        <v>2160</v>
      </c>
      <c r="V86" s="100">
        <v>5</v>
      </c>
      <c r="W86" s="100">
        <v>2700</v>
      </c>
      <c r="X86" s="100">
        <v>6</v>
      </c>
      <c r="Y86" s="100">
        <v>3240</v>
      </c>
      <c r="Z86" s="100">
        <v>4</v>
      </c>
      <c r="AA86" s="100">
        <v>2160</v>
      </c>
      <c r="AB86" s="100">
        <v>5</v>
      </c>
      <c r="AC86" s="100">
        <v>2700</v>
      </c>
      <c r="AD86" s="100">
        <v>5</v>
      </c>
      <c r="AE86" s="100">
        <v>2700</v>
      </c>
      <c r="AF86" s="100">
        <v>4</v>
      </c>
      <c r="AG86" s="100">
        <v>2160</v>
      </c>
      <c r="AH86" s="100">
        <v>3</v>
      </c>
      <c r="AI86" s="100">
        <v>1620</v>
      </c>
      <c r="AJ86" s="100">
        <v>3</v>
      </c>
      <c r="AK86" s="100">
        <v>1620</v>
      </c>
      <c r="AL86" s="100">
        <v>5</v>
      </c>
      <c r="AM86" s="100">
        <v>2700</v>
      </c>
      <c r="AN86" s="100">
        <v>3</v>
      </c>
      <c r="AO86" s="100">
        <v>1620</v>
      </c>
      <c r="AP86" s="100">
        <v>4</v>
      </c>
      <c r="AQ86" s="100">
        <v>2160</v>
      </c>
      <c r="AR86" s="100">
        <v>6</v>
      </c>
      <c r="AS86" s="100">
        <v>3240</v>
      </c>
      <c r="AT86" s="100">
        <v>4</v>
      </c>
      <c r="AU86" s="100">
        <v>2160</v>
      </c>
      <c r="AV86" s="100">
        <v>6</v>
      </c>
      <c r="AW86" s="100">
        <v>3240</v>
      </c>
      <c r="AX86" s="100">
        <v>4</v>
      </c>
      <c r="AY86" s="100">
        <v>2160</v>
      </c>
      <c r="AZ86" s="100">
        <v>2.7081003021437171</v>
      </c>
      <c r="BA86" s="100">
        <v>1462.3741631576072</v>
      </c>
      <c r="BB86" s="100">
        <v>6</v>
      </c>
      <c r="BC86" s="100">
        <v>3240</v>
      </c>
      <c r="BD86" s="100">
        <v>4.9754812378363189</v>
      </c>
      <c r="BE86" s="100">
        <v>2686.7598684316122</v>
      </c>
      <c r="BF86" s="100">
        <v>3.9543601075762509</v>
      </c>
      <c r="BG86" s="100">
        <v>2135.3544580911753</v>
      </c>
      <c r="BH86" s="100">
        <v>2.2104476730688862</v>
      </c>
      <c r="BI86" s="100">
        <v>1193.6417434571986</v>
      </c>
      <c r="BJ86" s="100">
        <v>4</v>
      </c>
      <c r="BK86" s="100">
        <v>2160</v>
      </c>
      <c r="BL86" s="100">
        <v>3</v>
      </c>
      <c r="BM86" s="100">
        <v>1620</v>
      </c>
      <c r="BN86" s="100">
        <v>4.588633093232442</v>
      </c>
      <c r="BO86" s="100">
        <v>2477.8618703455186</v>
      </c>
      <c r="BP86" s="100">
        <v>2.2191894044221776</v>
      </c>
      <c r="BQ86" s="100">
        <v>1198.3622783879759</v>
      </c>
      <c r="BR86" s="100">
        <v>3.6665857904288486</v>
      </c>
      <c r="BS86" s="100">
        <v>1979.9563268315783</v>
      </c>
      <c r="BT86" s="100">
        <v>4</v>
      </c>
      <c r="BU86" s="100">
        <v>2160</v>
      </c>
      <c r="BV86" s="100">
        <v>6</v>
      </c>
      <c r="BW86" s="100">
        <v>3240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2.0732982169464398</v>
      </c>
      <c r="CC86" s="100">
        <v>1119.5810371510775</v>
      </c>
      <c r="CD86" s="100">
        <v>4.8797922213484002</v>
      </c>
      <c r="CE86" s="100">
        <v>2635.0877995281362</v>
      </c>
      <c r="CF86" s="100">
        <v>1.9912828679603143</v>
      </c>
      <c r="CG86" s="100">
        <v>1075.2927486985698</v>
      </c>
      <c r="CH86" s="100">
        <v>3.972134606297919</v>
      </c>
      <c r="CI86" s="100">
        <v>2144.9526874008761</v>
      </c>
      <c r="CJ86" s="100">
        <v>5</v>
      </c>
      <c r="CK86" s="100">
        <v>2700</v>
      </c>
      <c r="CL86" s="100">
        <v>3</v>
      </c>
      <c r="CM86" s="100">
        <v>1620</v>
      </c>
      <c r="CN86" s="100">
        <v>6</v>
      </c>
      <c r="CO86" s="100">
        <v>3240</v>
      </c>
      <c r="CP86" s="100">
        <v>4.7615019913035521</v>
      </c>
      <c r="CQ86" s="100">
        <v>2571.2110753039183</v>
      </c>
      <c r="CR86" s="100">
        <v>1.9024616717813974</v>
      </c>
      <c r="CS86" s="100">
        <v>1027.3293027619545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1.8447385306098509</v>
      </c>
      <c r="E87" s="100">
        <v>1981.24918187498</v>
      </c>
      <c r="F87" s="100">
        <v>6</v>
      </c>
      <c r="G87" s="100">
        <v>6444</v>
      </c>
      <c r="H87" s="100">
        <v>3.3556841739576613</v>
      </c>
      <c r="I87" s="100">
        <v>3604.0048028305282</v>
      </c>
      <c r="J87" s="100">
        <v>4</v>
      </c>
      <c r="K87" s="100">
        <v>4296</v>
      </c>
      <c r="L87" s="100">
        <v>5</v>
      </c>
      <c r="M87" s="100">
        <v>5370</v>
      </c>
      <c r="N87" s="100">
        <v>4</v>
      </c>
      <c r="O87" s="100">
        <v>4296</v>
      </c>
      <c r="P87" s="100">
        <v>3</v>
      </c>
      <c r="Q87" s="100">
        <v>3222</v>
      </c>
      <c r="R87" s="100">
        <v>4</v>
      </c>
      <c r="S87" s="100">
        <v>4296</v>
      </c>
      <c r="T87" s="100">
        <v>5</v>
      </c>
      <c r="U87" s="100">
        <v>5370</v>
      </c>
      <c r="V87" s="100">
        <v>4</v>
      </c>
      <c r="W87" s="100">
        <v>4296</v>
      </c>
      <c r="X87" s="100">
        <v>4</v>
      </c>
      <c r="Y87" s="100">
        <v>4296</v>
      </c>
      <c r="Z87" s="100">
        <v>5.1238212150385447</v>
      </c>
      <c r="AA87" s="100">
        <v>5502.9839849513974</v>
      </c>
      <c r="AB87" s="100">
        <v>0.67943577926003718</v>
      </c>
      <c r="AC87" s="100">
        <v>729.71402692527988</v>
      </c>
      <c r="AD87" s="100">
        <v>6.1114091477643839</v>
      </c>
      <c r="AE87" s="100">
        <v>6563.6534246989486</v>
      </c>
      <c r="AF87" s="100">
        <v>5.9999999999999973</v>
      </c>
      <c r="AG87" s="100">
        <v>6443.9999999999973</v>
      </c>
      <c r="AH87" s="100">
        <v>5.4980812906257341</v>
      </c>
      <c r="AI87" s="100">
        <v>5904.9393061320388</v>
      </c>
      <c r="AJ87" s="100">
        <v>6.653845049818413</v>
      </c>
      <c r="AK87" s="100">
        <v>7146.2295835049754</v>
      </c>
      <c r="AL87" s="100">
        <v>5</v>
      </c>
      <c r="AM87" s="100">
        <v>5370</v>
      </c>
      <c r="AN87" s="100">
        <v>3</v>
      </c>
      <c r="AO87" s="100">
        <v>3222</v>
      </c>
      <c r="AP87" s="100">
        <v>6</v>
      </c>
      <c r="AQ87" s="100">
        <v>6444</v>
      </c>
      <c r="AR87" s="100">
        <v>4</v>
      </c>
      <c r="AS87" s="100">
        <v>4296</v>
      </c>
      <c r="AT87" s="100">
        <v>6</v>
      </c>
      <c r="AU87" s="100">
        <v>6444</v>
      </c>
      <c r="AV87" s="100">
        <v>3.572327688080017</v>
      </c>
      <c r="AW87" s="100">
        <v>3836.6799369979381</v>
      </c>
      <c r="AX87" s="100">
        <v>4.5454545454545441</v>
      </c>
      <c r="AY87" s="100">
        <v>4881.8181818181802</v>
      </c>
      <c r="AZ87" s="100">
        <v>6.1764705882352908</v>
      </c>
      <c r="BA87" s="100">
        <v>6633.5294117647027</v>
      </c>
      <c r="BB87" s="100">
        <v>5.3164556962025307</v>
      </c>
      <c r="BC87" s="100">
        <v>5709.8734177215183</v>
      </c>
      <c r="BD87" s="100">
        <v>4</v>
      </c>
      <c r="BE87" s="100">
        <v>4296</v>
      </c>
      <c r="BF87" s="100">
        <v>4.7195121951219479</v>
      </c>
      <c r="BG87" s="100">
        <v>5068.7560975609722</v>
      </c>
      <c r="BH87" s="100">
        <v>3.7499999999999982</v>
      </c>
      <c r="BI87" s="100">
        <v>4027.4999999999982</v>
      </c>
      <c r="BJ87" s="100">
        <v>3.2670019346156765</v>
      </c>
      <c r="BK87" s="100">
        <v>3508.7600777772363</v>
      </c>
      <c r="BL87" s="100">
        <v>0.482968705651385</v>
      </c>
      <c r="BM87" s="100">
        <v>518.70838986958745</v>
      </c>
      <c r="BN87" s="100">
        <v>5</v>
      </c>
      <c r="BO87" s="100">
        <v>5370</v>
      </c>
      <c r="BP87" s="100">
        <v>6</v>
      </c>
      <c r="BQ87" s="100">
        <v>6444</v>
      </c>
      <c r="BR87" s="100">
        <v>6</v>
      </c>
      <c r="BS87" s="100">
        <v>6444</v>
      </c>
      <c r="BT87" s="100">
        <v>3</v>
      </c>
      <c r="BU87" s="100">
        <v>3222</v>
      </c>
      <c r="BV87" s="100">
        <v>6.3471074380165291</v>
      </c>
      <c r="BW87" s="100">
        <v>6816.7933884297527</v>
      </c>
      <c r="BX87" s="100">
        <v>0.86030412129284606</v>
      </c>
      <c r="BY87" s="100">
        <v>923.96662626851662</v>
      </c>
      <c r="BZ87" s="100">
        <v>4</v>
      </c>
      <c r="CA87" s="100">
        <v>4296</v>
      </c>
      <c r="CB87" s="100">
        <v>5</v>
      </c>
      <c r="CC87" s="100">
        <v>5370</v>
      </c>
      <c r="CD87" s="100">
        <v>4.4507064046123528</v>
      </c>
      <c r="CE87" s="100">
        <v>4780.0586785536671</v>
      </c>
      <c r="CF87" s="100">
        <v>1.9764289266866413</v>
      </c>
      <c r="CG87" s="100">
        <v>2122.6846672614529</v>
      </c>
      <c r="CH87" s="100">
        <v>6.300982347848997</v>
      </c>
      <c r="CI87" s="100">
        <v>6767.2550415898231</v>
      </c>
      <c r="CJ87" s="100">
        <v>4.1562161715369124</v>
      </c>
      <c r="CK87" s="100">
        <v>4463.7761682306436</v>
      </c>
      <c r="CL87" s="100">
        <v>4.8205194519301031</v>
      </c>
      <c r="CM87" s="100">
        <v>5177.2378913729308</v>
      </c>
      <c r="CN87" s="100">
        <v>5.106531584879721</v>
      </c>
      <c r="CO87" s="100">
        <v>5484.4149221608204</v>
      </c>
      <c r="CP87" s="100">
        <v>4.9249817591191274</v>
      </c>
      <c r="CQ87" s="100">
        <v>5289.4304092939428</v>
      </c>
      <c r="CR87" s="100">
        <v>0.33133049123486624</v>
      </c>
      <c r="CS87" s="100">
        <v>355.84894758624637</v>
      </c>
      <c r="CT87" s="100">
        <v>3.5556240960623673</v>
      </c>
      <c r="CU87" s="100">
        <v>3818.7402791709824</v>
      </c>
    </row>
    <row r="88" spans="2:99">
      <c r="C88" s="99" t="s">
        <v>254</v>
      </c>
      <c r="D88" s="100">
        <v>1.8447385306098509</v>
      </c>
      <c r="E88" s="100">
        <v>1830.718517777216</v>
      </c>
      <c r="F88" s="100">
        <v>5</v>
      </c>
      <c r="G88" s="100">
        <v>4962</v>
      </c>
      <c r="H88" s="100">
        <v>3.3556841739576613</v>
      </c>
      <c r="I88" s="100">
        <v>3330.1809742355831</v>
      </c>
      <c r="J88" s="100">
        <v>5</v>
      </c>
      <c r="K88" s="100">
        <v>4962</v>
      </c>
      <c r="L88" s="100">
        <v>5</v>
      </c>
      <c r="M88" s="100">
        <v>4962</v>
      </c>
      <c r="N88" s="100">
        <v>3</v>
      </c>
      <c r="O88" s="100">
        <v>2977.2</v>
      </c>
      <c r="P88" s="100">
        <v>3</v>
      </c>
      <c r="Q88" s="100">
        <v>2977.2</v>
      </c>
      <c r="R88" s="100">
        <v>4</v>
      </c>
      <c r="S88" s="100">
        <v>3969.6</v>
      </c>
      <c r="T88" s="100">
        <v>5</v>
      </c>
      <c r="U88" s="100">
        <v>4962</v>
      </c>
      <c r="V88" s="100">
        <v>4</v>
      </c>
      <c r="W88" s="100">
        <v>3969.6</v>
      </c>
      <c r="X88" s="100">
        <v>4</v>
      </c>
      <c r="Y88" s="100">
        <v>3969.6</v>
      </c>
      <c r="Z88" s="100">
        <v>6.1196630807690182</v>
      </c>
      <c r="AA88" s="100">
        <v>6073.1536413551739</v>
      </c>
      <c r="AB88" s="100">
        <v>0.67943577926003718</v>
      </c>
      <c r="AC88" s="100">
        <v>674.27206733766093</v>
      </c>
      <c r="AD88" s="100">
        <v>6.1114091477643839</v>
      </c>
      <c r="AE88" s="100">
        <v>6064.9624382413749</v>
      </c>
      <c r="AF88" s="100">
        <v>4.9999999999999973</v>
      </c>
      <c r="AG88" s="100">
        <v>4961.9999999999973</v>
      </c>
      <c r="AH88" s="100">
        <v>5.4482731615631605</v>
      </c>
      <c r="AI88" s="100">
        <v>5406.8662855352804</v>
      </c>
      <c r="AJ88" s="100">
        <v>5.7032957569872114</v>
      </c>
      <c r="AK88" s="100">
        <v>5659.9507092341082</v>
      </c>
      <c r="AL88" s="100">
        <v>5</v>
      </c>
      <c r="AM88" s="100">
        <v>4962</v>
      </c>
      <c r="AN88" s="100">
        <v>3</v>
      </c>
      <c r="AO88" s="100">
        <v>2977.2</v>
      </c>
      <c r="AP88" s="100">
        <v>5</v>
      </c>
      <c r="AQ88" s="100">
        <v>4962</v>
      </c>
      <c r="AR88" s="100">
        <v>4</v>
      </c>
      <c r="AS88" s="100">
        <v>3969.6</v>
      </c>
      <c r="AT88" s="100">
        <v>6</v>
      </c>
      <c r="AU88" s="100">
        <v>5954.4</v>
      </c>
      <c r="AV88" s="100">
        <v>3.572327688080017</v>
      </c>
      <c r="AW88" s="100">
        <v>3545.1779976506086</v>
      </c>
      <c r="AX88" s="100">
        <v>3.6363636363636358</v>
      </c>
      <c r="AY88" s="100">
        <v>3608.7272727272721</v>
      </c>
      <c r="AZ88" s="100">
        <v>6.1764705882352908</v>
      </c>
      <c r="BA88" s="100">
        <v>6129.5294117647027</v>
      </c>
      <c r="BB88" s="100">
        <v>5.3164556962025307</v>
      </c>
      <c r="BC88" s="100">
        <v>5276.0506329113914</v>
      </c>
      <c r="BD88" s="100">
        <v>4</v>
      </c>
      <c r="BE88" s="100">
        <v>3969.6</v>
      </c>
      <c r="BF88" s="100">
        <v>3.9329268292682902</v>
      </c>
      <c r="BG88" s="100">
        <v>3903.0365853658509</v>
      </c>
      <c r="BH88" s="100">
        <v>3.7499999999999982</v>
      </c>
      <c r="BI88" s="100">
        <v>3721.4999999999982</v>
      </c>
      <c r="BJ88" s="100">
        <v>3.2327755622084378</v>
      </c>
      <c r="BK88" s="100">
        <v>3208.2064679356536</v>
      </c>
      <c r="BL88" s="100">
        <v>0.482968705651385</v>
      </c>
      <c r="BM88" s="100">
        <v>479.29814348843445</v>
      </c>
      <c r="BN88" s="100">
        <v>5</v>
      </c>
      <c r="BO88" s="100">
        <v>4962</v>
      </c>
      <c r="BP88" s="100">
        <v>5</v>
      </c>
      <c r="BQ88" s="100">
        <v>4962</v>
      </c>
      <c r="BR88" s="100">
        <v>5</v>
      </c>
      <c r="BS88" s="100">
        <v>4962</v>
      </c>
      <c r="BT88" s="100">
        <v>4</v>
      </c>
      <c r="BU88" s="100">
        <v>3969.6</v>
      </c>
      <c r="BV88" s="100">
        <v>6.3966942148760335</v>
      </c>
      <c r="BW88" s="100">
        <v>6348.0793388429756</v>
      </c>
      <c r="BX88" s="100">
        <v>0.86030412129284606</v>
      </c>
      <c r="BY88" s="100">
        <v>853.76580997102042</v>
      </c>
      <c r="BZ88" s="100">
        <v>4</v>
      </c>
      <c r="CA88" s="100">
        <v>3969.6</v>
      </c>
      <c r="CB88" s="100">
        <v>6</v>
      </c>
      <c r="CC88" s="100">
        <v>5954.4</v>
      </c>
      <c r="CD88" s="100">
        <v>4.4916797141225659</v>
      </c>
      <c r="CE88" s="100">
        <v>4457.5429482952341</v>
      </c>
      <c r="CF88" s="100">
        <v>2.4705361583583016</v>
      </c>
      <c r="CG88" s="100">
        <v>2451.7600835547787</v>
      </c>
      <c r="CH88" s="100">
        <v>6.3439798261131397</v>
      </c>
      <c r="CI88" s="100">
        <v>6295.7655794346801</v>
      </c>
      <c r="CJ88" s="100">
        <v>4.1562161715369124</v>
      </c>
      <c r="CK88" s="100">
        <v>4124.6289286332321</v>
      </c>
      <c r="CL88" s="100">
        <v>5.7270364973764645</v>
      </c>
      <c r="CM88" s="100">
        <v>5683.5110199964029</v>
      </c>
      <c r="CN88" s="100">
        <v>4.2682765849035045</v>
      </c>
      <c r="CO88" s="100">
        <v>4235.8376828582377</v>
      </c>
      <c r="CP88" s="100">
        <v>4.9332992846470676</v>
      </c>
      <c r="CQ88" s="100">
        <v>4895.8062100837496</v>
      </c>
      <c r="CR88" s="100">
        <v>0.33133049123486624</v>
      </c>
      <c r="CS88" s="100">
        <v>328.81237950148125</v>
      </c>
      <c r="CT88" s="100">
        <v>4.2667489152748415</v>
      </c>
      <c r="CU88" s="100">
        <v>4234.3216235187529</v>
      </c>
    </row>
    <row r="89" spans="2:99">
      <c r="C89" s="99" t="s">
        <v>255</v>
      </c>
      <c r="D89" s="100">
        <v>1.8447385306098509</v>
      </c>
      <c r="E89" s="100">
        <v>1959.1123195076616</v>
      </c>
      <c r="F89" s="100">
        <v>5</v>
      </c>
      <c r="G89" s="100">
        <v>5310</v>
      </c>
      <c r="H89" s="100">
        <v>2.6845473391661288</v>
      </c>
      <c r="I89" s="100">
        <v>2850.9892741944286</v>
      </c>
      <c r="J89" s="100">
        <v>4</v>
      </c>
      <c r="K89" s="100">
        <v>4248</v>
      </c>
      <c r="L89" s="100">
        <v>5</v>
      </c>
      <c r="M89" s="100">
        <v>5310</v>
      </c>
      <c r="N89" s="100">
        <v>3</v>
      </c>
      <c r="O89" s="100">
        <v>3186</v>
      </c>
      <c r="P89" s="100">
        <v>4</v>
      </c>
      <c r="Q89" s="100">
        <v>4248</v>
      </c>
      <c r="R89" s="100">
        <v>4</v>
      </c>
      <c r="S89" s="100">
        <v>4248</v>
      </c>
      <c r="T89" s="100">
        <v>5</v>
      </c>
      <c r="U89" s="100">
        <v>5310</v>
      </c>
      <c r="V89" s="100">
        <v>4</v>
      </c>
      <c r="W89" s="100">
        <v>4248</v>
      </c>
      <c r="X89" s="100">
        <v>4</v>
      </c>
      <c r="Y89" s="100">
        <v>4248</v>
      </c>
      <c r="Z89" s="100">
        <v>5.1238212150385447</v>
      </c>
      <c r="AA89" s="100">
        <v>5441.4981303709346</v>
      </c>
      <c r="AB89" s="100">
        <v>0.67943577926003718</v>
      </c>
      <c r="AC89" s="100">
        <v>721.56079757415944</v>
      </c>
      <c r="AD89" s="100">
        <v>5.1769880704872691</v>
      </c>
      <c r="AE89" s="100">
        <v>5497.9613308574799</v>
      </c>
      <c r="AF89" s="100">
        <v>4.9999999999999973</v>
      </c>
      <c r="AG89" s="100">
        <v>5309.9999999999973</v>
      </c>
      <c r="AH89" s="100">
        <v>5.4980812906257341</v>
      </c>
      <c r="AI89" s="100">
        <v>5838.9623306445301</v>
      </c>
      <c r="AJ89" s="100">
        <v>5.7032957569872114</v>
      </c>
      <c r="AK89" s="100">
        <v>6056.9000939204188</v>
      </c>
      <c r="AL89" s="100">
        <v>5</v>
      </c>
      <c r="AM89" s="100">
        <v>5310</v>
      </c>
      <c r="AN89" s="100">
        <v>3</v>
      </c>
      <c r="AO89" s="100">
        <v>3186</v>
      </c>
      <c r="AP89" s="100">
        <v>5</v>
      </c>
      <c r="AQ89" s="100">
        <v>5310</v>
      </c>
      <c r="AR89" s="100">
        <v>4</v>
      </c>
      <c r="AS89" s="100">
        <v>4248</v>
      </c>
      <c r="AT89" s="100">
        <v>7</v>
      </c>
      <c r="AU89" s="100">
        <v>7434</v>
      </c>
      <c r="AV89" s="100">
        <v>3.572327688080017</v>
      </c>
      <c r="AW89" s="100">
        <v>3793.812004740978</v>
      </c>
      <c r="AX89" s="100">
        <v>4.5454545454545441</v>
      </c>
      <c r="AY89" s="100">
        <v>4827.2727272727261</v>
      </c>
      <c r="AZ89" s="100">
        <v>6.1764705882352908</v>
      </c>
      <c r="BA89" s="100">
        <v>6559.4117647058792</v>
      </c>
      <c r="BB89" s="100">
        <v>5.3164556962025307</v>
      </c>
      <c r="BC89" s="100">
        <v>5646.0759493670876</v>
      </c>
      <c r="BD89" s="100">
        <v>4</v>
      </c>
      <c r="BE89" s="100">
        <v>4248</v>
      </c>
      <c r="BF89" s="100">
        <v>4.7195121951219479</v>
      </c>
      <c r="BG89" s="100">
        <v>5012.1219512195084</v>
      </c>
      <c r="BH89" s="100">
        <v>3.7499999999999982</v>
      </c>
      <c r="BI89" s="100">
        <v>3982.4999999999982</v>
      </c>
      <c r="BJ89" s="100">
        <v>3.2327755622084378</v>
      </c>
      <c r="BK89" s="100">
        <v>3433.207647065361</v>
      </c>
      <c r="BL89" s="100">
        <v>0.482968705651385</v>
      </c>
      <c r="BM89" s="100">
        <v>512.91276540177091</v>
      </c>
      <c r="BN89" s="100">
        <v>5</v>
      </c>
      <c r="BO89" s="100">
        <v>5310</v>
      </c>
      <c r="BP89" s="100">
        <v>6</v>
      </c>
      <c r="BQ89" s="100">
        <v>6372</v>
      </c>
      <c r="BR89" s="100">
        <v>6</v>
      </c>
      <c r="BS89" s="100">
        <v>6372</v>
      </c>
      <c r="BT89" s="100">
        <v>4</v>
      </c>
      <c r="BU89" s="100">
        <v>4248</v>
      </c>
      <c r="BV89" s="100">
        <v>6.3966942148760335</v>
      </c>
      <c r="BW89" s="100">
        <v>6793.2892561983472</v>
      </c>
      <c r="BX89" s="100">
        <v>1.0753801516160577</v>
      </c>
      <c r="BY89" s="100">
        <v>1142.0537210162533</v>
      </c>
      <c r="BZ89" s="100">
        <v>4</v>
      </c>
      <c r="CA89" s="100">
        <v>4248</v>
      </c>
      <c r="CB89" s="100">
        <v>6</v>
      </c>
      <c r="CC89" s="100">
        <v>6372</v>
      </c>
      <c r="CD89" s="100">
        <v>4.4916797141225659</v>
      </c>
      <c r="CE89" s="100">
        <v>4770.1638563981651</v>
      </c>
      <c r="CF89" s="100">
        <v>1.9764289266866413</v>
      </c>
      <c r="CG89" s="100">
        <v>2098.9675201412128</v>
      </c>
      <c r="CH89" s="100">
        <v>6.300982347848997</v>
      </c>
      <c r="CI89" s="100">
        <v>6691.6432534156347</v>
      </c>
      <c r="CJ89" s="100">
        <v>3.3249729372295294</v>
      </c>
      <c r="CK89" s="100">
        <v>3531.12125933776</v>
      </c>
      <c r="CL89" s="100">
        <v>5.7270364973764645</v>
      </c>
      <c r="CM89" s="100">
        <v>6082.1127602138049</v>
      </c>
      <c r="CN89" s="100">
        <v>4.2618597861516356</v>
      </c>
      <c r="CO89" s="100">
        <v>4526.095092893037</v>
      </c>
      <c r="CP89" s="100">
        <v>4.9249817591191274</v>
      </c>
      <c r="CQ89" s="100">
        <v>5230.3306281845134</v>
      </c>
      <c r="CR89" s="100">
        <v>0.37866341855413282</v>
      </c>
      <c r="CS89" s="100">
        <v>402.14055050448906</v>
      </c>
      <c r="CT89" s="100">
        <v>4.2667489152748415</v>
      </c>
      <c r="CU89" s="100">
        <v>4531.2873480218814</v>
      </c>
    </row>
    <row r="90" spans="2:99">
      <c r="C90" s="99" t="s">
        <v>256</v>
      </c>
      <c r="D90" s="100">
        <v>1.8447385306098509</v>
      </c>
      <c r="E90" s="100">
        <v>2045.4460827402027</v>
      </c>
      <c r="F90" s="100">
        <v>5</v>
      </c>
      <c r="G90" s="100">
        <v>5544</v>
      </c>
      <c r="H90" s="100">
        <v>3.3556841739576613</v>
      </c>
      <c r="I90" s="100">
        <v>3720.7826120842547</v>
      </c>
      <c r="J90" s="100">
        <v>5</v>
      </c>
      <c r="K90" s="100">
        <v>5544</v>
      </c>
      <c r="L90" s="100">
        <v>5</v>
      </c>
      <c r="M90" s="100">
        <v>5544</v>
      </c>
      <c r="N90" s="100">
        <v>3</v>
      </c>
      <c r="O90" s="100">
        <v>3326.3999999999996</v>
      </c>
      <c r="P90" s="100">
        <v>4</v>
      </c>
      <c r="Q90" s="100">
        <v>4435.2</v>
      </c>
      <c r="R90" s="100">
        <v>4</v>
      </c>
      <c r="S90" s="100">
        <v>4435.2</v>
      </c>
      <c r="T90" s="100">
        <v>5</v>
      </c>
      <c r="U90" s="100">
        <v>5544</v>
      </c>
      <c r="V90" s="100">
        <v>4</v>
      </c>
      <c r="W90" s="100">
        <v>4435.2</v>
      </c>
      <c r="X90" s="100">
        <v>4</v>
      </c>
      <c r="Y90" s="100">
        <v>4435.2</v>
      </c>
      <c r="Z90" s="100">
        <v>5.1238212150385447</v>
      </c>
      <c r="AA90" s="100">
        <v>5681.2929632347377</v>
      </c>
      <c r="AB90" s="100">
        <v>0.67943577926003718</v>
      </c>
      <c r="AC90" s="100">
        <v>753.35839204352919</v>
      </c>
      <c r="AD90" s="100">
        <v>5.1769880704872691</v>
      </c>
      <c r="AE90" s="100">
        <v>5740.2443725562835</v>
      </c>
      <c r="AF90" s="100">
        <v>5.9999999999999973</v>
      </c>
      <c r="AG90" s="100">
        <v>6652.7999999999965</v>
      </c>
      <c r="AH90" s="100">
        <v>5.4482731615631605</v>
      </c>
      <c r="AI90" s="100">
        <v>6041.0452815412318</v>
      </c>
      <c r="AJ90" s="100">
        <v>5.7032957569872114</v>
      </c>
      <c r="AK90" s="100">
        <v>6323.8143353474197</v>
      </c>
      <c r="AL90" s="100">
        <v>6</v>
      </c>
      <c r="AM90" s="100">
        <v>6652.7999999999993</v>
      </c>
      <c r="AN90" s="100">
        <v>3</v>
      </c>
      <c r="AO90" s="100">
        <v>3326.3999999999996</v>
      </c>
      <c r="AP90" s="100">
        <v>5</v>
      </c>
      <c r="AQ90" s="100">
        <v>5544</v>
      </c>
      <c r="AR90" s="100">
        <v>4</v>
      </c>
      <c r="AS90" s="100">
        <v>4435.2</v>
      </c>
      <c r="AT90" s="100">
        <v>7</v>
      </c>
      <c r="AU90" s="100">
        <v>7761.5999999999995</v>
      </c>
      <c r="AV90" s="100">
        <v>4.2867932256960204</v>
      </c>
      <c r="AW90" s="100">
        <v>4753.1963286517475</v>
      </c>
      <c r="AX90" s="100">
        <v>3.6363636363636358</v>
      </c>
      <c r="AY90" s="100">
        <v>4031.9999999999991</v>
      </c>
      <c r="AZ90" s="100">
        <v>6.1764705882352908</v>
      </c>
      <c r="BA90" s="100">
        <v>6848.4705882352901</v>
      </c>
      <c r="BB90" s="100">
        <v>5.3164556962025307</v>
      </c>
      <c r="BC90" s="100">
        <v>5894.8860759493655</v>
      </c>
      <c r="BD90" s="100">
        <v>4</v>
      </c>
      <c r="BE90" s="100">
        <v>4435.2</v>
      </c>
      <c r="BF90" s="100">
        <v>3.9329268292682902</v>
      </c>
      <c r="BG90" s="100">
        <v>4360.8292682926804</v>
      </c>
      <c r="BH90" s="100">
        <v>3.7499999999999982</v>
      </c>
      <c r="BI90" s="100">
        <v>4157.9999999999982</v>
      </c>
      <c r="BJ90" s="100">
        <v>3.2327755622084378</v>
      </c>
      <c r="BK90" s="100">
        <v>3584.5015433767157</v>
      </c>
      <c r="BL90" s="100">
        <v>0.482968705651385</v>
      </c>
      <c r="BM90" s="100">
        <v>535.51570082625562</v>
      </c>
      <c r="BN90" s="100">
        <v>5</v>
      </c>
      <c r="BO90" s="100">
        <v>5544</v>
      </c>
      <c r="BP90" s="100">
        <v>5</v>
      </c>
      <c r="BQ90" s="100">
        <v>5544</v>
      </c>
      <c r="BR90" s="100">
        <v>5</v>
      </c>
      <c r="BS90" s="100">
        <v>5544</v>
      </c>
      <c r="BT90" s="100">
        <v>4</v>
      </c>
      <c r="BU90" s="100">
        <v>4435.2</v>
      </c>
      <c r="BV90" s="100">
        <v>6.3471074380165291</v>
      </c>
      <c r="BW90" s="100">
        <v>7037.6727272727276</v>
      </c>
      <c r="BX90" s="100">
        <v>0.86030412129284606</v>
      </c>
      <c r="BY90" s="100">
        <v>953.90520968950761</v>
      </c>
      <c r="BZ90" s="100">
        <v>4</v>
      </c>
      <c r="CA90" s="100">
        <v>4435.2</v>
      </c>
      <c r="CB90" s="100">
        <v>5</v>
      </c>
      <c r="CC90" s="100">
        <v>5544</v>
      </c>
      <c r="CD90" s="100">
        <v>4.4507064046123528</v>
      </c>
      <c r="CE90" s="100">
        <v>4934.9432614341767</v>
      </c>
      <c r="CF90" s="100">
        <v>1.9764289266866413</v>
      </c>
      <c r="CG90" s="100">
        <v>2191.4643939101479</v>
      </c>
      <c r="CH90" s="100">
        <v>6.3439798261131397</v>
      </c>
      <c r="CI90" s="100">
        <v>7034.204831194249</v>
      </c>
      <c r="CJ90" s="100">
        <v>4.1562161715369124</v>
      </c>
      <c r="CK90" s="100">
        <v>4608.4124910001283</v>
      </c>
      <c r="CL90" s="100">
        <v>5.7270364973764645</v>
      </c>
      <c r="CM90" s="100">
        <v>6350.138068291024</v>
      </c>
      <c r="CN90" s="100">
        <v>4.2554429873997677</v>
      </c>
      <c r="CO90" s="100">
        <v>4718.4351844288622</v>
      </c>
      <c r="CP90" s="100">
        <v>4.2285422439832008</v>
      </c>
      <c r="CQ90" s="100">
        <v>4688.6076401285727</v>
      </c>
      <c r="CR90" s="100">
        <v>0.33133049123486624</v>
      </c>
      <c r="CS90" s="100">
        <v>367.37924868121968</v>
      </c>
      <c r="CT90" s="100">
        <v>3.5556240960623673</v>
      </c>
      <c r="CU90" s="100">
        <v>3942.4759977139529</v>
      </c>
    </row>
    <row r="91" spans="2:99">
      <c r="C91" s="99" t="s">
        <v>257</v>
      </c>
      <c r="D91" s="100">
        <v>1.8447385306098509</v>
      </c>
      <c r="E91" s="100">
        <v>2096.3608661850344</v>
      </c>
      <c r="F91" s="100">
        <v>5</v>
      </c>
      <c r="G91" s="100">
        <v>5681.9999999999991</v>
      </c>
      <c r="H91" s="100">
        <v>2.6845473391661288</v>
      </c>
      <c r="I91" s="100">
        <v>3050.7195962283881</v>
      </c>
      <c r="J91" s="100">
        <v>4</v>
      </c>
      <c r="K91" s="100">
        <v>4545.5999999999995</v>
      </c>
      <c r="L91" s="100">
        <v>5</v>
      </c>
      <c r="M91" s="100">
        <v>5681.9999999999991</v>
      </c>
      <c r="N91" s="100">
        <v>3</v>
      </c>
      <c r="O91" s="100">
        <v>3409.2</v>
      </c>
      <c r="P91" s="100">
        <v>3</v>
      </c>
      <c r="Q91" s="100">
        <v>3409.2</v>
      </c>
      <c r="R91" s="100">
        <v>4</v>
      </c>
      <c r="S91" s="100">
        <v>4545.5999999999995</v>
      </c>
      <c r="T91" s="100">
        <v>5</v>
      </c>
      <c r="U91" s="100">
        <v>5681.9999999999991</v>
      </c>
      <c r="V91" s="100">
        <v>4</v>
      </c>
      <c r="W91" s="100">
        <v>4545.5999999999995</v>
      </c>
      <c r="X91" s="100">
        <v>4</v>
      </c>
      <c r="Y91" s="100">
        <v>4545.5999999999995</v>
      </c>
      <c r="Z91" s="100">
        <v>6.0835101091724724</v>
      </c>
      <c r="AA91" s="100">
        <v>6913.3008880635971</v>
      </c>
      <c r="AB91" s="100">
        <v>0.67943577926003718</v>
      </c>
      <c r="AC91" s="100">
        <v>772.11081955110615</v>
      </c>
      <c r="AD91" s="100">
        <v>6.1429643155207403</v>
      </c>
      <c r="AE91" s="100">
        <v>6980.864648157768</v>
      </c>
      <c r="AF91" s="100">
        <v>5.9999999999999973</v>
      </c>
      <c r="AG91" s="100">
        <v>6818.399999999996</v>
      </c>
      <c r="AH91" s="100">
        <v>6.4980812906257341</v>
      </c>
      <c r="AI91" s="100">
        <v>7384.4195786670834</v>
      </c>
      <c r="AJ91" s="100">
        <v>5.7032957569872114</v>
      </c>
      <c r="AK91" s="100">
        <v>6481.2252982402661</v>
      </c>
      <c r="AL91" s="100">
        <v>5</v>
      </c>
      <c r="AM91" s="100">
        <v>5681.9999999999991</v>
      </c>
      <c r="AN91" s="100">
        <v>4</v>
      </c>
      <c r="AO91" s="100">
        <v>4545.5999999999995</v>
      </c>
      <c r="AP91" s="100">
        <v>6</v>
      </c>
      <c r="AQ91" s="100">
        <v>6818.4</v>
      </c>
      <c r="AR91" s="100">
        <v>4</v>
      </c>
      <c r="AS91" s="100">
        <v>4545.5999999999995</v>
      </c>
      <c r="AT91" s="100">
        <v>7</v>
      </c>
      <c r="AU91" s="100">
        <v>7954.7999999999993</v>
      </c>
      <c r="AV91" s="100">
        <v>3.572327688080017</v>
      </c>
      <c r="AW91" s="100">
        <v>4059.5931847341308</v>
      </c>
      <c r="AX91" s="100">
        <v>4.5454545454545441</v>
      </c>
      <c r="AY91" s="100">
        <v>5165.4545454545432</v>
      </c>
      <c r="AZ91" s="100">
        <v>5.2941176470588216</v>
      </c>
      <c r="BA91" s="100">
        <v>6016.2352941176441</v>
      </c>
      <c r="BB91" s="100">
        <v>5.3164556962025307</v>
      </c>
      <c r="BC91" s="100">
        <v>6041.6202531645549</v>
      </c>
      <c r="BD91" s="100">
        <v>4</v>
      </c>
      <c r="BE91" s="100">
        <v>4545.5999999999995</v>
      </c>
      <c r="BF91" s="100">
        <v>3.9329268292682902</v>
      </c>
      <c r="BG91" s="100">
        <v>4469.3780487804843</v>
      </c>
      <c r="BH91" s="100">
        <v>3.7499999999999982</v>
      </c>
      <c r="BI91" s="100">
        <v>4261.4999999999973</v>
      </c>
      <c r="BJ91" s="100">
        <v>3.1985491898011991</v>
      </c>
      <c r="BK91" s="100">
        <v>3634.8312992900824</v>
      </c>
      <c r="BL91" s="100">
        <v>0.482968705651385</v>
      </c>
      <c r="BM91" s="100">
        <v>548.84563710223381</v>
      </c>
      <c r="BN91" s="100">
        <v>5</v>
      </c>
      <c r="BO91" s="100">
        <v>5681.9999999999991</v>
      </c>
      <c r="BP91" s="100">
        <v>5</v>
      </c>
      <c r="BQ91" s="100">
        <v>5681.9999999999991</v>
      </c>
      <c r="BR91" s="100">
        <v>6</v>
      </c>
      <c r="BS91" s="100">
        <v>6818.4</v>
      </c>
      <c r="BT91" s="100">
        <v>4</v>
      </c>
      <c r="BU91" s="100">
        <v>4545.5999999999995</v>
      </c>
      <c r="BV91" s="100">
        <v>6.2975206611570247</v>
      </c>
      <c r="BW91" s="100">
        <v>7156.502479338842</v>
      </c>
      <c r="BX91" s="100">
        <v>1.0753801516160577</v>
      </c>
      <c r="BY91" s="100">
        <v>1222.0620042964879</v>
      </c>
      <c r="BZ91" s="100">
        <v>4</v>
      </c>
      <c r="CA91" s="100">
        <v>4545.5999999999995</v>
      </c>
      <c r="CB91" s="100">
        <v>5</v>
      </c>
      <c r="CC91" s="100">
        <v>5681.9999999999991</v>
      </c>
      <c r="CD91" s="100">
        <v>4.4097330951021387</v>
      </c>
      <c r="CE91" s="100">
        <v>5011.2206892740696</v>
      </c>
      <c r="CF91" s="100">
        <v>1.9764289266866413</v>
      </c>
      <c r="CG91" s="100">
        <v>2246.0138322866987</v>
      </c>
      <c r="CH91" s="100">
        <v>5.3439798261131397</v>
      </c>
      <c r="CI91" s="100">
        <v>6072.8986743949708</v>
      </c>
      <c r="CJ91" s="100">
        <v>4.1562161715369124</v>
      </c>
      <c r="CK91" s="100">
        <v>4723.1240573345467</v>
      </c>
      <c r="CL91" s="100">
        <v>4.7845276738428151</v>
      </c>
      <c r="CM91" s="100">
        <v>5437.1372485549746</v>
      </c>
      <c r="CN91" s="100">
        <v>5.106531584879721</v>
      </c>
      <c r="CO91" s="100">
        <v>5803.062493057314</v>
      </c>
      <c r="CP91" s="100">
        <v>4.236859769511141</v>
      </c>
      <c r="CQ91" s="100">
        <v>4814.7674420724597</v>
      </c>
      <c r="CR91" s="100">
        <v>0.33133049123486624</v>
      </c>
      <c r="CS91" s="100">
        <v>376.52397023930195</v>
      </c>
      <c r="CT91" s="100">
        <v>4.2667489152748415</v>
      </c>
      <c r="CU91" s="100">
        <v>4848.7334673183295</v>
      </c>
    </row>
    <row r="92" spans="2:99">
      <c r="C92" s="99" t="s">
        <v>258</v>
      </c>
      <c r="D92" s="100">
        <v>1.8447385306098509</v>
      </c>
      <c r="E92" s="100">
        <v>1447.7507988226109</v>
      </c>
      <c r="F92" s="100">
        <v>6</v>
      </c>
      <c r="G92" s="100">
        <v>4708.7999999999993</v>
      </c>
      <c r="H92" s="100">
        <v>3.3556841739576613</v>
      </c>
      <c r="I92" s="100">
        <v>2633.5409397219723</v>
      </c>
      <c r="J92" s="100">
        <v>4</v>
      </c>
      <c r="K92" s="100">
        <v>3139.2</v>
      </c>
      <c r="L92" s="100">
        <v>5</v>
      </c>
      <c r="M92" s="100">
        <v>3924</v>
      </c>
      <c r="N92" s="100">
        <v>3</v>
      </c>
      <c r="O92" s="100">
        <v>2354.3999999999996</v>
      </c>
      <c r="P92" s="100">
        <v>4</v>
      </c>
      <c r="Q92" s="100">
        <v>3139.2</v>
      </c>
      <c r="R92" s="100">
        <v>4</v>
      </c>
      <c r="S92" s="100">
        <v>3139.2</v>
      </c>
      <c r="T92" s="100">
        <v>5</v>
      </c>
      <c r="U92" s="100">
        <v>3924</v>
      </c>
      <c r="V92" s="100">
        <v>4</v>
      </c>
      <c r="W92" s="100">
        <v>3139.2</v>
      </c>
      <c r="X92" s="100">
        <v>5</v>
      </c>
      <c r="Y92" s="100">
        <v>3924</v>
      </c>
      <c r="Z92" s="100">
        <v>5.1238212150385447</v>
      </c>
      <c r="AA92" s="100">
        <v>4021.1748895622495</v>
      </c>
      <c r="AB92" s="100">
        <v>0.79267507580337671</v>
      </c>
      <c r="AC92" s="100">
        <v>622.09139949048995</v>
      </c>
      <c r="AD92" s="100">
        <v>5.7958574702008256</v>
      </c>
      <c r="AE92" s="100">
        <v>4548.5889426136073</v>
      </c>
      <c r="AF92" s="100">
        <v>5.9999999999999973</v>
      </c>
      <c r="AG92" s="100">
        <v>4708.7999999999975</v>
      </c>
      <c r="AH92" s="100">
        <v>5.4482731615631605</v>
      </c>
      <c r="AI92" s="100">
        <v>4275.8047771947686</v>
      </c>
      <c r="AJ92" s="100">
        <v>5.7032957569872114</v>
      </c>
      <c r="AK92" s="100">
        <v>4475.9465100835632</v>
      </c>
      <c r="AL92" s="100">
        <v>5</v>
      </c>
      <c r="AM92" s="100">
        <v>3924</v>
      </c>
      <c r="AN92" s="100">
        <v>4</v>
      </c>
      <c r="AO92" s="100">
        <v>3139.2</v>
      </c>
      <c r="AP92" s="100">
        <v>6</v>
      </c>
      <c r="AQ92" s="100">
        <v>4708.7999999999993</v>
      </c>
      <c r="AR92" s="100">
        <v>4</v>
      </c>
      <c r="AS92" s="100">
        <v>3139.2</v>
      </c>
      <c r="AT92" s="100">
        <v>6</v>
      </c>
      <c r="AU92" s="100">
        <v>4708.7999999999993</v>
      </c>
      <c r="AV92" s="100">
        <v>3.572327688080017</v>
      </c>
      <c r="AW92" s="100">
        <v>2803.562769605197</v>
      </c>
      <c r="AX92" s="100">
        <v>4.5454545454545441</v>
      </c>
      <c r="AY92" s="100">
        <v>3567.2727272727261</v>
      </c>
      <c r="AZ92" s="100">
        <v>5.2941176470588216</v>
      </c>
      <c r="BA92" s="100">
        <v>4154.823529411763</v>
      </c>
      <c r="BB92" s="100">
        <v>5.3164556962025307</v>
      </c>
      <c r="BC92" s="100">
        <v>4172.3544303797462</v>
      </c>
      <c r="BD92" s="100">
        <v>4</v>
      </c>
      <c r="BE92" s="100">
        <v>3139.2</v>
      </c>
      <c r="BF92" s="100">
        <v>3.9329268292682902</v>
      </c>
      <c r="BG92" s="100">
        <v>3086.5609756097538</v>
      </c>
      <c r="BH92" s="100">
        <v>3.7499999999999982</v>
      </c>
      <c r="BI92" s="100">
        <v>2942.9999999999986</v>
      </c>
      <c r="BJ92" s="100">
        <v>2.4844778233689966</v>
      </c>
      <c r="BK92" s="100">
        <v>1949.8181957799884</v>
      </c>
      <c r="BL92" s="100">
        <v>0.60371088206423129</v>
      </c>
      <c r="BM92" s="100">
        <v>473.79230024400869</v>
      </c>
      <c r="BN92" s="100">
        <v>5</v>
      </c>
      <c r="BO92" s="100">
        <v>3924</v>
      </c>
      <c r="BP92" s="100">
        <v>5</v>
      </c>
      <c r="BQ92" s="100">
        <v>3924</v>
      </c>
      <c r="BR92" s="100">
        <v>5</v>
      </c>
      <c r="BS92" s="100">
        <v>3924</v>
      </c>
      <c r="BT92" s="100">
        <v>3</v>
      </c>
      <c r="BU92" s="100">
        <v>2354.3999999999996</v>
      </c>
      <c r="BV92" s="100">
        <v>6.3471074380165291</v>
      </c>
      <c r="BW92" s="100">
        <v>4981.2099173553715</v>
      </c>
      <c r="BX92" s="100">
        <v>1.0753801516160577</v>
      </c>
      <c r="BY92" s="100">
        <v>843.95834298828208</v>
      </c>
      <c r="BZ92" s="100">
        <v>4</v>
      </c>
      <c r="CA92" s="100">
        <v>3139.2</v>
      </c>
      <c r="CB92" s="100">
        <v>5</v>
      </c>
      <c r="CC92" s="100">
        <v>3924</v>
      </c>
      <c r="CD92" s="100">
        <v>4.4507064046123528</v>
      </c>
      <c r="CE92" s="100">
        <v>3492.9143863397744</v>
      </c>
      <c r="CF92" s="100">
        <v>2.4705361583583016</v>
      </c>
      <c r="CG92" s="100">
        <v>1938.8767770795951</v>
      </c>
      <c r="CH92" s="100">
        <v>6.3439798261131397</v>
      </c>
      <c r="CI92" s="100">
        <v>4978.7553675335921</v>
      </c>
      <c r="CJ92" s="100">
        <v>4.1562161715369124</v>
      </c>
      <c r="CK92" s="100">
        <v>3261.7984514221685</v>
      </c>
      <c r="CL92" s="100">
        <v>5.6910447192891764</v>
      </c>
      <c r="CM92" s="100">
        <v>4466.3318956981457</v>
      </c>
      <c r="CN92" s="100">
        <v>4.2618597861516356</v>
      </c>
      <c r="CO92" s="100">
        <v>3344.7075601718034</v>
      </c>
      <c r="CP92" s="100">
        <v>4.9249817591191274</v>
      </c>
      <c r="CQ92" s="100">
        <v>3865.1256845566909</v>
      </c>
      <c r="CR92" s="100">
        <v>0.33133049123486624</v>
      </c>
      <c r="CS92" s="100">
        <v>260.028169521123</v>
      </c>
      <c r="CT92" s="100">
        <v>4.2667489152748415</v>
      </c>
      <c r="CU92" s="100">
        <v>3348.5445487076954</v>
      </c>
    </row>
    <row r="93" spans="2:99">
      <c r="C93" s="99" t="s">
        <v>259</v>
      </c>
      <c r="D93" s="100">
        <v>1.8447385306098509</v>
      </c>
      <c r="E93" s="100">
        <v>1279.5106448309928</v>
      </c>
      <c r="F93" s="100">
        <v>6</v>
      </c>
      <c r="G93" s="100">
        <v>4161.6000000000004</v>
      </c>
      <c r="H93" s="100">
        <v>3.3556841739576613</v>
      </c>
      <c r="I93" s="100">
        <v>2327.502543057034</v>
      </c>
      <c r="J93" s="100">
        <v>5</v>
      </c>
      <c r="K93" s="100">
        <v>3468</v>
      </c>
      <c r="L93" s="100">
        <v>6</v>
      </c>
      <c r="M93" s="100">
        <v>4161.6000000000004</v>
      </c>
      <c r="N93" s="100">
        <v>4</v>
      </c>
      <c r="O93" s="100">
        <v>2774.4</v>
      </c>
      <c r="P93" s="100">
        <v>4</v>
      </c>
      <c r="Q93" s="100">
        <v>2774.4</v>
      </c>
      <c r="R93" s="100">
        <v>5</v>
      </c>
      <c r="S93" s="100">
        <v>3468</v>
      </c>
      <c r="T93" s="100">
        <v>5</v>
      </c>
      <c r="U93" s="100">
        <v>3468</v>
      </c>
      <c r="V93" s="100">
        <v>4</v>
      </c>
      <c r="W93" s="100">
        <v>2774.4</v>
      </c>
      <c r="X93" s="100">
        <v>4</v>
      </c>
      <c r="Y93" s="100">
        <v>2774.4</v>
      </c>
      <c r="Z93" s="100">
        <v>5.1238212150385447</v>
      </c>
      <c r="AA93" s="100">
        <v>3553.8823947507349</v>
      </c>
      <c r="AB93" s="100">
        <v>0.79267507580337671</v>
      </c>
      <c r="AC93" s="100">
        <v>549.79943257722209</v>
      </c>
      <c r="AD93" s="100">
        <v>5.1769880704872691</v>
      </c>
      <c r="AE93" s="100">
        <v>3590.7589256899701</v>
      </c>
      <c r="AF93" s="100">
        <v>5.9999999999999973</v>
      </c>
      <c r="AG93" s="100">
        <v>4161.5999999999985</v>
      </c>
      <c r="AH93" s="100">
        <v>5.4980812906257341</v>
      </c>
      <c r="AI93" s="100">
        <v>3813.4691831780092</v>
      </c>
      <c r="AJ93" s="100">
        <v>5.7032957569872114</v>
      </c>
      <c r="AK93" s="100">
        <v>3955.8059370463297</v>
      </c>
      <c r="AL93" s="100">
        <v>5</v>
      </c>
      <c r="AM93" s="100">
        <v>3468</v>
      </c>
      <c r="AN93" s="100">
        <v>4</v>
      </c>
      <c r="AO93" s="100">
        <v>2774.4</v>
      </c>
      <c r="AP93" s="100">
        <v>6</v>
      </c>
      <c r="AQ93" s="100">
        <v>4161.6000000000004</v>
      </c>
      <c r="AR93" s="100">
        <v>4</v>
      </c>
      <c r="AS93" s="100">
        <v>2774.4</v>
      </c>
      <c r="AT93" s="100">
        <v>6</v>
      </c>
      <c r="AU93" s="100">
        <v>4161.6000000000004</v>
      </c>
      <c r="AV93" s="100">
        <v>3.572327688080017</v>
      </c>
      <c r="AW93" s="100">
        <v>2477.7664844522997</v>
      </c>
      <c r="AX93" s="100">
        <v>3.6363636363636358</v>
      </c>
      <c r="AY93" s="100">
        <v>2522.181818181818</v>
      </c>
      <c r="AZ93" s="100">
        <v>5.2941176470588216</v>
      </c>
      <c r="BA93" s="100">
        <v>3671.9999999999986</v>
      </c>
      <c r="BB93" s="100">
        <v>5.3164556962025307</v>
      </c>
      <c r="BC93" s="100">
        <v>3687.4936708860755</v>
      </c>
      <c r="BD93" s="100">
        <v>4</v>
      </c>
      <c r="BE93" s="100">
        <v>2774.4</v>
      </c>
      <c r="BF93" s="100">
        <v>4.7195121951219479</v>
      </c>
      <c r="BG93" s="100">
        <v>3273.4536585365831</v>
      </c>
      <c r="BH93" s="100">
        <v>3.7499999999999982</v>
      </c>
      <c r="BI93" s="100">
        <v>2600.9999999999986</v>
      </c>
      <c r="BJ93" s="100">
        <v>3.2327755622084378</v>
      </c>
      <c r="BK93" s="100">
        <v>2242.2531299477723</v>
      </c>
      <c r="BL93" s="100">
        <v>0.482968705651385</v>
      </c>
      <c r="BM93" s="100">
        <v>334.98709423980063</v>
      </c>
      <c r="BN93" s="100">
        <v>5</v>
      </c>
      <c r="BO93" s="100">
        <v>3468</v>
      </c>
      <c r="BP93" s="100">
        <v>6</v>
      </c>
      <c r="BQ93" s="100">
        <v>4161.6000000000004</v>
      </c>
      <c r="BR93" s="100">
        <v>6</v>
      </c>
      <c r="BS93" s="100">
        <v>4161.6000000000004</v>
      </c>
      <c r="BT93" s="100">
        <v>4</v>
      </c>
      <c r="BU93" s="100">
        <v>2774.4</v>
      </c>
      <c r="BV93" s="100">
        <v>6.3471074380165291</v>
      </c>
      <c r="BW93" s="100">
        <v>4402.3537190082643</v>
      </c>
      <c r="BX93" s="100">
        <v>1.0753801516160577</v>
      </c>
      <c r="BY93" s="100">
        <v>745.88367316089762</v>
      </c>
      <c r="BZ93" s="100">
        <v>4</v>
      </c>
      <c r="CA93" s="100">
        <v>2774.4</v>
      </c>
      <c r="CB93" s="100">
        <v>5</v>
      </c>
      <c r="CC93" s="100">
        <v>3468</v>
      </c>
      <c r="CD93" s="100">
        <v>4.53265302363278</v>
      </c>
      <c r="CE93" s="100">
        <v>3143.8481371916964</v>
      </c>
      <c r="CF93" s="100">
        <v>2.4705361583583016</v>
      </c>
      <c r="CG93" s="100">
        <v>1713.5638794373181</v>
      </c>
      <c r="CH93" s="100">
        <v>6.3439798261131397</v>
      </c>
      <c r="CI93" s="100">
        <v>4400.1844073920738</v>
      </c>
      <c r="CJ93" s="100">
        <v>4.1562161715369124</v>
      </c>
      <c r="CK93" s="100">
        <v>2882.7515365780023</v>
      </c>
      <c r="CL93" s="100">
        <v>4.8205194519301031</v>
      </c>
      <c r="CM93" s="100">
        <v>3343.5122918587194</v>
      </c>
      <c r="CN93" s="100">
        <v>5.106531584879721</v>
      </c>
      <c r="CO93" s="100">
        <v>3541.8903072725748</v>
      </c>
      <c r="CP93" s="100">
        <v>5.621421274255054</v>
      </c>
      <c r="CQ93" s="100">
        <v>3899.0177958233057</v>
      </c>
      <c r="CR93" s="100">
        <v>0.33133049123486624</v>
      </c>
      <c r="CS93" s="100">
        <v>229.81082872050322</v>
      </c>
      <c r="CT93" s="100">
        <v>3.5556240960623673</v>
      </c>
      <c r="CU93" s="100">
        <v>2466.1808730288581</v>
      </c>
    </row>
    <row r="94" spans="2:99">
      <c r="C94" s="99" t="s">
        <v>260</v>
      </c>
      <c r="D94" s="100">
        <v>2.1521949523781596</v>
      </c>
      <c r="E94" s="100">
        <v>2567.1381391966688</v>
      </c>
      <c r="F94" s="100">
        <v>5</v>
      </c>
      <c r="G94" s="100">
        <v>5964</v>
      </c>
      <c r="H94" s="100">
        <v>3.3556841739576613</v>
      </c>
      <c r="I94" s="100">
        <v>4002.6600826966983</v>
      </c>
      <c r="J94" s="100">
        <v>4</v>
      </c>
      <c r="K94" s="100">
        <v>4771.2</v>
      </c>
      <c r="L94" s="100">
        <v>5</v>
      </c>
      <c r="M94" s="100">
        <v>5964</v>
      </c>
      <c r="N94" s="100">
        <v>3</v>
      </c>
      <c r="O94" s="100">
        <v>3578.3999999999996</v>
      </c>
      <c r="P94" s="100">
        <v>4</v>
      </c>
      <c r="Q94" s="100">
        <v>4771.2</v>
      </c>
      <c r="R94" s="100">
        <v>4</v>
      </c>
      <c r="S94" s="100">
        <v>4771.2</v>
      </c>
      <c r="T94" s="100">
        <v>6</v>
      </c>
      <c r="U94" s="100">
        <v>7156.7999999999993</v>
      </c>
      <c r="V94" s="100">
        <v>4</v>
      </c>
      <c r="W94" s="100">
        <v>4771.2</v>
      </c>
      <c r="X94" s="100">
        <v>4</v>
      </c>
      <c r="Y94" s="100">
        <v>4771.2</v>
      </c>
      <c r="Z94" s="100">
        <v>5.1599741866350906</v>
      </c>
      <c r="AA94" s="100">
        <v>6154.8172098183359</v>
      </c>
      <c r="AB94" s="100">
        <v>0.67943577926003718</v>
      </c>
      <c r="AC94" s="100">
        <v>810.4309975013723</v>
      </c>
      <c r="AD94" s="100">
        <v>5.1454329027309127</v>
      </c>
      <c r="AE94" s="100">
        <v>6137.4723663774321</v>
      </c>
      <c r="AF94" s="100">
        <v>5.9999999999999973</v>
      </c>
      <c r="AG94" s="100">
        <v>7156.7999999999965</v>
      </c>
      <c r="AH94" s="100">
        <v>6.4980812906257341</v>
      </c>
      <c r="AI94" s="100">
        <v>7750.9113634583755</v>
      </c>
      <c r="AJ94" s="100">
        <v>5.7032957569872114</v>
      </c>
      <c r="AK94" s="100">
        <v>6802.8911789343456</v>
      </c>
      <c r="AL94" s="100">
        <v>5</v>
      </c>
      <c r="AM94" s="100">
        <v>5964</v>
      </c>
      <c r="AN94" s="100">
        <v>4</v>
      </c>
      <c r="AO94" s="100">
        <v>4771.2</v>
      </c>
      <c r="AP94" s="100">
        <v>5</v>
      </c>
      <c r="AQ94" s="100">
        <v>5964</v>
      </c>
      <c r="AR94" s="100">
        <v>4</v>
      </c>
      <c r="AS94" s="100">
        <v>4771.2</v>
      </c>
      <c r="AT94" s="100">
        <v>6</v>
      </c>
      <c r="AU94" s="100">
        <v>7156.7999999999993</v>
      </c>
      <c r="AV94" s="100">
        <v>3.572327688080017</v>
      </c>
      <c r="AW94" s="100">
        <v>4261.0724663418441</v>
      </c>
      <c r="AX94" s="100">
        <v>3.6363636363636358</v>
      </c>
      <c r="AY94" s="100">
        <v>4337.454545454545</v>
      </c>
      <c r="AZ94" s="100">
        <v>5.2941176470588216</v>
      </c>
      <c r="BA94" s="100">
        <v>6314.8235294117621</v>
      </c>
      <c r="BB94" s="100">
        <v>5.3164556962025307</v>
      </c>
      <c r="BC94" s="100">
        <v>6341.468354430378</v>
      </c>
      <c r="BD94" s="100">
        <v>4</v>
      </c>
      <c r="BE94" s="100">
        <v>4771.2</v>
      </c>
      <c r="BF94" s="100">
        <v>3.9329268292682902</v>
      </c>
      <c r="BG94" s="100">
        <v>4691.1951219512166</v>
      </c>
      <c r="BH94" s="100">
        <v>3.7499999999999982</v>
      </c>
      <c r="BI94" s="100">
        <v>4472.9999999999973</v>
      </c>
      <c r="BJ94" s="100">
        <v>3.1985491898011991</v>
      </c>
      <c r="BK94" s="100">
        <v>3815.2294735948699</v>
      </c>
      <c r="BL94" s="100">
        <v>0.482968705651385</v>
      </c>
      <c r="BM94" s="100">
        <v>576.08507210097196</v>
      </c>
      <c r="BN94" s="100">
        <v>5</v>
      </c>
      <c r="BO94" s="100">
        <v>5964</v>
      </c>
      <c r="BP94" s="100">
        <v>5</v>
      </c>
      <c r="BQ94" s="100">
        <v>5964</v>
      </c>
      <c r="BR94" s="100">
        <v>5</v>
      </c>
      <c r="BS94" s="100">
        <v>5964</v>
      </c>
      <c r="BT94" s="100">
        <v>4</v>
      </c>
      <c r="BU94" s="100">
        <v>4771.2</v>
      </c>
      <c r="BV94" s="100">
        <v>5.3471074380165291</v>
      </c>
      <c r="BW94" s="100">
        <v>6378.0297520661161</v>
      </c>
      <c r="BX94" s="100">
        <v>0.86030412129284606</v>
      </c>
      <c r="BY94" s="100">
        <v>1026.1707558781068</v>
      </c>
      <c r="BZ94" s="100">
        <v>4</v>
      </c>
      <c r="CA94" s="100">
        <v>4771.2</v>
      </c>
      <c r="CB94" s="100">
        <v>5</v>
      </c>
      <c r="CC94" s="100">
        <v>5964</v>
      </c>
      <c r="CD94" s="100">
        <v>4.4507064046123528</v>
      </c>
      <c r="CE94" s="100">
        <v>5308.8025994216141</v>
      </c>
      <c r="CF94" s="100">
        <v>1.9764289266866413</v>
      </c>
      <c r="CG94" s="100">
        <v>2357.4844237518255</v>
      </c>
      <c r="CH94" s="100">
        <v>6.3439798261131397</v>
      </c>
      <c r="CI94" s="100">
        <v>7567.0991365877526</v>
      </c>
      <c r="CJ94" s="100">
        <v>4.1562161715369124</v>
      </c>
      <c r="CK94" s="100">
        <v>4957.5346494092291</v>
      </c>
      <c r="CL94" s="100">
        <v>4.8565112300173903</v>
      </c>
      <c r="CM94" s="100">
        <v>5792.8465951647431</v>
      </c>
      <c r="CN94" s="100">
        <v>4.2618597861516356</v>
      </c>
      <c r="CO94" s="100">
        <v>5083.5463529216704</v>
      </c>
      <c r="CP94" s="100">
        <v>4.9249817591191274</v>
      </c>
      <c r="CQ94" s="100">
        <v>5874.518242277295</v>
      </c>
      <c r="CR94" s="100">
        <v>0.33133049123486624</v>
      </c>
      <c r="CS94" s="100">
        <v>395.21100994494844</v>
      </c>
      <c r="CT94" s="100">
        <v>4.2667489152748415</v>
      </c>
      <c r="CU94" s="100">
        <v>5089.3781061398304</v>
      </c>
    </row>
    <row r="95" spans="2:99">
      <c r="B95" s="99" t="s">
        <v>132</v>
      </c>
      <c r="C95" s="99" t="s">
        <v>261</v>
      </c>
      <c r="D95" s="100">
        <v>3.0745642176830854</v>
      </c>
      <c r="E95" s="100">
        <v>1010.9167147741986</v>
      </c>
      <c r="F95" s="100">
        <v>7</v>
      </c>
      <c r="G95" s="100">
        <v>2301.6</v>
      </c>
      <c r="H95" s="100">
        <v>4.0268210087491934</v>
      </c>
      <c r="I95" s="100">
        <v>1324.0187476767348</v>
      </c>
      <c r="J95" s="100">
        <v>10</v>
      </c>
      <c r="K95" s="100">
        <v>3288</v>
      </c>
      <c r="L95" s="100">
        <v>9</v>
      </c>
      <c r="M95" s="100">
        <v>2959.2000000000003</v>
      </c>
      <c r="N95" s="100">
        <v>10</v>
      </c>
      <c r="O95" s="100">
        <v>3288</v>
      </c>
      <c r="P95" s="100">
        <v>9</v>
      </c>
      <c r="Q95" s="100">
        <v>2959.2000000000003</v>
      </c>
      <c r="R95" s="100">
        <v>7</v>
      </c>
      <c r="S95" s="100">
        <v>2301.6</v>
      </c>
      <c r="T95" s="100">
        <v>8</v>
      </c>
      <c r="U95" s="100">
        <v>2630.4</v>
      </c>
      <c r="V95" s="100">
        <v>7</v>
      </c>
      <c r="W95" s="100">
        <v>2301.6</v>
      </c>
      <c r="X95" s="100">
        <v>11</v>
      </c>
      <c r="Y95" s="100">
        <v>3616.8</v>
      </c>
      <c r="Z95" s="100">
        <v>6.1558160523655632</v>
      </c>
      <c r="AA95" s="100">
        <v>2024.0323180177973</v>
      </c>
      <c r="AB95" s="100">
        <v>1.0333985936951378</v>
      </c>
      <c r="AC95" s="100">
        <v>339.78145760696128</v>
      </c>
      <c r="AD95" s="100">
        <v>6.1114091477643839</v>
      </c>
      <c r="AE95" s="100">
        <v>2009.4313277849294</v>
      </c>
      <c r="AF95" s="100">
        <v>5.9999999999999973</v>
      </c>
      <c r="AG95" s="100">
        <v>1972.7999999999993</v>
      </c>
      <c r="AH95" s="100">
        <v>6.647505677813454</v>
      </c>
      <c r="AI95" s="100">
        <v>2185.6998668650635</v>
      </c>
      <c r="AJ95" s="100">
        <v>9.5054929283120195</v>
      </c>
      <c r="AK95" s="100">
        <v>3125.4060748289921</v>
      </c>
      <c r="AL95" s="100">
        <v>11</v>
      </c>
      <c r="AM95" s="100">
        <v>3616.8</v>
      </c>
      <c r="AN95" s="100">
        <v>7</v>
      </c>
      <c r="AO95" s="100">
        <v>2301.6</v>
      </c>
      <c r="AP95" s="100">
        <v>10</v>
      </c>
      <c r="AQ95" s="100">
        <v>3288</v>
      </c>
      <c r="AR95" s="100">
        <v>11</v>
      </c>
      <c r="AS95" s="100">
        <v>3616.8</v>
      </c>
      <c r="AT95" s="100">
        <v>7</v>
      </c>
      <c r="AU95" s="100">
        <v>2301.6</v>
      </c>
      <c r="AV95" s="100">
        <v>7.8591209137760378</v>
      </c>
      <c r="AW95" s="100">
        <v>2584.0789564495612</v>
      </c>
      <c r="AX95" s="100">
        <v>7.2727272727272716</v>
      </c>
      <c r="AY95" s="100">
        <v>2391.272727272727</v>
      </c>
      <c r="AZ95" s="100">
        <v>6.1764705882352908</v>
      </c>
      <c r="BA95" s="100">
        <v>2030.8235294117637</v>
      </c>
      <c r="BB95" s="100">
        <v>6.8354430379746818</v>
      </c>
      <c r="BC95" s="100">
        <v>2247.4936708860755</v>
      </c>
      <c r="BD95" s="100">
        <v>7</v>
      </c>
      <c r="BE95" s="100">
        <v>2301.6</v>
      </c>
      <c r="BF95" s="100">
        <v>7.8658536585365804</v>
      </c>
      <c r="BG95" s="100">
        <v>2586.2926829268276</v>
      </c>
      <c r="BH95" s="100">
        <v>7.4999999999999964</v>
      </c>
      <c r="BI95" s="100">
        <v>2465.9999999999991</v>
      </c>
      <c r="BJ95" s="100">
        <v>7.756788367652323</v>
      </c>
      <c r="BK95" s="100">
        <v>2550.4320152840837</v>
      </c>
      <c r="BL95" s="100">
        <v>1.2074217641284626</v>
      </c>
      <c r="BM95" s="100">
        <v>397.00027604543851</v>
      </c>
      <c r="BN95" s="100">
        <v>8</v>
      </c>
      <c r="BO95" s="100">
        <v>2630.4</v>
      </c>
      <c r="BP95" s="100">
        <v>8</v>
      </c>
      <c r="BQ95" s="100">
        <v>2630.4</v>
      </c>
      <c r="BR95" s="100">
        <v>9</v>
      </c>
      <c r="BS95" s="100">
        <v>2959.2000000000003</v>
      </c>
      <c r="BT95" s="100">
        <v>12</v>
      </c>
      <c r="BU95" s="100">
        <v>3945.6000000000004</v>
      </c>
      <c r="BV95" s="100">
        <v>7.3471074380165291</v>
      </c>
      <c r="BW95" s="100">
        <v>2415.7289256198346</v>
      </c>
      <c r="BX95" s="100">
        <v>1.9356842729089039</v>
      </c>
      <c r="BY95" s="100">
        <v>636.45298893244762</v>
      </c>
      <c r="BZ95" s="100">
        <v>10</v>
      </c>
      <c r="CA95" s="100">
        <v>3288</v>
      </c>
      <c r="CB95" s="100">
        <v>8</v>
      </c>
      <c r="CC95" s="100">
        <v>2630.4</v>
      </c>
      <c r="CD95" s="100">
        <v>11</v>
      </c>
      <c r="CE95" s="100">
        <v>3616.8</v>
      </c>
      <c r="CF95" s="100">
        <v>5.4351795483882634</v>
      </c>
      <c r="CG95" s="100">
        <v>1787.087035510061</v>
      </c>
      <c r="CH95" s="100">
        <v>9.3439798261131397</v>
      </c>
      <c r="CI95" s="100">
        <v>3072.3005668260002</v>
      </c>
      <c r="CJ95" s="100">
        <v>7.4811891087664417</v>
      </c>
      <c r="CK95" s="100">
        <v>2459.8149789624063</v>
      </c>
      <c r="CL95" s="100">
        <v>6.345619318124526</v>
      </c>
      <c r="CM95" s="100">
        <v>2086.4396317993442</v>
      </c>
      <c r="CN95" s="100">
        <v>5.9127025910965969</v>
      </c>
      <c r="CO95" s="100">
        <v>1944.096611952561</v>
      </c>
      <c r="CP95" s="100">
        <v>6.3594484170306815</v>
      </c>
      <c r="CQ95" s="100">
        <v>2090.9866395196882</v>
      </c>
      <c r="CR95" s="100">
        <v>0.47332927319266604</v>
      </c>
      <c r="CS95" s="100">
        <v>155.63066502574861</v>
      </c>
      <c r="CT95" s="100">
        <v>4.9778737344873143</v>
      </c>
      <c r="CU95" s="100">
        <v>1636.724883899429</v>
      </c>
    </row>
    <row r="96" spans="2:99">
      <c r="C96" s="99" t="s">
        <v>262</v>
      </c>
      <c r="D96" s="100">
        <v>3.0745642176830854</v>
      </c>
      <c r="E96" s="100">
        <v>2136.2072184462077</v>
      </c>
      <c r="F96" s="100">
        <v>8</v>
      </c>
      <c r="G96" s="100">
        <v>5558.4</v>
      </c>
      <c r="H96" s="100">
        <v>3.3556841739576613</v>
      </c>
      <c r="I96" s="100">
        <v>2331.5293640657828</v>
      </c>
      <c r="J96" s="100">
        <v>10</v>
      </c>
      <c r="K96" s="100">
        <v>6948</v>
      </c>
      <c r="L96" s="100">
        <v>9</v>
      </c>
      <c r="M96" s="100">
        <v>6253.2</v>
      </c>
      <c r="N96" s="100">
        <v>11</v>
      </c>
      <c r="O96" s="100">
        <v>7642.7999999999993</v>
      </c>
      <c r="P96" s="100">
        <v>8</v>
      </c>
      <c r="Q96" s="100">
        <v>5558.4</v>
      </c>
      <c r="R96" s="100">
        <v>7</v>
      </c>
      <c r="S96" s="100">
        <v>4863.5999999999995</v>
      </c>
      <c r="T96" s="100">
        <v>8</v>
      </c>
      <c r="U96" s="100">
        <v>5558.4</v>
      </c>
      <c r="V96" s="100">
        <v>7</v>
      </c>
      <c r="W96" s="100">
        <v>4863.5999999999995</v>
      </c>
      <c r="X96" s="100">
        <v>10</v>
      </c>
      <c r="Y96" s="100">
        <v>6948</v>
      </c>
      <c r="Z96" s="100">
        <v>6.0835101091724724</v>
      </c>
      <c r="AA96" s="100">
        <v>4226.8228238530337</v>
      </c>
      <c r="AB96" s="100">
        <v>1.0333985936951378</v>
      </c>
      <c r="AC96" s="100">
        <v>718.00534289938162</v>
      </c>
      <c r="AD96" s="100">
        <v>5.1454329027309127</v>
      </c>
      <c r="AE96" s="100">
        <v>3575.046780817438</v>
      </c>
      <c r="AF96" s="100">
        <v>5.9999999999999973</v>
      </c>
      <c r="AG96" s="100">
        <v>4168.7999999999975</v>
      </c>
      <c r="AH96" s="100">
        <v>5.5976975487508813</v>
      </c>
      <c r="AI96" s="100">
        <v>3889.2802568721122</v>
      </c>
      <c r="AJ96" s="100">
        <v>9.5054929283120195</v>
      </c>
      <c r="AK96" s="100">
        <v>6604.4164865911907</v>
      </c>
      <c r="AL96" s="100">
        <v>9</v>
      </c>
      <c r="AM96" s="100">
        <v>6253.2</v>
      </c>
      <c r="AN96" s="100">
        <v>7</v>
      </c>
      <c r="AO96" s="100">
        <v>4863.5999999999995</v>
      </c>
      <c r="AP96" s="100">
        <v>9</v>
      </c>
      <c r="AQ96" s="100">
        <v>6253.2</v>
      </c>
      <c r="AR96" s="100">
        <v>10</v>
      </c>
      <c r="AS96" s="100">
        <v>6948</v>
      </c>
      <c r="AT96" s="100">
        <v>7</v>
      </c>
      <c r="AU96" s="100">
        <v>4863.5999999999995</v>
      </c>
      <c r="AV96" s="100">
        <v>7.8591209137760378</v>
      </c>
      <c r="AW96" s="100">
        <v>5460.5172108915904</v>
      </c>
      <c r="AX96" s="100">
        <v>7.2727272727272716</v>
      </c>
      <c r="AY96" s="100">
        <v>5053.0909090909081</v>
      </c>
      <c r="AZ96" s="100">
        <v>6.1764705882352908</v>
      </c>
      <c r="BA96" s="100">
        <v>4291.4117647058802</v>
      </c>
      <c r="BB96" s="100">
        <v>6.0759493670886062</v>
      </c>
      <c r="BC96" s="100">
        <v>4221.5696202531635</v>
      </c>
      <c r="BD96" s="100">
        <v>6</v>
      </c>
      <c r="BE96" s="100">
        <v>4168.7999999999993</v>
      </c>
      <c r="BF96" s="100">
        <v>8.6524390243902385</v>
      </c>
      <c r="BG96" s="100">
        <v>6011.7146341463376</v>
      </c>
      <c r="BH96" s="100">
        <v>7.4999999999999964</v>
      </c>
      <c r="BI96" s="100">
        <v>5210.9999999999973</v>
      </c>
      <c r="BJ96" s="100">
        <v>7.7910147400595626</v>
      </c>
      <c r="BK96" s="100">
        <v>5413.1970413933841</v>
      </c>
      <c r="BL96" s="100">
        <v>1.2074217641284626</v>
      </c>
      <c r="BM96" s="100">
        <v>838.91664171645573</v>
      </c>
      <c r="BN96" s="100">
        <v>7</v>
      </c>
      <c r="BO96" s="100">
        <v>4863.5999999999995</v>
      </c>
      <c r="BP96" s="100">
        <v>8</v>
      </c>
      <c r="BQ96" s="100">
        <v>5558.4</v>
      </c>
      <c r="BR96" s="100">
        <v>9</v>
      </c>
      <c r="BS96" s="100">
        <v>6253.2</v>
      </c>
      <c r="BT96" s="100">
        <v>12</v>
      </c>
      <c r="BU96" s="100">
        <v>8337.5999999999985</v>
      </c>
      <c r="BV96" s="100">
        <v>7.3966942148760335</v>
      </c>
      <c r="BW96" s="100">
        <v>5139.2231404958675</v>
      </c>
      <c r="BX96" s="100">
        <v>2.1507603032321154</v>
      </c>
      <c r="BY96" s="100">
        <v>1494.3482586856737</v>
      </c>
      <c r="BZ96" s="100">
        <v>10</v>
      </c>
      <c r="CA96" s="100">
        <v>6948</v>
      </c>
      <c r="CB96" s="100">
        <v>7</v>
      </c>
      <c r="CC96" s="100">
        <v>4863.5999999999995</v>
      </c>
      <c r="CD96" s="100">
        <v>10</v>
      </c>
      <c r="CE96" s="100">
        <v>6948</v>
      </c>
      <c r="CF96" s="100">
        <v>5.4351795483882634</v>
      </c>
      <c r="CG96" s="100">
        <v>3776.3627502201653</v>
      </c>
      <c r="CH96" s="100">
        <v>7.3869773043772815</v>
      </c>
      <c r="CI96" s="100">
        <v>5132.471831081335</v>
      </c>
      <c r="CJ96" s="100">
        <v>7.4811891087664417</v>
      </c>
      <c r="CK96" s="100">
        <v>5197.930192770923</v>
      </c>
      <c r="CL96" s="100">
        <v>6.345619318124526</v>
      </c>
      <c r="CM96" s="100">
        <v>4408.9363022329208</v>
      </c>
      <c r="CN96" s="100">
        <v>5.9127025910965969</v>
      </c>
      <c r="CO96" s="100">
        <v>4108.1457602939154</v>
      </c>
      <c r="CP96" s="100">
        <v>7.0642054576945483</v>
      </c>
      <c r="CQ96" s="100">
        <v>4908.209952006172</v>
      </c>
      <c r="CR96" s="100">
        <v>0.47332927319266604</v>
      </c>
      <c r="CS96" s="100">
        <v>328.86917901426432</v>
      </c>
      <c r="CT96" s="100">
        <v>5.688998553699788</v>
      </c>
      <c r="CU96" s="100">
        <v>3952.7161951106123</v>
      </c>
    </row>
    <row r="97" spans="2:99">
      <c r="C97" s="99" t="s">
        <v>263</v>
      </c>
      <c r="D97" s="100">
        <v>3.0745642176830854</v>
      </c>
      <c r="E97" s="100">
        <v>1206.4589990188426</v>
      </c>
      <c r="F97" s="100">
        <v>7</v>
      </c>
      <c r="G97" s="100">
        <v>2746.7999999999997</v>
      </c>
      <c r="H97" s="100">
        <v>3.3556841739576613</v>
      </c>
      <c r="I97" s="100">
        <v>1316.7704698609862</v>
      </c>
      <c r="J97" s="100">
        <v>9</v>
      </c>
      <c r="K97" s="100">
        <v>3531.6</v>
      </c>
      <c r="L97" s="100">
        <v>9</v>
      </c>
      <c r="M97" s="100">
        <v>3531.6</v>
      </c>
      <c r="N97" s="100">
        <v>11</v>
      </c>
      <c r="O97" s="100">
        <v>4316.3999999999996</v>
      </c>
      <c r="P97" s="100">
        <v>8</v>
      </c>
      <c r="Q97" s="100">
        <v>3139.2</v>
      </c>
      <c r="R97" s="100">
        <v>6</v>
      </c>
      <c r="S97" s="100">
        <v>2354.3999999999996</v>
      </c>
      <c r="T97" s="100">
        <v>7</v>
      </c>
      <c r="U97" s="100">
        <v>2746.7999999999997</v>
      </c>
      <c r="V97" s="100">
        <v>6</v>
      </c>
      <c r="W97" s="100">
        <v>2354.3999999999996</v>
      </c>
      <c r="X97" s="100">
        <v>10</v>
      </c>
      <c r="Y97" s="100">
        <v>3924</v>
      </c>
      <c r="Z97" s="100">
        <v>6.1196630807690182</v>
      </c>
      <c r="AA97" s="100">
        <v>2401.3557928937626</v>
      </c>
      <c r="AB97" s="100">
        <v>1.0316179780945025</v>
      </c>
      <c r="AC97" s="100">
        <v>404.80689460428277</v>
      </c>
      <c r="AD97" s="100">
        <v>6.1114091477643839</v>
      </c>
      <c r="AE97" s="100">
        <v>2398.1169495827439</v>
      </c>
      <c r="AF97" s="100">
        <v>4.9999999999999973</v>
      </c>
      <c r="AG97" s="100">
        <v>1961.9999999999989</v>
      </c>
      <c r="AH97" s="100">
        <v>6.6973138068760276</v>
      </c>
      <c r="AI97" s="100">
        <v>2628.0259378181531</v>
      </c>
      <c r="AJ97" s="100">
        <v>9.5054929283120195</v>
      </c>
      <c r="AK97" s="100">
        <v>3729.955425069636</v>
      </c>
      <c r="AL97" s="100">
        <v>10</v>
      </c>
      <c r="AM97" s="100">
        <v>3924</v>
      </c>
      <c r="AN97" s="100">
        <v>7</v>
      </c>
      <c r="AO97" s="100">
        <v>2746.7999999999997</v>
      </c>
      <c r="AP97" s="100">
        <v>9</v>
      </c>
      <c r="AQ97" s="100">
        <v>3531.6</v>
      </c>
      <c r="AR97" s="100">
        <v>10</v>
      </c>
      <c r="AS97" s="100">
        <v>3924</v>
      </c>
      <c r="AT97" s="100">
        <v>8</v>
      </c>
      <c r="AU97" s="100">
        <v>3139.2</v>
      </c>
      <c r="AV97" s="100">
        <v>7.144655376160034</v>
      </c>
      <c r="AW97" s="100">
        <v>2803.562769605197</v>
      </c>
      <c r="AX97" s="100">
        <v>6.3636363636363624</v>
      </c>
      <c r="AY97" s="100">
        <v>2497.0909090909086</v>
      </c>
      <c r="AZ97" s="100">
        <v>6.1764705882352908</v>
      </c>
      <c r="BA97" s="100">
        <v>2423.6470588235279</v>
      </c>
      <c r="BB97" s="100">
        <v>6.8354430379746818</v>
      </c>
      <c r="BC97" s="100">
        <v>2682.227848101265</v>
      </c>
      <c r="BD97" s="100">
        <v>7</v>
      </c>
      <c r="BE97" s="100">
        <v>2746.7999999999997</v>
      </c>
      <c r="BF97" s="100">
        <v>8.6524390243902385</v>
      </c>
      <c r="BG97" s="100">
        <v>3395.2170731707292</v>
      </c>
      <c r="BH97" s="100">
        <v>6.5624999999999964</v>
      </c>
      <c r="BI97" s="100">
        <v>2575.1249999999986</v>
      </c>
      <c r="BJ97" s="100">
        <v>9.2533838453312054</v>
      </c>
      <c r="BK97" s="100">
        <v>3631.0278209079647</v>
      </c>
      <c r="BL97" s="100">
        <v>1.2074217641284626</v>
      </c>
      <c r="BM97" s="100">
        <v>473.79230024400869</v>
      </c>
      <c r="BN97" s="100">
        <v>8</v>
      </c>
      <c r="BO97" s="100">
        <v>3139.2</v>
      </c>
      <c r="BP97" s="100">
        <v>8</v>
      </c>
      <c r="BQ97" s="100">
        <v>3139.2</v>
      </c>
      <c r="BR97" s="100">
        <v>10</v>
      </c>
      <c r="BS97" s="100">
        <v>3924</v>
      </c>
      <c r="BT97" s="100">
        <v>11</v>
      </c>
      <c r="BU97" s="100">
        <v>4316.3999999999996</v>
      </c>
      <c r="BV97" s="100">
        <v>8.3471074380165291</v>
      </c>
      <c r="BW97" s="100">
        <v>3275.404958677686</v>
      </c>
      <c r="BX97" s="100">
        <v>1.9356842729089039</v>
      </c>
      <c r="BY97" s="100">
        <v>759.56250868945381</v>
      </c>
      <c r="BZ97" s="100">
        <v>10</v>
      </c>
      <c r="CA97" s="100">
        <v>3924</v>
      </c>
      <c r="CB97" s="100">
        <v>8</v>
      </c>
      <c r="CC97" s="100">
        <v>3139.2</v>
      </c>
      <c r="CD97" s="100">
        <v>11</v>
      </c>
      <c r="CE97" s="100">
        <v>4316.3999999999996</v>
      </c>
      <c r="CF97" s="100">
        <v>5.9292867800599236</v>
      </c>
      <c r="CG97" s="100">
        <v>2326.6521324955138</v>
      </c>
      <c r="CH97" s="100">
        <v>8.3869773043772824</v>
      </c>
      <c r="CI97" s="100">
        <v>3291.0498942376453</v>
      </c>
      <c r="CJ97" s="100">
        <v>7.4811891087664417</v>
      </c>
      <c r="CK97" s="100">
        <v>2935.6186062799516</v>
      </c>
      <c r="CL97" s="100">
        <v>6.345619318124526</v>
      </c>
      <c r="CM97" s="100">
        <v>2490.0210204320638</v>
      </c>
      <c r="CN97" s="100">
        <v>5.0680307923685115</v>
      </c>
      <c r="CO97" s="100">
        <v>1988.6952829254037</v>
      </c>
      <c r="CP97" s="100">
        <v>6.3594484170306815</v>
      </c>
      <c r="CQ97" s="100">
        <v>2495.4475588428395</v>
      </c>
      <c r="CR97" s="100">
        <v>0.47332927319266604</v>
      </c>
      <c r="CS97" s="100">
        <v>185.73440680080213</v>
      </c>
      <c r="CT97" s="100">
        <v>5.688998553699788</v>
      </c>
      <c r="CU97" s="100">
        <v>2232.3630324717965</v>
      </c>
    </row>
    <row r="98" spans="2:99">
      <c r="C98" s="99" t="s">
        <v>264</v>
      </c>
      <c r="D98" s="100">
        <v>3.0745642176830854</v>
      </c>
      <c r="E98" s="100">
        <v>1615.9909528142298</v>
      </c>
      <c r="F98" s="100">
        <v>8</v>
      </c>
      <c r="G98" s="100">
        <v>4204.8</v>
      </c>
      <c r="H98" s="100">
        <v>3.3556841739576613</v>
      </c>
      <c r="I98" s="100">
        <v>1763.7476018321468</v>
      </c>
      <c r="J98" s="100">
        <v>10</v>
      </c>
      <c r="K98" s="100">
        <v>5256</v>
      </c>
      <c r="L98" s="100">
        <v>9</v>
      </c>
      <c r="M98" s="100">
        <v>4730.4000000000005</v>
      </c>
      <c r="N98" s="100">
        <v>10</v>
      </c>
      <c r="O98" s="100">
        <v>5256</v>
      </c>
      <c r="P98" s="100">
        <v>8</v>
      </c>
      <c r="Q98" s="100">
        <v>4204.8</v>
      </c>
      <c r="R98" s="100">
        <v>7</v>
      </c>
      <c r="S98" s="100">
        <v>3679.2000000000003</v>
      </c>
      <c r="T98" s="100">
        <v>7</v>
      </c>
      <c r="U98" s="100">
        <v>3679.2000000000003</v>
      </c>
      <c r="V98" s="100">
        <v>7</v>
      </c>
      <c r="W98" s="100">
        <v>3679.2000000000003</v>
      </c>
      <c r="X98" s="100">
        <v>9</v>
      </c>
      <c r="Y98" s="100">
        <v>4730.4000000000005</v>
      </c>
      <c r="Z98" s="100">
        <v>6.1196630807690182</v>
      </c>
      <c r="AA98" s="100">
        <v>3216.4949152521963</v>
      </c>
      <c r="AB98" s="100">
        <v>1.0333985936951378</v>
      </c>
      <c r="AC98" s="100">
        <v>543.15430084616446</v>
      </c>
      <c r="AD98" s="100">
        <v>6.1114091477643839</v>
      </c>
      <c r="AE98" s="100">
        <v>3212.1566480649603</v>
      </c>
      <c r="AF98" s="100">
        <v>5.9999999999999973</v>
      </c>
      <c r="AG98" s="100">
        <v>3153.5999999999985</v>
      </c>
      <c r="AH98" s="100">
        <v>6.5976975487508813</v>
      </c>
      <c r="AI98" s="100">
        <v>3467.7498316234633</v>
      </c>
      <c r="AJ98" s="100">
        <v>9.5054929283120195</v>
      </c>
      <c r="AK98" s="100">
        <v>4996.0870831207976</v>
      </c>
      <c r="AL98" s="100">
        <v>9</v>
      </c>
      <c r="AM98" s="100">
        <v>4730.4000000000005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11</v>
      </c>
      <c r="AS98" s="100">
        <v>5781.6</v>
      </c>
      <c r="AT98" s="100">
        <v>7</v>
      </c>
      <c r="AU98" s="100">
        <v>3679.2000000000003</v>
      </c>
      <c r="AV98" s="100">
        <v>7.8591209137760378</v>
      </c>
      <c r="AW98" s="100">
        <v>4130.7539522806856</v>
      </c>
      <c r="AX98" s="100">
        <v>7.2727272727272716</v>
      </c>
      <c r="AY98" s="100">
        <v>3822.545454545454</v>
      </c>
      <c r="AZ98" s="100">
        <v>6.1764705882352908</v>
      </c>
      <c r="BA98" s="100">
        <v>3246.3529411764689</v>
      </c>
      <c r="BB98" s="100">
        <v>6.8354430379746818</v>
      </c>
      <c r="BC98" s="100">
        <v>3592.7088607594928</v>
      </c>
      <c r="BD98" s="100">
        <v>7</v>
      </c>
      <c r="BE98" s="100">
        <v>3679.2000000000003</v>
      </c>
      <c r="BF98" s="100">
        <v>8.6524390243902385</v>
      </c>
      <c r="BG98" s="100">
        <v>4547.7219512195097</v>
      </c>
      <c r="BH98" s="100">
        <v>8.4374999999999964</v>
      </c>
      <c r="BI98" s="100">
        <v>4434.7499999999982</v>
      </c>
      <c r="BJ98" s="100">
        <v>7.7910147400595626</v>
      </c>
      <c r="BK98" s="100">
        <v>4094.9573473753062</v>
      </c>
      <c r="BL98" s="100">
        <v>1.2074217641284626</v>
      </c>
      <c r="BM98" s="100">
        <v>634.62087922591991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9</v>
      </c>
      <c r="BS98" s="100">
        <v>4730.4000000000005</v>
      </c>
      <c r="BT98" s="100">
        <v>10</v>
      </c>
      <c r="BU98" s="100">
        <v>5256</v>
      </c>
      <c r="BV98" s="100">
        <v>7.3471074380165291</v>
      </c>
      <c r="BW98" s="100">
        <v>3861.6396694214877</v>
      </c>
      <c r="BX98" s="100">
        <v>1.9356842729089039</v>
      </c>
      <c r="BY98" s="100">
        <v>1017.39565384092</v>
      </c>
      <c r="BZ98" s="100">
        <v>11</v>
      </c>
      <c r="CA98" s="100">
        <v>5781.6</v>
      </c>
      <c r="CB98" s="100">
        <v>7</v>
      </c>
      <c r="CC98" s="100">
        <v>3679.2000000000003</v>
      </c>
      <c r="CD98" s="100">
        <v>10</v>
      </c>
      <c r="CE98" s="100">
        <v>5256</v>
      </c>
      <c r="CF98" s="100">
        <v>4.9410723167166033</v>
      </c>
      <c r="CG98" s="100">
        <v>2597.0276096662469</v>
      </c>
      <c r="CH98" s="100">
        <v>8.3439798261131397</v>
      </c>
      <c r="CI98" s="100">
        <v>4385.5957966050664</v>
      </c>
      <c r="CJ98" s="100">
        <v>6.6499458744590587</v>
      </c>
      <c r="CK98" s="100">
        <v>3495.2115516156814</v>
      </c>
      <c r="CL98" s="100">
        <v>6.345619318124526</v>
      </c>
      <c r="CM98" s="100">
        <v>3335.257513606251</v>
      </c>
      <c r="CN98" s="100">
        <v>5.0680307923685115</v>
      </c>
      <c r="CO98" s="100">
        <v>2663.7569844688896</v>
      </c>
      <c r="CP98" s="100">
        <v>6.3677659425586217</v>
      </c>
      <c r="CQ98" s="100">
        <v>3346.8977794088119</v>
      </c>
      <c r="CR98" s="100">
        <v>0.52066220051193257</v>
      </c>
      <c r="CS98" s="100">
        <v>273.66005258907177</v>
      </c>
      <c r="CT98" s="100">
        <v>4.9778737344873143</v>
      </c>
      <c r="CU98" s="100">
        <v>2616.3704348465326</v>
      </c>
    </row>
    <row r="99" spans="2:99">
      <c r="C99" s="99" t="s">
        <v>265</v>
      </c>
      <c r="D99" s="100">
        <v>2.4596513741464681</v>
      </c>
      <c r="E99" s="100">
        <v>10351.196842957996</v>
      </c>
      <c r="F99" s="100">
        <v>6</v>
      </c>
      <c r="G99" s="100">
        <v>25250.399999999998</v>
      </c>
      <c r="H99" s="100">
        <v>3.3556841739576613</v>
      </c>
      <c r="I99" s="100">
        <v>14122.06127768342</v>
      </c>
      <c r="J99" s="100">
        <v>7</v>
      </c>
      <c r="K99" s="100">
        <v>29458.799999999996</v>
      </c>
      <c r="L99" s="100">
        <v>7</v>
      </c>
      <c r="M99" s="100">
        <v>29458.799999999996</v>
      </c>
      <c r="N99" s="100">
        <v>9</v>
      </c>
      <c r="O99" s="100">
        <v>37875.599999999999</v>
      </c>
      <c r="P99" s="100">
        <v>8</v>
      </c>
      <c r="Q99" s="100">
        <v>33667.199999999997</v>
      </c>
      <c r="R99" s="100">
        <v>5</v>
      </c>
      <c r="S99" s="100">
        <v>21042</v>
      </c>
      <c r="T99" s="100">
        <v>6</v>
      </c>
      <c r="U99" s="100">
        <v>25250.399999999998</v>
      </c>
      <c r="V99" s="100">
        <v>6</v>
      </c>
      <c r="W99" s="100">
        <v>25250.399999999998</v>
      </c>
      <c r="X99" s="100">
        <v>9</v>
      </c>
      <c r="Y99" s="100">
        <v>37875.599999999999</v>
      </c>
      <c r="Z99" s="100">
        <v>5.0515152718454548</v>
      </c>
      <c r="AA99" s="100">
        <v>21258.79687003441</v>
      </c>
      <c r="AB99" s="100">
        <v>0.8033587694071882</v>
      </c>
      <c r="AC99" s="100">
        <v>3380.8550451732103</v>
      </c>
      <c r="AD99" s="100">
        <v>4.8298812251673544</v>
      </c>
      <c r="AE99" s="100">
        <v>20326.072147994291</v>
      </c>
      <c r="AF99" s="100">
        <v>4.9999999999999973</v>
      </c>
      <c r="AG99" s="100">
        <v>21041.999999999985</v>
      </c>
      <c r="AH99" s="100">
        <v>4.5478894196883077</v>
      </c>
      <c r="AI99" s="100">
        <v>19139.337833816273</v>
      </c>
      <c r="AJ99" s="100">
        <v>7.6043943426496163</v>
      </c>
      <c r="AK99" s="100">
        <v>32002.333151606643</v>
      </c>
      <c r="AL99" s="100">
        <v>8</v>
      </c>
      <c r="AM99" s="100">
        <v>33667.199999999997</v>
      </c>
      <c r="AN99" s="100">
        <v>6</v>
      </c>
      <c r="AO99" s="100">
        <v>25250.399999999998</v>
      </c>
      <c r="AP99" s="100">
        <v>8</v>
      </c>
      <c r="AQ99" s="100">
        <v>33667.199999999997</v>
      </c>
      <c r="AR99" s="100">
        <v>8</v>
      </c>
      <c r="AS99" s="100">
        <v>33667.199999999997</v>
      </c>
      <c r="AT99" s="100">
        <v>6</v>
      </c>
      <c r="AU99" s="100">
        <v>25250.399999999998</v>
      </c>
      <c r="AV99" s="100">
        <v>6.430189838544031</v>
      </c>
      <c r="AW99" s="100">
        <v>27060.810916528699</v>
      </c>
      <c r="AX99" s="100">
        <v>6.3636363636363624</v>
      </c>
      <c r="AY99" s="100">
        <v>26780.727272727265</v>
      </c>
      <c r="AZ99" s="100">
        <v>4.4117647058823506</v>
      </c>
      <c r="BA99" s="100">
        <v>18566.470588235283</v>
      </c>
      <c r="BB99" s="100">
        <v>6.0759493670886062</v>
      </c>
      <c r="BC99" s="100">
        <v>25570.025316455689</v>
      </c>
      <c r="BD99" s="100">
        <v>5</v>
      </c>
      <c r="BE99" s="100">
        <v>21042</v>
      </c>
      <c r="BF99" s="100">
        <v>6.2926829268292641</v>
      </c>
      <c r="BG99" s="100">
        <v>26482.126829268273</v>
      </c>
      <c r="BH99" s="100">
        <v>6.5624999999999964</v>
      </c>
      <c r="BI99" s="100">
        <v>27617.624999999982</v>
      </c>
      <c r="BJ99" s="100">
        <v>6.225966517566202</v>
      </c>
      <c r="BK99" s="100">
        <v>26201.357492525603</v>
      </c>
      <c r="BL99" s="100">
        <v>0.96593741130277</v>
      </c>
      <c r="BM99" s="100">
        <v>4065.0510017265769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8</v>
      </c>
      <c r="BS99" s="100">
        <v>33667.199999999997</v>
      </c>
      <c r="BT99" s="100">
        <v>10</v>
      </c>
      <c r="BU99" s="100">
        <v>42084</v>
      </c>
      <c r="BV99" s="100">
        <v>6.2975206611570247</v>
      </c>
      <c r="BW99" s="100">
        <v>26502.485950413222</v>
      </c>
      <c r="BX99" s="100">
        <v>1.5055322122624808</v>
      </c>
      <c r="BY99" s="100">
        <v>6335.8817620854234</v>
      </c>
      <c r="BZ99" s="100">
        <v>9</v>
      </c>
      <c r="CA99" s="100">
        <v>37875.599999999999</v>
      </c>
      <c r="CB99" s="100">
        <v>6</v>
      </c>
      <c r="CC99" s="100">
        <v>25250.399999999998</v>
      </c>
      <c r="CD99" s="100">
        <v>8</v>
      </c>
      <c r="CE99" s="100">
        <v>33667.199999999997</v>
      </c>
      <c r="CF99" s="100">
        <v>4.9410723167166033</v>
      </c>
      <c r="CG99" s="100">
        <v>20794.008737670152</v>
      </c>
      <c r="CH99" s="100">
        <v>6.300982347848997</v>
      </c>
      <c r="CI99" s="100">
        <v>26517.054112687718</v>
      </c>
      <c r="CJ99" s="100">
        <v>6.0663223121130097</v>
      </c>
      <c r="CK99" s="100">
        <v>25529.510818296389</v>
      </c>
      <c r="CL99" s="100">
        <v>5.4391022726781646</v>
      </c>
      <c r="CM99" s="100">
        <v>22889.918004338786</v>
      </c>
      <c r="CN99" s="100">
        <v>4.2233589936404261</v>
      </c>
      <c r="CO99" s="100">
        <v>17773.583988836366</v>
      </c>
      <c r="CP99" s="100">
        <v>5.6463738508388746</v>
      </c>
      <c r="CQ99" s="100">
        <v>23762.199713870319</v>
      </c>
      <c r="CR99" s="100">
        <v>0.42599634587339941</v>
      </c>
      <c r="CS99" s="100">
        <v>1792.7630219736138</v>
      </c>
      <c r="CT99" s="100">
        <v>4.2667489152748415</v>
      </c>
      <c r="CU99" s="100">
        <v>17956.186135042641</v>
      </c>
    </row>
    <row r="100" spans="2:99">
      <c r="C100" s="99" t="s">
        <v>266</v>
      </c>
      <c r="D100" s="100">
        <v>3.3820206394513934</v>
      </c>
      <c r="E100" s="100">
        <v>1095.7746871822515</v>
      </c>
      <c r="F100" s="100">
        <v>8</v>
      </c>
      <c r="G100" s="100">
        <v>2592</v>
      </c>
      <c r="H100" s="100">
        <v>4.0268210087491934</v>
      </c>
      <c r="I100" s="100">
        <v>1304.6900068347386</v>
      </c>
      <c r="J100" s="100">
        <v>9</v>
      </c>
      <c r="K100" s="100">
        <v>2916</v>
      </c>
      <c r="L100" s="100">
        <v>9</v>
      </c>
      <c r="M100" s="100">
        <v>2916</v>
      </c>
      <c r="N100" s="100">
        <v>10</v>
      </c>
      <c r="O100" s="100">
        <v>3240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7</v>
      </c>
      <c r="U100" s="100">
        <v>2268</v>
      </c>
      <c r="V100" s="100">
        <v>7</v>
      </c>
      <c r="W100" s="100">
        <v>2268</v>
      </c>
      <c r="X100" s="100">
        <v>9</v>
      </c>
      <c r="Y100" s="100">
        <v>2916</v>
      </c>
      <c r="Z100" s="100">
        <v>7.079351974902945</v>
      </c>
      <c r="AA100" s="100">
        <v>2293.7100398685543</v>
      </c>
      <c r="AB100" s="100">
        <v>0.92015929715179834</v>
      </c>
      <c r="AC100" s="100">
        <v>298.13161227718268</v>
      </c>
      <c r="AD100" s="100">
        <v>6.1429643155207403</v>
      </c>
      <c r="AE100" s="100">
        <v>1990.3204382287199</v>
      </c>
      <c r="AF100" s="100">
        <v>5.9999999999999973</v>
      </c>
      <c r="AG100" s="100">
        <v>1943.9999999999991</v>
      </c>
      <c r="AH100" s="100">
        <v>6.647505677813454</v>
      </c>
      <c r="AI100" s="100">
        <v>2153.7918396115592</v>
      </c>
      <c r="AJ100" s="100">
        <v>9.5054929283120195</v>
      </c>
      <c r="AK100" s="100">
        <v>3079.7797087730942</v>
      </c>
      <c r="AL100" s="100">
        <v>11</v>
      </c>
      <c r="AM100" s="100">
        <v>3564</v>
      </c>
      <c r="AN100" s="100">
        <v>7</v>
      </c>
      <c r="AO100" s="100">
        <v>2268</v>
      </c>
      <c r="AP100" s="100">
        <v>9</v>
      </c>
      <c r="AQ100" s="100">
        <v>2916</v>
      </c>
      <c r="AR100" s="100">
        <v>12</v>
      </c>
      <c r="AS100" s="100">
        <v>3888</v>
      </c>
      <c r="AT100" s="100">
        <v>8</v>
      </c>
      <c r="AU100" s="100">
        <v>2592</v>
      </c>
      <c r="AV100" s="100">
        <v>7.8591209137760378</v>
      </c>
      <c r="AW100" s="100">
        <v>2546.3551760634364</v>
      </c>
      <c r="AX100" s="100">
        <v>7.2727272727272716</v>
      </c>
      <c r="AY100" s="100">
        <v>2356.363636363636</v>
      </c>
      <c r="AZ100" s="100">
        <v>6.1764705882352908</v>
      </c>
      <c r="BA100" s="100">
        <v>2001.1764705882342</v>
      </c>
      <c r="BB100" s="100">
        <v>6.0759493670886062</v>
      </c>
      <c r="BC100" s="100">
        <v>1968.6075949367084</v>
      </c>
      <c r="BD100" s="100">
        <v>7</v>
      </c>
      <c r="BE100" s="100">
        <v>2268</v>
      </c>
      <c r="BF100" s="100">
        <v>8.6524390243902385</v>
      </c>
      <c r="BG100" s="100">
        <v>2803.3902439024373</v>
      </c>
      <c r="BH100" s="100">
        <v>8.4374999999999964</v>
      </c>
      <c r="BI100" s="100">
        <v>2733.7499999999986</v>
      </c>
      <c r="BJ100" s="100">
        <v>7.7910147400595626</v>
      </c>
      <c r="BK100" s="100">
        <v>2524.2887757792982</v>
      </c>
      <c r="BL100" s="100">
        <v>1.0866795877156163</v>
      </c>
      <c r="BM100" s="100">
        <v>352.08418641985969</v>
      </c>
      <c r="BN100" s="100">
        <v>7</v>
      </c>
      <c r="BO100" s="100">
        <v>2268</v>
      </c>
      <c r="BP100" s="100">
        <v>9</v>
      </c>
      <c r="BQ100" s="100">
        <v>2916</v>
      </c>
      <c r="BR100" s="100">
        <v>9</v>
      </c>
      <c r="BS100" s="100">
        <v>2916</v>
      </c>
      <c r="BT100" s="100">
        <v>10</v>
      </c>
      <c r="BU100" s="100">
        <v>3240</v>
      </c>
      <c r="BV100" s="100">
        <v>8.3966942148760335</v>
      </c>
      <c r="BW100" s="100">
        <v>2720.5289256198348</v>
      </c>
      <c r="BX100" s="100">
        <v>1.9356842729089039</v>
      </c>
      <c r="BY100" s="100">
        <v>627.16170442248483</v>
      </c>
      <c r="BZ100" s="100">
        <v>10</v>
      </c>
      <c r="CA100" s="100">
        <v>3240</v>
      </c>
      <c r="CB100" s="100">
        <v>7</v>
      </c>
      <c r="CC100" s="100">
        <v>2268</v>
      </c>
      <c r="CD100" s="100">
        <v>10</v>
      </c>
      <c r="CE100" s="100">
        <v>3240</v>
      </c>
      <c r="CF100" s="100">
        <v>4.9410723167166033</v>
      </c>
      <c r="CG100" s="100">
        <v>1600.9074306161795</v>
      </c>
      <c r="CH100" s="100">
        <v>7.3439798261131397</v>
      </c>
      <c r="CI100" s="100">
        <v>2379.4494636606573</v>
      </c>
      <c r="CJ100" s="100">
        <v>6.6499458744590587</v>
      </c>
      <c r="CK100" s="100">
        <v>2154.5824633247348</v>
      </c>
      <c r="CL100" s="100">
        <v>6.345619318124526</v>
      </c>
      <c r="CM100" s="100">
        <v>2055.9806590723465</v>
      </c>
      <c r="CN100" s="100">
        <v>5.0680307923685115</v>
      </c>
      <c r="CO100" s="100">
        <v>1642.0419767273977</v>
      </c>
      <c r="CP100" s="100">
        <v>7.0558879321666081</v>
      </c>
      <c r="CQ100" s="100">
        <v>2286.1076900219809</v>
      </c>
      <c r="CR100" s="100">
        <v>0.52066220051193257</v>
      </c>
      <c r="CS100" s="100">
        <v>168.69455296586617</v>
      </c>
      <c r="CT100" s="100">
        <v>5.688998553699788</v>
      </c>
      <c r="CU100" s="100">
        <v>1843.2355313987314</v>
      </c>
    </row>
    <row r="101" spans="2:99">
      <c r="C101" s="99" t="s">
        <v>267</v>
      </c>
      <c r="D101" s="100">
        <v>3.0745642176830854</v>
      </c>
      <c r="E101" s="100">
        <v>2224.7546679154807</v>
      </c>
      <c r="F101" s="100">
        <v>8</v>
      </c>
      <c r="G101" s="100">
        <v>5788.8</v>
      </c>
      <c r="H101" s="100">
        <v>4.0268210087491934</v>
      </c>
      <c r="I101" s="100">
        <v>2913.8076819309163</v>
      </c>
      <c r="J101" s="100">
        <v>9</v>
      </c>
      <c r="K101" s="100">
        <v>6512.4000000000005</v>
      </c>
      <c r="L101" s="100">
        <v>8</v>
      </c>
      <c r="M101" s="100">
        <v>5788.8</v>
      </c>
      <c r="N101" s="100">
        <v>12</v>
      </c>
      <c r="O101" s="100">
        <v>8683.2000000000007</v>
      </c>
      <c r="P101" s="100">
        <v>9</v>
      </c>
      <c r="Q101" s="100">
        <v>6512.4000000000005</v>
      </c>
      <c r="R101" s="100">
        <v>6</v>
      </c>
      <c r="S101" s="100">
        <v>4341.6000000000004</v>
      </c>
      <c r="T101" s="100">
        <v>7</v>
      </c>
      <c r="U101" s="100">
        <v>5065.2</v>
      </c>
      <c r="V101" s="100">
        <v>6</v>
      </c>
      <c r="W101" s="100">
        <v>4341.6000000000004</v>
      </c>
      <c r="X101" s="100">
        <v>10</v>
      </c>
      <c r="Y101" s="100">
        <v>7236</v>
      </c>
      <c r="Z101" s="100">
        <v>6.0835101091724724</v>
      </c>
      <c r="AA101" s="100">
        <v>4402.0279149972012</v>
      </c>
      <c r="AB101" s="100">
        <v>1.0316179780945025</v>
      </c>
      <c r="AC101" s="100">
        <v>746.47876894918204</v>
      </c>
      <c r="AD101" s="100">
        <v>5.7958574702008256</v>
      </c>
      <c r="AE101" s="100">
        <v>4193.8824654373175</v>
      </c>
      <c r="AF101" s="100">
        <v>5.9999999999999973</v>
      </c>
      <c r="AG101" s="100">
        <v>4341.5999999999985</v>
      </c>
      <c r="AH101" s="100">
        <v>6.5976975487508813</v>
      </c>
      <c r="AI101" s="100">
        <v>4774.093946276138</v>
      </c>
      <c r="AJ101" s="100">
        <v>9.5054929283120195</v>
      </c>
      <c r="AK101" s="100">
        <v>6878.1746829265776</v>
      </c>
      <c r="AL101" s="100">
        <v>10</v>
      </c>
      <c r="AM101" s="100">
        <v>7236</v>
      </c>
      <c r="AN101" s="100">
        <v>7</v>
      </c>
      <c r="AO101" s="100">
        <v>5065.2</v>
      </c>
      <c r="AP101" s="100">
        <v>8</v>
      </c>
      <c r="AQ101" s="100">
        <v>5788.8</v>
      </c>
      <c r="AR101" s="100">
        <v>10</v>
      </c>
      <c r="AS101" s="100">
        <v>7236</v>
      </c>
      <c r="AT101" s="100">
        <v>7</v>
      </c>
      <c r="AU101" s="100">
        <v>5065.2</v>
      </c>
      <c r="AV101" s="100">
        <v>7.8591209137760378</v>
      </c>
      <c r="AW101" s="100">
        <v>5686.8598932083414</v>
      </c>
      <c r="AX101" s="100">
        <v>6.3636363636363624</v>
      </c>
      <c r="AY101" s="100">
        <v>4604.7272727272721</v>
      </c>
      <c r="AZ101" s="100">
        <v>6.1764705882352908</v>
      </c>
      <c r="BA101" s="100">
        <v>4469.2941176470567</v>
      </c>
      <c r="BB101" s="100">
        <v>6.0759493670886062</v>
      </c>
      <c r="BC101" s="100">
        <v>4396.5569620253154</v>
      </c>
      <c r="BD101" s="100">
        <v>6</v>
      </c>
      <c r="BE101" s="100">
        <v>4341.6000000000004</v>
      </c>
      <c r="BF101" s="100">
        <v>8.6524390243902385</v>
      </c>
      <c r="BG101" s="100">
        <v>6260.9048780487765</v>
      </c>
      <c r="BH101" s="100">
        <v>6.5624999999999964</v>
      </c>
      <c r="BI101" s="100">
        <v>4748.6249999999973</v>
      </c>
      <c r="BJ101" s="100">
        <v>7.7910147400595626</v>
      </c>
      <c r="BK101" s="100">
        <v>5637.5782659071001</v>
      </c>
      <c r="BL101" s="100">
        <v>1.0866795877156163</v>
      </c>
      <c r="BM101" s="100">
        <v>786.32134967102002</v>
      </c>
      <c r="BN101" s="100">
        <v>8</v>
      </c>
      <c r="BO101" s="100">
        <v>5788.8</v>
      </c>
      <c r="BP101" s="100">
        <v>8</v>
      </c>
      <c r="BQ101" s="100">
        <v>5788.8</v>
      </c>
      <c r="BR101" s="100">
        <v>8</v>
      </c>
      <c r="BS101" s="100">
        <v>5788.8</v>
      </c>
      <c r="BT101" s="100">
        <v>11</v>
      </c>
      <c r="BU101" s="100">
        <v>7959.6</v>
      </c>
      <c r="BV101" s="100">
        <v>8.3471074380165291</v>
      </c>
      <c r="BW101" s="100">
        <v>6039.9669421487606</v>
      </c>
      <c r="BX101" s="100">
        <v>2.1507603032321154</v>
      </c>
      <c r="BY101" s="100">
        <v>1556.2901554187588</v>
      </c>
      <c r="BZ101" s="100">
        <v>11</v>
      </c>
      <c r="CA101" s="100">
        <v>7959.6</v>
      </c>
      <c r="CB101" s="100">
        <v>8</v>
      </c>
      <c r="CC101" s="100">
        <v>5788.8</v>
      </c>
      <c r="CD101" s="100">
        <v>10</v>
      </c>
      <c r="CE101" s="100">
        <v>7236</v>
      </c>
      <c r="CF101" s="100">
        <v>4.9410723167166033</v>
      </c>
      <c r="CG101" s="100">
        <v>3575.3599283761341</v>
      </c>
      <c r="CH101" s="100">
        <v>8.300982347848997</v>
      </c>
      <c r="CI101" s="100">
        <v>6006.5908269035344</v>
      </c>
      <c r="CJ101" s="100">
        <v>6.6499458744590587</v>
      </c>
      <c r="CK101" s="100">
        <v>4811.900834758575</v>
      </c>
      <c r="CL101" s="100">
        <v>6.345619318124526</v>
      </c>
      <c r="CM101" s="100">
        <v>4591.6901385949068</v>
      </c>
      <c r="CN101" s="100">
        <v>5.9127025910965969</v>
      </c>
      <c r="CO101" s="100">
        <v>4278.4315949174979</v>
      </c>
      <c r="CP101" s="100">
        <v>7.0558879321666081</v>
      </c>
      <c r="CQ101" s="100">
        <v>5105.6405077157578</v>
      </c>
      <c r="CR101" s="100">
        <v>0.52066220051193257</v>
      </c>
      <c r="CS101" s="100">
        <v>376.75116829043441</v>
      </c>
      <c r="CT101" s="100">
        <v>4.9778737344873143</v>
      </c>
      <c r="CU101" s="100">
        <v>3601.9894342750208</v>
      </c>
    </row>
    <row r="102" spans="2:99">
      <c r="C102" s="99" t="s">
        <v>268</v>
      </c>
      <c r="D102" s="100">
        <v>3.0745642176830854</v>
      </c>
      <c r="E102" s="100">
        <v>1634.4383381203284</v>
      </c>
      <c r="F102" s="100">
        <v>8</v>
      </c>
      <c r="G102" s="100">
        <v>4252.8</v>
      </c>
      <c r="H102" s="100">
        <v>4.0268210087491934</v>
      </c>
      <c r="I102" s="100">
        <v>2140.6580482510712</v>
      </c>
      <c r="J102" s="100">
        <v>10</v>
      </c>
      <c r="K102" s="100">
        <v>5316</v>
      </c>
      <c r="L102" s="100">
        <v>8</v>
      </c>
      <c r="M102" s="100">
        <v>4252.8</v>
      </c>
      <c r="N102" s="100">
        <v>12</v>
      </c>
      <c r="O102" s="100">
        <v>6379.2000000000007</v>
      </c>
      <c r="P102" s="100">
        <v>8</v>
      </c>
      <c r="Q102" s="100">
        <v>4252.8</v>
      </c>
      <c r="R102" s="100">
        <v>6</v>
      </c>
      <c r="S102" s="100">
        <v>3189.6000000000004</v>
      </c>
      <c r="T102" s="100">
        <v>7</v>
      </c>
      <c r="U102" s="100">
        <v>3721.2000000000003</v>
      </c>
      <c r="V102" s="100">
        <v>6</v>
      </c>
      <c r="W102" s="100">
        <v>3189.6000000000004</v>
      </c>
      <c r="X102" s="100">
        <v>9</v>
      </c>
      <c r="Y102" s="100">
        <v>4784.4000000000005</v>
      </c>
      <c r="Z102" s="100">
        <v>6.1196630807690182</v>
      </c>
      <c r="AA102" s="100">
        <v>3253.2128937368102</v>
      </c>
      <c r="AB102" s="100">
        <v>0.92015929715179834</v>
      </c>
      <c r="AC102" s="100">
        <v>489.15668236589602</v>
      </c>
      <c r="AD102" s="100">
        <v>6.761833715234296</v>
      </c>
      <c r="AE102" s="100">
        <v>3594.5908030185519</v>
      </c>
      <c r="AF102" s="100">
        <v>5.9999999999999973</v>
      </c>
      <c r="AG102" s="100">
        <v>3189.5999999999985</v>
      </c>
      <c r="AH102" s="100">
        <v>6.5976975487508813</v>
      </c>
      <c r="AI102" s="100">
        <v>3507.3360169159687</v>
      </c>
      <c r="AJ102" s="100">
        <v>9.5054929283120195</v>
      </c>
      <c r="AK102" s="100">
        <v>5053.1200406906701</v>
      </c>
      <c r="AL102" s="100">
        <v>11</v>
      </c>
      <c r="AM102" s="100">
        <v>5847.6</v>
      </c>
      <c r="AN102" s="100">
        <v>7</v>
      </c>
      <c r="AO102" s="100">
        <v>3721.2000000000003</v>
      </c>
      <c r="AP102" s="100">
        <v>9</v>
      </c>
      <c r="AQ102" s="100">
        <v>4784.4000000000005</v>
      </c>
      <c r="AR102" s="100">
        <v>11</v>
      </c>
      <c r="AS102" s="100">
        <v>5847.6</v>
      </c>
      <c r="AT102" s="100">
        <v>7</v>
      </c>
      <c r="AU102" s="100">
        <v>3721.2000000000003</v>
      </c>
      <c r="AV102" s="100">
        <v>7.144655376160034</v>
      </c>
      <c r="AW102" s="100">
        <v>3798.0987979666743</v>
      </c>
      <c r="AX102" s="100">
        <v>6.3636363636363624</v>
      </c>
      <c r="AY102" s="100">
        <v>3382.9090909090905</v>
      </c>
      <c r="AZ102" s="100">
        <v>5.2941176470588216</v>
      </c>
      <c r="BA102" s="100">
        <v>2814.3529411764698</v>
      </c>
      <c r="BB102" s="100">
        <v>6.0759493670886062</v>
      </c>
      <c r="BC102" s="100">
        <v>3229.9746835443034</v>
      </c>
      <c r="BD102" s="100">
        <v>6</v>
      </c>
      <c r="BE102" s="100">
        <v>3189.6000000000004</v>
      </c>
      <c r="BF102" s="100">
        <v>8.6524390243902385</v>
      </c>
      <c r="BG102" s="100">
        <v>4599.6365853658508</v>
      </c>
      <c r="BH102" s="100">
        <v>7.4999999999999964</v>
      </c>
      <c r="BI102" s="100">
        <v>3986.9999999999982</v>
      </c>
      <c r="BJ102" s="100">
        <v>8.5050861064917651</v>
      </c>
      <c r="BK102" s="100">
        <v>4521.3037742110228</v>
      </c>
      <c r="BL102" s="100">
        <v>1.2074217641284626</v>
      </c>
      <c r="BM102" s="100">
        <v>641.86540981069072</v>
      </c>
      <c r="BN102" s="100">
        <v>7</v>
      </c>
      <c r="BO102" s="100">
        <v>3721.2000000000003</v>
      </c>
      <c r="BP102" s="100">
        <v>9</v>
      </c>
      <c r="BQ102" s="100">
        <v>4784.4000000000005</v>
      </c>
      <c r="BR102" s="100">
        <v>9</v>
      </c>
      <c r="BS102" s="100">
        <v>4784.4000000000005</v>
      </c>
      <c r="BT102" s="100">
        <v>11</v>
      </c>
      <c r="BU102" s="100">
        <v>5847.6</v>
      </c>
      <c r="BV102" s="100">
        <v>7.3471074380165291</v>
      </c>
      <c r="BW102" s="100">
        <v>3905.7223140495871</v>
      </c>
      <c r="BX102" s="100">
        <v>2.1507603032321154</v>
      </c>
      <c r="BY102" s="100">
        <v>1143.3441771981927</v>
      </c>
      <c r="BZ102" s="100">
        <v>10</v>
      </c>
      <c r="CA102" s="100">
        <v>5316</v>
      </c>
      <c r="CB102" s="100">
        <v>7</v>
      </c>
      <c r="CC102" s="100">
        <v>3721.2000000000003</v>
      </c>
      <c r="CD102" s="100">
        <v>10</v>
      </c>
      <c r="CE102" s="100">
        <v>5316</v>
      </c>
      <c r="CF102" s="100">
        <v>5.9292867800599236</v>
      </c>
      <c r="CG102" s="100">
        <v>3152.0088522798555</v>
      </c>
      <c r="CH102" s="100">
        <v>8.3439798261131397</v>
      </c>
      <c r="CI102" s="100">
        <v>4435.6596755617456</v>
      </c>
      <c r="CJ102" s="100">
        <v>7.4811891087664417</v>
      </c>
      <c r="CK102" s="100">
        <v>3977.0001302202404</v>
      </c>
      <c r="CL102" s="100">
        <v>6.345619318124526</v>
      </c>
      <c r="CM102" s="100">
        <v>3373.3312295149981</v>
      </c>
      <c r="CN102" s="100">
        <v>5.0680307923685115</v>
      </c>
      <c r="CO102" s="100">
        <v>2694.1651692231007</v>
      </c>
      <c r="CP102" s="100">
        <v>7.0642054576945483</v>
      </c>
      <c r="CQ102" s="100">
        <v>3755.3316213104222</v>
      </c>
      <c r="CR102" s="100">
        <v>0.47332927319266604</v>
      </c>
      <c r="CS102" s="100">
        <v>251.62184162922128</v>
      </c>
      <c r="CT102" s="100">
        <v>4.9778737344873143</v>
      </c>
      <c r="CU102" s="100">
        <v>2646.2376772534562</v>
      </c>
    </row>
    <row r="103" spans="2:99">
      <c r="C103" s="99" t="s">
        <v>269</v>
      </c>
      <c r="D103" s="100">
        <v>2.7671077959147765</v>
      </c>
      <c r="E103" s="100">
        <v>1630.379913352986</v>
      </c>
      <c r="F103" s="100">
        <v>7</v>
      </c>
      <c r="G103" s="100">
        <v>4124.3999999999996</v>
      </c>
      <c r="H103" s="100">
        <v>4.0268210087491934</v>
      </c>
      <c r="I103" s="100">
        <v>2372.6029383550244</v>
      </c>
      <c r="J103" s="100">
        <v>10</v>
      </c>
      <c r="K103" s="100">
        <v>5891.9999999999991</v>
      </c>
      <c r="L103" s="100">
        <v>9</v>
      </c>
      <c r="M103" s="100">
        <v>5302.7999999999993</v>
      </c>
      <c r="N103" s="100">
        <v>10</v>
      </c>
      <c r="O103" s="100">
        <v>5891.9999999999991</v>
      </c>
      <c r="P103" s="100">
        <v>9</v>
      </c>
      <c r="Q103" s="100">
        <v>5302.7999999999993</v>
      </c>
      <c r="R103" s="100">
        <v>6</v>
      </c>
      <c r="S103" s="100">
        <v>3535.2</v>
      </c>
      <c r="T103" s="100">
        <v>7</v>
      </c>
      <c r="U103" s="100">
        <v>4124.3999999999996</v>
      </c>
      <c r="V103" s="100">
        <v>7</v>
      </c>
      <c r="W103" s="100">
        <v>4124.3999999999996</v>
      </c>
      <c r="X103" s="100">
        <v>10</v>
      </c>
      <c r="Y103" s="100">
        <v>5891.9999999999991</v>
      </c>
      <c r="Z103" s="100">
        <v>6.0835101091724724</v>
      </c>
      <c r="AA103" s="100">
        <v>3584.4041563244205</v>
      </c>
      <c r="AB103" s="100">
        <v>1.0333985936951378</v>
      </c>
      <c r="AC103" s="100">
        <v>608.87845140517504</v>
      </c>
      <c r="AD103" s="100">
        <v>6.1114091477643839</v>
      </c>
      <c r="AE103" s="100">
        <v>3600.8422698627746</v>
      </c>
      <c r="AF103" s="100">
        <v>4.9999999999999973</v>
      </c>
      <c r="AG103" s="100">
        <v>2945.9999999999982</v>
      </c>
      <c r="AH103" s="100">
        <v>6.5976975487508813</v>
      </c>
      <c r="AI103" s="100">
        <v>3887.363395724019</v>
      </c>
      <c r="AJ103" s="100">
        <v>9.5054929283120195</v>
      </c>
      <c r="AK103" s="100">
        <v>5600.636433361441</v>
      </c>
      <c r="AL103" s="100">
        <v>9</v>
      </c>
      <c r="AM103" s="100">
        <v>5302.7999999999993</v>
      </c>
      <c r="AN103" s="100">
        <v>6</v>
      </c>
      <c r="AO103" s="100">
        <v>3535.2</v>
      </c>
      <c r="AP103" s="100">
        <v>10</v>
      </c>
      <c r="AQ103" s="100">
        <v>5891.9999999999991</v>
      </c>
      <c r="AR103" s="100">
        <v>11</v>
      </c>
      <c r="AS103" s="100">
        <v>6481.1999999999989</v>
      </c>
      <c r="AT103" s="100">
        <v>7</v>
      </c>
      <c r="AU103" s="100">
        <v>4124.3999999999996</v>
      </c>
      <c r="AV103" s="100">
        <v>8.5735864513920408</v>
      </c>
      <c r="AW103" s="100">
        <v>5051.55713716019</v>
      </c>
      <c r="AX103" s="100">
        <v>6.3636363636363624</v>
      </c>
      <c r="AY103" s="100">
        <v>3749.4545454545441</v>
      </c>
      <c r="AZ103" s="100">
        <v>5.2941176470588216</v>
      </c>
      <c r="BA103" s="100">
        <v>3119.2941176470572</v>
      </c>
      <c r="BB103" s="100">
        <v>6.8354430379746818</v>
      </c>
      <c r="BC103" s="100">
        <v>4027.4430379746818</v>
      </c>
      <c r="BD103" s="100">
        <v>7</v>
      </c>
      <c r="BE103" s="100">
        <v>4124.3999999999996</v>
      </c>
      <c r="BF103" s="100">
        <v>7.8658536585365804</v>
      </c>
      <c r="BG103" s="100">
        <v>4634.5609756097529</v>
      </c>
      <c r="BH103" s="100">
        <v>7.4999999999999964</v>
      </c>
      <c r="BI103" s="100">
        <v>4418.9999999999973</v>
      </c>
      <c r="BJ103" s="100">
        <v>8.5050861064917651</v>
      </c>
      <c r="BK103" s="100">
        <v>5011.1967339449475</v>
      </c>
      <c r="BL103" s="100">
        <v>1.0866795877156163</v>
      </c>
      <c r="BM103" s="100">
        <v>640.27161308204109</v>
      </c>
      <c r="BN103" s="100">
        <v>7</v>
      </c>
      <c r="BO103" s="100">
        <v>4124.3999999999996</v>
      </c>
      <c r="BP103" s="100">
        <v>9</v>
      </c>
      <c r="BQ103" s="100">
        <v>5302.7999999999993</v>
      </c>
      <c r="BR103" s="100">
        <v>9</v>
      </c>
      <c r="BS103" s="100">
        <v>5302.7999999999993</v>
      </c>
      <c r="BT103" s="100">
        <v>10</v>
      </c>
      <c r="BU103" s="100">
        <v>5891.9999999999991</v>
      </c>
      <c r="BV103" s="100">
        <v>8.3471074380165291</v>
      </c>
      <c r="BW103" s="100">
        <v>4918.1157024793383</v>
      </c>
      <c r="BX103" s="100">
        <v>2.1507603032321154</v>
      </c>
      <c r="BY103" s="100">
        <v>1267.2279706643621</v>
      </c>
      <c r="BZ103" s="100">
        <v>9</v>
      </c>
      <c r="CA103" s="100">
        <v>5302.7999999999993</v>
      </c>
      <c r="CB103" s="100">
        <v>7</v>
      </c>
      <c r="CC103" s="100">
        <v>4124.3999999999996</v>
      </c>
      <c r="CD103" s="100">
        <v>11</v>
      </c>
      <c r="CE103" s="100">
        <v>6481.1999999999989</v>
      </c>
      <c r="CF103" s="100">
        <v>5.4351795483882634</v>
      </c>
      <c r="CG103" s="100">
        <v>3202.4077899103645</v>
      </c>
      <c r="CH103" s="100">
        <v>8.3869773043772824</v>
      </c>
      <c r="CI103" s="100">
        <v>4941.6070277390945</v>
      </c>
      <c r="CJ103" s="100">
        <v>7.4811891087664417</v>
      </c>
      <c r="CK103" s="100">
        <v>4407.9166228851873</v>
      </c>
      <c r="CL103" s="100">
        <v>7.2521363635708864</v>
      </c>
      <c r="CM103" s="100">
        <v>4272.9587454159655</v>
      </c>
      <c r="CN103" s="100">
        <v>5.0680307923685115</v>
      </c>
      <c r="CO103" s="100">
        <v>2986.0837428635268</v>
      </c>
      <c r="CP103" s="100">
        <v>6.3594484170306815</v>
      </c>
      <c r="CQ103" s="100">
        <v>3746.9870073144771</v>
      </c>
      <c r="CR103" s="100">
        <v>0.47332927319266604</v>
      </c>
      <c r="CS103" s="100">
        <v>278.88560776511878</v>
      </c>
      <c r="CT103" s="100">
        <v>4.9778737344873143</v>
      </c>
      <c r="CU103" s="100">
        <v>2932.9632043599254</v>
      </c>
    </row>
    <row r="104" spans="2:99">
      <c r="C104" s="99" t="s">
        <v>270</v>
      </c>
      <c r="D104" s="100">
        <v>3.0745642176830854</v>
      </c>
      <c r="E104" s="100">
        <v>1944.3544112627831</v>
      </c>
      <c r="F104" s="100">
        <v>7</v>
      </c>
      <c r="G104" s="100">
        <v>4426.8</v>
      </c>
      <c r="H104" s="100">
        <v>3.3556841739576613</v>
      </c>
      <c r="I104" s="100">
        <v>2122.1346716108251</v>
      </c>
      <c r="J104" s="100">
        <v>10</v>
      </c>
      <c r="K104" s="100">
        <v>6324</v>
      </c>
      <c r="L104" s="100">
        <v>8</v>
      </c>
      <c r="M104" s="100">
        <v>5059.2</v>
      </c>
      <c r="N104" s="100">
        <v>11</v>
      </c>
      <c r="O104" s="100">
        <v>6956.4</v>
      </c>
      <c r="P104" s="100">
        <v>9</v>
      </c>
      <c r="Q104" s="100">
        <v>5691.5999999999995</v>
      </c>
      <c r="R104" s="100">
        <v>7</v>
      </c>
      <c r="S104" s="100">
        <v>4426.8</v>
      </c>
      <c r="T104" s="100">
        <v>7</v>
      </c>
      <c r="U104" s="100">
        <v>4426.8</v>
      </c>
      <c r="V104" s="100">
        <v>6</v>
      </c>
      <c r="W104" s="100">
        <v>3794.3999999999996</v>
      </c>
      <c r="X104" s="100">
        <v>10</v>
      </c>
      <c r="Y104" s="100">
        <v>6324</v>
      </c>
      <c r="Z104" s="100">
        <v>6.1196630807690182</v>
      </c>
      <c r="AA104" s="100">
        <v>3870.0749322783272</v>
      </c>
      <c r="AB104" s="100">
        <v>1.0333985936951378</v>
      </c>
      <c r="AC104" s="100">
        <v>653.52127065280513</v>
      </c>
      <c r="AD104" s="100">
        <v>5.7958574702008256</v>
      </c>
      <c r="AE104" s="100">
        <v>3665.300264155002</v>
      </c>
      <c r="AF104" s="100">
        <v>5.9999999999999973</v>
      </c>
      <c r="AG104" s="100">
        <v>3794.3999999999983</v>
      </c>
      <c r="AH104" s="100">
        <v>6.6973138068760276</v>
      </c>
      <c r="AI104" s="100">
        <v>4235.3812514683996</v>
      </c>
      <c r="AJ104" s="100">
        <v>9.5054929283120195</v>
      </c>
      <c r="AK104" s="100">
        <v>6011.2737278645209</v>
      </c>
      <c r="AL104" s="100">
        <v>9</v>
      </c>
      <c r="AM104" s="100">
        <v>5691.5999999999995</v>
      </c>
      <c r="AN104" s="100">
        <v>7</v>
      </c>
      <c r="AO104" s="100">
        <v>4426.8</v>
      </c>
      <c r="AP104" s="100">
        <v>9</v>
      </c>
      <c r="AQ104" s="100">
        <v>5691.5999999999995</v>
      </c>
      <c r="AR104" s="100">
        <v>10</v>
      </c>
      <c r="AS104" s="100">
        <v>6324</v>
      </c>
      <c r="AT104" s="100">
        <v>7</v>
      </c>
      <c r="AU104" s="100">
        <v>4426.8</v>
      </c>
      <c r="AV104" s="100">
        <v>7.8591209137760378</v>
      </c>
      <c r="AW104" s="100">
        <v>4970.1080658719666</v>
      </c>
      <c r="AX104" s="100">
        <v>7.2727272727272716</v>
      </c>
      <c r="AY104" s="100">
        <v>4599.2727272727261</v>
      </c>
      <c r="AZ104" s="100">
        <v>6.1764705882352908</v>
      </c>
      <c r="BA104" s="100">
        <v>3905.9999999999977</v>
      </c>
      <c r="BB104" s="100">
        <v>6.8354430379746818</v>
      </c>
      <c r="BC104" s="100">
        <v>4322.7341772151885</v>
      </c>
      <c r="BD104" s="100">
        <v>7</v>
      </c>
      <c r="BE104" s="100">
        <v>4426.8</v>
      </c>
      <c r="BF104" s="100">
        <v>7.0792682926829222</v>
      </c>
      <c r="BG104" s="100">
        <v>4476.9292682926798</v>
      </c>
      <c r="BH104" s="100">
        <v>7.4999999999999964</v>
      </c>
      <c r="BI104" s="100">
        <v>4742.9999999999973</v>
      </c>
      <c r="BJ104" s="100">
        <v>8.5393124788990047</v>
      </c>
      <c r="BK104" s="100">
        <v>5400.2612116557302</v>
      </c>
      <c r="BL104" s="100">
        <v>1.0866795877156163</v>
      </c>
      <c r="BM104" s="100">
        <v>687.21617127135573</v>
      </c>
      <c r="BN104" s="100">
        <v>7</v>
      </c>
      <c r="BO104" s="100">
        <v>4426.8</v>
      </c>
      <c r="BP104" s="100">
        <v>8</v>
      </c>
      <c r="BQ104" s="100">
        <v>5059.2</v>
      </c>
      <c r="BR104" s="100">
        <v>9</v>
      </c>
      <c r="BS104" s="100">
        <v>5691.5999999999995</v>
      </c>
      <c r="BT104" s="100">
        <v>10</v>
      </c>
      <c r="BU104" s="100">
        <v>6324</v>
      </c>
      <c r="BV104" s="100">
        <v>7.3471074380165291</v>
      </c>
      <c r="BW104" s="100">
        <v>4646.3107438016532</v>
      </c>
      <c r="BX104" s="100">
        <v>1.7206082425856921</v>
      </c>
      <c r="BY104" s="100">
        <v>1088.1126526111916</v>
      </c>
      <c r="BZ104" s="100">
        <v>9</v>
      </c>
      <c r="CA104" s="100">
        <v>5691.5999999999995</v>
      </c>
      <c r="CB104" s="100">
        <v>7</v>
      </c>
      <c r="CC104" s="100">
        <v>4426.8</v>
      </c>
      <c r="CD104" s="100">
        <v>9</v>
      </c>
      <c r="CE104" s="100">
        <v>5691.5999999999995</v>
      </c>
      <c r="CF104" s="100">
        <v>5.9292867800599236</v>
      </c>
      <c r="CG104" s="100">
        <v>3749.6809597098954</v>
      </c>
      <c r="CH104" s="100">
        <v>7.3439798261131397</v>
      </c>
      <c r="CI104" s="100">
        <v>4644.3328420339494</v>
      </c>
      <c r="CJ104" s="100">
        <v>7.4811891087664417</v>
      </c>
      <c r="CK104" s="100">
        <v>4731.103992383898</v>
      </c>
      <c r="CL104" s="100">
        <v>7.2521363635708864</v>
      </c>
      <c r="CM104" s="100">
        <v>4586.2510363222282</v>
      </c>
      <c r="CN104" s="100">
        <v>5.9127025910965969</v>
      </c>
      <c r="CO104" s="100">
        <v>3739.1931186094876</v>
      </c>
      <c r="CP104" s="100">
        <v>7.0558879321666081</v>
      </c>
      <c r="CQ104" s="100">
        <v>4462.1435283021628</v>
      </c>
      <c r="CR104" s="100">
        <v>0.47332927319266604</v>
      </c>
      <c r="CS104" s="100">
        <v>299.33343236704201</v>
      </c>
      <c r="CT104" s="100">
        <v>5.688998553699788</v>
      </c>
      <c r="CU104" s="100">
        <v>3597.7226853597458</v>
      </c>
    </row>
    <row r="105" spans="2:99">
      <c r="C105" s="99" t="s">
        <v>271</v>
      </c>
      <c r="D105" s="100">
        <v>2.7671077959147765</v>
      </c>
      <c r="E105" s="100">
        <v>1540.7256207653475</v>
      </c>
      <c r="F105" s="100">
        <v>8</v>
      </c>
      <c r="G105" s="100">
        <v>4454.3999999999996</v>
      </c>
      <c r="H105" s="100">
        <v>4.0268210087491934</v>
      </c>
      <c r="I105" s="100">
        <v>2242.1339376715505</v>
      </c>
      <c r="J105" s="100">
        <v>9</v>
      </c>
      <c r="K105" s="100">
        <v>5011.2</v>
      </c>
      <c r="L105" s="100">
        <v>8</v>
      </c>
      <c r="M105" s="100">
        <v>4454.3999999999996</v>
      </c>
      <c r="N105" s="100">
        <v>10</v>
      </c>
      <c r="O105" s="100">
        <v>5568</v>
      </c>
      <c r="P105" s="100">
        <v>9</v>
      </c>
      <c r="Q105" s="100">
        <v>5011.2</v>
      </c>
      <c r="R105" s="100">
        <v>6</v>
      </c>
      <c r="S105" s="100">
        <v>3340.7999999999997</v>
      </c>
      <c r="T105" s="100">
        <v>7</v>
      </c>
      <c r="U105" s="100">
        <v>3897.5999999999995</v>
      </c>
      <c r="V105" s="100">
        <v>6</v>
      </c>
      <c r="W105" s="100">
        <v>3340.7999999999997</v>
      </c>
      <c r="X105" s="100">
        <v>10</v>
      </c>
      <c r="Y105" s="100">
        <v>5568</v>
      </c>
      <c r="Z105" s="100">
        <v>7.079351974902945</v>
      </c>
      <c r="AA105" s="100">
        <v>3941.7831796259593</v>
      </c>
      <c r="AB105" s="100">
        <v>0.92015929715179834</v>
      </c>
      <c r="AC105" s="100">
        <v>512.34469665412132</v>
      </c>
      <c r="AD105" s="100">
        <v>6.1114091477643839</v>
      </c>
      <c r="AE105" s="100">
        <v>3402.8326134752087</v>
      </c>
      <c r="AF105" s="100">
        <v>5.9999999999999973</v>
      </c>
      <c r="AG105" s="100">
        <v>3340.7999999999984</v>
      </c>
      <c r="AH105" s="100">
        <v>5.5976975487508813</v>
      </c>
      <c r="AI105" s="100">
        <v>3116.7979951444904</v>
      </c>
      <c r="AJ105" s="100">
        <v>9.5054929283120195</v>
      </c>
      <c r="AK105" s="100">
        <v>5292.6584624841316</v>
      </c>
      <c r="AL105" s="100">
        <v>10</v>
      </c>
      <c r="AM105" s="100">
        <v>5568</v>
      </c>
      <c r="AN105" s="100">
        <v>7</v>
      </c>
      <c r="AO105" s="100">
        <v>3897.5999999999995</v>
      </c>
      <c r="AP105" s="100">
        <v>10</v>
      </c>
      <c r="AQ105" s="100">
        <v>5568</v>
      </c>
      <c r="AR105" s="100">
        <v>10</v>
      </c>
      <c r="AS105" s="100">
        <v>5568</v>
      </c>
      <c r="AT105" s="100">
        <v>8</v>
      </c>
      <c r="AU105" s="100">
        <v>4454.3999999999996</v>
      </c>
      <c r="AV105" s="100">
        <v>8.5735864513920408</v>
      </c>
      <c r="AW105" s="100">
        <v>4773.7729361350875</v>
      </c>
      <c r="AX105" s="100">
        <v>7.2727272727272716</v>
      </c>
      <c r="AY105" s="100">
        <v>4049.4545454545446</v>
      </c>
      <c r="AZ105" s="100">
        <v>5.2941176470588216</v>
      </c>
      <c r="BA105" s="100">
        <v>2947.7647058823518</v>
      </c>
      <c r="BB105" s="100">
        <v>6.8354430379746818</v>
      </c>
      <c r="BC105" s="100">
        <v>3805.9746835443025</v>
      </c>
      <c r="BD105" s="100">
        <v>6</v>
      </c>
      <c r="BE105" s="100">
        <v>3340.7999999999997</v>
      </c>
      <c r="BF105" s="100">
        <v>7.8658536585365804</v>
      </c>
      <c r="BG105" s="100">
        <v>4379.7073170731674</v>
      </c>
      <c r="BH105" s="100">
        <v>8.4374999999999964</v>
      </c>
      <c r="BI105" s="100">
        <v>4697.9999999999973</v>
      </c>
      <c r="BJ105" s="100">
        <v>8.5050861064917651</v>
      </c>
      <c r="BK105" s="100">
        <v>4735.6319440946145</v>
      </c>
      <c r="BL105" s="100">
        <v>1.0866795877156163</v>
      </c>
      <c r="BM105" s="100">
        <v>605.0631944400551</v>
      </c>
      <c r="BN105" s="100">
        <v>7</v>
      </c>
      <c r="BO105" s="100">
        <v>3897.5999999999995</v>
      </c>
      <c r="BP105" s="100">
        <v>9</v>
      </c>
      <c r="BQ105" s="100">
        <v>5011.2</v>
      </c>
      <c r="BR105" s="100">
        <v>10</v>
      </c>
      <c r="BS105" s="100">
        <v>5568</v>
      </c>
      <c r="BT105" s="100">
        <v>10</v>
      </c>
      <c r="BU105" s="100">
        <v>5568</v>
      </c>
      <c r="BV105" s="100">
        <v>7.3471074380165291</v>
      </c>
      <c r="BW105" s="100">
        <v>4090.8694214876032</v>
      </c>
      <c r="BX105" s="100">
        <v>1.9356842729089039</v>
      </c>
      <c r="BY105" s="100">
        <v>1077.7890031556776</v>
      </c>
      <c r="BZ105" s="100">
        <v>10</v>
      </c>
      <c r="CA105" s="100">
        <v>5568</v>
      </c>
      <c r="CB105" s="100">
        <v>8</v>
      </c>
      <c r="CC105" s="100">
        <v>4454.3999999999996</v>
      </c>
      <c r="CD105" s="100">
        <v>10</v>
      </c>
      <c r="CE105" s="100">
        <v>5568</v>
      </c>
      <c r="CF105" s="100">
        <v>4.9410723167166033</v>
      </c>
      <c r="CG105" s="100">
        <v>2751.1890659478045</v>
      </c>
      <c r="CH105" s="100">
        <v>7.3439798261131397</v>
      </c>
      <c r="CI105" s="100">
        <v>4089.1279671797956</v>
      </c>
      <c r="CJ105" s="100">
        <v>7.7563220776123689</v>
      </c>
      <c r="CK105" s="100">
        <v>4318.7201328145666</v>
      </c>
      <c r="CL105" s="100">
        <v>7.2521363635708864</v>
      </c>
      <c r="CM105" s="100">
        <v>4037.9895272362692</v>
      </c>
      <c r="CN105" s="100">
        <v>5.0680307923685115</v>
      </c>
      <c r="CO105" s="100">
        <v>2821.8795451907868</v>
      </c>
      <c r="CP105" s="100">
        <v>6.3594484170306815</v>
      </c>
      <c r="CQ105" s="100">
        <v>3540.9408786026834</v>
      </c>
      <c r="CR105" s="100">
        <v>0.53511719511552203</v>
      </c>
      <c r="CS105" s="100">
        <v>297.95325424032262</v>
      </c>
      <c r="CT105" s="100">
        <v>4.9778737344873143</v>
      </c>
      <c r="CU105" s="100">
        <v>2771.6800953625366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354</v>
      </c>
      <c r="E109" s="100">
        <f>SUM(L$6:L$19)+SUM(N$6:N$19)+SUM(P$6:P$19)+SUM(R$6:R$19)</f>
        <v>306.75353966224941</v>
      </c>
      <c r="F109" s="100">
        <f>SUM(T$6:T$19)+SUM(V$6:V$19)+SUM(X$6:X$19)+SUM(Z$6:Z$19)</f>
        <v>417.10782923338616</v>
      </c>
      <c r="G109" s="100">
        <f>SUM(AB$6:AB$19)+SUM(AD$6:AD$19)+SUM(AF$6:AF$19)+SUM(AH$6:AH$19)</f>
        <v>300.78999501434907</v>
      </c>
      <c r="H109" s="100">
        <f>SUM(AJ$6:AJ$19)+SUM(AL$6:AL$19)+SUM(AN$6:AN$19)+SUM(AP$6:AP$19)</f>
        <v>363.73862709867711</v>
      </c>
      <c r="I109" s="100">
        <f>SUM(AR$6:AR$19)+SUM(AT$6:AT$19)+SUM(AV$6:AV$19)+SUM(AX$6:AX$19)</f>
        <v>379.14788871246503</v>
      </c>
      <c r="J109" s="100">
        <f>SUM(AZ$6:AZ$19)+SUM(BB$6:BB$19)+SUM(BD$6:BD$19)+SUM(BF$6:BF$19)</f>
        <v>297.44525584063831</v>
      </c>
      <c r="K109" s="100">
        <f>SUM(BH$6:BH$19)+SUM(BJ$6:BJ$19)+SUM(BL$6:BL$19)+SUM(BN$6:BN$19)</f>
        <v>344.1125874414497</v>
      </c>
      <c r="L109" s="100">
        <f>SUM(BP$6:BP$19)+SUM(BR$6:BR$19)+SUM(BT$6:BT$19)+SUM(BV$6:BV$19)</f>
        <v>292.98013263149539</v>
      </c>
      <c r="M109" s="100">
        <f>SUM(BX$6:BX$19)+SUM(BZ$6:BZ$19)+SUM(CB$6:CB$19)+SUM(CD$6:CD$19)</f>
        <v>348.56714232729553</v>
      </c>
      <c r="N109" s="100">
        <f>SUM(CF$6:CF$19)+SUM(CH$6:CH$19)+SUM(CJ$6:CJ$19)+SUM(CL$6:CL$19)</f>
        <v>356.00709377614362</v>
      </c>
      <c r="O109" s="100">
        <f>SUM(CN$6:CN$19)+SUM(CP$6:CP$19)+SUM(CR$6:CR$19)+SUM(CT$6:CT$19)</f>
        <v>473.00972770104232</v>
      </c>
    </row>
    <row r="110" spans="2:99">
      <c r="C110" s="99" t="s">
        <v>127</v>
      </c>
      <c r="D110" s="100">
        <f>SUM(D$20:D$36)+SUM(F$20:F$36)+SUM(H$20:H$36)+SUM(J$20:J$36)</f>
        <v>640</v>
      </c>
      <c r="E110" s="100">
        <f>SUM(L$20:L$36)+SUM(N$20:N$36)+SUM(P$20:P$36)+SUM(R$20:R$36)</f>
        <v>623.34819319183168</v>
      </c>
      <c r="F110" s="100">
        <f>SUM(T$20:T$36)+SUM(V$20:V$36)+SUM(X$20:X$36)+SUM(Z$20:Z$36)</f>
        <v>709.91166316184706</v>
      </c>
      <c r="G110" s="100">
        <f>SUM(AB$20:AB$36)+SUM(AD$20:AD$36)+SUM(AF$20:AF$36)+SUM(AH$20:AH$36)</f>
        <v>689.03603860796329</v>
      </c>
      <c r="H110" s="100">
        <f>SUM(AJ$20:AJ$36)+SUM(AL$20:AL$36)+SUM(AN$20:AN$36)+SUM(AP$20:AP$36)</f>
        <v>717.22367092786703</v>
      </c>
      <c r="I110" s="100">
        <f>SUM(AR$20:AR$36)+SUM(AT$20:AT$36)+SUM(AV$20:AV$36)+SUM(AX$20:AX$36)</f>
        <v>807.82463066994524</v>
      </c>
      <c r="J110" s="100">
        <f>SUM(AZ$20:AZ$36)+SUM(BB$20:BB$36)+SUM(BD$20:BD$36)+SUM(BF$20:BF$36)</f>
        <v>655.76254009176478</v>
      </c>
      <c r="K110" s="100">
        <f>SUM(BH$20:BH$36)+SUM(BJ$20:BJ$36)+SUM(BL$20:BL$36)+SUM(BN$20:BN$36)</f>
        <v>543.95634144132453</v>
      </c>
      <c r="L110" s="100">
        <f>SUM(BP$20:BP$36)+SUM(BR$20:BR$36)+SUM(BT$20:BT$36)+SUM(BV$20:BV$36)</f>
        <v>524.50342110185329</v>
      </c>
      <c r="M110" s="100">
        <f>SUM(BX$20:BX$36)+SUM(BZ$20:BZ$36)+SUM(CB$20:CB$36)+SUM(CD$20:CD$36)</f>
        <v>806.24932634341269</v>
      </c>
      <c r="N110" s="100">
        <f>SUM(CF$20:CF$36)+SUM(CH$20:CH$36)+SUM(CJ$20:CJ$36)+SUM(CL$20:CL$36)</f>
        <v>550.01501093701813</v>
      </c>
      <c r="O110" s="100">
        <f>SUM(CN$20:CN$36)+SUM(CP$20:CP$36)+SUM(CR$20:CR$36)+SUM(CT$20:CT$36)</f>
        <v>640.50955085440717</v>
      </c>
    </row>
    <row r="111" spans="2:99">
      <c r="C111" s="99" t="s">
        <v>128</v>
      </c>
      <c r="D111" s="100">
        <f>SUM(D$37:D$48)+SUM(F$37:F$48)+SUM(H$37:H$48)+SUM(J$37:J$48)</f>
        <v>319</v>
      </c>
      <c r="E111" s="100">
        <f>SUM(L$37:L$48)+SUM(N$37:N$48)+SUM(P$37:P$48)+SUM(R$37:R$48)</f>
        <v>299.45746341444095</v>
      </c>
      <c r="F111" s="100">
        <f>SUM(T$37:T$48)+SUM(V$37:V$48)+SUM(X$37:X$48)+SUM(Z$37:Z$48)</f>
        <v>282.50460163826483</v>
      </c>
      <c r="G111" s="100">
        <f>SUM(AB$37:AB$48)+SUM(AD$37:AD$48)+SUM(AF$37:AF$48)+SUM(AH$37:AH$48)</f>
        <v>283.69034405143117</v>
      </c>
      <c r="H111" s="100">
        <f>SUM(AJ$37:AJ$48)+SUM(AL$37:AL$48)+SUM(AN$37:AN$48)+SUM(AP$37:AP$48)</f>
        <v>300.09692921241617</v>
      </c>
      <c r="I111" s="100">
        <f>SUM(AR$37:AR$48)+SUM(AT$37:AT$48)+SUM(AV$37:AV$48)+SUM(AX$37:AX$48)</f>
        <v>309.05937534418109</v>
      </c>
      <c r="J111" s="100">
        <f>SUM(AZ$37:AZ$48)+SUM(BB$37:BB$48)+SUM(BD$37:BD$48)+SUM(BF$37:BF$48)</f>
        <v>198.68570202166654</v>
      </c>
      <c r="K111" s="100">
        <f>SUM(BH$37:BH$48)+SUM(BJ$37:BJ$48)+SUM(BL$37:BL$48)+SUM(BN$37:BN$48)</f>
        <v>234.35900350797667</v>
      </c>
      <c r="L111" s="100">
        <f>SUM(BP$37:BP$48)+SUM(BR$37:BR$48)+SUM(BT$37:BT$48)+SUM(BV$37:BV$48)</f>
        <v>251.46226159487114</v>
      </c>
      <c r="M111" s="100">
        <f>SUM(BX$37:BX$48)+SUM(BZ$37:BZ$48)+SUM(CB$37:CB$48)+SUM(CD$37:CD$48)</f>
        <v>289.68643872232229</v>
      </c>
      <c r="N111" s="100">
        <f>SUM(CF$37:CF$48)+SUM(CH$37:CH$48)+SUM(CJ$37:CJ$48)+SUM(CL$37:CL$48)</f>
        <v>271.00576369311665</v>
      </c>
      <c r="O111" s="100">
        <f>SUM(CN$37:CN$48)+SUM(CP$37:CP$48)+SUM(CR$37:CR$48)+SUM(CT$37:CT$48)</f>
        <v>290.16958356683301</v>
      </c>
    </row>
    <row r="112" spans="2:99">
      <c r="C112" s="99" t="s">
        <v>129</v>
      </c>
      <c r="D112" s="100">
        <f>SUM(D$49:D$70)+SUM(F$49:F$70)+SUM(H$49:H$70)+SUM(J$49:J$70)</f>
        <v>415.13265916556213</v>
      </c>
      <c r="E112" s="100">
        <f>SUM(L$49:L$70)+SUM(N$49:N$70)+SUM(P$49:P$70)+SUM(R$49:R$70)</f>
        <v>376.75377338283312</v>
      </c>
      <c r="F112" s="100">
        <f>SUM(T$49:T$70)+SUM(V$49:V$70)+SUM(X$49:X$70)+SUM(Z$49:Z$70)</f>
        <v>511.5464371941531</v>
      </c>
      <c r="G112" s="100">
        <f>SUM(AB$49:AB$70)+SUM(AD$49:AD$70)+SUM(AF$49:AF$70)+SUM(AH$49:AH$70)</f>
        <v>386.66148482120781</v>
      </c>
      <c r="H112" s="100">
        <f>SUM(AJ$49:AJ$70)+SUM(AL$49:AL$70)+SUM(AN$49:AN$70)+SUM(AP$49:AP$70)</f>
        <v>420.86220897913739</v>
      </c>
      <c r="I112" s="100">
        <f>SUM(AR$49:AR$70)+SUM(AT$49:AT$70)+SUM(AV$49:AV$70)+SUM(AX$49:AX$70)</f>
        <v>501.56919647264959</v>
      </c>
      <c r="J112" s="100">
        <f>SUM(AZ$49:AZ$70)+SUM(BB$49:BB$70)+SUM(BD$49:BD$70)+SUM(BF$49:BF$70)</f>
        <v>307.50455091639998</v>
      </c>
      <c r="K112" s="100">
        <f>SUM(BH$49:BH$70)+SUM(BJ$49:BJ$70)+SUM(BL$49:BL$70)+SUM(BN$49:BN$70)</f>
        <v>337.51135139788704</v>
      </c>
      <c r="L112" s="100">
        <f>SUM(BP$49:BP$70)+SUM(BR$49:BR$70)+SUM(BT$49:BT$70)+SUM(BV$49:BV$70)</f>
        <v>316.27067714849011</v>
      </c>
      <c r="M112" s="100">
        <f>SUM(BX$49:BX$70)+SUM(BZ$49:BZ$70)+SUM(CB$49:CB$70)+SUM(CD$49:CD$70)</f>
        <v>355.88697598204601</v>
      </c>
      <c r="N112" s="100">
        <f>SUM(CF$49:CF$70)+SUM(CH$49:CH$70)+SUM(CJ$49:CJ$70)+SUM(CL$49:CL$70)</f>
        <v>359.77875146583631</v>
      </c>
      <c r="O112" s="100">
        <f>SUM(CN$49:CN$70)+SUM(CP$49:CP$70)+SUM(CR$49:CR$70)+SUM(CT$49:CT$70)</f>
        <v>424.78770512031207</v>
      </c>
    </row>
    <row r="113" spans="2:15">
      <c r="C113" s="99" t="s">
        <v>130</v>
      </c>
      <c r="D113" s="100">
        <f>SUM(D$71:D$86)+SUM(F$71:F$86)+SUM(H$71:H$86)+SUM(J$71:J$86)</f>
        <v>288.79735835104043</v>
      </c>
      <c r="E113" s="100">
        <f>SUM(L$71:L$86)+SUM(N$71:N$86)+SUM(P$71:P$86)+SUM(R$71:R$86)</f>
        <v>194.16091719270855</v>
      </c>
      <c r="F113" s="100">
        <f>SUM(T$71:T$86)+SUM(V$71:V$86)+SUM(X$71:X$86)+SUM(Z$71:Z$86)</f>
        <v>298</v>
      </c>
      <c r="G113" s="100">
        <f>SUM(AB$71:AB$86)+SUM(AD$71:AD$86)+SUM(AF$71:AF$86)+SUM(AH$71:AH$86)</f>
        <v>275</v>
      </c>
      <c r="H113" s="100">
        <f>SUM(AJ$71:AJ$86)+SUM(AL$71:AL$86)+SUM(AN$71:AN$86)+SUM(AP$71:AP$86)</f>
        <v>261</v>
      </c>
      <c r="I113" s="100">
        <f>SUM(AR$71:AR$86)+SUM(AT$71:AT$86)+SUM(AV$71:AV$86)+SUM(AX$71:AX$86)</f>
        <v>303</v>
      </c>
      <c r="J113" s="100">
        <f>SUM(AZ$71:AZ$86)+SUM(BB$71:BB$86)+SUM(BD$71:BD$86)+SUM(BF$71:BF$86)</f>
        <v>295.19971045946431</v>
      </c>
      <c r="K113" s="100">
        <f>SUM(BH$71:BH$86)+SUM(BJ$71:BJ$86)+SUM(BL$71:BL$86)+SUM(BN$71:BN$86)</f>
        <v>219.6550297831609</v>
      </c>
      <c r="L113" s="100">
        <f>SUM(BP$71:BP$86)+SUM(BR$71:BR$86)+SUM(BT$71:BT$86)+SUM(BV$71:BV$86)</f>
        <v>252.83679517093304</v>
      </c>
      <c r="M113" s="100">
        <f>SUM(BX$71:BX$86)+SUM(BZ$71:BZ$86)+SUM(CB$71:CB$86)+SUM(CD$71:CD$86)</f>
        <v>284.21430067259826</v>
      </c>
      <c r="N113" s="100">
        <f>SUM(CF$71:CF$86)+SUM(CH$71:CH$86)+SUM(CJ$71:CJ$86)+SUM(CL$71:CL$86)</f>
        <v>236.8495186874656</v>
      </c>
      <c r="O113" s="100">
        <f>SUM(CN$71:CN$86)+SUM(CP$71:CP$86)+SUM(CR$71:CR$86)+SUM(CT$71:CT$86)</f>
        <v>257.32940012250185</v>
      </c>
    </row>
    <row r="114" spans="2:15">
      <c r="C114" s="99" t="s">
        <v>131</v>
      </c>
      <c r="D114" s="100">
        <f>SUM(D$87:D$94)+SUM(F$87:F$94)+SUM(H$87:H$94)+SUM(J$87:J$94)</f>
        <v>118.56856438872535</v>
      </c>
      <c r="E114" s="100">
        <f>SUM(L$87:L$94)+SUM(N$87:N$94)+SUM(P$87:P$94)+SUM(R$87:R$94)</f>
        <v>129</v>
      </c>
      <c r="F114" s="100">
        <f>SUM(T$87:T$94)+SUM(V$87:V$94)+SUM(X$87:X$94)+SUM(Z$87:Z$94)</f>
        <v>148.98225345176931</v>
      </c>
      <c r="G114" s="100">
        <f>SUM(AB$87:AB$94)+SUM(AD$87:AD$94)+SUM(AF$87:AF$94)+SUM(AH$87:AH$94)</f>
        <v>142.33522796042814</v>
      </c>
      <c r="H114" s="100">
        <f>SUM(AJ$87:AJ$94)+SUM(AL$87:AL$94)+SUM(AN$87:AN$94)+SUM(AP$87:AP$94)</f>
        <v>159.57691534872887</v>
      </c>
      <c r="I114" s="100">
        <f>SUM(AR$87:AR$94)+SUM(AT$87:AT$94)+SUM(AV$87:AV$94)+SUM(AX$87:AX$94)</f>
        <v>145.02035976952885</v>
      </c>
      <c r="J114" s="100">
        <f>SUM(AZ$87:AZ$94)+SUM(BB$87:BB$94)+SUM(BD$87:BD$94)+SUM(BF$87:BF$94)</f>
        <v>154.23716924250397</v>
      </c>
      <c r="K114" s="100">
        <f>SUM(BH$87:BH$94)+SUM(BJ$87:BJ$94)+SUM(BL$87:BL$94)+SUM(BN$87:BN$94)</f>
        <v>99.064172208044738</v>
      </c>
      <c r="L114" s="100">
        <f>SUM(BP$87:BP$94)+SUM(BR$87:BR$94)+SUM(BT$87:BT$94)+SUM(BV$87:BV$94)</f>
        <v>166.82644628099175</v>
      </c>
      <c r="M114" s="100">
        <f>SUM(BX$87:BX$94)+SUM(BZ$87:BZ$94)+SUM(CB$87:CB$94)+SUM(CD$87:CD$94)</f>
        <v>117.47130825706509</v>
      </c>
      <c r="N114" s="100">
        <f>SUM(CF$87:CF$94)+SUM(CH$87:CH$94)+SUM(CJ$87:CJ$94)+SUM(CL$87:CL$94)</f>
        <v>141.53231491801182</v>
      </c>
      <c r="O114" s="100">
        <f>SUM(CN$87:CN$94)+SUM(CP$87:CP$94)+SUM(CR$87:CR$94)+SUM(CT$87:CT$94)</f>
        <v>110.04753701602984</v>
      </c>
    </row>
    <row r="115" spans="2:15">
      <c r="C115" s="99" t="s">
        <v>132</v>
      </c>
      <c r="D115" s="100">
        <f>SUM(D$95:D$105)+SUM(F$95:F$105)+SUM(H$95:H$105)+SUM(J$95:J$105)</f>
        <v>258.8371840514925</v>
      </c>
      <c r="E115" s="100">
        <f>SUM(L$95:L$105)+SUM(N$95:N$105)+SUM(P$95:P$105)+SUM(R$95:R$105)</f>
        <v>373</v>
      </c>
      <c r="F115" s="100">
        <f>SUM(T$95:T$105)+SUM(V$95:V$105)+SUM(X$95:X$105)+SUM(Z$95:Z$105)</f>
        <v>324.09521792461038</v>
      </c>
      <c r="G115" s="100">
        <f>SUM(AB$95:AB$105)+SUM(AD$95:AD$105)+SUM(AF$95:AF$105)+SUM(AH$95:AH$105)</f>
        <v>207.64665210497668</v>
      </c>
      <c r="H115" s="100">
        <f>SUM(AJ$95:AJ$105)+SUM(AL$95:AL$105)+SUM(AN$95:AN$105)+SUM(AP$95:AP$105)</f>
        <v>383.65932362576984</v>
      </c>
      <c r="I115" s="100">
        <f>SUM(AR$95:AR$105)+SUM(AT$95:AT$105)+SUM(AV$95:AV$105)+SUM(AX$95:AX$105)</f>
        <v>353.47594443084984</v>
      </c>
      <c r="J115" s="100">
        <f>SUM(AZ$95:AZ$105)+SUM(BB$95:BB$105)+SUM(BD$95:BD$105)+SUM(BF$95:BF$105)</f>
        <v>294.80596316946031</v>
      </c>
      <c r="K115" s="100">
        <f>SUM(BH$95:BH$105)+SUM(BJ$95:BJ$105)+SUM(BL$95:BL$105)+SUM(BN$95:BN$105)</f>
        <v>263.39121265968544</v>
      </c>
      <c r="L115" s="100">
        <f>SUM(BP$95:BP$105)+SUM(BR$95:BR$105)+SUM(BT$95:BT$105)+SUM(BV$95:BV$105)</f>
        <v>390.8677685950413</v>
      </c>
      <c r="M115" s="100">
        <f>SUM(BX$95:BX$105)+SUM(BZ$95:BZ$105)+SUM(CB$95:CB$105)+SUM(CD$95:CD$105)</f>
        <v>320.50760303232119</v>
      </c>
      <c r="N115" s="100">
        <f>SUM(CF$95:CF$105)+SUM(CH$95:CH$105)+SUM(CJ$95:CJ$105)+SUM(CL$95:CL$105)</f>
        <v>295.89999939039996</v>
      </c>
      <c r="O115" s="100">
        <f>SUM(CN$95:CN$105)+SUM(CP$95:CP$105)+SUM(CR$95:CR$105)+SUM(CT$95:CT$105)</f>
        <v>193.28342360432563</v>
      </c>
    </row>
    <row r="116" spans="2:15">
      <c r="C116" s="99" t="s">
        <v>278</v>
      </c>
      <c r="D116" s="100">
        <f t="shared" ref="D116:O116" si="0">SUM(D$109:D$115)</f>
        <v>2394.3357659568201</v>
      </c>
      <c r="E116" s="100">
        <f t="shared" si="0"/>
        <v>2302.4738868440636</v>
      </c>
      <c r="F116" s="100">
        <f t="shared" si="0"/>
        <v>2692.1480026040308</v>
      </c>
      <c r="G116" s="100">
        <f t="shared" si="0"/>
        <v>2285.1597425603559</v>
      </c>
      <c r="H116" s="100">
        <f t="shared" si="0"/>
        <v>2606.1576751925968</v>
      </c>
      <c r="I116" s="100">
        <f t="shared" si="0"/>
        <v>2799.0973953996195</v>
      </c>
      <c r="J116" s="100">
        <f t="shared" si="0"/>
        <v>2203.640891741898</v>
      </c>
      <c r="K116" s="100">
        <f t="shared" si="0"/>
        <v>2042.0496984395288</v>
      </c>
      <c r="L116" s="100">
        <f t="shared" si="0"/>
        <v>2195.7475025236763</v>
      </c>
      <c r="M116" s="100">
        <f t="shared" si="0"/>
        <v>2522.583095337061</v>
      </c>
      <c r="N116" s="100">
        <f t="shared" si="0"/>
        <v>2211.0884528679921</v>
      </c>
      <c r="O116" s="100">
        <f t="shared" si="0"/>
        <v>2389.1369279854516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2690400</v>
      </c>
      <c r="E120" s="100">
        <f>E109*pricing!E24*2000</f>
        <v>2331326.9014330953</v>
      </c>
      <c r="F120" s="100">
        <f>F109*pricing!F24*2000</f>
        <v>3170019.5021737344</v>
      </c>
      <c r="G120" s="100">
        <f>G109*pricing!G24*2000</f>
        <v>2286003.9621090526</v>
      </c>
      <c r="H120" s="100">
        <f>H109*pricing!H24*2000</f>
        <v>2764413.5659499462</v>
      </c>
      <c r="I120" s="100">
        <f>I109*pricing!I24*2000</f>
        <v>2881523.954214734</v>
      </c>
      <c r="J120" s="100">
        <f>J109*pricing!J24*2000</f>
        <v>2260583.9443888511</v>
      </c>
      <c r="K120" s="100">
        <f>K109*pricing!K24*2000</f>
        <v>2615255.6645550174</v>
      </c>
      <c r="L120" s="100">
        <f>L109*pricing!L24*2000</f>
        <v>2226649.0079993652</v>
      </c>
      <c r="M120" s="100">
        <f>M109*pricing!M24*2000</f>
        <v>2649110.2816874459</v>
      </c>
      <c r="N120" s="100">
        <f>N109*pricing!N24*2000</f>
        <v>2705653.9126986912</v>
      </c>
      <c r="O120" s="100">
        <f>O109*pricing!O24*2000</f>
        <v>3594873.9305279213</v>
      </c>
    </row>
    <row r="121" spans="2:15">
      <c r="C121" s="99" t="s">
        <v>127</v>
      </c>
      <c r="D121" s="100">
        <f>D110*pricing!D25*2000</f>
        <v>4864000</v>
      </c>
      <c r="E121" s="100">
        <f>E110*pricing!E25*2000</f>
        <v>4737446.2682579206</v>
      </c>
      <c r="F121" s="100">
        <f>F110*pricing!F25*2000</f>
        <v>5395328.6400300376</v>
      </c>
      <c r="G121" s="100">
        <f>G110*pricing!G25*2000</f>
        <v>5236673.8934205202</v>
      </c>
      <c r="H121" s="100">
        <f>H110*pricing!H25*2000</f>
        <v>5450899.8990517892</v>
      </c>
      <c r="I121" s="100">
        <f>I110*pricing!I25*2000</f>
        <v>6139467.1930915834</v>
      </c>
      <c r="J121" s="100">
        <f>J110*pricing!J25*2000</f>
        <v>4983795.3046974121</v>
      </c>
      <c r="K121" s="100">
        <f>K110*pricing!K25*2000</f>
        <v>4134068.1949540656</v>
      </c>
      <c r="L121" s="100">
        <f>L110*pricing!L25*2000</f>
        <v>3986226.0003740848</v>
      </c>
      <c r="M121" s="100">
        <f>M110*pricing!M25*2000</f>
        <v>6127494.8802099358</v>
      </c>
      <c r="N121" s="100">
        <f>N110*pricing!N25*2000</f>
        <v>4180114.0831213379</v>
      </c>
      <c r="O121" s="100">
        <f>O110*pricing!O25*2000</f>
        <v>4867872.586493494</v>
      </c>
    </row>
    <row r="122" spans="2:15">
      <c r="C122" s="99" t="s">
        <v>128</v>
      </c>
      <c r="D122" s="100">
        <f>D111*pricing!D26*2000</f>
        <v>2424400</v>
      </c>
      <c r="E122" s="100">
        <f>E111*pricing!E26*2000</f>
        <v>2275876.7219497515</v>
      </c>
      <c r="F122" s="100">
        <f>F111*pricing!F26*2000</f>
        <v>2147034.9724508128</v>
      </c>
      <c r="G122" s="100">
        <f>G111*pricing!G26*2000</f>
        <v>2156046.6147908769</v>
      </c>
      <c r="H122" s="100">
        <f>H111*pricing!H26*2000</f>
        <v>2280736.6620143629</v>
      </c>
      <c r="I122" s="100">
        <f>I111*pricing!I26*2000</f>
        <v>2348851.2526157759</v>
      </c>
      <c r="J122" s="100">
        <f>J111*pricing!J26*2000</f>
        <v>1510011.3353646656</v>
      </c>
      <c r="K122" s="100">
        <f>K111*pricing!K26*2000</f>
        <v>1781128.4266606227</v>
      </c>
      <c r="L122" s="100">
        <f>L111*pricing!L26*2000</f>
        <v>1911113.1881210206</v>
      </c>
      <c r="M122" s="100">
        <f>M111*pricing!M26*2000</f>
        <v>2201616.9342896491</v>
      </c>
      <c r="N122" s="100">
        <f>N111*pricing!N26*2000</f>
        <v>2059643.8040676862</v>
      </c>
      <c r="O122" s="100">
        <f>O111*pricing!O26*2000</f>
        <v>2205288.8351079309</v>
      </c>
    </row>
    <row r="123" spans="2:15">
      <c r="C123" s="99" t="s">
        <v>129</v>
      </c>
      <c r="D123" s="100">
        <f>D112*pricing!D27*2000</f>
        <v>3155008.2096582721</v>
      </c>
      <c r="E123" s="100">
        <f>E112*pricing!E27*2000</f>
        <v>2863328.6777095315</v>
      </c>
      <c r="F123" s="100">
        <f>F112*pricing!F27*2000</f>
        <v>3887752.922675563</v>
      </c>
      <c r="G123" s="100">
        <f>G112*pricing!G27*2000</f>
        <v>2938627.2846411793</v>
      </c>
      <c r="H123" s="100">
        <f>H112*pricing!H27*2000</f>
        <v>3198552.7882414442</v>
      </c>
      <c r="I123" s="100">
        <f>I112*pricing!I27*2000</f>
        <v>3811925.8931921367</v>
      </c>
      <c r="J123" s="100">
        <f>J112*pricing!J27*2000</f>
        <v>2337034.5869646398</v>
      </c>
      <c r="K123" s="100">
        <f>K112*pricing!K27*2000</f>
        <v>2565086.2706239414</v>
      </c>
      <c r="L123" s="100">
        <f>L112*pricing!L27*2000</f>
        <v>2403657.1463285247</v>
      </c>
      <c r="M123" s="100">
        <f>M112*pricing!M27*2000</f>
        <v>2704741.0174635495</v>
      </c>
      <c r="N123" s="100">
        <f>N112*pricing!N27*2000</f>
        <v>2734318.5111403558</v>
      </c>
      <c r="O123" s="100">
        <f>O112*pricing!O27*2000</f>
        <v>3228386.5589143718</v>
      </c>
    </row>
    <row r="124" spans="2:15">
      <c r="C124" s="99" t="s">
        <v>130</v>
      </c>
      <c r="D124" s="100">
        <f>D113*pricing!D28*2000</f>
        <v>2194859.9234679071</v>
      </c>
      <c r="E124" s="100">
        <f>E113*pricing!E28*2000</f>
        <v>1475622.970664585</v>
      </c>
      <c r="F124" s="100">
        <f>F113*pricing!F28*2000</f>
        <v>2264799.9999999995</v>
      </c>
      <c r="G124" s="100">
        <f>G113*pricing!G28*2000</f>
        <v>2090000</v>
      </c>
      <c r="H124" s="100">
        <f>H113*pricing!H28*2000</f>
        <v>1983600</v>
      </c>
      <c r="I124" s="100">
        <f>I113*pricing!I28*2000</f>
        <v>2302799.9999999995</v>
      </c>
      <c r="J124" s="100">
        <f>J113*pricing!J28*2000</f>
        <v>2243517.7994919284</v>
      </c>
      <c r="K124" s="100">
        <f>K113*pricing!K28*2000</f>
        <v>1669378.2263520227</v>
      </c>
      <c r="L124" s="100">
        <f>L113*pricing!L28*2000</f>
        <v>1921559.6432990909</v>
      </c>
      <c r="M124" s="100">
        <f>M113*pricing!M28*2000</f>
        <v>2160028.6851117467</v>
      </c>
      <c r="N124" s="100">
        <f>N113*pricing!N28*2000</f>
        <v>1800056.3420247387</v>
      </c>
      <c r="O124" s="100">
        <f>O113*pricing!O28*2000</f>
        <v>1955703.440931014</v>
      </c>
    </row>
    <row r="125" spans="2:15">
      <c r="C125" s="99" t="s">
        <v>131</v>
      </c>
      <c r="D125" s="100">
        <f>D114*pricing!D29*2000</f>
        <v>901121.08935431263</v>
      </c>
      <c r="E125" s="100">
        <f>E114*pricing!E29*2000</f>
        <v>980400</v>
      </c>
      <c r="F125" s="100">
        <f>F114*pricing!F29*2000</f>
        <v>1132265.1262334466</v>
      </c>
      <c r="G125" s="100">
        <f>G114*pricing!G29*2000</f>
        <v>1081747.7324992537</v>
      </c>
      <c r="H125" s="100">
        <f>H114*pricing!H29*2000</f>
        <v>1212784.5566503394</v>
      </c>
      <c r="I125" s="100">
        <f>I114*pricing!I29*2000</f>
        <v>1102154.7342484191</v>
      </c>
      <c r="J125" s="100">
        <f>J114*pricing!J29*2000</f>
        <v>1172202.4862430301</v>
      </c>
      <c r="K125" s="100">
        <f>K114*pricing!K29*2000</f>
        <v>752887.70878113993</v>
      </c>
      <c r="L125" s="100">
        <f>L114*pricing!L29*2000</f>
        <v>1267880.9917355373</v>
      </c>
      <c r="M125" s="100">
        <f>M114*pricing!M29*2000</f>
        <v>892781.94275369472</v>
      </c>
      <c r="N125" s="100">
        <f>N114*pricing!N29*2000</f>
        <v>1075645.5933768898</v>
      </c>
      <c r="O125" s="100">
        <f>O114*pricing!O29*2000</f>
        <v>836361.28132182674</v>
      </c>
    </row>
    <row r="126" spans="2:15">
      <c r="C126" s="99" t="s">
        <v>132</v>
      </c>
      <c r="D126" s="100">
        <f>D115*pricing!D30*2000</f>
        <v>1967162.5987913429</v>
      </c>
      <c r="E126" s="100">
        <f>E115*pricing!E30*2000</f>
        <v>2834799.9999999995</v>
      </c>
      <c r="F126" s="100">
        <f>F115*pricing!F30*2000</f>
        <v>2463123.6562270387</v>
      </c>
      <c r="G126" s="100">
        <f>G115*pricing!G30*2000</f>
        <v>1578114.5559978227</v>
      </c>
      <c r="H126" s="100">
        <f>H115*pricing!H30*2000</f>
        <v>2915810.8595558507</v>
      </c>
      <c r="I126" s="100">
        <f>I115*pricing!I30*2000</f>
        <v>2686417.1776744588</v>
      </c>
      <c r="J126" s="100">
        <f>J115*pricing!J30*2000</f>
        <v>2240525.3200878985</v>
      </c>
      <c r="K126" s="100">
        <f>K115*pricing!K30*2000</f>
        <v>2001773.2162136091</v>
      </c>
      <c r="L126" s="100">
        <f>L115*pricing!L30*2000</f>
        <v>2970595.0413223137</v>
      </c>
      <c r="M126" s="100">
        <f>M115*pricing!M30*2000</f>
        <v>2435857.7830456411</v>
      </c>
      <c r="N126" s="100">
        <f>N115*pricing!N30*2000</f>
        <v>2248839.9953670395</v>
      </c>
      <c r="O126" s="100">
        <f>O115*pricing!O30*2000</f>
        <v>1468954.0193928746</v>
      </c>
    </row>
    <row r="127" spans="2:15">
      <c r="C127" s="99" t="s">
        <v>278</v>
      </c>
      <c r="D127" s="100">
        <f t="shared" ref="D127:O127" si="1">SUM(D$120:D$126)</f>
        <v>18196951.821271837</v>
      </c>
      <c r="E127" s="100">
        <f t="shared" si="1"/>
        <v>17498801.540014882</v>
      </c>
      <c r="F127" s="100">
        <f t="shared" si="1"/>
        <v>20460324.819790632</v>
      </c>
      <c r="G127" s="100">
        <f t="shared" si="1"/>
        <v>17367214.043458704</v>
      </c>
      <c r="H127" s="100">
        <f t="shared" si="1"/>
        <v>19806798.331463736</v>
      </c>
      <c r="I127" s="100">
        <f t="shared" si="1"/>
        <v>21273140.205037106</v>
      </c>
      <c r="J127" s="100">
        <f t="shared" si="1"/>
        <v>16747670.777238425</v>
      </c>
      <c r="K127" s="100">
        <f t="shared" si="1"/>
        <v>15519577.708140418</v>
      </c>
      <c r="L127" s="100">
        <f t="shared" si="1"/>
        <v>16687681.019179936</v>
      </c>
      <c r="M127" s="100">
        <f t="shared" si="1"/>
        <v>19171631.524561662</v>
      </c>
      <c r="N127" s="100">
        <f t="shared" si="1"/>
        <v>16804272.241796739</v>
      </c>
      <c r="O127" s="100">
        <f t="shared" si="1"/>
        <v>18157440.652689435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177440.39999999997</v>
      </c>
      <c r="E131" s="106">
        <f>SUM(M$6:M$19)+SUM(O$6:O$19)+SUM(Q$6:Q$19)+SUM(S$6:S$19)</f>
        <v>154869.86875652659</v>
      </c>
      <c r="F131" s="106">
        <f>SUM(U$6:U$19)+SUM(W$6:W$19)+SUM(Y$6:Y$19)+SUM(AA$6:AA$19)</f>
        <v>210427.01326927403</v>
      </c>
      <c r="G131" s="106">
        <f>SUM(AC$6:AC$19)+SUM(AE$6:AE$19)+SUM(AG$6:AG$19)+SUM(AI$6:AI$19)</f>
        <v>151794.77455122879</v>
      </c>
      <c r="H131" s="106">
        <f>SUM(AK$6:AK$19)+SUM(AM$6:AM$19)+SUM(AO$6:AO$19)+SUM(AQ$6:AQ$19)</f>
        <v>183798.06724266484</v>
      </c>
      <c r="I131" s="106">
        <f>SUM(AS$6:AS$19)+SUM(AU$6:AU$19)+SUM(AW$6:AW$19)+SUM(AY$6:AY$19)</f>
        <v>192946.54898719685</v>
      </c>
      <c r="J131" s="106">
        <f>SUM(BA$6:BA$19)+SUM(BC$6:BC$19)+SUM(BE$6:BE$19)+SUM(BG$6:BG$19)</f>
        <v>149737.14408995118</v>
      </c>
      <c r="K131" s="106">
        <f>SUM(BI$6:BI$19)+SUM(BK$6:BK$19)+SUM(BM$6:BM$19)+SUM(BO$6:BO$19)</f>
        <v>174573.20363535004</v>
      </c>
      <c r="L131" s="106">
        <f>SUM(BQ$6:BQ$19)+SUM(BS$6:BS$19)+SUM(BU$6:BU$19)+SUM(BW$6:BW$19)</f>
        <v>148552.11531749036</v>
      </c>
      <c r="M131" s="106">
        <f>SUM(BY$6:BY$19)+SUM(CA$6:CA$19)+SUM(CC$6:CC$19)+SUM(CE$6:CE$19)</f>
        <v>176776.15354164917</v>
      </c>
      <c r="N131" s="106">
        <f>SUM(CG$6:CG$19)+SUM(CI$6:CI$19)+SUM(CK$6:CK$19)+SUM(CM$6:CM$19)</f>
        <v>180760.76910679205</v>
      </c>
      <c r="O131" s="106">
        <f>SUM(CO$6:CO$19)+SUM(CQ$6:CQ$19)+SUM(CS$6:CS$19)+SUM(CU$6:CU$19)</f>
        <v>238997.77669443522</v>
      </c>
    </row>
    <row r="132" spans="2:15">
      <c r="C132" s="105" t="s">
        <v>127</v>
      </c>
      <c r="D132" s="106">
        <f>SUM(E$20:E$36)+SUM(G$20:G$36)+SUM(I$20:I$36)+SUM(K$20:K$36)</f>
        <v>275140.8</v>
      </c>
      <c r="E132" s="106">
        <f>SUM(M$20:M$36)+SUM(O$20:O$36)+SUM(Q$20:Q$36)+SUM(S$20:S$36)</f>
        <v>268613.06345416373</v>
      </c>
      <c r="F132" s="106">
        <f>SUM(U$20:U$36)+SUM(W$20:W$36)+SUM(Y$20:Y$36)+SUM(AA$20:AA$36)</f>
        <v>304702.4817016297</v>
      </c>
      <c r="G132" s="106">
        <f>SUM(AC$20:AC$36)+SUM(AE$20:AE$36)+SUM(AG$20:AG$36)+SUM(AI$20:AI$36)</f>
        <v>294427.51213026542</v>
      </c>
      <c r="H132" s="106">
        <f>SUM(AK$20:AK$36)+SUM(AM$20:AM$36)+SUM(AO$20:AO$36)+SUM(AQ$20:AQ$36)</f>
        <v>307776.9955111646</v>
      </c>
      <c r="I132" s="106">
        <f>SUM(AS$20:AS$36)+SUM(AU$20:AU$36)+SUM(AW$20:AW$36)+SUM(AY$20:AY$36)</f>
        <v>348256.21241470595</v>
      </c>
      <c r="J132" s="106">
        <f>SUM(BA$20:BA$36)+SUM(BC$20:BC$36)+SUM(BE$20:BE$36)+SUM(BG$20:BG$36)</f>
        <v>280071.47516717459</v>
      </c>
      <c r="K132" s="106">
        <f>SUM(BI$20:BI$36)+SUM(BK$20:BK$36)+SUM(BM$20:BM$36)+SUM(BO$20:BO$36)</f>
        <v>234239.58292314969</v>
      </c>
      <c r="L132" s="106">
        <f>SUM(BQ$20:BQ$36)+SUM(BS$20:BS$36)+SUM(BU$20:BU$36)+SUM(BW$20:BW$36)</f>
        <v>224211.6458238003</v>
      </c>
      <c r="M132" s="106">
        <f>SUM(BY$20:BY$36)+SUM(CA$20:CA$36)+SUM(CC$20:CC$36)+SUM(CE$20:CE$36)</f>
        <v>343974.7513822543</v>
      </c>
      <c r="N132" s="106">
        <f>SUM(CG$20:CG$36)+SUM(CI$20:CI$36)+SUM(CK$20:CK$36)+SUM(CM$20:CM$36)</f>
        <v>235053.9925310369</v>
      </c>
      <c r="O132" s="106">
        <f>SUM(CO$20:CO$36)+SUM(CQ$20:CQ$36)+SUM(CS$20:CS$36)+SUM(CU$20:CU$36)</f>
        <v>276500.81249245611</v>
      </c>
    </row>
    <row r="133" spans="2:15">
      <c r="C133" s="105" t="s">
        <v>128</v>
      </c>
      <c r="D133" s="106">
        <f>SUM(E$37:E$48)+SUM(G$37:G$48)+SUM(I$37:I$48)+SUM(K$37:K$48)</f>
        <v>336765.6</v>
      </c>
      <c r="E133" s="106">
        <f>SUM(M$37:M$48)+SUM(O$37:O$48)+SUM(Q$37:Q$48)+SUM(S$37:S$48)</f>
        <v>315378.15905232384</v>
      </c>
      <c r="F133" s="106">
        <f>SUM(U$37:U$48)+SUM(W$37:W$48)+SUM(Y$37:Y$48)+SUM(AA$37:AA$48)</f>
        <v>296359.25211154169</v>
      </c>
      <c r="G133" s="106">
        <f>SUM(AC$37:AC$48)+SUM(AE$37:AE$48)+SUM(AG$37:AG$48)+SUM(AI$37:AI$48)</f>
        <v>299328.99519171624</v>
      </c>
      <c r="H133" s="106">
        <f>SUM(AK$37:AK$48)+SUM(AM$37:AM$48)+SUM(AO$37:AO$48)+SUM(AQ$37:AQ$48)</f>
        <v>316137.65854776464</v>
      </c>
      <c r="I133" s="106">
        <f>SUM(AS$37:AS$48)+SUM(AU$37:AU$48)+SUM(AW$37:AW$48)+SUM(AY$37:AY$48)</f>
        <v>324311.5627795133</v>
      </c>
      <c r="J133" s="106">
        <f>SUM(BA$37:BA$48)+SUM(BC$37:BC$48)+SUM(BE$37:BE$48)+SUM(BG$37:BG$48)</f>
        <v>209500.50220593551</v>
      </c>
      <c r="K133" s="106">
        <f>SUM(BI$37:BI$48)+SUM(BK$37:BK$48)+SUM(BM$37:BM$48)+SUM(BO$37:BO$48)</f>
        <v>245932.86047937235</v>
      </c>
      <c r="L133" s="106">
        <f>SUM(BQ$37:BQ$48)+SUM(BS$37:BS$48)+SUM(BU$37:BU$48)+SUM(BW$37:BW$48)</f>
        <v>264249.64791873586</v>
      </c>
      <c r="M133" s="106">
        <f>SUM(BY$37:BY$48)+SUM(CA$37:CA$48)+SUM(CC$37:CC$48)+SUM(CE$37:CE$48)</f>
        <v>304788.95234889083</v>
      </c>
      <c r="N133" s="106">
        <f>SUM(CG$37:CG$48)+SUM(CI$37:CI$48)+SUM(CK$37:CK$48)+SUM(CM$37:CM$48)</f>
        <v>284662.86677470239</v>
      </c>
      <c r="O133" s="106">
        <f>SUM(CO$37:CO$48)+SUM(CQ$37:CQ$48)+SUM(CS$37:CS$48)+SUM(CU$37:CU$48)</f>
        <v>305336.97302291467</v>
      </c>
    </row>
    <row r="134" spans="2:15">
      <c r="C134" s="105" t="s">
        <v>129</v>
      </c>
      <c r="D134" s="106">
        <f>SUM(E$49:E$70)+SUM(G$49:G$70)+SUM(I$49:I$70)+SUM(K$49:K$70)</f>
        <v>343311.52574212273</v>
      </c>
      <c r="E134" s="106">
        <f>SUM(M$49:M$70)+SUM(O$49:O$70)+SUM(Q$49:Q$70)+SUM(S$49:S$70)</f>
        <v>321636.32573666499</v>
      </c>
      <c r="F134" s="106">
        <f>SUM(U$49:U$70)+SUM(W$49:W$70)+SUM(Y$49:Y$70)+SUM(AA$49:AA$70)</f>
        <v>432953.34690974379</v>
      </c>
      <c r="G134" s="106">
        <f>SUM(AC$49:AC$70)+SUM(AE$49:AE$70)+SUM(AG$49:AG$70)+SUM(AI$49:AI$70)</f>
        <v>326561.72686158185</v>
      </c>
      <c r="H134" s="106">
        <f>SUM(AK$49:AK$70)+SUM(AM$49:AM$70)+SUM(AO$49:AO$70)+SUM(AQ$49:AQ$70)</f>
        <v>358132.04295792803</v>
      </c>
      <c r="I134" s="106">
        <f>SUM(AS$49:AS$70)+SUM(AU$49:AU$70)+SUM(AW$49:AW$70)+SUM(AY$49:AY$70)</f>
        <v>425606.83779076592</v>
      </c>
      <c r="J134" s="106">
        <f>SUM(BA$49:BA$70)+SUM(BC$49:BC$70)+SUM(BE$49:BE$70)+SUM(BG$49:BG$70)</f>
        <v>264969.76616663649</v>
      </c>
      <c r="K134" s="106">
        <f>SUM(BI$49:BI$70)+SUM(BK$49:BK$70)+SUM(BM$49:BM$70)+SUM(BO$49:BO$70)</f>
        <v>281992.40538758319</v>
      </c>
      <c r="L134" s="106">
        <f>SUM(BQ$49:BQ$70)+SUM(BS$49:BS$70)+SUM(BU$49:BU$70)+SUM(BW$49:BW$70)</f>
        <v>269501.6622876391</v>
      </c>
      <c r="M134" s="106">
        <f>SUM(BY$49:BY$70)+SUM(CA$49:CA$70)+SUM(CC$49:CC$70)+SUM(CE$49:CE$70)</f>
        <v>295697.36629362486</v>
      </c>
      <c r="N134" s="106">
        <f>SUM(CG$49:CG$70)+SUM(CI$49:CI$70)+SUM(CK$49:CK$70)+SUM(CM$49:CM$70)</f>
        <v>304579.20559471182</v>
      </c>
      <c r="O134" s="106">
        <f>SUM(CO$49:CO$70)+SUM(CQ$49:CQ$70)+SUM(CS$49:CS$70)+SUM(CU$49:CU$70)</f>
        <v>349976.22546356515</v>
      </c>
    </row>
    <row r="135" spans="2:15">
      <c r="C135" s="105" t="s">
        <v>130</v>
      </c>
      <c r="D135" s="106">
        <f>SUM(E$71:E$86)+SUM(G$71:G$86)+SUM(I$71:I$86)+SUM(K$71:K$86)</f>
        <v>161428.58558324148</v>
      </c>
      <c r="E135" s="106">
        <f>SUM(M$71:M$86)+SUM(O$71:O$86)+SUM(Q$71:Q$86)+SUM(S$71:S$86)</f>
        <v>108147.94670364022</v>
      </c>
      <c r="F135" s="106">
        <f>SUM(U$71:U$86)+SUM(W$71:W$86)+SUM(Y$71:Y$86)+SUM(AA$71:AA$86)</f>
        <v>167794.80000000002</v>
      </c>
      <c r="G135" s="106">
        <f>SUM(AC$71:AC$86)+SUM(AE$71:AE$86)+SUM(AG$71:AG$86)+SUM(AI$71:AI$86)</f>
        <v>154444.79999999999</v>
      </c>
      <c r="H135" s="106">
        <f>SUM(AK$71:AK$86)+SUM(AM$71:AM$86)+SUM(AO$71:AO$86)+SUM(AQ$71:AQ$86)</f>
        <v>146991.6</v>
      </c>
      <c r="I135" s="106">
        <f>SUM(AS$71:AS$86)+SUM(AU$71:AU$86)+SUM(AW$71:AW$86)+SUM(AY$71:AY$86)</f>
        <v>169310.40000000002</v>
      </c>
      <c r="J135" s="106">
        <f>SUM(BA$71:BA$86)+SUM(BC$71:BC$86)+SUM(BE$71:BE$86)+SUM(BG$71:BG$86)</f>
        <v>165985.88241971991</v>
      </c>
      <c r="K135" s="106">
        <f>SUM(BI$71:BI$86)+SUM(BK$71:BK$86)+SUM(BM$71:BM$86)+SUM(BO$71:BO$86)</f>
        <v>123325.4816513385</v>
      </c>
      <c r="L135" s="106">
        <f>SUM(BQ$71:BQ$86)+SUM(BS$71:BS$86)+SUM(BU$71:BU$86)+SUM(BW$71:BW$86)</f>
        <v>141667.88068943279</v>
      </c>
      <c r="M135" s="106">
        <f>SUM(BY$71:BY$86)+SUM(CA$71:CA$86)+SUM(CC$71:CC$86)+SUM(CE$71:CE$86)</f>
        <v>159391.37209715991</v>
      </c>
      <c r="N135" s="106">
        <f>SUM(CG$71:CG$86)+SUM(CI$71:CI$86)+SUM(CK$71:CK$86)+SUM(CM$71:CM$86)</f>
        <v>131206.28599310378</v>
      </c>
      <c r="O135" s="106">
        <f>SUM(CO$71:CO$86)+SUM(CQ$71:CQ$86)+SUM(CS$71:CS$86)+SUM(CU$71:CU$86)</f>
        <v>143287.06234458549</v>
      </c>
    </row>
    <row r="136" spans="2:15">
      <c r="C136" s="105" t="s">
        <v>131</v>
      </c>
      <c r="D136" s="106">
        <f>SUM(E$87:E$94)+SUM(G$87:G$94)+SUM(I$87:I$94)+SUM(K$87:K$94)</f>
        <v>118478.06737598425</v>
      </c>
      <c r="E136" s="106">
        <f>SUM(M$87:M$94)+SUM(O$87:O$94)+SUM(Q$87:Q$94)+SUM(S$87:S$94)</f>
        <v>128668.80000000002</v>
      </c>
      <c r="F136" s="106">
        <f>SUM(U$87:U$94)+SUM(W$87:W$94)+SUM(Y$87:Y$94)+SUM(AA$87:AA$94)</f>
        <v>149902.10410210717</v>
      </c>
      <c r="G136" s="106">
        <f>SUM(AC$87:AC$94)+SUM(AE$87:AE$94)+SUM(AG$87:AG$94)+SUM(AI$87:AI$94)</f>
        <v>143388.66248854497</v>
      </c>
      <c r="H136" s="106">
        <f>SUM(AK$87:AK$94)+SUM(AM$87:AM$94)+SUM(AO$87:AO$94)+SUM(AQ$87:AQ$94)</f>
        <v>160090.36364631142</v>
      </c>
      <c r="I136" s="106">
        <f>SUM(AS$87:AS$94)+SUM(AU$87:AU$94)+SUM(AW$87:AW$94)+SUM(AY$87:AY$94)</f>
        <v>146228.24299135653</v>
      </c>
      <c r="J136" s="106">
        <f>SUM(BA$87:BA$94)+SUM(BC$87:BC$94)+SUM(BE$87:BE$94)+SUM(BG$87:BG$94)</f>
        <v>155143.17802153892</v>
      </c>
      <c r="K136" s="106">
        <f>SUM(BI$87:BI$94)+SUM(BK$87:BK$94)+SUM(BM$87:BM$94)+SUM(BO$87:BO$94)</f>
        <v>99748.952938040718</v>
      </c>
      <c r="L136" s="106">
        <f>SUM(BQ$87:BQ$94)+SUM(BS$87:BS$94)+SUM(BU$87:BU$94)+SUM(BW$87:BW$94)</f>
        <v>167477.9305785124</v>
      </c>
      <c r="M136" s="106">
        <f>SUM(BY$87:BY$94)+SUM(CA$87:CA$94)+SUM(CC$87:CC$94)+SUM(CE$87:CE$94)</f>
        <v>118068.86070017748</v>
      </c>
      <c r="N136" s="106">
        <f>SUM(CG$87:CG$94)+SUM(CI$87:CI$94)+SUM(CK$87:CK$94)+SUM(CM$87:CM$94)</f>
        <v>141814.59718206225</v>
      </c>
      <c r="O136" s="106">
        <f>SUM(CO$87:CO$94)+SUM(CQ$87:CQ$94)+SUM(CS$87:CS$94)+SUM(CU$87:CU$94)</f>
        <v>110291.01099650445</v>
      </c>
    </row>
    <row r="137" spans="2:15">
      <c r="C137" s="105" t="s">
        <v>132</v>
      </c>
      <c r="D137" s="106">
        <f>SUM(E$95:E$105)+SUM(G$95:G$105)+SUM(I$95:I$105)+SUM(K$95:K$105)</f>
        <v>206500.55311238384</v>
      </c>
      <c r="E137" s="106">
        <f>SUM(M$95:M$105)+SUM(O$95:O$105)+SUM(Q$95:Q$105)+SUM(S$95:S$105)</f>
        <v>304363.2</v>
      </c>
      <c r="F137" s="106">
        <f>SUM(U$95:U$105)+SUM(W$95:W$105)+SUM(Y$95:Y$105)+SUM(AA$95:AA$105)</f>
        <v>267164.31583688245</v>
      </c>
      <c r="G137" s="106">
        <f>SUM(AC$95:AC$105)+SUM(AE$95:AE$105)+SUM(AG$95:AG$105)+SUM(AI$95:AI$105)</f>
        <v>165504.16540399191</v>
      </c>
      <c r="H137" s="106">
        <f>SUM(AK$95:AK$105)+SUM(AM$95:AM$105)+SUM(AO$95:AO$105)+SUM(AQ$95:AQ$105)</f>
        <v>311116.64127731771</v>
      </c>
      <c r="I137" s="106">
        <f>SUM(AS$95:AS$105)+SUM(AU$95:AU$105)+SUM(AW$95:AW$105)+SUM(AY$95:AY$105)</f>
        <v>285053.78490307048</v>
      </c>
      <c r="J137" s="106">
        <f>SUM(BA$95:BA$105)+SUM(BC$95:BC$105)+SUM(BE$95:BE$105)+SUM(BG$95:BG$105)</f>
        <v>235689.70713001461</v>
      </c>
      <c r="K137" s="106">
        <f>SUM(BI$95:BI$105)+SUM(BK$95:BK$105)+SUM(BM$95:BM$105)+SUM(BO$95:BO$105)</f>
        <v>211792.51044673246</v>
      </c>
      <c r="L137" s="106">
        <f>SUM(BQ$95:BQ$105)+SUM(BS$95:BS$105)+SUM(BU$95:BU$105)+SUM(BW$95:BW$105)</f>
        <v>321726.3966942149</v>
      </c>
      <c r="M137" s="106">
        <f>SUM(BY$95:BY$105)+SUM(CA$95:CA$105)+SUM(CC$95:CC$105)+SUM(CE$95:CE$105)</f>
        <v>259582.3668357046</v>
      </c>
      <c r="N137" s="106">
        <f>SUM(CG$95:CG$105)+SUM(CI$95:CI$105)+SUM(CK$95:CK$105)+SUM(CM$95:CM$105)</f>
        <v>240356.01642979754</v>
      </c>
      <c r="O137" s="106">
        <f>SUM(CO$95:CO$105)+SUM(CQ$95:CQ$105)+SUM(CS$95:CS$105)+SUM(CU$95:CU$105)</f>
        <v>156339.05314496619</v>
      </c>
    </row>
    <row r="138" spans="2:15">
      <c r="C138" s="105" t="s">
        <v>278</v>
      </c>
      <c r="D138" s="100">
        <f t="shared" ref="D138:O138" si="2">SUM(D$131:D$137)</f>
        <v>1619065.5318137323</v>
      </c>
      <c r="E138" s="100">
        <f t="shared" si="2"/>
        <v>1601677.3637033193</v>
      </c>
      <c r="F138" s="100">
        <f t="shared" si="2"/>
        <v>1829303.313931179</v>
      </c>
      <c r="G138" s="100">
        <f t="shared" si="2"/>
        <v>1535450.6366273293</v>
      </c>
      <c r="H138" s="100">
        <f t="shared" si="2"/>
        <v>1784043.3691831513</v>
      </c>
      <c r="I138" s="100">
        <f t="shared" si="2"/>
        <v>1891713.5898666088</v>
      </c>
      <c r="J138" s="100">
        <f t="shared" si="2"/>
        <v>1461097.6552009713</v>
      </c>
      <c r="K138" s="100">
        <f t="shared" si="2"/>
        <v>1371604.9974615669</v>
      </c>
      <c r="L138" s="100">
        <f t="shared" si="2"/>
        <v>1537387.2793098255</v>
      </c>
      <c r="M138" s="100">
        <f t="shared" si="2"/>
        <v>1658279.823199461</v>
      </c>
      <c r="N138" s="100">
        <f t="shared" si="2"/>
        <v>1518433.7336122068</v>
      </c>
      <c r="O138" s="100">
        <f t="shared" si="2"/>
        <v>1580728.9141594274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4.7700075654312259</v>
      </c>
      <c r="G6" s="100">
        <v>2758.9723758454211</v>
      </c>
      <c r="H6" s="100">
        <v>6.850095068445655</v>
      </c>
      <c r="I6" s="100">
        <v>3962.0949875889669</v>
      </c>
      <c r="J6" s="100">
        <v>5.0585132443305021</v>
      </c>
      <c r="K6" s="100">
        <v>2925.8440605207625</v>
      </c>
      <c r="L6" s="100">
        <v>4.9010799239712366</v>
      </c>
      <c r="M6" s="100">
        <v>2834.7846280249632</v>
      </c>
      <c r="N6" s="100">
        <v>2.0130162441949682</v>
      </c>
      <c r="O6" s="100">
        <v>1164.3285956423695</v>
      </c>
      <c r="P6" s="100">
        <v>9.7010058055269575</v>
      </c>
      <c r="Q6" s="100">
        <v>5611.061757916792</v>
      </c>
      <c r="R6" s="100">
        <v>5.0518834263564338</v>
      </c>
      <c r="S6" s="100">
        <v>2922.0093738045612</v>
      </c>
      <c r="T6" s="100">
        <v>6.3566629423762269</v>
      </c>
      <c r="U6" s="100">
        <v>3676.6938458704094</v>
      </c>
      <c r="V6" s="100">
        <v>5</v>
      </c>
      <c r="W6" s="100">
        <v>2892</v>
      </c>
      <c r="X6" s="100">
        <v>0.89269691873155133</v>
      </c>
      <c r="Y6" s="100">
        <v>516.3358977943293</v>
      </c>
      <c r="Z6" s="100">
        <v>5</v>
      </c>
      <c r="AA6" s="100">
        <v>2892</v>
      </c>
      <c r="AB6" s="100">
        <v>3.3183010583784127</v>
      </c>
      <c r="AC6" s="100">
        <v>1919.3053321660739</v>
      </c>
      <c r="AD6" s="100">
        <v>8.4077034416496463</v>
      </c>
      <c r="AE6" s="100">
        <v>4863.0156706501557</v>
      </c>
      <c r="AF6" s="100">
        <v>5.2492078497887604</v>
      </c>
      <c r="AG6" s="100">
        <v>3036.1418203178191</v>
      </c>
      <c r="AH6" s="100">
        <v>7.808401296900513</v>
      </c>
      <c r="AI6" s="100">
        <v>4516.3793101272568</v>
      </c>
      <c r="AJ6" s="100">
        <v>5.9690371228423471</v>
      </c>
      <c r="AK6" s="100">
        <v>3452.4910718520136</v>
      </c>
      <c r="AL6" s="100">
        <v>4.4682768257137145E-4</v>
      </c>
      <c r="AM6" s="100">
        <v>0.25844513159928123</v>
      </c>
      <c r="AN6" s="100">
        <v>6.8430024116067232</v>
      </c>
      <c r="AO6" s="100">
        <v>3957.9925948733285</v>
      </c>
      <c r="AP6" s="100">
        <v>7</v>
      </c>
      <c r="AQ6" s="100">
        <v>4048.7999999999997</v>
      </c>
      <c r="AR6" s="100">
        <v>5.7369357846497806</v>
      </c>
      <c r="AS6" s="100">
        <v>3318.2436578414331</v>
      </c>
      <c r="AT6" s="100">
        <v>5.0906818500178179</v>
      </c>
      <c r="AU6" s="100">
        <v>2944.450382050306</v>
      </c>
      <c r="AV6" s="100">
        <v>6</v>
      </c>
      <c r="AW6" s="100">
        <v>3470.3999999999996</v>
      </c>
      <c r="AX6" s="100">
        <v>5.6355636205834232</v>
      </c>
      <c r="AY6" s="100">
        <v>3259.6099981454518</v>
      </c>
      <c r="AZ6" s="100">
        <v>1.5926719909509703</v>
      </c>
      <c r="BA6" s="100">
        <v>921.20147956604126</v>
      </c>
      <c r="BB6" s="100">
        <v>7.9896695513572382</v>
      </c>
      <c r="BC6" s="100">
        <v>4621.2248685050263</v>
      </c>
      <c r="BD6" s="100">
        <v>4.4964719735225929</v>
      </c>
      <c r="BE6" s="100">
        <v>2600.7593894854676</v>
      </c>
      <c r="BF6" s="100">
        <v>5.0545207319040371</v>
      </c>
      <c r="BG6" s="100">
        <v>2923.5347913332948</v>
      </c>
      <c r="BH6" s="100">
        <v>1.6097886333967142</v>
      </c>
      <c r="BI6" s="100">
        <v>931.10174555665947</v>
      </c>
      <c r="BJ6" s="100">
        <v>10.08867430014674</v>
      </c>
      <c r="BK6" s="100">
        <v>5835.2892152048744</v>
      </c>
      <c r="BL6" s="100">
        <v>4.7013874855481408</v>
      </c>
      <c r="BM6" s="100">
        <v>2719.2825216410447</v>
      </c>
      <c r="BN6" s="100">
        <v>7.3542464025291858</v>
      </c>
      <c r="BO6" s="100">
        <v>4253.696119222881</v>
      </c>
      <c r="BP6" s="100">
        <v>7.581781097856056</v>
      </c>
      <c r="BQ6" s="100">
        <v>4385.3021869999429</v>
      </c>
      <c r="BR6" s="100">
        <v>4.971504493199786E-4</v>
      </c>
      <c r="BS6" s="100">
        <v>0.28755181988667561</v>
      </c>
      <c r="BT6" s="100">
        <v>6.7266636267010007</v>
      </c>
      <c r="BU6" s="100">
        <v>3890.7022416838586</v>
      </c>
      <c r="BV6" s="100">
        <v>12.653159892680996</v>
      </c>
      <c r="BW6" s="100">
        <v>7318.5876819266878</v>
      </c>
      <c r="BX6" s="100">
        <v>6</v>
      </c>
      <c r="BY6" s="100">
        <v>3470.3999999999996</v>
      </c>
      <c r="BZ6" s="100">
        <v>7</v>
      </c>
      <c r="CA6" s="100">
        <v>4048.7999999999997</v>
      </c>
      <c r="CB6" s="100">
        <v>2.621982980325313</v>
      </c>
      <c r="CC6" s="100">
        <v>1516.554955820161</v>
      </c>
      <c r="CD6" s="100">
        <v>6.5297930333499648E-4</v>
      </c>
      <c r="CE6" s="100">
        <v>0.37768322904896195</v>
      </c>
      <c r="CF6" s="100">
        <v>9.0003103330493843</v>
      </c>
      <c r="CG6" s="100">
        <v>5205.7794966357633</v>
      </c>
      <c r="CH6" s="100">
        <v>10</v>
      </c>
      <c r="CI6" s="100">
        <v>5784</v>
      </c>
      <c r="CJ6" s="100">
        <v>8.2012803815026452</v>
      </c>
      <c r="CK6" s="100">
        <v>4743.6205726611297</v>
      </c>
      <c r="CL6" s="100">
        <v>7.9553761084750505</v>
      </c>
      <c r="CM6" s="100">
        <v>4601.3895411419689</v>
      </c>
      <c r="CN6" s="100">
        <v>5.6824115060536071</v>
      </c>
      <c r="CO6" s="100">
        <v>3286.7068151014064</v>
      </c>
      <c r="CP6" s="100">
        <v>4.8405727644160361</v>
      </c>
      <c r="CQ6" s="100">
        <v>2799.787286938235</v>
      </c>
      <c r="CR6" s="100">
        <v>1.9410278562928023</v>
      </c>
      <c r="CS6" s="100">
        <v>1122.6905120797569</v>
      </c>
      <c r="CT6" s="100">
        <v>3.6596756901275147</v>
      </c>
      <c r="CU6" s="100">
        <v>2116.7564191697543</v>
      </c>
    </row>
    <row r="7" spans="1:99">
      <c r="C7" s="99" t="s">
        <v>173</v>
      </c>
      <c r="D7" s="100">
        <v>6</v>
      </c>
      <c r="E7" s="100">
        <v>4730.3999999999996</v>
      </c>
      <c r="F7" s="100">
        <v>4.7700075654312259</v>
      </c>
      <c r="G7" s="100">
        <v>3760.6739645859784</v>
      </c>
      <c r="H7" s="100">
        <v>6.0889733941739159</v>
      </c>
      <c r="I7" s="100">
        <v>4800.5466239667148</v>
      </c>
      <c r="J7" s="100">
        <v>5.7811579935205737</v>
      </c>
      <c r="K7" s="100">
        <v>4557.8649620916203</v>
      </c>
      <c r="L7" s="100">
        <v>4.9010799239712366</v>
      </c>
      <c r="M7" s="100">
        <v>3864.0114120589228</v>
      </c>
      <c r="N7" s="100">
        <v>2.0130162441949682</v>
      </c>
      <c r="O7" s="100">
        <v>1587.0620069233128</v>
      </c>
      <c r="P7" s="100">
        <v>7.7010058055269575</v>
      </c>
      <c r="Q7" s="100">
        <v>6071.4729770774529</v>
      </c>
      <c r="R7" s="100">
        <v>5.0452464269209258</v>
      </c>
      <c r="S7" s="100">
        <v>3977.672282984458</v>
      </c>
      <c r="T7" s="100">
        <v>5.2972191186468551</v>
      </c>
      <c r="U7" s="100">
        <v>4176.32755314118</v>
      </c>
      <c r="V7" s="100">
        <v>4</v>
      </c>
      <c r="W7" s="100">
        <v>3153.6</v>
      </c>
      <c r="X7" s="100">
        <v>0.89790528850212337</v>
      </c>
      <c r="Y7" s="100">
        <v>707.90852945507402</v>
      </c>
      <c r="Z7" s="100">
        <v>5</v>
      </c>
      <c r="AA7" s="100">
        <v>3942</v>
      </c>
      <c r="AB7" s="100">
        <v>3.3183010583784127</v>
      </c>
      <c r="AC7" s="100">
        <v>2616.1485544255406</v>
      </c>
      <c r="AD7" s="100">
        <v>8.4426001087275147</v>
      </c>
      <c r="AE7" s="100">
        <v>6656.1459257207725</v>
      </c>
      <c r="AF7" s="100">
        <v>5.2492078497887604</v>
      </c>
      <c r="AG7" s="100">
        <v>4138.4754687734585</v>
      </c>
      <c r="AH7" s="100">
        <v>6.808401296900513</v>
      </c>
      <c r="AI7" s="100">
        <v>5367.7435824763643</v>
      </c>
      <c r="AJ7" s="100">
        <v>5.9690371228423471</v>
      </c>
      <c r="AK7" s="100">
        <v>4705.9888676489063</v>
      </c>
      <c r="AL7" s="100">
        <v>5.0682718048254076E-4</v>
      </c>
      <c r="AM7" s="100">
        <v>0.39958254909243512</v>
      </c>
      <c r="AN7" s="100">
        <v>6.8430024116067232</v>
      </c>
      <c r="AO7" s="100">
        <v>5395.0231013107405</v>
      </c>
      <c r="AP7" s="100">
        <v>7</v>
      </c>
      <c r="AQ7" s="100">
        <v>5518.8</v>
      </c>
      <c r="AR7" s="100">
        <v>4.7807798205414844</v>
      </c>
      <c r="AS7" s="100">
        <v>3769.166810514906</v>
      </c>
      <c r="AT7" s="100">
        <v>5.0906818500178179</v>
      </c>
      <c r="AU7" s="100">
        <v>4013.4935705540474</v>
      </c>
      <c r="AV7" s="100">
        <v>5</v>
      </c>
      <c r="AW7" s="100">
        <v>3942</v>
      </c>
      <c r="AX7" s="100">
        <v>5.6355636205834232</v>
      </c>
      <c r="AY7" s="100">
        <v>4443.0783584679712</v>
      </c>
      <c r="AZ7" s="100">
        <v>1.5827090040260723</v>
      </c>
      <c r="BA7" s="100">
        <v>1247.8077787741554</v>
      </c>
      <c r="BB7" s="100">
        <v>7.9896695513572382</v>
      </c>
      <c r="BC7" s="100">
        <v>6299.0554742900467</v>
      </c>
      <c r="BD7" s="100">
        <v>5.395766368227112</v>
      </c>
      <c r="BE7" s="100">
        <v>4254.0222047102552</v>
      </c>
      <c r="BF7" s="100">
        <v>5.0545207319040371</v>
      </c>
      <c r="BG7" s="100">
        <v>3984.9841450331428</v>
      </c>
      <c r="BH7" s="100">
        <v>1.6191092841715882</v>
      </c>
      <c r="BI7" s="100">
        <v>1276.5057596408801</v>
      </c>
      <c r="BJ7" s="100">
        <v>12.08867430014674</v>
      </c>
      <c r="BK7" s="100">
        <v>9530.7108182356897</v>
      </c>
      <c r="BL7" s="100">
        <v>5.4849520664728315</v>
      </c>
      <c r="BM7" s="100">
        <v>4324.3362092071802</v>
      </c>
      <c r="BN7" s="100">
        <v>6.6188217622762675</v>
      </c>
      <c r="BO7" s="100">
        <v>5218.2790773786091</v>
      </c>
      <c r="BP7" s="100">
        <v>6.7393609758720503</v>
      </c>
      <c r="BQ7" s="100">
        <v>5313.3121933775246</v>
      </c>
      <c r="BR7" s="100">
        <v>4.2974879718401729E-4</v>
      </c>
      <c r="BS7" s="100">
        <v>0.33881395169987921</v>
      </c>
      <c r="BT7" s="100">
        <v>6.0849806575053833</v>
      </c>
      <c r="BU7" s="100">
        <v>4797.3987503772441</v>
      </c>
      <c r="BV7" s="100">
        <v>11.762019874794495</v>
      </c>
      <c r="BW7" s="100">
        <v>9273.1764692879788</v>
      </c>
      <c r="BX7" s="100">
        <v>5</v>
      </c>
      <c r="BY7" s="100">
        <v>3942</v>
      </c>
      <c r="BZ7" s="100">
        <v>7</v>
      </c>
      <c r="CA7" s="100">
        <v>5518.8</v>
      </c>
      <c r="CB7" s="100">
        <v>2.3904900130490931</v>
      </c>
      <c r="CC7" s="100">
        <v>1884.662326287905</v>
      </c>
      <c r="CD7" s="100">
        <v>6.5297930333499648E-4</v>
      </c>
      <c r="CE7" s="100">
        <v>0.51480888274931125</v>
      </c>
      <c r="CF7" s="100">
        <v>9.0003546663421528</v>
      </c>
      <c r="CG7" s="100">
        <v>7095.8796189441528</v>
      </c>
      <c r="CH7" s="100">
        <v>10</v>
      </c>
      <c r="CI7" s="100">
        <v>7884</v>
      </c>
      <c r="CJ7" s="100">
        <v>9.0214084196529107</v>
      </c>
      <c r="CK7" s="100">
        <v>7112.4783980543543</v>
      </c>
      <c r="CL7" s="100">
        <v>7.159838497627546</v>
      </c>
      <c r="CM7" s="100">
        <v>5644.8166715295574</v>
      </c>
      <c r="CN7" s="100">
        <v>4.9721100677969066</v>
      </c>
      <c r="CO7" s="100">
        <v>3920.0115774510809</v>
      </c>
      <c r="CP7" s="100">
        <v>4.0338106370133628</v>
      </c>
      <c r="CQ7" s="100">
        <v>3180.2563062213353</v>
      </c>
      <c r="CR7" s="100">
        <v>1.9410278562928023</v>
      </c>
      <c r="CS7" s="100">
        <v>1530.3063619012453</v>
      </c>
      <c r="CT7" s="100">
        <v>3.6436422799115289</v>
      </c>
      <c r="CU7" s="100">
        <v>2872.6475734822493</v>
      </c>
    </row>
    <row r="8" spans="1:99">
      <c r="C8" s="99" t="s">
        <v>174</v>
      </c>
      <c r="D8" s="100">
        <v>6</v>
      </c>
      <c r="E8" s="100">
        <v>1857.6</v>
      </c>
      <c r="F8" s="100">
        <v>4.7700075654312259</v>
      </c>
      <c r="G8" s="100">
        <v>1476.7943422575074</v>
      </c>
      <c r="H8" s="100">
        <v>6.0889733941739159</v>
      </c>
      <c r="I8" s="100">
        <v>1885.1461628362442</v>
      </c>
      <c r="J8" s="100">
        <v>5.0585132443305021</v>
      </c>
      <c r="K8" s="100">
        <v>1566.1157004447232</v>
      </c>
      <c r="L8" s="100">
        <v>4.9010799239712366</v>
      </c>
      <c r="M8" s="100">
        <v>1517.3743444614947</v>
      </c>
      <c r="N8" s="100">
        <v>2.0130162441949682</v>
      </c>
      <c r="O8" s="100">
        <v>623.22982920276206</v>
      </c>
      <c r="P8" s="100">
        <v>9.7010058055269575</v>
      </c>
      <c r="Q8" s="100">
        <v>3003.4313973911458</v>
      </c>
      <c r="R8" s="100">
        <v>5.0452464269209258</v>
      </c>
      <c r="S8" s="100">
        <v>1562.0082937747184</v>
      </c>
      <c r="T8" s="100">
        <v>6.3566629423762269</v>
      </c>
      <c r="U8" s="100">
        <v>1968.0228469596796</v>
      </c>
      <c r="V8" s="100">
        <v>5</v>
      </c>
      <c r="W8" s="100">
        <v>1547.9999999999998</v>
      </c>
      <c r="X8" s="100">
        <v>0.89269691873155133</v>
      </c>
      <c r="Y8" s="100">
        <v>276.37896603928829</v>
      </c>
      <c r="Z8" s="100">
        <v>5</v>
      </c>
      <c r="AA8" s="100">
        <v>1547.9999999999998</v>
      </c>
      <c r="AB8" s="100">
        <v>3.9819612700540952</v>
      </c>
      <c r="AC8" s="100">
        <v>1232.8152092087478</v>
      </c>
      <c r="AD8" s="100">
        <v>8.4426001087275147</v>
      </c>
      <c r="AE8" s="100">
        <v>2613.8289936620381</v>
      </c>
      <c r="AF8" s="100">
        <v>4.7242870648098849</v>
      </c>
      <c r="AG8" s="100">
        <v>1462.6392752651402</v>
      </c>
      <c r="AH8" s="100">
        <v>7.808401296900513</v>
      </c>
      <c r="AI8" s="100">
        <v>2417.4810415203988</v>
      </c>
      <c r="AJ8" s="100">
        <v>5.9690371228423471</v>
      </c>
      <c r="AK8" s="100">
        <v>1848.0138932319906</v>
      </c>
      <c r="AL8" s="100">
        <v>4.4980892670394757E-4</v>
      </c>
      <c r="AM8" s="100">
        <v>0.13926084370754216</v>
      </c>
      <c r="AN8" s="100">
        <v>7.0116028939280683</v>
      </c>
      <c r="AO8" s="100">
        <v>2170.7922559601298</v>
      </c>
      <c r="AP8" s="100">
        <v>7</v>
      </c>
      <c r="AQ8" s="100">
        <v>2167.1999999999998</v>
      </c>
      <c r="AR8" s="100">
        <v>4.7807798205414844</v>
      </c>
      <c r="AS8" s="100">
        <v>1480.1294324396433</v>
      </c>
      <c r="AT8" s="100">
        <v>5.8179221143060786</v>
      </c>
      <c r="AU8" s="100">
        <v>1801.2286865891617</v>
      </c>
      <c r="AV8" s="100">
        <v>7.0340525579382733</v>
      </c>
      <c r="AW8" s="100">
        <v>2177.742671937689</v>
      </c>
      <c r="AX8" s="100">
        <v>6.4725634827266143</v>
      </c>
      <c r="AY8" s="100">
        <v>2003.9056542521596</v>
      </c>
      <c r="AZ8" s="100">
        <v>1.5926719909509703</v>
      </c>
      <c r="BA8" s="100">
        <v>493.09124839842036</v>
      </c>
      <c r="BB8" s="100">
        <v>8.113378245276893</v>
      </c>
      <c r="BC8" s="100">
        <v>2511.901904737726</v>
      </c>
      <c r="BD8" s="100">
        <v>6.2950607629316302</v>
      </c>
      <c r="BE8" s="100">
        <v>1948.9508122036325</v>
      </c>
      <c r="BF8" s="100">
        <v>5.0545207319040371</v>
      </c>
      <c r="BG8" s="100">
        <v>1564.8796185974898</v>
      </c>
      <c r="BH8" s="100">
        <v>1.6097886333967142</v>
      </c>
      <c r="BI8" s="100">
        <v>498.39056089962264</v>
      </c>
      <c r="BJ8" s="100">
        <v>11.952590012628399</v>
      </c>
      <c r="BK8" s="100">
        <v>3700.521867909752</v>
      </c>
      <c r="BL8" s="100">
        <v>4.7013874855481408</v>
      </c>
      <c r="BM8" s="100">
        <v>1455.5495655257043</v>
      </c>
      <c r="BN8" s="100">
        <v>8.0896710427821059</v>
      </c>
      <c r="BO8" s="100">
        <v>2504.5621548453396</v>
      </c>
      <c r="BP8" s="100">
        <v>6.7393609758720503</v>
      </c>
      <c r="BQ8" s="100">
        <v>2086.5061581299865</v>
      </c>
      <c r="BR8" s="100">
        <v>5.6604262406583698E-4</v>
      </c>
      <c r="BS8" s="100">
        <v>0.17524679641078311</v>
      </c>
      <c r="BT8" s="100">
        <v>6.7266636267010007</v>
      </c>
      <c r="BU8" s="100">
        <v>2082.5750588266296</v>
      </c>
      <c r="BV8" s="100">
        <v>12.762019874794495</v>
      </c>
      <c r="BW8" s="100">
        <v>3951.1213532363754</v>
      </c>
      <c r="BX8" s="100">
        <v>6</v>
      </c>
      <c r="BY8" s="100">
        <v>1857.6</v>
      </c>
      <c r="BZ8" s="100">
        <v>7</v>
      </c>
      <c r="CA8" s="100">
        <v>2167.1999999999998</v>
      </c>
      <c r="CB8" s="100">
        <v>2.4012843473757925</v>
      </c>
      <c r="CC8" s="100">
        <v>743.43763394754524</v>
      </c>
      <c r="CD8" s="100">
        <v>6.5297930333499648E-4</v>
      </c>
      <c r="CE8" s="100">
        <v>0.2021623923125149</v>
      </c>
      <c r="CF8" s="100">
        <v>9.0003103330493843</v>
      </c>
      <c r="CG8" s="100">
        <v>2786.4960791120889</v>
      </c>
      <c r="CH8" s="100">
        <v>11</v>
      </c>
      <c r="CI8" s="100">
        <v>3405.5999999999995</v>
      </c>
      <c r="CJ8" s="100">
        <v>9.0214084196529107</v>
      </c>
      <c r="CK8" s="100">
        <v>2793.0280467245407</v>
      </c>
      <c r="CL8" s="100">
        <v>7.9553761084750505</v>
      </c>
      <c r="CM8" s="100">
        <v>2462.9844431838756</v>
      </c>
      <c r="CN8" s="100">
        <v>5.6824115060536071</v>
      </c>
      <c r="CO8" s="100">
        <v>1759.2746022741965</v>
      </c>
      <c r="CP8" s="100">
        <v>4.0338106370133628</v>
      </c>
      <c r="CQ8" s="100">
        <v>1248.8677732193371</v>
      </c>
      <c r="CR8" s="100">
        <v>1.9410278562928023</v>
      </c>
      <c r="CS8" s="100">
        <v>600.94222430825153</v>
      </c>
      <c r="CT8" s="100">
        <v>4.159581631265751</v>
      </c>
      <c r="CU8" s="100">
        <v>1287.8064730398764</v>
      </c>
    </row>
    <row r="9" spans="1:99">
      <c r="C9" s="99" t="s">
        <v>175</v>
      </c>
      <c r="D9" s="100">
        <v>6</v>
      </c>
      <c r="E9" s="100">
        <v>4212</v>
      </c>
      <c r="F9" s="100">
        <v>4.7700075654312259</v>
      </c>
      <c r="G9" s="100">
        <v>3348.5453109327204</v>
      </c>
      <c r="H9" s="100">
        <v>6.850095068445655</v>
      </c>
      <c r="I9" s="100">
        <v>4808.7667380488501</v>
      </c>
      <c r="J9" s="100">
        <v>5.0585132443305021</v>
      </c>
      <c r="K9" s="100">
        <v>3551.0762975200123</v>
      </c>
      <c r="L9" s="100">
        <v>5.717926577966443</v>
      </c>
      <c r="M9" s="100">
        <v>4013.9844577324429</v>
      </c>
      <c r="N9" s="100">
        <v>1.7354058119338491</v>
      </c>
      <c r="O9" s="100">
        <v>1218.254879977562</v>
      </c>
      <c r="P9" s="100">
        <v>7.7010058055269575</v>
      </c>
      <c r="Q9" s="100">
        <v>5406.1060754799246</v>
      </c>
      <c r="R9" s="100">
        <v>5.0485649266386794</v>
      </c>
      <c r="S9" s="100">
        <v>3544.0925785003528</v>
      </c>
      <c r="T9" s="100">
        <v>6.3566629423762269</v>
      </c>
      <c r="U9" s="100">
        <v>4462.3773855481113</v>
      </c>
      <c r="V9" s="100">
        <v>5</v>
      </c>
      <c r="W9" s="100">
        <v>3510</v>
      </c>
      <c r="X9" s="100">
        <v>0.89269691873155133</v>
      </c>
      <c r="Y9" s="100">
        <v>626.67323694954905</v>
      </c>
      <c r="Z9" s="100">
        <v>5</v>
      </c>
      <c r="AA9" s="100">
        <v>3510</v>
      </c>
      <c r="AB9" s="100">
        <v>3.3183010583784127</v>
      </c>
      <c r="AC9" s="100">
        <v>2329.4473429816458</v>
      </c>
      <c r="AD9" s="100">
        <v>8.4077034416496463</v>
      </c>
      <c r="AE9" s="100">
        <v>5902.2078160380515</v>
      </c>
      <c r="AF9" s="100">
        <v>5.2492078497887604</v>
      </c>
      <c r="AG9" s="100">
        <v>3684.9439105517099</v>
      </c>
      <c r="AH9" s="100">
        <v>6.808401296900513</v>
      </c>
      <c r="AI9" s="100">
        <v>4779.4977104241598</v>
      </c>
      <c r="AJ9" s="100">
        <v>5.9690371228423471</v>
      </c>
      <c r="AK9" s="100">
        <v>4190.2640602353276</v>
      </c>
      <c r="AL9" s="100">
        <v>4.4682768257137145E-4</v>
      </c>
      <c r="AM9" s="100">
        <v>0.31367303316510275</v>
      </c>
      <c r="AN9" s="100">
        <v>6.8430024116067232</v>
      </c>
      <c r="AO9" s="100">
        <v>4803.7876929479198</v>
      </c>
      <c r="AP9" s="100">
        <v>8</v>
      </c>
      <c r="AQ9" s="100">
        <v>5616</v>
      </c>
      <c r="AR9" s="100">
        <v>4.7807798205414844</v>
      </c>
      <c r="AS9" s="100">
        <v>3356.1074340201221</v>
      </c>
      <c r="AT9" s="100">
        <v>5.0906818500178179</v>
      </c>
      <c r="AU9" s="100">
        <v>3573.658658712508</v>
      </c>
      <c r="AV9" s="100">
        <v>6</v>
      </c>
      <c r="AW9" s="100">
        <v>4212</v>
      </c>
      <c r="AX9" s="100">
        <v>6.4725634827266143</v>
      </c>
      <c r="AY9" s="100">
        <v>4543.739564874083</v>
      </c>
      <c r="AZ9" s="100">
        <v>1.5827090040260723</v>
      </c>
      <c r="BA9" s="100">
        <v>1111.0617208263027</v>
      </c>
      <c r="BB9" s="100">
        <v>8.2370869391965478</v>
      </c>
      <c r="BC9" s="100">
        <v>5782.4350313159766</v>
      </c>
      <c r="BD9" s="100">
        <v>5.395766368227112</v>
      </c>
      <c r="BE9" s="100">
        <v>3787.8279904954325</v>
      </c>
      <c r="BF9" s="100">
        <v>5.8969408538880437</v>
      </c>
      <c r="BG9" s="100">
        <v>4139.6524794294064</v>
      </c>
      <c r="BH9" s="100">
        <v>1.6191092841715882</v>
      </c>
      <c r="BI9" s="100">
        <v>1136.614717488455</v>
      </c>
      <c r="BJ9" s="100">
        <v>11.08867430014674</v>
      </c>
      <c r="BK9" s="100">
        <v>7784.2493587030121</v>
      </c>
      <c r="BL9" s="100">
        <v>4.7013874855481408</v>
      </c>
      <c r="BM9" s="100">
        <v>3300.374014854795</v>
      </c>
      <c r="BN9" s="100">
        <v>7.3542464025291858</v>
      </c>
      <c r="BO9" s="100">
        <v>5162.6809745754881</v>
      </c>
      <c r="BP9" s="100">
        <v>6.7393609758720503</v>
      </c>
      <c r="BQ9" s="100">
        <v>4731.0314050621791</v>
      </c>
      <c r="BR9" s="100">
        <v>4.9864097192987562E-4</v>
      </c>
      <c r="BS9" s="100">
        <v>0.35004596229477269</v>
      </c>
      <c r="BT9" s="100">
        <v>5.3933170430979143</v>
      </c>
      <c r="BU9" s="100">
        <v>3786.1085642547359</v>
      </c>
      <c r="BV9" s="100">
        <v>10.762019874794495</v>
      </c>
      <c r="BW9" s="100">
        <v>7554.9379521057353</v>
      </c>
      <c r="BX9" s="100">
        <v>6</v>
      </c>
      <c r="BY9" s="100">
        <v>4212</v>
      </c>
      <c r="BZ9" s="100">
        <v>6</v>
      </c>
      <c r="CA9" s="100">
        <v>4212</v>
      </c>
      <c r="CB9" s="100">
        <v>2.3904900130490931</v>
      </c>
      <c r="CC9" s="100">
        <v>1678.1239891604635</v>
      </c>
      <c r="CD9" s="100">
        <v>6.5297930333499648E-4</v>
      </c>
      <c r="CE9" s="100">
        <v>0.45839147094116756</v>
      </c>
      <c r="CF9" s="100">
        <v>8.0003546663421528</v>
      </c>
      <c r="CG9" s="100">
        <v>5616.2489757721914</v>
      </c>
      <c r="CH9" s="100">
        <v>10</v>
      </c>
      <c r="CI9" s="100">
        <v>7020</v>
      </c>
      <c r="CJ9" s="100">
        <v>9.0214084196529107</v>
      </c>
      <c r="CK9" s="100">
        <v>6333.0287105963434</v>
      </c>
      <c r="CL9" s="100">
        <v>7.159838497627546</v>
      </c>
      <c r="CM9" s="100">
        <v>5026.2066253345374</v>
      </c>
      <c r="CN9" s="100">
        <v>4.9721100677969066</v>
      </c>
      <c r="CO9" s="100">
        <v>3490.4212675934282</v>
      </c>
      <c r="CP9" s="100">
        <v>4.8405727644160361</v>
      </c>
      <c r="CQ9" s="100">
        <v>3398.0820806200572</v>
      </c>
      <c r="CR9" s="100">
        <v>1.9410278562928023</v>
      </c>
      <c r="CS9" s="100">
        <v>1362.6015551175472</v>
      </c>
      <c r="CT9" s="100">
        <v>4.267174915694584</v>
      </c>
      <c r="CU9" s="100">
        <v>2995.5567908175981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3.9750063045260218</v>
      </c>
      <c r="G10" s="100">
        <v>2165.5834347057767</v>
      </c>
      <c r="H10" s="100">
        <v>6.0889733941739159</v>
      </c>
      <c r="I10" s="100">
        <v>3317.2727051459492</v>
      </c>
      <c r="J10" s="100">
        <v>5.0585132443305021</v>
      </c>
      <c r="K10" s="100">
        <v>2755.8780155112572</v>
      </c>
      <c r="L10" s="100">
        <v>5.717926577966443</v>
      </c>
      <c r="M10" s="100">
        <v>3115.1263996761177</v>
      </c>
      <c r="N10" s="100">
        <v>2.0130162441949682</v>
      </c>
      <c r="O10" s="100">
        <v>1096.6912498374186</v>
      </c>
      <c r="P10" s="100">
        <v>8.7010058055269575</v>
      </c>
      <c r="Q10" s="100">
        <v>4740.3079628510859</v>
      </c>
      <c r="R10" s="100">
        <v>5.0485649266386794</v>
      </c>
      <c r="S10" s="100">
        <v>2750.4581720327524</v>
      </c>
      <c r="T10" s="100">
        <v>6.3566629423762269</v>
      </c>
      <c r="U10" s="100">
        <v>3463.1099710065682</v>
      </c>
      <c r="V10" s="100">
        <v>5</v>
      </c>
      <c r="W10" s="100">
        <v>2724</v>
      </c>
      <c r="X10" s="100">
        <v>0.89790528850212337</v>
      </c>
      <c r="Y10" s="100">
        <v>489.17880117595678</v>
      </c>
      <c r="Z10" s="100">
        <v>5</v>
      </c>
      <c r="AA10" s="100">
        <v>2724</v>
      </c>
      <c r="AB10" s="100">
        <v>3.3183010583784127</v>
      </c>
      <c r="AC10" s="100">
        <v>1807.8104166045591</v>
      </c>
      <c r="AD10" s="100">
        <v>8.4426001087275147</v>
      </c>
      <c r="AE10" s="100">
        <v>4599.5285392347496</v>
      </c>
      <c r="AF10" s="100">
        <v>5.2492078497887604</v>
      </c>
      <c r="AG10" s="100">
        <v>2859.7684365649166</v>
      </c>
      <c r="AH10" s="100">
        <v>7.808401296900513</v>
      </c>
      <c r="AI10" s="100">
        <v>4254.0170265513989</v>
      </c>
      <c r="AJ10" s="100">
        <v>5.9690371228423471</v>
      </c>
      <c r="AK10" s="100">
        <v>3251.9314245245105</v>
      </c>
      <c r="AL10" s="100">
        <v>4.4682768257137145E-4</v>
      </c>
      <c r="AM10" s="100">
        <v>0.24343172146488315</v>
      </c>
      <c r="AN10" s="100">
        <v>7.8430024116067232</v>
      </c>
      <c r="AO10" s="100">
        <v>4272.8677138433422</v>
      </c>
      <c r="AP10" s="100">
        <v>7</v>
      </c>
      <c r="AQ10" s="100">
        <v>3813.5999999999995</v>
      </c>
      <c r="AR10" s="100">
        <v>5.7369357846497806</v>
      </c>
      <c r="AS10" s="100">
        <v>3125.4826154772004</v>
      </c>
      <c r="AT10" s="100">
        <v>5.0906818500178179</v>
      </c>
      <c r="AU10" s="100">
        <v>2773.4034718897069</v>
      </c>
      <c r="AV10" s="100">
        <v>6.0340525579382733</v>
      </c>
      <c r="AW10" s="100">
        <v>3287.3518335647709</v>
      </c>
      <c r="AX10" s="100">
        <v>5.7472813277928818</v>
      </c>
      <c r="AY10" s="100">
        <v>3131.1188673815618</v>
      </c>
      <c r="AZ10" s="100">
        <v>1.5926719909509703</v>
      </c>
      <c r="BA10" s="100">
        <v>867.68770067008859</v>
      </c>
      <c r="BB10" s="100">
        <v>8.113378245276893</v>
      </c>
      <c r="BC10" s="100">
        <v>4420.1684680268509</v>
      </c>
      <c r="BD10" s="100">
        <v>5.395766368227112</v>
      </c>
      <c r="BE10" s="100">
        <v>2939.6135174101305</v>
      </c>
      <c r="BF10" s="100">
        <v>5.0545207319040371</v>
      </c>
      <c r="BG10" s="100">
        <v>2753.7028947413191</v>
      </c>
      <c r="BH10" s="100">
        <v>1.6097886333967142</v>
      </c>
      <c r="BI10" s="100">
        <v>877.01284747452985</v>
      </c>
      <c r="BJ10" s="100">
        <v>10.952590012628399</v>
      </c>
      <c r="BK10" s="100">
        <v>5966.9710388799513</v>
      </c>
      <c r="BL10" s="100">
        <v>4.7013874855481408</v>
      </c>
      <c r="BM10" s="100">
        <v>2561.315902126627</v>
      </c>
      <c r="BN10" s="100">
        <v>7.3542464025291858</v>
      </c>
      <c r="BO10" s="100">
        <v>4006.5934400978999</v>
      </c>
      <c r="BP10" s="100">
        <v>6.7393609758720503</v>
      </c>
      <c r="BQ10" s="100">
        <v>3671.6038596550925</v>
      </c>
      <c r="BR10" s="100">
        <v>4.2974879718401729E-4</v>
      </c>
      <c r="BS10" s="100">
        <v>0.23412714470585261</v>
      </c>
      <c r="BT10" s="100">
        <v>6.7286536393957448</v>
      </c>
      <c r="BU10" s="100">
        <v>3665.7705027428015</v>
      </c>
      <c r="BV10" s="100">
        <v>10.653159892680996</v>
      </c>
      <c r="BW10" s="100">
        <v>5803.8415095326063</v>
      </c>
      <c r="BX10" s="100">
        <v>6</v>
      </c>
      <c r="BY10" s="100">
        <v>3268.7999999999997</v>
      </c>
      <c r="BZ10" s="100">
        <v>7</v>
      </c>
      <c r="CA10" s="100">
        <v>3813.5999999999995</v>
      </c>
      <c r="CB10" s="100">
        <v>2.4012843473757925</v>
      </c>
      <c r="CC10" s="100">
        <v>1308.2197124503316</v>
      </c>
      <c r="CD10" s="100">
        <v>6.5297930333499648E-4</v>
      </c>
      <c r="CE10" s="100">
        <v>0.35574312445690603</v>
      </c>
      <c r="CF10" s="100">
        <v>8.0003546663421528</v>
      </c>
      <c r="CG10" s="100">
        <v>4358.5932222232041</v>
      </c>
      <c r="CH10" s="100">
        <v>11</v>
      </c>
      <c r="CI10" s="100">
        <v>5992.7999999999993</v>
      </c>
      <c r="CJ10" s="100">
        <v>8.2012803815026452</v>
      </c>
      <c r="CK10" s="100">
        <v>4468.0575518426404</v>
      </c>
      <c r="CL10" s="100">
        <v>7.9553761084750505</v>
      </c>
      <c r="CM10" s="100">
        <v>4334.0889038972073</v>
      </c>
      <c r="CN10" s="100">
        <v>5.6824115060536071</v>
      </c>
      <c r="CO10" s="100">
        <v>3095.7777884980051</v>
      </c>
      <c r="CP10" s="100">
        <v>4.8405727644160361</v>
      </c>
      <c r="CQ10" s="100">
        <v>2637.1440420538561</v>
      </c>
      <c r="CR10" s="100">
        <v>2.1836563383294028</v>
      </c>
      <c r="CS10" s="100">
        <v>1189.6559731218586</v>
      </c>
      <c r="CT10" s="100">
        <v>4.159581631265751</v>
      </c>
      <c r="CU10" s="100">
        <v>2266.140072713581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4.7700075654312259</v>
      </c>
      <c r="G11" s="100">
        <v>2541.4600308617569</v>
      </c>
      <c r="H11" s="100">
        <v>6.850095068445655</v>
      </c>
      <c r="I11" s="100">
        <v>3649.7306524678447</v>
      </c>
      <c r="J11" s="100">
        <v>5.0585132443305021</v>
      </c>
      <c r="K11" s="100">
        <v>2695.1758565792911</v>
      </c>
      <c r="L11" s="100">
        <v>4.9010799239712366</v>
      </c>
      <c r="M11" s="100">
        <v>2611.2953834918744</v>
      </c>
      <c r="N11" s="100">
        <v>2.0030529272853776</v>
      </c>
      <c r="O11" s="100">
        <v>1067.2265996576491</v>
      </c>
      <c r="P11" s="100">
        <v>8.7010058055269575</v>
      </c>
      <c r="Q11" s="100">
        <v>4635.8958931847628</v>
      </c>
      <c r="R11" s="100">
        <v>4.4901943234593018</v>
      </c>
      <c r="S11" s="100">
        <v>2392.3755355391158</v>
      </c>
      <c r="T11" s="100">
        <v>6.3566629423762269</v>
      </c>
      <c r="U11" s="100">
        <v>3386.8300156980536</v>
      </c>
      <c r="V11" s="100">
        <v>5</v>
      </c>
      <c r="W11" s="100">
        <v>2664</v>
      </c>
      <c r="X11" s="100">
        <v>0.89790528850212337</v>
      </c>
      <c r="Y11" s="100">
        <v>478.40393771393127</v>
      </c>
      <c r="Z11" s="100">
        <v>5</v>
      </c>
      <c r="AA11" s="100">
        <v>2664</v>
      </c>
      <c r="AB11" s="100">
        <v>3.9819612700540952</v>
      </c>
      <c r="AC11" s="100">
        <v>2121.5889646848218</v>
      </c>
      <c r="AD11" s="100">
        <v>8.4426001087275147</v>
      </c>
      <c r="AE11" s="100">
        <v>4498.2173379300193</v>
      </c>
      <c r="AF11" s="100">
        <v>4.7691043855598814</v>
      </c>
      <c r="AG11" s="100">
        <v>2540.9788166263047</v>
      </c>
      <c r="AH11" s="100">
        <v>7.808401296900513</v>
      </c>
      <c r="AI11" s="100">
        <v>4160.3162109885934</v>
      </c>
      <c r="AJ11" s="100">
        <v>5.9690371228423471</v>
      </c>
      <c r="AK11" s="100">
        <v>3180.3029790504024</v>
      </c>
      <c r="AL11" s="100">
        <v>4.4980892670394757E-4</v>
      </c>
      <c r="AM11" s="100">
        <v>0.23965819614786324</v>
      </c>
      <c r="AN11" s="100">
        <v>6.8430024116067232</v>
      </c>
      <c r="AO11" s="100">
        <v>3645.9516849040619</v>
      </c>
      <c r="AP11" s="100">
        <v>8</v>
      </c>
      <c r="AQ11" s="100">
        <v>4262.3999999999996</v>
      </c>
      <c r="AR11" s="100">
        <v>5.7369357846497806</v>
      </c>
      <c r="AS11" s="100">
        <v>3056.639386061403</v>
      </c>
      <c r="AT11" s="100">
        <v>5.8179221143060786</v>
      </c>
      <c r="AU11" s="100">
        <v>3099.7889025022782</v>
      </c>
      <c r="AV11" s="100">
        <v>6.0340525579382733</v>
      </c>
      <c r="AW11" s="100">
        <v>3214.9432028695119</v>
      </c>
      <c r="AX11" s="100">
        <v>5.7472813277928818</v>
      </c>
      <c r="AY11" s="100">
        <v>3062.1514914480472</v>
      </c>
      <c r="AZ11" s="100">
        <v>1.5926719909509703</v>
      </c>
      <c r="BA11" s="100">
        <v>848.57563677867688</v>
      </c>
      <c r="BB11" s="100">
        <v>8.113378245276893</v>
      </c>
      <c r="BC11" s="100">
        <v>4322.8079290835285</v>
      </c>
      <c r="BD11" s="100">
        <v>5.395766368227112</v>
      </c>
      <c r="BE11" s="100">
        <v>2874.8643209914048</v>
      </c>
      <c r="BF11" s="100">
        <v>5.8969408538880437</v>
      </c>
      <c r="BG11" s="100">
        <v>3141.8900869515496</v>
      </c>
      <c r="BH11" s="100">
        <v>1.6191092841715882</v>
      </c>
      <c r="BI11" s="100">
        <v>862.66142660662206</v>
      </c>
      <c r="BJ11" s="100">
        <v>12.08867430014674</v>
      </c>
      <c r="BK11" s="100">
        <v>6440.845667118183</v>
      </c>
      <c r="BL11" s="100">
        <v>4.7013874855481408</v>
      </c>
      <c r="BM11" s="100">
        <v>2504.8992523000493</v>
      </c>
      <c r="BN11" s="100">
        <v>8.0896710427821059</v>
      </c>
      <c r="BO11" s="100">
        <v>4310.1767315943052</v>
      </c>
      <c r="BP11" s="100">
        <v>7.581781097856056</v>
      </c>
      <c r="BQ11" s="100">
        <v>4039.5729689377063</v>
      </c>
      <c r="BR11" s="100">
        <v>4.9864097192987562E-4</v>
      </c>
      <c r="BS11" s="100">
        <v>0.26567590984423772</v>
      </c>
      <c r="BT11" s="100">
        <v>6.7266636267010007</v>
      </c>
      <c r="BU11" s="100">
        <v>3583.9663803062926</v>
      </c>
      <c r="BV11" s="100">
        <v>11.653159892680996</v>
      </c>
      <c r="BW11" s="100">
        <v>6208.8035908204347</v>
      </c>
      <c r="BX11" s="100">
        <v>6</v>
      </c>
      <c r="BY11" s="100">
        <v>3196.7999999999997</v>
      </c>
      <c r="BZ11" s="100">
        <v>7</v>
      </c>
      <c r="CA11" s="100">
        <v>3729.5999999999995</v>
      </c>
      <c r="CB11" s="100">
        <v>2.6327773146520119</v>
      </c>
      <c r="CC11" s="100">
        <v>1402.7437532465917</v>
      </c>
      <c r="CD11" s="100">
        <v>5.9361754848636045E-4</v>
      </c>
      <c r="CE11" s="100">
        <v>0.3162794298335328</v>
      </c>
      <c r="CF11" s="100">
        <v>9.0003546663421528</v>
      </c>
      <c r="CG11" s="100">
        <v>4795.3889662270985</v>
      </c>
      <c r="CH11" s="100">
        <v>10</v>
      </c>
      <c r="CI11" s="100">
        <v>5328</v>
      </c>
      <c r="CJ11" s="100">
        <v>8.2012803815026452</v>
      </c>
      <c r="CK11" s="100">
        <v>4369.6421872646088</v>
      </c>
      <c r="CL11" s="100">
        <v>7.159838497627546</v>
      </c>
      <c r="CM11" s="100">
        <v>3814.7619515359561</v>
      </c>
      <c r="CN11" s="100">
        <v>5.6824115060536071</v>
      </c>
      <c r="CO11" s="100">
        <v>3027.5888504253617</v>
      </c>
      <c r="CP11" s="100">
        <v>4.0338106370133628</v>
      </c>
      <c r="CQ11" s="100">
        <v>2149.2143074007195</v>
      </c>
      <c r="CR11" s="100">
        <v>1.9410278562928023</v>
      </c>
      <c r="CS11" s="100">
        <v>1034.1796418328049</v>
      </c>
      <c r="CT11" s="100">
        <v>4.159581631265751</v>
      </c>
      <c r="CU11" s="100">
        <v>2216.2250931383919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4.7700075654312259</v>
      </c>
      <c r="G12" s="100">
        <v>2684.560257824694</v>
      </c>
      <c r="H12" s="100">
        <v>6.0889733941739159</v>
      </c>
      <c r="I12" s="100">
        <v>3426.8742262410797</v>
      </c>
      <c r="J12" s="100">
        <v>5.0585132443305021</v>
      </c>
      <c r="K12" s="100">
        <v>2846.9312539092061</v>
      </c>
      <c r="L12" s="100">
        <v>4.9010799239712366</v>
      </c>
      <c r="M12" s="100">
        <v>2758.3277812110118</v>
      </c>
      <c r="N12" s="100">
        <v>1.7354058119338491</v>
      </c>
      <c r="O12" s="100">
        <v>976.68639095637025</v>
      </c>
      <c r="P12" s="100">
        <v>8.7010058055269575</v>
      </c>
      <c r="Q12" s="100">
        <v>4896.9260673505714</v>
      </c>
      <c r="R12" s="100">
        <v>5.0485649266386794</v>
      </c>
      <c r="S12" s="100">
        <v>2841.3323407122484</v>
      </c>
      <c r="T12" s="100">
        <v>6.3566629423762269</v>
      </c>
      <c r="U12" s="100">
        <v>3577.52990396934</v>
      </c>
      <c r="V12" s="100">
        <v>4</v>
      </c>
      <c r="W12" s="100">
        <v>2251.1999999999998</v>
      </c>
      <c r="X12" s="100">
        <v>0.89790528850212337</v>
      </c>
      <c r="Y12" s="100">
        <v>505.34109636899501</v>
      </c>
      <c r="Z12" s="100">
        <v>5</v>
      </c>
      <c r="AA12" s="100">
        <v>2814</v>
      </c>
      <c r="AB12" s="100">
        <v>3.3183010583784127</v>
      </c>
      <c r="AC12" s="100">
        <v>1867.5398356553706</v>
      </c>
      <c r="AD12" s="100">
        <v>7.5316752821516868</v>
      </c>
      <c r="AE12" s="100">
        <v>4238.826848794969</v>
      </c>
      <c r="AF12" s="100">
        <v>4.7242870648098849</v>
      </c>
      <c r="AG12" s="100">
        <v>2658.8287600750032</v>
      </c>
      <c r="AH12" s="100">
        <v>7.9700815562806158</v>
      </c>
      <c r="AI12" s="100">
        <v>4485.5618998747304</v>
      </c>
      <c r="AJ12" s="100">
        <v>6.9638766433160715</v>
      </c>
      <c r="AK12" s="100">
        <v>3919.2697748582846</v>
      </c>
      <c r="AL12" s="100">
        <v>4.4682768257137145E-4</v>
      </c>
      <c r="AM12" s="100">
        <v>0.2514746197511678</v>
      </c>
      <c r="AN12" s="100">
        <v>6.8430024116067232</v>
      </c>
      <c r="AO12" s="100">
        <v>3851.2417572522636</v>
      </c>
      <c r="AP12" s="100">
        <v>8</v>
      </c>
      <c r="AQ12" s="100">
        <v>4502.3999999999996</v>
      </c>
      <c r="AR12" s="100">
        <v>5.7369357846497806</v>
      </c>
      <c r="AS12" s="100">
        <v>3228.747459600896</v>
      </c>
      <c r="AT12" s="100">
        <v>5.0906818500178179</v>
      </c>
      <c r="AU12" s="100">
        <v>2865.0357451900277</v>
      </c>
      <c r="AV12" s="100">
        <v>6.0340525579382733</v>
      </c>
      <c r="AW12" s="100">
        <v>3395.9647796076601</v>
      </c>
      <c r="AX12" s="100">
        <v>6.4725634827266143</v>
      </c>
      <c r="AY12" s="100">
        <v>3642.7587280785383</v>
      </c>
      <c r="AZ12" s="100">
        <v>1.5926719909509703</v>
      </c>
      <c r="BA12" s="100">
        <v>896.35579650720604</v>
      </c>
      <c r="BB12" s="100">
        <v>8.9896695513572382</v>
      </c>
      <c r="BC12" s="100">
        <v>5059.3860235038528</v>
      </c>
      <c r="BD12" s="100">
        <v>5.395766368227112</v>
      </c>
      <c r="BE12" s="100">
        <v>3036.7373120382185</v>
      </c>
      <c r="BF12" s="100">
        <v>5.0545207319040371</v>
      </c>
      <c r="BG12" s="100">
        <v>2844.684267915592</v>
      </c>
      <c r="BH12" s="100">
        <v>1.4272063557718728</v>
      </c>
      <c r="BI12" s="100">
        <v>803.23173702840995</v>
      </c>
      <c r="BJ12" s="100">
        <v>11.952590012628399</v>
      </c>
      <c r="BK12" s="100">
        <v>6726.9176591072619</v>
      </c>
      <c r="BL12" s="100">
        <v>4.7013874855481408</v>
      </c>
      <c r="BM12" s="100">
        <v>2645.9408768664935</v>
      </c>
      <c r="BN12" s="100">
        <v>8.0896710427821059</v>
      </c>
      <c r="BO12" s="100">
        <v>4552.8668628777687</v>
      </c>
      <c r="BP12" s="100">
        <v>6.7393609758720503</v>
      </c>
      <c r="BQ12" s="100">
        <v>3792.9123572207895</v>
      </c>
      <c r="BR12" s="100">
        <v>5.0013149453977264E-4</v>
      </c>
      <c r="BS12" s="100">
        <v>0.28147400512698401</v>
      </c>
      <c r="BT12" s="100">
        <v>6.0849806575053833</v>
      </c>
      <c r="BU12" s="100">
        <v>3424.6271140440294</v>
      </c>
      <c r="BV12" s="100">
        <v>11.762019874794495</v>
      </c>
      <c r="BW12" s="100">
        <v>6619.6647855343417</v>
      </c>
      <c r="BX12" s="100">
        <v>6</v>
      </c>
      <c r="BY12" s="100">
        <v>3376.7999999999997</v>
      </c>
      <c r="BZ12" s="100">
        <v>6</v>
      </c>
      <c r="CA12" s="100">
        <v>3376.7999999999997</v>
      </c>
      <c r="CB12" s="100">
        <v>2.3904900130490931</v>
      </c>
      <c r="CC12" s="100">
        <v>1345.3677793440295</v>
      </c>
      <c r="CD12" s="100">
        <v>6.5297930333499648E-4</v>
      </c>
      <c r="CE12" s="100">
        <v>0.36749675191693598</v>
      </c>
      <c r="CF12" s="100">
        <v>9.0003546663421528</v>
      </c>
      <c r="CG12" s="100">
        <v>5065.3996062173628</v>
      </c>
      <c r="CH12" s="100">
        <v>11</v>
      </c>
      <c r="CI12" s="100">
        <v>6190.7999999999993</v>
      </c>
      <c r="CJ12" s="100">
        <v>9.0214084196529107</v>
      </c>
      <c r="CK12" s="100">
        <v>5077.2486585806573</v>
      </c>
      <c r="CL12" s="100">
        <v>7.159838497627546</v>
      </c>
      <c r="CM12" s="100">
        <v>4029.5571064647825</v>
      </c>
      <c r="CN12" s="100">
        <v>4.9721100677969066</v>
      </c>
      <c r="CO12" s="100">
        <v>2798.3035461560989</v>
      </c>
      <c r="CP12" s="100">
        <v>4.8405727644160361</v>
      </c>
      <c r="CQ12" s="100">
        <v>2724.2743518133448</v>
      </c>
      <c r="CR12" s="100">
        <v>1.9410278562928023</v>
      </c>
      <c r="CS12" s="100">
        <v>1092.410477521589</v>
      </c>
      <c r="CT12" s="100">
        <v>4.1435482210497652</v>
      </c>
      <c r="CU12" s="100">
        <v>2331.9889388068077</v>
      </c>
    </row>
    <row r="13" spans="1:99">
      <c r="C13" s="99" t="s">
        <v>179</v>
      </c>
      <c r="D13" s="100">
        <v>6</v>
      </c>
      <c r="E13" s="100">
        <v>511.20000000000005</v>
      </c>
      <c r="F13" s="100">
        <v>5.565008826336431</v>
      </c>
      <c r="G13" s="100">
        <v>474.13875200386394</v>
      </c>
      <c r="H13" s="100">
        <v>6.850095068445655</v>
      </c>
      <c r="I13" s="100">
        <v>583.62809983156978</v>
      </c>
      <c r="J13" s="100">
        <v>6.5038027427106453</v>
      </c>
      <c r="K13" s="100">
        <v>554.12399367894704</v>
      </c>
      <c r="L13" s="100">
        <v>5.717926577966443</v>
      </c>
      <c r="M13" s="100">
        <v>487.16734444274095</v>
      </c>
      <c r="N13" s="100">
        <v>2.0130162441949682</v>
      </c>
      <c r="O13" s="100">
        <v>171.50898400541129</v>
      </c>
      <c r="P13" s="100">
        <v>8.7010058055269575</v>
      </c>
      <c r="Q13" s="100">
        <v>741.32569463089681</v>
      </c>
      <c r="R13" s="100">
        <v>5.0485649266386794</v>
      </c>
      <c r="S13" s="100">
        <v>430.13773174961551</v>
      </c>
      <c r="T13" s="100">
        <v>6.3566629423762269</v>
      </c>
      <c r="U13" s="100">
        <v>541.58768269045459</v>
      </c>
      <c r="V13" s="100">
        <v>5</v>
      </c>
      <c r="W13" s="100">
        <v>426</v>
      </c>
      <c r="X13" s="100">
        <v>0.89790528850212337</v>
      </c>
      <c r="Y13" s="100">
        <v>76.501530580380916</v>
      </c>
      <c r="Z13" s="100">
        <v>5</v>
      </c>
      <c r="AA13" s="100">
        <v>426</v>
      </c>
      <c r="AB13" s="100">
        <v>3.3183010583784127</v>
      </c>
      <c r="AC13" s="100">
        <v>282.71925017384075</v>
      </c>
      <c r="AD13" s="100">
        <v>8.4426001087275147</v>
      </c>
      <c r="AE13" s="100">
        <v>719.3095292635843</v>
      </c>
      <c r="AF13" s="100">
        <v>5.2492078497887604</v>
      </c>
      <c r="AG13" s="100">
        <v>447.23250880200243</v>
      </c>
      <c r="AH13" s="100">
        <v>7.808401296900513</v>
      </c>
      <c r="AI13" s="100">
        <v>665.27579049592373</v>
      </c>
      <c r="AJ13" s="100">
        <v>5.9690371228423471</v>
      </c>
      <c r="AK13" s="100">
        <v>508.56196286616802</v>
      </c>
      <c r="AL13" s="100">
        <v>5.0682718048254076E-4</v>
      </c>
      <c r="AM13" s="100">
        <v>4.3181675777112474E-2</v>
      </c>
      <c r="AN13" s="100">
        <v>7.0116028939280683</v>
      </c>
      <c r="AO13" s="100">
        <v>597.38856656267149</v>
      </c>
      <c r="AP13" s="100">
        <v>7</v>
      </c>
      <c r="AQ13" s="100">
        <v>596.4</v>
      </c>
      <c r="AR13" s="100">
        <v>5.7369357846497806</v>
      </c>
      <c r="AS13" s="100">
        <v>488.78692885216134</v>
      </c>
      <c r="AT13" s="100">
        <v>5.0906818500178179</v>
      </c>
      <c r="AU13" s="100">
        <v>433.72609362151809</v>
      </c>
      <c r="AV13" s="100">
        <v>6.0340525579382733</v>
      </c>
      <c r="AW13" s="100">
        <v>514.10127793634092</v>
      </c>
      <c r="AX13" s="100">
        <v>5.7472813277928818</v>
      </c>
      <c r="AY13" s="100">
        <v>489.66836912795355</v>
      </c>
      <c r="AZ13" s="100">
        <v>1.5827090040260723</v>
      </c>
      <c r="BA13" s="100">
        <v>134.84680714302135</v>
      </c>
      <c r="BB13" s="100">
        <v>8.113378245276893</v>
      </c>
      <c r="BC13" s="100">
        <v>691.25982649759135</v>
      </c>
      <c r="BD13" s="100">
        <v>5.395766368227112</v>
      </c>
      <c r="BE13" s="100">
        <v>459.71929457294993</v>
      </c>
      <c r="BF13" s="100">
        <v>5.0545207319040371</v>
      </c>
      <c r="BG13" s="100">
        <v>430.64516635822395</v>
      </c>
      <c r="BH13" s="100">
        <v>1.6097886333967142</v>
      </c>
      <c r="BI13" s="100">
        <v>137.15399156540005</v>
      </c>
      <c r="BJ13" s="100">
        <v>12.952590012628399</v>
      </c>
      <c r="BK13" s="100">
        <v>1103.5606690759396</v>
      </c>
      <c r="BL13" s="100">
        <v>5.4849520664728315</v>
      </c>
      <c r="BM13" s="100">
        <v>467.31791606348526</v>
      </c>
      <c r="BN13" s="100">
        <v>7.3542464025291858</v>
      </c>
      <c r="BO13" s="100">
        <v>626.58179349548664</v>
      </c>
      <c r="BP13" s="100">
        <v>6.7393609758720503</v>
      </c>
      <c r="BQ13" s="100">
        <v>574.19355514429867</v>
      </c>
      <c r="BR13" s="100">
        <v>5.6902366928563103E-4</v>
      </c>
      <c r="BS13" s="100">
        <v>4.8480816623135768E-2</v>
      </c>
      <c r="BT13" s="100">
        <v>6.6766829814891508</v>
      </c>
      <c r="BU13" s="100">
        <v>568.85339002287571</v>
      </c>
      <c r="BV13" s="100">
        <v>11.762019874794495</v>
      </c>
      <c r="BW13" s="100">
        <v>1002.124093332491</v>
      </c>
      <c r="BX13" s="100">
        <v>6</v>
      </c>
      <c r="BY13" s="100">
        <v>511.20000000000005</v>
      </c>
      <c r="BZ13" s="100">
        <v>7</v>
      </c>
      <c r="CA13" s="100">
        <v>596.4</v>
      </c>
      <c r="CB13" s="100">
        <v>2.8534759476015323</v>
      </c>
      <c r="CC13" s="100">
        <v>243.11615073565056</v>
      </c>
      <c r="CD13" s="100">
        <v>5.9361754848636045E-4</v>
      </c>
      <c r="CE13" s="100">
        <v>5.057621513103791E-2</v>
      </c>
      <c r="CF13" s="100">
        <v>9.0003989996349212</v>
      </c>
      <c r="CG13" s="100">
        <v>766.83399476889531</v>
      </c>
      <c r="CH13" s="100">
        <v>11</v>
      </c>
      <c r="CI13" s="100">
        <v>937.2</v>
      </c>
      <c r="CJ13" s="100">
        <v>9.0214084196529107</v>
      </c>
      <c r="CK13" s="100">
        <v>768.62399735442807</v>
      </c>
      <c r="CL13" s="100">
        <v>7.9553761084750505</v>
      </c>
      <c r="CM13" s="100">
        <v>677.79804444207434</v>
      </c>
      <c r="CN13" s="100">
        <v>5.6824115060536071</v>
      </c>
      <c r="CO13" s="100">
        <v>484.14146031576735</v>
      </c>
      <c r="CP13" s="100">
        <v>4.8405727644160361</v>
      </c>
      <c r="CQ13" s="100">
        <v>412.41679952824632</v>
      </c>
      <c r="CR13" s="100">
        <v>1.9410278562928023</v>
      </c>
      <c r="CS13" s="100">
        <v>165.37557335614676</v>
      </c>
      <c r="CT13" s="100">
        <v>3.675709100343501</v>
      </c>
      <c r="CU13" s="100">
        <v>313.17041534926631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4.7700075654312259</v>
      </c>
      <c r="G14" s="100">
        <v>2329.6716949566107</v>
      </c>
      <c r="H14" s="100">
        <v>6.850095068445655</v>
      </c>
      <c r="I14" s="100">
        <v>3345.5864314288578</v>
      </c>
      <c r="J14" s="100">
        <v>5.7811579935205737</v>
      </c>
      <c r="K14" s="100">
        <v>2823.5175640354482</v>
      </c>
      <c r="L14" s="100">
        <v>4.9010799239712366</v>
      </c>
      <c r="M14" s="100">
        <v>2393.6874348675519</v>
      </c>
      <c r="N14" s="100">
        <v>2.0030529272853776</v>
      </c>
      <c r="O14" s="100">
        <v>978.29104968617844</v>
      </c>
      <c r="P14" s="100">
        <v>9.7010058055269575</v>
      </c>
      <c r="Q14" s="100">
        <v>4737.9712354193662</v>
      </c>
      <c r="R14" s="100">
        <v>5.0485649266386794</v>
      </c>
      <c r="S14" s="100">
        <v>2465.7191101703311</v>
      </c>
      <c r="T14" s="100">
        <v>6.3566629423762269</v>
      </c>
      <c r="U14" s="100">
        <v>3104.5941810565491</v>
      </c>
      <c r="V14" s="100">
        <v>5</v>
      </c>
      <c r="W14" s="100">
        <v>2442</v>
      </c>
      <c r="X14" s="100">
        <v>0.89269691873155133</v>
      </c>
      <c r="Y14" s="100">
        <v>435.99317510848965</v>
      </c>
      <c r="Z14" s="100">
        <v>5</v>
      </c>
      <c r="AA14" s="100">
        <v>2442</v>
      </c>
      <c r="AB14" s="100">
        <v>3.3183010583784127</v>
      </c>
      <c r="AC14" s="100">
        <v>1620.6582369120167</v>
      </c>
      <c r="AD14" s="100">
        <v>8.4077034416496463</v>
      </c>
      <c r="AE14" s="100">
        <v>4106.3223609016868</v>
      </c>
      <c r="AF14" s="100">
        <v>4.7242870648098849</v>
      </c>
      <c r="AG14" s="100">
        <v>2307.3418024531475</v>
      </c>
      <c r="AH14" s="100">
        <v>6.808401296900513</v>
      </c>
      <c r="AI14" s="100">
        <v>3325.2231934062106</v>
      </c>
      <c r="AJ14" s="100">
        <v>6.9638766433160715</v>
      </c>
      <c r="AK14" s="100">
        <v>3401.1573525955691</v>
      </c>
      <c r="AL14" s="100">
        <v>5.0682718048254076E-4</v>
      </c>
      <c r="AM14" s="100">
        <v>0.2475343949476729</v>
      </c>
      <c r="AN14" s="100">
        <v>6.8430024116067232</v>
      </c>
      <c r="AO14" s="100">
        <v>3342.1223778287235</v>
      </c>
      <c r="AP14" s="100">
        <v>8</v>
      </c>
      <c r="AQ14" s="100">
        <v>3907.2</v>
      </c>
      <c r="AR14" s="100">
        <v>5.7369357846497806</v>
      </c>
      <c r="AS14" s="100">
        <v>2801.9194372229526</v>
      </c>
      <c r="AT14" s="100">
        <v>5.0906818500178179</v>
      </c>
      <c r="AU14" s="100">
        <v>2486.2890155487021</v>
      </c>
      <c r="AV14" s="100">
        <v>6.0340525579382733</v>
      </c>
      <c r="AW14" s="100">
        <v>2947.0312692970524</v>
      </c>
      <c r="AX14" s="100">
        <v>5.7472813277928818</v>
      </c>
      <c r="AY14" s="100">
        <v>2806.9722004940431</v>
      </c>
      <c r="AZ14" s="100">
        <v>1.5827090040260723</v>
      </c>
      <c r="BA14" s="100">
        <v>772.99507756633363</v>
      </c>
      <c r="BB14" s="100">
        <v>9.113378245276893</v>
      </c>
      <c r="BC14" s="100">
        <v>4450.9739349932343</v>
      </c>
      <c r="BD14" s="100">
        <v>5.395766368227112</v>
      </c>
      <c r="BE14" s="100">
        <v>2635.2922942421214</v>
      </c>
      <c r="BF14" s="100">
        <v>5.0545207319040371</v>
      </c>
      <c r="BG14" s="100">
        <v>2468.6279254619317</v>
      </c>
      <c r="BH14" s="100">
        <v>1.6097886333967142</v>
      </c>
      <c r="BI14" s="100">
        <v>786.2207685509552</v>
      </c>
      <c r="BJ14" s="100">
        <v>11.08867430014674</v>
      </c>
      <c r="BK14" s="100">
        <v>5415.7085281916679</v>
      </c>
      <c r="BL14" s="100">
        <v>4.7013874855481408</v>
      </c>
      <c r="BM14" s="100">
        <v>2296.1576479417117</v>
      </c>
      <c r="BN14" s="100">
        <v>8.0896710427821059</v>
      </c>
      <c r="BO14" s="100">
        <v>3950.9953372947803</v>
      </c>
      <c r="BP14" s="100">
        <v>6.7393609758720503</v>
      </c>
      <c r="BQ14" s="100">
        <v>3291.5039006159091</v>
      </c>
      <c r="BR14" s="100">
        <v>4.9864097192987562E-4</v>
      </c>
      <c r="BS14" s="100">
        <v>0.24353625069055124</v>
      </c>
      <c r="BT14" s="100">
        <v>5.4492677263939964</v>
      </c>
      <c r="BU14" s="100">
        <v>2661.4223575708279</v>
      </c>
      <c r="BV14" s="100">
        <v>11.653159892680996</v>
      </c>
      <c r="BW14" s="100">
        <v>5691.4032915853986</v>
      </c>
      <c r="BX14" s="100">
        <v>6</v>
      </c>
      <c r="BY14" s="100">
        <v>2930.3999999999996</v>
      </c>
      <c r="BZ14" s="100">
        <v>7</v>
      </c>
      <c r="CA14" s="100">
        <v>3418.7999999999997</v>
      </c>
      <c r="CB14" s="100">
        <v>2.8642702819282317</v>
      </c>
      <c r="CC14" s="100">
        <v>1398.9096056937483</v>
      </c>
      <c r="CD14" s="100">
        <v>5.9361754848636045E-4</v>
      </c>
      <c r="CE14" s="100">
        <v>0.28992281068073844</v>
      </c>
      <c r="CF14" s="100">
        <v>9.0003546663421528</v>
      </c>
      <c r="CG14" s="100">
        <v>4395.7732190415072</v>
      </c>
      <c r="CH14" s="100">
        <v>11</v>
      </c>
      <c r="CI14" s="100">
        <v>5372.4</v>
      </c>
      <c r="CJ14" s="100">
        <v>9.8415364578031745</v>
      </c>
      <c r="CK14" s="100">
        <v>4806.6064059910705</v>
      </c>
      <c r="CL14" s="100">
        <v>7.159838497627546</v>
      </c>
      <c r="CM14" s="100">
        <v>3496.8651222412932</v>
      </c>
      <c r="CN14" s="100">
        <v>5.6824115060536071</v>
      </c>
      <c r="CO14" s="100">
        <v>2775.2897795565814</v>
      </c>
      <c r="CP14" s="100">
        <v>4.8405727644160361</v>
      </c>
      <c r="CQ14" s="100">
        <v>2364.135738140792</v>
      </c>
      <c r="CR14" s="100">
        <v>1.9410278562928023</v>
      </c>
      <c r="CS14" s="100">
        <v>947.99800501340462</v>
      </c>
      <c r="CT14" s="100">
        <v>4.267174915694584</v>
      </c>
      <c r="CU14" s="100">
        <v>2084.0882288252346</v>
      </c>
    </row>
    <row r="15" spans="1:99">
      <c r="C15" s="99" t="s">
        <v>181</v>
      </c>
      <c r="D15" s="100">
        <v>6</v>
      </c>
      <c r="E15" s="100">
        <v>4579.2</v>
      </c>
      <c r="F15" s="100">
        <v>3.9750063045260218</v>
      </c>
      <c r="G15" s="100">
        <v>3033.7248116142596</v>
      </c>
      <c r="H15" s="100">
        <v>6.0889733941739159</v>
      </c>
      <c r="I15" s="100">
        <v>4647.1044944335326</v>
      </c>
      <c r="J15" s="100">
        <v>5.0585132443305021</v>
      </c>
      <c r="K15" s="100">
        <v>3860.6573080730391</v>
      </c>
      <c r="L15" s="100">
        <v>5.717926577966443</v>
      </c>
      <c r="M15" s="100">
        <v>4363.9215643039888</v>
      </c>
      <c r="N15" s="100">
        <v>2.0030529272853776</v>
      </c>
      <c r="O15" s="100">
        <v>1528.7299941042002</v>
      </c>
      <c r="P15" s="100">
        <v>8.7010058055269575</v>
      </c>
      <c r="Q15" s="100">
        <v>6640.6076307781732</v>
      </c>
      <c r="R15" s="100">
        <v>5.0485649266386794</v>
      </c>
      <c r="S15" s="100">
        <v>3853.0647520106399</v>
      </c>
      <c r="T15" s="100">
        <v>6.3566629423762269</v>
      </c>
      <c r="U15" s="100">
        <v>4851.4051576215361</v>
      </c>
      <c r="V15" s="100">
        <v>5</v>
      </c>
      <c r="W15" s="100">
        <v>3815.9999999999995</v>
      </c>
      <c r="X15" s="100">
        <v>0.72040757870992755</v>
      </c>
      <c r="Y15" s="100">
        <v>549.81506407141671</v>
      </c>
      <c r="Z15" s="100">
        <v>5</v>
      </c>
      <c r="AA15" s="100">
        <v>3815.9999999999995</v>
      </c>
      <c r="AB15" s="100">
        <v>3.3183010583784127</v>
      </c>
      <c r="AC15" s="100">
        <v>2532.5273677544042</v>
      </c>
      <c r="AD15" s="100">
        <v>8.4077034416496463</v>
      </c>
      <c r="AE15" s="100">
        <v>6416.7592666670098</v>
      </c>
      <c r="AF15" s="100">
        <v>4.7242870648098849</v>
      </c>
      <c r="AG15" s="100">
        <v>3605.575887862904</v>
      </c>
      <c r="AH15" s="100">
        <v>7.9700815562806158</v>
      </c>
      <c r="AI15" s="100">
        <v>6082.7662437533654</v>
      </c>
      <c r="AJ15" s="100">
        <v>5.9690371228423471</v>
      </c>
      <c r="AK15" s="100">
        <v>4555.5691321532786</v>
      </c>
      <c r="AL15" s="100">
        <v>4.4980892670394757E-4</v>
      </c>
      <c r="AM15" s="100">
        <v>0.34329417286045277</v>
      </c>
      <c r="AN15" s="100">
        <v>7.0116028939280683</v>
      </c>
      <c r="AO15" s="100">
        <v>5351.2553286459015</v>
      </c>
      <c r="AP15" s="100">
        <v>7</v>
      </c>
      <c r="AQ15" s="100">
        <v>5342.4</v>
      </c>
      <c r="AR15" s="100">
        <v>5.7369357846497806</v>
      </c>
      <c r="AS15" s="100">
        <v>4378.4293908447125</v>
      </c>
      <c r="AT15" s="100">
        <v>4.3634415857295581</v>
      </c>
      <c r="AU15" s="100">
        <v>3330.1786182287983</v>
      </c>
      <c r="AV15" s="100">
        <v>6.0340525579382733</v>
      </c>
      <c r="AW15" s="100">
        <v>4605.1889122184893</v>
      </c>
      <c r="AX15" s="100">
        <v>5.6355636205834232</v>
      </c>
      <c r="AY15" s="100">
        <v>4301.0621552292678</v>
      </c>
      <c r="AZ15" s="100">
        <v>1.793154168004957</v>
      </c>
      <c r="BA15" s="100">
        <v>1368.5352610213831</v>
      </c>
      <c r="BB15" s="100">
        <v>7.113378245276893</v>
      </c>
      <c r="BC15" s="100">
        <v>5428.9302767953241</v>
      </c>
      <c r="BD15" s="100">
        <v>5.395766368227112</v>
      </c>
      <c r="BE15" s="100">
        <v>4118.0488922309314</v>
      </c>
      <c r="BF15" s="100">
        <v>5.8969408538880437</v>
      </c>
      <c r="BG15" s="100">
        <v>4500.5452596873547</v>
      </c>
      <c r="BH15" s="100">
        <v>1.6097886333967142</v>
      </c>
      <c r="BI15" s="100">
        <v>1228.5906850083722</v>
      </c>
      <c r="BJ15" s="100">
        <v>9.9525900126283986</v>
      </c>
      <c r="BK15" s="100">
        <v>7595.8166976379935</v>
      </c>
      <c r="BL15" s="100">
        <v>4.7013874855481408</v>
      </c>
      <c r="BM15" s="100">
        <v>3588.0989289703407</v>
      </c>
      <c r="BN15" s="100">
        <v>6.6188217622762675</v>
      </c>
      <c r="BO15" s="100">
        <v>5051.4847689692469</v>
      </c>
      <c r="BP15" s="100">
        <v>6.7393609758720503</v>
      </c>
      <c r="BQ15" s="100">
        <v>5143.4802967855485</v>
      </c>
      <c r="BR15" s="100">
        <v>4.9864097192987562E-4</v>
      </c>
      <c r="BS15" s="100">
        <v>0.38056278977688102</v>
      </c>
      <c r="BT15" s="100">
        <v>5.3933170430979143</v>
      </c>
      <c r="BU15" s="100">
        <v>4116.1795672923281</v>
      </c>
      <c r="BV15" s="100">
        <v>11.762019874794495</v>
      </c>
      <c r="BW15" s="100">
        <v>8976.7735684431573</v>
      </c>
      <c r="BX15" s="100">
        <v>5</v>
      </c>
      <c r="BY15" s="100">
        <v>3815.9999999999995</v>
      </c>
      <c r="BZ15" s="100">
        <v>7</v>
      </c>
      <c r="CA15" s="100">
        <v>5342.4</v>
      </c>
      <c r="CB15" s="100">
        <v>2.1589970457728733</v>
      </c>
      <c r="CC15" s="100">
        <v>1647.7465453338568</v>
      </c>
      <c r="CD15" s="100">
        <v>5.9361754848636045E-4</v>
      </c>
      <c r="CE15" s="100">
        <v>0.45304891300479028</v>
      </c>
      <c r="CF15" s="100">
        <v>8.0003546663421528</v>
      </c>
      <c r="CG15" s="100">
        <v>6105.8706813523304</v>
      </c>
      <c r="CH15" s="100">
        <v>10</v>
      </c>
      <c r="CI15" s="100">
        <v>7631.9999999999991</v>
      </c>
      <c r="CJ15" s="100">
        <v>9.0214084196529107</v>
      </c>
      <c r="CK15" s="100">
        <v>6885.138905879101</v>
      </c>
      <c r="CL15" s="100">
        <v>6.3643008867800406</v>
      </c>
      <c r="CM15" s="100">
        <v>4857.2344367905262</v>
      </c>
      <c r="CN15" s="100">
        <v>4.9721100677969066</v>
      </c>
      <c r="CO15" s="100">
        <v>3794.7144037425987</v>
      </c>
      <c r="CP15" s="100">
        <v>4.8405727644160361</v>
      </c>
      <c r="CQ15" s="100">
        <v>3694.3251338023183</v>
      </c>
      <c r="CR15" s="100">
        <v>1.9410278562928023</v>
      </c>
      <c r="CS15" s="100">
        <v>1481.3924599226666</v>
      </c>
      <c r="CT15" s="100">
        <v>4.159581631265751</v>
      </c>
      <c r="CU15" s="100">
        <v>3174.5927009820207</v>
      </c>
    </row>
    <row r="16" spans="1:99">
      <c r="C16" s="99" t="s">
        <v>182</v>
      </c>
      <c r="D16" s="100">
        <v>6</v>
      </c>
      <c r="E16" s="100">
        <v>2044.8000000000002</v>
      </c>
      <c r="F16" s="100">
        <v>5.565008826336431</v>
      </c>
      <c r="G16" s="100">
        <v>1896.5550080154558</v>
      </c>
      <c r="H16" s="100">
        <v>6.850095068445655</v>
      </c>
      <c r="I16" s="100">
        <v>2334.5123993262791</v>
      </c>
      <c r="J16" s="100">
        <v>5.7811579935205737</v>
      </c>
      <c r="K16" s="100">
        <v>1970.2186441918116</v>
      </c>
      <c r="L16" s="100">
        <v>5.717926577966443</v>
      </c>
      <c r="M16" s="100">
        <v>1948.6693777709638</v>
      </c>
      <c r="N16" s="100">
        <v>1.7354058119338491</v>
      </c>
      <c r="O16" s="100">
        <v>591.42630070705582</v>
      </c>
      <c r="P16" s="100">
        <v>8.841206966632349</v>
      </c>
      <c r="Q16" s="100">
        <v>3013.0833342283045</v>
      </c>
      <c r="R16" s="100">
        <v>5.6069355298180588</v>
      </c>
      <c r="S16" s="100">
        <v>1910.8436285619946</v>
      </c>
      <c r="T16" s="100">
        <v>6.3566629423762269</v>
      </c>
      <c r="U16" s="100">
        <v>2166.3507307618183</v>
      </c>
      <c r="V16" s="100">
        <v>5</v>
      </c>
      <c r="W16" s="100">
        <v>1704</v>
      </c>
      <c r="X16" s="100">
        <v>0.89530110361683723</v>
      </c>
      <c r="Y16" s="100">
        <v>305.11861611261816</v>
      </c>
      <c r="Z16" s="100">
        <v>5</v>
      </c>
      <c r="AA16" s="100">
        <v>1704</v>
      </c>
      <c r="AB16" s="100">
        <v>3.3183010583784127</v>
      </c>
      <c r="AC16" s="100">
        <v>1130.877000695363</v>
      </c>
      <c r="AD16" s="100">
        <v>8.4426001087275147</v>
      </c>
      <c r="AE16" s="100">
        <v>2877.2381170543372</v>
      </c>
      <c r="AF16" s="100">
        <v>5.2492078497887604</v>
      </c>
      <c r="AG16" s="100">
        <v>1788.9300352080097</v>
      </c>
      <c r="AH16" s="100">
        <v>7.808401296900513</v>
      </c>
      <c r="AI16" s="100">
        <v>2661.1031619836949</v>
      </c>
      <c r="AJ16" s="100">
        <v>5.9690371228423471</v>
      </c>
      <c r="AK16" s="100">
        <v>2034.2478514646721</v>
      </c>
      <c r="AL16" s="100">
        <v>4.4384643843879522E-4</v>
      </c>
      <c r="AM16" s="100">
        <v>0.15126286621994142</v>
      </c>
      <c r="AN16" s="100">
        <v>7.0116028939280683</v>
      </c>
      <c r="AO16" s="100">
        <v>2389.5542662506859</v>
      </c>
      <c r="AP16" s="100">
        <v>7</v>
      </c>
      <c r="AQ16" s="100">
        <v>2385.6</v>
      </c>
      <c r="AR16" s="100">
        <v>5.7369357846497806</v>
      </c>
      <c r="AS16" s="100">
        <v>1955.1477154086454</v>
      </c>
      <c r="AT16" s="100">
        <v>5.8179221143060786</v>
      </c>
      <c r="AU16" s="100">
        <v>1982.7478565555116</v>
      </c>
      <c r="AV16" s="100">
        <v>6.0340525579382733</v>
      </c>
      <c r="AW16" s="100">
        <v>2056.4051117453637</v>
      </c>
      <c r="AX16" s="100">
        <v>6.3608457755171557</v>
      </c>
      <c r="AY16" s="100">
        <v>2167.7762402962467</v>
      </c>
      <c r="AZ16" s="100">
        <v>1.8130801418547531</v>
      </c>
      <c r="BA16" s="100">
        <v>617.89771234409989</v>
      </c>
      <c r="BB16" s="100">
        <v>7.9896695513572382</v>
      </c>
      <c r="BC16" s="100">
        <v>2722.8793831025469</v>
      </c>
      <c r="BD16" s="100">
        <v>5.395766368227112</v>
      </c>
      <c r="BE16" s="100">
        <v>1838.8771782917997</v>
      </c>
      <c r="BF16" s="100">
        <v>5.0545207319040371</v>
      </c>
      <c r="BG16" s="100">
        <v>1722.5806654328958</v>
      </c>
      <c r="BH16" s="100">
        <v>1.6097886333967142</v>
      </c>
      <c r="BI16" s="100">
        <v>548.61596626160019</v>
      </c>
      <c r="BJ16" s="100">
        <v>11.952590012628399</v>
      </c>
      <c r="BK16" s="100">
        <v>4073.4426763037582</v>
      </c>
      <c r="BL16" s="100">
        <v>4.7013874855481408</v>
      </c>
      <c r="BM16" s="100">
        <v>1602.2328550748064</v>
      </c>
      <c r="BN16" s="100">
        <v>7.3542464025291858</v>
      </c>
      <c r="BO16" s="100">
        <v>2506.3271739819465</v>
      </c>
      <c r="BP16" s="100">
        <v>6.7393609758720503</v>
      </c>
      <c r="BQ16" s="100">
        <v>2296.7742205771947</v>
      </c>
      <c r="BR16" s="100">
        <v>5.6902366928563103E-4</v>
      </c>
      <c r="BS16" s="100">
        <v>0.19392326649254307</v>
      </c>
      <c r="BT16" s="100">
        <v>6.7286536393957448</v>
      </c>
      <c r="BU16" s="100">
        <v>2293.12516030607</v>
      </c>
      <c r="BV16" s="100">
        <v>11.762019874794495</v>
      </c>
      <c r="BW16" s="100">
        <v>4008.4963733299642</v>
      </c>
      <c r="BX16" s="100">
        <v>6</v>
      </c>
      <c r="BY16" s="100">
        <v>2044.8000000000002</v>
      </c>
      <c r="BZ16" s="100">
        <v>7</v>
      </c>
      <c r="CA16" s="100">
        <v>2385.6</v>
      </c>
      <c r="CB16" s="100">
        <v>2.8534759476015323</v>
      </c>
      <c r="CC16" s="100">
        <v>972.46460294260226</v>
      </c>
      <c r="CD16" s="100">
        <v>7.1234105818363252E-4</v>
      </c>
      <c r="CE16" s="100">
        <v>0.24276583262898196</v>
      </c>
      <c r="CF16" s="100">
        <v>8.0003989996349212</v>
      </c>
      <c r="CG16" s="100">
        <v>2726.5359790755811</v>
      </c>
      <c r="CH16" s="100">
        <v>10</v>
      </c>
      <c r="CI16" s="100">
        <v>3408</v>
      </c>
      <c r="CJ16" s="100">
        <v>9.8415364578031745</v>
      </c>
      <c r="CK16" s="100">
        <v>3353.9956248193221</v>
      </c>
      <c r="CL16" s="100">
        <v>7.9553761084750505</v>
      </c>
      <c r="CM16" s="100">
        <v>2711.1921777682974</v>
      </c>
      <c r="CN16" s="100">
        <v>5.6824115060536071</v>
      </c>
      <c r="CO16" s="100">
        <v>1936.5658412630694</v>
      </c>
      <c r="CP16" s="100">
        <v>4.8405727644160361</v>
      </c>
      <c r="CQ16" s="100">
        <v>1649.6671981129853</v>
      </c>
      <c r="CR16" s="100">
        <v>1.9410278562928023</v>
      </c>
      <c r="CS16" s="100">
        <v>661.50229342458704</v>
      </c>
      <c r="CT16" s="100">
        <v>4.267174915694584</v>
      </c>
      <c r="CU16" s="100">
        <v>1454.2532112687143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4.7700075654312259</v>
      </c>
      <c r="G17" s="100">
        <v>2014.8511956381496</v>
      </c>
      <c r="H17" s="100">
        <v>6.850095068445655</v>
      </c>
      <c r="I17" s="100">
        <v>2893.4801569114443</v>
      </c>
      <c r="J17" s="100">
        <v>5.0585132443305021</v>
      </c>
      <c r="K17" s="100">
        <v>2136.7159944052041</v>
      </c>
      <c r="L17" s="100">
        <v>5.717926577966443</v>
      </c>
      <c r="M17" s="100">
        <v>2415.2521865330255</v>
      </c>
      <c r="N17" s="100">
        <v>2.0130162441949682</v>
      </c>
      <c r="O17" s="100">
        <v>850.29806154795449</v>
      </c>
      <c r="P17" s="100">
        <v>7.7010058055269575</v>
      </c>
      <c r="Q17" s="100">
        <v>3252.9048522545868</v>
      </c>
      <c r="R17" s="100">
        <v>4.4901943234593018</v>
      </c>
      <c r="S17" s="100">
        <v>1896.658082229209</v>
      </c>
      <c r="T17" s="100">
        <v>6.2972191186468551</v>
      </c>
      <c r="U17" s="100">
        <v>2659.9453557164315</v>
      </c>
      <c r="V17" s="100">
        <v>5</v>
      </c>
      <c r="W17" s="100">
        <v>2112</v>
      </c>
      <c r="X17" s="100">
        <v>0.89790528850212337</v>
      </c>
      <c r="Y17" s="100">
        <v>379.27519386329686</v>
      </c>
      <c r="Z17" s="100">
        <v>5</v>
      </c>
      <c r="AA17" s="100">
        <v>2112</v>
      </c>
      <c r="AB17" s="100">
        <v>3.3183010583784127</v>
      </c>
      <c r="AC17" s="100">
        <v>1401.6503670590414</v>
      </c>
      <c r="AD17" s="100">
        <v>8.4426001087275147</v>
      </c>
      <c r="AE17" s="100">
        <v>3566.1542859265019</v>
      </c>
      <c r="AF17" s="100">
        <v>4.7242870648098849</v>
      </c>
      <c r="AG17" s="100">
        <v>1995.5388561756952</v>
      </c>
      <c r="AH17" s="100">
        <v>7.808401296900513</v>
      </c>
      <c r="AI17" s="100">
        <v>3298.2687078107765</v>
      </c>
      <c r="AJ17" s="100">
        <v>6.9638766433160715</v>
      </c>
      <c r="AK17" s="100">
        <v>2941.5414941367085</v>
      </c>
      <c r="AL17" s="100">
        <v>4.4682768257137145E-4</v>
      </c>
      <c r="AM17" s="100">
        <v>0.18874001311814728</v>
      </c>
      <c r="AN17" s="100">
        <v>7.0116028939280683</v>
      </c>
      <c r="AO17" s="100">
        <v>2961.701062395216</v>
      </c>
      <c r="AP17" s="100">
        <v>8</v>
      </c>
      <c r="AQ17" s="100">
        <v>3379.2</v>
      </c>
      <c r="AR17" s="100">
        <v>5.7369357846497806</v>
      </c>
      <c r="AS17" s="100">
        <v>2423.2816754360674</v>
      </c>
      <c r="AT17" s="100">
        <v>5.0906818500178179</v>
      </c>
      <c r="AU17" s="100">
        <v>2150.3040134475264</v>
      </c>
      <c r="AV17" s="100">
        <v>6.0340525579382733</v>
      </c>
      <c r="AW17" s="100">
        <v>2548.7838004731266</v>
      </c>
      <c r="AX17" s="100">
        <v>5.7472813277928818</v>
      </c>
      <c r="AY17" s="100">
        <v>2427.6516328597131</v>
      </c>
      <c r="AZ17" s="100">
        <v>1.6026349778758686</v>
      </c>
      <c r="BA17" s="100">
        <v>676.95301465476689</v>
      </c>
      <c r="BB17" s="100">
        <v>7.9896695513572382</v>
      </c>
      <c r="BC17" s="100">
        <v>3374.8364184932971</v>
      </c>
      <c r="BD17" s="100">
        <v>5.395766368227112</v>
      </c>
      <c r="BE17" s="100">
        <v>2279.1717139391321</v>
      </c>
      <c r="BF17" s="100">
        <v>5.8969408538880437</v>
      </c>
      <c r="BG17" s="100">
        <v>2490.8678166823097</v>
      </c>
      <c r="BH17" s="100">
        <v>1.4178857049969988</v>
      </c>
      <c r="BI17" s="100">
        <v>598.91492179073225</v>
      </c>
      <c r="BJ17" s="100">
        <v>11.952590012628399</v>
      </c>
      <c r="BK17" s="100">
        <v>5048.7740213342349</v>
      </c>
      <c r="BL17" s="100">
        <v>4.7013874855481408</v>
      </c>
      <c r="BM17" s="100">
        <v>1985.8660738955346</v>
      </c>
      <c r="BN17" s="100">
        <v>7.3542464025291858</v>
      </c>
      <c r="BO17" s="100">
        <v>3106.433680428328</v>
      </c>
      <c r="BP17" s="100">
        <v>7.581781097856056</v>
      </c>
      <c r="BQ17" s="100">
        <v>3202.5443357343979</v>
      </c>
      <c r="BR17" s="100">
        <v>5.0013149453977264E-4</v>
      </c>
      <c r="BS17" s="100">
        <v>0.21125554329359994</v>
      </c>
      <c r="BT17" s="100">
        <v>6.0869706702001274</v>
      </c>
      <c r="BU17" s="100">
        <v>2571.1364110925338</v>
      </c>
      <c r="BV17" s="100">
        <v>11.762019874794495</v>
      </c>
      <c r="BW17" s="100">
        <v>4968.2771951131945</v>
      </c>
      <c r="BX17" s="100">
        <v>6</v>
      </c>
      <c r="BY17" s="100">
        <v>2534.3999999999996</v>
      </c>
      <c r="BZ17" s="100">
        <v>6</v>
      </c>
      <c r="CA17" s="100">
        <v>2534.3999999999996</v>
      </c>
      <c r="CB17" s="100">
        <v>2.8534759476015323</v>
      </c>
      <c r="CC17" s="100">
        <v>1205.3082402668872</v>
      </c>
      <c r="CD17" s="100">
        <v>5.9361754848636045E-4</v>
      </c>
      <c r="CE17" s="100">
        <v>0.25074405248063864</v>
      </c>
      <c r="CF17" s="100">
        <v>9.0003546663421528</v>
      </c>
      <c r="CG17" s="100">
        <v>3801.7498110629249</v>
      </c>
      <c r="CH17" s="100">
        <v>10</v>
      </c>
      <c r="CI17" s="100">
        <v>4224</v>
      </c>
      <c r="CJ17" s="100">
        <v>9.0214084196529107</v>
      </c>
      <c r="CK17" s="100">
        <v>3810.6429164613892</v>
      </c>
      <c r="CL17" s="100">
        <v>7.159838497627546</v>
      </c>
      <c r="CM17" s="100">
        <v>3024.3157813978751</v>
      </c>
      <c r="CN17" s="100">
        <v>4.9721100677969066</v>
      </c>
      <c r="CO17" s="100">
        <v>2100.2192926374132</v>
      </c>
      <c r="CP17" s="100">
        <v>4.8405727644160361</v>
      </c>
      <c r="CQ17" s="100">
        <v>2044.6579356893335</v>
      </c>
      <c r="CR17" s="100">
        <v>1.9410278562928023</v>
      </c>
      <c r="CS17" s="100">
        <v>819.89016649807968</v>
      </c>
      <c r="CT17" s="100">
        <v>4.1435482210497652</v>
      </c>
      <c r="CU17" s="100">
        <v>1750.2347685714208</v>
      </c>
    </row>
    <row r="18" spans="2:99">
      <c r="C18" s="99" t="s">
        <v>184</v>
      </c>
      <c r="D18" s="100">
        <v>6</v>
      </c>
      <c r="E18" s="100">
        <v>3916.7999999999997</v>
      </c>
      <c r="F18" s="100">
        <v>4.7700075654312259</v>
      </c>
      <c r="G18" s="100">
        <v>3113.8609387135039</v>
      </c>
      <c r="H18" s="100">
        <v>6.0889733941739159</v>
      </c>
      <c r="I18" s="100">
        <v>3974.881831716732</v>
      </c>
      <c r="J18" s="100">
        <v>5.0585132443305021</v>
      </c>
      <c r="K18" s="100">
        <v>3302.1974458989516</v>
      </c>
      <c r="L18" s="100">
        <v>4.9010799239712366</v>
      </c>
      <c r="M18" s="100">
        <v>3199.4249743684231</v>
      </c>
      <c r="N18" s="100">
        <v>2.0130162441949682</v>
      </c>
      <c r="O18" s="100">
        <v>1314.0970042104752</v>
      </c>
      <c r="P18" s="100">
        <v>7.7010058055269575</v>
      </c>
      <c r="Q18" s="100">
        <v>5027.2165898479971</v>
      </c>
      <c r="R18" s="100">
        <v>5.0485649266386794</v>
      </c>
      <c r="S18" s="100">
        <v>3295.7031841097296</v>
      </c>
      <c r="T18" s="100">
        <v>5.3566629423762269</v>
      </c>
      <c r="U18" s="100">
        <v>3496.8295687832006</v>
      </c>
      <c r="V18" s="100">
        <v>4</v>
      </c>
      <c r="W18" s="100">
        <v>2611.1999999999998</v>
      </c>
      <c r="X18" s="100">
        <v>0.89790528850212337</v>
      </c>
      <c r="Y18" s="100">
        <v>586.15257233418606</v>
      </c>
      <c r="Z18" s="100">
        <v>5</v>
      </c>
      <c r="AA18" s="100">
        <v>3264</v>
      </c>
      <c r="AB18" s="100">
        <v>3.3183010583784127</v>
      </c>
      <c r="AC18" s="100">
        <v>2166.1869309094277</v>
      </c>
      <c r="AD18" s="100">
        <v>7.4967786150738194</v>
      </c>
      <c r="AE18" s="100">
        <v>4893.8970799201888</v>
      </c>
      <c r="AF18" s="100">
        <v>4.7242870648098849</v>
      </c>
      <c r="AG18" s="100">
        <v>3084.0145959078927</v>
      </c>
      <c r="AH18" s="100">
        <v>6.808401296900513</v>
      </c>
      <c r="AI18" s="100">
        <v>4444.5243666166543</v>
      </c>
      <c r="AJ18" s="100">
        <v>5.9690371228423471</v>
      </c>
      <c r="AK18" s="100">
        <v>3896.5874337914838</v>
      </c>
      <c r="AL18" s="100">
        <v>4.4980892670394757E-4</v>
      </c>
      <c r="AM18" s="100">
        <v>0.29363526735233697</v>
      </c>
      <c r="AN18" s="100">
        <v>7.8430024116067232</v>
      </c>
      <c r="AO18" s="100">
        <v>5119.9119742968687</v>
      </c>
      <c r="AP18" s="100">
        <v>8</v>
      </c>
      <c r="AQ18" s="100">
        <v>5222.3999999999996</v>
      </c>
      <c r="AR18" s="100">
        <v>5.7369357846497806</v>
      </c>
      <c r="AS18" s="100">
        <v>3745.0716802193765</v>
      </c>
      <c r="AT18" s="100">
        <v>5.0906818500178179</v>
      </c>
      <c r="AU18" s="100">
        <v>3323.1971116916311</v>
      </c>
      <c r="AV18" s="100">
        <v>6.0340525579382733</v>
      </c>
      <c r="AW18" s="100">
        <v>3939.0295098221045</v>
      </c>
      <c r="AX18" s="100">
        <v>5.7472813277928818</v>
      </c>
      <c r="AY18" s="100">
        <v>3751.825250783193</v>
      </c>
      <c r="AZ18" s="100">
        <v>1.5926719909509703</v>
      </c>
      <c r="BA18" s="100">
        <v>1039.6962756927933</v>
      </c>
      <c r="BB18" s="100">
        <v>7.9896695513572382</v>
      </c>
      <c r="BC18" s="100">
        <v>5215.6562831260044</v>
      </c>
      <c r="BD18" s="100">
        <v>4.4964719735225929</v>
      </c>
      <c r="BE18" s="100">
        <v>2935.2969043155485</v>
      </c>
      <c r="BF18" s="100">
        <v>5.8969408538880437</v>
      </c>
      <c r="BG18" s="100">
        <v>3849.5229894181148</v>
      </c>
      <c r="BH18" s="100">
        <v>1.6097886333967142</v>
      </c>
      <c r="BI18" s="100">
        <v>1050.8700198813749</v>
      </c>
      <c r="BJ18" s="100">
        <v>12.08867430014674</v>
      </c>
      <c r="BK18" s="100">
        <v>7891.486583135792</v>
      </c>
      <c r="BL18" s="100">
        <v>4.7013874855481408</v>
      </c>
      <c r="BM18" s="100">
        <v>3069.065750565826</v>
      </c>
      <c r="BN18" s="100">
        <v>7.3542464025291858</v>
      </c>
      <c r="BO18" s="100">
        <v>4800.8520515710525</v>
      </c>
      <c r="BP18" s="100">
        <v>6.7393609758720503</v>
      </c>
      <c r="BQ18" s="100">
        <v>4399.4548450492739</v>
      </c>
      <c r="BR18" s="100">
        <v>5.0013149453977264E-4</v>
      </c>
      <c r="BS18" s="100">
        <v>0.32648583963556355</v>
      </c>
      <c r="BT18" s="100">
        <v>6.0350000122935326</v>
      </c>
      <c r="BU18" s="100">
        <v>3939.6480080252177</v>
      </c>
      <c r="BV18" s="100">
        <v>10.762019874794495</v>
      </c>
      <c r="BW18" s="100">
        <v>7025.4465742658458</v>
      </c>
      <c r="BX18" s="100">
        <v>6</v>
      </c>
      <c r="BY18" s="100">
        <v>3916.7999999999997</v>
      </c>
      <c r="BZ18" s="100">
        <v>6</v>
      </c>
      <c r="CA18" s="100">
        <v>3916.7999999999997</v>
      </c>
      <c r="CB18" s="100">
        <v>2.3904900130490931</v>
      </c>
      <c r="CC18" s="100">
        <v>1560.5118805184479</v>
      </c>
      <c r="CD18" s="100">
        <v>6.5297930333499648E-4</v>
      </c>
      <c r="CE18" s="100">
        <v>0.42626488921708566</v>
      </c>
      <c r="CF18" s="100">
        <v>9.0003546663421528</v>
      </c>
      <c r="CG18" s="100">
        <v>5875.4315261881566</v>
      </c>
      <c r="CH18" s="100">
        <v>10</v>
      </c>
      <c r="CI18" s="100">
        <v>6528</v>
      </c>
      <c r="CJ18" s="100">
        <v>9.8415364578031745</v>
      </c>
      <c r="CK18" s="100">
        <v>6424.5549996539121</v>
      </c>
      <c r="CL18" s="100">
        <v>7.159838497627546</v>
      </c>
      <c r="CM18" s="100">
        <v>4673.9425712512621</v>
      </c>
      <c r="CN18" s="100">
        <v>4.9721100677969066</v>
      </c>
      <c r="CO18" s="100">
        <v>3245.7934522578203</v>
      </c>
      <c r="CP18" s="100">
        <v>4.8405727644160361</v>
      </c>
      <c r="CQ18" s="100">
        <v>3159.9259006107882</v>
      </c>
      <c r="CR18" s="100">
        <v>1.9410278562928023</v>
      </c>
      <c r="CS18" s="100">
        <v>1267.1029845879411</v>
      </c>
      <c r="CT18" s="100">
        <v>4.1756150414817377</v>
      </c>
      <c r="CU18" s="100">
        <v>2725.841499079278</v>
      </c>
    </row>
    <row r="19" spans="2:99">
      <c r="C19" s="99" t="s">
        <v>185</v>
      </c>
      <c r="D19" s="100">
        <v>7</v>
      </c>
      <c r="E19" s="100">
        <v>2310</v>
      </c>
      <c r="F19" s="100">
        <v>5.565008826336431</v>
      </c>
      <c r="G19" s="100">
        <v>1836.4529126910222</v>
      </c>
      <c r="H19" s="100">
        <v>6.850095068445655</v>
      </c>
      <c r="I19" s="100">
        <v>2260.531372587066</v>
      </c>
      <c r="J19" s="100">
        <v>5.7811579935205737</v>
      </c>
      <c r="K19" s="100">
        <v>1907.7821378617894</v>
      </c>
      <c r="L19" s="100">
        <v>4.9010799239712366</v>
      </c>
      <c r="M19" s="100">
        <v>1617.3563749105081</v>
      </c>
      <c r="N19" s="100">
        <v>2.032714539215823</v>
      </c>
      <c r="O19" s="100">
        <v>670.79579794122162</v>
      </c>
      <c r="P19" s="100">
        <v>8.7010058055269575</v>
      </c>
      <c r="Q19" s="100">
        <v>2871.331915823896</v>
      </c>
      <c r="R19" s="100">
        <v>5.0518834263564338</v>
      </c>
      <c r="S19" s="100">
        <v>1667.1215306976233</v>
      </c>
      <c r="T19" s="100">
        <v>6.2972191186468551</v>
      </c>
      <c r="U19" s="100">
        <v>2078.0823091534621</v>
      </c>
      <c r="V19" s="100">
        <v>5</v>
      </c>
      <c r="W19" s="100">
        <v>1650</v>
      </c>
      <c r="X19" s="100">
        <v>0.89269691873155133</v>
      </c>
      <c r="Y19" s="100">
        <v>294.58998318141192</v>
      </c>
      <c r="Z19" s="100">
        <v>5</v>
      </c>
      <c r="AA19" s="100">
        <v>1650</v>
      </c>
      <c r="AB19" s="100">
        <v>3.3183010583784127</v>
      </c>
      <c r="AC19" s="100">
        <v>1095.0393492648761</v>
      </c>
      <c r="AD19" s="100">
        <v>7.5316752821516868</v>
      </c>
      <c r="AE19" s="100">
        <v>2485.4528431100566</v>
      </c>
      <c r="AF19" s="100">
        <v>4.7242870648098849</v>
      </c>
      <c r="AG19" s="100">
        <v>1559.0147313872619</v>
      </c>
      <c r="AH19" s="100">
        <v>7.808401296900513</v>
      </c>
      <c r="AI19" s="100">
        <v>2576.7724279771692</v>
      </c>
      <c r="AJ19" s="100">
        <v>5.9690371228423471</v>
      </c>
      <c r="AK19" s="100">
        <v>1969.7822505379745</v>
      </c>
      <c r="AL19" s="100">
        <v>5.0682718048254076E-4</v>
      </c>
      <c r="AM19" s="100">
        <v>0.16725296955923846</v>
      </c>
      <c r="AN19" s="100">
        <v>6.8430024116067232</v>
      </c>
      <c r="AO19" s="100">
        <v>2258.1907958302186</v>
      </c>
      <c r="AP19" s="100">
        <v>8</v>
      </c>
      <c r="AQ19" s="100">
        <v>2640</v>
      </c>
      <c r="AR19" s="100">
        <v>5.7369357846497806</v>
      </c>
      <c r="AS19" s="100">
        <v>1893.1888089344277</v>
      </c>
      <c r="AT19" s="100">
        <v>5.8179221143060786</v>
      </c>
      <c r="AU19" s="100">
        <v>1919.9142977210061</v>
      </c>
      <c r="AV19" s="100">
        <v>6.0340525579382733</v>
      </c>
      <c r="AW19" s="100">
        <v>1991.2373441196303</v>
      </c>
      <c r="AX19" s="100">
        <v>5.7472813277928818</v>
      </c>
      <c r="AY19" s="100">
        <v>1896.602838171651</v>
      </c>
      <c r="AZ19" s="100">
        <v>1.5926719909509703</v>
      </c>
      <c r="BA19" s="100">
        <v>525.58175701382027</v>
      </c>
      <c r="BB19" s="100">
        <v>8.113378245276893</v>
      </c>
      <c r="BC19" s="100">
        <v>2677.4148209413747</v>
      </c>
      <c r="BD19" s="100">
        <v>5.395766368227112</v>
      </c>
      <c r="BE19" s="100">
        <v>1780.602901514947</v>
      </c>
      <c r="BF19" s="100">
        <v>5.8969408538880437</v>
      </c>
      <c r="BG19" s="100">
        <v>1945.9904817830545</v>
      </c>
      <c r="BH19" s="100">
        <v>1.6097886333967142</v>
      </c>
      <c r="BI19" s="100">
        <v>531.23024902091572</v>
      </c>
      <c r="BJ19" s="100">
        <v>11.952590012628399</v>
      </c>
      <c r="BK19" s="100">
        <v>3944.3547041673714</v>
      </c>
      <c r="BL19" s="100">
        <v>4.7013874855481408</v>
      </c>
      <c r="BM19" s="100">
        <v>1551.4578702308866</v>
      </c>
      <c r="BN19" s="100">
        <v>8.0896710427821059</v>
      </c>
      <c r="BO19" s="100">
        <v>2669.5914441180948</v>
      </c>
      <c r="BP19" s="100">
        <v>6.7393609758720503</v>
      </c>
      <c r="BQ19" s="100">
        <v>2223.9891220377767</v>
      </c>
      <c r="BR19" s="100">
        <v>5.6604262406583698E-4</v>
      </c>
      <c r="BS19" s="100">
        <v>0.18679406594172621</v>
      </c>
      <c r="BT19" s="100">
        <v>6.0869706702001274</v>
      </c>
      <c r="BU19" s="100">
        <v>2008.7003211660419</v>
      </c>
      <c r="BV19" s="100">
        <v>12.762019874794495</v>
      </c>
      <c r="BW19" s="100">
        <v>4211.4665586821829</v>
      </c>
      <c r="BX19" s="100">
        <v>6</v>
      </c>
      <c r="BY19" s="100">
        <v>1980</v>
      </c>
      <c r="BZ19" s="100">
        <v>7</v>
      </c>
      <c r="CA19" s="100">
        <v>2310</v>
      </c>
      <c r="CB19" s="100">
        <v>2.3904900130490931</v>
      </c>
      <c r="CC19" s="100">
        <v>788.86170430620075</v>
      </c>
      <c r="CD19" s="100">
        <v>6.5297930333499648E-4</v>
      </c>
      <c r="CE19" s="100">
        <v>0.21548317010054885</v>
      </c>
      <c r="CF19" s="100">
        <v>9.0003546663421528</v>
      </c>
      <c r="CG19" s="100">
        <v>2970.1170398929103</v>
      </c>
      <c r="CH19" s="100">
        <v>10</v>
      </c>
      <c r="CI19" s="100">
        <v>3300</v>
      </c>
      <c r="CJ19" s="100">
        <v>9.8415364578031745</v>
      </c>
      <c r="CK19" s="100">
        <v>3247.7070310750478</v>
      </c>
      <c r="CL19" s="100">
        <v>7.159838497627546</v>
      </c>
      <c r="CM19" s="100">
        <v>2362.7467042170902</v>
      </c>
      <c r="CN19" s="100">
        <v>5.6824115060536071</v>
      </c>
      <c r="CO19" s="100">
        <v>1875.1957969976904</v>
      </c>
      <c r="CP19" s="100">
        <v>4.8405727644160361</v>
      </c>
      <c r="CQ19" s="100">
        <v>1597.3890122572918</v>
      </c>
      <c r="CR19" s="100">
        <v>1.698399374256202</v>
      </c>
      <c r="CS19" s="100">
        <v>560.47179350454667</v>
      </c>
      <c r="CT19" s="100">
        <v>3.675709100343501</v>
      </c>
      <c r="CU19" s="100">
        <v>1212.9840031133554</v>
      </c>
    </row>
    <row r="20" spans="2:99">
      <c r="B20" s="99" t="s">
        <v>127</v>
      </c>
      <c r="C20" s="99" t="s">
        <v>186</v>
      </c>
      <c r="D20" s="100">
        <v>10</v>
      </c>
      <c r="E20" s="100">
        <v>2868</v>
      </c>
      <c r="F20" s="100">
        <v>6.3600100872416343</v>
      </c>
      <c r="G20" s="100">
        <v>1824.0508930209007</v>
      </c>
      <c r="H20" s="100">
        <v>4.5667300456304369</v>
      </c>
      <c r="I20" s="100">
        <v>1309.7381770868094</v>
      </c>
      <c r="J20" s="100">
        <v>7.2264474919007169</v>
      </c>
      <c r="K20" s="100">
        <v>2072.5451406771258</v>
      </c>
      <c r="L20" s="100">
        <v>5.717926577966443</v>
      </c>
      <c r="M20" s="100">
        <v>1639.9013425607759</v>
      </c>
      <c r="N20" s="100">
        <v>2.6804333616558655</v>
      </c>
      <c r="O20" s="100">
        <v>768.7482881229023</v>
      </c>
      <c r="P20" s="100">
        <v>7.4020116110539158</v>
      </c>
      <c r="Q20" s="100">
        <v>2122.8969300502631</v>
      </c>
      <c r="R20" s="100">
        <v>3.908594222255648</v>
      </c>
      <c r="S20" s="100">
        <v>1120.9848229429199</v>
      </c>
      <c r="T20" s="100">
        <v>8.7133258847524537</v>
      </c>
      <c r="U20" s="100">
        <v>2498.9818637470039</v>
      </c>
      <c r="V20" s="100">
        <v>10</v>
      </c>
      <c r="W20" s="100">
        <v>2868</v>
      </c>
      <c r="X20" s="100">
        <v>1.2242546743483682</v>
      </c>
      <c r="Y20" s="100">
        <v>351.11624060311203</v>
      </c>
      <c r="Z20" s="100">
        <v>9</v>
      </c>
      <c r="AA20" s="100">
        <v>2581.2000000000003</v>
      </c>
      <c r="AB20" s="100">
        <v>3.9819612700540952</v>
      </c>
      <c r="AC20" s="100">
        <v>1142.0264922515146</v>
      </c>
      <c r="AD20" s="100">
        <v>7.2873986126066175</v>
      </c>
      <c r="AE20" s="100">
        <v>2090.0259220955782</v>
      </c>
      <c r="AF20" s="100">
        <v>4.7242870648098849</v>
      </c>
      <c r="AG20" s="100">
        <v>1354.925530187475</v>
      </c>
      <c r="AH20" s="100">
        <v>9.616802593801026</v>
      </c>
      <c r="AI20" s="100">
        <v>2758.0989839021345</v>
      </c>
      <c r="AJ20" s="100">
        <v>8.9535556842635202</v>
      </c>
      <c r="AK20" s="100">
        <v>2567.8797702467778</v>
      </c>
      <c r="AL20" s="100">
        <v>6.596198617632176E-4</v>
      </c>
      <c r="AM20" s="100">
        <v>0.18917897635369083</v>
      </c>
      <c r="AN20" s="100">
        <v>9.1802033762494126</v>
      </c>
      <c r="AO20" s="100">
        <v>2632.8823283083316</v>
      </c>
      <c r="AP20" s="100">
        <v>9</v>
      </c>
      <c r="AQ20" s="100">
        <v>2581.2000000000003</v>
      </c>
      <c r="AR20" s="100">
        <v>7.6492477128663738</v>
      </c>
      <c r="AS20" s="100">
        <v>2193.8042440500762</v>
      </c>
      <c r="AT20" s="100">
        <v>7.9996429071708572</v>
      </c>
      <c r="AU20" s="100">
        <v>2294.2975857766019</v>
      </c>
      <c r="AV20" s="100">
        <v>6.0425656974228419</v>
      </c>
      <c r="AW20" s="100">
        <v>1733.0078420208711</v>
      </c>
      <c r="AX20" s="100">
        <v>8.2033050025454859</v>
      </c>
      <c r="AY20" s="100">
        <v>2352.7078747300457</v>
      </c>
      <c r="AZ20" s="100">
        <v>2.2837854044370132</v>
      </c>
      <c r="BA20" s="100">
        <v>654.98965399253541</v>
      </c>
      <c r="BB20" s="100">
        <v>9.7319217148751669</v>
      </c>
      <c r="BC20" s="100">
        <v>2791.1151478261982</v>
      </c>
      <c r="BD20" s="100">
        <v>8.9929439470451857</v>
      </c>
      <c r="BE20" s="100">
        <v>2579.1763240125592</v>
      </c>
      <c r="BF20" s="100">
        <v>5.0545207319040371</v>
      </c>
      <c r="BG20" s="100">
        <v>1449.636545910078</v>
      </c>
      <c r="BH20" s="100">
        <v>2.3159865294440962</v>
      </c>
      <c r="BI20" s="100">
        <v>664.22493664456681</v>
      </c>
      <c r="BJ20" s="100">
        <v>11.905180025256797</v>
      </c>
      <c r="BK20" s="100">
        <v>3414.4056312436496</v>
      </c>
      <c r="BL20" s="100">
        <v>7.0520812283222121</v>
      </c>
      <c r="BM20" s="100">
        <v>2022.5368962828104</v>
      </c>
      <c r="BN20" s="100">
        <v>7.3542464025291858</v>
      </c>
      <c r="BO20" s="100">
        <v>2109.1978682453705</v>
      </c>
      <c r="BP20" s="100">
        <v>5.0545207319040371</v>
      </c>
      <c r="BQ20" s="100">
        <v>1449.636545910078</v>
      </c>
      <c r="BR20" s="100">
        <v>6.4387793447107751E-4</v>
      </c>
      <c r="BS20" s="100">
        <v>0.18466419160630504</v>
      </c>
      <c r="BT20" s="100">
        <v>7.50435844266896</v>
      </c>
      <c r="BU20" s="100">
        <v>2152.2500013574577</v>
      </c>
      <c r="BV20" s="100">
        <v>10.197459803248494</v>
      </c>
      <c r="BW20" s="100">
        <v>2924.631471571668</v>
      </c>
      <c r="BX20" s="100">
        <v>9</v>
      </c>
      <c r="BY20" s="100">
        <v>2581.2000000000003</v>
      </c>
      <c r="BZ20" s="100">
        <v>7</v>
      </c>
      <c r="CA20" s="100">
        <v>2007.6000000000001</v>
      </c>
      <c r="CB20" s="100">
        <v>1.6204507709335381</v>
      </c>
      <c r="CC20" s="100">
        <v>464.74528110373876</v>
      </c>
      <c r="CD20" s="100">
        <v>5.9361754848636045E-4</v>
      </c>
      <c r="CE20" s="100">
        <v>0.17024951290588819</v>
      </c>
      <c r="CF20" s="100">
        <v>11.000620666098767</v>
      </c>
      <c r="CG20" s="100">
        <v>3154.9780070371266</v>
      </c>
      <c r="CH20" s="100">
        <v>10</v>
      </c>
      <c r="CI20" s="100">
        <v>2868</v>
      </c>
      <c r="CJ20" s="100">
        <v>9.0214084196529107</v>
      </c>
      <c r="CK20" s="100">
        <v>2587.339934756455</v>
      </c>
      <c r="CL20" s="100">
        <v>6.3643008867800406</v>
      </c>
      <c r="CM20" s="100">
        <v>1825.2814943285157</v>
      </c>
      <c r="CN20" s="100">
        <v>5.6824115060536071</v>
      </c>
      <c r="CO20" s="100">
        <v>1629.7156199361746</v>
      </c>
      <c r="CP20" s="100">
        <v>5.6473348918187085</v>
      </c>
      <c r="CQ20" s="100">
        <v>1619.6556469736056</v>
      </c>
      <c r="CR20" s="100">
        <v>1.698399374256202</v>
      </c>
      <c r="CS20" s="100">
        <v>487.10094053667876</v>
      </c>
      <c r="CT20" s="100">
        <v>6.1997681748839524</v>
      </c>
      <c r="CU20" s="100">
        <v>1778.0935125567175</v>
      </c>
    </row>
    <row r="21" spans="2:99">
      <c r="C21" s="99" t="s">
        <v>187</v>
      </c>
      <c r="D21" s="100">
        <v>11</v>
      </c>
      <c r="E21" s="100">
        <v>686.4</v>
      </c>
      <c r="F21" s="100">
        <v>7.1550113481468394</v>
      </c>
      <c r="G21" s="100">
        <v>446.47270812436278</v>
      </c>
      <c r="H21" s="100">
        <v>5.327851719902176</v>
      </c>
      <c r="I21" s="100">
        <v>332.4579473218958</v>
      </c>
      <c r="J21" s="100">
        <v>7.2264474919007169</v>
      </c>
      <c r="K21" s="100">
        <v>450.93032349460475</v>
      </c>
      <c r="L21" s="100">
        <v>5.717926577966443</v>
      </c>
      <c r="M21" s="100">
        <v>356.79861846510602</v>
      </c>
      <c r="N21" s="100">
        <v>2.402822929394747</v>
      </c>
      <c r="O21" s="100">
        <v>149.93615079423222</v>
      </c>
      <c r="P21" s="100">
        <v>7.2618104499485243</v>
      </c>
      <c r="Q21" s="100">
        <v>453.13697207678791</v>
      </c>
      <c r="R21" s="100">
        <v>4.466964825435026</v>
      </c>
      <c r="S21" s="100">
        <v>278.73860510714564</v>
      </c>
      <c r="T21" s="100">
        <v>7.7727697084818246</v>
      </c>
      <c r="U21" s="100">
        <v>485.02082980926582</v>
      </c>
      <c r="V21" s="100">
        <v>10</v>
      </c>
      <c r="W21" s="100">
        <v>624</v>
      </c>
      <c r="X21" s="100">
        <v>1.2242546743483682</v>
      </c>
      <c r="Y21" s="100">
        <v>76.393491679338169</v>
      </c>
      <c r="Z21" s="100">
        <v>9</v>
      </c>
      <c r="AA21" s="100">
        <v>561.6</v>
      </c>
      <c r="AB21" s="100">
        <v>3.9819612700540952</v>
      </c>
      <c r="AC21" s="100">
        <v>248.47438325137554</v>
      </c>
      <c r="AD21" s="100">
        <v>9.1092482657582714</v>
      </c>
      <c r="AE21" s="100">
        <v>568.4170917833161</v>
      </c>
      <c r="AF21" s="100">
        <v>5.2492078497887604</v>
      </c>
      <c r="AG21" s="100">
        <v>327.55056982681862</v>
      </c>
      <c r="AH21" s="100">
        <v>10.778482853181128</v>
      </c>
      <c r="AI21" s="100">
        <v>672.5773300385024</v>
      </c>
      <c r="AJ21" s="100">
        <v>8.9535556842635202</v>
      </c>
      <c r="AK21" s="100">
        <v>558.70187469804364</v>
      </c>
      <c r="AL21" s="100">
        <v>6.055828521172006E-4</v>
      </c>
      <c r="AM21" s="100">
        <v>3.7788369972113316E-2</v>
      </c>
      <c r="AN21" s="100">
        <v>9.3488038585707578</v>
      </c>
      <c r="AO21" s="100">
        <v>583.36536077481526</v>
      </c>
      <c r="AP21" s="100">
        <v>8</v>
      </c>
      <c r="AQ21" s="100">
        <v>499.2</v>
      </c>
      <c r="AR21" s="100">
        <v>7.6492477128663738</v>
      </c>
      <c r="AS21" s="100">
        <v>477.31305728286173</v>
      </c>
      <c r="AT21" s="100">
        <v>7.9996429071708572</v>
      </c>
      <c r="AU21" s="100">
        <v>499.1777174074615</v>
      </c>
      <c r="AV21" s="100">
        <v>6.0468222671651262</v>
      </c>
      <c r="AW21" s="100">
        <v>377.32170947110387</v>
      </c>
      <c r="AX21" s="100">
        <v>7.3663051404022957</v>
      </c>
      <c r="AY21" s="100">
        <v>459.65744076110326</v>
      </c>
      <c r="AZ21" s="100">
        <v>2.6947127454698845</v>
      </c>
      <c r="BA21" s="100">
        <v>168.15007531732078</v>
      </c>
      <c r="BB21" s="100">
        <v>9.8556304087948217</v>
      </c>
      <c r="BC21" s="100">
        <v>614.99133750879685</v>
      </c>
      <c r="BD21" s="100">
        <v>9.8922383417497048</v>
      </c>
      <c r="BE21" s="100">
        <v>617.27567252518156</v>
      </c>
      <c r="BF21" s="100">
        <v>4.2121006099200313</v>
      </c>
      <c r="BG21" s="100">
        <v>262.83507805900996</v>
      </c>
      <c r="BH21" s="100">
        <v>2.4985688070689376</v>
      </c>
      <c r="BI21" s="100">
        <v>155.91069356110171</v>
      </c>
      <c r="BJ21" s="100">
        <v>13.041264312775139</v>
      </c>
      <c r="BK21" s="100">
        <v>813.77489311716863</v>
      </c>
      <c r="BL21" s="100">
        <v>7.8356458092469028</v>
      </c>
      <c r="BM21" s="100">
        <v>488.94429849700674</v>
      </c>
      <c r="BN21" s="100">
        <v>8.0896710427821059</v>
      </c>
      <c r="BO21" s="100">
        <v>504.79547306960342</v>
      </c>
      <c r="BP21" s="100">
        <v>5.0545207319040371</v>
      </c>
      <c r="BQ21" s="100">
        <v>315.40209367081189</v>
      </c>
      <c r="BR21" s="100">
        <v>6.4387793447107751E-4</v>
      </c>
      <c r="BS21" s="100">
        <v>4.0177983110995234E-2</v>
      </c>
      <c r="BT21" s="100">
        <v>8.1440513991698342</v>
      </c>
      <c r="BU21" s="100">
        <v>508.18880730819762</v>
      </c>
      <c r="BV21" s="100">
        <v>9.1974598032484938</v>
      </c>
      <c r="BW21" s="100">
        <v>573.92149172270604</v>
      </c>
      <c r="BX21" s="100">
        <v>7</v>
      </c>
      <c r="BY21" s="100">
        <v>436.8</v>
      </c>
      <c r="BZ21" s="100">
        <v>8</v>
      </c>
      <c r="CA21" s="100">
        <v>499.2</v>
      </c>
      <c r="CB21" s="100">
        <v>1.6204507709335381</v>
      </c>
      <c r="CC21" s="100">
        <v>101.11612810625277</v>
      </c>
      <c r="CD21" s="100">
        <v>6.5297930333499648E-4</v>
      </c>
      <c r="CE21" s="100">
        <v>4.074590852810378E-2</v>
      </c>
      <c r="CF21" s="100">
        <v>10.000576332805998</v>
      </c>
      <c r="CG21" s="100">
        <v>624.03596316709434</v>
      </c>
      <c r="CH21" s="100">
        <v>9</v>
      </c>
      <c r="CI21" s="100">
        <v>561.6</v>
      </c>
      <c r="CJ21" s="100">
        <v>9.0214084196529107</v>
      </c>
      <c r="CK21" s="100">
        <v>562.93588538634162</v>
      </c>
      <c r="CL21" s="100">
        <v>6.3643008867800406</v>
      </c>
      <c r="CM21" s="100">
        <v>397.13237533507453</v>
      </c>
      <c r="CN21" s="100">
        <v>5.6824115060536071</v>
      </c>
      <c r="CO21" s="100">
        <v>354.5824779777451</v>
      </c>
      <c r="CP21" s="100">
        <v>6.4540970192213809</v>
      </c>
      <c r="CQ21" s="100">
        <v>402.73565399941418</v>
      </c>
      <c r="CR21" s="100">
        <v>1.698399374256202</v>
      </c>
      <c r="CS21" s="100">
        <v>105.980120953587</v>
      </c>
      <c r="CT21" s="100">
        <v>6.7785983133481009</v>
      </c>
      <c r="CU21" s="100">
        <v>422.98453475292149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7.1550113481468394</v>
      </c>
      <c r="G22" s="100">
        <v>1339.4181243730882</v>
      </c>
      <c r="H22" s="100">
        <v>4.5667300456304369</v>
      </c>
      <c r="I22" s="100">
        <v>854.89186454201774</v>
      </c>
      <c r="J22" s="100">
        <v>7.9490922410907894</v>
      </c>
      <c r="K22" s="100">
        <v>1488.0700675321957</v>
      </c>
      <c r="L22" s="100">
        <v>5.717926577966443</v>
      </c>
      <c r="M22" s="100">
        <v>1070.395855395318</v>
      </c>
      <c r="N22" s="100">
        <v>2.400989062676858</v>
      </c>
      <c r="O22" s="100">
        <v>449.46515253310781</v>
      </c>
      <c r="P22" s="100">
        <v>7.4020116110539158</v>
      </c>
      <c r="Q22" s="100">
        <v>1385.656573589293</v>
      </c>
      <c r="R22" s="100">
        <v>3.908594222255648</v>
      </c>
      <c r="S22" s="100">
        <v>731.68883840625722</v>
      </c>
      <c r="T22" s="100">
        <v>8.7727697084818246</v>
      </c>
      <c r="U22" s="100">
        <v>1642.2624894277974</v>
      </c>
      <c r="V22" s="100">
        <v>9</v>
      </c>
      <c r="W22" s="100">
        <v>1684.8</v>
      </c>
      <c r="X22" s="100">
        <v>1.2242546743483682</v>
      </c>
      <c r="Y22" s="100">
        <v>229.18047503801452</v>
      </c>
      <c r="Z22" s="100">
        <v>8</v>
      </c>
      <c r="AA22" s="100">
        <v>1497.6</v>
      </c>
      <c r="AB22" s="100">
        <v>4.6456214817297781</v>
      </c>
      <c r="AC22" s="100">
        <v>869.66034137981444</v>
      </c>
      <c r="AD22" s="100">
        <v>8.6519801111947157</v>
      </c>
      <c r="AE22" s="100">
        <v>1619.6506768156507</v>
      </c>
      <c r="AF22" s="100">
        <v>5.7741286347676359</v>
      </c>
      <c r="AG22" s="100">
        <v>1080.9168804285014</v>
      </c>
      <c r="AH22" s="100">
        <v>9.7784828531811279</v>
      </c>
      <c r="AI22" s="100">
        <v>1830.5319901155069</v>
      </c>
      <c r="AJ22" s="100">
        <v>8.9535556842635202</v>
      </c>
      <c r="AK22" s="100">
        <v>1676.1056240941309</v>
      </c>
      <c r="AL22" s="100">
        <v>6.596198617632176E-4</v>
      </c>
      <c r="AM22" s="100">
        <v>0.12348083812207433</v>
      </c>
      <c r="AN22" s="100">
        <v>9.3488038585707578</v>
      </c>
      <c r="AO22" s="100">
        <v>1750.0960823244457</v>
      </c>
      <c r="AP22" s="100">
        <v>9</v>
      </c>
      <c r="AQ22" s="100">
        <v>1684.8</v>
      </c>
      <c r="AR22" s="100">
        <v>8.6054036769746709</v>
      </c>
      <c r="AS22" s="100">
        <v>1610.9315683296584</v>
      </c>
      <c r="AT22" s="100">
        <v>7.9996429071708572</v>
      </c>
      <c r="AU22" s="100">
        <v>1497.5331522223844</v>
      </c>
      <c r="AV22" s="100">
        <v>6.0425656974228419</v>
      </c>
      <c r="AW22" s="100">
        <v>1131.168298557556</v>
      </c>
      <c r="AX22" s="100">
        <v>7.3663051404022957</v>
      </c>
      <c r="AY22" s="100">
        <v>1378.9723222833097</v>
      </c>
      <c r="AZ22" s="100">
        <v>2.2738224175121151</v>
      </c>
      <c r="BA22" s="100">
        <v>425.65955655826792</v>
      </c>
      <c r="BB22" s="100">
        <v>9.9793391027144764</v>
      </c>
      <c r="BC22" s="100">
        <v>1868.1322800281498</v>
      </c>
      <c r="BD22" s="100">
        <v>8.9929439470451857</v>
      </c>
      <c r="BE22" s="100">
        <v>1683.4791068868587</v>
      </c>
      <c r="BF22" s="100">
        <v>5.0545207319040371</v>
      </c>
      <c r="BG22" s="100">
        <v>946.20628101243562</v>
      </c>
      <c r="BH22" s="100">
        <v>2.2973452278943483</v>
      </c>
      <c r="BI22" s="100">
        <v>430.06302666182199</v>
      </c>
      <c r="BJ22" s="100">
        <v>12.041264312775139</v>
      </c>
      <c r="BK22" s="100">
        <v>2254.1246793515061</v>
      </c>
      <c r="BL22" s="100">
        <v>6.2685166473975222</v>
      </c>
      <c r="BM22" s="100">
        <v>1173.466316392816</v>
      </c>
      <c r="BN22" s="100">
        <v>7.3542464025291858</v>
      </c>
      <c r="BO22" s="100">
        <v>1376.7149265534636</v>
      </c>
      <c r="BP22" s="100">
        <v>5.0545207319040371</v>
      </c>
      <c r="BQ22" s="100">
        <v>946.20628101243562</v>
      </c>
      <c r="BR22" s="100">
        <v>7.1575115443672994E-4</v>
      </c>
      <c r="BS22" s="100">
        <v>0.13398861611055585</v>
      </c>
      <c r="BT22" s="100">
        <v>7.50435844266896</v>
      </c>
      <c r="BU22" s="100">
        <v>1404.8159004676293</v>
      </c>
      <c r="BV22" s="100">
        <v>9.1974598032484938</v>
      </c>
      <c r="BW22" s="100">
        <v>1721.764475168118</v>
      </c>
      <c r="BX22" s="100">
        <v>8</v>
      </c>
      <c r="BY22" s="100">
        <v>1497.6</v>
      </c>
      <c r="BZ22" s="100">
        <v>8</v>
      </c>
      <c r="CA22" s="100">
        <v>1497.6</v>
      </c>
      <c r="CB22" s="100">
        <v>1.3889578036573182</v>
      </c>
      <c r="CC22" s="100">
        <v>260.01290084464995</v>
      </c>
      <c r="CD22" s="100">
        <v>5.9361754848636045E-4</v>
      </c>
      <c r="CE22" s="100">
        <v>0.11112520507664667</v>
      </c>
      <c r="CF22" s="100">
        <v>11.000664999391535</v>
      </c>
      <c r="CG22" s="100">
        <v>2059.3244878860951</v>
      </c>
      <c r="CH22" s="100">
        <v>9</v>
      </c>
      <c r="CI22" s="100">
        <v>1684.8</v>
      </c>
      <c r="CJ22" s="100">
        <v>8.2012803815026452</v>
      </c>
      <c r="CK22" s="100">
        <v>1535.279687417295</v>
      </c>
      <c r="CL22" s="100">
        <v>7.159838497627546</v>
      </c>
      <c r="CM22" s="100">
        <v>1340.3217667558765</v>
      </c>
      <c r="CN22" s="100">
        <v>6.3927129443103086</v>
      </c>
      <c r="CO22" s="100">
        <v>1196.7158631748896</v>
      </c>
      <c r="CP22" s="100">
        <v>5.6473348918187085</v>
      </c>
      <c r="CQ22" s="100">
        <v>1057.1810917484622</v>
      </c>
      <c r="CR22" s="100">
        <v>1.4557708922196018</v>
      </c>
      <c r="CS22" s="100">
        <v>272.52031102350941</v>
      </c>
      <c r="CT22" s="100">
        <v>6.2763136338173986</v>
      </c>
      <c r="CU22" s="100">
        <v>1174.9259122506169</v>
      </c>
    </row>
    <row r="23" spans="2:99">
      <c r="C23" s="99" t="s">
        <v>189</v>
      </c>
      <c r="D23" s="100">
        <v>11</v>
      </c>
      <c r="E23" s="100">
        <v>3234</v>
      </c>
      <c r="F23" s="100">
        <v>6.3600100872416343</v>
      </c>
      <c r="G23" s="100">
        <v>1869.8429656490405</v>
      </c>
      <c r="H23" s="100">
        <v>5.327851719902176</v>
      </c>
      <c r="I23" s="100">
        <v>1566.3884056512397</v>
      </c>
      <c r="J23" s="100">
        <v>7.9490922410907894</v>
      </c>
      <c r="K23" s="100">
        <v>2337.0331188806922</v>
      </c>
      <c r="L23" s="100">
        <v>4.9010799239712366</v>
      </c>
      <c r="M23" s="100">
        <v>1440.9174976475435</v>
      </c>
      <c r="N23" s="100">
        <v>2.6804333616558655</v>
      </c>
      <c r="O23" s="100">
        <v>788.04740832682444</v>
      </c>
      <c r="P23" s="100">
        <v>8.4020116110539149</v>
      </c>
      <c r="Q23" s="100">
        <v>2470.1914136498508</v>
      </c>
      <c r="R23" s="100">
        <v>3.908594222255648</v>
      </c>
      <c r="S23" s="100">
        <v>1149.1267013431604</v>
      </c>
      <c r="T23" s="100">
        <v>7.7133258847524528</v>
      </c>
      <c r="U23" s="100">
        <v>2267.7178101172212</v>
      </c>
      <c r="V23" s="100">
        <v>9</v>
      </c>
      <c r="W23" s="100">
        <v>2646</v>
      </c>
      <c r="X23" s="100">
        <v>1.2581090778570871</v>
      </c>
      <c r="Y23" s="100">
        <v>369.88406888998361</v>
      </c>
      <c r="Z23" s="100">
        <v>9</v>
      </c>
      <c r="AA23" s="100">
        <v>2646</v>
      </c>
      <c r="AB23" s="100">
        <v>4.6456214817297781</v>
      </c>
      <c r="AC23" s="100">
        <v>1365.8127156285548</v>
      </c>
      <c r="AD23" s="100">
        <v>8.1983234391824453</v>
      </c>
      <c r="AE23" s="100">
        <v>2410.3070911196392</v>
      </c>
      <c r="AF23" s="100">
        <v>5.2492078497887604</v>
      </c>
      <c r="AG23" s="100">
        <v>1543.2671078378955</v>
      </c>
      <c r="AH23" s="100">
        <v>9.7784828531811279</v>
      </c>
      <c r="AI23" s="100">
        <v>2874.8739588352514</v>
      </c>
      <c r="AJ23" s="100">
        <v>8.9535556842635202</v>
      </c>
      <c r="AK23" s="100">
        <v>2632.3453711734751</v>
      </c>
      <c r="AL23" s="100">
        <v>6.596198617632176E-4</v>
      </c>
      <c r="AM23" s="100">
        <v>0.19392823935838596</v>
      </c>
      <c r="AN23" s="100">
        <v>10.180203376249413</v>
      </c>
      <c r="AO23" s="100">
        <v>2992.9797926173273</v>
      </c>
      <c r="AP23" s="100">
        <v>8</v>
      </c>
      <c r="AQ23" s="100">
        <v>2352</v>
      </c>
      <c r="AR23" s="100">
        <v>7.6492477128663738</v>
      </c>
      <c r="AS23" s="100">
        <v>2248.8788275827137</v>
      </c>
      <c r="AT23" s="100">
        <v>8.7268831714591162</v>
      </c>
      <c r="AU23" s="100">
        <v>2565.7036524089804</v>
      </c>
      <c r="AV23" s="100">
        <v>7.0468222671651262</v>
      </c>
      <c r="AW23" s="100">
        <v>2071.7657465465472</v>
      </c>
      <c r="AX23" s="100">
        <v>7.3663051404022957</v>
      </c>
      <c r="AY23" s="100">
        <v>2165.6937112782748</v>
      </c>
      <c r="AZ23" s="100">
        <v>2.4743045945661017</v>
      </c>
      <c r="BA23" s="100">
        <v>727.4455508024339</v>
      </c>
      <c r="BB23" s="100">
        <v>9.7319217148751669</v>
      </c>
      <c r="BC23" s="100">
        <v>2861.1849841732992</v>
      </c>
      <c r="BD23" s="100">
        <v>8.9929439470451857</v>
      </c>
      <c r="BE23" s="100">
        <v>2643.9255204312844</v>
      </c>
      <c r="BF23" s="100">
        <v>5.0545207319040371</v>
      </c>
      <c r="BG23" s="100">
        <v>1486.029095179787</v>
      </c>
      <c r="BH23" s="100">
        <v>2.5078894578438113</v>
      </c>
      <c r="BI23" s="100">
        <v>737.31950060608051</v>
      </c>
      <c r="BJ23" s="100">
        <v>12.041264312775139</v>
      </c>
      <c r="BK23" s="100">
        <v>3540.1317079558908</v>
      </c>
      <c r="BL23" s="100">
        <v>6.2685166473975222</v>
      </c>
      <c r="BM23" s="100">
        <v>1842.9438943348716</v>
      </c>
      <c r="BN23" s="100">
        <v>6.6188217622762675</v>
      </c>
      <c r="BO23" s="100">
        <v>1945.9335981092227</v>
      </c>
      <c r="BP23" s="100">
        <v>5.0545207319040371</v>
      </c>
      <c r="BQ23" s="100">
        <v>1486.029095179787</v>
      </c>
      <c r="BR23" s="100">
        <v>7.1575115443672994E-4</v>
      </c>
      <c r="BS23" s="100">
        <v>0.21043083940439861</v>
      </c>
      <c r="BT23" s="100">
        <v>8.0920807412632421</v>
      </c>
      <c r="BU23" s="100">
        <v>2379.0717379313933</v>
      </c>
      <c r="BV23" s="100">
        <v>9.3063197853619926</v>
      </c>
      <c r="BW23" s="100">
        <v>2736.0580168964257</v>
      </c>
      <c r="BX23" s="100">
        <v>9</v>
      </c>
      <c r="BY23" s="100">
        <v>2646</v>
      </c>
      <c r="BZ23" s="100">
        <v>9</v>
      </c>
      <c r="CA23" s="100">
        <v>2646</v>
      </c>
      <c r="CB23" s="100">
        <v>1.6204507709335381</v>
      </c>
      <c r="CC23" s="100">
        <v>476.41252665446018</v>
      </c>
      <c r="CD23" s="100">
        <v>5.9361754848636045E-4</v>
      </c>
      <c r="CE23" s="100">
        <v>0.17452355925498997</v>
      </c>
      <c r="CF23" s="100">
        <v>11.000620666098767</v>
      </c>
      <c r="CG23" s="100">
        <v>3234.1824758330376</v>
      </c>
      <c r="CH23" s="100">
        <v>9</v>
      </c>
      <c r="CI23" s="100">
        <v>2646</v>
      </c>
      <c r="CJ23" s="100">
        <v>7.3811523433523814</v>
      </c>
      <c r="CK23" s="100">
        <v>2170.0587889456001</v>
      </c>
      <c r="CL23" s="100">
        <v>6.3643008867800406</v>
      </c>
      <c r="CM23" s="100">
        <v>1871.1044607133319</v>
      </c>
      <c r="CN23" s="100">
        <v>5.6824115060536071</v>
      </c>
      <c r="CO23" s="100">
        <v>1670.6289827797605</v>
      </c>
      <c r="CP23" s="100">
        <v>5.6473348918187085</v>
      </c>
      <c r="CQ23" s="100">
        <v>1660.3164581947003</v>
      </c>
      <c r="CR23" s="100">
        <v>1.4557708922196018</v>
      </c>
      <c r="CS23" s="100">
        <v>427.99664231256293</v>
      </c>
      <c r="CT23" s="100">
        <v>6.7738408365631679</v>
      </c>
      <c r="CU23" s="100">
        <v>1991.5092059495714</v>
      </c>
    </row>
    <row r="24" spans="2:99">
      <c r="C24" s="99" t="s">
        <v>190</v>
      </c>
      <c r="D24" s="100">
        <v>10</v>
      </c>
      <c r="E24" s="100">
        <v>3672</v>
      </c>
      <c r="F24" s="100">
        <v>6.3600100872416343</v>
      </c>
      <c r="G24" s="100">
        <v>2335.3957040351279</v>
      </c>
      <c r="H24" s="100">
        <v>5.327851719902176</v>
      </c>
      <c r="I24" s="100">
        <v>1956.3871515480789</v>
      </c>
      <c r="J24" s="100">
        <v>7.9490922410907894</v>
      </c>
      <c r="K24" s="100">
        <v>2918.9066709285376</v>
      </c>
      <c r="L24" s="100">
        <v>5.717926577966443</v>
      </c>
      <c r="M24" s="100">
        <v>2099.622639429278</v>
      </c>
      <c r="N24" s="100">
        <v>2.3851791422795334</v>
      </c>
      <c r="O24" s="100">
        <v>875.83778104504461</v>
      </c>
      <c r="P24" s="100">
        <v>8.2618104499485234</v>
      </c>
      <c r="Q24" s="100">
        <v>3033.7367972210977</v>
      </c>
      <c r="R24" s="100">
        <v>3.908594222255648</v>
      </c>
      <c r="S24" s="100">
        <v>1435.2357984122739</v>
      </c>
      <c r="T24" s="100">
        <v>7.7133258847524528</v>
      </c>
      <c r="U24" s="100">
        <v>2832.3332648811006</v>
      </c>
      <c r="V24" s="100">
        <v>9</v>
      </c>
      <c r="W24" s="100">
        <v>3304.7999999999997</v>
      </c>
      <c r="X24" s="100">
        <v>1.2242546743483682</v>
      </c>
      <c r="Y24" s="100">
        <v>449.54631642072081</v>
      </c>
      <c r="Z24" s="100">
        <v>9</v>
      </c>
      <c r="AA24" s="100">
        <v>3304.7999999999997</v>
      </c>
      <c r="AB24" s="100">
        <v>3.9819612700540952</v>
      </c>
      <c r="AC24" s="100">
        <v>1462.1761783638638</v>
      </c>
      <c r="AD24" s="100">
        <v>8.1983234391824453</v>
      </c>
      <c r="AE24" s="100">
        <v>3010.4243668677937</v>
      </c>
      <c r="AF24" s="100">
        <v>5.7741286347676359</v>
      </c>
      <c r="AG24" s="100">
        <v>2120.2600346866757</v>
      </c>
      <c r="AH24" s="100">
        <v>10.616802593801026</v>
      </c>
      <c r="AI24" s="100">
        <v>3898.4899124437366</v>
      </c>
      <c r="AJ24" s="100">
        <v>8.9535556842635202</v>
      </c>
      <c r="AK24" s="100">
        <v>3287.7456472615645</v>
      </c>
      <c r="AL24" s="100">
        <v>6.6558235002837007E-4</v>
      </c>
      <c r="AM24" s="100">
        <v>0.24440183893041748</v>
      </c>
      <c r="AN24" s="100">
        <v>10.180203376249413</v>
      </c>
      <c r="AO24" s="100">
        <v>3738.170679758784</v>
      </c>
      <c r="AP24" s="100">
        <v>8</v>
      </c>
      <c r="AQ24" s="100">
        <v>2937.6</v>
      </c>
      <c r="AR24" s="100">
        <v>7.6492477128663738</v>
      </c>
      <c r="AS24" s="100">
        <v>2808.8037601645324</v>
      </c>
      <c r="AT24" s="100">
        <v>7.9996429071708572</v>
      </c>
      <c r="AU24" s="100">
        <v>2937.4688755131388</v>
      </c>
      <c r="AV24" s="100">
        <v>6.0468222671651262</v>
      </c>
      <c r="AW24" s="100">
        <v>2220.3931365030344</v>
      </c>
      <c r="AX24" s="100">
        <v>7.4780228476117543</v>
      </c>
      <c r="AY24" s="100">
        <v>2745.9299896430362</v>
      </c>
      <c r="AZ24" s="100">
        <v>2.2837854044370132</v>
      </c>
      <c r="BA24" s="100">
        <v>838.60600050927121</v>
      </c>
      <c r="BB24" s="100">
        <v>9.7319217148751669</v>
      </c>
      <c r="BC24" s="100">
        <v>3573.561653702161</v>
      </c>
      <c r="BD24" s="100">
        <v>9.8922383417497048</v>
      </c>
      <c r="BE24" s="100">
        <v>3632.4299190904917</v>
      </c>
      <c r="BF24" s="100">
        <v>5.0545207319040371</v>
      </c>
      <c r="BG24" s="100">
        <v>1856.0200127551623</v>
      </c>
      <c r="BH24" s="100">
        <v>2.4985688070689376</v>
      </c>
      <c r="BI24" s="100">
        <v>917.47446595571387</v>
      </c>
      <c r="BJ24" s="100">
        <v>11.905180025256797</v>
      </c>
      <c r="BK24" s="100">
        <v>4371.5821052742958</v>
      </c>
      <c r="BL24" s="100">
        <v>7.0520812283222121</v>
      </c>
      <c r="BM24" s="100">
        <v>2589.5242270399162</v>
      </c>
      <c r="BN24" s="100">
        <v>7.3542464025291858</v>
      </c>
      <c r="BO24" s="100">
        <v>2700.4792790087167</v>
      </c>
      <c r="BP24" s="100">
        <v>5.0545207319040371</v>
      </c>
      <c r="BQ24" s="100">
        <v>1856.0200127551623</v>
      </c>
      <c r="BR24" s="100">
        <v>6.4536845708097453E-4</v>
      </c>
      <c r="BS24" s="100">
        <v>0.23697929744013385</v>
      </c>
      <c r="BT24" s="100">
        <v>8.1898216911489463</v>
      </c>
      <c r="BU24" s="100">
        <v>3007.3025249898928</v>
      </c>
      <c r="BV24" s="100">
        <v>9.1974598032484938</v>
      </c>
      <c r="BW24" s="100">
        <v>3377.3072397528467</v>
      </c>
      <c r="BX24" s="100">
        <v>8</v>
      </c>
      <c r="BY24" s="100">
        <v>2937.6</v>
      </c>
      <c r="BZ24" s="100">
        <v>8</v>
      </c>
      <c r="CA24" s="100">
        <v>2937.6</v>
      </c>
      <c r="CB24" s="100">
        <v>1.6204507709335381</v>
      </c>
      <c r="CC24" s="100">
        <v>595.02952308679517</v>
      </c>
      <c r="CD24" s="100">
        <v>6.5297930333499648E-4</v>
      </c>
      <c r="CE24" s="100">
        <v>0.2397740001846107</v>
      </c>
      <c r="CF24" s="100">
        <v>10.000576332805998</v>
      </c>
      <c r="CG24" s="100">
        <v>3672.2116294063626</v>
      </c>
      <c r="CH24" s="100">
        <v>8</v>
      </c>
      <c r="CI24" s="100">
        <v>2937.6</v>
      </c>
      <c r="CJ24" s="100">
        <v>8.2012803815026452</v>
      </c>
      <c r="CK24" s="100">
        <v>3011.5101560877711</v>
      </c>
      <c r="CL24" s="100">
        <v>6.3643008867800406</v>
      </c>
      <c r="CM24" s="100">
        <v>2336.971285625631</v>
      </c>
      <c r="CN24" s="100">
        <v>6.3927129443103086</v>
      </c>
      <c r="CO24" s="100">
        <v>2347.4041931507454</v>
      </c>
      <c r="CP24" s="100">
        <v>5.6473348918187085</v>
      </c>
      <c r="CQ24" s="100">
        <v>2073.7013722758297</v>
      </c>
      <c r="CR24" s="100">
        <v>1.4557708922196018</v>
      </c>
      <c r="CS24" s="100">
        <v>534.55907162303777</v>
      </c>
      <c r="CT24" s="100">
        <v>5.7764076926791619</v>
      </c>
      <c r="CU24" s="100">
        <v>2121.0969047517883</v>
      </c>
    </row>
    <row r="25" spans="2:99">
      <c r="C25" s="99" t="s">
        <v>191</v>
      </c>
      <c r="D25" s="100">
        <v>11</v>
      </c>
      <c r="E25" s="100">
        <v>5834.4</v>
      </c>
      <c r="F25" s="100">
        <v>7.1550113481468394</v>
      </c>
      <c r="G25" s="100">
        <v>3795.0180190570836</v>
      </c>
      <c r="H25" s="100">
        <v>5.327851719902176</v>
      </c>
      <c r="I25" s="100">
        <v>2825.8925522361142</v>
      </c>
      <c r="J25" s="100">
        <v>6.5038027427106453</v>
      </c>
      <c r="K25" s="100">
        <v>3449.6169747337262</v>
      </c>
      <c r="L25" s="100">
        <v>4.9010799239712366</v>
      </c>
      <c r="M25" s="100">
        <v>2599.5327916743436</v>
      </c>
      <c r="N25" s="100">
        <v>2.402822929394747</v>
      </c>
      <c r="O25" s="100">
        <v>1274.4572817509738</v>
      </c>
      <c r="P25" s="100">
        <v>7.4020116110539158</v>
      </c>
      <c r="Q25" s="100">
        <v>3926.0269585029969</v>
      </c>
      <c r="R25" s="100">
        <v>3.908594222255648</v>
      </c>
      <c r="S25" s="100">
        <v>2073.1183754843955</v>
      </c>
      <c r="T25" s="100">
        <v>7.7133258847524528</v>
      </c>
      <c r="U25" s="100">
        <v>4091.148049272701</v>
      </c>
      <c r="V25" s="100">
        <v>9</v>
      </c>
      <c r="W25" s="100">
        <v>4773.5999999999995</v>
      </c>
      <c r="X25" s="100">
        <v>1.2242546743483682</v>
      </c>
      <c r="Y25" s="100">
        <v>649.34467927437447</v>
      </c>
      <c r="Z25" s="100">
        <v>8</v>
      </c>
      <c r="AA25" s="100">
        <v>4243.2</v>
      </c>
      <c r="AB25" s="100">
        <v>3.9819612700540952</v>
      </c>
      <c r="AC25" s="100">
        <v>2112.0322576366921</v>
      </c>
      <c r="AD25" s="100">
        <v>8.686876778272584</v>
      </c>
      <c r="AE25" s="100">
        <v>4607.519443195778</v>
      </c>
      <c r="AF25" s="100">
        <v>4.7242870648098849</v>
      </c>
      <c r="AG25" s="100">
        <v>2505.761859175163</v>
      </c>
      <c r="AH25" s="100">
        <v>10.616802593801026</v>
      </c>
      <c r="AI25" s="100">
        <v>5631.1520957520643</v>
      </c>
      <c r="AJ25" s="100">
        <v>7.9587161637897958</v>
      </c>
      <c r="AK25" s="100">
        <v>4221.3030532741077</v>
      </c>
      <c r="AL25" s="100">
        <v>6.6260110589579395E-4</v>
      </c>
      <c r="AM25" s="100">
        <v>0.35144362656712907</v>
      </c>
      <c r="AN25" s="100">
        <v>9.517404340892103</v>
      </c>
      <c r="AO25" s="100">
        <v>5048.0312624091712</v>
      </c>
      <c r="AP25" s="100">
        <v>8</v>
      </c>
      <c r="AQ25" s="100">
        <v>4243.2</v>
      </c>
      <c r="AR25" s="100">
        <v>7.6492477128663738</v>
      </c>
      <c r="AS25" s="100">
        <v>4057.1609869043245</v>
      </c>
      <c r="AT25" s="100">
        <v>7.2724026428825974</v>
      </c>
      <c r="AU25" s="100">
        <v>3857.2823617849294</v>
      </c>
      <c r="AV25" s="100">
        <v>7.0425656974228419</v>
      </c>
      <c r="AW25" s="100">
        <v>3735.3768459130752</v>
      </c>
      <c r="AX25" s="100">
        <v>7.5897405548212147</v>
      </c>
      <c r="AY25" s="100">
        <v>4025.5983902771723</v>
      </c>
      <c r="AZ25" s="100">
        <v>2.4743045945661017</v>
      </c>
      <c r="BA25" s="100">
        <v>1312.3711569578604</v>
      </c>
      <c r="BB25" s="100">
        <v>9.8556304087948217</v>
      </c>
      <c r="BC25" s="100">
        <v>5227.4263688247729</v>
      </c>
      <c r="BD25" s="100">
        <v>8.9929439470451857</v>
      </c>
      <c r="BE25" s="100">
        <v>4769.8574695127663</v>
      </c>
      <c r="BF25" s="100">
        <v>4.2121006099200313</v>
      </c>
      <c r="BG25" s="100">
        <v>2234.0981635015846</v>
      </c>
      <c r="BH25" s="100">
        <v>2.4985688070689376</v>
      </c>
      <c r="BI25" s="100">
        <v>1325.2408952693645</v>
      </c>
      <c r="BJ25" s="100">
        <v>11.769095737738454</v>
      </c>
      <c r="BK25" s="100">
        <v>6242.3283792964758</v>
      </c>
      <c r="BL25" s="100">
        <v>6.2685166473975222</v>
      </c>
      <c r="BM25" s="100">
        <v>3324.8212297796458</v>
      </c>
      <c r="BN25" s="100">
        <v>6.6188217622762675</v>
      </c>
      <c r="BO25" s="100">
        <v>3510.6230627113323</v>
      </c>
      <c r="BP25" s="100">
        <v>5.0545207319040371</v>
      </c>
      <c r="BQ25" s="100">
        <v>2680.9177962019012</v>
      </c>
      <c r="BR25" s="100">
        <v>7.142606318268327E-4</v>
      </c>
      <c r="BS25" s="100">
        <v>0.37884383912095204</v>
      </c>
      <c r="BT25" s="100">
        <v>6.8646654861680858</v>
      </c>
      <c r="BU25" s="100">
        <v>3641.0185738635528</v>
      </c>
      <c r="BV25" s="100">
        <v>9.1974598032484938</v>
      </c>
      <c r="BW25" s="100">
        <v>4878.332679643001</v>
      </c>
      <c r="BX25" s="100">
        <v>7</v>
      </c>
      <c r="BY25" s="100">
        <v>3712.7999999999997</v>
      </c>
      <c r="BZ25" s="100">
        <v>8</v>
      </c>
      <c r="CA25" s="100">
        <v>4243.2</v>
      </c>
      <c r="CB25" s="100">
        <v>1.6204507709335381</v>
      </c>
      <c r="CC25" s="100">
        <v>859.48708890314856</v>
      </c>
      <c r="CD25" s="100">
        <v>5.9361754848636045E-4</v>
      </c>
      <c r="CE25" s="100">
        <v>0.3148547477171656</v>
      </c>
      <c r="CF25" s="100">
        <v>11.000620666098767</v>
      </c>
      <c r="CG25" s="100">
        <v>5834.7292012987855</v>
      </c>
      <c r="CH25" s="100">
        <v>9</v>
      </c>
      <c r="CI25" s="100">
        <v>4773.5999999999995</v>
      </c>
      <c r="CJ25" s="100">
        <v>7.3811523433523814</v>
      </c>
      <c r="CK25" s="100">
        <v>3914.963202914103</v>
      </c>
      <c r="CL25" s="100">
        <v>6.3643008867800406</v>
      </c>
      <c r="CM25" s="100">
        <v>3375.6251903481334</v>
      </c>
      <c r="CN25" s="100">
        <v>6.3927129443103086</v>
      </c>
      <c r="CO25" s="100">
        <v>3390.6949456621874</v>
      </c>
      <c r="CP25" s="100">
        <v>5.6473348918187085</v>
      </c>
      <c r="CQ25" s="100">
        <v>2995.3464266206429</v>
      </c>
      <c r="CR25" s="100">
        <v>1.4557708922196018</v>
      </c>
      <c r="CS25" s="100">
        <v>772.14088123327679</v>
      </c>
      <c r="CT25" s="100">
        <v>5.7740289542866945</v>
      </c>
      <c r="CU25" s="100">
        <v>3062.5449573536625</v>
      </c>
    </row>
    <row r="26" spans="2:99">
      <c r="C26" s="99" t="s">
        <v>192</v>
      </c>
      <c r="D26" s="100">
        <v>10</v>
      </c>
      <c r="E26" s="100">
        <v>4860</v>
      </c>
      <c r="F26" s="100">
        <v>7.1550113481468394</v>
      </c>
      <c r="G26" s="100">
        <v>3477.3355151993637</v>
      </c>
      <c r="H26" s="100">
        <v>5.327851719902176</v>
      </c>
      <c r="I26" s="100">
        <v>2589.3359358724574</v>
      </c>
      <c r="J26" s="100">
        <v>7.2264474919007169</v>
      </c>
      <c r="K26" s="100">
        <v>3512.0534810637482</v>
      </c>
      <c r="L26" s="100">
        <v>4.9010799239712366</v>
      </c>
      <c r="M26" s="100">
        <v>2381.9248430500211</v>
      </c>
      <c r="N26" s="100">
        <v>2.6804333616558655</v>
      </c>
      <c r="O26" s="100">
        <v>1302.6906137647507</v>
      </c>
      <c r="P26" s="100">
        <v>7.2618104499485243</v>
      </c>
      <c r="Q26" s="100">
        <v>3529.2398786749827</v>
      </c>
      <c r="R26" s="100">
        <v>3.908594222255648</v>
      </c>
      <c r="S26" s="100">
        <v>1899.576792016245</v>
      </c>
      <c r="T26" s="100">
        <v>7.7133258847524528</v>
      </c>
      <c r="U26" s="100">
        <v>3748.6763799896921</v>
      </c>
      <c r="V26" s="100">
        <v>9</v>
      </c>
      <c r="W26" s="100">
        <v>4374</v>
      </c>
      <c r="X26" s="100">
        <v>1.0493611494414585</v>
      </c>
      <c r="Y26" s="100">
        <v>509.98951862854886</v>
      </c>
      <c r="Z26" s="100">
        <v>7</v>
      </c>
      <c r="AA26" s="100">
        <v>3402</v>
      </c>
      <c r="AB26" s="100">
        <v>4.6456214817297781</v>
      </c>
      <c r="AC26" s="100">
        <v>2257.772040120672</v>
      </c>
      <c r="AD26" s="100">
        <v>7.2873986126066175</v>
      </c>
      <c r="AE26" s="100">
        <v>3541.6757257268159</v>
      </c>
      <c r="AF26" s="100">
        <v>5.2492078497887604</v>
      </c>
      <c r="AG26" s="100">
        <v>2551.1150149973378</v>
      </c>
      <c r="AH26" s="100">
        <v>10.778482853181128</v>
      </c>
      <c r="AI26" s="100">
        <v>5238.3426666460282</v>
      </c>
      <c r="AJ26" s="100">
        <v>7.9587161637897958</v>
      </c>
      <c r="AK26" s="100">
        <v>3867.936055601841</v>
      </c>
      <c r="AL26" s="100">
        <v>6.055828521172006E-4</v>
      </c>
      <c r="AM26" s="100">
        <v>0.29431326612895947</v>
      </c>
      <c r="AN26" s="100">
        <v>10.348803858570758</v>
      </c>
      <c r="AO26" s="100">
        <v>5029.5186752653881</v>
      </c>
      <c r="AP26" s="100">
        <v>8</v>
      </c>
      <c r="AQ26" s="100">
        <v>3888</v>
      </c>
      <c r="AR26" s="100">
        <v>6.6930917487580777</v>
      </c>
      <c r="AS26" s="100">
        <v>3252.8425898964256</v>
      </c>
      <c r="AT26" s="100">
        <v>7.9996429071708572</v>
      </c>
      <c r="AU26" s="100">
        <v>3887.8264528850368</v>
      </c>
      <c r="AV26" s="100">
        <v>6.0468222671651262</v>
      </c>
      <c r="AW26" s="100">
        <v>2938.7556218422515</v>
      </c>
      <c r="AX26" s="100">
        <v>7.4780228476117543</v>
      </c>
      <c r="AY26" s="100">
        <v>3634.3191039393128</v>
      </c>
      <c r="AZ26" s="100">
        <v>2.2837854044370132</v>
      </c>
      <c r="BA26" s="100">
        <v>1109.9197065563883</v>
      </c>
      <c r="BB26" s="100">
        <v>9.7319217148751669</v>
      </c>
      <c r="BC26" s="100">
        <v>4729.713953429331</v>
      </c>
      <c r="BD26" s="100">
        <v>9.8922383417497048</v>
      </c>
      <c r="BE26" s="100">
        <v>4807.6278340903564</v>
      </c>
      <c r="BF26" s="100">
        <v>4.2121006099200313</v>
      </c>
      <c r="BG26" s="100">
        <v>2047.0808964211353</v>
      </c>
      <c r="BH26" s="100">
        <v>2.3159865294440962</v>
      </c>
      <c r="BI26" s="100">
        <v>1125.5694533098308</v>
      </c>
      <c r="BJ26" s="100">
        <v>13.041264312775139</v>
      </c>
      <c r="BK26" s="100">
        <v>6338.0544560087174</v>
      </c>
      <c r="BL26" s="100">
        <v>6.2685166473975222</v>
      </c>
      <c r="BM26" s="100">
        <v>3046.4990906351959</v>
      </c>
      <c r="BN26" s="100">
        <v>7.3542464025291858</v>
      </c>
      <c r="BO26" s="100">
        <v>3574.1637516291844</v>
      </c>
      <c r="BP26" s="100">
        <v>5.0545207319040371</v>
      </c>
      <c r="BQ26" s="100">
        <v>2456.497075705362</v>
      </c>
      <c r="BR26" s="100">
        <v>6.4536845708097453E-4</v>
      </c>
      <c r="BS26" s="100">
        <v>0.31364907014135363</v>
      </c>
      <c r="BT26" s="100">
        <v>7.50435844266896</v>
      </c>
      <c r="BU26" s="100">
        <v>3647.1182031371145</v>
      </c>
      <c r="BV26" s="100">
        <v>10.306319785361993</v>
      </c>
      <c r="BW26" s="100">
        <v>5008.8714156859287</v>
      </c>
      <c r="BX26" s="100">
        <v>8</v>
      </c>
      <c r="BY26" s="100">
        <v>3888</v>
      </c>
      <c r="BZ26" s="100">
        <v>7</v>
      </c>
      <c r="CA26" s="100">
        <v>3402</v>
      </c>
      <c r="CB26" s="100">
        <v>1.6204507709335381</v>
      </c>
      <c r="CC26" s="100">
        <v>787.53907467369947</v>
      </c>
      <c r="CD26" s="100">
        <v>5.9361754848636045E-4</v>
      </c>
      <c r="CE26" s="100">
        <v>0.28849812856437118</v>
      </c>
      <c r="CF26" s="100">
        <v>9.0005763328059984</v>
      </c>
      <c r="CG26" s="100">
        <v>4374.2800977437155</v>
      </c>
      <c r="CH26" s="100">
        <v>9</v>
      </c>
      <c r="CI26" s="100">
        <v>4374</v>
      </c>
      <c r="CJ26" s="100">
        <v>8.2012803815026452</v>
      </c>
      <c r="CK26" s="100">
        <v>3985.8222654102856</v>
      </c>
      <c r="CL26" s="100">
        <v>7.159838497627546</v>
      </c>
      <c r="CM26" s="100">
        <v>3479.6815098469874</v>
      </c>
      <c r="CN26" s="100">
        <v>5.6824115060536071</v>
      </c>
      <c r="CO26" s="100">
        <v>2761.651991942053</v>
      </c>
      <c r="CP26" s="100">
        <v>4.8405727644160361</v>
      </c>
      <c r="CQ26" s="100">
        <v>2352.5183635061935</v>
      </c>
      <c r="CR26" s="100">
        <v>1.4557708922196018</v>
      </c>
      <c r="CS26" s="100">
        <v>707.50465361872648</v>
      </c>
      <c r="CT26" s="100">
        <v>6.2763136338173986</v>
      </c>
      <c r="CU26" s="100">
        <v>3050.2884260352557</v>
      </c>
    </row>
    <row r="27" spans="2:99">
      <c r="C27" s="99" t="s">
        <v>193</v>
      </c>
      <c r="D27" s="100">
        <v>9</v>
      </c>
      <c r="E27" s="100">
        <v>3844.7999999999997</v>
      </c>
      <c r="F27" s="100">
        <v>7.1550113481468394</v>
      </c>
      <c r="G27" s="100">
        <v>3056.6208479283296</v>
      </c>
      <c r="H27" s="100">
        <v>5.327851719902176</v>
      </c>
      <c r="I27" s="100">
        <v>2276.0582547422096</v>
      </c>
      <c r="J27" s="100">
        <v>7.2264474919007169</v>
      </c>
      <c r="K27" s="100">
        <v>3087.138368539986</v>
      </c>
      <c r="L27" s="100">
        <v>5.717926577966443</v>
      </c>
      <c r="M27" s="100">
        <v>2442.6982341072644</v>
      </c>
      <c r="N27" s="100">
        <v>2.6792107838439398</v>
      </c>
      <c r="O27" s="100">
        <v>1144.5588468581311</v>
      </c>
      <c r="P27" s="100">
        <v>7.4020116110539158</v>
      </c>
      <c r="Q27" s="100">
        <v>3162.1393602422327</v>
      </c>
      <c r="R27" s="100">
        <v>3.908594222255648</v>
      </c>
      <c r="S27" s="100">
        <v>1669.7514517476127</v>
      </c>
      <c r="T27" s="100">
        <v>7.7727697084818246</v>
      </c>
      <c r="U27" s="100">
        <v>3320.5272194634354</v>
      </c>
      <c r="V27" s="100">
        <v>9</v>
      </c>
      <c r="W27" s="100">
        <v>3844.7999999999997</v>
      </c>
      <c r="X27" s="100">
        <v>1.2242546743483682</v>
      </c>
      <c r="Y27" s="100">
        <v>523.00159688162285</v>
      </c>
      <c r="Z27" s="100">
        <v>8</v>
      </c>
      <c r="AA27" s="100">
        <v>3417.6</v>
      </c>
      <c r="AB27" s="100">
        <v>3.9819612700540952</v>
      </c>
      <c r="AC27" s="100">
        <v>1701.0938545671095</v>
      </c>
      <c r="AD27" s="100">
        <v>8.6519801111947157</v>
      </c>
      <c r="AE27" s="100">
        <v>3696.1259035023822</v>
      </c>
      <c r="AF27" s="100">
        <v>5.2492078497887604</v>
      </c>
      <c r="AG27" s="100">
        <v>2242.4615934297585</v>
      </c>
      <c r="AH27" s="100">
        <v>10.616802593801026</v>
      </c>
      <c r="AI27" s="100">
        <v>4535.4980680717981</v>
      </c>
      <c r="AJ27" s="100">
        <v>8.9535556842635202</v>
      </c>
      <c r="AK27" s="100">
        <v>3824.9589883173758</v>
      </c>
      <c r="AL27" s="100">
        <v>6.5663861763064137E-4</v>
      </c>
      <c r="AM27" s="100">
        <v>0.28051601745180998</v>
      </c>
      <c r="AN27" s="100">
        <v>9.3488038585707578</v>
      </c>
      <c r="AO27" s="100">
        <v>3993.8090083814277</v>
      </c>
      <c r="AP27" s="100">
        <v>9</v>
      </c>
      <c r="AQ27" s="100">
        <v>3844.7999999999997</v>
      </c>
      <c r="AR27" s="100">
        <v>7.6492477128663738</v>
      </c>
      <c r="AS27" s="100">
        <v>3267.7586229365147</v>
      </c>
      <c r="AT27" s="100">
        <v>7.2724026428825974</v>
      </c>
      <c r="AU27" s="100">
        <v>3106.7704090394454</v>
      </c>
      <c r="AV27" s="100">
        <v>6.0425656974228419</v>
      </c>
      <c r="AW27" s="100">
        <v>2581.384065939038</v>
      </c>
      <c r="AX27" s="100">
        <v>7.3663051404022957</v>
      </c>
      <c r="AY27" s="100">
        <v>3146.8855559798608</v>
      </c>
      <c r="AZ27" s="100">
        <v>2.4643416076412032</v>
      </c>
      <c r="BA27" s="100">
        <v>1052.7667347843219</v>
      </c>
      <c r="BB27" s="100">
        <v>9.7319217148751669</v>
      </c>
      <c r="BC27" s="100">
        <v>4157.4769565946708</v>
      </c>
      <c r="BD27" s="100">
        <v>9.8922383417497048</v>
      </c>
      <c r="BE27" s="100">
        <v>4225.9642195954739</v>
      </c>
      <c r="BF27" s="100">
        <v>5.0545207319040371</v>
      </c>
      <c r="BG27" s="100">
        <v>2159.2912566694044</v>
      </c>
      <c r="BH27" s="100">
        <v>2.4892481562940634</v>
      </c>
      <c r="BI27" s="100">
        <v>1063.4068123688239</v>
      </c>
      <c r="BJ27" s="100">
        <v>11.041264312775139</v>
      </c>
      <c r="BK27" s="100">
        <v>4716.8281144175389</v>
      </c>
      <c r="BL27" s="100">
        <v>7.0520812283222121</v>
      </c>
      <c r="BM27" s="100">
        <v>3012.6491007392488</v>
      </c>
      <c r="BN27" s="100">
        <v>7.3542464025291858</v>
      </c>
      <c r="BO27" s="100">
        <v>3141.7340631604679</v>
      </c>
      <c r="BP27" s="100">
        <v>5.0545207319040371</v>
      </c>
      <c r="BQ27" s="100">
        <v>2159.2912566694044</v>
      </c>
      <c r="BR27" s="100">
        <v>7.142606318268327E-4</v>
      </c>
      <c r="BS27" s="100">
        <v>0.30513214191642291</v>
      </c>
      <c r="BT27" s="100">
        <v>6.8564751075458599</v>
      </c>
      <c r="BU27" s="100">
        <v>2929.0861659435914</v>
      </c>
      <c r="BV27" s="100">
        <v>9.3063197853619926</v>
      </c>
      <c r="BW27" s="100">
        <v>3975.6598123066433</v>
      </c>
      <c r="BX27" s="100">
        <v>8</v>
      </c>
      <c r="BY27" s="100">
        <v>3417.6</v>
      </c>
      <c r="BZ27" s="100">
        <v>8</v>
      </c>
      <c r="CA27" s="100">
        <v>3417.6</v>
      </c>
      <c r="CB27" s="100">
        <v>1.6204507709335381</v>
      </c>
      <c r="CC27" s="100">
        <v>692.25656934280744</v>
      </c>
      <c r="CD27" s="100">
        <v>5.9361754848636045E-4</v>
      </c>
      <c r="CE27" s="100">
        <v>0.25359341671337315</v>
      </c>
      <c r="CF27" s="100">
        <v>9.0006206660987669</v>
      </c>
      <c r="CG27" s="100">
        <v>3845.0651485573931</v>
      </c>
      <c r="CH27" s="100">
        <v>10</v>
      </c>
      <c r="CI27" s="100">
        <v>4272</v>
      </c>
      <c r="CJ27" s="100">
        <v>9.0214084196529107</v>
      </c>
      <c r="CK27" s="100">
        <v>3853.9456768757232</v>
      </c>
      <c r="CL27" s="100">
        <v>6.3643008867800406</v>
      </c>
      <c r="CM27" s="100">
        <v>2718.8293388324332</v>
      </c>
      <c r="CN27" s="100">
        <v>5.6824115060536071</v>
      </c>
      <c r="CO27" s="100">
        <v>2427.5261953861009</v>
      </c>
      <c r="CP27" s="100">
        <v>5.6473348918187085</v>
      </c>
      <c r="CQ27" s="100">
        <v>2412.5414657849524</v>
      </c>
      <c r="CR27" s="100">
        <v>1.4557708922196018</v>
      </c>
      <c r="CS27" s="100">
        <v>621.90532515621385</v>
      </c>
      <c r="CT27" s="100">
        <v>6.2739348954249312</v>
      </c>
      <c r="CU27" s="100">
        <v>2680.2249873255305</v>
      </c>
    </row>
    <row r="28" spans="2:99">
      <c r="C28" s="99" t="s">
        <v>194</v>
      </c>
      <c r="D28" s="100">
        <v>10</v>
      </c>
      <c r="E28" s="100">
        <v>7380</v>
      </c>
      <c r="F28" s="100">
        <v>5.565008826336431</v>
      </c>
      <c r="G28" s="100">
        <v>4106.9765138362864</v>
      </c>
      <c r="H28" s="100">
        <v>4.5667300456304369</v>
      </c>
      <c r="I28" s="100">
        <v>3370.2467736752624</v>
      </c>
      <c r="J28" s="100">
        <v>7.9490922410907894</v>
      </c>
      <c r="K28" s="100">
        <v>5866.4300739250029</v>
      </c>
      <c r="L28" s="100">
        <v>4.9010799239712366</v>
      </c>
      <c r="M28" s="100">
        <v>3616.9969838907728</v>
      </c>
      <c r="N28" s="100">
        <v>2.6792107838439398</v>
      </c>
      <c r="O28" s="100">
        <v>1977.2575584768276</v>
      </c>
      <c r="P28" s="100">
        <v>7.2618104499485243</v>
      </c>
      <c r="Q28" s="100">
        <v>5359.2161120620112</v>
      </c>
      <c r="R28" s="100">
        <v>3.3502236190762695</v>
      </c>
      <c r="S28" s="100">
        <v>2472.4650308782871</v>
      </c>
      <c r="T28" s="100">
        <v>7.7133258847524528</v>
      </c>
      <c r="U28" s="100">
        <v>5692.4345029473106</v>
      </c>
      <c r="V28" s="100">
        <v>8</v>
      </c>
      <c r="W28" s="100">
        <v>5904</v>
      </c>
      <c r="X28" s="100">
        <v>1.0493611494414585</v>
      </c>
      <c r="Y28" s="100">
        <v>774.42852828779644</v>
      </c>
      <c r="Z28" s="100">
        <v>8</v>
      </c>
      <c r="AA28" s="100">
        <v>5904</v>
      </c>
      <c r="AB28" s="100">
        <v>3.9819612700540952</v>
      </c>
      <c r="AC28" s="100">
        <v>2938.6874172999223</v>
      </c>
      <c r="AD28" s="100">
        <v>7.2873986126066175</v>
      </c>
      <c r="AE28" s="100">
        <v>5378.1001761036841</v>
      </c>
      <c r="AF28" s="100">
        <v>4.7242870648098849</v>
      </c>
      <c r="AG28" s="100">
        <v>3486.5238538296949</v>
      </c>
      <c r="AH28" s="100">
        <v>9.7784828531811279</v>
      </c>
      <c r="AI28" s="100">
        <v>7216.520345647672</v>
      </c>
      <c r="AJ28" s="100">
        <v>7.9587161637897958</v>
      </c>
      <c r="AK28" s="100">
        <v>5873.532528876869</v>
      </c>
      <c r="AL28" s="100">
        <v>6.055828521172006E-4</v>
      </c>
      <c r="AM28" s="100">
        <v>0.44692014486249404</v>
      </c>
      <c r="AN28" s="100">
        <v>9.3488038585707578</v>
      </c>
      <c r="AO28" s="100">
        <v>6899.4172476252188</v>
      </c>
      <c r="AP28" s="100">
        <v>9</v>
      </c>
      <c r="AQ28" s="100">
        <v>6642</v>
      </c>
      <c r="AR28" s="100">
        <v>6.6930917487580777</v>
      </c>
      <c r="AS28" s="100">
        <v>4939.5017105834613</v>
      </c>
      <c r="AT28" s="100">
        <v>8.7268831714591162</v>
      </c>
      <c r="AU28" s="100">
        <v>6440.439780536828</v>
      </c>
      <c r="AV28" s="100">
        <v>6.0425656974228419</v>
      </c>
      <c r="AW28" s="100">
        <v>4459.4134846980569</v>
      </c>
      <c r="AX28" s="100">
        <v>7.4780228476117543</v>
      </c>
      <c r="AY28" s="100">
        <v>5518.7808615374743</v>
      </c>
      <c r="AZ28" s="100">
        <v>2.2638594305872171</v>
      </c>
      <c r="BA28" s="100">
        <v>1670.7282597733663</v>
      </c>
      <c r="BB28" s="100">
        <v>9.7319217148751669</v>
      </c>
      <c r="BC28" s="100">
        <v>7182.1582255778731</v>
      </c>
      <c r="BD28" s="100">
        <v>8.9929439470451857</v>
      </c>
      <c r="BE28" s="100">
        <v>6636.7926329193469</v>
      </c>
      <c r="BF28" s="100">
        <v>4.2121006099200313</v>
      </c>
      <c r="BG28" s="100">
        <v>3108.5302501209831</v>
      </c>
      <c r="BH28" s="100">
        <v>2.0961216487197589</v>
      </c>
      <c r="BI28" s="100">
        <v>1546.9377767551821</v>
      </c>
      <c r="BJ28" s="100">
        <v>12.177348600293481</v>
      </c>
      <c r="BK28" s="100">
        <v>8986.8832670165884</v>
      </c>
      <c r="BL28" s="100">
        <v>7.0520812283222121</v>
      </c>
      <c r="BM28" s="100">
        <v>5204.4359465017924</v>
      </c>
      <c r="BN28" s="100">
        <v>6.6188217622762675</v>
      </c>
      <c r="BO28" s="100">
        <v>4884.6904605598857</v>
      </c>
      <c r="BP28" s="100">
        <v>5.0545207319040371</v>
      </c>
      <c r="BQ28" s="100">
        <v>3730.2363001451795</v>
      </c>
      <c r="BR28" s="100">
        <v>6.4238741186118048E-4</v>
      </c>
      <c r="BS28" s="100">
        <v>0.47408190995355121</v>
      </c>
      <c r="BT28" s="100">
        <v>6.8544850948511158</v>
      </c>
      <c r="BU28" s="100">
        <v>5058.6100000001234</v>
      </c>
      <c r="BV28" s="100">
        <v>8.0885998211349932</v>
      </c>
      <c r="BW28" s="100">
        <v>5969.3866679976254</v>
      </c>
      <c r="BX28" s="100">
        <v>7</v>
      </c>
      <c r="BY28" s="100">
        <v>5166</v>
      </c>
      <c r="BZ28" s="100">
        <v>8</v>
      </c>
      <c r="CA28" s="100">
        <v>5904</v>
      </c>
      <c r="CB28" s="100">
        <v>1.3889578036573182</v>
      </c>
      <c r="CC28" s="100">
        <v>1025.0508590991008</v>
      </c>
      <c r="CD28" s="100">
        <v>6.5297930333499648E-4</v>
      </c>
      <c r="CE28" s="100">
        <v>0.48189872586122739</v>
      </c>
      <c r="CF28" s="100">
        <v>11.000576332805998</v>
      </c>
      <c r="CG28" s="100">
        <v>8118.4253336108268</v>
      </c>
      <c r="CH28" s="100">
        <v>9</v>
      </c>
      <c r="CI28" s="100">
        <v>6642</v>
      </c>
      <c r="CJ28" s="100">
        <v>7.3811523433523814</v>
      </c>
      <c r="CK28" s="100">
        <v>5447.2904293940574</v>
      </c>
      <c r="CL28" s="100">
        <v>6.3643008867800406</v>
      </c>
      <c r="CM28" s="100">
        <v>4696.8540544436701</v>
      </c>
      <c r="CN28" s="100">
        <v>5.6824115060536071</v>
      </c>
      <c r="CO28" s="100">
        <v>4193.619691467562</v>
      </c>
      <c r="CP28" s="100">
        <v>5.6473348918187085</v>
      </c>
      <c r="CQ28" s="100">
        <v>4167.7331501622066</v>
      </c>
      <c r="CR28" s="100">
        <v>1.4557708922196018</v>
      </c>
      <c r="CS28" s="100">
        <v>1074.358918458066</v>
      </c>
      <c r="CT28" s="100">
        <v>6.2786923722098651</v>
      </c>
      <c r="CU28" s="100">
        <v>4633.6749706908804</v>
      </c>
    </row>
    <row r="29" spans="2:99">
      <c r="C29" s="99" t="s">
        <v>195</v>
      </c>
      <c r="D29" s="100">
        <v>10</v>
      </c>
      <c r="E29" s="100">
        <v>3384</v>
      </c>
      <c r="F29" s="100">
        <v>6.3600100872416343</v>
      </c>
      <c r="G29" s="100">
        <v>2152.2274135225689</v>
      </c>
      <c r="H29" s="100">
        <v>5.327851719902176</v>
      </c>
      <c r="I29" s="100">
        <v>1802.9450220148963</v>
      </c>
      <c r="J29" s="100">
        <v>6.5038027427106453</v>
      </c>
      <c r="K29" s="100">
        <v>2200.886848133282</v>
      </c>
      <c r="L29" s="100">
        <v>5.717926577966443</v>
      </c>
      <c r="M29" s="100">
        <v>1934.9463539838441</v>
      </c>
      <c r="N29" s="100">
        <v>2.6792107838439398</v>
      </c>
      <c r="O29" s="100">
        <v>906.64492925278921</v>
      </c>
      <c r="P29" s="100">
        <v>7.4020116110539158</v>
      </c>
      <c r="Q29" s="100">
        <v>2504.8407291806448</v>
      </c>
      <c r="R29" s="100">
        <v>3.908594222255648</v>
      </c>
      <c r="S29" s="100">
        <v>1322.6682848113112</v>
      </c>
      <c r="T29" s="100">
        <v>6.7133258847524528</v>
      </c>
      <c r="U29" s="100">
        <v>2271.78947940023</v>
      </c>
      <c r="V29" s="100">
        <v>10</v>
      </c>
      <c r="W29" s="100">
        <v>3384</v>
      </c>
      <c r="X29" s="100">
        <v>1.2242546743483682</v>
      </c>
      <c r="Y29" s="100">
        <v>414.28778179948779</v>
      </c>
      <c r="Z29" s="100">
        <v>9</v>
      </c>
      <c r="AA29" s="100">
        <v>3045.6</v>
      </c>
      <c r="AB29" s="100">
        <v>3.9819612700540952</v>
      </c>
      <c r="AC29" s="100">
        <v>1347.4956937863058</v>
      </c>
      <c r="AD29" s="100">
        <v>7.2873986126066175</v>
      </c>
      <c r="AE29" s="100">
        <v>2466.0556905060794</v>
      </c>
      <c r="AF29" s="100">
        <v>5.7741286347676359</v>
      </c>
      <c r="AG29" s="100">
        <v>1953.9651300053679</v>
      </c>
      <c r="AH29" s="100">
        <v>10.616802593801026</v>
      </c>
      <c r="AI29" s="100">
        <v>3592.7259977422668</v>
      </c>
      <c r="AJ29" s="100">
        <v>7.9587161637897958</v>
      </c>
      <c r="AK29" s="100">
        <v>2693.2295498264666</v>
      </c>
      <c r="AL29" s="100">
        <v>6.596198617632176E-4</v>
      </c>
      <c r="AM29" s="100">
        <v>0.22321536122067281</v>
      </c>
      <c r="AN29" s="100">
        <v>10.517404340892103</v>
      </c>
      <c r="AO29" s="100">
        <v>3559.0896289578873</v>
      </c>
      <c r="AP29" s="100">
        <v>8</v>
      </c>
      <c r="AQ29" s="100">
        <v>2707.2</v>
      </c>
      <c r="AR29" s="100">
        <v>7.6492477128663738</v>
      </c>
      <c r="AS29" s="100">
        <v>2588.5054260339807</v>
      </c>
      <c r="AT29" s="100">
        <v>7.2724026428825974</v>
      </c>
      <c r="AU29" s="100">
        <v>2460.9810543514709</v>
      </c>
      <c r="AV29" s="100">
        <v>6.0425656974228419</v>
      </c>
      <c r="AW29" s="100">
        <v>2044.8042320078896</v>
      </c>
      <c r="AX29" s="100">
        <v>7.4780228476117543</v>
      </c>
      <c r="AY29" s="100">
        <v>2530.5629316318173</v>
      </c>
      <c r="AZ29" s="100">
        <v>2.4942305684158979</v>
      </c>
      <c r="BA29" s="100">
        <v>844.04762435193982</v>
      </c>
      <c r="BB29" s="100">
        <v>9.9793391027144764</v>
      </c>
      <c r="BC29" s="100">
        <v>3377.0083523585786</v>
      </c>
      <c r="BD29" s="100">
        <v>8.9929439470451857</v>
      </c>
      <c r="BE29" s="100">
        <v>3043.2122316800906</v>
      </c>
      <c r="BF29" s="100">
        <v>5.0545207319040371</v>
      </c>
      <c r="BG29" s="100">
        <v>1710.4498156763261</v>
      </c>
      <c r="BH29" s="100">
        <v>2.288024577119474</v>
      </c>
      <c r="BI29" s="100">
        <v>774.26751689722994</v>
      </c>
      <c r="BJ29" s="100">
        <v>11.177348600293481</v>
      </c>
      <c r="BK29" s="100">
        <v>3782.4147663393137</v>
      </c>
      <c r="BL29" s="100">
        <v>7.0520812283222121</v>
      </c>
      <c r="BM29" s="100">
        <v>2386.4242876642365</v>
      </c>
      <c r="BN29" s="100">
        <v>7.3542464025291858</v>
      </c>
      <c r="BO29" s="100">
        <v>2488.6769826158761</v>
      </c>
      <c r="BP29" s="100">
        <v>5.0545207319040371</v>
      </c>
      <c r="BQ29" s="100">
        <v>1710.4498156763261</v>
      </c>
      <c r="BR29" s="100">
        <v>6.4387793447107751E-4</v>
      </c>
      <c r="BS29" s="100">
        <v>0.21788829302501261</v>
      </c>
      <c r="BT29" s="100">
        <v>8.1858416657594582</v>
      </c>
      <c r="BU29" s="100">
        <v>2770.0888196930005</v>
      </c>
      <c r="BV29" s="100">
        <v>9.3063197853619926</v>
      </c>
      <c r="BW29" s="100">
        <v>3149.2586153664979</v>
      </c>
      <c r="BX29" s="100">
        <v>7</v>
      </c>
      <c r="BY29" s="100">
        <v>2368.7999999999997</v>
      </c>
      <c r="BZ29" s="100">
        <v>8</v>
      </c>
      <c r="CA29" s="100">
        <v>2707.2</v>
      </c>
      <c r="CB29" s="100">
        <v>1.6204507709335381</v>
      </c>
      <c r="CC29" s="100">
        <v>548.36054088390927</v>
      </c>
      <c r="CD29" s="100">
        <v>5.9361754848636045E-4</v>
      </c>
      <c r="CE29" s="100">
        <v>0.20088017840778435</v>
      </c>
      <c r="CF29" s="100">
        <v>9.0005763328059984</v>
      </c>
      <c r="CG29" s="100">
        <v>3045.7950310215497</v>
      </c>
      <c r="CH29" s="100">
        <v>8</v>
      </c>
      <c r="CI29" s="100">
        <v>2707.2</v>
      </c>
      <c r="CJ29" s="100">
        <v>8.2012803815026452</v>
      </c>
      <c r="CK29" s="100">
        <v>2775.3132811004948</v>
      </c>
      <c r="CL29" s="100">
        <v>5.5687632759325352</v>
      </c>
      <c r="CM29" s="100">
        <v>1884.4694925755698</v>
      </c>
      <c r="CN29" s="100">
        <v>6.3927129443103086</v>
      </c>
      <c r="CO29" s="100">
        <v>2163.2940603546081</v>
      </c>
      <c r="CP29" s="100">
        <v>5.6473348918187085</v>
      </c>
      <c r="CQ29" s="100">
        <v>1911.0581273914509</v>
      </c>
      <c r="CR29" s="100">
        <v>1.698399374256202</v>
      </c>
      <c r="CS29" s="100">
        <v>574.73834824829873</v>
      </c>
      <c r="CT29" s="100">
        <v>6.7738408365631679</v>
      </c>
      <c r="CU29" s="100">
        <v>2292.2677390929757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7.1550113481468394</v>
      </c>
      <c r="G30" s="100">
        <v>995.97757966203994</v>
      </c>
      <c r="H30" s="100">
        <v>5.327851719902176</v>
      </c>
      <c r="I30" s="100">
        <v>741.63695941038281</v>
      </c>
      <c r="J30" s="100">
        <v>7.9490922410907894</v>
      </c>
      <c r="K30" s="100">
        <v>1106.5136399598377</v>
      </c>
      <c r="L30" s="100">
        <v>4.9010799239712366</v>
      </c>
      <c r="M30" s="100">
        <v>682.23032541679606</v>
      </c>
      <c r="N30" s="100">
        <v>2.9404000068017719</v>
      </c>
      <c r="O30" s="100">
        <v>409.30368094680659</v>
      </c>
      <c r="P30" s="100">
        <v>8.4020116110539149</v>
      </c>
      <c r="Q30" s="100">
        <v>1169.5600162587048</v>
      </c>
      <c r="R30" s="100">
        <v>4.466964825435026</v>
      </c>
      <c r="S30" s="100">
        <v>621.8015037005556</v>
      </c>
      <c r="T30" s="100">
        <v>7.7727697084818246</v>
      </c>
      <c r="U30" s="100">
        <v>1081.9695434206699</v>
      </c>
      <c r="V30" s="100">
        <v>10</v>
      </c>
      <c r="W30" s="100">
        <v>1392</v>
      </c>
      <c r="X30" s="100">
        <v>1.2242546743483682</v>
      </c>
      <c r="Y30" s="100">
        <v>170.41625066929285</v>
      </c>
      <c r="Z30" s="100">
        <v>9</v>
      </c>
      <c r="AA30" s="100">
        <v>1252.8</v>
      </c>
      <c r="AB30" s="100">
        <v>3.9819612700540952</v>
      </c>
      <c r="AC30" s="100">
        <v>554.28900879153002</v>
      </c>
      <c r="AD30" s="100">
        <v>7.2873986126066175</v>
      </c>
      <c r="AE30" s="100">
        <v>1014.405886874841</v>
      </c>
      <c r="AF30" s="100">
        <v>5.7741286347676359</v>
      </c>
      <c r="AG30" s="100">
        <v>803.75870595965489</v>
      </c>
      <c r="AH30" s="100">
        <v>11.616802593801026</v>
      </c>
      <c r="AI30" s="100">
        <v>1617.0589210571027</v>
      </c>
      <c r="AJ30" s="100">
        <v>7.9587161637897958</v>
      </c>
      <c r="AK30" s="100">
        <v>1107.8532899995396</v>
      </c>
      <c r="AL30" s="100">
        <v>6.5663861763064137E-4</v>
      </c>
      <c r="AM30" s="100">
        <v>9.1404095574185273E-2</v>
      </c>
      <c r="AN30" s="100">
        <v>9.3488038585707578</v>
      </c>
      <c r="AO30" s="100">
        <v>1301.3534971130493</v>
      </c>
      <c r="AP30" s="100">
        <v>8</v>
      </c>
      <c r="AQ30" s="100">
        <v>1113.5999999999999</v>
      </c>
      <c r="AR30" s="100">
        <v>8.6054036769746709</v>
      </c>
      <c r="AS30" s="100">
        <v>1197.872191834874</v>
      </c>
      <c r="AT30" s="100">
        <v>7.9996429071708572</v>
      </c>
      <c r="AU30" s="100">
        <v>1113.5502926781833</v>
      </c>
      <c r="AV30" s="100">
        <v>7.0468222671651262</v>
      </c>
      <c r="AW30" s="100">
        <v>980.91765958938549</v>
      </c>
      <c r="AX30" s="100">
        <v>8.0915872953360264</v>
      </c>
      <c r="AY30" s="100">
        <v>1126.3489515107747</v>
      </c>
      <c r="AZ30" s="100">
        <v>2.4842675814909998</v>
      </c>
      <c r="BA30" s="100">
        <v>345.81004734354713</v>
      </c>
      <c r="BB30" s="100">
        <v>9.7319217148751669</v>
      </c>
      <c r="BC30" s="100">
        <v>1354.6835027106231</v>
      </c>
      <c r="BD30" s="100">
        <v>8.9929439470451857</v>
      </c>
      <c r="BE30" s="100">
        <v>1251.8177974286898</v>
      </c>
      <c r="BF30" s="100">
        <v>5.0545207319040371</v>
      </c>
      <c r="BG30" s="100">
        <v>703.58928588104186</v>
      </c>
      <c r="BH30" s="100">
        <v>2.288024577119474</v>
      </c>
      <c r="BI30" s="100">
        <v>318.49302113503074</v>
      </c>
      <c r="BJ30" s="100">
        <v>12.905180025256797</v>
      </c>
      <c r="BK30" s="100">
        <v>1796.4010595157461</v>
      </c>
      <c r="BL30" s="100">
        <v>7.0520812283222121</v>
      </c>
      <c r="BM30" s="100">
        <v>981.64970698245179</v>
      </c>
      <c r="BN30" s="100">
        <v>7.3542464025291858</v>
      </c>
      <c r="BO30" s="100">
        <v>1023.7110992320626</v>
      </c>
      <c r="BP30" s="100">
        <v>5.0545207319040371</v>
      </c>
      <c r="BQ30" s="100">
        <v>703.58928588104186</v>
      </c>
      <c r="BR30" s="100">
        <v>6.4536845708097453E-4</v>
      </c>
      <c r="BS30" s="100">
        <v>8.9835289225671647E-2</v>
      </c>
      <c r="BT30" s="100">
        <v>6.8126948282614928</v>
      </c>
      <c r="BU30" s="100">
        <v>948.32712009399972</v>
      </c>
      <c r="BV30" s="100">
        <v>8.1974598032484938</v>
      </c>
      <c r="BW30" s="100">
        <v>1141.0864046121903</v>
      </c>
      <c r="BX30" s="100">
        <v>8</v>
      </c>
      <c r="BY30" s="100">
        <v>1113.5999999999999</v>
      </c>
      <c r="BZ30" s="100">
        <v>7</v>
      </c>
      <c r="CA30" s="100">
        <v>974.39999999999986</v>
      </c>
      <c r="CB30" s="100">
        <v>1.3889578036573182</v>
      </c>
      <c r="CC30" s="100">
        <v>193.34292626909868</v>
      </c>
      <c r="CD30" s="100">
        <v>7.1234105818363252E-4</v>
      </c>
      <c r="CE30" s="100">
        <v>9.9157875299161632E-2</v>
      </c>
      <c r="CF30" s="100">
        <v>11.000709332684306</v>
      </c>
      <c r="CG30" s="100">
        <v>1531.2987391096551</v>
      </c>
      <c r="CH30" s="100">
        <v>10</v>
      </c>
      <c r="CI30" s="100">
        <v>1392</v>
      </c>
      <c r="CJ30" s="100">
        <v>8.2012803815026452</v>
      </c>
      <c r="CK30" s="100">
        <v>1141.6182291051682</v>
      </c>
      <c r="CL30" s="100">
        <v>6.3643008867800406</v>
      </c>
      <c r="CM30" s="100">
        <v>885.91068343978156</v>
      </c>
      <c r="CN30" s="100">
        <v>6.3927129443103086</v>
      </c>
      <c r="CO30" s="100">
        <v>889.86564184799488</v>
      </c>
      <c r="CP30" s="100">
        <v>5.6473348918187085</v>
      </c>
      <c r="CQ30" s="100">
        <v>786.10901694116421</v>
      </c>
      <c r="CR30" s="100">
        <v>1.698399374256202</v>
      </c>
      <c r="CS30" s="100">
        <v>236.41719289646329</v>
      </c>
      <c r="CT30" s="100">
        <v>6.2739348954249312</v>
      </c>
      <c r="CU30" s="100">
        <v>873.33173744315036</v>
      </c>
    </row>
    <row r="31" spans="2:99">
      <c r="C31" s="99" t="s">
        <v>197</v>
      </c>
      <c r="D31" s="100">
        <v>11</v>
      </c>
      <c r="E31" s="100">
        <v>3748.8</v>
      </c>
      <c r="F31" s="100">
        <v>6.3600100872416343</v>
      </c>
      <c r="G31" s="100">
        <v>2167.4914377319492</v>
      </c>
      <c r="H31" s="100">
        <v>4.5667300456304369</v>
      </c>
      <c r="I31" s="100">
        <v>1556.3415995508531</v>
      </c>
      <c r="J31" s="100">
        <v>7.2264474919007169</v>
      </c>
      <c r="K31" s="100">
        <v>2462.7733052397643</v>
      </c>
      <c r="L31" s="100">
        <v>5.717926577966443</v>
      </c>
      <c r="M31" s="100">
        <v>1948.6693777709638</v>
      </c>
      <c r="N31" s="100">
        <v>2.3851791422795334</v>
      </c>
      <c r="O31" s="100">
        <v>812.86905168886506</v>
      </c>
      <c r="P31" s="100">
        <v>7.2618104499485243</v>
      </c>
      <c r="Q31" s="100">
        <v>2474.8250013424572</v>
      </c>
      <c r="R31" s="100">
        <v>3.908594222255648</v>
      </c>
      <c r="S31" s="100">
        <v>1332.0489109447249</v>
      </c>
      <c r="T31" s="100">
        <v>7.7133258847524528</v>
      </c>
      <c r="U31" s="100">
        <v>2628.7014615236362</v>
      </c>
      <c r="V31" s="100">
        <v>9</v>
      </c>
      <c r="W31" s="100">
        <v>3067.2000000000003</v>
      </c>
      <c r="X31" s="100">
        <v>1.2242546743483682</v>
      </c>
      <c r="Y31" s="100">
        <v>417.22599301792388</v>
      </c>
      <c r="Z31" s="100">
        <v>9</v>
      </c>
      <c r="AA31" s="100">
        <v>3067.2000000000003</v>
      </c>
      <c r="AB31" s="100">
        <v>3.9819612700540952</v>
      </c>
      <c r="AC31" s="100">
        <v>1357.0524008344357</v>
      </c>
      <c r="AD31" s="100">
        <v>7.2873986126066175</v>
      </c>
      <c r="AE31" s="100">
        <v>2483.5454471763355</v>
      </c>
      <c r="AF31" s="100">
        <v>5.2492078497887604</v>
      </c>
      <c r="AG31" s="100">
        <v>1788.9300352080097</v>
      </c>
      <c r="AH31" s="100">
        <v>9.616802593801026</v>
      </c>
      <c r="AI31" s="100">
        <v>3277.4063239673897</v>
      </c>
      <c r="AJ31" s="100">
        <v>7.9587161637897958</v>
      </c>
      <c r="AK31" s="100">
        <v>2712.3304686195625</v>
      </c>
      <c r="AL31" s="100">
        <v>6.055828521172006E-4</v>
      </c>
      <c r="AM31" s="100">
        <v>0.20638263600154197</v>
      </c>
      <c r="AN31" s="100">
        <v>10.348803858570758</v>
      </c>
      <c r="AO31" s="100">
        <v>3526.8723550009145</v>
      </c>
      <c r="AP31" s="100">
        <v>8</v>
      </c>
      <c r="AQ31" s="100">
        <v>2726.4</v>
      </c>
      <c r="AR31" s="100">
        <v>7.6492477128663738</v>
      </c>
      <c r="AS31" s="100">
        <v>2606.8636205448602</v>
      </c>
      <c r="AT31" s="100">
        <v>7.9996429071708572</v>
      </c>
      <c r="AU31" s="100">
        <v>2726.2783027638284</v>
      </c>
      <c r="AV31" s="100">
        <v>6.0425656974228419</v>
      </c>
      <c r="AW31" s="100">
        <v>2059.3063896817048</v>
      </c>
      <c r="AX31" s="100">
        <v>7.3663051404022957</v>
      </c>
      <c r="AY31" s="100">
        <v>2510.4367918491025</v>
      </c>
      <c r="AZ31" s="100">
        <v>2.2638594305872171</v>
      </c>
      <c r="BA31" s="100">
        <v>771.52329394412357</v>
      </c>
      <c r="BB31" s="100">
        <v>10.608213020955512</v>
      </c>
      <c r="BC31" s="100">
        <v>3615.2789975416385</v>
      </c>
      <c r="BD31" s="100">
        <v>8.9929439470451857</v>
      </c>
      <c r="BE31" s="100">
        <v>3064.7952971529994</v>
      </c>
      <c r="BF31" s="100">
        <v>5.0545207319040371</v>
      </c>
      <c r="BG31" s="100">
        <v>1722.5806654328958</v>
      </c>
      <c r="BH31" s="100">
        <v>2.4799275055191896</v>
      </c>
      <c r="BI31" s="100">
        <v>845.1592938809398</v>
      </c>
      <c r="BJ31" s="100">
        <v>11.905180025256797</v>
      </c>
      <c r="BK31" s="100">
        <v>4057.2853526075164</v>
      </c>
      <c r="BL31" s="100">
        <v>6.2685166473975222</v>
      </c>
      <c r="BM31" s="100">
        <v>2136.3104734330755</v>
      </c>
      <c r="BN31" s="100">
        <v>7.3542464025291858</v>
      </c>
      <c r="BO31" s="100">
        <v>2506.3271739819465</v>
      </c>
      <c r="BP31" s="100">
        <v>5.0545207319040371</v>
      </c>
      <c r="BQ31" s="100">
        <v>1722.5806654328958</v>
      </c>
      <c r="BR31" s="100">
        <v>6.4387793447107751E-4</v>
      </c>
      <c r="BS31" s="100">
        <v>0.21943360006774323</v>
      </c>
      <c r="BT31" s="100">
        <v>8.0920807412632421</v>
      </c>
      <c r="BU31" s="100">
        <v>2757.7811166225129</v>
      </c>
      <c r="BV31" s="100">
        <v>9.1974598032484938</v>
      </c>
      <c r="BW31" s="100">
        <v>3134.4943009470867</v>
      </c>
      <c r="BX31" s="100">
        <v>8</v>
      </c>
      <c r="BY31" s="100">
        <v>2726.4</v>
      </c>
      <c r="BZ31" s="100">
        <v>8</v>
      </c>
      <c r="CA31" s="100">
        <v>2726.4</v>
      </c>
      <c r="CB31" s="100">
        <v>1.6204507709335381</v>
      </c>
      <c r="CC31" s="100">
        <v>552.24962273414974</v>
      </c>
      <c r="CD31" s="100">
        <v>7.1234105818363252E-4</v>
      </c>
      <c r="CE31" s="100">
        <v>0.24276583262898196</v>
      </c>
      <c r="CF31" s="100">
        <v>10.000620666098767</v>
      </c>
      <c r="CG31" s="100">
        <v>3408.2115230064601</v>
      </c>
      <c r="CH31" s="100">
        <v>9</v>
      </c>
      <c r="CI31" s="100">
        <v>3067.2000000000003</v>
      </c>
      <c r="CJ31" s="100">
        <v>9.0214084196529107</v>
      </c>
      <c r="CK31" s="100">
        <v>3074.4959894177123</v>
      </c>
      <c r="CL31" s="100">
        <v>6.3643008867800406</v>
      </c>
      <c r="CM31" s="100">
        <v>2168.9537422146377</v>
      </c>
      <c r="CN31" s="100">
        <v>5.6824115060536071</v>
      </c>
      <c r="CO31" s="100">
        <v>1936.5658412630694</v>
      </c>
      <c r="CP31" s="100">
        <v>5.6473348918187085</v>
      </c>
      <c r="CQ31" s="100">
        <v>1924.611731131816</v>
      </c>
      <c r="CR31" s="100">
        <v>1.4557708922196018</v>
      </c>
      <c r="CS31" s="100">
        <v>496.12672006844031</v>
      </c>
      <c r="CT31" s="100">
        <v>6.2786923722098651</v>
      </c>
      <c r="CU31" s="100">
        <v>2139.7783604491219</v>
      </c>
    </row>
    <row r="32" spans="2:99">
      <c r="C32" s="99" t="s">
        <v>198</v>
      </c>
      <c r="D32" s="100">
        <v>9</v>
      </c>
      <c r="E32" s="100">
        <v>7560</v>
      </c>
      <c r="F32" s="100">
        <v>6.3600100872416343</v>
      </c>
      <c r="G32" s="100">
        <v>5342.4084732829724</v>
      </c>
      <c r="H32" s="100">
        <v>4.5667300456304369</v>
      </c>
      <c r="I32" s="100">
        <v>3836.0532383295672</v>
      </c>
      <c r="J32" s="100">
        <v>7.2264474919007169</v>
      </c>
      <c r="K32" s="100">
        <v>6070.2158931966023</v>
      </c>
      <c r="L32" s="100">
        <v>4.9010799239712366</v>
      </c>
      <c r="M32" s="100">
        <v>4116.9071361358383</v>
      </c>
      <c r="N32" s="100">
        <v>2.4180215608861078</v>
      </c>
      <c r="O32" s="100">
        <v>2031.1381111443304</v>
      </c>
      <c r="P32" s="100">
        <v>6.4020116110539158</v>
      </c>
      <c r="Q32" s="100">
        <v>5377.689753285289</v>
      </c>
      <c r="R32" s="100">
        <v>3.3502236190762695</v>
      </c>
      <c r="S32" s="100">
        <v>2814.1878400240662</v>
      </c>
      <c r="T32" s="100">
        <v>7.7133258847524528</v>
      </c>
      <c r="U32" s="100">
        <v>6479.1937431920605</v>
      </c>
      <c r="V32" s="100">
        <v>8</v>
      </c>
      <c r="W32" s="100">
        <v>6720</v>
      </c>
      <c r="X32" s="100">
        <v>1.2581090778570871</v>
      </c>
      <c r="Y32" s="100">
        <v>1056.8116253999533</v>
      </c>
      <c r="Z32" s="100">
        <v>8</v>
      </c>
      <c r="AA32" s="100">
        <v>6720</v>
      </c>
      <c r="AB32" s="100">
        <v>3.9819612700540952</v>
      </c>
      <c r="AC32" s="100">
        <v>3344.8474668454401</v>
      </c>
      <c r="AD32" s="100">
        <v>7.2873986126066175</v>
      </c>
      <c r="AE32" s="100">
        <v>6121.4148345895583</v>
      </c>
      <c r="AF32" s="100">
        <v>4.7242870648098849</v>
      </c>
      <c r="AG32" s="100">
        <v>3968.4011344403034</v>
      </c>
      <c r="AH32" s="100">
        <v>9.616802593801026</v>
      </c>
      <c r="AI32" s="100">
        <v>8078.1141787928618</v>
      </c>
      <c r="AJ32" s="100">
        <v>8.9535556842635202</v>
      </c>
      <c r="AK32" s="100">
        <v>7520.9867747813569</v>
      </c>
      <c r="AL32" s="100">
        <v>6.6260110589579395E-4</v>
      </c>
      <c r="AM32" s="100">
        <v>0.55658492895246692</v>
      </c>
      <c r="AN32" s="100">
        <v>9.3488038585707578</v>
      </c>
      <c r="AO32" s="100">
        <v>7852.9952411994364</v>
      </c>
      <c r="AP32" s="100">
        <v>8</v>
      </c>
      <c r="AQ32" s="100">
        <v>6720</v>
      </c>
      <c r="AR32" s="100">
        <v>7.6492477128663738</v>
      </c>
      <c r="AS32" s="100">
        <v>6425.3680788077536</v>
      </c>
      <c r="AT32" s="100">
        <v>8.7268831714591162</v>
      </c>
      <c r="AU32" s="100">
        <v>7330.5818640256575</v>
      </c>
      <c r="AV32" s="100">
        <v>6.0468222671651262</v>
      </c>
      <c r="AW32" s="100">
        <v>5079.3307044187059</v>
      </c>
      <c r="AX32" s="100">
        <v>8.0915872953360264</v>
      </c>
      <c r="AY32" s="100">
        <v>6796.9333280822621</v>
      </c>
      <c r="AZ32" s="100">
        <v>2.2837854044370132</v>
      </c>
      <c r="BA32" s="100">
        <v>1918.379739727091</v>
      </c>
      <c r="BB32" s="100">
        <v>9.7319217148751669</v>
      </c>
      <c r="BC32" s="100">
        <v>8174.8142404951404</v>
      </c>
      <c r="BD32" s="100">
        <v>8.9929439470451857</v>
      </c>
      <c r="BE32" s="100">
        <v>7554.0729155179561</v>
      </c>
      <c r="BF32" s="100">
        <v>4.2121006099200313</v>
      </c>
      <c r="BG32" s="100">
        <v>3538.1645123328262</v>
      </c>
      <c r="BH32" s="100">
        <v>2.4799275055191896</v>
      </c>
      <c r="BI32" s="100">
        <v>2083.1391046361191</v>
      </c>
      <c r="BJ32" s="100">
        <v>11.041264312775139</v>
      </c>
      <c r="BK32" s="100">
        <v>9274.6620227311159</v>
      </c>
      <c r="BL32" s="100">
        <v>6.2685166473975222</v>
      </c>
      <c r="BM32" s="100">
        <v>5265.5539838139184</v>
      </c>
      <c r="BN32" s="100">
        <v>6.6188217622762675</v>
      </c>
      <c r="BO32" s="100">
        <v>5559.8102803120646</v>
      </c>
      <c r="BP32" s="100">
        <v>5.0545207319040371</v>
      </c>
      <c r="BQ32" s="100">
        <v>4245.7974147993909</v>
      </c>
      <c r="BR32" s="100">
        <v>7.1127958660703876E-4</v>
      </c>
      <c r="BS32" s="100">
        <v>0.59747485274991252</v>
      </c>
      <c r="BT32" s="100">
        <v>7.50435844266896</v>
      </c>
      <c r="BU32" s="100">
        <v>6303.6610918419265</v>
      </c>
      <c r="BV32" s="100">
        <v>8.1974598032484938</v>
      </c>
      <c r="BW32" s="100">
        <v>6885.8662347287345</v>
      </c>
      <c r="BX32" s="100">
        <v>8</v>
      </c>
      <c r="BY32" s="100">
        <v>6720</v>
      </c>
      <c r="BZ32" s="100">
        <v>8</v>
      </c>
      <c r="CA32" s="100">
        <v>6720</v>
      </c>
      <c r="CB32" s="100">
        <v>1.3889578036573182</v>
      </c>
      <c r="CC32" s="100">
        <v>1166.7245550721473</v>
      </c>
      <c r="CD32" s="100">
        <v>5.9361754848636045E-4</v>
      </c>
      <c r="CE32" s="100">
        <v>0.49863874072854275</v>
      </c>
      <c r="CF32" s="100">
        <v>10.000576332805998</v>
      </c>
      <c r="CG32" s="100">
        <v>8400.4841195570389</v>
      </c>
      <c r="CH32" s="100">
        <v>9</v>
      </c>
      <c r="CI32" s="100">
        <v>7560</v>
      </c>
      <c r="CJ32" s="100">
        <v>7.3811523433523814</v>
      </c>
      <c r="CK32" s="100">
        <v>6200.1679684159999</v>
      </c>
      <c r="CL32" s="100">
        <v>6.3643008867800406</v>
      </c>
      <c r="CM32" s="100">
        <v>5346.0127448952344</v>
      </c>
      <c r="CN32" s="100">
        <v>5.6824115060536071</v>
      </c>
      <c r="CO32" s="100">
        <v>4773.2256650850304</v>
      </c>
      <c r="CP32" s="100">
        <v>5.6473348918187085</v>
      </c>
      <c r="CQ32" s="100">
        <v>4743.7613091277153</v>
      </c>
      <c r="CR32" s="100">
        <v>1.4557708922196018</v>
      </c>
      <c r="CS32" s="100">
        <v>1222.8475494644654</v>
      </c>
      <c r="CT32" s="100">
        <v>5.7740289542866945</v>
      </c>
      <c r="CU32" s="100">
        <v>4850.1843216008238</v>
      </c>
    </row>
    <row r="33" spans="2:99">
      <c r="C33" s="99" t="s">
        <v>199</v>
      </c>
      <c r="D33" s="100">
        <v>10</v>
      </c>
      <c r="E33" s="100">
        <v>4740</v>
      </c>
      <c r="F33" s="100">
        <v>6.3600100872416343</v>
      </c>
      <c r="G33" s="100">
        <v>3014.6447813525347</v>
      </c>
      <c r="H33" s="100">
        <v>5.327851719902176</v>
      </c>
      <c r="I33" s="100">
        <v>2525.4017152336314</v>
      </c>
      <c r="J33" s="100">
        <v>7.9490922410907894</v>
      </c>
      <c r="K33" s="100">
        <v>3767.8697222770343</v>
      </c>
      <c r="L33" s="100">
        <v>4.9010799239712366</v>
      </c>
      <c r="M33" s="100">
        <v>2323.1118839623659</v>
      </c>
      <c r="N33" s="100">
        <v>2.6798220727499027</v>
      </c>
      <c r="O33" s="100">
        <v>1270.2356624834538</v>
      </c>
      <c r="P33" s="100">
        <v>6.2618104499485243</v>
      </c>
      <c r="Q33" s="100">
        <v>2968.0981532756005</v>
      </c>
      <c r="R33" s="100">
        <v>3.908594222255648</v>
      </c>
      <c r="S33" s="100">
        <v>1852.6736613491771</v>
      </c>
      <c r="T33" s="100">
        <v>7.7133258847524528</v>
      </c>
      <c r="U33" s="100">
        <v>3656.1164693726628</v>
      </c>
      <c r="V33" s="100">
        <v>9</v>
      </c>
      <c r="W33" s="100">
        <v>4266</v>
      </c>
      <c r="X33" s="100">
        <v>1.0493611494414585</v>
      </c>
      <c r="Y33" s="100">
        <v>497.39718483525132</v>
      </c>
      <c r="Z33" s="100">
        <v>8</v>
      </c>
      <c r="AA33" s="100">
        <v>3792</v>
      </c>
      <c r="AB33" s="100">
        <v>3.9819612700540952</v>
      </c>
      <c r="AC33" s="100">
        <v>1887.4496420056412</v>
      </c>
      <c r="AD33" s="100">
        <v>8.6519801111947157</v>
      </c>
      <c r="AE33" s="100">
        <v>4101.0385727062949</v>
      </c>
      <c r="AF33" s="100">
        <v>4.7242870648098849</v>
      </c>
      <c r="AG33" s="100">
        <v>2239.3120687198852</v>
      </c>
      <c r="AH33" s="100">
        <v>10.616802593801026</v>
      </c>
      <c r="AI33" s="100">
        <v>5032.3644294616861</v>
      </c>
      <c r="AJ33" s="100">
        <v>8.9535556842635202</v>
      </c>
      <c r="AK33" s="100">
        <v>4243.9853943409089</v>
      </c>
      <c r="AL33" s="100">
        <v>6.0260160798462448E-4</v>
      </c>
      <c r="AM33" s="100">
        <v>0.28563316218471202</v>
      </c>
      <c r="AN33" s="100">
        <v>9.1802033762494126</v>
      </c>
      <c r="AO33" s="100">
        <v>4351.416400342222</v>
      </c>
      <c r="AP33" s="100">
        <v>9</v>
      </c>
      <c r="AQ33" s="100">
        <v>4266</v>
      </c>
      <c r="AR33" s="100">
        <v>6.6930917487580777</v>
      </c>
      <c r="AS33" s="100">
        <v>3172.5254889113289</v>
      </c>
      <c r="AT33" s="100">
        <v>7.2724026428825974</v>
      </c>
      <c r="AU33" s="100">
        <v>3447.1188527263512</v>
      </c>
      <c r="AV33" s="100">
        <v>6.0383091276805576</v>
      </c>
      <c r="AW33" s="100">
        <v>2862.1585265205845</v>
      </c>
      <c r="AX33" s="100">
        <v>7.3663051404022957</v>
      </c>
      <c r="AY33" s="100">
        <v>3491.628636550688</v>
      </c>
      <c r="AZ33" s="100">
        <v>2.0733402404581285</v>
      </c>
      <c r="BA33" s="100">
        <v>982.76327397715295</v>
      </c>
      <c r="BB33" s="100">
        <v>9.7319217148751669</v>
      </c>
      <c r="BC33" s="100">
        <v>4612.930892850829</v>
      </c>
      <c r="BD33" s="100">
        <v>8.9929439470451857</v>
      </c>
      <c r="BE33" s="100">
        <v>4262.6554308994182</v>
      </c>
      <c r="BF33" s="100">
        <v>5.0545207319040371</v>
      </c>
      <c r="BG33" s="100">
        <v>2395.8428269225137</v>
      </c>
      <c r="BH33" s="100">
        <v>2.3159865294440962</v>
      </c>
      <c r="BI33" s="100">
        <v>1097.7776149565016</v>
      </c>
      <c r="BJ33" s="100">
        <v>11.177348600293481</v>
      </c>
      <c r="BK33" s="100">
        <v>5298.0632365391102</v>
      </c>
      <c r="BL33" s="100">
        <v>7.0520812283222121</v>
      </c>
      <c r="BM33" s="100">
        <v>3342.6865022247284</v>
      </c>
      <c r="BN33" s="100">
        <v>7.3542464025291858</v>
      </c>
      <c r="BO33" s="100">
        <v>3485.9127947988341</v>
      </c>
      <c r="BP33" s="100">
        <v>5.0545207319040371</v>
      </c>
      <c r="BQ33" s="100">
        <v>2395.8428269225137</v>
      </c>
      <c r="BR33" s="100">
        <v>7.1127958660703876E-4</v>
      </c>
      <c r="BS33" s="100">
        <v>0.3371465240517364</v>
      </c>
      <c r="BT33" s="100">
        <v>6.8544850948511158</v>
      </c>
      <c r="BU33" s="100">
        <v>3249.0259349594289</v>
      </c>
      <c r="BV33" s="100">
        <v>9.3063197853619926</v>
      </c>
      <c r="BW33" s="100">
        <v>4411.1955782615842</v>
      </c>
      <c r="BX33" s="100">
        <v>8</v>
      </c>
      <c r="BY33" s="100">
        <v>3792</v>
      </c>
      <c r="BZ33" s="100">
        <v>8</v>
      </c>
      <c r="CA33" s="100">
        <v>3792</v>
      </c>
      <c r="CB33" s="100">
        <v>1.3889578036573182</v>
      </c>
      <c r="CC33" s="100">
        <v>658.3659989335689</v>
      </c>
      <c r="CD33" s="100">
        <v>5.9361754848636045E-4</v>
      </c>
      <c r="CE33" s="100">
        <v>0.28137471798253483</v>
      </c>
      <c r="CF33" s="100">
        <v>11.000664999391535</v>
      </c>
      <c r="CG33" s="100">
        <v>5214.3152097115881</v>
      </c>
      <c r="CH33" s="100">
        <v>9</v>
      </c>
      <c r="CI33" s="100">
        <v>4266</v>
      </c>
      <c r="CJ33" s="100">
        <v>8.2012803815026452</v>
      </c>
      <c r="CK33" s="100">
        <v>3887.406900832254</v>
      </c>
      <c r="CL33" s="100">
        <v>7.159838497627546</v>
      </c>
      <c r="CM33" s="100">
        <v>3393.7634478754567</v>
      </c>
      <c r="CN33" s="100">
        <v>4.9721100677969066</v>
      </c>
      <c r="CO33" s="100">
        <v>2356.7801721357337</v>
      </c>
      <c r="CP33" s="100">
        <v>5.6473348918187085</v>
      </c>
      <c r="CQ33" s="100">
        <v>2676.8367387220678</v>
      </c>
      <c r="CR33" s="100">
        <v>1.698399374256202</v>
      </c>
      <c r="CS33" s="100">
        <v>805.04130339743972</v>
      </c>
      <c r="CT33" s="100">
        <v>6.7738408365631679</v>
      </c>
      <c r="CU33" s="100">
        <v>3210.8005565309418</v>
      </c>
    </row>
    <row r="34" spans="2:99">
      <c r="C34" s="99" t="s">
        <v>200</v>
      </c>
      <c r="D34" s="100">
        <v>10</v>
      </c>
      <c r="E34" s="100">
        <v>5484</v>
      </c>
      <c r="F34" s="100">
        <v>6.3600100872416343</v>
      </c>
      <c r="G34" s="100">
        <v>3487.829531843312</v>
      </c>
      <c r="H34" s="100">
        <v>4.5667300456304369</v>
      </c>
      <c r="I34" s="100">
        <v>2504.3947570237315</v>
      </c>
      <c r="J34" s="100">
        <v>7.9490922410907894</v>
      </c>
      <c r="K34" s="100">
        <v>4359.2821850141891</v>
      </c>
      <c r="L34" s="100">
        <v>4.9010799239712366</v>
      </c>
      <c r="M34" s="100">
        <v>2687.7522303058258</v>
      </c>
      <c r="N34" s="100">
        <v>2.4192441386980335</v>
      </c>
      <c r="O34" s="100">
        <v>1326.7134856620014</v>
      </c>
      <c r="P34" s="100">
        <v>6.4020116110539158</v>
      </c>
      <c r="Q34" s="100">
        <v>3510.8631675019674</v>
      </c>
      <c r="R34" s="100">
        <v>3.908594222255648</v>
      </c>
      <c r="S34" s="100">
        <v>2143.4730714849975</v>
      </c>
      <c r="T34" s="100">
        <v>6.7727697084818246</v>
      </c>
      <c r="U34" s="100">
        <v>3714.1869081314326</v>
      </c>
      <c r="V34" s="100">
        <v>10</v>
      </c>
      <c r="W34" s="100">
        <v>5484</v>
      </c>
      <c r="X34" s="100">
        <v>1.0493611494414585</v>
      </c>
      <c r="Y34" s="100">
        <v>575.46965435369589</v>
      </c>
      <c r="Z34" s="100">
        <v>8</v>
      </c>
      <c r="AA34" s="100">
        <v>4387.2</v>
      </c>
      <c r="AB34" s="100">
        <v>3.9819612700540952</v>
      </c>
      <c r="AC34" s="100">
        <v>2183.7075604976658</v>
      </c>
      <c r="AD34" s="100">
        <v>7.2873986126066175</v>
      </c>
      <c r="AE34" s="100">
        <v>3996.4093991534687</v>
      </c>
      <c r="AF34" s="100">
        <v>4.7242870648098849</v>
      </c>
      <c r="AG34" s="100">
        <v>2590.799026341741</v>
      </c>
      <c r="AH34" s="100">
        <v>9.616802593801026</v>
      </c>
      <c r="AI34" s="100">
        <v>5273.8545424404829</v>
      </c>
      <c r="AJ34" s="100">
        <v>8.9535556842635202</v>
      </c>
      <c r="AK34" s="100">
        <v>4910.1299372501144</v>
      </c>
      <c r="AL34" s="100">
        <v>5.9663911971947212E-4</v>
      </c>
      <c r="AM34" s="100">
        <v>0.32719689325415852</v>
      </c>
      <c r="AN34" s="100">
        <v>9.1802033762494126</v>
      </c>
      <c r="AO34" s="100">
        <v>5034.423531535178</v>
      </c>
      <c r="AP34" s="100">
        <v>8</v>
      </c>
      <c r="AQ34" s="100">
        <v>4387.2</v>
      </c>
      <c r="AR34" s="100">
        <v>7.6492477128663738</v>
      </c>
      <c r="AS34" s="100">
        <v>4194.8474457359189</v>
      </c>
      <c r="AT34" s="100">
        <v>7.2724026428825974</v>
      </c>
      <c r="AU34" s="100">
        <v>3988.1856093568163</v>
      </c>
      <c r="AV34" s="100">
        <v>6.0425656974228419</v>
      </c>
      <c r="AW34" s="100">
        <v>3313.7430284666862</v>
      </c>
      <c r="AX34" s="100">
        <v>8.2033050025454859</v>
      </c>
      <c r="AY34" s="100">
        <v>4498.6924633959443</v>
      </c>
      <c r="AZ34" s="100">
        <v>2.0633772535332309</v>
      </c>
      <c r="BA34" s="100">
        <v>1131.5560858376239</v>
      </c>
      <c r="BB34" s="100">
        <v>9.7319217148751669</v>
      </c>
      <c r="BC34" s="100">
        <v>5336.9858684375413</v>
      </c>
      <c r="BD34" s="100">
        <v>8.9929439470451857</v>
      </c>
      <c r="BE34" s="100">
        <v>4931.73046055958</v>
      </c>
      <c r="BF34" s="100">
        <v>4.2121006099200313</v>
      </c>
      <c r="BG34" s="100">
        <v>2309.915974480145</v>
      </c>
      <c r="BH34" s="100">
        <v>2.0961216487197589</v>
      </c>
      <c r="BI34" s="100">
        <v>1149.5131121579157</v>
      </c>
      <c r="BJ34" s="100">
        <v>11.905180025256797</v>
      </c>
      <c r="BK34" s="100">
        <v>6528.8007258508269</v>
      </c>
      <c r="BL34" s="100">
        <v>6.2685166473975222</v>
      </c>
      <c r="BM34" s="100">
        <v>3437.6545294328012</v>
      </c>
      <c r="BN34" s="100">
        <v>6.6188217622762675</v>
      </c>
      <c r="BO34" s="100">
        <v>3629.761854432305</v>
      </c>
      <c r="BP34" s="100">
        <v>5.0545207319040371</v>
      </c>
      <c r="BQ34" s="100">
        <v>2771.8991693761736</v>
      </c>
      <c r="BR34" s="100">
        <v>6.4536845708097453E-4</v>
      </c>
      <c r="BS34" s="100">
        <v>0.3539200618632064</v>
      </c>
      <c r="BT34" s="100">
        <v>8.1878316784542005</v>
      </c>
      <c r="BU34" s="100">
        <v>4490.2068924642836</v>
      </c>
      <c r="BV34" s="100">
        <v>8.0885998211349932</v>
      </c>
      <c r="BW34" s="100">
        <v>4435.7881419104297</v>
      </c>
      <c r="BX34" s="100">
        <v>8</v>
      </c>
      <c r="BY34" s="100">
        <v>4387.2</v>
      </c>
      <c r="BZ34" s="100">
        <v>8</v>
      </c>
      <c r="CA34" s="100">
        <v>4387.2</v>
      </c>
      <c r="CB34" s="100">
        <v>1.3889578036573182</v>
      </c>
      <c r="CC34" s="100">
        <v>761.70445952567331</v>
      </c>
      <c r="CD34" s="100">
        <v>5.9361754848636045E-4</v>
      </c>
      <c r="CE34" s="100">
        <v>0.32553986358992004</v>
      </c>
      <c r="CF34" s="100">
        <v>9.0006649993915353</v>
      </c>
      <c r="CG34" s="100">
        <v>4935.9646856663176</v>
      </c>
      <c r="CH34" s="100">
        <v>9</v>
      </c>
      <c r="CI34" s="100">
        <v>4935.5999999999995</v>
      </c>
      <c r="CJ34" s="100">
        <v>8.2012803815026452</v>
      </c>
      <c r="CK34" s="100">
        <v>4497.5821612160507</v>
      </c>
      <c r="CL34" s="100">
        <v>5.5687632759325352</v>
      </c>
      <c r="CM34" s="100">
        <v>3053.9097805214024</v>
      </c>
      <c r="CN34" s="100">
        <v>4.9721100677969066</v>
      </c>
      <c r="CO34" s="100">
        <v>2726.7051611798233</v>
      </c>
      <c r="CP34" s="100">
        <v>5.6473348918187085</v>
      </c>
      <c r="CQ34" s="100">
        <v>3096.9984546733795</v>
      </c>
      <c r="CR34" s="100">
        <v>1.4557708922196018</v>
      </c>
      <c r="CS34" s="100">
        <v>798.34475729322958</v>
      </c>
      <c r="CT34" s="100">
        <v>6.8527650338890815</v>
      </c>
      <c r="CU34" s="100">
        <v>3758.056344584772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6.3600100872416343</v>
      </c>
      <c r="G35" s="100">
        <v>3197.8130718650932</v>
      </c>
      <c r="H35" s="100">
        <v>4.5667300456304369</v>
      </c>
      <c r="I35" s="100">
        <v>2296.1518669429834</v>
      </c>
      <c r="J35" s="100">
        <v>7.2264474919007169</v>
      </c>
      <c r="K35" s="100">
        <v>3633.4577989276795</v>
      </c>
      <c r="L35" s="100">
        <v>5.717926577966443</v>
      </c>
      <c r="M35" s="100">
        <v>2874.9734834015271</v>
      </c>
      <c r="N35" s="100">
        <v>2.6804333616558655</v>
      </c>
      <c r="O35" s="100">
        <v>1347.7218942405689</v>
      </c>
      <c r="P35" s="100">
        <v>6.4020116110539158</v>
      </c>
      <c r="Q35" s="100">
        <v>3218.9314380379083</v>
      </c>
      <c r="R35" s="100">
        <v>3.908594222255648</v>
      </c>
      <c r="S35" s="100">
        <v>1965.2411749501393</v>
      </c>
      <c r="T35" s="100">
        <v>7.7727697084818246</v>
      </c>
      <c r="U35" s="100">
        <v>3908.1486094246607</v>
      </c>
      <c r="V35" s="100">
        <v>9</v>
      </c>
      <c r="W35" s="100">
        <v>4525.1999999999989</v>
      </c>
      <c r="X35" s="100">
        <v>1.2242546743483682</v>
      </c>
      <c r="Y35" s="100">
        <v>615.55525026235944</v>
      </c>
      <c r="Z35" s="100">
        <v>8</v>
      </c>
      <c r="AA35" s="100">
        <v>4022.3999999999992</v>
      </c>
      <c r="AB35" s="100">
        <v>3.3183010583784127</v>
      </c>
      <c r="AC35" s="100">
        <v>1668.4417721526656</v>
      </c>
      <c r="AD35" s="100">
        <v>8.1983234391824453</v>
      </c>
      <c r="AE35" s="100">
        <v>4122.1170252209331</v>
      </c>
      <c r="AF35" s="100">
        <v>5.2492078497887604</v>
      </c>
      <c r="AG35" s="100">
        <v>2639.3017068737881</v>
      </c>
      <c r="AH35" s="100">
        <v>10.616802593801026</v>
      </c>
      <c r="AI35" s="100">
        <v>5338.1283441631549</v>
      </c>
      <c r="AJ35" s="100">
        <v>8.9535556842635202</v>
      </c>
      <c r="AK35" s="100">
        <v>4501.8477980476973</v>
      </c>
      <c r="AL35" s="100">
        <v>6.055828521172006E-4</v>
      </c>
      <c r="AM35" s="100">
        <v>0.30448705804452841</v>
      </c>
      <c r="AN35" s="100">
        <v>9.1802033762494126</v>
      </c>
      <c r="AO35" s="100">
        <v>4615.8062575782042</v>
      </c>
      <c r="AP35" s="100">
        <v>8</v>
      </c>
      <c r="AQ35" s="100">
        <v>4022.3999999999992</v>
      </c>
      <c r="AR35" s="100">
        <v>7.6492477128663738</v>
      </c>
      <c r="AS35" s="100">
        <v>3846.0417500292119</v>
      </c>
      <c r="AT35" s="100">
        <v>7.9996429071708572</v>
      </c>
      <c r="AU35" s="100">
        <v>4022.2204537255061</v>
      </c>
      <c r="AV35" s="100">
        <v>6.0468222671651262</v>
      </c>
      <c r="AW35" s="100">
        <v>3040.3422359306246</v>
      </c>
      <c r="AX35" s="100">
        <v>8.0915872953360264</v>
      </c>
      <c r="AY35" s="100">
        <v>4068.4500920949531</v>
      </c>
      <c r="AZ35" s="100">
        <v>2.0733402404581285</v>
      </c>
      <c r="BA35" s="100">
        <v>1042.4754729023468</v>
      </c>
      <c r="BB35" s="100">
        <v>8.6082130209555121</v>
      </c>
      <c r="BC35" s="100">
        <v>4328.2095069364304</v>
      </c>
      <c r="BD35" s="100">
        <v>8.0936495523406684</v>
      </c>
      <c r="BE35" s="100">
        <v>4069.4869949168874</v>
      </c>
      <c r="BF35" s="100">
        <v>5.0545207319040371</v>
      </c>
      <c r="BG35" s="100">
        <v>2541.4130240013492</v>
      </c>
      <c r="BH35" s="100">
        <v>2.5078894578438113</v>
      </c>
      <c r="BI35" s="100">
        <v>1260.9668194038682</v>
      </c>
      <c r="BJ35" s="100">
        <v>11.905180025256797</v>
      </c>
      <c r="BK35" s="100">
        <v>5985.9245166991168</v>
      </c>
      <c r="BL35" s="100">
        <v>6.2685166473975222</v>
      </c>
      <c r="BM35" s="100">
        <v>3151.8101703114735</v>
      </c>
      <c r="BN35" s="100">
        <v>6.6188217622762675</v>
      </c>
      <c r="BO35" s="100">
        <v>3327.9435820725066</v>
      </c>
      <c r="BP35" s="100">
        <v>5.0545207319040371</v>
      </c>
      <c r="BQ35" s="100">
        <v>2541.4130240013492</v>
      </c>
      <c r="BR35" s="100">
        <v>6.4387793447107751E-4</v>
      </c>
      <c r="BS35" s="100">
        <v>0.32374182545205771</v>
      </c>
      <c r="BT35" s="100">
        <v>6.8126948282614928</v>
      </c>
      <c r="BU35" s="100">
        <v>3425.4229596498781</v>
      </c>
      <c r="BV35" s="100">
        <v>8.1974598032484938</v>
      </c>
      <c r="BW35" s="100">
        <v>4121.6827890733421</v>
      </c>
      <c r="BX35" s="100">
        <v>8</v>
      </c>
      <c r="BY35" s="100">
        <v>4022.3999999999992</v>
      </c>
      <c r="BZ35" s="100">
        <v>8</v>
      </c>
      <c r="CA35" s="100">
        <v>4022.3999999999992</v>
      </c>
      <c r="CB35" s="100">
        <v>1.3889578036573182</v>
      </c>
      <c r="CC35" s="100">
        <v>698.36798367889946</v>
      </c>
      <c r="CD35" s="100">
        <v>6.5297930333499648E-4</v>
      </c>
      <c r="CE35" s="100">
        <v>0.32831799371683618</v>
      </c>
      <c r="CF35" s="100">
        <v>11.000664999391535</v>
      </c>
      <c r="CG35" s="100">
        <v>5531.134361694063</v>
      </c>
      <c r="CH35" s="100">
        <v>10</v>
      </c>
      <c r="CI35" s="100">
        <v>5027.9999999999991</v>
      </c>
      <c r="CJ35" s="100">
        <v>7.3811523433523814</v>
      </c>
      <c r="CK35" s="100">
        <v>3711.2433982375765</v>
      </c>
      <c r="CL35" s="100">
        <v>6.3643008867800406</v>
      </c>
      <c r="CM35" s="100">
        <v>3199.9704858730038</v>
      </c>
      <c r="CN35" s="100">
        <v>5.6824115060536071</v>
      </c>
      <c r="CO35" s="100">
        <v>2857.1165052437532</v>
      </c>
      <c r="CP35" s="100">
        <v>5.6473348918187085</v>
      </c>
      <c r="CQ35" s="100">
        <v>2839.4799836064462</v>
      </c>
      <c r="CR35" s="100">
        <v>1.4557708922196018</v>
      </c>
      <c r="CS35" s="100">
        <v>731.96160460801559</v>
      </c>
      <c r="CT35" s="100">
        <v>6.7762195749556353</v>
      </c>
      <c r="CU35" s="100">
        <v>3407.0832022876925</v>
      </c>
    </row>
    <row r="36" spans="2:99">
      <c r="C36" s="99" t="s">
        <v>202</v>
      </c>
      <c r="D36" s="100">
        <v>10</v>
      </c>
      <c r="E36" s="100">
        <v>7608</v>
      </c>
      <c r="F36" s="100">
        <v>6.3600100872416343</v>
      </c>
      <c r="G36" s="100">
        <v>4838.6956743734354</v>
      </c>
      <c r="H36" s="100">
        <v>5.327851719902176</v>
      </c>
      <c r="I36" s="100">
        <v>4053.4295885015754</v>
      </c>
      <c r="J36" s="100">
        <v>7.9490922410907894</v>
      </c>
      <c r="K36" s="100">
        <v>6047.6693770218726</v>
      </c>
      <c r="L36" s="100">
        <v>4.9010799239712366</v>
      </c>
      <c r="M36" s="100">
        <v>3728.7416061573167</v>
      </c>
      <c r="N36" s="100">
        <v>2.4022116404887837</v>
      </c>
      <c r="O36" s="100">
        <v>1827.6026160838665</v>
      </c>
      <c r="P36" s="100">
        <v>7.2618104499485243</v>
      </c>
      <c r="Q36" s="100">
        <v>5524.785390320837</v>
      </c>
      <c r="R36" s="100">
        <v>3.908594222255648</v>
      </c>
      <c r="S36" s="100">
        <v>2973.658484292097</v>
      </c>
      <c r="T36" s="100">
        <v>6.7133258847524528</v>
      </c>
      <c r="U36" s="100">
        <v>5107.4983331196654</v>
      </c>
      <c r="V36" s="100">
        <v>9</v>
      </c>
      <c r="W36" s="100">
        <v>6847.2</v>
      </c>
      <c r="X36" s="100">
        <v>1.0493611494414585</v>
      </c>
      <c r="Y36" s="100">
        <v>798.35396249506164</v>
      </c>
      <c r="Z36" s="100">
        <v>7</v>
      </c>
      <c r="AA36" s="100">
        <v>5325.5999999999995</v>
      </c>
      <c r="AB36" s="100">
        <v>3.3183010583784127</v>
      </c>
      <c r="AC36" s="100">
        <v>2524.5634452142963</v>
      </c>
      <c r="AD36" s="100">
        <v>8.6170834441168491</v>
      </c>
      <c r="AE36" s="100">
        <v>6555.8770842840986</v>
      </c>
      <c r="AF36" s="100">
        <v>4.7242870648098849</v>
      </c>
      <c r="AG36" s="100">
        <v>3594.2375989073603</v>
      </c>
      <c r="AH36" s="100">
        <v>9.4551223344209241</v>
      </c>
      <c r="AI36" s="100">
        <v>7193.4570720274387</v>
      </c>
      <c r="AJ36" s="100">
        <v>8.9535556842635202</v>
      </c>
      <c r="AK36" s="100">
        <v>6811.8651645876862</v>
      </c>
      <c r="AL36" s="100">
        <v>5.9663911971947212E-4</v>
      </c>
      <c r="AM36" s="100">
        <v>0.45392304228257435</v>
      </c>
      <c r="AN36" s="100">
        <v>8.517404340892103</v>
      </c>
      <c r="AO36" s="100">
        <v>6480.0412225507116</v>
      </c>
      <c r="AP36" s="100">
        <v>8</v>
      </c>
      <c r="AQ36" s="100">
        <v>6086.4</v>
      </c>
      <c r="AR36" s="100">
        <v>6.6930917487580777</v>
      </c>
      <c r="AS36" s="100">
        <v>5092.1042024551452</v>
      </c>
      <c r="AT36" s="100">
        <v>7.2724026428825974</v>
      </c>
      <c r="AU36" s="100">
        <v>5532.8439307050794</v>
      </c>
      <c r="AV36" s="100">
        <v>6.0425656974228419</v>
      </c>
      <c r="AW36" s="100">
        <v>4597.1839825992975</v>
      </c>
      <c r="AX36" s="100">
        <v>7.2545874331928353</v>
      </c>
      <c r="AY36" s="100">
        <v>5519.2901191731089</v>
      </c>
      <c r="AZ36" s="100">
        <v>2.4842675814909998</v>
      </c>
      <c r="BA36" s="100">
        <v>1890.0307759983525</v>
      </c>
      <c r="BB36" s="100">
        <v>8.7319217148751669</v>
      </c>
      <c r="BC36" s="100">
        <v>6643.2460406770269</v>
      </c>
      <c r="BD36" s="100">
        <v>8.0936495523406684</v>
      </c>
      <c r="BE36" s="100">
        <v>6157.6485794207802</v>
      </c>
      <c r="BF36" s="100">
        <v>5.0545207319040371</v>
      </c>
      <c r="BG36" s="100">
        <v>3845.4793728325913</v>
      </c>
      <c r="BH36" s="100">
        <v>2.3066658786692225</v>
      </c>
      <c r="BI36" s="100">
        <v>1754.9114004915443</v>
      </c>
      <c r="BJ36" s="100">
        <v>12.041264312775139</v>
      </c>
      <c r="BK36" s="100">
        <v>9160.9938891593247</v>
      </c>
      <c r="BL36" s="100">
        <v>6.2685166473975222</v>
      </c>
      <c r="BM36" s="100">
        <v>4769.0874653400342</v>
      </c>
      <c r="BN36" s="100">
        <v>7.3542464025291858</v>
      </c>
      <c r="BO36" s="100">
        <v>5595.1106630442046</v>
      </c>
      <c r="BP36" s="100">
        <v>5.0545207319040371</v>
      </c>
      <c r="BQ36" s="100">
        <v>3845.4793728325913</v>
      </c>
      <c r="BR36" s="100">
        <v>7.1277010921693578E-4</v>
      </c>
      <c r="BS36" s="100">
        <v>0.54227549909224471</v>
      </c>
      <c r="BT36" s="100">
        <v>7.50435844266896</v>
      </c>
      <c r="BU36" s="100">
        <v>5709.3159031825444</v>
      </c>
      <c r="BV36" s="100">
        <v>9.1974598032484938</v>
      </c>
      <c r="BW36" s="100">
        <v>6997.4274183114539</v>
      </c>
      <c r="BX36" s="100">
        <v>7</v>
      </c>
      <c r="BY36" s="100">
        <v>5325.5999999999995</v>
      </c>
      <c r="BZ36" s="100">
        <v>7</v>
      </c>
      <c r="CA36" s="100">
        <v>5325.5999999999995</v>
      </c>
      <c r="CB36" s="100">
        <v>1.1574648363810984</v>
      </c>
      <c r="CC36" s="100">
        <v>880.59924751873962</v>
      </c>
      <c r="CD36" s="100">
        <v>5.3425579363772441E-4</v>
      </c>
      <c r="CE36" s="100">
        <v>0.40646180779958069</v>
      </c>
      <c r="CF36" s="100">
        <v>11.000576332805998</v>
      </c>
      <c r="CG36" s="100">
        <v>8369.2384739988029</v>
      </c>
      <c r="CH36" s="100">
        <v>9</v>
      </c>
      <c r="CI36" s="100">
        <v>6847.2</v>
      </c>
      <c r="CJ36" s="100">
        <v>7.3811523433523814</v>
      </c>
      <c r="CK36" s="100">
        <v>5615.5807028224917</v>
      </c>
      <c r="CL36" s="100">
        <v>6.3643008867800406</v>
      </c>
      <c r="CM36" s="100">
        <v>4841.9601146622545</v>
      </c>
      <c r="CN36" s="100">
        <v>5.6824115060536071</v>
      </c>
      <c r="CO36" s="100">
        <v>4323.1786738055844</v>
      </c>
      <c r="CP36" s="100">
        <v>4.8405727644160361</v>
      </c>
      <c r="CQ36" s="100">
        <v>3682.7077591677203</v>
      </c>
      <c r="CR36" s="100">
        <v>1.4557708922196018</v>
      </c>
      <c r="CS36" s="100">
        <v>1107.5504948006731</v>
      </c>
      <c r="CT36" s="100">
        <v>5.7740289542866945</v>
      </c>
      <c r="CU36" s="100">
        <v>4392.8812284213172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11.925018913578066</v>
      </c>
      <c r="G37" s="100">
        <v>10260.286273242567</v>
      </c>
      <c r="H37" s="100">
        <v>11.416825114076092</v>
      </c>
      <c r="I37" s="100">
        <v>9823.036328151069</v>
      </c>
      <c r="J37" s="100">
        <v>12.28496073623122</v>
      </c>
      <c r="K37" s="100">
        <v>10569.980217453342</v>
      </c>
      <c r="L37" s="100">
        <v>15.520086425908914</v>
      </c>
      <c r="M37" s="100">
        <v>13353.482360852029</v>
      </c>
      <c r="N37" s="100">
        <v>3.1334212901490344</v>
      </c>
      <c r="O37" s="100">
        <v>2695.995678044229</v>
      </c>
      <c r="P37" s="100">
        <v>19.841206966632349</v>
      </c>
      <c r="Q37" s="100">
        <v>17071.374474090473</v>
      </c>
      <c r="R37" s="100">
        <v>5.6135725292535659</v>
      </c>
      <c r="S37" s="100">
        <v>4829.9178041697678</v>
      </c>
      <c r="T37" s="100">
        <v>16.356662942376225</v>
      </c>
      <c r="U37" s="100">
        <v>14073.272795620504</v>
      </c>
      <c r="V37" s="100">
        <v>20</v>
      </c>
      <c r="W37" s="100">
        <v>17208</v>
      </c>
      <c r="X37" s="100">
        <v>3.497870498138195</v>
      </c>
      <c r="Y37" s="100">
        <v>3009.5677765981027</v>
      </c>
      <c r="Z37" s="100">
        <v>13</v>
      </c>
      <c r="AA37" s="100">
        <v>11185.199999999999</v>
      </c>
      <c r="AB37" s="100">
        <v>8.6275827517838728</v>
      </c>
      <c r="AC37" s="100">
        <v>7423.1721996348442</v>
      </c>
      <c r="AD37" s="100">
        <v>16.606026880832093</v>
      </c>
      <c r="AE37" s="100">
        <v>14287.825528267933</v>
      </c>
      <c r="AF37" s="100">
        <v>7.8738117746831415</v>
      </c>
      <c r="AG37" s="100">
        <v>6774.6276509373747</v>
      </c>
      <c r="AH37" s="100">
        <v>19.970081556280615</v>
      </c>
      <c r="AI37" s="100">
        <v>17182.258171023841</v>
      </c>
      <c r="AJ37" s="100">
        <v>17.90711136852704</v>
      </c>
      <c r="AK37" s="100">
        <v>15407.278621480666</v>
      </c>
      <c r="AL37" s="100">
        <v>1.2417273760794542E-3</v>
      </c>
      <c r="AM37" s="100">
        <v>1.0683822343787623</v>
      </c>
      <c r="AN37" s="100">
        <v>10.348803858570758</v>
      </c>
      <c r="AO37" s="100">
        <v>8904.1108399142795</v>
      </c>
      <c r="AP37" s="100">
        <v>15</v>
      </c>
      <c r="AQ37" s="100">
        <v>12906</v>
      </c>
      <c r="AR37" s="100">
        <v>16.254651389841044</v>
      </c>
      <c r="AS37" s="100">
        <v>13985.502055819234</v>
      </c>
      <c r="AT37" s="100">
        <v>9.4541234357473769</v>
      </c>
      <c r="AU37" s="100">
        <v>8134.3278041170424</v>
      </c>
      <c r="AV37" s="100">
        <v>11.029795988195989</v>
      </c>
      <c r="AW37" s="100">
        <v>9490.0364682438285</v>
      </c>
      <c r="AX37" s="100">
        <v>11.047691826747926</v>
      </c>
      <c r="AY37" s="100">
        <v>9505.4340477339156</v>
      </c>
      <c r="AZ37" s="100">
        <v>3.5066044406107277</v>
      </c>
      <c r="BA37" s="100">
        <v>3017.0824607014702</v>
      </c>
      <c r="BB37" s="100">
        <v>13.742252163517929</v>
      </c>
      <c r="BC37" s="100">
        <v>11823.833761490825</v>
      </c>
      <c r="BD37" s="100">
        <v>12.59012152586326</v>
      </c>
      <c r="BE37" s="100">
        <v>10832.540560852749</v>
      </c>
      <c r="BF37" s="100">
        <v>13.478721951744101</v>
      </c>
      <c r="BG37" s="100">
        <v>11597.092367280624</v>
      </c>
      <c r="BH37" s="100">
        <v>4.1231680041427605</v>
      </c>
      <c r="BI37" s="100">
        <v>3547.5737507644312</v>
      </c>
      <c r="BJ37" s="100">
        <v>22.952590012628399</v>
      </c>
      <c r="BK37" s="100">
        <v>19748.408446865473</v>
      </c>
      <c r="BL37" s="100">
        <v>11.753468713870353</v>
      </c>
      <c r="BM37" s="100">
        <v>10112.684481414051</v>
      </c>
      <c r="BN37" s="100">
        <v>12.502218884299618</v>
      </c>
      <c r="BO37" s="100">
        <v>10756.909128051391</v>
      </c>
      <c r="BP37" s="100">
        <v>9.2666213418240684</v>
      </c>
      <c r="BQ37" s="100">
        <v>7973.001002505428</v>
      </c>
      <c r="BR37" s="100">
        <v>8.4906393609875542E-4</v>
      </c>
      <c r="BS37" s="100">
        <v>0.7305346106193692</v>
      </c>
      <c r="BT37" s="100">
        <v>8.109990855515937</v>
      </c>
      <c r="BU37" s="100">
        <v>6977.8361320859121</v>
      </c>
      <c r="BV37" s="100">
        <v>14</v>
      </c>
      <c r="BW37" s="100">
        <v>12045.6</v>
      </c>
      <c r="BX37" s="100">
        <v>13</v>
      </c>
      <c r="BY37" s="100">
        <v>11185.199999999999</v>
      </c>
      <c r="BZ37" s="100">
        <v>14</v>
      </c>
      <c r="CA37" s="100">
        <v>12045.6</v>
      </c>
      <c r="CB37" s="100">
        <v>3.8226251540132088</v>
      </c>
      <c r="CC37" s="100">
        <v>3288.9866825129648</v>
      </c>
      <c r="CD37" s="100">
        <v>8.9042632272954073E-4</v>
      </c>
      <c r="CE37" s="100">
        <v>0.7661228080764968</v>
      </c>
      <c r="CF37" s="100">
        <v>21.000354666342151</v>
      </c>
      <c r="CG37" s="100">
        <v>18068.705154920786</v>
      </c>
      <c r="CH37" s="100">
        <v>15</v>
      </c>
      <c r="CI37" s="100">
        <v>12906</v>
      </c>
      <c r="CJ37" s="100">
        <v>10.66166449595344</v>
      </c>
      <c r="CK37" s="100">
        <v>9173.296132318339</v>
      </c>
      <c r="CL37" s="100">
        <v>12.728601773560081</v>
      </c>
      <c r="CM37" s="100">
        <v>10951.688965971094</v>
      </c>
      <c r="CN37" s="100">
        <v>11.364823012107214</v>
      </c>
      <c r="CO37" s="100">
        <v>9778.293719617046</v>
      </c>
      <c r="CP37" s="100">
        <v>12.908194038442762</v>
      </c>
      <c r="CQ37" s="100">
        <v>11106.210150676152</v>
      </c>
      <c r="CR37" s="100">
        <v>4.6099411586954062</v>
      </c>
      <c r="CS37" s="100">
        <v>3966.3933729415276</v>
      </c>
      <c r="CT37" s="100">
        <v>6.4006284954658055</v>
      </c>
      <c r="CU37" s="100">
        <v>5507.1007574987789</v>
      </c>
    </row>
    <row r="38" spans="2:99">
      <c r="C38" s="99" t="s">
        <v>204</v>
      </c>
      <c r="D38" s="100">
        <v>9</v>
      </c>
      <c r="E38" s="100">
        <v>11178</v>
      </c>
      <c r="F38" s="100">
        <v>13.515021435388475</v>
      </c>
      <c r="G38" s="100">
        <v>16785.656622752485</v>
      </c>
      <c r="H38" s="100">
        <v>11.416825114076092</v>
      </c>
      <c r="I38" s="100">
        <v>14179.696791682507</v>
      </c>
      <c r="J38" s="100">
        <v>12.28496073623122</v>
      </c>
      <c r="K38" s="100">
        <v>15257.921234399175</v>
      </c>
      <c r="L38" s="100">
        <v>13.069546463923297</v>
      </c>
      <c r="M38" s="100">
        <v>16232.376708192734</v>
      </c>
      <c r="N38" s="100">
        <v>3.1334212901490344</v>
      </c>
      <c r="O38" s="100">
        <v>3891.7092423651006</v>
      </c>
      <c r="P38" s="100">
        <v>19.841206966632349</v>
      </c>
      <c r="Q38" s="100">
        <v>24642.779052557376</v>
      </c>
      <c r="R38" s="100">
        <v>5.6102540295358114</v>
      </c>
      <c r="S38" s="100">
        <v>6967.935504683478</v>
      </c>
      <c r="T38" s="100">
        <v>16.297219118646854</v>
      </c>
      <c r="U38" s="100">
        <v>20241.146145359395</v>
      </c>
      <c r="V38" s="100">
        <v>19</v>
      </c>
      <c r="W38" s="100">
        <v>23598</v>
      </c>
      <c r="X38" s="100">
        <v>3.3229769732312846</v>
      </c>
      <c r="Y38" s="100">
        <v>4127.1374007532559</v>
      </c>
      <c r="Z38" s="100">
        <v>13</v>
      </c>
      <c r="AA38" s="100">
        <v>16146</v>
      </c>
      <c r="AB38" s="100">
        <v>7.9639225401081903</v>
      </c>
      <c r="AC38" s="100">
        <v>9891.1917948143728</v>
      </c>
      <c r="AD38" s="100">
        <v>15.695102054256264</v>
      </c>
      <c r="AE38" s="100">
        <v>19493.316751386279</v>
      </c>
      <c r="AF38" s="100">
        <v>6.2990494197465123</v>
      </c>
      <c r="AG38" s="100">
        <v>7823.4193793251679</v>
      </c>
      <c r="AH38" s="100">
        <v>19.970081556280615</v>
      </c>
      <c r="AI38" s="100">
        <v>24802.841292900524</v>
      </c>
      <c r="AJ38" s="100">
        <v>16.912271848053319</v>
      </c>
      <c r="AK38" s="100">
        <v>21005.041635282221</v>
      </c>
      <c r="AL38" s="100">
        <v>1.1217283802571155E-3</v>
      </c>
      <c r="AM38" s="100">
        <v>1.3931866482793374</v>
      </c>
      <c r="AN38" s="100">
        <v>10.180203376249413</v>
      </c>
      <c r="AO38" s="100">
        <v>12643.812593301771</v>
      </c>
      <c r="AP38" s="100">
        <v>17</v>
      </c>
      <c r="AQ38" s="100">
        <v>21114</v>
      </c>
      <c r="AR38" s="100">
        <v>16.254651389841044</v>
      </c>
      <c r="AS38" s="100">
        <v>20188.277026182575</v>
      </c>
      <c r="AT38" s="100">
        <v>9.4541234357473769</v>
      </c>
      <c r="AU38" s="100">
        <v>11742.021307198242</v>
      </c>
      <c r="AV38" s="100">
        <v>10.029795988195989</v>
      </c>
      <c r="AW38" s="100">
        <v>12457.006617339419</v>
      </c>
      <c r="AX38" s="100">
        <v>9.5971275168804624</v>
      </c>
      <c r="AY38" s="100">
        <v>11919.632375965535</v>
      </c>
      <c r="AZ38" s="100">
        <v>3.6023944907744783</v>
      </c>
      <c r="BA38" s="100">
        <v>4474.1739575419024</v>
      </c>
      <c r="BB38" s="100">
        <v>14.742252163517929</v>
      </c>
      <c r="BC38" s="100">
        <v>18309.877187089267</v>
      </c>
      <c r="BD38" s="100">
        <v>13.489415920567779</v>
      </c>
      <c r="BE38" s="100">
        <v>16753.854573345183</v>
      </c>
      <c r="BF38" s="100">
        <v>11.793881707776087</v>
      </c>
      <c r="BG38" s="100">
        <v>14648.001081057901</v>
      </c>
      <c r="BH38" s="100">
        <v>4.1324886549176352</v>
      </c>
      <c r="BI38" s="100">
        <v>5132.5509094077033</v>
      </c>
      <c r="BJ38" s="100">
        <v>21.816505725110055</v>
      </c>
      <c r="BK38" s="100">
        <v>27096.100110586689</v>
      </c>
      <c r="BL38" s="100">
        <v>10.969904132945663</v>
      </c>
      <c r="BM38" s="100">
        <v>13624.620933118513</v>
      </c>
      <c r="BN38" s="100">
        <v>13.973068164805454</v>
      </c>
      <c r="BO38" s="100">
        <v>17354.550660688376</v>
      </c>
      <c r="BP38" s="100">
        <v>9.2666213418240684</v>
      </c>
      <c r="BQ38" s="100">
        <v>11509.143706545492</v>
      </c>
      <c r="BR38" s="100">
        <v>8.4608289087896138E-4</v>
      </c>
      <c r="BS38" s="100">
        <v>1.0508349504716701</v>
      </c>
      <c r="BT38" s="100">
        <v>8.8016544699234043</v>
      </c>
      <c r="BU38" s="100">
        <v>10931.654851644867</v>
      </c>
      <c r="BV38" s="100">
        <v>14.979739839021494</v>
      </c>
      <c r="BW38" s="100">
        <v>18604.836880064697</v>
      </c>
      <c r="BX38" s="100">
        <v>11</v>
      </c>
      <c r="BY38" s="100">
        <v>13662</v>
      </c>
      <c r="BZ38" s="100">
        <v>11</v>
      </c>
      <c r="CA38" s="100">
        <v>13662</v>
      </c>
      <c r="CB38" s="100">
        <v>3.5911321867369894</v>
      </c>
      <c r="CC38" s="100">
        <v>4460.1861759273406</v>
      </c>
      <c r="CD38" s="100">
        <v>8.3106456788090469E-4</v>
      </c>
      <c r="CE38" s="100">
        <v>1.0321821933080837</v>
      </c>
      <c r="CF38" s="100">
        <v>16.000354666342151</v>
      </c>
      <c r="CG38" s="100">
        <v>19872.440495596951</v>
      </c>
      <c r="CH38" s="100">
        <v>15</v>
      </c>
      <c r="CI38" s="100">
        <v>18630</v>
      </c>
      <c r="CJ38" s="100">
        <v>9.8415364578031745</v>
      </c>
      <c r="CK38" s="100">
        <v>12223.188280591543</v>
      </c>
      <c r="CL38" s="100">
        <v>11.13752655186507</v>
      </c>
      <c r="CM38" s="100">
        <v>13832.807977416418</v>
      </c>
      <c r="CN38" s="100">
        <v>12.785425888620617</v>
      </c>
      <c r="CO38" s="100">
        <v>15879.498953666807</v>
      </c>
      <c r="CP38" s="100">
        <v>12.101431911040089</v>
      </c>
      <c r="CQ38" s="100">
        <v>15029.978433511791</v>
      </c>
      <c r="CR38" s="100">
        <v>4.1246841946222048</v>
      </c>
      <c r="CS38" s="100">
        <v>5122.8577697207784</v>
      </c>
      <c r="CT38" s="100">
        <v>6.398249757073339</v>
      </c>
      <c r="CU38" s="100">
        <v>7946.6261982850874</v>
      </c>
    </row>
    <row r="39" spans="2:99">
      <c r="C39" s="99" t="s">
        <v>205</v>
      </c>
      <c r="D39" s="100">
        <v>10</v>
      </c>
      <c r="E39" s="100">
        <v>14232</v>
      </c>
      <c r="F39" s="100">
        <v>13.515021435388475</v>
      </c>
      <c r="G39" s="100">
        <v>19234.578506844879</v>
      </c>
      <c r="H39" s="100">
        <v>12.93906846261957</v>
      </c>
      <c r="I39" s="100">
        <v>18414.882236000172</v>
      </c>
      <c r="J39" s="100">
        <v>10.839671237851075</v>
      </c>
      <c r="K39" s="100">
        <v>15427.020105709651</v>
      </c>
      <c r="L39" s="100">
        <v>13.069546463923297</v>
      </c>
      <c r="M39" s="100">
        <v>18600.578527455637</v>
      </c>
      <c r="N39" s="100">
        <v>3.1334212901490344</v>
      </c>
      <c r="O39" s="100">
        <v>4459.4851801401055</v>
      </c>
      <c r="P39" s="100">
        <v>18.841206966632349</v>
      </c>
      <c r="Q39" s="100">
        <v>26814.805754911158</v>
      </c>
      <c r="R39" s="100">
        <v>5.6135725292535659</v>
      </c>
      <c r="S39" s="100">
        <v>7989.2364236336753</v>
      </c>
      <c r="T39" s="100">
        <v>14.356662942376227</v>
      </c>
      <c r="U39" s="100">
        <v>20432.402699589846</v>
      </c>
      <c r="V39" s="100">
        <v>17</v>
      </c>
      <c r="W39" s="100">
        <v>24194.400000000001</v>
      </c>
      <c r="X39" s="100">
        <v>3.497870498138195</v>
      </c>
      <c r="Y39" s="100">
        <v>4978.1692929502788</v>
      </c>
      <c r="Z39" s="100">
        <v>13</v>
      </c>
      <c r="AA39" s="100">
        <v>18501.600000000002</v>
      </c>
      <c r="AB39" s="100">
        <v>7.9639225401081903</v>
      </c>
      <c r="AC39" s="100">
        <v>11334.254559081977</v>
      </c>
      <c r="AD39" s="100">
        <v>13.838355734026743</v>
      </c>
      <c r="AE39" s="100">
        <v>19694.747880666862</v>
      </c>
      <c r="AF39" s="100">
        <v>6.2990494197465123</v>
      </c>
      <c r="AG39" s="100">
        <v>8964.8071341832365</v>
      </c>
      <c r="AH39" s="100">
        <v>18.970081556280615</v>
      </c>
      <c r="AI39" s="100">
        <v>26998.220070898573</v>
      </c>
      <c r="AJ39" s="100">
        <v>15.917432327579592</v>
      </c>
      <c r="AK39" s="100">
        <v>22653.689688611277</v>
      </c>
      <c r="AL39" s="100">
        <v>1.1187471361245396E-3</v>
      </c>
      <c r="AM39" s="100">
        <v>1.5922009241324449</v>
      </c>
      <c r="AN39" s="100">
        <v>11.348803858570758</v>
      </c>
      <c r="AO39" s="100">
        <v>16151.617651517903</v>
      </c>
      <c r="AP39" s="100">
        <v>15</v>
      </c>
      <c r="AQ39" s="100">
        <v>21348</v>
      </c>
      <c r="AR39" s="100">
        <v>15.298495425732748</v>
      </c>
      <c r="AS39" s="100">
        <v>21772.818689902848</v>
      </c>
      <c r="AT39" s="100">
        <v>8.7268831714591162</v>
      </c>
      <c r="AU39" s="100">
        <v>12420.100129620614</v>
      </c>
      <c r="AV39" s="100">
        <v>11.034052557938274</v>
      </c>
      <c r="AW39" s="100">
        <v>15703.663600457752</v>
      </c>
      <c r="AX39" s="100">
        <v>9.5971275168804624</v>
      </c>
      <c r="AY39" s="100">
        <v>13658.631882024274</v>
      </c>
      <c r="AZ39" s="100">
        <v>3.3936210494027614</v>
      </c>
      <c r="BA39" s="100">
        <v>4829.80147751001</v>
      </c>
      <c r="BB39" s="100">
        <v>13.618543469598274</v>
      </c>
      <c r="BC39" s="100">
        <v>19381.911065932265</v>
      </c>
      <c r="BD39" s="100">
        <v>11.690827131158743</v>
      </c>
      <c r="BE39" s="100">
        <v>16638.385173065122</v>
      </c>
      <c r="BF39" s="100">
        <v>11.793881707776087</v>
      </c>
      <c r="BG39" s="100">
        <v>16785.052446506928</v>
      </c>
      <c r="BH39" s="100">
        <v>4.1231680041427605</v>
      </c>
      <c r="BI39" s="100">
        <v>5868.0927034959768</v>
      </c>
      <c r="BJ39" s="100">
        <v>21.816505725110055</v>
      </c>
      <c r="BK39" s="100">
        <v>31049.25094797663</v>
      </c>
      <c r="BL39" s="100">
        <v>13.320597875719734</v>
      </c>
      <c r="BM39" s="100">
        <v>18957.874896724326</v>
      </c>
      <c r="BN39" s="100">
        <v>13.237643524552535</v>
      </c>
      <c r="BO39" s="100">
        <v>18839.81426414317</v>
      </c>
      <c r="BP39" s="100">
        <v>7.581781097856056</v>
      </c>
      <c r="BQ39" s="100">
        <v>10790.39085846874</v>
      </c>
      <c r="BR39" s="100">
        <v>8.4906393609875542E-4</v>
      </c>
      <c r="BS39" s="100">
        <v>1.2083877938557488</v>
      </c>
      <c r="BT39" s="100">
        <v>8.1599715007277851</v>
      </c>
      <c r="BU39" s="100">
        <v>11613.271439835784</v>
      </c>
      <c r="BV39" s="100">
        <v>14.870879856907996</v>
      </c>
      <c r="BW39" s="100">
        <v>21164.236212351461</v>
      </c>
      <c r="BX39" s="100">
        <v>12</v>
      </c>
      <c r="BY39" s="100">
        <v>17078.400000000001</v>
      </c>
      <c r="BZ39" s="100">
        <v>11</v>
      </c>
      <c r="CA39" s="100">
        <v>15655.2</v>
      </c>
      <c r="CB39" s="100">
        <v>4.0649124556161285</v>
      </c>
      <c r="CC39" s="100">
        <v>5785.1834068328744</v>
      </c>
      <c r="CD39" s="100">
        <v>7.7170281303226866E-4</v>
      </c>
      <c r="CE39" s="100">
        <v>1.0982874435075247</v>
      </c>
      <c r="CF39" s="100">
        <v>19.000354666342151</v>
      </c>
      <c r="CG39" s="100">
        <v>27041.304761138152</v>
      </c>
      <c r="CH39" s="100">
        <v>15</v>
      </c>
      <c r="CI39" s="100">
        <v>21348</v>
      </c>
      <c r="CJ39" s="100">
        <v>9.0214084196529107</v>
      </c>
      <c r="CK39" s="100">
        <v>12839.268462850023</v>
      </c>
      <c r="CL39" s="100">
        <v>12.728601773560081</v>
      </c>
      <c r="CM39" s="100">
        <v>18115.346044130707</v>
      </c>
      <c r="CN39" s="100">
        <v>11.364823012107214</v>
      </c>
      <c r="CO39" s="100">
        <v>16174.416110830987</v>
      </c>
      <c r="CP39" s="100">
        <v>12.101431911040089</v>
      </c>
      <c r="CQ39" s="100">
        <v>17222.757895792256</v>
      </c>
      <c r="CR39" s="100">
        <v>4.3673126766588055</v>
      </c>
      <c r="CS39" s="100">
        <v>6215.5594014208118</v>
      </c>
      <c r="CT39" s="100">
        <v>6.3958710186808716</v>
      </c>
      <c r="CU39" s="100">
        <v>9102.6036337866171</v>
      </c>
    </row>
    <row r="40" spans="2:99">
      <c r="C40" s="99" t="s">
        <v>206</v>
      </c>
      <c r="D40" s="100">
        <v>11</v>
      </c>
      <c r="E40" s="100">
        <v>7972.7999999999993</v>
      </c>
      <c r="F40" s="100">
        <v>12.720020174483269</v>
      </c>
      <c r="G40" s="100">
        <v>9219.4706224654728</v>
      </c>
      <c r="H40" s="100">
        <v>12.93906846261957</v>
      </c>
      <c r="I40" s="100">
        <v>9378.2368217066632</v>
      </c>
      <c r="J40" s="100">
        <v>11.562315987041147</v>
      </c>
      <c r="K40" s="100">
        <v>8380.3666274074239</v>
      </c>
      <c r="L40" s="100">
        <v>13.886393117918503</v>
      </c>
      <c r="M40" s="100">
        <v>10064.857731867331</v>
      </c>
      <c r="N40" s="100">
        <v>3.4110317224101534</v>
      </c>
      <c r="O40" s="100">
        <v>2472.3157924028792</v>
      </c>
      <c r="P40" s="100">
        <v>19.841206966632349</v>
      </c>
      <c r="Q40" s="100">
        <v>14380.906809415126</v>
      </c>
      <c r="R40" s="100">
        <v>5.583706031793783</v>
      </c>
      <c r="S40" s="100">
        <v>4047.0701318441338</v>
      </c>
      <c r="T40" s="100">
        <v>15.356662942376227</v>
      </c>
      <c r="U40" s="100">
        <v>11130.509300634289</v>
      </c>
      <c r="V40" s="100">
        <v>20</v>
      </c>
      <c r="W40" s="100">
        <v>14496</v>
      </c>
      <c r="X40" s="100">
        <v>3.6988058718979655</v>
      </c>
      <c r="Y40" s="100">
        <v>2680.8944959516452</v>
      </c>
      <c r="Z40" s="100">
        <v>13</v>
      </c>
      <c r="AA40" s="100">
        <v>9422.4</v>
      </c>
      <c r="AB40" s="100">
        <v>7.9639225401081903</v>
      </c>
      <c r="AC40" s="100">
        <v>5772.2510570704162</v>
      </c>
      <c r="AD40" s="100">
        <v>17.51695170740792</v>
      </c>
      <c r="AE40" s="100">
        <v>12696.286597529259</v>
      </c>
      <c r="AF40" s="100">
        <v>6.8239702047253887</v>
      </c>
      <c r="AG40" s="100">
        <v>4946.0136043849616</v>
      </c>
      <c r="AH40" s="100">
        <v>17.970081556280615</v>
      </c>
      <c r="AI40" s="100">
        <v>13024.715111992189</v>
      </c>
      <c r="AJ40" s="100">
        <v>18.901950889000766</v>
      </c>
      <c r="AK40" s="100">
        <v>13700.134004347754</v>
      </c>
      <c r="AL40" s="100">
        <v>1.0617288823459462E-3</v>
      </c>
      <c r="AM40" s="100">
        <v>0.76954109392434178</v>
      </c>
      <c r="AN40" s="100">
        <v>13.180203376249413</v>
      </c>
      <c r="AO40" s="100">
        <v>9553.0114071055741</v>
      </c>
      <c r="AP40" s="100">
        <v>17</v>
      </c>
      <c r="AQ40" s="100">
        <v>12321.599999999999</v>
      </c>
      <c r="AR40" s="100">
        <v>14.34233946162445</v>
      </c>
      <c r="AS40" s="100">
        <v>10395.327641785401</v>
      </c>
      <c r="AT40" s="100">
        <v>10.181363700035636</v>
      </c>
      <c r="AU40" s="100">
        <v>7379.4524097858284</v>
      </c>
      <c r="AV40" s="100">
        <v>11.038309127680558</v>
      </c>
      <c r="AW40" s="100">
        <v>8000.5664557428672</v>
      </c>
      <c r="AX40" s="100">
        <v>11.159409533957387</v>
      </c>
      <c r="AY40" s="100">
        <v>8088.3400302123136</v>
      </c>
      <c r="AZ40" s="100">
        <v>3.1798324402095419</v>
      </c>
      <c r="BA40" s="100">
        <v>2304.7425526638758</v>
      </c>
      <c r="BB40" s="100">
        <v>13.742252163517929</v>
      </c>
      <c r="BC40" s="100">
        <v>9960.3843681177932</v>
      </c>
      <c r="BD40" s="100">
        <v>13.489415920567779</v>
      </c>
      <c r="BE40" s="100">
        <v>9777.1286592275264</v>
      </c>
      <c r="BF40" s="100">
        <v>14.321142073728108</v>
      </c>
      <c r="BG40" s="100">
        <v>10379.963775038132</v>
      </c>
      <c r="BH40" s="100">
        <v>4.3243915833173503</v>
      </c>
      <c r="BI40" s="100">
        <v>3134.3190195884154</v>
      </c>
      <c r="BJ40" s="100">
        <v>22.816505725110055</v>
      </c>
      <c r="BK40" s="100">
        <v>16537.403349559765</v>
      </c>
      <c r="BL40" s="100">
        <v>14.104162456644424</v>
      </c>
      <c r="BM40" s="100">
        <v>10222.696948575878</v>
      </c>
      <c r="BN40" s="100">
        <v>12.502218884299618</v>
      </c>
      <c r="BO40" s="100">
        <v>9061.6082473403621</v>
      </c>
      <c r="BP40" s="100">
        <v>10.109041463808074</v>
      </c>
      <c r="BQ40" s="100">
        <v>7327.0332529680918</v>
      </c>
      <c r="BR40" s="100">
        <v>9.1646558823471678E-4</v>
      </c>
      <c r="BS40" s="100">
        <v>0.66425425835252272</v>
      </c>
      <c r="BT40" s="100">
        <v>8.8516351151352541</v>
      </c>
      <c r="BU40" s="100">
        <v>6415.6651314500314</v>
      </c>
      <c r="BV40" s="100">
        <v>15.979739839021494</v>
      </c>
      <c r="BW40" s="100">
        <v>11582.115435322778</v>
      </c>
      <c r="BX40" s="100">
        <v>13</v>
      </c>
      <c r="BY40" s="100">
        <v>9422.4</v>
      </c>
      <c r="BZ40" s="100">
        <v>12</v>
      </c>
      <c r="CA40" s="100">
        <v>8697.5999999999985</v>
      </c>
      <c r="CB40" s="100">
        <v>3.8334194883399086</v>
      </c>
      <c r="CC40" s="100">
        <v>2778.4624451487657</v>
      </c>
      <c r="CD40" s="100">
        <v>8.3106456788090469E-4</v>
      </c>
      <c r="CE40" s="100">
        <v>0.60235559880007972</v>
      </c>
      <c r="CF40" s="100">
        <v>18.000354666342151</v>
      </c>
      <c r="CG40" s="100">
        <v>13046.65706216479</v>
      </c>
      <c r="CH40" s="100">
        <v>17</v>
      </c>
      <c r="CI40" s="100">
        <v>12321.599999999999</v>
      </c>
      <c r="CJ40" s="100">
        <v>9.8415364578031745</v>
      </c>
      <c r="CK40" s="100">
        <v>7133.1456246157404</v>
      </c>
      <c r="CL40" s="100">
        <v>13.524139384407587</v>
      </c>
      <c r="CM40" s="100">
        <v>9802.296225818618</v>
      </c>
      <c r="CN40" s="100">
        <v>11.364823012107214</v>
      </c>
      <c r="CO40" s="100">
        <v>8237.2237191753084</v>
      </c>
      <c r="CP40" s="100">
        <v>12.101431911040089</v>
      </c>
      <c r="CQ40" s="100">
        <v>8771.1178491218561</v>
      </c>
      <c r="CR40" s="100">
        <v>4.1246841946222048</v>
      </c>
      <c r="CS40" s="100">
        <v>2989.5711042621738</v>
      </c>
      <c r="CT40" s="100">
        <v>6.8957769598191083</v>
      </c>
      <c r="CU40" s="100">
        <v>4998.0591404768893</v>
      </c>
    </row>
    <row r="41" spans="2:99">
      <c r="C41" s="99" t="s">
        <v>207</v>
      </c>
      <c r="D41" s="100">
        <v>11</v>
      </c>
      <c r="E41" s="100">
        <v>7260</v>
      </c>
      <c r="F41" s="100">
        <v>14.310022696293679</v>
      </c>
      <c r="G41" s="100">
        <v>9444.6149795538277</v>
      </c>
      <c r="H41" s="100">
        <v>14.46131181116305</v>
      </c>
      <c r="I41" s="100">
        <v>9544.4657953676124</v>
      </c>
      <c r="J41" s="100">
        <v>13.007605485421291</v>
      </c>
      <c r="K41" s="100">
        <v>8585.0196203780524</v>
      </c>
      <c r="L41" s="100">
        <v>13.886393117918503</v>
      </c>
      <c r="M41" s="100">
        <v>9165.0194578262126</v>
      </c>
      <c r="N41" s="100">
        <v>3.1433846070586253</v>
      </c>
      <c r="O41" s="100">
        <v>2074.6338406586929</v>
      </c>
      <c r="P41" s="100">
        <v>20.841206966632349</v>
      </c>
      <c r="Q41" s="100">
        <v>13755.19659797735</v>
      </c>
      <c r="R41" s="100">
        <v>6.1719431324329452</v>
      </c>
      <c r="S41" s="100">
        <v>4073.482467405744</v>
      </c>
      <c r="T41" s="100">
        <v>17.297219118646854</v>
      </c>
      <c r="U41" s="100">
        <v>11416.164618306924</v>
      </c>
      <c r="V41" s="100">
        <v>21</v>
      </c>
      <c r="W41" s="100">
        <v>13860</v>
      </c>
      <c r="X41" s="100">
        <v>3.3229769732312846</v>
      </c>
      <c r="Y41" s="100">
        <v>2193.1648023326479</v>
      </c>
      <c r="Z41" s="100">
        <v>15</v>
      </c>
      <c r="AA41" s="100">
        <v>9900</v>
      </c>
      <c r="AB41" s="100">
        <v>8.6275827517838728</v>
      </c>
      <c r="AC41" s="100">
        <v>5694.204616177356</v>
      </c>
      <c r="AD41" s="100">
        <v>16.606026880832093</v>
      </c>
      <c r="AE41" s="100">
        <v>10959.977741349181</v>
      </c>
      <c r="AF41" s="100">
        <v>6.8239702047253887</v>
      </c>
      <c r="AG41" s="100">
        <v>4503.8203351187567</v>
      </c>
      <c r="AH41" s="100">
        <v>19.131761815660717</v>
      </c>
      <c r="AI41" s="100">
        <v>12626.962798336073</v>
      </c>
      <c r="AJ41" s="100">
        <v>16.912271848053319</v>
      </c>
      <c r="AK41" s="100">
        <v>11162.09941971519</v>
      </c>
      <c r="AL41" s="100">
        <v>1.0617288823459462E-3</v>
      </c>
      <c r="AM41" s="100">
        <v>0.70074106234832445</v>
      </c>
      <c r="AN41" s="100">
        <v>11.180203376249413</v>
      </c>
      <c r="AO41" s="100">
        <v>7378.9342283246124</v>
      </c>
      <c r="AP41" s="100">
        <v>16</v>
      </c>
      <c r="AQ41" s="100">
        <v>10560</v>
      </c>
      <c r="AR41" s="100">
        <v>14.34233946162445</v>
      </c>
      <c r="AS41" s="100">
        <v>9465.9440446721364</v>
      </c>
      <c r="AT41" s="100">
        <v>10.181363700035636</v>
      </c>
      <c r="AU41" s="100">
        <v>6719.7000420235199</v>
      </c>
      <c r="AV41" s="100">
        <v>12.038309127680558</v>
      </c>
      <c r="AW41" s="100">
        <v>7945.2840242691682</v>
      </c>
      <c r="AX41" s="100">
        <v>10.434127379023654</v>
      </c>
      <c r="AY41" s="100">
        <v>6886.5240701556113</v>
      </c>
      <c r="AZ41" s="100">
        <v>3.812839654753363</v>
      </c>
      <c r="BA41" s="100">
        <v>2516.4741721372197</v>
      </c>
      <c r="BB41" s="100">
        <v>14.742252163517929</v>
      </c>
      <c r="BC41" s="100">
        <v>9729.8864279218324</v>
      </c>
      <c r="BD41" s="100">
        <v>13.489415920567779</v>
      </c>
      <c r="BE41" s="100">
        <v>8903.014507574735</v>
      </c>
      <c r="BF41" s="100">
        <v>13.478721951744101</v>
      </c>
      <c r="BG41" s="100">
        <v>8895.9564881511069</v>
      </c>
      <c r="BH41" s="100">
        <v>4.5162945117170654</v>
      </c>
      <c r="BI41" s="100">
        <v>2980.754377733263</v>
      </c>
      <c r="BJ41" s="100">
        <v>19.816505725110055</v>
      </c>
      <c r="BK41" s="100">
        <v>13078.893778572636</v>
      </c>
      <c r="BL41" s="100">
        <v>13.320597875719734</v>
      </c>
      <c r="BM41" s="100">
        <v>8791.594597975025</v>
      </c>
      <c r="BN41" s="100">
        <v>13.237643524552535</v>
      </c>
      <c r="BO41" s="100">
        <v>8736.8447262046739</v>
      </c>
      <c r="BP41" s="100">
        <v>10.109041463808074</v>
      </c>
      <c r="BQ41" s="100">
        <v>6671.9673661133293</v>
      </c>
      <c r="BR41" s="100">
        <v>9.8386724037067804E-4</v>
      </c>
      <c r="BS41" s="100">
        <v>0.64935237864464745</v>
      </c>
      <c r="BT41" s="100">
        <v>8.163951526117275</v>
      </c>
      <c r="BU41" s="100">
        <v>5388.2080072374019</v>
      </c>
      <c r="BV41" s="100">
        <v>16.870879856907994</v>
      </c>
      <c r="BW41" s="100">
        <v>11134.780705559277</v>
      </c>
      <c r="BX41" s="100">
        <v>13</v>
      </c>
      <c r="BY41" s="100">
        <v>8580</v>
      </c>
      <c r="BZ41" s="100">
        <v>12</v>
      </c>
      <c r="CA41" s="100">
        <v>7920</v>
      </c>
      <c r="CB41" s="100">
        <v>4.3071997572190472</v>
      </c>
      <c r="CC41" s="100">
        <v>2842.7518397645713</v>
      </c>
      <c r="CD41" s="100">
        <v>8.9042632272954073E-4</v>
      </c>
      <c r="CE41" s="100">
        <v>0.58768137300149692</v>
      </c>
      <c r="CF41" s="100">
        <v>21.000354666342151</v>
      </c>
      <c r="CG41" s="100">
        <v>13860.23407978582</v>
      </c>
      <c r="CH41" s="100">
        <v>15</v>
      </c>
      <c r="CI41" s="100">
        <v>9900</v>
      </c>
      <c r="CJ41" s="100">
        <v>10.66166449595344</v>
      </c>
      <c r="CK41" s="100">
        <v>7036.6985673292702</v>
      </c>
      <c r="CL41" s="100">
        <v>11.933064162712576</v>
      </c>
      <c r="CM41" s="100">
        <v>7875.8223473902999</v>
      </c>
      <c r="CN41" s="100">
        <v>13.495727326877319</v>
      </c>
      <c r="CO41" s="100">
        <v>8907.1800357390312</v>
      </c>
      <c r="CP41" s="100">
        <v>13.714956165845434</v>
      </c>
      <c r="CQ41" s="100">
        <v>9051.8710694579859</v>
      </c>
      <c r="CR41" s="100">
        <v>4.1246841946222048</v>
      </c>
      <c r="CS41" s="100">
        <v>2722.2915684506552</v>
      </c>
      <c r="CT41" s="100">
        <v>7.4004403777422789</v>
      </c>
      <c r="CU41" s="100">
        <v>4884.2906493099044</v>
      </c>
    </row>
    <row r="42" spans="2:99">
      <c r="C42" s="99" t="s">
        <v>208</v>
      </c>
      <c r="D42" s="100">
        <v>11</v>
      </c>
      <c r="E42" s="100">
        <v>9306</v>
      </c>
      <c r="F42" s="100">
        <v>11.925018913578066</v>
      </c>
      <c r="G42" s="100">
        <v>10088.566000887044</v>
      </c>
      <c r="H42" s="100">
        <v>12.177946788347832</v>
      </c>
      <c r="I42" s="100">
        <v>10302.542982942266</v>
      </c>
      <c r="J42" s="100">
        <v>12.28496073623122</v>
      </c>
      <c r="K42" s="100">
        <v>10393.076782851613</v>
      </c>
      <c r="L42" s="100">
        <v>13.886393117918503</v>
      </c>
      <c r="M42" s="100">
        <v>11747.888577759053</v>
      </c>
      <c r="N42" s="100">
        <v>3.1334212901490344</v>
      </c>
      <c r="O42" s="100">
        <v>2650.8744114660831</v>
      </c>
      <c r="P42" s="100">
        <v>19.841206966632349</v>
      </c>
      <c r="Q42" s="100">
        <v>16785.661093770967</v>
      </c>
      <c r="R42" s="100">
        <v>5.6102540295358114</v>
      </c>
      <c r="S42" s="100">
        <v>4746.2749089872968</v>
      </c>
      <c r="T42" s="100">
        <v>15.356662942376227</v>
      </c>
      <c r="U42" s="100">
        <v>12991.736849250288</v>
      </c>
      <c r="V42" s="100">
        <v>19</v>
      </c>
      <c r="W42" s="100">
        <v>16074</v>
      </c>
      <c r="X42" s="100">
        <v>3.1480834483243756</v>
      </c>
      <c r="Y42" s="100">
        <v>2663.2785972824217</v>
      </c>
      <c r="Z42" s="100">
        <v>14</v>
      </c>
      <c r="AA42" s="100">
        <v>11844</v>
      </c>
      <c r="AB42" s="100">
        <v>8.6275827517838728</v>
      </c>
      <c r="AC42" s="100">
        <v>7298.9350080091563</v>
      </c>
      <c r="AD42" s="100">
        <v>14.784177227680438</v>
      </c>
      <c r="AE42" s="100">
        <v>12507.413934617651</v>
      </c>
      <c r="AF42" s="100">
        <v>6.8239702047253887</v>
      </c>
      <c r="AG42" s="100">
        <v>5773.0787931976793</v>
      </c>
      <c r="AH42" s="100">
        <v>17.970081556280615</v>
      </c>
      <c r="AI42" s="100">
        <v>15202.6889966134</v>
      </c>
      <c r="AJ42" s="100">
        <v>17.90711136852704</v>
      </c>
      <c r="AK42" s="100">
        <v>15149.416217773876</v>
      </c>
      <c r="AL42" s="100">
        <v>1.0676913706110984E-3</v>
      </c>
      <c r="AM42" s="100">
        <v>0.90326689953698924</v>
      </c>
      <c r="AN42" s="100">
        <v>12.180203376249413</v>
      </c>
      <c r="AO42" s="100">
        <v>10304.452056307004</v>
      </c>
      <c r="AP42" s="100">
        <v>16</v>
      </c>
      <c r="AQ42" s="100">
        <v>13536</v>
      </c>
      <c r="AR42" s="100">
        <v>15.298495425732748</v>
      </c>
      <c r="AS42" s="100">
        <v>12942.527130169905</v>
      </c>
      <c r="AT42" s="100">
        <v>9.4541234357473769</v>
      </c>
      <c r="AU42" s="100">
        <v>7998.1884266422812</v>
      </c>
      <c r="AV42" s="100">
        <v>10.034052557938274</v>
      </c>
      <c r="AW42" s="100">
        <v>8488.8084640157795</v>
      </c>
      <c r="AX42" s="100">
        <v>9.7088452240899237</v>
      </c>
      <c r="AY42" s="100">
        <v>8213.6830595800748</v>
      </c>
      <c r="AZ42" s="100">
        <v>3.3936210494027614</v>
      </c>
      <c r="BA42" s="100">
        <v>2871.0034077947362</v>
      </c>
      <c r="BB42" s="100">
        <v>13.742252163517929</v>
      </c>
      <c r="BC42" s="100">
        <v>11625.945330336168</v>
      </c>
      <c r="BD42" s="100">
        <v>14.388710315272299</v>
      </c>
      <c r="BE42" s="100">
        <v>12172.848926720364</v>
      </c>
      <c r="BF42" s="100">
        <v>11.793881707776087</v>
      </c>
      <c r="BG42" s="100">
        <v>9977.6239247785707</v>
      </c>
      <c r="BH42" s="100">
        <v>3.9312650757430458</v>
      </c>
      <c r="BI42" s="100">
        <v>3325.8502540786167</v>
      </c>
      <c r="BJ42" s="100">
        <v>21.816505725110055</v>
      </c>
      <c r="BK42" s="100">
        <v>18456.763843443106</v>
      </c>
      <c r="BL42" s="100">
        <v>13.320597875719734</v>
      </c>
      <c r="BM42" s="100">
        <v>11269.225802858895</v>
      </c>
      <c r="BN42" s="100">
        <v>13.237643524552535</v>
      </c>
      <c r="BO42" s="100">
        <v>11199.046421771445</v>
      </c>
      <c r="BP42" s="100">
        <v>9.2666213418240684</v>
      </c>
      <c r="BQ42" s="100">
        <v>7839.5616551831617</v>
      </c>
      <c r="BR42" s="100">
        <v>8.4906393609875542E-4</v>
      </c>
      <c r="BS42" s="100">
        <v>0.71830808993954709</v>
      </c>
      <c r="BT42" s="100">
        <v>8.8516351151352541</v>
      </c>
      <c r="BU42" s="100">
        <v>7488.4833074044254</v>
      </c>
      <c r="BV42" s="100">
        <v>14.979739839021494</v>
      </c>
      <c r="BW42" s="100">
        <v>12672.859903812185</v>
      </c>
      <c r="BX42" s="100">
        <v>11</v>
      </c>
      <c r="BY42" s="100">
        <v>9306</v>
      </c>
      <c r="BZ42" s="100">
        <v>13</v>
      </c>
      <c r="CA42" s="100">
        <v>10998</v>
      </c>
      <c r="CB42" s="100">
        <v>4.0541181212894282</v>
      </c>
      <c r="CC42" s="100">
        <v>3429.7839306108563</v>
      </c>
      <c r="CD42" s="100">
        <v>8.3106456788090469E-4</v>
      </c>
      <c r="CE42" s="100">
        <v>0.70308062442724539</v>
      </c>
      <c r="CF42" s="100">
        <v>18.000310333049384</v>
      </c>
      <c r="CG42" s="100">
        <v>15228.262541759779</v>
      </c>
      <c r="CH42" s="100">
        <v>16</v>
      </c>
      <c r="CI42" s="100">
        <v>13536</v>
      </c>
      <c r="CJ42" s="100">
        <v>10.66166449595344</v>
      </c>
      <c r="CK42" s="100">
        <v>9019.7681635766112</v>
      </c>
      <c r="CL42" s="100">
        <v>11.13752655186507</v>
      </c>
      <c r="CM42" s="100">
        <v>9422.3474628778495</v>
      </c>
      <c r="CN42" s="100">
        <v>11.364823012107214</v>
      </c>
      <c r="CO42" s="100">
        <v>9614.6402682427033</v>
      </c>
      <c r="CP42" s="100">
        <v>12.908194038442762</v>
      </c>
      <c r="CQ42" s="100">
        <v>10920.332156522576</v>
      </c>
      <c r="CR42" s="100">
        <v>4.1246841946222048</v>
      </c>
      <c r="CS42" s="100">
        <v>3489.4828286503853</v>
      </c>
      <c r="CT42" s="100">
        <v>6.8957769598191083</v>
      </c>
      <c r="CU42" s="100">
        <v>5833.8273080069657</v>
      </c>
    </row>
    <row r="43" spans="2:99">
      <c r="C43" s="99" t="s">
        <v>209</v>
      </c>
      <c r="D43" s="100">
        <v>10</v>
      </c>
      <c r="E43" s="100">
        <v>10224</v>
      </c>
      <c r="F43" s="100">
        <v>11.925018913578066</v>
      </c>
      <c r="G43" s="100">
        <v>12192.139337242215</v>
      </c>
      <c r="H43" s="100">
        <v>12.93906846261957</v>
      </c>
      <c r="I43" s="100">
        <v>13228.903596182248</v>
      </c>
      <c r="J43" s="100">
        <v>13.007605485421291</v>
      </c>
      <c r="K43" s="100">
        <v>13298.975848294727</v>
      </c>
      <c r="L43" s="100">
        <v>14.703239771913708</v>
      </c>
      <c r="M43" s="100">
        <v>15032.592342804575</v>
      </c>
      <c r="N43" s="100">
        <v>3.1334212901490344</v>
      </c>
      <c r="O43" s="100">
        <v>3203.6099270483728</v>
      </c>
      <c r="P43" s="100">
        <v>17.841206966632349</v>
      </c>
      <c r="Q43" s="100">
        <v>18240.850002684914</v>
      </c>
      <c r="R43" s="100">
        <v>5.0552019260741883</v>
      </c>
      <c r="S43" s="100">
        <v>5168.4384492182498</v>
      </c>
      <c r="T43" s="100">
        <v>16.356662942376225</v>
      </c>
      <c r="U43" s="100">
        <v>16723.052192285453</v>
      </c>
      <c r="V43" s="100">
        <v>19</v>
      </c>
      <c r="W43" s="100">
        <v>19425.599999999999</v>
      </c>
      <c r="X43" s="100">
        <v>3.497870498138195</v>
      </c>
      <c r="Y43" s="100">
        <v>3576.2227972964906</v>
      </c>
      <c r="Z43" s="100">
        <v>13</v>
      </c>
      <c r="AA43" s="100">
        <v>13291.199999999999</v>
      </c>
      <c r="AB43" s="100">
        <v>8.6275827517838728</v>
      </c>
      <c r="AC43" s="100">
        <v>8820.8406054238312</v>
      </c>
      <c r="AD43" s="100">
        <v>13.663872398637407</v>
      </c>
      <c r="AE43" s="100">
        <v>13969.943140366884</v>
      </c>
      <c r="AF43" s="100">
        <v>7.3488909897042651</v>
      </c>
      <c r="AG43" s="100">
        <v>7513.5061478736407</v>
      </c>
      <c r="AH43" s="100">
        <v>19.970081556280615</v>
      </c>
      <c r="AI43" s="100">
        <v>20417.411383141301</v>
      </c>
      <c r="AJ43" s="100">
        <v>16.912271848053319</v>
      </c>
      <c r="AK43" s="100">
        <v>17291.106737449714</v>
      </c>
      <c r="AL43" s="100">
        <v>1.1217283802571155E-3</v>
      </c>
      <c r="AM43" s="100">
        <v>1.1468550959748749</v>
      </c>
      <c r="AN43" s="100">
        <v>11.180203376249413</v>
      </c>
      <c r="AO43" s="100">
        <v>11430.639931877398</v>
      </c>
      <c r="AP43" s="100">
        <v>17</v>
      </c>
      <c r="AQ43" s="100">
        <v>17380.8</v>
      </c>
      <c r="AR43" s="100">
        <v>15.298495425732748</v>
      </c>
      <c r="AS43" s="100">
        <v>15641.181723269161</v>
      </c>
      <c r="AT43" s="100">
        <v>10.181363700035636</v>
      </c>
      <c r="AU43" s="100">
        <v>10409.426246916433</v>
      </c>
      <c r="AV43" s="100">
        <v>11.038309127680558</v>
      </c>
      <c r="AW43" s="100">
        <v>11285.567252140601</v>
      </c>
      <c r="AX43" s="100">
        <v>9.7088452240899237</v>
      </c>
      <c r="AY43" s="100">
        <v>9926.323357109537</v>
      </c>
      <c r="AZ43" s="100">
        <v>3.1815041628167089</v>
      </c>
      <c r="BA43" s="100">
        <v>3252.7698560638032</v>
      </c>
      <c r="BB43" s="100">
        <v>14.742252163517929</v>
      </c>
      <c r="BC43" s="100">
        <v>15072.47861198073</v>
      </c>
      <c r="BD43" s="100">
        <v>13.489415920567779</v>
      </c>
      <c r="BE43" s="100">
        <v>13791.578837188497</v>
      </c>
      <c r="BF43" s="100">
        <v>12.636301829760093</v>
      </c>
      <c r="BG43" s="100">
        <v>12919.354990746719</v>
      </c>
      <c r="BH43" s="100">
        <v>4.1324886549176352</v>
      </c>
      <c r="BI43" s="100">
        <v>4225.0564007877902</v>
      </c>
      <c r="BJ43" s="100">
        <v>20.816505725110055</v>
      </c>
      <c r="BK43" s="100">
        <v>21282.795453352519</v>
      </c>
      <c r="BL43" s="100">
        <v>13.320597875719734</v>
      </c>
      <c r="BM43" s="100">
        <v>13618.979268135856</v>
      </c>
      <c r="BN43" s="100">
        <v>12.502218884299618</v>
      </c>
      <c r="BO43" s="100">
        <v>12782.268587307928</v>
      </c>
      <c r="BP43" s="100">
        <v>9.2666213418240684</v>
      </c>
      <c r="BQ43" s="100">
        <v>9474.193659880928</v>
      </c>
      <c r="BR43" s="100">
        <v>9.1646558823471678E-4</v>
      </c>
      <c r="BS43" s="100">
        <v>0.9369944174111744</v>
      </c>
      <c r="BT43" s="100">
        <v>8.8536251278299982</v>
      </c>
      <c r="BU43" s="100">
        <v>9051.9463306933903</v>
      </c>
      <c r="BV43" s="100">
        <v>15.870879856907996</v>
      </c>
      <c r="BW43" s="100">
        <v>16226.387565702735</v>
      </c>
      <c r="BX43" s="100">
        <v>12</v>
      </c>
      <c r="BY43" s="100">
        <v>12268.8</v>
      </c>
      <c r="BZ43" s="100">
        <v>12</v>
      </c>
      <c r="CA43" s="100">
        <v>12268.8</v>
      </c>
      <c r="CB43" s="100">
        <v>4.0649124556161285</v>
      </c>
      <c r="CC43" s="100">
        <v>4155.96649462193</v>
      </c>
      <c r="CD43" s="100">
        <v>8.3106456788090469E-4</v>
      </c>
      <c r="CE43" s="100">
        <v>0.84968041420143692</v>
      </c>
      <c r="CF43" s="100">
        <v>17.000310333049384</v>
      </c>
      <c r="CG43" s="100">
        <v>17381.117284509692</v>
      </c>
      <c r="CH43" s="100">
        <v>17</v>
      </c>
      <c r="CI43" s="100">
        <v>17380.8</v>
      </c>
      <c r="CJ43" s="100">
        <v>10.66166449595344</v>
      </c>
      <c r="CK43" s="100">
        <v>10900.485780662797</v>
      </c>
      <c r="CL43" s="100">
        <v>12.728601773560081</v>
      </c>
      <c r="CM43" s="100">
        <v>13013.722453287826</v>
      </c>
      <c r="CN43" s="100">
        <v>12.785425888620617</v>
      </c>
      <c r="CO43" s="100">
        <v>13071.81942852572</v>
      </c>
      <c r="CP43" s="100">
        <v>12.101431911040089</v>
      </c>
      <c r="CQ43" s="100">
        <v>12372.503985847387</v>
      </c>
      <c r="CR43" s="100">
        <v>4.1246841946222048</v>
      </c>
      <c r="CS43" s="100">
        <v>4217.0771205817418</v>
      </c>
      <c r="CT43" s="100">
        <v>7.3980616393498133</v>
      </c>
      <c r="CU43" s="100">
        <v>7563.7782200712491</v>
      </c>
    </row>
    <row r="44" spans="2:99">
      <c r="C44" s="99" t="s">
        <v>210</v>
      </c>
      <c r="D44" s="100">
        <v>10</v>
      </c>
      <c r="E44" s="100">
        <v>10224</v>
      </c>
      <c r="F44" s="100">
        <v>12.720020174483269</v>
      </c>
      <c r="G44" s="100">
        <v>13004.948626391693</v>
      </c>
      <c r="H44" s="100">
        <v>12.177946788347832</v>
      </c>
      <c r="I44" s="100">
        <v>12450.732796406823</v>
      </c>
      <c r="J44" s="100">
        <v>13.007605485421291</v>
      </c>
      <c r="K44" s="100">
        <v>13298.975848294727</v>
      </c>
      <c r="L44" s="100">
        <v>13.886393117918503</v>
      </c>
      <c r="M44" s="100">
        <v>14197.448323759878</v>
      </c>
      <c r="N44" s="100">
        <v>2.8458475409783248</v>
      </c>
      <c r="O44" s="100">
        <v>2909.5945258962392</v>
      </c>
      <c r="P44" s="100">
        <v>19.841206966632349</v>
      </c>
      <c r="Q44" s="100">
        <v>20285.650002684913</v>
      </c>
      <c r="R44" s="100">
        <v>5.6102540295358114</v>
      </c>
      <c r="S44" s="100">
        <v>5735.9237197974135</v>
      </c>
      <c r="T44" s="100">
        <v>14.356662942376227</v>
      </c>
      <c r="U44" s="100">
        <v>14678.252192285454</v>
      </c>
      <c r="V44" s="100">
        <v>17</v>
      </c>
      <c r="W44" s="100">
        <v>17380.8</v>
      </c>
      <c r="X44" s="100">
        <v>3.5265165318763416</v>
      </c>
      <c r="Y44" s="100">
        <v>3605.5105021903714</v>
      </c>
      <c r="Z44" s="100">
        <v>14</v>
      </c>
      <c r="AA44" s="100">
        <v>14313.6</v>
      </c>
      <c r="AB44" s="100">
        <v>8.6275827517838728</v>
      </c>
      <c r="AC44" s="100">
        <v>8820.8406054238312</v>
      </c>
      <c r="AD44" s="100">
        <v>13.873252401104612</v>
      </c>
      <c r="AE44" s="100">
        <v>14184.013254889354</v>
      </c>
      <c r="AF44" s="100">
        <v>7.3488909897042651</v>
      </c>
      <c r="AG44" s="100">
        <v>7513.5061478736407</v>
      </c>
      <c r="AH44" s="100">
        <v>19.970081556280615</v>
      </c>
      <c r="AI44" s="100">
        <v>20417.411383141301</v>
      </c>
      <c r="AJ44" s="100">
        <v>17.90711136852704</v>
      </c>
      <c r="AK44" s="100">
        <v>18308.230663182047</v>
      </c>
      <c r="AL44" s="100">
        <v>1.1817278781682849E-3</v>
      </c>
      <c r="AM44" s="100">
        <v>1.2081985826392545</v>
      </c>
      <c r="AN44" s="100">
        <v>10.180203376249413</v>
      </c>
      <c r="AO44" s="100">
        <v>10408.239931877399</v>
      </c>
      <c r="AP44" s="100">
        <v>16</v>
      </c>
      <c r="AQ44" s="100">
        <v>16358.4</v>
      </c>
      <c r="AR44" s="100">
        <v>14.34233946162445</v>
      </c>
      <c r="AS44" s="100">
        <v>14663.607865564836</v>
      </c>
      <c r="AT44" s="100">
        <v>9.4541234357473769</v>
      </c>
      <c r="AU44" s="100">
        <v>9665.8958007081183</v>
      </c>
      <c r="AV44" s="100">
        <v>11.038309127680558</v>
      </c>
      <c r="AW44" s="100">
        <v>11285.567252140601</v>
      </c>
      <c r="AX44" s="100">
        <v>10.434127379023654</v>
      </c>
      <c r="AY44" s="100">
        <v>10667.851832313783</v>
      </c>
      <c r="AZ44" s="100">
        <v>3.0857141126529584</v>
      </c>
      <c r="BA44" s="100">
        <v>3154.8341087763847</v>
      </c>
      <c r="BB44" s="100">
        <v>14.618543469598274</v>
      </c>
      <c r="BC44" s="100">
        <v>14945.998843317275</v>
      </c>
      <c r="BD44" s="100">
        <v>13.489415920567779</v>
      </c>
      <c r="BE44" s="100">
        <v>13791.578837188497</v>
      </c>
      <c r="BF44" s="100">
        <v>13.478721951744101</v>
      </c>
      <c r="BG44" s="100">
        <v>13780.645323463168</v>
      </c>
      <c r="BH44" s="100">
        <v>4.1324886549176352</v>
      </c>
      <c r="BI44" s="100">
        <v>4225.0564007877902</v>
      </c>
      <c r="BJ44" s="100">
        <v>21.816505725110055</v>
      </c>
      <c r="BK44" s="100">
        <v>22305.19545335252</v>
      </c>
      <c r="BL44" s="100">
        <v>12.537033294795044</v>
      </c>
      <c r="BM44" s="100">
        <v>12817.862840598453</v>
      </c>
      <c r="BN44" s="100">
        <v>13.973068164805454</v>
      </c>
      <c r="BO44" s="100">
        <v>14286.064891697097</v>
      </c>
      <c r="BP44" s="100">
        <v>9.2666213418240684</v>
      </c>
      <c r="BQ44" s="100">
        <v>9474.193659880928</v>
      </c>
      <c r="BR44" s="100">
        <v>8.4906393609875542E-4</v>
      </c>
      <c r="BS44" s="100">
        <v>0.86808296826736753</v>
      </c>
      <c r="BT44" s="100">
        <v>8.8536251278299982</v>
      </c>
      <c r="BU44" s="100">
        <v>9051.9463306933903</v>
      </c>
      <c r="BV44" s="100">
        <v>15.870879856907996</v>
      </c>
      <c r="BW44" s="100">
        <v>16226.387565702735</v>
      </c>
      <c r="BX44" s="100">
        <v>13</v>
      </c>
      <c r="BY44" s="100">
        <v>13291.199999999999</v>
      </c>
      <c r="BZ44" s="100">
        <v>13</v>
      </c>
      <c r="CA44" s="100">
        <v>13291.199999999999</v>
      </c>
      <c r="CB44" s="100">
        <v>4.0541181212894282</v>
      </c>
      <c r="CC44" s="100">
        <v>4144.9303672063115</v>
      </c>
      <c r="CD44" s="100">
        <v>7.7170281303226866E-4</v>
      </c>
      <c r="CE44" s="100">
        <v>0.7889889560441915</v>
      </c>
      <c r="CF44" s="100">
        <v>18.000354666342151</v>
      </c>
      <c r="CG44" s="100">
        <v>18403.562610868215</v>
      </c>
      <c r="CH44" s="100">
        <v>16</v>
      </c>
      <c r="CI44" s="100">
        <v>16358.4</v>
      </c>
      <c r="CJ44" s="100">
        <v>11.481792534103704</v>
      </c>
      <c r="CK44" s="100">
        <v>11738.984686867627</v>
      </c>
      <c r="CL44" s="100">
        <v>11.13752655186507</v>
      </c>
      <c r="CM44" s="100">
        <v>11387.007146626847</v>
      </c>
      <c r="CN44" s="100">
        <v>12.785425888620617</v>
      </c>
      <c r="CO44" s="100">
        <v>13071.81942852572</v>
      </c>
      <c r="CP44" s="100">
        <v>13.714956165845434</v>
      </c>
      <c r="CQ44" s="100">
        <v>14022.171183960372</v>
      </c>
      <c r="CR44" s="100">
        <v>4.1246841946222048</v>
      </c>
      <c r="CS44" s="100">
        <v>4217.0771205817418</v>
      </c>
      <c r="CT44" s="100">
        <v>6.8957769598191083</v>
      </c>
      <c r="CU44" s="100">
        <v>7050.2423637190559</v>
      </c>
    </row>
    <row r="45" spans="2:99">
      <c r="C45" s="99" t="s">
        <v>211</v>
      </c>
      <c r="D45" s="100">
        <v>10</v>
      </c>
      <c r="E45" s="100">
        <v>12492</v>
      </c>
      <c r="F45" s="100">
        <v>13.515021435388475</v>
      </c>
      <c r="G45" s="100">
        <v>16882.964777087283</v>
      </c>
      <c r="H45" s="100">
        <v>12.93906846261957</v>
      </c>
      <c r="I45" s="100">
        <v>16163.484323504368</v>
      </c>
      <c r="J45" s="100">
        <v>12.28496073623122</v>
      </c>
      <c r="K45" s="100">
        <v>15346.372951700041</v>
      </c>
      <c r="L45" s="100">
        <v>13.886393117918503</v>
      </c>
      <c r="M45" s="100">
        <v>17346.882282903796</v>
      </c>
      <c r="N45" s="100">
        <v>3.1334212901490344</v>
      </c>
      <c r="O45" s="100">
        <v>3914.269875654174</v>
      </c>
      <c r="P45" s="100">
        <v>19.841206966632349</v>
      </c>
      <c r="Q45" s="100">
        <v>24785.635742717132</v>
      </c>
      <c r="R45" s="100">
        <v>5.0518834263564338</v>
      </c>
      <c r="S45" s="100">
        <v>6310.8127762044578</v>
      </c>
      <c r="T45" s="100">
        <v>14.356662942376227</v>
      </c>
      <c r="U45" s="100">
        <v>17934.343347616385</v>
      </c>
      <c r="V45" s="100">
        <v>19</v>
      </c>
      <c r="W45" s="100">
        <v>23734.799999999999</v>
      </c>
      <c r="X45" s="100">
        <v>3.5265165318763416</v>
      </c>
      <c r="Y45" s="100">
        <v>4405.3244516199265</v>
      </c>
      <c r="Z45" s="100">
        <v>15</v>
      </c>
      <c r="AA45" s="100">
        <v>18738</v>
      </c>
      <c r="AB45" s="100">
        <v>7.9639225401081903</v>
      </c>
      <c r="AC45" s="100">
        <v>9948.5320371031521</v>
      </c>
      <c r="AD45" s="100">
        <v>15.695102054256264</v>
      </c>
      <c r="AE45" s="100">
        <v>19606.321486176927</v>
      </c>
      <c r="AF45" s="100">
        <v>7.3488909897042651</v>
      </c>
      <c r="AG45" s="100">
        <v>9180.2346243385691</v>
      </c>
      <c r="AH45" s="100">
        <v>19.970081556280615</v>
      </c>
      <c r="AI45" s="100">
        <v>24946.625880105745</v>
      </c>
      <c r="AJ45" s="100">
        <v>15.917432327579592</v>
      </c>
      <c r="AK45" s="100">
        <v>19884.056463612425</v>
      </c>
      <c r="AL45" s="100">
        <v>1.05874763821337E-3</v>
      </c>
      <c r="AM45" s="100">
        <v>1.3225875496561419</v>
      </c>
      <c r="AN45" s="100">
        <v>10.348803858570758</v>
      </c>
      <c r="AO45" s="100">
        <v>12927.725780126591</v>
      </c>
      <c r="AP45" s="100">
        <v>15</v>
      </c>
      <c r="AQ45" s="100">
        <v>18738</v>
      </c>
      <c r="AR45" s="100">
        <v>14.34233946162445</v>
      </c>
      <c r="AS45" s="100">
        <v>17916.450455461265</v>
      </c>
      <c r="AT45" s="100">
        <v>8.7268831714591162</v>
      </c>
      <c r="AU45" s="100">
        <v>10901.622457786729</v>
      </c>
      <c r="AV45" s="100">
        <v>10.034052557938274</v>
      </c>
      <c r="AW45" s="100">
        <v>12534.538455376492</v>
      </c>
      <c r="AX45" s="100">
        <v>11.159409533957387</v>
      </c>
      <c r="AY45" s="100">
        <v>13940.334389819569</v>
      </c>
      <c r="AZ45" s="100">
        <v>3.3919493267955936</v>
      </c>
      <c r="BA45" s="100">
        <v>4237.2230990330554</v>
      </c>
      <c r="BB45" s="100">
        <v>12.742252163517929</v>
      </c>
      <c r="BC45" s="100">
        <v>15917.621402666597</v>
      </c>
      <c r="BD45" s="100">
        <v>14.388710315272299</v>
      </c>
      <c r="BE45" s="100">
        <v>17974.376925838154</v>
      </c>
      <c r="BF45" s="100">
        <v>13.478721951744101</v>
      </c>
      <c r="BG45" s="100">
        <v>16837.619462118731</v>
      </c>
      <c r="BH45" s="100">
        <v>3.7486827981182045</v>
      </c>
      <c r="BI45" s="100">
        <v>4682.8545514092611</v>
      </c>
      <c r="BJ45" s="100">
        <v>18.816505725110055</v>
      </c>
      <c r="BK45" s="100">
        <v>23505.578951807482</v>
      </c>
      <c r="BL45" s="100">
        <v>11.753468713870353</v>
      </c>
      <c r="BM45" s="100">
        <v>14682.433117366845</v>
      </c>
      <c r="BN45" s="100">
        <v>12.502218884299618</v>
      </c>
      <c r="BO45" s="100">
        <v>15617.771830267084</v>
      </c>
      <c r="BP45" s="100">
        <v>9.2666213418240684</v>
      </c>
      <c r="BQ45" s="100">
        <v>11575.863380206627</v>
      </c>
      <c r="BR45" s="100">
        <v>7.8017176135289714E-4</v>
      </c>
      <c r="BS45" s="100">
        <v>0.97459056428203916</v>
      </c>
      <c r="BT45" s="100">
        <v>8.7996644572286602</v>
      </c>
      <c r="BU45" s="100">
        <v>10992.540839970043</v>
      </c>
      <c r="BV45" s="100">
        <v>13.870879856907996</v>
      </c>
      <c r="BW45" s="100">
        <v>17327.503117249467</v>
      </c>
      <c r="BX45" s="100">
        <v>11</v>
      </c>
      <c r="BY45" s="100">
        <v>13741.2</v>
      </c>
      <c r="BZ45" s="100">
        <v>13</v>
      </c>
      <c r="CA45" s="100">
        <v>16239.6</v>
      </c>
      <c r="CB45" s="100">
        <v>3.8334194883399086</v>
      </c>
      <c r="CC45" s="100">
        <v>4788.7076248342137</v>
      </c>
      <c r="CD45" s="100">
        <v>8.9042632272954073E-4</v>
      </c>
      <c r="CE45" s="100">
        <v>1.1123205623537422</v>
      </c>
      <c r="CF45" s="100">
        <v>19.000354666342151</v>
      </c>
      <c r="CG45" s="100">
        <v>23735.243049194614</v>
      </c>
      <c r="CH45" s="100">
        <v>15</v>
      </c>
      <c r="CI45" s="100">
        <v>18738</v>
      </c>
      <c r="CJ45" s="100">
        <v>9.0214084196529107</v>
      </c>
      <c r="CK45" s="100">
        <v>11269.543397830417</v>
      </c>
      <c r="CL45" s="100">
        <v>12.728601773560081</v>
      </c>
      <c r="CM45" s="100">
        <v>15900.569335531254</v>
      </c>
      <c r="CN45" s="100">
        <v>12.785425888620617</v>
      </c>
      <c r="CO45" s="100">
        <v>15971.554020064876</v>
      </c>
      <c r="CP45" s="100">
        <v>12.908194038442762</v>
      </c>
      <c r="CQ45" s="100">
        <v>16124.915992822698</v>
      </c>
      <c r="CR45" s="100">
        <v>4.1246841946222048</v>
      </c>
      <c r="CS45" s="100">
        <v>5152.5554959220581</v>
      </c>
      <c r="CT45" s="100">
        <v>6.3958710186808716</v>
      </c>
      <c r="CU45" s="100">
        <v>7989.7220765361453</v>
      </c>
    </row>
    <row r="46" spans="2:99">
      <c r="C46" s="99" t="s">
        <v>212</v>
      </c>
      <c r="D46" s="100">
        <v>9</v>
      </c>
      <c r="E46" s="100">
        <v>10908</v>
      </c>
      <c r="F46" s="100">
        <v>12.720020174483269</v>
      </c>
      <c r="G46" s="100">
        <v>15416.664451473722</v>
      </c>
      <c r="H46" s="100">
        <v>12.93906846261957</v>
      </c>
      <c r="I46" s="100">
        <v>15682.150976694918</v>
      </c>
      <c r="J46" s="100">
        <v>11.562315987041147</v>
      </c>
      <c r="K46" s="100">
        <v>14013.526976293871</v>
      </c>
      <c r="L46" s="100">
        <v>13.069546463923297</v>
      </c>
      <c r="M46" s="100">
        <v>15840.290314275037</v>
      </c>
      <c r="N46" s="100">
        <v>3.1334212901490344</v>
      </c>
      <c r="O46" s="100">
        <v>3797.7066036606298</v>
      </c>
      <c r="P46" s="100">
        <v>18.841206966632349</v>
      </c>
      <c r="Q46" s="100">
        <v>22835.542843558407</v>
      </c>
      <c r="R46" s="100">
        <v>5.0552019260741883</v>
      </c>
      <c r="S46" s="100">
        <v>6126.9047344019164</v>
      </c>
      <c r="T46" s="100">
        <v>15.297219118646856</v>
      </c>
      <c r="U46" s="100">
        <v>18540.229571799988</v>
      </c>
      <c r="V46" s="100">
        <v>17</v>
      </c>
      <c r="W46" s="100">
        <v>20604</v>
      </c>
      <c r="X46" s="100">
        <v>3.5265165318763416</v>
      </c>
      <c r="Y46" s="100">
        <v>4274.1380366341264</v>
      </c>
      <c r="Z46" s="100">
        <v>14</v>
      </c>
      <c r="AA46" s="100">
        <v>16968</v>
      </c>
      <c r="AB46" s="100">
        <v>8.6275827517838728</v>
      </c>
      <c r="AC46" s="100">
        <v>10456.630295162055</v>
      </c>
      <c r="AD46" s="100">
        <v>14.784177227680438</v>
      </c>
      <c r="AE46" s="100">
        <v>17918.42279994869</v>
      </c>
      <c r="AF46" s="100">
        <v>6.2990494197465123</v>
      </c>
      <c r="AG46" s="100">
        <v>7634.4478967327732</v>
      </c>
      <c r="AH46" s="100">
        <v>17.808401296900513</v>
      </c>
      <c r="AI46" s="100">
        <v>21583.782371843423</v>
      </c>
      <c r="AJ46" s="100">
        <v>16.912271848053319</v>
      </c>
      <c r="AK46" s="100">
        <v>20497.673479840621</v>
      </c>
      <c r="AL46" s="100">
        <v>1.1187471361245396E-3</v>
      </c>
      <c r="AM46" s="100">
        <v>1.355921528982942</v>
      </c>
      <c r="AN46" s="100">
        <v>10.348803858570758</v>
      </c>
      <c r="AO46" s="100">
        <v>12542.750276587758</v>
      </c>
      <c r="AP46" s="100">
        <v>15</v>
      </c>
      <c r="AQ46" s="100">
        <v>18180</v>
      </c>
      <c r="AR46" s="100">
        <v>16.254651389841044</v>
      </c>
      <c r="AS46" s="100">
        <v>19700.637484487346</v>
      </c>
      <c r="AT46" s="100">
        <v>10.181363700035636</v>
      </c>
      <c r="AU46" s="100">
        <v>12339.812804443191</v>
      </c>
      <c r="AV46" s="100">
        <v>11.034052557938274</v>
      </c>
      <c r="AW46" s="100">
        <v>13373.271700221188</v>
      </c>
      <c r="AX46" s="100">
        <v>9.5971275168804624</v>
      </c>
      <c r="AY46" s="100">
        <v>11631.71855045912</v>
      </c>
      <c r="AZ46" s="100">
        <v>3.5066044406107277</v>
      </c>
      <c r="BA46" s="100">
        <v>4250.0045820202022</v>
      </c>
      <c r="BB46" s="100">
        <v>14.618543469598274</v>
      </c>
      <c r="BC46" s="100">
        <v>17717.67468515311</v>
      </c>
      <c r="BD46" s="100">
        <v>13.489415920567779</v>
      </c>
      <c r="BE46" s="100">
        <v>16349.172095728149</v>
      </c>
      <c r="BF46" s="100">
        <v>11.793881707776087</v>
      </c>
      <c r="BG46" s="100">
        <v>14294.184629824618</v>
      </c>
      <c r="BH46" s="100">
        <v>3.7486827981182045</v>
      </c>
      <c r="BI46" s="100">
        <v>4543.4035513192639</v>
      </c>
      <c r="BJ46" s="100">
        <v>20.816505725110055</v>
      </c>
      <c r="BK46" s="100">
        <v>25229.604938833385</v>
      </c>
      <c r="BL46" s="100">
        <v>12.537033294795044</v>
      </c>
      <c r="BM46" s="100">
        <v>15194.884353291594</v>
      </c>
      <c r="BN46" s="100">
        <v>11.766794244046698</v>
      </c>
      <c r="BO46" s="100">
        <v>14261.354623784599</v>
      </c>
      <c r="BP46" s="100">
        <v>8.4242012198400626</v>
      </c>
      <c r="BQ46" s="100">
        <v>10210.131878446156</v>
      </c>
      <c r="BR46" s="100">
        <v>8.475734134888584E-4</v>
      </c>
      <c r="BS46" s="100">
        <v>1.0272589771484963</v>
      </c>
      <c r="BT46" s="100">
        <v>8.8016544699234043</v>
      </c>
      <c r="BU46" s="100">
        <v>10667.605217547167</v>
      </c>
      <c r="BV46" s="100">
        <v>15.870879856907996</v>
      </c>
      <c r="BW46" s="100">
        <v>19235.506386572491</v>
      </c>
      <c r="BX46" s="100">
        <v>12</v>
      </c>
      <c r="BY46" s="100">
        <v>14544</v>
      </c>
      <c r="BZ46" s="100">
        <v>11</v>
      </c>
      <c r="CA46" s="100">
        <v>13332</v>
      </c>
      <c r="CB46" s="100">
        <v>4.0649124556161285</v>
      </c>
      <c r="CC46" s="100">
        <v>4926.6738962067475</v>
      </c>
      <c r="CD46" s="100">
        <v>7.7170281303226866E-4</v>
      </c>
      <c r="CE46" s="100">
        <v>0.9353038093951096</v>
      </c>
      <c r="CF46" s="100">
        <v>19.000310333049384</v>
      </c>
      <c r="CG46" s="100">
        <v>23028.376123655853</v>
      </c>
      <c r="CH46" s="100">
        <v>14</v>
      </c>
      <c r="CI46" s="100">
        <v>16968</v>
      </c>
      <c r="CJ46" s="100">
        <v>9.0214084196529107</v>
      </c>
      <c r="CK46" s="100">
        <v>10933.947004619327</v>
      </c>
      <c r="CL46" s="100">
        <v>11.933064162712576</v>
      </c>
      <c r="CM46" s="100">
        <v>14462.873765207642</v>
      </c>
      <c r="CN46" s="100">
        <v>12.785425888620617</v>
      </c>
      <c r="CO46" s="100">
        <v>15495.936177008189</v>
      </c>
      <c r="CP46" s="100">
        <v>12.908194038442762</v>
      </c>
      <c r="CQ46" s="100">
        <v>15644.731174592627</v>
      </c>
      <c r="CR46" s="100">
        <v>4.1246841946222048</v>
      </c>
      <c r="CS46" s="100">
        <v>4999.1172438821122</v>
      </c>
      <c r="CT46" s="100">
        <v>6.8981556982115757</v>
      </c>
      <c r="CU46" s="100">
        <v>8360.5647062324297</v>
      </c>
    </row>
    <row r="47" spans="2:99">
      <c r="C47" s="99" t="s">
        <v>213</v>
      </c>
      <c r="D47" s="100">
        <v>10</v>
      </c>
      <c r="E47" s="100">
        <v>15276</v>
      </c>
      <c r="F47" s="100">
        <v>12.720020174483269</v>
      </c>
      <c r="G47" s="100">
        <v>19431.102818540639</v>
      </c>
      <c r="H47" s="100">
        <v>11.416825114076092</v>
      </c>
      <c r="I47" s="100">
        <v>17440.342044262638</v>
      </c>
      <c r="J47" s="100">
        <v>12.28496073623122</v>
      </c>
      <c r="K47" s="100">
        <v>18766.506020666809</v>
      </c>
      <c r="L47" s="100">
        <v>13.886393117918503</v>
      </c>
      <c r="M47" s="100">
        <v>21212.854126932303</v>
      </c>
      <c r="N47" s="100">
        <v>2.8558108578879153</v>
      </c>
      <c r="O47" s="100">
        <v>4362.5366665095789</v>
      </c>
      <c r="P47" s="100">
        <v>19.841206966632349</v>
      </c>
      <c r="Q47" s="100">
        <v>30309.427762227573</v>
      </c>
      <c r="R47" s="100">
        <v>5.0552019260741883</v>
      </c>
      <c r="S47" s="100">
        <v>7722.3264622709294</v>
      </c>
      <c r="T47" s="100">
        <v>15.297219118646856</v>
      </c>
      <c r="U47" s="100">
        <v>23368.031925644937</v>
      </c>
      <c r="V47" s="100">
        <v>17</v>
      </c>
      <c r="W47" s="100">
        <v>25969.199999999997</v>
      </c>
      <c r="X47" s="100">
        <v>2.7982963985105558</v>
      </c>
      <c r="Y47" s="100">
        <v>4274.6775783647245</v>
      </c>
      <c r="Z47" s="100">
        <v>12</v>
      </c>
      <c r="AA47" s="100">
        <v>18331.199999999997</v>
      </c>
      <c r="AB47" s="100">
        <v>7.300262328432507</v>
      </c>
      <c r="AC47" s="100">
        <v>11151.880732913498</v>
      </c>
      <c r="AD47" s="100">
        <v>13.873252401104612</v>
      </c>
      <c r="AE47" s="100">
        <v>21192.780367927404</v>
      </c>
      <c r="AF47" s="100">
        <v>6.2990494197465123</v>
      </c>
      <c r="AG47" s="100">
        <v>9622.4278936047722</v>
      </c>
      <c r="AH47" s="100">
        <v>18.970081556280615</v>
      </c>
      <c r="AI47" s="100">
        <v>28978.696585374266</v>
      </c>
      <c r="AJ47" s="100">
        <v>18.901950889000766</v>
      </c>
      <c r="AK47" s="100">
        <v>28874.620178037567</v>
      </c>
      <c r="AL47" s="100">
        <v>9.9874814030220067E-4</v>
      </c>
      <c r="AM47" s="100">
        <v>1.5256876591256416</v>
      </c>
      <c r="AN47" s="100">
        <v>11.348803858570758</v>
      </c>
      <c r="AO47" s="100">
        <v>17336.432774352688</v>
      </c>
      <c r="AP47" s="100">
        <v>16</v>
      </c>
      <c r="AQ47" s="100">
        <v>24441.599999999999</v>
      </c>
      <c r="AR47" s="100">
        <v>13.386183497516155</v>
      </c>
      <c r="AS47" s="100">
        <v>20448.733910805677</v>
      </c>
      <c r="AT47" s="100">
        <v>9.4541234357473769</v>
      </c>
      <c r="AU47" s="100">
        <v>14442.118960447691</v>
      </c>
      <c r="AV47" s="100">
        <v>9.0297959881959891</v>
      </c>
      <c r="AW47" s="100">
        <v>13793.916351568192</v>
      </c>
      <c r="AX47" s="100">
        <v>9.5971275168804624</v>
      </c>
      <c r="AY47" s="100">
        <v>14660.571994786593</v>
      </c>
      <c r="AZ47" s="100">
        <v>3.4966414536858292</v>
      </c>
      <c r="BA47" s="100">
        <v>5341.4694846504726</v>
      </c>
      <c r="BB47" s="100">
        <v>13.618543469598274</v>
      </c>
      <c r="BC47" s="100">
        <v>20803.687004158321</v>
      </c>
      <c r="BD47" s="100">
        <v>12.59012152586326</v>
      </c>
      <c r="BE47" s="100">
        <v>19232.669642908717</v>
      </c>
      <c r="BF47" s="100">
        <v>13.478721951744101</v>
      </c>
      <c r="BG47" s="100">
        <v>20590.095653484288</v>
      </c>
      <c r="BH47" s="100">
        <v>3.7300414965684561</v>
      </c>
      <c r="BI47" s="100">
        <v>5698.0113901579734</v>
      </c>
      <c r="BJ47" s="100">
        <v>19.816505725110055</v>
      </c>
      <c r="BK47" s="100">
        <v>30271.694145678117</v>
      </c>
      <c r="BL47" s="100">
        <v>10.969904132945663</v>
      </c>
      <c r="BM47" s="100">
        <v>16757.625553487793</v>
      </c>
      <c r="BN47" s="100">
        <v>11.031369603793779</v>
      </c>
      <c r="BO47" s="100">
        <v>16851.520206755376</v>
      </c>
      <c r="BP47" s="100">
        <v>8.4242012198400626</v>
      </c>
      <c r="BQ47" s="100">
        <v>12868.80978342768</v>
      </c>
      <c r="BR47" s="100">
        <v>9.1795611084461381E-4</v>
      </c>
      <c r="BS47" s="100">
        <v>1.402269754926232</v>
      </c>
      <c r="BT47" s="100">
        <v>8.1080008428211929</v>
      </c>
      <c r="BU47" s="100">
        <v>12385.782087493653</v>
      </c>
      <c r="BV47" s="100">
        <v>12.979739839021494</v>
      </c>
      <c r="BW47" s="100">
        <v>19827.850578089234</v>
      </c>
      <c r="BX47" s="100">
        <v>10</v>
      </c>
      <c r="BY47" s="100">
        <v>15276</v>
      </c>
      <c r="BZ47" s="100">
        <v>11</v>
      </c>
      <c r="CA47" s="100">
        <v>16803.599999999999</v>
      </c>
      <c r="CB47" s="100">
        <v>3.5911321867369894</v>
      </c>
      <c r="CC47" s="100">
        <v>5485.8135284594246</v>
      </c>
      <c r="CD47" s="100">
        <v>7.7170281303226866E-4</v>
      </c>
      <c r="CE47" s="100">
        <v>1.1788532171880934</v>
      </c>
      <c r="CF47" s="100">
        <v>18.000310333049384</v>
      </c>
      <c r="CG47" s="100">
        <v>27497.274064766239</v>
      </c>
      <c r="CH47" s="100">
        <v>16</v>
      </c>
      <c r="CI47" s="100">
        <v>24441.599999999999</v>
      </c>
      <c r="CJ47" s="100">
        <v>9.8415364578031745</v>
      </c>
      <c r="CK47" s="100">
        <v>15033.931092940129</v>
      </c>
      <c r="CL47" s="100">
        <v>11.933064162712576</v>
      </c>
      <c r="CM47" s="100">
        <v>18228.948814959731</v>
      </c>
      <c r="CN47" s="100">
        <v>12.785425888620617</v>
      </c>
      <c r="CO47" s="100">
        <v>19531.016587456852</v>
      </c>
      <c r="CP47" s="100">
        <v>12.101431911040089</v>
      </c>
      <c r="CQ47" s="100">
        <v>18486.147387304838</v>
      </c>
      <c r="CR47" s="100">
        <v>3.8820557125856046</v>
      </c>
      <c r="CS47" s="100">
        <v>5930.2283065457696</v>
      </c>
      <c r="CT47" s="100">
        <v>5.8959650775426349</v>
      </c>
      <c r="CU47" s="100">
        <v>9006.6762524541282</v>
      </c>
    </row>
    <row r="48" spans="2:99">
      <c r="C48" s="99" t="s">
        <v>214</v>
      </c>
      <c r="D48" s="100">
        <v>10</v>
      </c>
      <c r="E48" s="100">
        <v>8676</v>
      </c>
      <c r="F48" s="100">
        <v>12.720020174483269</v>
      </c>
      <c r="G48" s="100">
        <v>11035.889503381684</v>
      </c>
      <c r="H48" s="100">
        <v>12.93906846261957</v>
      </c>
      <c r="I48" s="100">
        <v>11225.935798168739</v>
      </c>
      <c r="J48" s="100">
        <v>10.839671237851075</v>
      </c>
      <c r="K48" s="100">
        <v>9404.4987659595936</v>
      </c>
      <c r="L48" s="100">
        <v>14.703239771913708</v>
      </c>
      <c r="M48" s="100">
        <v>12756.530826112334</v>
      </c>
      <c r="N48" s="100">
        <v>3.4110317224101534</v>
      </c>
      <c r="O48" s="100">
        <v>2959.4111223630493</v>
      </c>
      <c r="P48" s="100">
        <v>20.841206966632349</v>
      </c>
      <c r="Q48" s="100">
        <v>18081.831164250227</v>
      </c>
      <c r="R48" s="100">
        <v>6.1719431324329452</v>
      </c>
      <c r="S48" s="100">
        <v>5354.7778616988235</v>
      </c>
      <c r="T48" s="100">
        <v>14.356662942376227</v>
      </c>
      <c r="U48" s="100">
        <v>12455.840768805614</v>
      </c>
      <c r="V48" s="100">
        <v>17</v>
      </c>
      <c r="W48" s="100">
        <v>14749.2</v>
      </c>
      <c r="X48" s="100">
        <v>3.1480834483243756</v>
      </c>
      <c r="Y48" s="100">
        <v>2731.2771997662285</v>
      </c>
      <c r="Z48" s="100">
        <v>15</v>
      </c>
      <c r="AA48" s="100">
        <v>13014</v>
      </c>
      <c r="AB48" s="100">
        <v>8.6275827517838728</v>
      </c>
      <c r="AC48" s="100">
        <v>7485.2907954476887</v>
      </c>
      <c r="AD48" s="100">
        <v>15.485722051789063</v>
      </c>
      <c r="AE48" s="100">
        <v>13435.412452132192</v>
      </c>
      <c r="AF48" s="100">
        <v>7.8738117746831415</v>
      </c>
      <c r="AG48" s="100">
        <v>6831.3190957150937</v>
      </c>
      <c r="AH48" s="100">
        <v>18.970081556280615</v>
      </c>
      <c r="AI48" s="100">
        <v>16458.442758229063</v>
      </c>
      <c r="AJ48" s="100">
        <v>17.90711136852704</v>
      </c>
      <c r="AK48" s="100">
        <v>15536.20982333406</v>
      </c>
      <c r="AL48" s="100">
        <v>1.1247096243896916E-3</v>
      </c>
      <c r="AM48" s="100">
        <v>0.97579807012049646</v>
      </c>
      <c r="AN48" s="100">
        <v>12.517404340892103</v>
      </c>
      <c r="AO48" s="100">
        <v>10860.100006157989</v>
      </c>
      <c r="AP48" s="100">
        <v>17</v>
      </c>
      <c r="AQ48" s="100">
        <v>14749.2</v>
      </c>
      <c r="AR48" s="100">
        <v>16.254651389841044</v>
      </c>
      <c r="AS48" s="100">
        <v>14102.535545826089</v>
      </c>
      <c r="AT48" s="100">
        <v>9.4541234357473769</v>
      </c>
      <c r="AU48" s="100">
        <v>8202.3974928544249</v>
      </c>
      <c r="AV48" s="100">
        <v>11.034052557938274</v>
      </c>
      <c r="AW48" s="100">
        <v>9573.1439992672476</v>
      </c>
      <c r="AX48" s="100">
        <v>10.322409671814194</v>
      </c>
      <c r="AY48" s="100">
        <v>8955.722631265995</v>
      </c>
      <c r="AZ48" s="100">
        <v>3.1798324402095419</v>
      </c>
      <c r="BA48" s="100">
        <v>2758.8226251257988</v>
      </c>
      <c r="BB48" s="100">
        <v>14.618543469598274</v>
      </c>
      <c r="BC48" s="100">
        <v>12683.048314223463</v>
      </c>
      <c r="BD48" s="100">
        <v>13.489415920567779</v>
      </c>
      <c r="BE48" s="100">
        <v>11703.417252684605</v>
      </c>
      <c r="BF48" s="100">
        <v>13.478721951744101</v>
      </c>
      <c r="BG48" s="100">
        <v>11694.139165333181</v>
      </c>
      <c r="BH48" s="100">
        <v>4.1138473533678868</v>
      </c>
      <c r="BI48" s="100">
        <v>3569.1739637819787</v>
      </c>
      <c r="BJ48" s="100">
        <v>21.816505725110055</v>
      </c>
      <c r="BK48" s="100">
        <v>18928.000367105484</v>
      </c>
      <c r="BL48" s="100">
        <v>13.320597875719734</v>
      </c>
      <c r="BM48" s="100">
        <v>11556.950716974441</v>
      </c>
      <c r="BN48" s="100">
        <v>12.502218884299618</v>
      </c>
      <c r="BO48" s="100">
        <v>10846.925104018348</v>
      </c>
      <c r="BP48" s="100">
        <v>8.4242012198400626</v>
      </c>
      <c r="BQ48" s="100">
        <v>7308.8369783332382</v>
      </c>
      <c r="BR48" s="100">
        <v>9.8535776298057506E-4</v>
      </c>
      <c r="BS48" s="100">
        <v>0.85489639516194693</v>
      </c>
      <c r="BT48" s="100">
        <v>8.7996644572286602</v>
      </c>
      <c r="BU48" s="100">
        <v>7634.5888830915856</v>
      </c>
      <c r="BV48" s="100">
        <v>14.979739839021494</v>
      </c>
      <c r="BW48" s="100">
        <v>12996.422284335049</v>
      </c>
      <c r="BX48" s="100">
        <v>13</v>
      </c>
      <c r="BY48" s="100">
        <v>11278.800000000001</v>
      </c>
      <c r="BZ48" s="100">
        <v>13</v>
      </c>
      <c r="CA48" s="100">
        <v>11278.800000000001</v>
      </c>
      <c r="CB48" s="100">
        <v>4.2856110885656484</v>
      </c>
      <c r="CC48" s="100">
        <v>3718.1961804395569</v>
      </c>
      <c r="CD48" s="100">
        <v>8.3106456788090469E-4</v>
      </c>
      <c r="CE48" s="100">
        <v>0.72103161909347291</v>
      </c>
      <c r="CF48" s="100">
        <v>18.000310333049384</v>
      </c>
      <c r="CG48" s="100">
        <v>15617.069244953645</v>
      </c>
      <c r="CH48" s="100">
        <v>15</v>
      </c>
      <c r="CI48" s="100">
        <v>13014</v>
      </c>
      <c r="CJ48" s="100">
        <v>10.66166449595344</v>
      </c>
      <c r="CK48" s="100">
        <v>9250.0601166892047</v>
      </c>
      <c r="CL48" s="100">
        <v>12.728601773560081</v>
      </c>
      <c r="CM48" s="100">
        <v>11043.334898740726</v>
      </c>
      <c r="CN48" s="100">
        <v>12.785425888620617</v>
      </c>
      <c r="CO48" s="100">
        <v>11092.635500967248</v>
      </c>
      <c r="CP48" s="100">
        <v>12.101431911040089</v>
      </c>
      <c r="CQ48" s="100">
        <v>10499.202326018381</v>
      </c>
      <c r="CR48" s="100">
        <v>4.1246841946222048</v>
      </c>
      <c r="CS48" s="100">
        <v>3578.5760072542248</v>
      </c>
      <c r="CT48" s="100">
        <v>7.3956829009573459</v>
      </c>
      <c r="CU48" s="100">
        <v>6416.4944848705936</v>
      </c>
    </row>
    <row r="49" spans="2:99">
      <c r="B49" s="99" t="s">
        <v>129</v>
      </c>
      <c r="C49" s="99" t="s">
        <v>215</v>
      </c>
      <c r="D49" s="100">
        <v>8.002232388311441</v>
      </c>
      <c r="E49" s="100">
        <v>7883.7993489644314</v>
      </c>
      <c r="F49" s="100">
        <v>3.8463218995209632</v>
      </c>
      <c r="G49" s="100">
        <v>3789.3963354080524</v>
      </c>
      <c r="H49" s="100">
        <v>9.671632033641556</v>
      </c>
      <c r="I49" s="100">
        <v>9528.4918795436606</v>
      </c>
      <c r="J49" s="100">
        <v>0.74559070057750898</v>
      </c>
      <c r="K49" s="100">
        <v>734.55595820896178</v>
      </c>
      <c r="L49" s="100">
        <v>8.461114320004544</v>
      </c>
      <c r="M49" s="100">
        <v>8335.8898280684771</v>
      </c>
      <c r="N49" s="100">
        <v>6</v>
      </c>
      <c r="O49" s="100">
        <v>5911.2</v>
      </c>
      <c r="P49" s="100">
        <v>5.8011736462800449</v>
      </c>
      <c r="Q49" s="100">
        <v>5715.3162763150995</v>
      </c>
      <c r="R49" s="100">
        <v>3.1575327834138993</v>
      </c>
      <c r="S49" s="100">
        <v>3110.8012982193732</v>
      </c>
      <c r="T49" s="100">
        <v>6</v>
      </c>
      <c r="U49" s="100">
        <v>5911.2</v>
      </c>
      <c r="V49" s="100">
        <v>6.9580542559076539</v>
      </c>
      <c r="W49" s="100">
        <v>6855.0750529202205</v>
      </c>
      <c r="X49" s="100">
        <v>9</v>
      </c>
      <c r="Y49" s="100">
        <v>8866.7999999999993</v>
      </c>
      <c r="Z49" s="100">
        <v>6.0757599422487409</v>
      </c>
      <c r="AA49" s="100">
        <v>5985.838695103459</v>
      </c>
      <c r="AB49" s="100">
        <v>7.2333268858424562</v>
      </c>
      <c r="AC49" s="100">
        <v>7126.2736479319874</v>
      </c>
      <c r="AD49" s="100">
        <v>6.8591663241624046</v>
      </c>
      <c r="AE49" s="100">
        <v>6757.6506625648008</v>
      </c>
      <c r="AF49" s="100">
        <v>5.2989086451378817</v>
      </c>
      <c r="AG49" s="100">
        <v>5220.4847971898407</v>
      </c>
      <c r="AH49" s="100">
        <v>7</v>
      </c>
      <c r="AI49" s="100">
        <v>6896.4</v>
      </c>
      <c r="AJ49" s="100">
        <v>4.0571648116882182</v>
      </c>
      <c r="AK49" s="100">
        <v>3997.1187724752322</v>
      </c>
      <c r="AL49" s="100">
        <v>3.5933337609345646</v>
      </c>
      <c r="AM49" s="100">
        <v>3540.1524212727327</v>
      </c>
      <c r="AN49" s="100">
        <v>10</v>
      </c>
      <c r="AO49" s="100">
        <v>9852</v>
      </c>
      <c r="AP49" s="100">
        <v>4.8785933570266815</v>
      </c>
      <c r="AQ49" s="100">
        <v>4806.3901753426862</v>
      </c>
      <c r="AR49" s="100">
        <v>5.1891019540949035</v>
      </c>
      <c r="AS49" s="100">
        <v>5112.3032451742984</v>
      </c>
      <c r="AT49" s="100">
        <v>10</v>
      </c>
      <c r="AU49" s="100">
        <v>9852</v>
      </c>
      <c r="AV49" s="100">
        <v>7</v>
      </c>
      <c r="AW49" s="100">
        <v>6896.4</v>
      </c>
      <c r="AX49" s="100">
        <v>4.0133558372070866</v>
      </c>
      <c r="AY49" s="100">
        <v>3953.9581708164214</v>
      </c>
      <c r="AZ49" s="100">
        <v>10.307414201095657</v>
      </c>
      <c r="BA49" s="100">
        <v>10154.864470919441</v>
      </c>
      <c r="BB49" s="100">
        <v>8.3897119691323709</v>
      </c>
      <c r="BC49" s="100">
        <v>8265.5442319892118</v>
      </c>
      <c r="BD49" s="100">
        <v>6.908796399921366</v>
      </c>
      <c r="BE49" s="100">
        <v>6806.5462132025295</v>
      </c>
      <c r="BF49" s="100">
        <v>3.3898966585726007</v>
      </c>
      <c r="BG49" s="100">
        <v>3339.7261880257261</v>
      </c>
      <c r="BH49" s="100">
        <v>8.8143923591842164</v>
      </c>
      <c r="BI49" s="100">
        <v>8683.9393522682894</v>
      </c>
      <c r="BJ49" s="100">
        <v>5.5927306823896936</v>
      </c>
      <c r="BK49" s="100">
        <v>5509.9582682903256</v>
      </c>
      <c r="BL49" s="100">
        <v>5.5514674442876775</v>
      </c>
      <c r="BM49" s="100">
        <v>5469.3057261122194</v>
      </c>
      <c r="BN49" s="100">
        <v>7.1288875234896021E-2</v>
      </c>
      <c r="BO49" s="100">
        <v>70.233799881419557</v>
      </c>
      <c r="BP49" s="100">
        <v>8.4780922942868582</v>
      </c>
      <c r="BQ49" s="100">
        <v>8352.6165283314112</v>
      </c>
      <c r="BR49" s="100">
        <v>9.7327318548115258</v>
      </c>
      <c r="BS49" s="100">
        <v>9588.6874233603139</v>
      </c>
      <c r="BT49" s="100">
        <v>9</v>
      </c>
      <c r="BU49" s="100">
        <v>8866.7999999999993</v>
      </c>
      <c r="BV49" s="100">
        <v>5.8483670945122466</v>
      </c>
      <c r="BW49" s="100">
        <v>5761.8112615134651</v>
      </c>
      <c r="BX49" s="100">
        <v>10.036835890344074</v>
      </c>
      <c r="BY49" s="100">
        <v>9888.2907191669801</v>
      </c>
      <c r="BZ49" s="100">
        <v>2.3249805590794383</v>
      </c>
      <c r="CA49" s="100">
        <v>2290.5708468050625</v>
      </c>
      <c r="CB49" s="100">
        <v>5.8316240118531537</v>
      </c>
      <c r="CC49" s="100">
        <v>5745.3159764777265</v>
      </c>
      <c r="CD49" s="100">
        <v>3.5048469929232646</v>
      </c>
      <c r="CE49" s="100">
        <v>3452.9752574280001</v>
      </c>
      <c r="CF49" s="100">
        <v>7.8353749061679769</v>
      </c>
      <c r="CG49" s="100">
        <v>7719.4113575566907</v>
      </c>
      <c r="CH49" s="100">
        <v>10</v>
      </c>
      <c r="CI49" s="100">
        <v>9852</v>
      </c>
      <c r="CJ49" s="100">
        <v>9</v>
      </c>
      <c r="CK49" s="100">
        <v>8866.7999999999993</v>
      </c>
      <c r="CL49" s="100">
        <v>3.1188150361435745</v>
      </c>
      <c r="CM49" s="100">
        <v>3072.6565736086495</v>
      </c>
      <c r="CN49" s="100">
        <v>8.0678872228603087</v>
      </c>
      <c r="CO49" s="100">
        <v>7948.4824919619759</v>
      </c>
      <c r="CP49" s="100">
        <v>4.0673581921443978</v>
      </c>
      <c r="CQ49" s="100">
        <v>4007.1612909006603</v>
      </c>
      <c r="CR49" s="100">
        <v>9.9094644554439633</v>
      </c>
      <c r="CS49" s="100">
        <v>9762.8043815033925</v>
      </c>
      <c r="CT49" s="100">
        <v>3.0790660735193685</v>
      </c>
      <c r="CU49" s="100">
        <v>3033.4958956312817</v>
      </c>
    </row>
    <row r="50" spans="2:99">
      <c r="C50" s="99" t="s">
        <v>216</v>
      </c>
      <c r="D50" s="100">
        <v>9</v>
      </c>
      <c r="E50" s="100">
        <v>2538</v>
      </c>
      <c r="F50" s="100">
        <v>8.7450138699572477</v>
      </c>
      <c r="G50" s="100">
        <v>2466.0939113279437</v>
      </c>
      <c r="H50" s="100">
        <v>8.3723384169891339</v>
      </c>
      <c r="I50" s="100">
        <v>2360.999433590936</v>
      </c>
      <c r="J50" s="100">
        <v>5.7811579935205737</v>
      </c>
      <c r="K50" s="100">
        <v>1630.2865541728017</v>
      </c>
      <c r="L50" s="100">
        <v>7.351619885956854</v>
      </c>
      <c r="M50" s="100">
        <v>2073.1568078398327</v>
      </c>
      <c r="N50" s="100">
        <v>1.7569379736725927</v>
      </c>
      <c r="O50" s="100">
        <v>495.45650857567114</v>
      </c>
      <c r="P50" s="100">
        <v>7.9814081277377404</v>
      </c>
      <c r="Q50" s="100">
        <v>2250.7570920220428</v>
      </c>
      <c r="R50" s="100">
        <v>4.466964825435026</v>
      </c>
      <c r="S50" s="100">
        <v>1259.6840807726774</v>
      </c>
      <c r="T50" s="100">
        <v>7</v>
      </c>
      <c r="U50" s="100">
        <v>1974</v>
      </c>
      <c r="V50" s="100">
        <v>9</v>
      </c>
      <c r="W50" s="100">
        <v>2538</v>
      </c>
      <c r="X50" s="100">
        <v>1.9238287739760072</v>
      </c>
      <c r="Y50" s="100">
        <v>542.51971426123407</v>
      </c>
      <c r="Z50" s="100">
        <v>11</v>
      </c>
      <c r="AA50" s="100">
        <v>3102</v>
      </c>
      <c r="AB50" s="100">
        <v>7.300262328432507</v>
      </c>
      <c r="AC50" s="100">
        <v>2058.6739766179671</v>
      </c>
      <c r="AD50" s="100">
        <v>9.3186282682254742</v>
      </c>
      <c r="AE50" s="100">
        <v>2627.8531716395837</v>
      </c>
      <c r="AF50" s="100">
        <v>4.1993662798310085</v>
      </c>
      <c r="AG50" s="100">
        <v>1184.2212909123443</v>
      </c>
      <c r="AH50" s="100">
        <v>8.808401296900513</v>
      </c>
      <c r="AI50" s="100">
        <v>2483.9691657259445</v>
      </c>
      <c r="AJ50" s="100">
        <v>9.9483952047372455</v>
      </c>
      <c r="AK50" s="100">
        <v>2805.4474477359031</v>
      </c>
      <c r="AL50" s="100">
        <v>6.927881624812013E-4</v>
      </c>
      <c r="AM50" s="100">
        <v>0.19536626181969877</v>
      </c>
      <c r="AN50" s="100">
        <v>10.843002411606724</v>
      </c>
      <c r="AO50" s="100">
        <v>3057.7266800730963</v>
      </c>
      <c r="AP50" s="100">
        <v>7</v>
      </c>
      <c r="AQ50" s="100">
        <v>1974</v>
      </c>
      <c r="AR50" s="100">
        <v>7.6492477128663738</v>
      </c>
      <c r="AS50" s="100">
        <v>2157.0878550283173</v>
      </c>
      <c r="AT50" s="100">
        <v>7.2724026428825974</v>
      </c>
      <c r="AU50" s="100">
        <v>2050.8175452928926</v>
      </c>
      <c r="AV50" s="100">
        <v>8</v>
      </c>
      <c r="AW50" s="100">
        <v>2256</v>
      </c>
      <c r="AX50" s="100">
        <v>7.1978456376603468</v>
      </c>
      <c r="AY50" s="100">
        <v>2029.7924698202178</v>
      </c>
      <c r="AZ50" s="100">
        <v>2.5950828762209022</v>
      </c>
      <c r="BA50" s="100">
        <v>731.81337109429444</v>
      </c>
      <c r="BB50" s="100">
        <v>10.494834775678619</v>
      </c>
      <c r="BC50" s="100">
        <v>2959.5434067413707</v>
      </c>
      <c r="BD50" s="100">
        <v>8.9929439470451857</v>
      </c>
      <c r="BE50" s="100">
        <v>2536.0101930667424</v>
      </c>
      <c r="BF50" s="100">
        <v>8.4242012198400626</v>
      </c>
      <c r="BG50" s="100">
        <v>2375.6247439948975</v>
      </c>
      <c r="BH50" s="100">
        <v>1.9935944901961447</v>
      </c>
      <c r="BI50" s="100">
        <v>562.19364623531283</v>
      </c>
      <c r="BJ50" s="100">
        <v>9.5443371500733711</v>
      </c>
      <c r="BK50" s="100">
        <v>2691.5030763206905</v>
      </c>
      <c r="BL50" s="100">
        <v>7.0520812283222121</v>
      </c>
      <c r="BM50" s="100">
        <v>1988.6869063868637</v>
      </c>
      <c r="BN50" s="100">
        <v>4.4125478415175126</v>
      </c>
      <c r="BO50" s="100">
        <v>1244.3384913079385</v>
      </c>
      <c r="BP50" s="100">
        <v>9.2666213418240684</v>
      </c>
      <c r="BQ50" s="100">
        <v>2613.1872183943874</v>
      </c>
      <c r="BR50" s="100">
        <v>6.3195375359190121E-4</v>
      </c>
      <c r="BS50" s="100">
        <v>0.17821095851291613</v>
      </c>
      <c r="BT50" s="100">
        <v>6.626702336277301</v>
      </c>
      <c r="BU50" s="100">
        <v>1868.7300588301989</v>
      </c>
      <c r="BV50" s="100">
        <v>8.4354399284539969</v>
      </c>
      <c r="BW50" s="100">
        <v>2378.794059824027</v>
      </c>
      <c r="BX50" s="100">
        <v>10</v>
      </c>
      <c r="BY50" s="100">
        <v>2820</v>
      </c>
      <c r="BZ50" s="100">
        <v>7</v>
      </c>
      <c r="CA50" s="100">
        <v>1974</v>
      </c>
      <c r="CB50" s="100">
        <v>1.6204507709335381</v>
      </c>
      <c r="CC50" s="100">
        <v>456.96711740325776</v>
      </c>
      <c r="CD50" s="100">
        <v>6.5297930333499648E-4</v>
      </c>
      <c r="CE50" s="100">
        <v>0.184140163540469</v>
      </c>
      <c r="CF50" s="100">
        <v>8.0001773331710755</v>
      </c>
      <c r="CG50" s="100">
        <v>2256.0500079542435</v>
      </c>
      <c r="CH50" s="100">
        <v>11</v>
      </c>
      <c r="CI50" s="100">
        <v>3102</v>
      </c>
      <c r="CJ50" s="100">
        <v>6.5610243052021167</v>
      </c>
      <c r="CK50" s="100">
        <v>1850.208854066997</v>
      </c>
      <c r="CL50" s="100">
        <v>5.5687632759325352</v>
      </c>
      <c r="CM50" s="100">
        <v>1570.3912438129748</v>
      </c>
      <c r="CN50" s="100">
        <v>7.1030143825670091</v>
      </c>
      <c r="CO50" s="100">
        <v>2003.0500558838967</v>
      </c>
      <c r="CP50" s="100">
        <v>8.8743834014293999</v>
      </c>
      <c r="CQ50" s="100">
        <v>2502.5761192030909</v>
      </c>
      <c r="CR50" s="100">
        <v>2.1836563383294028</v>
      </c>
      <c r="CS50" s="100">
        <v>615.7910874088916</v>
      </c>
      <c r="CT50" s="100">
        <v>3.3702692495343145</v>
      </c>
      <c r="CU50" s="100">
        <v>950.41592836867665</v>
      </c>
    </row>
    <row r="51" spans="2:99">
      <c r="C51" s="99" t="s">
        <v>217</v>
      </c>
      <c r="D51" s="100">
        <v>9</v>
      </c>
      <c r="E51" s="100">
        <v>7689.5999999999995</v>
      </c>
      <c r="F51" s="100">
        <v>7.9500126090520435</v>
      </c>
      <c r="G51" s="100">
        <v>6792.4907731740659</v>
      </c>
      <c r="H51" s="100">
        <v>6.850095068445655</v>
      </c>
      <c r="I51" s="100">
        <v>5852.7212264799673</v>
      </c>
      <c r="J51" s="100">
        <v>5.7811579935205737</v>
      </c>
      <c r="K51" s="100">
        <v>4939.4213896639776</v>
      </c>
      <c r="L51" s="100">
        <v>7.351619885956854</v>
      </c>
      <c r="M51" s="100">
        <v>6281.224030561536</v>
      </c>
      <c r="N51" s="100">
        <v>1.7569379736725927</v>
      </c>
      <c r="O51" s="100">
        <v>1501.1278047058631</v>
      </c>
      <c r="P51" s="100">
        <v>6.841206966632349</v>
      </c>
      <c r="Q51" s="100">
        <v>5845.1272322906789</v>
      </c>
      <c r="R51" s="100">
        <v>4.466964825435026</v>
      </c>
      <c r="S51" s="100">
        <v>3816.5747468516861</v>
      </c>
      <c r="T51" s="100">
        <v>6</v>
      </c>
      <c r="U51" s="100">
        <v>5126.3999999999996</v>
      </c>
      <c r="V51" s="100">
        <v>8</v>
      </c>
      <c r="W51" s="100">
        <v>6835.2</v>
      </c>
      <c r="X51" s="100">
        <v>1.7671645432661001</v>
      </c>
      <c r="Y51" s="100">
        <v>1509.8653857665558</v>
      </c>
      <c r="Z51" s="100">
        <v>9</v>
      </c>
      <c r="AA51" s="100">
        <v>7689.5999999999995</v>
      </c>
      <c r="AB51" s="100">
        <v>7.300262328432507</v>
      </c>
      <c r="AC51" s="100">
        <v>6237.3441334127338</v>
      </c>
      <c r="AD51" s="100">
        <v>8.4077034416496463</v>
      </c>
      <c r="AE51" s="100">
        <v>7183.541820545458</v>
      </c>
      <c r="AF51" s="100">
        <v>4.1993662798310085</v>
      </c>
      <c r="AG51" s="100">
        <v>3587.9385494876137</v>
      </c>
      <c r="AH51" s="100">
        <v>7.808401296900513</v>
      </c>
      <c r="AI51" s="100">
        <v>6671.4980680717981</v>
      </c>
      <c r="AJ51" s="100">
        <v>8.9535556842635202</v>
      </c>
      <c r="AK51" s="100">
        <v>7649.9179766347515</v>
      </c>
      <c r="AL51" s="100">
        <v>6.2980742043745571E-4</v>
      </c>
      <c r="AM51" s="100">
        <v>0.53810746002176213</v>
      </c>
      <c r="AN51" s="100">
        <v>10.011602893928067</v>
      </c>
      <c r="AO51" s="100">
        <v>8553.9135125721405</v>
      </c>
      <c r="AP51" s="100">
        <v>6</v>
      </c>
      <c r="AQ51" s="100">
        <v>5126.3999999999996</v>
      </c>
      <c r="AR51" s="100">
        <v>5.7369357846497806</v>
      </c>
      <c r="AS51" s="100">
        <v>4901.6379344047727</v>
      </c>
      <c r="AT51" s="100">
        <v>7.2724026428825974</v>
      </c>
      <c r="AU51" s="100">
        <v>6213.5408180788909</v>
      </c>
      <c r="AV51" s="100">
        <v>7</v>
      </c>
      <c r="AW51" s="100">
        <v>5980.8</v>
      </c>
      <c r="AX51" s="100">
        <v>7.9231277925940784</v>
      </c>
      <c r="AY51" s="100">
        <v>6769.5203859923804</v>
      </c>
      <c r="AZ51" s="100">
        <v>2.1741925482631332</v>
      </c>
      <c r="BA51" s="100">
        <v>1857.6301132360211</v>
      </c>
      <c r="BB51" s="100">
        <v>9.4948347756786191</v>
      </c>
      <c r="BC51" s="100">
        <v>8112.3868323398119</v>
      </c>
      <c r="BD51" s="100">
        <v>8.0936495523406684</v>
      </c>
      <c r="BE51" s="100">
        <v>6915.214177519867</v>
      </c>
      <c r="BF51" s="100">
        <v>7.581781097856056</v>
      </c>
      <c r="BG51" s="100">
        <v>6477.8737700082138</v>
      </c>
      <c r="BH51" s="100">
        <v>1.8016915617964293</v>
      </c>
      <c r="BI51" s="100">
        <v>1539.3652703988691</v>
      </c>
      <c r="BJ51" s="100">
        <v>8.680421437591713</v>
      </c>
      <c r="BK51" s="100">
        <v>7416.552076278359</v>
      </c>
      <c r="BL51" s="100">
        <v>7.8356458092469028</v>
      </c>
      <c r="BM51" s="100">
        <v>6694.7757794205536</v>
      </c>
      <c r="BN51" s="100">
        <v>4.4125478415175126</v>
      </c>
      <c r="BO51" s="100">
        <v>3770.0808757925624</v>
      </c>
      <c r="BP51" s="100">
        <v>9.2666213418240684</v>
      </c>
      <c r="BQ51" s="100">
        <v>7917.4012744544834</v>
      </c>
      <c r="BR51" s="100">
        <v>6.3195375359190121E-4</v>
      </c>
      <c r="BS51" s="100">
        <v>0.53994128706892042</v>
      </c>
      <c r="BT51" s="100">
        <v>6.6247123235825569</v>
      </c>
      <c r="BU51" s="100">
        <v>5660.154209268936</v>
      </c>
      <c r="BV51" s="100">
        <v>7.4354399284539978</v>
      </c>
      <c r="BW51" s="100">
        <v>6352.8398748710952</v>
      </c>
      <c r="BX51" s="100">
        <v>11</v>
      </c>
      <c r="BY51" s="100">
        <v>9398.4</v>
      </c>
      <c r="BZ51" s="100">
        <v>7</v>
      </c>
      <c r="CA51" s="100">
        <v>5980.8</v>
      </c>
      <c r="CB51" s="100">
        <v>1.6204507709335381</v>
      </c>
      <c r="CC51" s="100">
        <v>1384.5131386856149</v>
      </c>
      <c r="CD51" s="100">
        <v>5.9361754848636045E-4</v>
      </c>
      <c r="CE51" s="100">
        <v>0.50718683342674631</v>
      </c>
      <c r="CF51" s="100">
        <v>9.0001773331710755</v>
      </c>
      <c r="CG51" s="100">
        <v>7689.7515134613668</v>
      </c>
      <c r="CH51" s="100">
        <v>10</v>
      </c>
      <c r="CI51" s="100">
        <v>8544</v>
      </c>
      <c r="CJ51" s="100">
        <v>6.5610243052021167</v>
      </c>
      <c r="CK51" s="100">
        <v>5605.7391663646886</v>
      </c>
      <c r="CL51" s="100">
        <v>5.5687632759325352</v>
      </c>
      <c r="CM51" s="100">
        <v>4757.9513429567578</v>
      </c>
      <c r="CN51" s="100">
        <v>7.8133158208237106</v>
      </c>
      <c r="CO51" s="100">
        <v>6675.6970373117783</v>
      </c>
      <c r="CP51" s="100">
        <v>8.0676212740267257</v>
      </c>
      <c r="CQ51" s="100">
        <v>6892.9756165284343</v>
      </c>
      <c r="CR51" s="100">
        <v>2.426284820366003</v>
      </c>
      <c r="CS51" s="100">
        <v>2073.017750520713</v>
      </c>
      <c r="CT51" s="100">
        <v>3.3222686513104729</v>
      </c>
      <c r="CU51" s="100">
        <v>2838.5463356796681</v>
      </c>
    </row>
    <row r="52" spans="2:99">
      <c r="C52" s="99" t="s">
        <v>218</v>
      </c>
      <c r="D52" s="100">
        <v>8</v>
      </c>
      <c r="E52" s="100">
        <v>4320</v>
      </c>
      <c r="F52" s="100">
        <v>7.1550113481468394</v>
      </c>
      <c r="G52" s="100">
        <v>3863.7061279992931</v>
      </c>
      <c r="H52" s="100">
        <v>8.3723384169891339</v>
      </c>
      <c r="I52" s="100">
        <v>4521.062745174132</v>
      </c>
      <c r="J52" s="100">
        <v>5.7811579935205737</v>
      </c>
      <c r="K52" s="100">
        <v>3121.8253165011097</v>
      </c>
      <c r="L52" s="100">
        <v>6.5347732319616485</v>
      </c>
      <c r="M52" s="100">
        <v>3528.77754525929</v>
      </c>
      <c r="N52" s="100">
        <v>1.7569379736725927</v>
      </c>
      <c r="O52" s="100">
        <v>948.74650578320006</v>
      </c>
      <c r="P52" s="100">
        <v>6.9814081277377404</v>
      </c>
      <c r="Q52" s="100">
        <v>3769.9603889783798</v>
      </c>
      <c r="R52" s="100">
        <v>4.466964825435026</v>
      </c>
      <c r="S52" s="100">
        <v>2412.1610057349139</v>
      </c>
      <c r="T52" s="100">
        <v>7</v>
      </c>
      <c r="U52" s="100">
        <v>3780</v>
      </c>
      <c r="V52" s="100">
        <v>10</v>
      </c>
      <c r="W52" s="100">
        <v>5400</v>
      </c>
      <c r="X52" s="100">
        <v>1.5922710183591902</v>
      </c>
      <c r="Y52" s="100">
        <v>859.82634991396264</v>
      </c>
      <c r="Z52" s="100">
        <v>9</v>
      </c>
      <c r="AA52" s="100">
        <v>4860</v>
      </c>
      <c r="AB52" s="100">
        <v>7.300262328432507</v>
      </c>
      <c r="AC52" s="100">
        <v>3942.1416573535539</v>
      </c>
      <c r="AD52" s="100">
        <v>10.194656427723434</v>
      </c>
      <c r="AE52" s="100">
        <v>5505.1144709706541</v>
      </c>
      <c r="AF52" s="100">
        <v>3.6744454948521326</v>
      </c>
      <c r="AG52" s="100">
        <v>1984.2005672201517</v>
      </c>
      <c r="AH52" s="100">
        <v>8.808401296900513</v>
      </c>
      <c r="AI52" s="100">
        <v>4756.5367003262772</v>
      </c>
      <c r="AJ52" s="100">
        <v>7.9587161637897958</v>
      </c>
      <c r="AK52" s="100">
        <v>4297.7067284464902</v>
      </c>
      <c r="AL52" s="100">
        <v>5.6682667839371022E-4</v>
      </c>
      <c r="AM52" s="100">
        <v>0.30608640633260353</v>
      </c>
      <c r="AN52" s="100">
        <v>9.8430024116067241</v>
      </c>
      <c r="AO52" s="100">
        <v>5315.2213022676306</v>
      </c>
      <c r="AP52" s="100">
        <v>6</v>
      </c>
      <c r="AQ52" s="100">
        <v>3240</v>
      </c>
      <c r="AR52" s="100">
        <v>6.6930917487580777</v>
      </c>
      <c r="AS52" s="100">
        <v>3614.2695443293619</v>
      </c>
      <c r="AT52" s="100">
        <v>7.2724026428825974</v>
      </c>
      <c r="AU52" s="100">
        <v>3927.0974271566024</v>
      </c>
      <c r="AV52" s="100">
        <v>7</v>
      </c>
      <c r="AW52" s="100">
        <v>3780</v>
      </c>
      <c r="AX52" s="100">
        <v>8.0348454998035379</v>
      </c>
      <c r="AY52" s="100">
        <v>4338.8165698939101</v>
      </c>
      <c r="AZ52" s="100">
        <v>2.1841555351880317</v>
      </c>
      <c r="BA52" s="100">
        <v>1179.4439890015371</v>
      </c>
      <c r="BB52" s="100">
        <v>9.4948347756786191</v>
      </c>
      <c r="BC52" s="100">
        <v>5127.2107788664543</v>
      </c>
      <c r="BD52" s="100">
        <v>8.9929439470451857</v>
      </c>
      <c r="BE52" s="100">
        <v>4856.1897314043999</v>
      </c>
      <c r="BF52" s="100">
        <v>8.4242012198400626</v>
      </c>
      <c r="BG52" s="100">
        <v>4549.0686587136342</v>
      </c>
      <c r="BH52" s="100">
        <v>1.8016915617964293</v>
      </c>
      <c r="BI52" s="100">
        <v>972.91344337007183</v>
      </c>
      <c r="BJ52" s="100">
        <v>7.5443371500733702</v>
      </c>
      <c r="BK52" s="100">
        <v>4073.9420610396201</v>
      </c>
      <c r="BL52" s="100">
        <v>7.8356458092469028</v>
      </c>
      <c r="BM52" s="100">
        <v>4231.2487369933278</v>
      </c>
      <c r="BN52" s="100">
        <v>4.4125478415175126</v>
      </c>
      <c r="BO52" s="100">
        <v>2382.7758344194567</v>
      </c>
      <c r="BP52" s="100">
        <v>10.109041463808074</v>
      </c>
      <c r="BQ52" s="100">
        <v>5458.8823904563596</v>
      </c>
      <c r="BR52" s="100">
        <v>7.0233645094765651E-4</v>
      </c>
      <c r="BS52" s="100">
        <v>0.3792616835117345</v>
      </c>
      <c r="BT52" s="100">
        <v>7.2663952927781752</v>
      </c>
      <c r="BU52" s="100">
        <v>3923.8534581002145</v>
      </c>
      <c r="BV52" s="100">
        <v>7.4354399284539978</v>
      </c>
      <c r="BW52" s="100">
        <v>4015.1375613651589</v>
      </c>
      <c r="BX52" s="100">
        <v>10</v>
      </c>
      <c r="BY52" s="100">
        <v>5400</v>
      </c>
      <c r="BZ52" s="100">
        <v>7</v>
      </c>
      <c r="CA52" s="100">
        <v>3780</v>
      </c>
      <c r="CB52" s="100">
        <v>1.6204507709335381</v>
      </c>
      <c r="CC52" s="100">
        <v>875.04341630411056</v>
      </c>
      <c r="CD52" s="100">
        <v>6.5297930333499648E-4</v>
      </c>
      <c r="CE52" s="100">
        <v>0.35260882380089809</v>
      </c>
      <c r="CF52" s="100">
        <v>8.0001773331710755</v>
      </c>
      <c r="CG52" s="100">
        <v>4320.0957599123803</v>
      </c>
      <c r="CH52" s="100">
        <v>10</v>
      </c>
      <c r="CI52" s="100">
        <v>5400</v>
      </c>
      <c r="CJ52" s="100">
        <v>6.5610243052021167</v>
      </c>
      <c r="CK52" s="100">
        <v>3542.953124809143</v>
      </c>
      <c r="CL52" s="100">
        <v>5.5687632759325352</v>
      </c>
      <c r="CM52" s="100">
        <v>3007.1321690035688</v>
      </c>
      <c r="CN52" s="100">
        <v>8.523617259080412</v>
      </c>
      <c r="CO52" s="100">
        <v>4602.7533199034224</v>
      </c>
      <c r="CP52" s="100">
        <v>8.8743834014293999</v>
      </c>
      <c r="CQ52" s="100">
        <v>4792.1670367718762</v>
      </c>
      <c r="CR52" s="100">
        <v>2.426284820366003</v>
      </c>
      <c r="CS52" s="100">
        <v>1310.1938029976416</v>
      </c>
      <c r="CT52" s="100">
        <v>2.8941506923207485</v>
      </c>
      <c r="CU52" s="100">
        <v>1562.8413738532042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7.1550113481468394</v>
      </c>
      <c r="G53" s="100">
        <v>2910.6586164261344</v>
      </c>
      <c r="H53" s="100">
        <v>6.850095068445655</v>
      </c>
      <c r="I53" s="100">
        <v>2786.6186738436927</v>
      </c>
      <c r="J53" s="100">
        <v>7.2264474919007169</v>
      </c>
      <c r="K53" s="100">
        <v>2939.7188397052118</v>
      </c>
      <c r="L53" s="100">
        <v>6.5347732319616485</v>
      </c>
      <c r="M53" s="100">
        <v>2658.3457507619987</v>
      </c>
      <c r="N53" s="100">
        <v>1.7569379736725927</v>
      </c>
      <c r="O53" s="100">
        <v>714.72236769001074</v>
      </c>
      <c r="P53" s="100">
        <v>7.841206966632349</v>
      </c>
      <c r="Q53" s="100">
        <v>3189.8029940260399</v>
      </c>
      <c r="R53" s="100">
        <v>4.466964825435026</v>
      </c>
      <c r="S53" s="100">
        <v>1817.1612909869687</v>
      </c>
      <c r="T53" s="100">
        <v>6</v>
      </c>
      <c r="U53" s="100">
        <v>2440.8000000000002</v>
      </c>
      <c r="V53" s="100">
        <v>9</v>
      </c>
      <c r="W53" s="100">
        <v>3661.2000000000003</v>
      </c>
      <c r="X53" s="100">
        <v>1.5740417241621878</v>
      </c>
      <c r="Y53" s="100">
        <v>640.32017338917797</v>
      </c>
      <c r="Z53" s="100">
        <v>10</v>
      </c>
      <c r="AA53" s="100">
        <v>4068</v>
      </c>
      <c r="AB53" s="100">
        <v>7.9639225401081903</v>
      </c>
      <c r="AC53" s="100">
        <v>3239.723689316012</v>
      </c>
      <c r="AD53" s="100">
        <v>10.229553094801302</v>
      </c>
      <c r="AE53" s="100">
        <v>4161.3821989651697</v>
      </c>
      <c r="AF53" s="100">
        <v>4.1993662798310085</v>
      </c>
      <c r="AG53" s="100">
        <v>1708.3022026352544</v>
      </c>
      <c r="AH53" s="100">
        <v>7.808401296900513</v>
      </c>
      <c r="AI53" s="100">
        <v>3176.4576475791287</v>
      </c>
      <c r="AJ53" s="100">
        <v>9.9483952047372455</v>
      </c>
      <c r="AK53" s="100">
        <v>4047.0071692871115</v>
      </c>
      <c r="AL53" s="100">
        <v>5.6980792252628635E-4</v>
      </c>
      <c r="AM53" s="100">
        <v>0.23179786288369331</v>
      </c>
      <c r="AN53" s="100">
        <v>9.8430024116067241</v>
      </c>
      <c r="AO53" s="100">
        <v>4004.1333810416154</v>
      </c>
      <c r="AP53" s="100">
        <v>7</v>
      </c>
      <c r="AQ53" s="100">
        <v>2847.6</v>
      </c>
      <c r="AR53" s="100">
        <v>6.6930917487580777</v>
      </c>
      <c r="AS53" s="100">
        <v>2722.7497233947861</v>
      </c>
      <c r="AT53" s="100">
        <v>7.9996429071708572</v>
      </c>
      <c r="AU53" s="100">
        <v>3254.2547346371048</v>
      </c>
      <c r="AV53" s="100">
        <v>7.0255394184537048</v>
      </c>
      <c r="AW53" s="100">
        <v>2857.9894354269672</v>
      </c>
      <c r="AX53" s="100">
        <v>8.0348454998035379</v>
      </c>
      <c r="AY53" s="100">
        <v>3268.5751493200792</v>
      </c>
      <c r="AZ53" s="100">
        <v>2.3846377122420175</v>
      </c>
      <c r="BA53" s="100">
        <v>970.07062134005275</v>
      </c>
      <c r="BB53" s="100">
        <v>10.494834775678619</v>
      </c>
      <c r="BC53" s="100">
        <v>4269.2987867460624</v>
      </c>
      <c r="BD53" s="100">
        <v>8.0936495523406684</v>
      </c>
      <c r="BE53" s="100">
        <v>3292.496637892184</v>
      </c>
      <c r="BF53" s="100">
        <v>7.581781097856056</v>
      </c>
      <c r="BG53" s="100">
        <v>3084.2685506078437</v>
      </c>
      <c r="BH53" s="100">
        <v>1.9935944901961447</v>
      </c>
      <c r="BI53" s="100">
        <v>810.99423861179162</v>
      </c>
      <c r="BJ53" s="100">
        <v>8.680421437591713</v>
      </c>
      <c r="BK53" s="100">
        <v>3531.1954408123088</v>
      </c>
      <c r="BL53" s="100">
        <v>7.0520812283222121</v>
      </c>
      <c r="BM53" s="100">
        <v>2868.7866436814761</v>
      </c>
      <c r="BN53" s="100">
        <v>4.4125478415175126</v>
      </c>
      <c r="BO53" s="100">
        <v>1795.0244619293242</v>
      </c>
      <c r="BP53" s="100">
        <v>10.109041463808074</v>
      </c>
      <c r="BQ53" s="100">
        <v>4112.3580674771247</v>
      </c>
      <c r="BR53" s="100">
        <v>7.008459283377596E-4</v>
      </c>
      <c r="BS53" s="100">
        <v>0.28510412364780063</v>
      </c>
      <c r="BT53" s="100">
        <v>7.9060882492790494</v>
      </c>
      <c r="BU53" s="100">
        <v>3216.1966998067173</v>
      </c>
      <c r="BV53" s="100">
        <v>8.4354399284539969</v>
      </c>
      <c r="BW53" s="100">
        <v>3431.5369628950862</v>
      </c>
      <c r="BX53" s="100">
        <v>11</v>
      </c>
      <c r="BY53" s="100">
        <v>4474.8</v>
      </c>
      <c r="BZ53" s="100">
        <v>7</v>
      </c>
      <c r="CA53" s="100">
        <v>2847.6</v>
      </c>
      <c r="CB53" s="100">
        <v>1.8519437382097577</v>
      </c>
      <c r="CC53" s="100">
        <v>753.3707127037294</v>
      </c>
      <c r="CD53" s="100">
        <v>7.7170281303226866E-4</v>
      </c>
      <c r="CE53" s="100">
        <v>0.31392870434152692</v>
      </c>
      <c r="CF53" s="100">
        <v>9.0001773331710755</v>
      </c>
      <c r="CG53" s="100">
        <v>3661.2721391339937</v>
      </c>
      <c r="CH53" s="100">
        <v>10</v>
      </c>
      <c r="CI53" s="100">
        <v>4068</v>
      </c>
      <c r="CJ53" s="100">
        <v>7.3811523433523814</v>
      </c>
      <c r="CK53" s="100">
        <v>3002.652773275749</v>
      </c>
      <c r="CL53" s="100">
        <v>6.3643008867800406</v>
      </c>
      <c r="CM53" s="100">
        <v>2588.9976007421205</v>
      </c>
      <c r="CN53" s="100">
        <v>7.1030143825670091</v>
      </c>
      <c r="CO53" s="100">
        <v>2889.5062508282595</v>
      </c>
      <c r="CP53" s="100">
        <v>8.0676212740267257</v>
      </c>
      <c r="CQ53" s="100">
        <v>3281.9083342740719</v>
      </c>
      <c r="CR53" s="100">
        <v>2.1836563383294028</v>
      </c>
      <c r="CS53" s="100">
        <v>888.31139843240112</v>
      </c>
      <c r="CT53" s="100">
        <v>3.3964353718514517</v>
      </c>
      <c r="CU53" s="100">
        <v>1381.6699092691706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8.7450138699572477</v>
      </c>
      <c r="G54" s="100">
        <v>2927.8306436616867</v>
      </c>
      <c r="H54" s="100">
        <v>7.611216742717394</v>
      </c>
      <c r="I54" s="100">
        <v>2548.2353654617837</v>
      </c>
      <c r="J54" s="100">
        <v>5.7811579935205737</v>
      </c>
      <c r="K54" s="100">
        <v>1935.5316962306881</v>
      </c>
      <c r="L54" s="100">
        <v>7.351619885956854</v>
      </c>
      <c r="M54" s="100">
        <v>2461.3223378183548</v>
      </c>
      <c r="N54" s="100">
        <v>1.7563266847666297</v>
      </c>
      <c r="O54" s="100">
        <v>588.01817405986765</v>
      </c>
      <c r="P54" s="100">
        <v>7.841206966632349</v>
      </c>
      <c r="Q54" s="100">
        <v>2625.2360924285103</v>
      </c>
      <c r="R54" s="100">
        <v>4.466964825435026</v>
      </c>
      <c r="S54" s="100">
        <v>1495.5398235556468</v>
      </c>
      <c r="T54" s="100">
        <v>6</v>
      </c>
      <c r="U54" s="100">
        <v>2008.8000000000002</v>
      </c>
      <c r="V54" s="100">
        <v>10</v>
      </c>
      <c r="W54" s="100">
        <v>3348</v>
      </c>
      <c r="X54" s="100">
        <v>1.7489352490690975</v>
      </c>
      <c r="Y54" s="100">
        <v>585.54352138833383</v>
      </c>
      <c r="Z54" s="100">
        <v>11</v>
      </c>
      <c r="AA54" s="100">
        <v>3682.8</v>
      </c>
      <c r="AB54" s="100">
        <v>6.6366021167568254</v>
      </c>
      <c r="AC54" s="100">
        <v>2221.9343886901852</v>
      </c>
      <c r="AD54" s="100">
        <v>9.2837316011476076</v>
      </c>
      <c r="AE54" s="100">
        <v>3108.1933400642192</v>
      </c>
      <c r="AF54" s="100">
        <v>3.6744454948521326</v>
      </c>
      <c r="AG54" s="100">
        <v>1230.2043516764941</v>
      </c>
      <c r="AH54" s="100">
        <v>8.808401296900513</v>
      </c>
      <c r="AI54" s="100">
        <v>2949.0527542022919</v>
      </c>
      <c r="AJ54" s="100">
        <v>8.9535556842635202</v>
      </c>
      <c r="AK54" s="100">
        <v>2997.6504430914265</v>
      </c>
      <c r="AL54" s="100">
        <v>6.2682617630487958E-4</v>
      </c>
      <c r="AM54" s="100">
        <v>0.20986140382687368</v>
      </c>
      <c r="AN54" s="100">
        <v>10.843002411606724</v>
      </c>
      <c r="AO54" s="100">
        <v>3630.2372074059313</v>
      </c>
      <c r="AP54" s="100">
        <v>6</v>
      </c>
      <c r="AQ54" s="100">
        <v>2008.8000000000002</v>
      </c>
      <c r="AR54" s="100">
        <v>6.6930917487580777</v>
      </c>
      <c r="AS54" s="100">
        <v>2240.8471174842043</v>
      </c>
      <c r="AT54" s="100">
        <v>7.2724026428825974</v>
      </c>
      <c r="AU54" s="100">
        <v>2434.8004048370935</v>
      </c>
      <c r="AV54" s="100">
        <v>8</v>
      </c>
      <c r="AW54" s="100">
        <v>2678.4</v>
      </c>
      <c r="AX54" s="100">
        <v>8.0348454998035379</v>
      </c>
      <c r="AY54" s="100">
        <v>2690.0662733342247</v>
      </c>
      <c r="AZ54" s="100">
        <v>2.3846377122420175</v>
      </c>
      <c r="BA54" s="100">
        <v>798.37670605862752</v>
      </c>
      <c r="BB54" s="100">
        <v>11.494834775678619</v>
      </c>
      <c r="BC54" s="100">
        <v>3848.4706828972016</v>
      </c>
      <c r="BD54" s="100">
        <v>8.0936495523406684</v>
      </c>
      <c r="BE54" s="100">
        <v>2709.7538701236558</v>
      </c>
      <c r="BF54" s="100">
        <v>8.4242012198400626</v>
      </c>
      <c r="BG54" s="100">
        <v>2820.4225684024532</v>
      </c>
      <c r="BH54" s="100">
        <v>1.8110122125713035</v>
      </c>
      <c r="BI54" s="100">
        <v>606.32688876887244</v>
      </c>
      <c r="BJ54" s="100">
        <v>7.680421437591713</v>
      </c>
      <c r="BK54" s="100">
        <v>2571.4050973057056</v>
      </c>
      <c r="BL54" s="100">
        <v>7.0520812283222121</v>
      </c>
      <c r="BM54" s="100">
        <v>2361.0367952422766</v>
      </c>
      <c r="BN54" s="100">
        <v>4.4125478415175126</v>
      </c>
      <c r="BO54" s="100">
        <v>1477.3210173400632</v>
      </c>
      <c r="BP54" s="100">
        <v>9.2666213418240684</v>
      </c>
      <c r="BQ54" s="100">
        <v>3102.4648252426982</v>
      </c>
      <c r="BR54" s="100">
        <v>6.3195375359190121E-4</v>
      </c>
      <c r="BS54" s="100">
        <v>0.21157811670256854</v>
      </c>
      <c r="BT54" s="100">
        <v>6.626702336277301</v>
      </c>
      <c r="BU54" s="100">
        <v>2218.6199421856404</v>
      </c>
      <c r="BV54" s="100">
        <v>7.4354399284539978</v>
      </c>
      <c r="BW54" s="100">
        <v>2489.3852880463987</v>
      </c>
      <c r="BX54" s="100">
        <v>11</v>
      </c>
      <c r="BY54" s="100">
        <v>3682.8</v>
      </c>
      <c r="BZ54" s="100">
        <v>6</v>
      </c>
      <c r="CA54" s="100">
        <v>2008.8000000000002</v>
      </c>
      <c r="CB54" s="100">
        <v>1.8519437382097577</v>
      </c>
      <c r="CC54" s="100">
        <v>620.03076355262692</v>
      </c>
      <c r="CD54" s="100">
        <v>6.5297930333499648E-4</v>
      </c>
      <c r="CE54" s="100">
        <v>0.21861747075655683</v>
      </c>
      <c r="CF54" s="100">
        <v>8.0002216664638457</v>
      </c>
      <c r="CG54" s="100">
        <v>2678.4742139320956</v>
      </c>
      <c r="CH54" s="100">
        <v>11</v>
      </c>
      <c r="CI54" s="100">
        <v>3682.8</v>
      </c>
      <c r="CJ54" s="100">
        <v>8.2012803815026452</v>
      </c>
      <c r="CK54" s="100">
        <v>2745.7886717270858</v>
      </c>
      <c r="CL54" s="100">
        <v>5.5687632759325352</v>
      </c>
      <c r="CM54" s="100">
        <v>1864.4219447822129</v>
      </c>
      <c r="CN54" s="100">
        <v>7.1030143825670091</v>
      </c>
      <c r="CO54" s="100">
        <v>2378.0892152834349</v>
      </c>
      <c r="CP54" s="100">
        <v>8.0676212740267257</v>
      </c>
      <c r="CQ54" s="100">
        <v>2701.0396025441478</v>
      </c>
      <c r="CR54" s="100">
        <v>2.426284820366003</v>
      </c>
      <c r="CS54" s="100">
        <v>812.32015785853787</v>
      </c>
      <c r="CT54" s="100">
        <v>2.8965294307132154</v>
      </c>
      <c r="CU54" s="100">
        <v>969.75805340278453</v>
      </c>
    </row>
    <row r="55" spans="2:99">
      <c r="C55" s="99" t="s">
        <v>221</v>
      </c>
      <c r="D55" s="100">
        <v>8</v>
      </c>
      <c r="E55" s="100">
        <v>5308.8</v>
      </c>
      <c r="F55" s="100">
        <v>7.1550113481468394</v>
      </c>
      <c r="G55" s="100">
        <v>4748.0655306302424</v>
      </c>
      <c r="H55" s="100">
        <v>6.850095068445655</v>
      </c>
      <c r="I55" s="100">
        <v>4545.723087420537</v>
      </c>
      <c r="J55" s="100">
        <v>6.5038027427106453</v>
      </c>
      <c r="K55" s="100">
        <v>4315.9235000627841</v>
      </c>
      <c r="L55" s="100">
        <v>6.5347732319616485</v>
      </c>
      <c r="M55" s="100">
        <v>4336.4755167297499</v>
      </c>
      <c r="N55" s="100">
        <v>1.7569379736725927</v>
      </c>
      <c r="O55" s="100">
        <v>1165.9040393291325</v>
      </c>
      <c r="P55" s="100">
        <v>6.841206966632349</v>
      </c>
      <c r="Q55" s="100">
        <v>4539.8249430572268</v>
      </c>
      <c r="R55" s="100">
        <v>4.466964825435026</v>
      </c>
      <c r="S55" s="100">
        <v>2964.2778581586836</v>
      </c>
      <c r="T55" s="100">
        <v>7</v>
      </c>
      <c r="U55" s="100">
        <v>4645.2</v>
      </c>
      <c r="V55" s="100">
        <v>9</v>
      </c>
      <c r="W55" s="100">
        <v>5972.4000000000005</v>
      </c>
      <c r="X55" s="100">
        <v>1.7671645432661001</v>
      </c>
      <c r="Y55" s="100">
        <v>1172.6903909113839</v>
      </c>
      <c r="Z55" s="100">
        <v>9</v>
      </c>
      <c r="AA55" s="100">
        <v>5972.4000000000005</v>
      </c>
      <c r="AB55" s="100">
        <v>7.300262328432507</v>
      </c>
      <c r="AC55" s="100">
        <v>4844.4540811478118</v>
      </c>
      <c r="AD55" s="100">
        <v>9.2837316011476076</v>
      </c>
      <c r="AE55" s="100">
        <v>6160.6842905215526</v>
      </c>
      <c r="AF55" s="100">
        <v>4.1993662798310085</v>
      </c>
      <c r="AG55" s="100">
        <v>2786.6994632958572</v>
      </c>
      <c r="AH55" s="100">
        <v>7.808401296900513</v>
      </c>
      <c r="AI55" s="100">
        <v>5181.6551006231803</v>
      </c>
      <c r="AJ55" s="100">
        <v>8.9535556842635202</v>
      </c>
      <c r="AK55" s="100">
        <v>5941.5795520772726</v>
      </c>
      <c r="AL55" s="100">
        <v>6.2682617630487958E-4</v>
      </c>
      <c r="AM55" s="100">
        <v>0.41596185059591811</v>
      </c>
      <c r="AN55" s="100">
        <v>9.8430024116067241</v>
      </c>
      <c r="AO55" s="100">
        <v>6531.8164003422226</v>
      </c>
      <c r="AP55" s="100">
        <v>6</v>
      </c>
      <c r="AQ55" s="100">
        <v>3981.6000000000004</v>
      </c>
      <c r="AR55" s="100">
        <v>6.6930917487580777</v>
      </c>
      <c r="AS55" s="100">
        <v>4441.5356844758608</v>
      </c>
      <c r="AT55" s="100">
        <v>7.9996429071708572</v>
      </c>
      <c r="AU55" s="100">
        <v>5308.5630331985813</v>
      </c>
      <c r="AV55" s="100">
        <v>7.0255394184537048</v>
      </c>
      <c r="AW55" s="100">
        <v>4662.1479580858786</v>
      </c>
      <c r="AX55" s="100">
        <v>7.1978456376603468</v>
      </c>
      <c r="AY55" s="100">
        <v>4776.490365151406</v>
      </c>
      <c r="AZ55" s="100">
        <v>2.1841555351880317</v>
      </c>
      <c r="BA55" s="100">
        <v>1449.405613150778</v>
      </c>
      <c r="BB55" s="100">
        <v>10.494834775678619</v>
      </c>
      <c r="BC55" s="100">
        <v>6964.3723571403316</v>
      </c>
      <c r="BD55" s="100">
        <v>8.9929439470451857</v>
      </c>
      <c r="BE55" s="100">
        <v>5967.7176032591851</v>
      </c>
      <c r="BF55" s="100">
        <v>8.4242012198400626</v>
      </c>
      <c r="BG55" s="100">
        <v>5590.2999294858655</v>
      </c>
      <c r="BH55" s="100">
        <v>1.8110122125713035</v>
      </c>
      <c r="BI55" s="100">
        <v>1201.787704262317</v>
      </c>
      <c r="BJ55" s="100">
        <v>7.5443371500733702</v>
      </c>
      <c r="BK55" s="100">
        <v>5006.4221327886889</v>
      </c>
      <c r="BL55" s="100">
        <v>6.2685166473975222</v>
      </c>
      <c r="BM55" s="100">
        <v>4159.7876472129956</v>
      </c>
      <c r="BN55" s="100">
        <v>4.4125478415175126</v>
      </c>
      <c r="BO55" s="100">
        <v>2928.1667476310213</v>
      </c>
      <c r="BP55" s="100">
        <v>8.4242012198400626</v>
      </c>
      <c r="BQ55" s="100">
        <v>5590.2999294858655</v>
      </c>
      <c r="BR55" s="100">
        <v>7.0233645094765651E-4</v>
      </c>
      <c r="BS55" s="100">
        <v>0.46607046884886488</v>
      </c>
      <c r="BT55" s="100">
        <v>7.2663952927781752</v>
      </c>
      <c r="BU55" s="100">
        <v>4821.979916287597</v>
      </c>
      <c r="BV55" s="100">
        <v>8.4354399284539969</v>
      </c>
      <c r="BW55" s="100">
        <v>5597.7579365220727</v>
      </c>
      <c r="BX55" s="100">
        <v>10</v>
      </c>
      <c r="BY55" s="100">
        <v>6636</v>
      </c>
      <c r="BZ55" s="100">
        <v>6</v>
      </c>
      <c r="CA55" s="100">
        <v>3981.6000000000004</v>
      </c>
      <c r="CB55" s="100">
        <v>1.6204507709335381</v>
      </c>
      <c r="CC55" s="100">
        <v>1075.3311315914959</v>
      </c>
      <c r="CD55" s="100">
        <v>6.5297930333499648E-4</v>
      </c>
      <c r="CE55" s="100">
        <v>0.43331706569310369</v>
      </c>
      <c r="CF55" s="100">
        <v>8.0002216664638457</v>
      </c>
      <c r="CG55" s="100">
        <v>5308.9470978654081</v>
      </c>
      <c r="CH55" s="100">
        <v>11</v>
      </c>
      <c r="CI55" s="100">
        <v>7299.6</v>
      </c>
      <c r="CJ55" s="100">
        <v>7.3811523433523814</v>
      </c>
      <c r="CK55" s="100">
        <v>4898.13269504864</v>
      </c>
      <c r="CL55" s="100">
        <v>5.5687632759325352</v>
      </c>
      <c r="CM55" s="100">
        <v>3695.4313099088304</v>
      </c>
      <c r="CN55" s="100">
        <v>7.8133158208237106</v>
      </c>
      <c r="CO55" s="100">
        <v>5184.9163786986146</v>
      </c>
      <c r="CP55" s="100">
        <v>8.0676212740267257</v>
      </c>
      <c r="CQ55" s="100">
        <v>5353.6734774441356</v>
      </c>
      <c r="CR55" s="100">
        <v>2.1836563383294028</v>
      </c>
      <c r="CS55" s="100">
        <v>1449.0743461153918</v>
      </c>
      <c r="CT55" s="100">
        <v>3.3702692495343145</v>
      </c>
      <c r="CU55" s="100">
        <v>2236.5106739909711</v>
      </c>
    </row>
    <row r="56" spans="2:99">
      <c r="C56" s="99" t="s">
        <v>222</v>
      </c>
      <c r="D56" s="100">
        <v>8.2853404032670621</v>
      </c>
      <c r="E56" s="100">
        <v>8132.890139846947</v>
      </c>
      <c r="F56" s="100">
        <v>0.92368056719375602</v>
      </c>
      <c r="G56" s="100">
        <v>906.68484475739081</v>
      </c>
      <c r="H56" s="100">
        <v>9.7724926432213746</v>
      </c>
      <c r="I56" s="100">
        <v>9592.6787785860997</v>
      </c>
      <c r="J56" s="100">
        <v>8</v>
      </c>
      <c r="K56" s="100">
        <v>7852.7999999999993</v>
      </c>
      <c r="L56" s="100">
        <v>6.4518043812023516</v>
      </c>
      <c r="M56" s="100">
        <v>6333.0911805882279</v>
      </c>
      <c r="N56" s="100">
        <v>5</v>
      </c>
      <c r="O56" s="100">
        <v>4908</v>
      </c>
      <c r="P56" s="100">
        <v>5.1278492064367658</v>
      </c>
      <c r="Q56" s="100">
        <v>5033.4967810383287</v>
      </c>
      <c r="R56" s="100">
        <v>5.1797038611624018</v>
      </c>
      <c r="S56" s="100">
        <v>5084.3973101170131</v>
      </c>
      <c r="T56" s="100">
        <v>4.8433594545934158</v>
      </c>
      <c r="U56" s="100">
        <v>4754.2416406288967</v>
      </c>
      <c r="V56" s="100">
        <v>5.8576755707386328</v>
      </c>
      <c r="W56" s="100">
        <v>5749.8943402370414</v>
      </c>
      <c r="X56" s="100">
        <v>5.9196615556141747</v>
      </c>
      <c r="Y56" s="100">
        <v>5810.7397829908732</v>
      </c>
      <c r="Z56" s="100">
        <v>1.2290829949359201</v>
      </c>
      <c r="AA56" s="100">
        <v>1206.4678678290991</v>
      </c>
      <c r="AB56" s="100">
        <v>6.6829672359374692</v>
      </c>
      <c r="AC56" s="100">
        <v>6560.0006387962194</v>
      </c>
      <c r="AD56" s="100">
        <v>7.2115224574653958</v>
      </c>
      <c r="AE56" s="100">
        <v>7078.8304442480321</v>
      </c>
      <c r="AF56" s="100">
        <v>7.0000000000000018</v>
      </c>
      <c r="AG56" s="100">
        <v>6871.2000000000007</v>
      </c>
      <c r="AH56" s="100">
        <v>3.0778348703184859</v>
      </c>
      <c r="AI56" s="100">
        <v>3021.2027087046254</v>
      </c>
      <c r="AJ56" s="100">
        <v>8.1645186715525639</v>
      </c>
      <c r="AK56" s="100">
        <v>8014.2915279959961</v>
      </c>
      <c r="AL56" s="100">
        <v>8.4071418098564372</v>
      </c>
      <c r="AM56" s="100">
        <v>8252.4504005550789</v>
      </c>
      <c r="AN56" s="100">
        <v>6.9062718148832039</v>
      </c>
      <c r="AO56" s="100">
        <v>6779.1964134893524</v>
      </c>
      <c r="AP56" s="100">
        <v>5.5662489254282521</v>
      </c>
      <c r="AQ56" s="100">
        <v>5463.8299452003721</v>
      </c>
      <c r="AR56" s="100">
        <v>5.9602071827074221</v>
      </c>
      <c r="AS56" s="100">
        <v>5850.5393705456054</v>
      </c>
      <c r="AT56" s="100">
        <v>8.39951977485795</v>
      </c>
      <c r="AU56" s="100">
        <v>8244.9686110005623</v>
      </c>
      <c r="AV56" s="100">
        <v>5.4698261919032003</v>
      </c>
      <c r="AW56" s="100">
        <v>5369.181389972181</v>
      </c>
      <c r="AX56" s="100">
        <v>5.3113912474631411</v>
      </c>
      <c r="AY56" s="100">
        <v>5213.6616485098184</v>
      </c>
      <c r="AZ56" s="100">
        <v>8.48675096849969</v>
      </c>
      <c r="BA56" s="100">
        <v>8330.5947506792945</v>
      </c>
      <c r="BB56" s="100">
        <v>6.6941220091946141</v>
      </c>
      <c r="BC56" s="100">
        <v>6570.9501642254327</v>
      </c>
      <c r="BD56" s="100">
        <v>5.9511491170802078</v>
      </c>
      <c r="BE56" s="100">
        <v>5841.6479733259312</v>
      </c>
      <c r="BF56" s="100">
        <v>8.5073222847143377</v>
      </c>
      <c r="BG56" s="100">
        <v>8350.7875546755931</v>
      </c>
      <c r="BH56" s="100">
        <v>7.6843920267413557</v>
      </c>
      <c r="BI56" s="100">
        <v>7542.9992134493141</v>
      </c>
      <c r="BJ56" s="100">
        <v>0.68006146713150084</v>
      </c>
      <c r="BK56" s="100">
        <v>667.54833613628114</v>
      </c>
      <c r="BL56" s="100">
        <v>9.2972578090942193</v>
      </c>
      <c r="BM56" s="100">
        <v>9126.188265406885</v>
      </c>
      <c r="BN56" s="100">
        <v>4.3808209453474776</v>
      </c>
      <c r="BO56" s="100">
        <v>4300.2138399530832</v>
      </c>
      <c r="BP56" s="100">
        <v>7.639339772887566</v>
      </c>
      <c r="BQ56" s="100">
        <v>7498.7759210664344</v>
      </c>
      <c r="BR56" s="100">
        <v>6.9926002125692426</v>
      </c>
      <c r="BS56" s="100">
        <v>6863.9363686579682</v>
      </c>
      <c r="BT56" s="100">
        <v>8.9375282310253219</v>
      </c>
      <c r="BU56" s="100">
        <v>8773.077711574455</v>
      </c>
      <c r="BV56" s="100">
        <v>0.86994283935482153</v>
      </c>
      <c r="BW56" s="100">
        <v>853.93589111069275</v>
      </c>
      <c r="BX56" s="100">
        <v>10.354518496157603</v>
      </c>
      <c r="BY56" s="100">
        <v>10163.995355828301</v>
      </c>
      <c r="BZ56" s="100">
        <v>4.9990738712658445</v>
      </c>
      <c r="CA56" s="100">
        <v>4907.0909120345523</v>
      </c>
      <c r="CB56" s="100">
        <v>4.4625140957706861</v>
      </c>
      <c r="CC56" s="100">
        <v>4380.4038364085054</v>
      </c>
      <c r="CD56" s="100">
        <v>1.1359052660326088</v>
      </c>
      <c r="CE56" s="100">
        <v>1115.0046091376087</v>
      </c>
      <c r="CF56" s="100">
        <v>8.6999027707880003</v>
      </c>
      <c r="CG56" s="100">
        <v>8539.8245598055</v>
      </c>
      <c r="CH56" s="100">
        <v>2.5487617939752361</v>
      </c>
      <c r="CI56" s="100">
        <v>2501.8645769660916</v>
      </c>
      <c r="CJ56" s="100">
        <v>5.0851349051616541</v>
      </c>
      <c r="CK56" s="100">
        <v>4991.5684229066792</v>
      </c>
      <c r="CL56" s="100">
        <v>4.0741925040488578</v>
      </c>
      <c r="CM56" s="100">
        <v>3999.2273619743582</v>
      </c>
      <c r="CN56" s="100">
        <v>7.9774153043558664</v>
      </c>
      <c r="CO56" s="100">
        <v>7830.6308627557173</v>
      </c>
      <c r="CP56" s="100">
        <v>0.4557576815670456</v>
      </c>
      <c r="CQ56" s="100">
        <v>447.3717402262119</v>
      </c>
      <c r="CR56" s="100">
        <v>4.7659120664674797</v>
      </c>
      <c r="CS56" s="100">
        <v>4678.219284444478</v>
      </c>
      <c r="CT56" s="100">
        <v>5.3480737046123332</v>
      </c>
      <c r="CU56" s="100">
        <v>5249.6691484474659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7.9500126090520435</v>
      </c>
      <c r="G57" s="100">
        <v>11219.057793894244</v>
      </c>
      <c r="H57" s="100">
        <v>6.850095068445655</v>
      </c>
      <c r="I57" s="100">
        <v>9666.8541605905084</v>
      </c>
      <c r="J57" s="100">
        <v>5.7811579935205737</v>
      </c>
      <c r="K57" s="100">
        <v>8158.3701604562339</v>
      </c>
      <c r="L57" s="100">
        <v>6.5347732319616485</v>
      </c>
      <c r="M57" s="100">
        <v>9221.8719849442787</v>
      </c>
      <c r="N57" s="100">
        <v>1.4787162525055109</v>
      </c>
      <c r="O57" s="100">
        <v>2086.7643755357772</v>
      </c>
      <c r="P57" s="100">
        <v>6.841206966632349</v>
      </c>
      <c r="Q57" s="100">
        <v>9654.3112713115715</v>
      </c>
      <c r="R57" s="100">
        <v>3.908594222255648</v>
      </c>
      <c r="S57" s="100">
        <v>5515.8081664471711</v>
      </c>
      <c r="T57" s="100">
        <v>5</v>
      </c>
      <c r="U57" s="100">
        <v>7056</v>
      </c>
      <c r="V57" s="100">
        <v>8</v>
      </c>
      <c r="W57" s="100">
        <v>11289.6</v>
      </c>
      <c r="X57" s="100">
        <v>1.5740417241621878</v>
      </c>
      <c r="Y57" s="100">
        <v>2221.2876811376796</v>
      </c>
      <c r="Z57" s="100">
        <v>9</v>
      </c>
      <c r="AA57" s="100">
        <v>12700.800000000001</v>
      </c>
      <c r="AB57" s="100">
        <v>6.6366021167568254</v>
      </c>
      <c r="AC57" s="100">
        <v>9365.5729071672322</v>
      </c>
      <c r="AD57" s="100">
        <v>8.3728067745717798</v>
      </c>
      <c r="AE57" s="100">
        <v>11815.704920275695</v>
      </c>
      <c r="AF57" s="100">
        <v>3.1495247098732562</v>
      </c>
      <c r="AG57" s="100">
        <v>4444.6092705731389</v>
      </c>
      <c r="AH57" s="100">
        <v>7.808401296900513</v>
      </c>
      <c r="AI57" s="100">
        <v>11019.215910186003</v>
      </c>
      <c r="AJ57" s="100">
        <v>8.9535556842635202</v>
      </c>
      <c r="AK57" s="100">
        <v>12635.257781632679</v>
      </c>
      <c r="AL57" s="100">
        <v>5.0682718048254076E-4</v>
      </c>
      <c r="AM57" s="100">
        <v>0.71523451709696151</v>
      </c>
      <c r="AN57" s="100">
        <v>8.8430024116067241</v>
      </c>
      <c r="AO57" s="100">
        <v>12479.24500325941</v>
      </c>
      <c r="AP57" s="100">
        <v>6</v>
      </c>
      <c r="AQ57" s="100">
        <v>8467.2000000000007</v>
      </c>
      <c r="AR57" s="100">
        <v>6.6930917487580777</v>
      </c>
      <c r="AS57" s="100">
        <v>9445.291075847399</v>
      </c>
      <c r="AT57" s="100">
        <v>7.2724026428825974</v>
      </c>
      <c r="AU57" s="100">
        <v>10262.814609635921</v>
      </c>
      <c r="AV57" s="100">
        <v>6</v>
      </c>
      <c r="AW57" s="100">
        <v>8467.2000000000007</v>
      </c>
      <c r="AX57" s="100">
        <v>6.5842811899360747</v>
      </c>
      <c r="AY57" s="100">
        <v>9291.7376152377892</v>
      </c>
      <c r="AZ57" s="100">
        <v>1.9737103712091471</v>
      </c>
      <c r="BA57" s="100">
        <v>2785.3000758503485</v>
      </c>
      <c r="BB57" s="100">
        <v>9.4948347756786191</v>
      </c>
      <c r="BC57" s="100">
        <v>13399.110835437668</v>
      </c>
      <c r="BD57" s="100">
        <v>7.1943551576361493</v>
      </c>
      <c r="BE57" s="100">
        <v>10152.673998456134</v>
      </c>
      <c r="BF57" s="100">
        <v>7.581781097856056</v>
      </c>
      <c r="BG57" s="100">
        <v>10699.409485294467</v>
      </c>
      <c r="BH57" s="100">
        <v>1.7923709110215558</v>
      </c>
      <c r="BI57" s="100">
        <v>2529.3938296336196</v>
      </c>
      <c r="BJ57" s="100">
        <v>7.5443371500733702</v>
      </c>
      <c r="BK57" s="100">
        <v>10646.568586183541</v>
      </c>
      <c r="BL57" s="100">
        <v>6.2685166473975222</v>
      </c>
      <c r="BM57" s="100">
        <v>8846.1306928073845</v>
      </c>
      <c r="BN57" s="100">
        <v>4.4125478415175126</v>
      </c>
      <c r="BO57" s="100">
        <v>6226.9875139495143</v>
      </c>
      <c r="BP57" s="100">
        <v>9.2666213418240684</v>
      </c>
      <c r="BQ57" s="100">
        <v>13077.056037582126</v>
      </c>
      <c r="BR57" s="100">
        <v>6.3195375359190121E-4</v>
      </c>
      <c r="BS57" s="100">
        <v>0.89181313706889098</v>
      </c>
      <c r="BT57" s="100">
        <v>5.9870093797764268</v>
      </c>
      <c r="BU57" s="100">
        <v>8448.8676367404933</v>
      </c>
      <c r="BV57" s="100">
        <v>7.4354399284539978</v>
      </c>
      <c r="BW57" s="100">
        <v>10492.892827034282</v>
      </c>
      <c r="BX57" s="100">
        <v>10</v>
      </c>
      <c r="BY57" s="100">
        <v>14112</v>
      </c>
      <c r="BZ57" s="100">
        <v>7</v>
      </c>
      <c r="CA57" s="100">
        <v>9878.4</v>
      </c>
      <c r="CB57" s="100">
        <v>1.6204507709335381</v>
      </c>
      <c r="CC57" s="100">
        <v>2286.7801279414089</v>
      </c>
      <c r="CD57" s="100">
        <v>5.9361754848636045E-4</v>
      </c>
      <c r="CE57" s="100">
        <v>0.83771308442395187</v>
      </c>
      <c r="CF57" s="100">
        <v>7.0002216664638457</v>
      </c>
      <c r="CG57" s="100">
        <v>9878.7128157137795</v>
      </c>
      <c r="CH57" s="100">
        <v>9</v>
      </c>
      <c r="CI57" s="100">
        <v>12700.800000000001</v>
      </c>
      <c r="CJ57" s="100">
        <v>6.5610243052021167</v>
      </c>
      <c r="CK57" s="100">
        <v>9258.9174995012272</v>
      </c>
      <c r="CL57" s="100">
        <v>5.5687632759325352</v>
      </c>
      <c r="CM57" s="100">
        <v>7858.6387349959941</v>
      </c>
      <c r="CN57" s="100">
        <v>7.1030143825670091</v>
      </c>
      <c r="CO57" s="100">
        <v>10023.773896678564</v>
      </c>
      <c r="CP57" s="100">
        <v>7.2608591466240533</v>
      </c>
      <c r="CQ57" s="100">
        <v>10246.524427715864</v>
      </c>
      <c r="CR57" s="100">
        <v>2.1836563383294028</v>
      </c>
      <c r="CS57" s="100">
        <v>3081.5758246504533</v>
      </c>
      <c r="CT57" s="100">
        <v>3.3702692495343145</v>
      </c>
      <c r="CU57" s="100">
        <v>4756.1239649428244</v>
      </c>
    </row>
    <row r="58" spans="2:99">
      <c r="C58" s="99" t="s">
        <v>224</v>
      </c>
      <c r="D58" s="100">
        <v>8.002232388311441</v>
      </c>
      <c r="E58" s="100">
        <v>9420.227967520228</v>
      </c>
      <c r="F58" s="100">
        <v>3.7943127276292472</v>
      </c>
      <c r="G58" s="100">
        <v>4466.6649429651497</v>
      </c>
      <c r="H58" s="100">
        <v>10.839540042051945</v>
      </c>
      <c r="I58" s="100">
        <v>12760.306537503551</v>
      </c>
      <c r="J58" s="100">
        <v>0.6529418837702291</v>
      </c>
      <c r="K58" s="100">
        <v>768.64318557431375</v>
      </c>
      <c r="L58" s="100">
        <v>8.537966706671968</v>
      </c>
      <c r="M58" s="100">
        <v>10050.894407094242</v>
      </c>
      <c r="N58" s="100">
        <v>6</v>
      </c>
      <c r="O58" s="100">
        <v>7063.2000000000007</v>
      </c>
      <c r="P58" s="100">
        <v>5.8011736462800449</v>
      </c>
      <c r="Q58" s="100">
        <v>6829.1416164008688</v>
      </c>
      <c r="R58" s="100">
        <v>3.6086088953301707</v>
      </c>
      <c r="S58" s="100">
        <v>4248.0543915826775</v>
      </c>
      <c r="T58" s="100">
        <v>6</v>
      </c>
      <c r="U58" s="100">
        <v>7063.2000000000007</v>
      </c>
      <c r="V58" s="100">
        <v>6.9580542559076539</v>
      </c>
      <c r="W58" s="100">
        <v>8191.0214700544902</v>
      </c>
      <c r="X58" s="100">
        <v>9</v>
      </c>
      <c r="Y58" s="100">
        <v>10594.800000000001</v>
      </c>
      <c r="Z58" s="100">
        <v>6.8352299350298331</v>
      </c>
      <c r="AA58" s="100">
        <v>8046.4326795171201</v>
      </c>
      <c r="AB58" s="100">
        <v>7.2333268858424562</v>
      </c>
      <c r="AC58" s="100">
        <v>8515.0724100137395</v>
      </c>
      <c r="AD58" s="100">
        <v>6.8591663241624046</v>
      </c>
      <c r="AE58" s="100">
        <v>8074.6105968039828</v>
      </c>
      <c r="AF58" s="100">
        <v>5.2989086451378817</v>
      </c>
      <c r="AG58" s="100">
        <v>6237.8752570563147</v>
      </c>
      <c r="AH58" s="100">
        <v>7</v>
      </c>
      <c r="AI58" s="100">
        <v>8240.4</v>
      </c>
      <c r="AJ58" s="100">
        <v>4.0571648116882182</v>
      </c>
      <c r="AK58" s="100">
        <v>4776.0944163193708</v>
      </c>
      <c r="AL58" s="100">
        <v>3.5933337609345646</v>
      </c>
      <c r="AM58" s="100">
        <v>4230.0725033721692</v>
      </c>
      <c r="AN58" s="100">
        <v>9</v>
      </c>
      <c r="AO58" s="100">
        <v>10594.800000000001</v>
      </c>
      <c r="AP58" s="100">
        <v>4.8785933570266815</v>
      </c>
      <c r="AQ58" s="100">
        <v>5743.0800998918094</v>
      </c>
      <c r="AR58" s="100">
        <v>5.1891019540949035</v>
      </c>
      <c r="AS58" s="100">
        <v>6108.6108203605208</v>
      </c>
      <c r="AT58" s="100">
        <v>9</v>
      </c>
      <c r="AU58" s="100">
        <v>10594.800000000001</v>
      </c>
      <c r="AV58" s="100">
        <v>6</v>
      </c>
      <c r="AW58" s="100">
        <v>7063.2000000000007</v>
      </c>
      <c r="AX58" s="100">
        <v>3.5674274108507436</v>
      </c>
      <c r="AY58" s="100">
        <v>4199.5755480534954</v>
      </c>
      <c r="AZ58" s="100">
        <v>11.368897041314787</v>
      </c>
      <c r="BA58" s="100">
        <v>13383.465597035767</v>
      </c>
      <c r="BB58" s="100">
        <v>8.3897119691323709</v>
      </c>
      <c r="BC58" s="100">
        <v>9876.3689300626284</v>
      </c>
      <c r="BD58" s="100">
        <v>7.6752768269319951</v>
      </c>
      <c r="BE58" s="100">
        <v>9035.3358806643446</v>
      </c>
      <c r="BF58" s="100">
        <v>3.0661831696690127</v>
      </c>
      <c r="BG58" s="100">
        <v>3609.5108273343617</v>
      </c>
      <c r="BH58" s="100">
        <v>9.8143923591842164</v>
      </c>
      <c r="BI58" s="100">
        <v>11553.502685231661</v>
      </c>
      <c r="BJ58" s="100">
        <v>5.5927306823896936</v>
      </c>
      <c r="BK58" s="100">
        <v>6583.7625593091479</v>
      </c>
      <c r="BL58" s="100">
        <v>4.9346377282557139</v>
      </c>
      <c r="BM58" s="100">
        <v>5809.0555337026262</v>
      </c>
      <c r="BN58" s="100">
        <v>8.4389896115093233E-2</v>
      </c>
      <c r="BO58" s="100">
        <v>99.343785706687754</v>
      </c>
      <c r="BP58" s="100">
        <v>8.4833432647686084</v>
      </c>
      <c r="BQ58" s="100">
        <v>9986.5916912856064</v>
      </c>
      <c r="BR58" s="100">
        <v>8.794581889030928</v>
      </c>
      <c r="BS58" s="100">
        <v>10352.981799767209</v>
      </c>
      <c r="BT58" s="100">
        <v>11</v>
      </c>
      <c r="BU58" s="100">
        <v>12949.2</v>
      </c>
      <c r="BV58" s="100">
        <v>5.8483670945122466</v>
      </c>
      <c r="BW58" s="100">
        <v>6884.6977436598172</v>
      </c>
      <c r="BX58" s="100">
        <v>9.1243962639491585</v>
      </c>
      <c r="BY58" s="100">
        <v>10741.239281920949</v>
      </c>
      <c r="BZ58" s="100">
        <v>2.3249805590794383</v>
      </c>
      <c r="CA58" s="100">
        <v>2736.967114148315</v>
      </c>
      <c r="CB58" s="100">
        <v>5.0741777559567645</v>
      </c>
      <c r="CC58" s="100">
        <v>5973.3220543123034</v>
      </c>
      <c r="CD58" s="100">
        <v>3.4810244692108379</v>
      </c>
      <c r="CE58" s="100">
        <v>4097.8620051549988</v>
      </c>
      <c r="CF58" s="100">
        <v>7.6866328757260964</v>
      </c>
      <c r="CG58" s="100">
        <v>9048.7042213047607</v>
      </c>
      <c r="CH58" s="100">
        <v>10</v>
      </c>
      <c r="CI58" s="100">
        <v>11772</v>
      </c>
      <c r="CJ58" s="100">
        <v>8</v>
      </c>
      <c r="CK58" s="100">
        <v>9417.6</v>
      </c>
      <c r="CL58" s="100">
        <v>3.1188150361435745</v>
      </c>
      <c r="CM58" s="100">
        <v>3671.469060548216</v>
      </c>
      <c r="CN58" s="100">
        <v>9.8607510501625999</v>
      </c>
      <c r="CO58" s="100">
        <v>11608.076136251413</v>
      </c>
      <c r="CP58" s="100">
        <v>4.0387868656656467</v>
      </c>
      <c r="CQ58" s="100">
        <v>4754.4598982615998</v>
      </c>
      <c r="CR58" s="100">
        <v>8.9094644554439633</v>
      </c>
      <c r="CS58" s="100">
        <v>10488.221556948634</v>
      </c>
      <c r="CT58" s="100">
        <v>3.0790660735193685</v>
      </c>
      <c r="CU58" s="100">
        <v>3624.6765817470005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7.9500126090520435</v>
      </c>
      <c r="G59" s="100">
        <v>2413.6238281082001</v>
      </c>
      <c r="H59" s="100">
        <v>7.611216742717394</v>
      </c>
      <c r="I59" s="100">
        <v>2310.7654030890008</v>
      </c>
      <c r="J59" s="100">
        <v>7.2264474919007169</v>
      </c>
      <c r="K59" s="100">
        <v>2193.9494585410575</v>
      </c>
      <c r="L59" s="100">
        <v>7.351619885956854</v>
      </c>
      <c r="M59" s="100">
        <v>2231.9517973765005</v>
      </c>
      <c r="N59" s="100">
        <v>1.7569379736725927</v>
      </c>
      <c r="O59" s="100">
        <v>533.40636880699913</v>
      </c>
      <c r="P59" s="100">
        <v>7.9814081277377404</v>
      </c>
      <c r="Q59" s="100">
        <v>2423.1555075811775</v>
      </c>
      <c r="R59" s="100">
        <v>5.0253354286144045</v>
      </c>
      <c r="S59" s="100">
        <v>1525.6918361273331</v>
      </c>
      <c r="T59" s="100">
        <v>7</v>
      </c>
      <c r="U59" s="100">
        <v>2125.1999999999998</v>
      </c>
      <c r="V59" s="100">
        <v>9</v>
      </c>
      <c r="W59" s="100">
        <v>2732.3999999999996</v>
      </c>
      <c r="X59" s="100">
        <v>1.7489352490690975</v>
      </c>
      <c r="Y59" s="100">
        <v>530.97674161737791</v>
      </c>
      <c r="Z59" s="100">
        <v>10</v>
      </c>
      <c r="AA59" s="100">
        <v>3035.9999999999995</v>
      </c>
      <c r="AB59" s="100">
        <v>6.6366021167568254</v>
      </c>
      <c r="AC59" s="100">
        <v>2014.8724026473719</v>
      </c>
      <c r="AD59" s="100">
        <v>10.229553094801302</v>
      </c>
      <c r="AE59" s="100">
        <v>3105.6923195816748</v>
      </c>
      <c r="AF59" s="100">
        <v>4.1993662798310085</v>
      </c>
      <c r="AG59" s="100">
        <v>1274.927602556694</v>
      </c>
      <c r="AH59" s="100">
        <v>7.808401296900513</v>
      </c>
      <c r="AI59" s="100">
        <v>2370.6306337389956</v>
      </c>
      <c r="AJ59" s="100">
        <v>8.9535556842635202</v>
      </c>
      <c r="AK59" s="100">
        <v>2718.2995057424046</v>
      </c>
      <c r="AL59" s="100">
        <v>5.6980792252628635E-4</v>
      </c>
      <c r="AM59" s="100">
        <v>0.17299368527898051</v>
      </c>
      <c r="AN59" s="100">
        <v>10.843002411606724</v>
      </c>
      <c r="AO59" s="100">
        <v>3291.9355321638009</v>
      </c>
      <c r="AP59" s="100">
        <v>6</v>
      </c>
      <c r="AQ59" s="100">
        <v>1821.6</v>
      </c>
      <c r="AR59" s="100">
        <v>7.6492477128663738</v>
      </c>
      <c r="AS59" s="100">
        <v>2322.3116056262306</v>
      </c>
      <c r="AT59" s="100">
        <v>7.2724026428825974</v>
      </c>
      <c r="AU59" s="100">
        <v>2207.9014423791564</v>
      </c>
      <c r="AV59" s="100">
        <v>7</v>
      </c>
      <c r="AW59" s="100">
        <v>2125.1999999999998</v>
      </c>
      <c r="AX59" s="100">
        <v>8.0348454998035379</v>
      </c>
      <c r="AY59" s="100">
        <v>2439.3790937403537</v>
      </c>
      <c r="AZ59" s="100">
        <v>2.394600699166916</v>
      </c>
      <c r="BA59" s="100">
        <v>727.0007722670756</v>
      </c>
      <c r="BB59" s="100">
        <v>9.4948347756786191</v>
      </c>
      <c r="BC59" s="100">
        <v>2882.6318378960286</v>
      </c>
      <c r="BD59" s="100">
        <v>8.0936495523406684</v>
      </c>
      <c r="BE59" s="100">
        <v>2457.2320040906266</v>
      </c>
      <c r="BF59" s="100">
        <v>7.581781097856056</v>
      </c>
      <c r="BG59" s="100">
        <v>2301.8287413090984</v>
      </c>
      <c r="BH59" s="100">
        <v>1.8016915617964293</v>
      </c>
      <c r="BI59" s="100">
        <v>546.99355816139587</v>
      </c>
      <c r="BJ59" s="100">
        <v>8.5443371500733711</v>
      </c>
      <c r="BK59" s="100">
        <v>2594.0607587622753</v>
      </c>
      <c r="BL59" s="100">
        <v>7.8356458092469028</v>
      </c>
      <c r="BM59" s="100">
        <v>2378.9020676873592</v>
      </c>
      <c r="BN59" s="100">
        <v>4.4125478415175126</v>
      </c>
      <c r="BO59" s="100">
        <v>1339.6495246847167</v>
      </c>
      <c r="BP59" s="100">
        <v>10.951461585792082</v>
      </c>
      <c r="BQ59" s="100">
        <v>3324.8637374464756</v>
      </c>
      <c r="BR59" s="100">
        <v>7.008459283377596E-4</v>
      </c>
      <c r="BS59" s="100">
        <v>0.21277682384334379</v>
      </c>
      <c r="BT59" s="100">
        <v>7.2663952927781752</v>
      </c>
      <c r="BU59" s="100">
        <v>2206.0776108874538</v>
      </c>
      <c r="BV59" s="100">
        <v>8.4354399284539969</v>
      </c>
      <c r="BW59" s="100">
        <v>2560.9995622786332</v>
      </c>
      <c r="BX59" s="100">
        <v>10</v>
      </c>
      <c r="BY59" s="100">
        <v>3035.9999999999995</v>
      </c>
      <c r="BZ59" s="100">
        <v>7</v>
      </c>
      <c r="CA59" s="100">
        <v>2125.1999999999998</v>
      </c>
      <c r="CB59" s="100">
        <v>1.8519437382097577</v>
      </c>
      <c r="CC59" s="100">
        <v>562.25011892048235</v>
      </c>
      <c r="CD59" s="100">
        <v>7.1234105818363252E-4</v>
      </c>
      <c r="CE59" s="100">
        <v>0.21626674526455081</v>
      </c>
      <c r="CF59" s="100">
        <v>8.0002216664638457</v>
      </c>
      <c r="CG59" s="100">
        <v>2428.8672979384232</v>
      </c>
      <c r="CH59" s="100">
        <v>10</v>
      </c>
      <c r="CI59" s="100">
        <v>3035.9999999999995</v>
      </c>
      <c r="CJ59" s="100">
        <v>7.3811523433523814</v>
      </c>
      <c r="CK59" s="100">
        <v>2240.9178514417827</v>
      </c>
      <c r="CL59" s="100">
        <v>6.3643008867800406</v>
      </c>
      <c r="CM59" s="100">
        <v>1932.2017492264201</v>
      </c>
      <c r="CN59" s="100">
        <v>8.523617259080412</v>
      </c>
      <c r="CO59" s="100">
        <v>2587.7701998568127</v>
      </c>
      <c r="CP59" s="100">
        <v>8.8743834014293999</v>
      </c>
      <c r="CQ59" s="100">
        <v>2694.2628006739656</v>
      </c>
      <c r="CR59" s="100">
        <v>2.426284820366003</v>
      </c>
      <c r="CS59" s="100">
        <v>736.62007146311839</v>
      </c>
      <c r="CT59" s="100">
        <v>3.3702692495343145</v>
      </c>
      <c r="CU59" s="100">
        <v>1023.2137441586177</v>
      </c>
    </row>
    <row r="60" spans="2:99">
      <c r="C60" s="99" t="s">
        <v>226</v>
      </c>
      <c r="D60" s="100">
        <v>8</v>
      </c>
      <c r="E60" s="100">
        <v>5212.8</v>
      </c>
      <c r="F60" s="100">
        <v>7.9500126090520435</v>
      </c>
      <c r="G60" s="100">
        <v>5180.2282160583118</v>
      </c>
      <c r="H60" s="100">
        <v>6.850095068445655</v>
      </c>
      <c r="I60" s="100">
        <v>4463.5219465991886</v>
      </c>
      <c r="J60" s="100">
        <v>6.5038027427106453</v>
      </c>
      <c r="K60" s="100">
        <v>4237.8778671502569</v>
      </c>
      <c r="L60" s="100">
        <v>7.351619885956854</v>
      </c>
      <c r="M60" s="100">
        <v>4790.3155176894861</v>
      </c>
      <c r="N60" s="100">
        <v>1.4793275414114739</v>
      </c>
      <c r="O60" s="100">
        <v>963.92982598371646</v>
      </c>
      <c r="P60" s="100">
        <v>6.841206966632349</v>
      </c>
      <c r="Q60" s="100">
        <v>4457.730459457639</v>
      </c>
      <c r="R60" s="100">
        <v>4.466964825435026</v>
      </c>
      <c r="S60" s="100">
        <v>2910.6742802534632</v>
      </c>
      <c r="T60" s="100">
        <v>6</v>
      </c>
      <c r="U60" s="100">
        <v>3909.6000000000004</v>
      </c>
      <c r="V60" s="100">
        <v>9</v>
      </c>
      <c r="W60" s="100">
        <v>5864.4000000000005</v>
      </c>
      <c r="X60" s="100">
        <v>1.7671645432661001</v>
      </c>
      <c r="Y60" s="100">
        <v>1151.484416392191</v>
      </c>
      <c r="Z60" s="100">
        <v>10</v>
      </c>
      <c r="AA60" s="100">
        <v>6516</v>
      </c>
      <c r="AB60" s="100">
        <v>6.6366021167568254</v>
      </c>
      <c r="AC60" s="100">
        <v>4324.4099392787475</v>
      </c>
      <c r="AD60" s="100">
        <v>10.194656427723434</v>
      </c>
      <c r="AE60" s="100">
        <v>6642.8381283045892</v>
      </c>
      <c r="AF60" s="100">
        <v>3.6744454948521326</v>
      </c>
      <c r="AG60" s="100">
        <v>2394.2686844456498</v>
      </c>
      <c r="AH60" s="100">
        <v>7.808401296900513</v>
      </c>
      <c r="AI60" s="100">
        <v>5087.9542850603748</v>
      </c>
      <c r="AJ60" s="100">
        <v>8.9535556842635202</v>
      </c>
      <c r="AK60" s="100">
        <v>5834.1368838661101</v>
      </c>
      <c r="AL60" s="100">
        <v>6.2682617630487958E-4</v>
      </c>
      <c r="AM60" s="100">
        <v>0.40843993648025956</v>
      </c>
      <c r="AN60" s="100">
        <v>10.843002411606724</v>
      </c>
      <c r="AO60" s="100">
        <v>7065.3003714029419</v>
      </c>
      <c r="AP60" s="100">
        <v>7</v>
      </c>
      <c r="AQ60" s="100">
        <v>4561.2</v>
      </c>
      <c r="AR60" s="100">
        <v>6.6930917487580777</v>
      </c>
      <c r="AS60" s="100">
        <v>4361.2185834907632</v>
      </c>
      <c r="AT60" s="100">
        <v>7.9996429071708572</v>
      </c>
      <c r="AU60" s="100">
        <v>5212.5673183125309</v>
      </c>
      <c r="AV60" s="100">
        <v>7</v>
      </c>
      <c r="AW60" s="100">
        <v>4561.2</v>
      </c>
      <c r="AX60" s="100">
        <v>7.3095633448698063</v>
      </c>
      <c r="AY60" s="100">
        <v>4762.9114755171659</v>
      </c>
      <c r="AZ60" s="100">
        <v>2.1741925482631332</v>
      </c>
      <c r="BA60" s="100">
        <v>1416.7038644482577</v>
      </c>
      <c r="BB60" s="100">
        <v>10.618543469598274</v>
      </c>
      <c r="BC60" s="100">
        <v>6919.0429247902357</v>
      </c>
      <c r="BD60" s="100">
        <v>8.0936495523406684</v>
      </c>
      <c r="BE60" s="100">
        <v>5273.82204830518</v>
      </c>
      <c r="BF60" s="100">
        <v>9.2666213418240684</v>
      </c>
      <c r="BG60" s="100">
        <v>6038.1304663325627</v>
      </c>
      <c r="BH60" s="100">
        <v>2.0029151409710186</v>
      </c>
      <c r="BI60" s="100">
        <v>1305.0995058567157</v>
      </c>
      <c r="BJ60" s="100">
        <v>8.680421437591713</v>
      </c>
      <c r="BK60" s="100">
        <v>5656.1626087347604</v>
      </c>
      <c r="BL60" s="100">
        <v>7.0520812283222121</v>
      </c>
      <c r="BM60" s="100">
        <v>4595.1361283747538</v>
      </c>
      <c r="BN60" s="100">
        <v>4.4125478415175126</v>
      </c>
      <c r="BO60" s="100">
        <v>2875.2161735328114</v>
      </c>
      <c r="BP60" s="100">
        <v>9.2666213418240684</v>
      </c>
      <c r="BQ60" s="100">
        <v>6038.1304663325627</v>
      </c>
      <c r="BR60" s="100">
        <v>7.008459283377596E-4</v>
      </c>
      <c r="BS60" s="100">
        <v>0.45667120690488416</v>
      </c>
      <c r="BT60" s="100">
        <v>7.2683853054729184</v>
      </c>
      <c r="BU60" s="100">
        <v>4736.0798650461538</v>
      </c>
      <c r="BV60" s="100">
        <v>7.4354399284539978</v>
      </c>
      <c r="BW60" s="100">
        <v>4844.9326573806247</v>
      </c>
      <c r="BX60" s="100">
        <v>10</v>
      </c>
      <c r="BY60" s="100">
        <v>6516</v>
      </c>
      <c r="BZ60" s="100">
        <v>7</v>
      </c>
      <c r="CA60" s="100">
        <v>4561.2</v>
      </c>
      <c r="CB60" s="100">
        <v>1.8519437382097577</v>
      </c>
      <c r="CC60" s="100">
        <v>1206.7265398174782</v>
      </c>
      <c r="CD60" s="100">
        <v>7.1234105818363252E-4</v>
      </c>
      <c r="CE60" s="100">
        <v>0.46416143351245498</v>
      </c>
      <c r="CF60" s="100">
        <v>8.0002216664638457</v>
      </c>
      <c r="CG60" s="100">
        <v>5212.9444378678418</v>
      </c>
      <c r="CH60" s="100">
        <v>12</v>
      </c>
      <c r="CI60" s="100">
        <v>7819.2000000000007</v>
      </c>
      <c r="CJ60" s="100">
        <v>7.3811523433523814</v>
      </c>
      <c r="CK60" s="100">
        <v>4809.5588669284116</v>
      </c>
      <c r="CL60" s="100">
        <v>4.7732256650850307</v>
      </c>
      <c r="CM60" s="100">
        <v>3110.2338433694063</v>
      </c>
      <c r="CN60" s="100">
        <v>7.8133158208237106</v>
      </c>
      <c r="CO60" s="100">
        <v>5091.1565888487303</v>
      </c>
      <c r="CP60" s="100">
        <v>7.2608591466240533</v>
      </c>
      <c r="CQ60" s="100">
        <v>4731.1758199402329</v>
      </c>
      <c r="CR60" s="100">
        <v>2.426284820366003</v>
      </c>
      <c r="CS60" s="100">
        <v>1580.9671889504875</v>
      </c>
      <c r="CT60" s="100">
        <v>3.3702692495343145</v>
      </c>
      <c r="CU60" s="100">
        <v>2196.0674429965593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6.3600100872416343</v>
      </c>
      <c r="G61" s="100">
        <v>6052.1855990191389</v>
      </c>
      <c r="H61" s="100">
        <v>6.0889733941739159</v>
      </c>
      <c r="I61" s="100">
        <v>5794.2670818958977</v>
      </c>
      <c r="J61" s="100">
        <v>6.5038027427106453</v>
      </c>
      <c r="K61" s="100">
        <v>6189.0186899634491</v>
      </c>
      <c r="L61" s="100">
        <v>7.351619885956854</v>
      </c>
      <c r="M61" s="100">
        <v>6995.8014834765418</v>
      </c>
      <c r="N61" s="100">
        <v>1.7569379736725927</v>
      </c>
      <c r="O61" s="100">
        <v>1671.902175746839</v>
      </c>
      <c r="P61" s="100">
        <v>6.841206966632349</v>
      </c>
      <c r="Q61" s="100">
        <v>6510.0925494473422</v>
      </c>
      <c r="R61" s="100">
        <v>4.466964825435026</v>
      </c>
      <c r="S61" s="100">
        <v>4250.7637278839702</v>
      </c>
      <c r="T61" s="100">
        <v>7</v>
      </c>
      <c r="U61" s="100">
        <v>6661.1999999999989</v>
      </c>
      <c r="V61" s="100">
        <v>8</v>
      </c>
      <c r="W61" s="100">
        <v>7612.7999999999993</v>
      </c>
      <c r="X61" s="100">
        <v>1.7489352490690975</v>
      </c>
      <c r="Y61" s="100">
        <v>1664.2867830141529</v>
      </c>
      <c r="Z61" s="100">
        <v>9</v>
      </c>
      <c r="AA61" s="100">
        <v>8564.4</v>
      </c>
      <c r="AB61" s="100">
        <v>6.6366021167568254</v>
      </c>
      <c r="AC61" s="100">
        <v>6315.3905743057949</v>
      </c>
      <c r="AD61" s="100">
        <v>9.3186282682254742</v>
      </c>
      <c r="AE61" s="100">
        <v>8867.6066600433605</v>
      </c>
      <c r="AF61" s="100">
        <v>3.6744454948521326</v>
      </c>
      <c r="AG61" s="100">
        <v>3496.6023329012892</v>
      </c>
      <c r="AH61" s="100">
        <v>7.808401296900513</v>
      </c>
      <c r="AI61" s="100">
        <v>7430.4746741305271</v>
      </c>
      <c r="AJ61" s="100">
        <v>8.9535556842635202</v>
      </c>
      <c r="AK61" s="100">
        <v>8520.2035891451651</v>
      </c>
      <c r="AL61" s="100">
        <v>5.6980792252628635E-4</v>
      </c>
      <c r="AM61" s="100">
        <v>0.54222921907601407</v>
      </c>
      <c r="AN61" s="100">
        <v>9.8430024116067241</v>
      </c>
      <c r="AO61" s="100">
        <v>9366.601094884958</v>
      </c>
      <c r="AP61" s="100">
        <v>6</v>
      </c>
      <c r="AQ61" s="100">
        <v>5709.5999999999995</v>
      </c>
      <c r="AR61" s="100">
        <v>7.6492477128663738</v>
      </c>
      <c r="AS61" s="100">
        <v>7279.0241235636404</v>
      </c>
      <c r="AT61" s="100">
        <v>7.2724026428825974</v>
      </c>
      <c r="AU61" s="100">
        <v>6920.4183549670788</v>
      </c>
      <c r="AV61" s="100">
        <v>6</v>
      </c>
      <c r="AW61" s="100">
        <v>5709.5999999999995</v>
      </c>
      <c r="AX61" s="100">
        <v>6.5842811899360747</v>
      </c>
      <c r="AY61" s="100">
        <v>6265.6019803431682</v>
      </c>
      <c r="AZ61" s="100">
        <v>2.1841555351880317</v>
      </c>
      <c r="BA61" s="100">
        <v>2078.4424072849306</v>
      </c>
      <c r="BB61" s="100">
        <v>11.618543469598274</v>
      </c>
      <c r="BC61" s="100">
        <v>11056.205965669717</v>
      </c>
      <c r="BD61" s="100">
        <v>7.1943551576361493</v>
      </c>
      <c r="BE61" s="100">
        <v>6846.1483680065594</v>
      </c>
      <c r="BF61" s="100">
        <v>7.581781097856056</v>
      </c>
      <c r="BG61" s="100">
        <v>7214.8228927198224</v>
      </c>
      <c r="BH61" s="100">
        <v>1.8110122125713035</v>
      </c>
      <c r="BI61" s="100">
        <v>1723.3592214828523</v>
      </c>
      <c r="BJ61" s="100">
        <v>8.680421437591713</v>
      </c>
      <c r="BK61" s="100">
        <v>8260.2890400122742</v>
      </c>
      <c r="BL61" s="100">
        <v>6.2685166473975222</v>
      </c>
      <c r="BM61" s="100">
        <v>5965.1204416634819</v>
      </c>
      <c r="BN61" s="100">
        <v>4.4125478415175126</v>
      </c>
      <c r="BO61" s="100">
        <v>4198.980525988065</v>
      </c>
      <c r="BP61" s="100">
        <v>8.4242012198400626</v>
      </c>
      <c r="BQ61" s="100">
        <v>8016.4698807998029</v>
      </c>
      <c r="BR61" s="100">
        <v>6.3195375359190121E-4</v>
      </c>
      <c r="BS61" s="100">
        <v>0.6013671919180531</v>
      </c>
      <c r="BT61" s="100">
        <v>7.2644052800834311</v>
      </c>
      <c r="BU61" s="100">
        <v>6912.8080645273922</v>
      </c>
      <c r="BV61" s="100">
        <v>7.4354399284539978</v>
      </c>
      <c r="BW61" s="100">
        <v>7075.564635916824</v>
      </c>
      <c r="BX61" s="100">
        <v>10</v>
      </c>
      <c r="BY61" s="100">
        <v>9516</v>
      </c>
      <c r="BZ61" s="100">
        <v>6</v>
      </c>
      <c r="CA61" s="100">
        <v>5709.5999999999995</v>
      </c>
      <c r="CB61" s="100">
        <v>1.6204507709335381</v>
      </c>
      <c r="CC61" s="100">
        <v>1542.0209536203547</v>
      </c>
      <c r="CD61" s="100">
        <v>7.1234105818363252E-4</v>
      </c>
      <c r="CE61" s="100">
        <v>0.67786375096754459</v>
      </c>
      <c r="CF61" s="100">
        <v>9.0002216664638457</v>
      </c>
      <c r="CG61" s="100">
        <v>8564.6109378069941</v>
      </c>
      <c r="CH61" s="100">
        <v>10</v>
      </c>
      <c r="CI61" s="100">
        <v>9516</v>
      </c>
      <c r="CJ61" s="100">
        <v>7.3811523433523814</v>
      </c>
      <c r="CK61" s="100">
        <v>7023.904569934125</v>
      </c>
      <c r="CL61" s="100">
        <v>4.7732256650850307</v>
      </c>
      <c r="CM61" s="100">
        <v>4542.2015428949144</v>
      </c>
      <c r="CN61" s="100">
        <v>7.1030143825670091</v>
      </c>
      <c r="CO61" s="100">
        <v>6759.2284864507656</v>
      </c>
      <c r="CP61" s="100">
        <v>7.2608591466240533</v>
      </c>
      <c r="CQ61" s="100">
        <v>6909.4335639274486</v>
      </c>
      <c r="CR61" s="100">
        <v>2.1836563383294028</v>
      </c>
      <c r="CS61" s="100">
        <v>2077.9673715542594</v>
      </c>
      <c r="CT61" s="100">
        <v>3.3702692495343145</v>
      </c>
      <c r="CU61" s="100">
        <v>3207.1482178568535</v>
      </c>
    </row>
    <row r="62" spans="2:99">
      <c r="C62" s="99" t="s">
        <v>228</v>
      </c>
      <c r="D62" s="100">
        <v>8.144129861169203</v>
      </c>
      <c r="E62" s="100">
        <v>13594.181564263634</v>
      </c>
      <c r="F62" s="100">
        <v>0.83131251047438048</v>
      </c>
      <c r="G62" s="100">
        <v>1387.6268424838358</v>
      </c>
      <c r="H62" s="100">
        <v>8.7724926432213746</v>
      </c>
      <c r="I62" s="100">
        <v>14643.04472006512</v>
      </c>
      <c r="J62" s="100">
        <v>7</v>
      </c>
      <c r="K62" s="100">
        <v>11684.4</v>
      </c>
      <c r="L62" s="100">
        <v>6.4518043812023516</v>
      </c>
      <c r="M62" s="100">
        <v>10769.351873102965</v>
      </c>
      <c r="N62" s="100">
        <v>5</v>
      </c>
      <c r="O62" s="100">
        <v>8346</v>
      </c>
      <c r="P62" s="100">
        <v>4.3952993198029411</v>
      </c>
      <c r="Q62" s="100">
        <v>7336.6336246150695</v>
      </c>
      <c r="R62" s="100">
        <v>4.5322408785171016</v>
      </c>
      <c r="S62" s="100">
        <v>7565.2164744207457</v>
      </c>
      <c r="T62" s="100">
        <v>4.8433594545934158</v>
      </c>
      <c r="U62" s="100">
        <v>8084.5356016073301</v>
      </c>
      <c r="V62" s="100">
        <v>5.2068227295454514</v>
      </c>
      <c r="W62" s="100">
        <v>8691.2285001572673</v>
      </c>
      <c r="X62" s="100">
        <v>5.3276954000527574</v>
      </c>
      <c r="Y62" s="100">
        <v>8892.9891617680623</v>
      </c>
      <c r="Z62" s="100">
        <v>1.0919651157606918</v>
      </c>
      <c r="AA62" s="100">
        <v>1822.7081712277468</v>
      </c>
      <c r="AB62" s="100">
        <v>6.6829672359374692</v>
      </c>
      <c r="AC62" s="100">
        <v>11155.208910226824</v>
      </c>
      <c r="AD62" s="100">
        <v>7.131577822403659</v>
      </c>
      <c r="AE62" s="100">
        <v>11904.029701156189</v>
      </c>
      <c r="AF62" s="100">
        <v>6.0000000000000018</v>
      </c>
      <c r="AG62" s="100">
        <v>10015.200000000003</v>
      </c>
      <c r="AH62" s="100">
        <v>2.336085031516268</v>
      </c>
      <c r="AI62" s="100">
        <v>3899.3931346069548</v>
      </c>
      <c r="AJ62" s="100">
        <v>9.1645186715525639</v>
      </c>
      <c r="AK62" s="100">
        <v>15297.414566555541</v>
      </c>
      <c r="AL62" s="100">
        <v>8.4071418098564372</v>
      </c>
      <c r="AM62" s="100">
        <v>14033.201109012365</v>
      </c>
      <c r="AN62" s="100">
        <v>6.9062718148832039</v>
      </c>
      <c r="AO62" s="100">
        <v>11527.948913403045</v>
      </c>
      <c r="AP62" s="100">
        <v>5.5662489254282521</v>
      </c>
      <c r="AQ62" s="100">
        <v>9291.1827063248384</v>
      </c>
      <c r="AR62" s="100">
        <v>5.1087490137492191</v>
      </c>
      <c r="AS62" s="100">
        <v>8527.5238537501973</v>
      </c>
      <c r="AT62" s="100">
        <v>7.5595677973721545</v>
      </c>
      <c r="AU62" s="100">
        <v>12618.4305673736</v>
      </c>
      <c r="AV62" s="100">
        <v>5.4698261919032003</v>
      </c>
      <c r="AW62" s="100">
        <v>9130.2338795248215</v>
      </c>
      <c r="AX62" s="100">
        <v>5.5418441734894346</v>
      </c>
      <c r="AY62" s="100">
        <v>9250.4462943885646</v>
      </c>
      <c r="AZ62" s="100">
        <v>6.8603112935020718</v>
      </c>
      <c r="BA62" s="100">
        <v>11451.231611113659</v>
      </c>
      <c r="BB62" s="100">
        <v>6.057281433306934</v>
      </c>
      <c r="BC62" s="100">
        <v>10110.814168475934</v>
      </c>
      <c r="BD62" s="100">
        <v>5.9511491170802078</v>
      </c>
      <c r="BE62" s="100">
        <v>9933.658106230283</v>
      </c>
      <c r="BF62" s="100">
        <v>7.6947821032892163</v>
      </c>
      <c r="BG62" s="100">
        <v>12844.130286810359</v>
      </c>
      <c r="BH62" s="100">
        <v>6.8458564944115228</v>
      </c>
      <c r="BI62" s="100">
        <v>11427.103660471714</v>
      </c>
      <c r="BJ62" s="100">
        <v>0.59832500795033827</v>
      </c>
      <c r="BK62" s="100">
        <v>998.72410327070463</v>
      </c>
      <c r="BL62" s="100">
        <v>9.2972578090942193</v>
      </c>
      <c r="BM62" s="100">
        <v>15518.982734940071</v>
      </c>
      <c r="BN62" s="100">
        <v>4.3808209453474776</v>
      </c>
      <c r="BO62" s="100">
        <v>7312.4663219740096</v>
      </c>
      <c r="BP62" s="100">
        <v>7.639339772887566</v>
      </c>
      <c r="BQ62" s="100">
        <v>12751.585948903925</v>
      </c>
      <c r="BR62" s="100">
        <v>6.9926002125692426</v>
      </c>
      <c r="BS62" s="100">
        <v>11672.04827482058</v>
      </c>
      <c r="BT62" s="100">
        <v>8.1250256645684757</v>
      </c>
      <c r="BU62" s="100">
        <v>13562.292839297701</v>
      </c>
      <c r="BV62" s="100">
        <v>0.76119998443546877</v>
      </c>
      <c r="BW62" s="100">
        <v>1270.5950140196844</v>
      </c>
      <c r="BX62" s="100">
        <v>9.4726913282101375</v>
      </c>
      <c r="BY62" s="100">
        <v>15811.816365048362</v>
      </c>
      <c r="BZ62" s="100">
        <v>4.9990738712658445</v>
      </c>
      <c r="CA62" s="100">
        <v>8344.4541059169478</v>
      </c>
      <c r="CB62" s="100">
        <v>4.4625140957706861</v>
      </c>
      <c r="CC62" s="100">
        <v>7448.8285286604296</v>
      </c>
      <c r="CD62" s="100">
        <v>0.85382926010268945</v>
      </c>
      <c r="CE62" s="100">
        <v>1425.2118009634094</v>
      </c>
      <c r="CF62" s="100">
        <v>7.6999027707879995</v>
      </c>
      <c r="CG62" s="100">
        <v>12852.677704999329</v>
      </c>
      <c r="CH62" s="100">
        <v>2.300295664771598</v>
      </c>
      <c r="CI62" s="100">
        <v>3839.6535236367513</v>
      </c>
      <c r="CJ62" s="100">
        <v>5.0870680191129489</v>
      </c>
      <c r="CK62" s="100">
        <v>8491.3339375033338</v>
      </c>
      <c r="CL62" s="100">
        <v>3.5090548050152299</v>
      </c>
      <c r="CM62" s="100">
        <v>5857.3142805314219</v>
      </c>
      <c r="CN62" s="100">
        <v>6.5214543821875859</v>
      </c>
      <c r="CO62" s="100">
        <v>10885.611654747519</v>
      </c>
      <c r="CP62" s="100">
        <v>0.41023563841543503</v>
      </c>
      <c r="CQ62" s="100">
        <v>684.7653276430442</v>
      </c>
      <c r="CR62" s="100">
        <v>4.2331454991547011</v>
      </c>
      <c r="CS62" s="100">
        <v>7065.9664671890268</v>
      </c>
      <c r="CT62" s="100">
        <v>4.5521100191412849</v>
      </c>
      <c r="CU62" s="100">
        <v>7598.3820439506326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7.9500126090520435</v>
      </c>
      <c r="G63" s="100">
        <v>6325.0300317618057</v>
      </c>
      <c r="H63" s="100">
        <v>6.850095068445655</v>
      </c>
      <c r="I63" s="100">
        <v>5449.9356364553632</v>
      </c>
      <c r="J63" s="100">
        <v>5.7811579935205737</v>
      </c>
      <c r="K63" s="100">
        <v>4599.4892996449689</v>
      </c>
      <c r="L63" s="100">
        <v>7.351619885956854</v>
      </c>
      <c r="M63" s="100">
        <v>5848.9487812672733</v>
      </c>
      <c r="N63" s="100">
        <v>1.7569379736725927</v>
      </c>
      <c r="O63" s="100">
        <v>1397.8198518539148</v>
      </c>
      <c r="P63" s="100">
        <v>6.841206966632349</v>
      </c>
      <c r="Q63" s="100">
        <v>5442.8642626526971</v>
      </c>
      <c r="R63" s="100">
        <v>4.466964825435026</v>
      </c>
      <c r="S63" s="100">
        <v>3553.9172151161069</v>
      </c>
      <c r="T63" s="100">
        <v>6</v>
      </c>
      <c r="U63" s="100">
        <v>4773.6000000000004</v>
      </c>
      <c r="V63" s="100">
        <v>9</v>
      </c>
      <c r="W63" s="100">
        <v>7160.4000000000005</v>
      </c>
      <c r="X63" s="100">
        <v>1.5740417241621878</v>
      </c>
      <c r="Y63" s="100">
        <v>1252.3075957434367</v>
      </c>
      <c r="Z63" s="100">
        <v>10</v>
      </c>
      <c r="AA63" s="100">
        <v>7956</v>
      </c>
      <c r="AB63" s="100">
        <v>7.300262328432507</v>
      </c>
      <c r="AC63" s="100">
        <v>5808.0887085009026</v>
      </c>
      <c r="AD63" s="100">
        <v>9.2837316011476076</v>
      </c>
      <c r="AE63" s="100">
        <v>7386.1368618730367</v>
      </c>
      <c r="AF63" s="100">
        <v>4.1993662798310085</v>
      </c>
      <c r="AG63" s="100">
        <v>3341.0158122335506</v>
      </c>
      <c r="AH63" s="100">
        <v>7.808401296900513</v>
      </c>
      <c r="AI63" s="100">
        <v>6212.3640718140487</v>
      </c>
      <c r="AJ63" s="100">
        <v>7.9587161637897958</v>
      </c>
      <c r="AK63" s="100">
        <v>6331.954579911162</v>
      </c>
      <c r="AL63" s="100">
        <v>5.0682718048254076E-4</v>
      </c>
      <c r="AM63" s="100">
        <v>0.40323170479190945</v>
      </c>
      <c r="AN63" s="100">
        <v>10.843002411606724</v>
      </c>
      <c r="AO63" s="100">
        <v>8626.6927186743105</v>
      </c>
      <c r="AP63" s="100">
        <v>7</v>
      </c>
      <c r="AQ63" s="100">
        <v>5569.2</v>
      </c>
      <c r="AR63" s="100">
        <v>6.6930917487580777</v>
      </c>
      <c r="AS63" s="100">
        <v>5325.0237953119267</v>
      </c>
      <c r="AT63" s="100">
        <v>7.9996429071708572</v>
      </c>
      <c r="AU63" s="100">
        <v>6364.515896945134</v>
      </c>
      <c r="AV63" s="100">
        <v>7</v>
      </c>
      <c r="AW63" s="100">
        <v>5569.2</v>
      </c>
      <c r="AX63" s="100">
        <v>7.3095633448698063</v>
      </c>
      <c r="AY63" s="100">
        <v>5815.4885971784179</v>
      </c>
      <c r="AZ63" s="100">
        <v>1.9637473842842486</v>
      </c>
      <c r="BA63" s="100">
        <v>1562.3574189365481</v>
      </c>
      <c r="BB63" s="100">
        <v>10.618543469598274</v>
      </c>
      <c r="BC63" s="100">
        <v>8448.1131844123865</v>
      </c>
      <c r="BD63" s="100">
        <v>8.9929439470451857</v>
      </c>
      <c r="BE63" s="100">
        <v>7154.7862042691504</v>
      </c>
      <c r="BF63" s="100">
        <v>8.4242012198400626</v>
      </c>
      <c r="BG63" s="100">
        <v>6702.2944905047543</v>
      </c>
      <c r="BH63" s="100">
        <v>1.7923709110215558</v>
      </c>
      <c r="BI63" s="100">
        <v>1426.0102968087499</v>
      </c>
      <c r="BJ63" s="100">
        <v>8.5443371500733711</v>
      </c>
      <c r="BK63" s="100">
        <v>6797.8746365983743</v>
      </c>
      <c r="BL63" s="100">
        <v>7.0520812283222121</v>
      </c>
      <c r="BM63" s="100">
        <v>5610.6358252531518</v>
      </c>
      <c r="BN63" s="100">
        <v>4.4125478415175126</v>
      </c>
      <c r="BO63" s="100">
        <v>3510.6230627113332</v>
      </c>
      <c r="BP63" s="100">
        <v>9.2666213418240684</v>
      </c>
      <c r="BQ63" s="100">
        <v>7372.5239395552289</v>
      </c>
      <c r="BR63" s="100">
        <v>7.008459283377596E-4</v>
      </c>
      <c r="BS63" s="100">
        <v>0.55759302058552151</v>
      </c>
      <c r="BT63" s="100">
        <v>7.2683853054729184</v>
      </c>
      <c r="BU63" s="100">
        <v>5782.7273490342541</v>
      </c>
      <c r="BV63" s="100">
        <v>7.4354399284539978</v>
      </c>
      <c r="BW63" s="100">
        <v>5915.6360070780011</v>
      </c>
      <c r="BX63" s="100">
        <v>11</v>
      </c>
      <c r="BY63" s="100">
        <v>8751.6</v>
      </c>
      <c r="BZ63" s="100">
        <v>7</v>
      </c>
      <c r="CA63" s="100">
        <v>5569.2</v>
      </c>
      <c r="CB63" s="100">
        <v>1.6204507709335381</v>
      </c>
      <c r="CC63" s="100">
        <v>1289.2306333547228</v>
      </c>
      <c r="CD63" s="100">
        <v>6.5297930333499648E-4</v>
      </c>
      <c r="CE63" s="100">
        <v>0.51951033373332323</v>
      </c>
      <c r="CF63" s="100">
        <v>8.0001773331710755</v>
      </c>
      <c r="CG63" s="100">
        <v>6364.9410862709083</v>
      </c>
      <c r="CH63" s="100">
        <v>10</v>
      </c>
      <c r="CI63" s="100">
        <v>7956</v>
      </c>
      <c r="CJ63" s="100">
        <v>6.5610243052021167</v>
      </c>
      <c r="CK63" s="100">
        <v>5219.950937218804</v>
      </c>
      <c r="CL63" s="100">
        <v>5.5687632759325352</v>
      </c>
      <c r="CM63" s="100">
        <v>4430.5080623319254</v>
      </c>
      <c r="CN63" s="100">
        <v>7.1030143825670091</v>
      </c>
      <c r="CO63" s="100">
        <v>5651.1582427703124</v>
      </c>
      <c r="CP63" s="100">
        <v>8.0676212740267257</v>
      </c>
      <c r="CQ63" s="100">
        <v>6418.5994856156631</v>
      </c>
      <c r="CR63" s="100">
        <v>2.426284820366003</v>
      </c>
      <c r="CS63" s="100">
        <v>1930.3522030831921</v>
      </c>
      <c r="CT63" s="100">
        <v>3.3940566334589848</v>
      </c>
      <c r="CU63" s="100">
        <v>2700.3114575799682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7.1550113481468394</v>
      </c>
      <c r="G64" s="100">
        <v>7220.8374525497893</v>
      </c>
      <c r="H64" s="100">
        <v>7.611216742717394</v>
      </c>
      <c r="I64" s="100">
        <v>7681.2399367503931</v>
      </c>
      <c r="J64" s="100">
        <v>5.7811579935205737</v>
      </c>
      <c r="K64" s="100">
        <v>5834.3446470609615</v>
      </c>
      <c r="L64" s="100">
        <v>7.351619885956854</v>
      </c>
      <c r="M64" s="100">
        <v>7419.2547889076559</v>
      </c>
      <c r="N64" s="100">
        <v>1.7563266847666297</v>
      </c>
      <c r="O64" s="100">
        <v>1772.4848902664824</v>
      </c>
      <c r="P64" s="100">
        <v>6.841206966632349</v>
      </c>
      <c r="Q64" s="100">
        <v>6904.1460707253655</v>
      </c>
      <c r="R64" s="100">
        <v>3.908594222255648</v>
      </c>
      <c r="S64" s="100">
        <v>3944.5532891003991</v>
      </c>
      <c r="T64" s="100">
        <v>6</v>
      </c>
      <c r="U64" s="100">
        <v>6055.1999999999989</v>
      </c>
      <c r="V64" s="100">
        <v>8</v>
      </c>
      <c r="W64" s="100">
        <v>8073.5999999999985</v>
      </c>
      <c r="X64" s="100">
        <v>1.5740417241621878</v>
      </c>
      <c r="Y64" s="100">
        <v>1588.5229080244796</v>
      </c>
      <c r="Z64" s="100">
        <v>10</v>
      </c>
      <c r="AA64" s="100">
        <v>10091.999999999998</v>
      </c>
      <c r="AB64" s="100">
        <v>6.6366021167568254</v>
      </c>
      <c r="AC64" s="100">
        <v>6697.6588562309871</v>
      </c>
      <c r="AD64" s="100">
        <v>10.229553094801302</v>
      </c>
      <c r="AE64" s="100">
        <v>10323.664983273473</v>
      </c>
      <c r="AF64" s="100">
        <v>3.6744454948521326</v>
      </c>
      <c r="AG64" s="100">
        <v>3708.2503934047713</v>
      </c>
      <c r="AH64" s="100">
        <v>7.808401296900513</v>
      </c>
      <c r="AI64" s="100">
        <v>7880.2385888319959</v>
      </c>
      <c r="AJ64" s="100">
        <v>8.9535556842635202</v>
      </c>
      <c r="AK64" s="100">
        <v>9035.9283965587438</v>
      </c>
      <c r="AL64" s="100">
        <v>5.6980792252628635E-4</v>
      </c>
      <c r="AM64" s="100">
        <v>0.57505015541352811</v>
      </c>
      <c r="AN64" s="100">
        <v>8.8430024116067241</v>
      </c>
      <c r="AO64" s="100">
        <v>8924.3580337935036</v>
      </c>
      <c r="AP64" s="100">
        <v>6</v>
      </c>
      <c r="AQ64" s="100">
        <v>6055.1999999999989</v>
      </c>
      <c r="AR64" s="100">
        <v>5.7369357846497806</v>
      </c>
      <c r="AS64" s="100">
        <v>5789.7155938685573</v>
      </c>
      <c r="AT64" s="100">
        <v>7.9996429071708572</v>
      </c>
      <c r="AU64" s="100">
        <v>8073.2396219168277</v>
      </c>
      <c r="AV64" s="100">
        <v>7</v>
      </c>
      <c r="AW64" s="100">
        <v>7064.3999999999987</v>
      </c>
      <c r="AX64" s="100">
        <v>6.5842811899360747</v>
      </c>
      <c r="AY64" s="100">
        <v>6644.8565768834851</v>
      </c>
      <c r="AZ64" s="100">
        <v>1.9637473842842486</v>
      </c>
      <c r="BA64" s="100">
        <v>1981.8138602196632</v>
      </c>
      <c r="BB64" s="100">
        <v>10.494834775678619</v>
      </c>
      <c r="BC64" s="100">
        <v>10591.38725561486</v>
      </c>
      <c r="BD64" s="100">
        <v>7.1943551576361493</v>
      </c>
      <c r="BE64" s="100">
        <v>7260.5432250864005</v>
      </c>
      <c r="BF64" s="100">
        <v>7.581781097856056</v>
      </c>
      <c r="BG64" s="100">
        <v>7651.5334839563302</v>
      </c>
      <c r="BH64" s="100">
        <v>1.6097886333967142</v>
      </c>
      <c r="BI64" s="100">
        <v>1624.5986888239636</v>
      </c>
      <c r="BJ64" s="100">
        <v>8.5443371500733711</v>
      </c>
      <c r="BK64" s="100">
        <v>8622.9450518540452</v>
      </c>
      <c r="BL64" s="100">
        <v>7.0520812283222121</v>
      </c>
      <c r="BM64" s="100">
        <v>7116.9603756227752</v>
      </c>
      <c r="BN64" s="100">
        <v>4.4125478415175126</v>
      </c>
      <c r="BO64" s="100">
        <v>4453.1432816594724</v>
      </c>
      <c r="BP64" s="100">
        <v>9.2666213418240684</v>
      </c>
      <c r="BQ64" s="100">
        <v>9351.8742581688475</v>
      </c>
      <c r="BR64" s="100">
        <v>5.6306157884604294E-4</v>
      </c>
      <c r="BS64" s="100">
        <v>0.56824174537142647</v>
      </c>
      <c r="BT64" s="100">
        <v>7.2663952927781752</v>
      </c>
      <c r="BU64" s="100">
        <v>7333.2461294717332</v>
      </c>
      <c r="BV64" s="100">
        <v>7.4354399284539978</v>
      </c>
      <c r="BW64" s="100">
        <v>7503.8459757957735</v>
      </c>
      <c r="BX64" s="100">
        <v>10</v>
      </c>
      <c r="BY64" s="100">
        <v>10091.999999999998</v>
      </c>
      <c r="BZ64" s="100">
        <v>7</v>
      </c>
      <c r="CA64" s="100">
        <v>7064.3999999999987</v>
      </c>
      <c r="CB64" s="100">
        <v>1.7175997798738327</v>
      </c>
      <c r="CC64" s="100">
        <v>1733.4016978486716</v>
      </c>
      <c r="CD64" s="100">
        <v>6.5297930333499648E-4</v>
      </c>
      <c r="CE64" s="100">
        <v>0.65898671292567834</v>
      </c>
      <c r="CF64" s="100">
        <v>7.0002216664638457</v>
      </c>
      <c r="CG64" s="100">
        <v>7064.6237057953122</v>
      </c>
      <c r="CH64" s="100">
        <v>10</v>
      </c>
      <c r="CI64" s="100">
        <v>10091.999999999998</v>
      </c>
      <c r="CJ64" s="100">
        <v>6.5610243052021167</v>
      </c>
      <c r="CK64" s="100">
        <v>6621.3857288099753</v>
      </c>
      <c r="CL64" s="100">
        <v>4.7732256650850307</v>
      </c>
      <c r="CM64" s="100">
        <v>4817.1393412038124</v>
      </c>
      <c r="CN64" s="100">
        <v>7.8133158208237106</v>
      </c>
      <c r="CO64" s="100">
        <v>7885.1983263752873</v>
      </c>
      <c r="CP64" s="100">
        <v>8.0676212740267257</v>
      </c>
      <c r="CQ64" s="100">
        <v>8141.8433897477698</v>
      </c>
      <c r="CR64" s="100">
        <v>2.1836563383294028</v>
      </c>
      <c r="CS64" s="100">
        <v>2203.7459766420329</v>
      </c>
      <c r="CT64" s="100">
        <v>3.3940566334589848</v>
      </c>
      <c r="CU64" s="100">
        <v>3425.2819544868066</v>
      </c>
    </row>
    <row r="65" spans="2:99">
      <c r="C65" s="99" t="s">
        <v>231</v>
      </c>
      <c r="D65" s="100">
        <v>9</v>
      </c>
      <c r="E65" s="100">
        <v>9234</v>
      </c>
      <c r="F65" s="100">
        <v>6.3600100872416343</v>
      </c>
      <c r="G65" s="100">
        <v>6525.3703495099171</v>
      </c>
      <c r="H65" s="100">
        <v>6.850095068445655</v>
      </c>
      <c r="I65" s="100">
        <v>7028.1975402252419</v>
      </c>
      <c r="J65" s="100">
        <v>6.5038027427106453</v>
      </c>
      <c r="K65" s="100">
        <v>6672.9016140211224</v>
      </c>
      <c r="L65" s="100">
        <v>6.5347732319616485</v>
      </c>
      <c r="M65" s="100">
        <v>6704.677335992651</v>
      </c>
      <c r="N65" s="100">
        <v>1.7563266847666297</v>
      </c>
      <c r="O65" s="100">
        <v>1801.9911785705619</v>
      </c>
      <c r="P65" s="100">
        <v>6.841206966632349</v>
      </c>
      <c r="Q65" s="100">
        <v>7019.0783477647901</v>
      </c>
      <c r="R65" s="100">
        <v>4.466964825435026</v>
      </c>
      <c r="S65" s="100">
        <v>4583.1059108963364</v>
      </c>
      <c r="T65" s="100">
        <v>6</v>
      </c>
      <c r="U65" s="100">
        <v>6156</v>
      </c>
      <c r="V65" s="100">
        <v>8</v>
      </c>
      <c r="W65" s="100">
        <v>8208</v>
      </c>
      <c r="X65" s="100">
        <v>1.3991481992552779</v>
      </c>
      <c r="Y65" s="100">
        <v>1435.5260524359151</v>
      </c>
      <c r="Z65" s="100">
        <v>9</v>
      </c>
      <c r="AA65" s="100">
        <v>9234</v>
      </c>
      <c r="AB65" s="100">
        <v>6.6366021167568254</v>
      </c>
      <c r="AC65" s="100">
        <v>6809.153771792503</v>
      </c>
      <c r="AD65" s="100">
        <v>9.2837316011476076</v>
      </c>
      <c r="AE65" s="100">
        <v>9525.1086227774449</v>
      </c>
      <c r="AF65" s="100">
        <v>3.6744454948521326</v>
      </c>
      <c r="AG65" s="100">
        <v>3769.9810777182879</v>
      </c>
      <c r="AH65" s="100">
        <v>7.808401296900513</v>
      </c>
      <c r="AI65" s="100">
        <v>8011.4197306199267</v>
      </c>
      <c r="AJ65" s="100">
        <v>7.9587161637897958</v>
      </c>
      <c r="AK65" s="100">
        <v>8165.6427840483302</v>
      </c>
      <c r="AL65" s="100">
        <v>6.2980742043745571E-4</v>
      </c>
      <c r="AM65" s="100">
        <v>0.64618241336882953</v>
      </c>
      <c r="AN65" s="100">
        <v>9.8430024116067241</v>
      </c>
      <c r="AO65" s="100">
        <v>10098.920474308499</v>
      </c>
      <c r="AP65" s="100">
        <v>6</v>
      </c>
      <c r="AQ65" s="100">
        <v>6156</v>
      </c>
      <c r="AR65" s="100">
        <v>6.6930917487580777</v>
      </c>
      <c r="AS65" s="100">
        <v>6867.1121342257875</v>
      </c>
      <c r="AT65" s="100">
        <v>7.2724026428825974</v>
      </c>
      <c r="AU65" s="100">
        <v>7461.4851115975453</v>
      </c>
      <c r="AV65" s="100">
        <v>6</v>
      </c>
      <c r="AW65" s="100">
        <v>6156</v>
      </c>
      <c r="AX65" s="100">
        <v>6.4725634827266143</v>
      </c>
      <c r="AY65" s="100">
        <v>6640.8501332775058</v>
      </c>
      <c r="AZ65" s="100">
        <v>2.1741925482631332</v>
      </c>
      <c r="BA65" s="100">
        <v>2230.7215545179747</v>
      </c>
      <c r="BB65" s="100">
        <v>10.494834775678619</v>
      </c>
      <c r="BC65" s="100">
        <v>10767.700479846264</v>
      </c>
      <c r="BD65" s="100">
        <v>8.0936495523406684</v>
      </c>
      <c r="BE65" s="100">
        <v>8304.0844407015265</v>
      </c>
      <c r="BF65" s="100">
        <v>8.4242012198400626</v>
      </c>
      <c r="BG65" s="100">
        <v>8643.2304515559044</v>
      </c>
      <c r="BH65" s="100">
        <v>1.8016915617964293</v>
      </c>
      <c r="BI65" s="100">
        <v>1848.5355424031366</v>
      </c>
      <c r="BJ65" s="100">
        <v>7.680421437591713</v>
      </c>
      <c r="BK65" s="100">
        <v>7880.1123949690973</v>
      </c>
      <c r="BL65" s="100">
        <v>6.2685166473975222</v>
      </c>
      <c r="BM65" s="100">
        <v>6431.4980802298578</v>
      </c>
      <c r="BN65" s="100">
        <v>4.4125478415175126</v>
      </c>
      <c r="BO65" s="100">
        <v>4527.2740853969681</v>
      </c>
      <c r="BP65" s="100">
        <v>9.2666213418240684</v>
      </c>
      <c r="BQ65" s="100">
        <v>9507.5534967114945</v>
      </c>
      <c r="BR65" s="100">
        <v>7.008459283377596E-4</v>
      </c>
      <c r="BS65" s="100">
        <v>0.71906792247454132</v>
      </c>
      <c r="BT65" s="100">
        <v>6.6247123235825569</v>
      </c>
      <c r="BU65" s="100">
        <v>6796.9548439957034</v>
      </c>
      <c r="BV65" s="100">
        <v>7.3265799463404981</v>
      </c>
      <c r="BW65" s="100">
        <v>7517.0710249453514</v>
      </c>
      <c r="BX65" s="100">
        <v>9</v>
      </c>
      <c r="BY65" s="100">
        <v>9234</v>
      </c>
      <c r="BZ65" s="100">
        <v>7</v>
      </c>
      <c r="CA65" s="100">
        <v>7182</v>
      </c>
      <c r="CB65" s="100">
        <v>1.6204507709335381</v>
      </c>
      <c r="CC65" s="100">
        <v>1662.58249097781</v>
      </c>
      <c r="CD65" s="100">
        <v>6.5297930333499648E-4</v>
      </c>
      <c r="CE65" s="100">
        <v>0.66995676522170644</v>
      </c>
      <c r="CF65" s="100">
        <v>9.0002216664638457</v>
      </c>
      <c r="CG65" s="100">
        <v>9234.2274297919048</v>
      </c>
      <c r="CH65" s="100">
        <v>11</v>
      </c>
      <c r="CI65" s="100">
        <v>11286</v>
      </c>
      <c r="CJ65" s="100">
        <v>6.5610243052021167</v>
      </c>
      <c r="CK65" s="100">
        <v>6731.6109371373714</v>
      </c>
      <c r="CL65" s="100">
        <v>5.5687632759325352</v>
      </c>
      <c r="CM65" s="100">
        <v>5713.5511211067815</v>
      </c>
      <c r="CN65" s="100">
        <v>7.8133158208237106</v>
      </c>
      <c r="CO65" s="100">
        <v>8016.4620321651273</v>
      </c>
      <c r="CP65" s="100">
        <v>8.0676212740267257</v>
      </c>
      <c r="CQ65" s="100">
        <v>8277.3794271514198</v>
      </c>
      <c r="CR65" s="100">
        <v>2.426284820366003</v>
      </c>
      <c r="CS65" s="100">
        <v>2489.368225695519</v>
      </c>
      <c r="CT65" s="100">
        <v>3.3702692495343145</v>
      </c>
      <c r="CU65" s="100">
        <v>3457.8962500222065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6.3600100872416343</v>
      </c>
      <c r="G66" s="100">
        <v>7570.956007852441</v>
      </c>
      <c r="H66" s="100">
        <v>6.850095068445655</v>
      </c>
      <c r="I66" s="100">
        <v>8154.3531694777066</v>
      </c>
      <c r="J66" s="100">
        <v>5.7811579935205737</v>
      </c>
      <c r="K66" s="100">
        <v>6881.89047548689</v>
      </c>
      <c r="L66" s="100">
        <v>6.5347732319616485</v>
      </c>
      <c r="M66" s="100">
        <v>7778.9940553271454</v>
      </c>
      <c r="N66" s="100">
        <v>1.7563266847666297</v>
      </c>
      <c r="O66" s="100">
        <v>2090.7312855461955</v>
      </c>
      <c r="P66" s="100">
        <v>6.841206966632349</v>
      </c>
      <c r="Q66" s="100">
        <v>8143.7727730791476</v>
      </c>
      <c r="R66" s="100">
        <v>3.908594222255648</v>
      </c>
      <c r="S66" s="100">
        <v>4652.7905621731225</v>
      </c>
      <c r="T66" s="100">
        <v>6</v>
      </c>
      <c r="U66" s="100">
        <v>7142.4</v>
      </c>
      <c r="V66" s="100">
        <v>9</v>
      </c>
      <c r="W66" s="100">
        <v>10713.599999999999</v>
      </c>
      <c r="X66" s="100">
        <v>1.3991481992552779</v>
      </c>
      <c r="Y66" s="100">
        <v>1665.5460163934827</v>
      </c>
      <c r="Z66" s="100">
        <v>8</v>
      </c>
      <c r="AA66" s="100">
        <v>9523.1999999999989</v>
      </c>
      <c r="AB66" s="100">
        <v>6.6366021167568254</v>
      </c>
      <c r="AC66" s="100">
        <v>7900.2111597873245</v>
      </c>
      <c r="AD66" s="100">
        <v>8.3728067745717798</v>
      </c>
      <c r="AE66" s="100">
        <v>9966.9891844502454</v>
      </c>
      <c r="AF66" s="100">
        <v>4.1993662798310085</v>
      </c>
      <c r="AG66" s="100">
        <v>4998.9256195108319</v>
      </c>
      <c r="AH66" s="100">
        <v>7.808401296900513</v>
      </c>
      <c r="AI66" s="100">
        <v>9295.1209038303696</v>
      </c>
      <c r="AJ66" s="100">
        <v>8.9535556842635202</v>
      </c>
      <c r="AK66" s="100">
        <v>10658.312686547293</v>
      </c>
      <c r="AL66" s="100">
        <v>5.0980842461511699E-4</v>
      </c>
      <c r="AM66" s="100">
        <v>0.60687594866183514</v>
      </c>
      <c r="AN66" s="100">
        <v>9.8430024116067241</v>
      </c>
      <c r="AO66" s="100">
        <v>11717.110070776644</v>
      </c>
      <c r="AP66" s="100">
        <v>7</v>
      </c>
      <c r="AQ66" s="100">
        <v>8332.7999999999993</v>
      </c>
      <c r="AR66" s="100">
        <v>6.6930917487580777</v>
      </c>
      <c r="AS66" s="100">
        <v>7967.4564177216143</v>
      </c>
      <c r="AT66" s="100">
        <v>7.2724026428825974</v>
      </c>
      <c r="AU66" s="100">
        <v>8657.0681060874431</v>
      </c>
      <c r="AV66" s="100">
        <v>7</v>
      </c>
      <c r="AW66" s="100">
        <v>8332.7999999999993</v>
      </c>
      <c r="AX66" s="100">
        <v>7.3095633448698063</v>
      </c>
      <c r="AY66" s="100">
        <v>8701.3042057330167</v>
      </c>
      <c r="AZ66" s="100">
        <v>1.9637473842842486</v>
      </c>
      <c r="BA66" s="100">
        <v>2337.6448862519692</v>
      </c>
      <c r="BB66" s="100">
        <v>9.4948347756786191</v>
      </c>
      <c r="BC66" s="100">
        <v>11302.651316967827</v>
      </c>
      <c r="BD66" s="100">
        <v>7.1943551576361493</v>
      </c>
      <c r="BE66" s="100">
        <v>8564.1603796500713</v>
      </c>
      <c r="BF66" s="100">
        <v>8.4242012198400626</v>
      </c>
      <c r="BG66" s="100">
        <v>10028.16913209761</v>
      </c>
      <c r="BH66" s="100">
        <v>1.8110122125713035</v>
      </c>
      <c r="BI66" s="100">
        <v>2155.8289378448794</v>
      </c>
      <c r="BJ66" s="100">
        <v>7.5443371500733702</v>
      </c>
      <c r="BK66" s="100">
        <v>8980.7789434473398</v>
      </c>
      <c r="BL66" s="100">
        <v>7.0520812283222121</v>
      </c>
      <c r="BM66" s="100">
        <v>8394.7974941947596</v>
      </c>
      <c r="BN66" s="100">
        <v>4.4125478415175126</v>
      </c>
      <c r="BO66" s="100">
        <v>5252.6969505424468</v>
      </c>
      <c r="BP66" s="100">
        <v>8.4242012198400626</v>
      </c>
      <c r="BQ66" s="100">
        <v>10028.16913209761</v>
      </c>
      <c r="BR66" s="100">
        <v>6.3195375359190121E-4</v>
      </c>
      <c r="BS66" s="100">
        <v>0.75227774827579907</v>
      </c>
      <c r="BT66" s="100">
        <v>7.2663952927781752</v>
      </c>
      <c r="BU66" s="100">
        <v>8649.9169565231387</v>
      </c>
      <c r="BV66" s="100">
        <v>7.4354399284539978</v>
      </c>
      <c r="BW66" s="100">
        <v>8851.1476908316381</v>
      </c>
      <c r="BX66" s="100">
        <v>10</v>
      </c>
      <c r="BY66" s="100">
        <v>11903.999999999998</v>
      </c>
      <c r="BZ66" s="100">
        <v>6</v>
      </c>
      <c r="CA66" s="100">
        <v>7142.4</v>
      </c>
      <c r="CB66" s="100">
        <v>1.6204507709335381</v>
      </c>
      <c r="CC66" s="100">
        <v>1928.9845977192836</v>
      </c>
      <c r="CD66" s="100">
        <v>6.5297930333499648E-4</v>
      </c>
      <c r="CE66" s="100">
        <v>0.77730656268997977</v>
      </c>
      <c r="CF66" s="100">
        <v>8.0001773331710755</v>
      </c>
      <c r="CG66" s="100">
        <v>9523.4110974068481</v>
      </c>
      <c r="CH66" s="100">
        <v>11</v>
      </c>
      <c r="CI66" s="100">
        <v>13094.399999999998</v>
      </c>
      <c r="CJ66" s="100">
        <v>5.740896267051852</v>
      </c>
      <c r="CK66" s="100">
        <v>6833.9629162985239</v>
      </c>
      <c r="CL66" s="100">
        <v>5.5687632759325352</v>
      </c>
      <c r="CM66" s="100">
        <v>6629.0558036700895</v>
      </c>
      <c r="CN66" s="100">
        <v>7.8133158208237106</v>
      </c>
      <c r="CO66" s="100">
        <v>9300.9711531085431</v>
      </c>
      <c r="CP66" s="100">
        <v>8.0676212740267257</v>
      </c>
      <c r="CQ66" s="100">
        <v>9603.6963646014137</v>
      </c>
      <c r="CR66" s="100">
        <v>1.9410278562928023</v>
      </c>
      <c r="CS66" s="100">
        <v>2310.5995601309514</v>
      </c>
      <c r="CT66" s="100">
        <v>3.3702692495343145</v>
      </c>
      <c r="CU66" s="100">
        <v>4011.9685146456477</v>
      </c>
    </row>
    <row r="67" spans="2:99">
      <c r="C67" s="99" t="s">
        <v>233</v>
      </c>
      <c r="D67" s="100">
        <v>8</v>
      </c>
      <c r="E67" s="100">
        <v>8985.6</v>
      </c>
      <c r="F67" s="100">
        <v>7.9500126090520435</v>
      </c>
      <c r="G67" s="100">
        <v>8929.4541624872563</v>
      </c>
      <c r="H67" s="100">
        <v>7.611216742717394</v>
      </c>
      <c r="I67" s="100">
        <v>8548.9186454201772</v>
      </c>
      <c r="J67" s="100">
        <v>5.7811579935205737</v>
      </c>
      <c r="K67" s="100">
        <v>6493.3966583223082</v>
      </c>
      <c r="L67" s="100">
        <v>7.351619885956854</v>
      </c>
      <c r="M67" s="100">
        <v>8257.3394559067383</v>
      </c>
      <c r="N67" s="100">
        <v>1.7569379736725927</v>
      </c>
      <c r="O67" s="100">
        <v>1973.3927320290563</v>
      </c>
      <c r="P67" s="100">
        <v>7.841206966632349</v>
      </c>
      <c r="Q67" s="100">
        <v>8807.2436649214542</v>
      </c>
      <c r="R67" s="100">
        <v>4.466964825435026</v>
      </c>
      <c r="S67" s="100">
        <v>5017.2948919286218</v>
      </c>
      <c r="T67" s="100">
        <v>6</v>
      </c>
      <c r="U67" s="100">
        <v>6739.2000000000007</v>
      </c>
      <c r="V67" s="100">
        <v>9</v>
      </c>
      <c r="W67" s="100">
        <v>10108.800000000001</v>
      </c>
      <c r="X67" s="100">
        <v>1.5740417241621878</v>
      </c>
      <c r="Y67" s="100">
        <v>1767.9636645789694</v>
      </c>
      <c r="Z67" s="100">
        <v>10</v>
      </c>
      <c r="AA67" s="100">
        <v>11232</v>
      </c>
      <c r="AB67" s="100">
        <v>7.300262328432507</v>
      </c>
      <c r="AC67" s="100">
        <v>8199.6546472953924</v>
      </c>
      <c r="AD67" s="100">
        <v>9.2837316011476076</v>
      </c>
      <c r="AE67" s="100">
        <v>10427.487334408994</v>
      </c>
      <c r="AF67" s="100">
        <v>4.1993662798310085</v>
      </c>
      <c r="AG67" s="100">
        <v>4716.7282055061887</v>
      </c>
      <c r="AH67" s="100">
        <v>7.808401296900513</v>
      </c>
      <c r="AI67" s="100">
        <v>8770.3963366786556</v>
      </c>
      <c r="AJ67" s="100">
        <v>8.9535556842635202</v>
      </c>
      <c r="AK67" s="100">
        <v>10056.633744564786</v>
      </c>
      <c r="AL67" s="100">
        <v>6.2682617630487958E-4</v>
      </c>
      <c r="AM67" s="100">
        <v>0.70405116122564082</v>
      </c>
      <c r="AN67" s="100">
        <v>8.8430024116067241</v>
      </c>
      <c r="AO67" s="100">
        <v>9932.4603087166724</v>
      </c>
      <c r="AP67" s="100">
        <v>6</v>
      </c>
      <c r="AQ67" s="100">
        <v>6739.2000000000007</v>
      </c>
      <c r="AR67" s="100">
        <v>6.6930917487580777</v>
      </c>
      <c r="AS67" s="100">
        <v>7517.6806522050729</v>
      </c>
      <c r="AT67" s="100">
        <v>7.2724026428825974</v>
      </c>
      <c r="AU67" s="100">
        <v>8168.3626484857341</v>
      </c>
      <c r="AV67" s="100">
        <v>7</v>
      </c>
      <c r="AW67" s="100">
        <v>7862.4000000000005</v>
      </c>
      <c r="AX67" s="100">
        <v>6.4725634827266143</v>
      </c>
      <c r="AY67" s="100">
        <v>7269.9833037985336</v>
      </c>
      <c r="AZ67" s="100">
        <v>1.9637473842842486</v>
      </c>
      <c r="BA67" s="100">
        <v>2205.681062028068</v>
      </c>
      <c r="BB67" s="100">
        <v>9.4948347756786191</v>
      </c>
      <c r="BC67" s="100">
        <v>10664.598420042226</v>
      </c>
      <c r="BD67" s="100">
        <v>7.1943551576361493</v>
      </c>
      <c r="BE67" s="100">
        <v>8080.6997130569234</v>
      </c>
      <c r="BF67" s="100">
        <v>7.581781097856056</v>
      </c>
      <c r="BG67" s="100">
        <v>8515.856529111923</v>
      </c>
      <c r="BH67" s="100">
        <v>1.6097886333967142</v>
      </c>
      <c r="BI67" s="100">
        <v>1808.1145930311895</v>
      </c>
      <c r="BJ67" s="100">
        <v>7.5443371500733702</v>
      </c>
      <c r="BK67" s="100">
        <v>8473.799486962409</v>
      </c>
      <c r="BL67" s="100">
        <v>7.0520812283222121</v>
      </c>
      <c r="BM67" s="100">
        <v>7920.8976356515086</v>
      </c>
      <c r="BN67" s="100">
        <v>3.6771232012645929</v>
      </c>
      <c r="BO67" s="100">
        <v>4130.1447796603907</v>
      </c>
      <c r="BP67" s="100">
        <v>8.4242012198400626</v>
      </c>
      <c r="BQ67" s="100">
        <v>9462.0628101243583</v>
      </c>
      <c r="BR67" s="100">
        <v>6.9935540572786236E-4</v>
      </c>
      <c r="BS67" s="100">
        <v>0.78551599171353503</v>
      </c>
      <c r="BT67" s="100">
        <v>6.6247123235825569</v>
      </c>
      <c r="BU67" s="100">
        <v>7440.8768818479284</v>
      </c>
      <c r="BV67" s="100">
        <v>7.4354399284539978</v>
      </c>
      <c r="BW67" s="100">
        <v>8351.4861276395313</v>
      </c>
      <c r="BX67" s="100">
        <v>10</v>
      </c>
      <c r="BY67" s="100">
        <v>11232</v>
      </c>
      <c r="BZ67" s="100">
        <v>7</v>
      </c>
      <c r="CA67" s="100">
        <v>7862.4000000000005</v>
      </c>
      <c r="CB67" s="100">
        <v>1.8519437382097577</v>
      </c>
      <c r="CC67" s="100">
        <v>2080.1032067572</v>
      </c>
      <c r="CD67" s="100">
        <v>5.9361754848636045E-4</v>
      </c>
      <c r="CE67" s="100">
        <v>0.66675123045988005</v>
      </c>
      <c r="CF67" s="100">
        <v>8.0001773331710755</v>
      </c>
      <c r="CG67" s="100">
        <v>8985.7991806177524</v>
      </c>
      <c r="CH67" s="100">
        <v>11</v>
      </c>
      <c r="CI67" s="100">
        <v>12355.2</v>
      </c>
      <c r="CJ67" s="100">
        <v>6.5610243052021167</v>
      </c>
      <c r="CK67" s="100">
        <v>7369.342499603018</v>
      </c>
      <c r="CL67" s="100">
        <v>4.7732256650850307</v>
      </c>
      <c r="CM67" s="100">
        <v>5361.287067023507</v>
      </c>
      <c r="CN67" s="100">
        <v>7.1030143825670091</v>
      </c>
      <c r="CO67" s="100">
        <v>7978.1057544992645</v>
      </c>
      <c r="CP67" s="100">
        <v>7.2608591466240533</v>
      </c>
      <c r="CQ67" s="100">
        <v>8155.396993488137</v>
      </c>
      <c r="CR67" s="100">
        <v>2.1836563383294028</v>
      </c>
      <c r="CS67" s="100">
        <v>2452.6827992115855</v>
      </c>
      <c r="CT67" s="100">
        <v>3.3940566334589848</v>
      </c>
      <c r="CU67" s="100">
        <v>3812.204410701132</v>
      </c>
    </row>
    <row r="68" spans="2:99">
      <c r="C68" s="99" t="s">
        <v>234</v>
      </c>
      <c r="D68" s="100">
        <v>8</v>
      </c>
      <c r="E68" s="100">
        <v>8265.6</v>
      </c>
      <c r="F68" s="100">
        <v>6.3600100872416343</v>
      </c>
      <c r="G68" s="100">
        <v>6571.1624221380571</v>
      </c>
      <c r="H68" s="100">
        <v>7.611216742717394</v>
      </c>
      <c r="I68" s="100">
        <v>7863.9091385756119</v>
      </c>
      <c r="J68" s="100">
        <v>5.7811579935205737</v>
      </c>
      <c r="K68" s="100">
        <v>5973.0924389054571</v>
      </c>
      <c r="L68" s="100">
        <v>6.5347732319616485</v>
      </c>
      <c r="M68" s="100">
        <v>6751.7277032627753</v>
      </c>
      <c r="N68" s="100">
        <v>1.4793275414114739</v>
      </c>
      <c r="O68" s="100">
        <v>1528.4412157863349</v>
      </c>
      <c r="P68" s="100">
        <v>7.841206966632349</v>
      </c>
      <c r="Q68" s="100">
        <v>8101.5350379245428</v>
      </c>
      <c r="R68" s="100">
        <v>4.466964825435026</v>
      </c>
      <c r="S68" s="100">
        <v>4615.2680576394687</v>
      </c>
      <c r="T68" s="100">
        <v>6</v>
      </c>
      <c r="U68" s="100">
        <v>6199.2000000000007</v>
      </c>
      <c r="V68" s="100">
        <v>9</v>
      </c>
      <c r="W68" s="100">
        <v>9298.8000000000011</v>
      </c>
      <c r="X68" s="100">
        <v>1.7489352490690975</v>
      </c>
      <c r="Y68" s="100">
        <v>1806.9998993381917</v>
      </c>
      <c r="Z68" s="100">
        <v>9</v>
      </c>
      <c r="AA68" s="100">
        <v>9298.8000000000011</v>
      </c>
      <c r="AB68" s="100">
        <v>7.300262328432507</v>
      </c>
      <c r="AC68" s="100">
        <v>7542.6310377364662</v>
      </c>
      <c r="AD68" s="100">
        <v>9.3186282682254742</v>
      </c>
      <c r="AE68" s="100">
        <v>9628.0067267305603</v>
      </c>
      <c r="AF68" s="100">
        <v>4.1993662798310085</v>
      </c>
      <c r="AG68" s="100">
        <v>4338.7852403213983</v>
      </c>
      <c r="AH68" s="100">
        <v>7.808401296900513</v>
      </c>
      <c r="AI68" s="100">
        <v>8067.6402199576105</v>
      </c>
      <c r="AJ68" s="100">
        <v>8.9535556842635202</v>
      </c>
      <c r="AK68" s="100">
        <v>9250.8137329810688</v>
      </c>
      <c r="AL68" s="100">
        <v>5.6682667839371022E-4</v>
      </c>
      <c r="AM68" s="100">
        <v>0.58564532411638148</v>
      </c>
      <c r="AN68" s="100">
        <v>9.8430024116067241</v>
      </c>
      <c r="AO68" s="100">
        <v>10169.790091672068</v>
      </c>
      <c r="AP68" s="100">
        <v>6</v>
      </c>
      <c r="AQ68" s="100">
        <v>6199.2000000000007</v>
      </c>
      <c r="AR68" s="100">
        <v>6.6930917487580777</v>
      </c>
      <c r="AS68" s="100">
        <v>6915.3023948168466</v>
      </c>
      <c r="AT68" s="100">
        <v>7.2724026428825974</v>
      </c>
      <c r="AU68" s="100">
        <v>7513.8464106263</v>
      </c>
      <c r="AV68" s="100">
        <v>6</v>
      </c>
      <c r="AW68" s="100">
        <v>6199.2000000000007</v>
      </c>
      <c r="AX68" s="100">
        <v>6.5842811899360747</v>
      </c>
      <c r="AY68" s="100">
        <v>6802.8793254419525</v>
      </c>
      <c r="AZ68" s="100">
        <v>2.1741925482631332</v>
      </c>
      <c r="BA68" s="100">
        <v>2246.3757408654692</v>
      </c>
      <c r="BB68" s="100">
        <v>9.4948347756786191</v>
      </c>
      <c r="BC68" s="100">
        <v>9810.0632902311499</v>
      </c>
      <c r="BD68" s="100">
        <v>7.1943551576361493</v>
      </c>
      <c r="BE68" s="100">
        <v>7433.2077488696696</v>
      </c>
      <c r="BF68" s="100">
        <v>8.4242012198400626</v>
      </c>
      <c r="BG68" s="100">
        <v>8703.8847003387527</v>
      </c>
      <c r="BH68" s="100">
        <v>1.8016915617964293</v>
      </c>
      <c r="BI68" s="100">
        <v>1861.5077216480709</v>
      </c>
      <c r="BJ68" s="100">
        <v>8.5443371500733711</v>
      </c>
      <c r="BK68" s="100">
        <v>8828.0091434558071</v>
      </c>
      <c r="BL68" s="100">
        <v>7.8356458092469028</v>
      </c>
      <c r="BM68" s="100">
        <v>8095.7892501139004</v>
      </c>
      <c r="BN68" s="100">
        <v>3.6771232012645929</v>
      </c>
      <c r="BO68" s="100">
        <v>3799.2036915465774</v>
      </c>
      <c r="BP68" s="100">
        <v>8.4242012198400626</v>
      </c>
      <c r="BQ68" s="100">
        <v>8703.8847003387527</v>
      </c>
      <c r="BR68" s="100">
        <v>6.3195375359190121E-4</v>
      </c>
      <c r="BS68" s="100">
        <v>0.6529346182111524</v>
      </c>
      <c r="BT68" s="100">
        <v>6.626702336277301</v>
      </c>
      <c r="BU68" s="100">
        <v>6846.7088538417074</v>
      </c>
      <c r="BV68" s="100">
        <v>7.3265799463404981</v>
      </c>
      <c r="BW68" s="100">
        <v>7569.8224005590027</v>
      </c>
      <c r="BX68" s="100">
        <v>10</v>
      </c>
      <c r="BY68" s="100">
        <v>10332</v>
      </c>
      <c r="BZ68" s="100">
        <v>6</v>
      </c>
      <c r="CA68" s="100">
        <v>6199.2000000000007</v>
      </c>
      <c r="CB68" s="100">
        <v>1.6204507709335381</v>
      </c>
      <c r="CC68" s="100">
        <v>1674.2497365285317</v>
      </c>
      <c r="CD68" s="100">
        <v>5.9361754848636045E-4</v>
      </c>
      <c r="CE68" s="100">
        <v>0.61332565109610759</v>
      </c>
      <c r="CF68" s="100">
        <v>9.0001773331710755</v>
      </c>
      <c r="CG68" s="100">
        <v>9298.9832206323554</v>
      </c>
      <c r="CH68" s="100">
        <v>9</v>
      </c>
      <c r="CI68" s="100">
        <v>9298.8000000000011</v>
      </c>
      <c r="CJ68" s="100">
        <v>6.5610243052021167</v>
      </c>
      <c r="CK68" s="100">
        <v>6778.8503121348276</v>
      </c>
      <c r="CL68" s="100">
        <v>5.5687632759325352</v>
      </c>
      <c r="CM68" s="100">
        <v>5753.6462166934953</v>
      </c>
      <c r="CN68" s="100">
        <v>7.1030143825670091</v>
      </c>
      <c r="CO68" s="100">
        <v>7338.834460068234</v>
      </c>
      <c r="CP68" s="100">
        <v>8.0676212740267257</v>
      </c>
      <c r="CQ68" s="100">
        <v>8335.4663003244132</v>
      </c>
      <c r="CR68" s="100">
        <v>2.1836563383294028</v>
      </c>
      <c r="CS68" s="100">
        <v>2256.153728761939</v>
      </c>
      <c r="CT68" s="100">
        <v>3.3702692495343145</v>
      </c>
      <c r="CU68" s="100">
        <v>3482.1621886188541</v>
      </c>
    </row>
    <row r="69" spans="2:99">
      <c r="C69" s="99" t="s">
        <v>235</v>
      </c>
      <c r="D69" s="100">
        <v>8</v>
      </c>
      <c r="E69" s="100">
        <v>6067.2</v>
      </c>
      <c r="F69" s="100">
        <v>7.9500126090520435</v>
      </c>
      <c r="G69" s="100">
        <v>6029.2895627050693</v>
      </c>
      <c r="H69" s="100">
        <v>7.611216742717394</v>
      </c>
      <c r="I69" s="100">
        <v>5772.3467776768712</v>
      </c>
      <c r="J69" s="100">
        <v>5.7811579935205737</v>
      </c>
      <c r="K69" s="100">
        <v>4384.4302222860033</v>
      </c>
      <c r="L69" s="100">
        <v>7.351619885956854</v>
      </c>
      <c r="M69" s="100">
        <v>5575.4685215096779</v>
      </c>
      <c r="N69" s="100">
        <v>1.4787162525055109</v>
      </c>
      <c r="O69" s="100">
        <v>1121.4584059001795</v>
      </c>
      <c r="P69" s="100">
        <v>7.841206966632349</v>
      </c>
      <c r="Q69" s="100">
        <v>5946.7713634939737</v>
      </c>
      <c r="R69" s="100">
        <v>3.908594222255648</v>
      </c>
      <c r="S69" s="100">
        <v>2964.2778581586836</v>
      </c>
      <c r="T69" s="100">
        <v>6</v>
      </c>
      <c r="U69" s="100">
        <v>4550.3999999999996</v>
      </c>
      <c r="V69" s="100">
        <v>9</v>
      </c>
      <c r="W69" s="100">
        <v>6825.5999999999995</v>
      </c>
      <c r="X69" s="100">
        <v>1.5740417241621878</v>
      </c>
      <c r="Y69" s="100">
        <v>1193.7532436046031</v>
      </c>
      <c r="Z69" s="100">
        <v>10</v>
      </c>
      <c r="AA69" s="100">
        <v>7584</v>
      </c>
      <c r="AB69" s="100">
        <v>7.9639225401081903</v>
      </c>
      <c r="AC69" s="100">
        <v>6039.8388544180516</v>
      </c>
      <c r="AD69" s="100">
        <v>8.3728067745717798</v>
      </c>
      <c r="AE69" s="100">
        <v>6349.9366578352374</v>
      </c>
      <c r="AF69" s="100">
        <v>3.6744454948521326</v>
      </c>
      <c r="AG69" s="100">
        <v>2786.6994632958572</v>
      </c>
      <c r="AH69" s="100">
        <v>8.808401296900513</v>
      </c>
      <c r="AI69" s="100">
        <v>6680.2915435693485</v>
      </c>
      <c r="AJ69" s="100">
        <v>8.9535556842635202</v>
      </c>
      <c r="AK69" s="100">
        <v>6790.3766309454531</v>
      </c>
      <c r="AL69" s="100">
        <v>5.6682667839371022E-4</v>
      </c>
      <c r="AM69" s="100">
        <v>0.42988135289378981</v>
      </c>
      <c r="AN69" s="100">
        <v>10.843002411606724</v>
      </c>
      <c r="AO69" s="100">
        <v>8223.3330289625392</v>
      </c>
      <c r="AP69" s="100">
        <v>6</v>
      </c>
      <c r="AQ69" s="100">
        <v>4550.3999999999996</v>
      </c>
      <c r="AR69" s="100">
        <v>6.6930917487580777</v>
      </c>
      <c r="AS69" s="100">
        <v>5076.0407822581255</v>
      </c>
      <c r="AT69" s="100">
        <v>7.2724026428825974</v>
      </c>
      <c r="AU69" s="100">
        <v>5515.3901643621621</v>
      </c>
      <c r="AV69" s="100">
        <v>7</v>
      </c>
      <c r="AW69" s="100">
        <v>5308.8</v>
      </c>
      <c r="AX69" s="100">
        <v>7.3095633448698063</v>
      </c>
      <c r="AY69" s="100">
        <v>5543.5728407492606</v>
      </c>
      <c r="AZ69" s="100">
        <v>2.394600699166916</v>
      </c>
      <c r="BA69" s="100">
        <v>1816.0651702481891</v>
      </c>
      <c r="BB69" s="100">
        <v>9.4948347756786191</v>
      </c>
      <c r="BC69" s="100">
        <v>7200.8826938746643</v>
      </c>
      <c r="BD69" s="100">
        <v>8.9929439470451857</v>
      </c>
      <c r="BE69" s="100">
        <v>6820.2486894390686</v>
      </c>
      <c r="BF69" s="100">
        <v>7.581781097856056</v>
      </c>
      <c r="BG69" s="100">
        <v>5750.0227846140324</v>
      </c>
      <c r="BH69" s="100">
        <v>1.8016915617964293</v>
      </c>
      <c r="BI69" s="100">
        <v>1366.4028804664119</v>
      </c>
      <c r="BJ69" s="100">
        <v>7.5443371500733702</v>
      </c>
      <c r="BK69" s="100">
        <v>5721.6252946156437</v>
      </c>
      <c r="BL69" s="100">
        <v>7.0520812283222121</v>
      </c>
      <c r="BM69" s="100">
        <v>5348.2984035595655</v>
      </c>
      <c r="BN69" s="100">
        <v>4.4125478415175126</v>
      </c>
      <c r="BO69" s="100">
        <v>3346.4762830068812</v>
      </c>
      <c r="BP69" s="100">
        <v>9.2666213418240684</v>
      </c>
      <c r="BQ69" s="100">
        <v>7027.8056256393729</v>
      </c>
      <c r="BR69" s="100">
        <v>6.3046323098200419E-4</v>
      </c>
      <c r="BS69" s="100">
        <v>0.47814331437675195</v>
      </c>
      <c r="BT69" s="100">
        <v>7.2644052800834311</v>
      </c>
      <c r="BU69" s="100">
        <v>5509.3249644152738</v>
      </c>
      <c r="BV69" s="100">
        <v>8.4354399284539969</v>
      </c>
      <c r="BW69" s="100">
        <v>6397.4376417395115</v>
      </c>
      <c r="BX69" s="100">
        <v>10</v>
      </c>
      <c r="BY69" s="100">
        <v>7584</v>
      </c>
      <c r="BZ69" s="100">
        <v>7</v>
      </c>
      <c r="CA69" s="100">
        <v>5308.8</v>
      </c>
      <c r="CB69" s="100">
        <v>1.6204507709335381</v>
      </c>
      <c r="CC69" s="100">
        <v>1228.9498646759953</v>
      </c>
      <c r="CD69" s="100">
        <v>6.5297930333499648E-4</v>
      </c>
      <c r="CE69" s="100">
        <v>0.49521950364926132</v>
      </c>
      <c r="CF69" s="100">
        <v>7.0002216664638457</v>
      </c>
      <c r="CG69" s="100">
        <v>5308.9681118461804</v>
      </c>
      <c r="CH69" s="100">
        <v>11</v>
      </c>
      <c r="CI69" s="100">
        <v>8342.4</v>
      </c>
      <c r="CJ69" s="100">
        <v>7.3811523433523814</v>
      </c>
      <c r="CK69" s="100">
        <v>5597.8659371984459</v>
      </c>
      <c r="CL69" s="100">
        <v>5.5687632759325352</v>
      </c>
      <c r="CM69" s="100">
        <v>4223.3500684672345</v>
      </c>
      <c r="CN69" s="100">
        <v>7.1030143825670091</v>
      </c>
      <c r="CO69" s="100">
        <v>5386.9261077388192</v>
      </c>
      <c r="CP69" s="100">
        <v>8.0676212740267257</v>
      </c>
      <c r="CQ69" s="100">
        <v>6118.4839742218683</v>
      </c>
      <c r="CR69" s="100">
        <v>2.1836563383294028</v>
      </c>
      <c r="CS69" s="100">
        <v>1656.084966989019</v>
      </c>
      <c r="CT69" s="100">
        <v>3.3940566334589848</v>
      </c>
      <c r="CU69" s="100">
        <v>2574.0525508152941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7.9500126090520435</v>
      </c>
      <c r="G70" s="100">
        <v>4254.8467483646527</v>
      </c>
      <c r="H70" s="100">
        <v>6.850095068445655</v>
      </c>
      <c r="I70" s="100">
        <v>3666.1708806321139</v>
      </c>
      <c r="J70" s="100">
        <v>5.7811579935205737</v>
      </c>
      <c r="K70" s="100">
        <v>3094.0757581322105</v>
      </c>
      <c r="L70" s="100">
        <v>7.351619885956854</v>
      </c>
      <c r="M70" s="100">
        <v>3934.5869629641079</v>
      </c>
      <c r="N70" s="100">
        <v>1.7563266847666297</v>
      </c>
      <c r="O70" s="100">
        <v>939.98604168710006</v>
      </c>
      <c r="P70" s="100">
        <v>7.9814081277377404</v>
      </c>
      <c r="Q70" s="100">
        <v>4271.6496299652381</v>
      </c>
      <c r="R70" s="100">
        <v>4.466964825435026</v>
      </c>
      <c r="S70" s="100">
        <v>2390.7195745728254</v>
      </c>
      <c r="T70" s="100">
        <v>6</v>
      </c>
      <c r="U70" s="100">
        <v>3211.2</v>
      </c>
      <c r="V70" s="100">
        <v>10</v>
      </c>
      <c r="W70" s="100">
        <v>5351.9999999999991</v>
      </c>
      <c r="X70" s="100">
        <v>1.9238287739760072</v>
      </c>
      <c r="Y70" s="100">
        <v>1029.6331598319589</v>
      </c>
      <c r="Z70" s="100">
        <v>10</v>
      </c>
      <c r="AA70" s="100">
        <v>5351.9999999999991</v>
      </c>
      <c r="AB70" s="100">
        <v>7.300262328432507</v>
      </c>
      <c r="AC70" s="100">
        <v>3907.1003981770773</v>
      </c>
      <c r="AD70" s="100">
        <v>9.3186282682254742</v>
      </c>
      <c r="AE70" s="100">
        <v>4987.3298491542728</v>
      </c>
      <c r="AF70" s="100">
        <v>3.6744454948521326</v>
      </c>
      <c r="AG70" s="100">
        <v>1966.563228844861</v>
      </c>
      <c r="AH70" s="100">
        <v>7.9700815562806158</v>
      </c>
      <c r="AI70" s="100">
        <v>4265.5876489213852</v>
      </c>
      <c r="AJ70" s="100">
        <v>8.9535556842635202</v>
      </c>
      <c r="AK70" s="100">
        <v>4791.9430022178358</v>
      </c>
      <c r="AL70" s="100">
        <v>5.6682667839371022E-4</v>
      </c>
      <c r="AM70" s="100">
        <v>0.30336563827631369</v>
      </c>
      <c r="AN70" s="100">
        <v>10.011602893928067</v>
      </c>
      <c r="AO70" s="100">
        <v>5358.2098688303013</v>
      </c>
      <c r="AP70" s="100">
        <v>6</v>
      </c>
      <c r="AQ70" s="100">
        <v>3211.2</v>
      </c>
      <c r="AR70" s="100">
        <v>7.6492477128663738</v>
      </c>
      <c r="AS70" s="100">
        <v>4093.8773759260825</v>
      </c>
      <c r="AT70" s="100">
        <v>7.9996429071708572</v>
      </c>
      <c r="AU70" s="100">
        <v>4281.4088839178421</v>
      </c>
      <c r="AV70" s="100">
        <v>8.0255394184537057</v>
      </c>
      <c r="AW70" s="100">
        <v>4295.2686967564223</v>
      </c>
      <c r="AX70" s="100">
        <v>7.1978456376603468</v>
      </c>
      <c r="AY70" s="100">
        <v>3852.2869852758172</v>
      </c>
      <c r="AZ70" s="100">
        <v>2.394600699166916</v>
      </c>
      <c r="BA70" s="100">
        <v>1281.5902941941333</v>
      </c>
      <c r="BB70" s="100">
        <v>11.494834775678619</v>
      </c>
      <c r="BC70" s="100">
        <v>6152.0355719431964</v>
      </c>
      <c r="BD70" s="100">
        <v>8.0936495523406684</v>
      </c>
      <c r="BE70" s="100">
        <v>4331.7212404127249</v>
      </c>
      <c r="BF70" s="100">
        <v>8.4242012198400626</v>
      </c>
      <c r="BG70" s="100">
        <v>4508.6324928584008</v>
      </c>
      <c r="BH70" s="100">
        <v>1.8016915617964293</v>
      </c>
      <c r="BI70" s="100">
        <v>964.26532387344889</v>
      </c>
      <c r="BJ70" s="100">
        <v>8.680421437591713</v>
      </c>
      <c r="BK70" s="100">
        <v>4645.7615533990838</v>
      </c>
      <c r="BL70" s="100">
        <v>7.0520812283222121</v>
      </c>
      <c r="BM70" s="100">
        <v>3774.2738733980473</v>
      </c>
      <c r="BN70" s="100">
        <v>4.4125478415175126</v>
      </c>
      <c r="BO70" s="100">
        <v>2361.5956047801724</v>
      </c>
      <c r="BP70" s="100">
        <v>9.2666213418240684</v>
      </c>
      <c r="BQ70" s="100">
        <v>4959.4957421442405</v>
      </c>
      <c r="BR70" s="100">
        <v>7.0233645094765651E-4</v>
      </c>
      <c r="BS70" s="100">
        <v>0.37589046854718572</v>
      </c>
      <c r="BT70" s="100">
        <v>7.2663952927781752</v>
      </c>
      <c r="BU70" s="100">
        <v>3888.974760694879</v>
      </c>
      <c r="BV70" s="100">
        <v>7.4354399284539978</v>
      </c>
      <c r="BW70" s="100">
        <v>3979.4474497085789</v>
      </c>
      <c r="BX70" s="100">
        <v>10</v>
      </c>
      <c r="BY70" s="100">
        <v>5351.9999999999991</v>
      </c>
      <c r="BZ70" s="100">
        <v>7</v>
      </c>
      <c r="CA70" s="100">
        <v>3746.3999999999996</v>
      </c>
      <c r="CB70" s="100">
        <v>1.6204507709335381</v>
      </c>
      <c r="CC70" s="100">
        <v>867.26525260362951</v>
      </c>
      <c r="CD70" s="100">
        <v>5.9361754848636045E-4</v>
      </c>
      <c r="CE70" s="100">
        <v>0.31770411194990006</v>
      </c>
      <c r="CF70" s="100">
        <v>8.0002216664638457</v>
      </c>
      <c r="CG70" s="100">
        <v>4281.7186358914496</v>
      </c>
      <c r="CH70" s="100">
        <v>10</v>
      </c>
      <c r="CI70" s="100">
        <v>5351.9999999999991</v>
      </c>
      <c r="CJ70" s="100">
        <v>7.3811523433523814</v>
      </c>
      <c r="CK70" s="100">
        <v>3950.3927341621938</v>
      </c>
      <c r="CL70" s="100">
        <v>5.5687632759325352</v>
      </c>
      <c r="CM70" s="100">
        <v>2980.4021052790927</v>
      </c>
      <c r="CN70" s="100">
        <v>7.1030143825670091</v>
      </c>
      <c r="CO70" s="100">
        <v>3801.5332975498627</v>
      </c>
      <c r="CP70" s="100">
        <v>8.8743834014293999</v>
      </c>
      <c r="CQ70" s="100">
        <v>4749.5699964450141</v>
      </c>
      <c r="CR70" s="100">
        <v>2.1836563383294028</v>
      </c>
      <c r="CS70" s="100">
        <v>1168.6928722738962</v>
      </c>
      <c r="CT70" s="100">
        <v>3.3964353718514517</v>
      </c>
      <c r="CU70" s="100">
        <v>1817.7722110148968</v>
      </c>
    </row>
    <row r="71" spans="2:99">
      <c r="B71" s="99" t="s">
        <v>130</v>
      </c>
      <c r="C71" s="99" t="s">
        <v>237</v>
      </c>
      <c r="D71" s="100">
        <v>4.0026788659737296</v>
      </c>
      <c r="E71" s="100">
        <v>2257.5108804091833</v>
      </c>
      <c r="F71" s="100">
        <v>2.7704390875022473</v>
      </c>
      <c r="G71" s="100">
        <v>1562.5276453512674</v>
      </c>
      <c r="H71" s="100">
        <v>7.0074480504623349</v>
      </c>
      <c r="I71" s="100">
        <v>3952.2007004607567</v>
      </c>
      <c r="J71" s="100">
        <v>0.71225870679774861</v>
      </c>
      <c r="K71" s="100">
        <v>401.7139106339302</v>
      </c>
      <c r="L71" s="100">
        <v>6.307409546669696</v>
      </c>
      <c r="M71" s="100">
        <v>3557.3789843217087</v>
      </c>
      <c r="N71" s="100">
        <v>7</v>
      </c>
      <c r="O71" s="100">
        <v>3948</v>
      </c>
      <c r="P71" s="100">
        <v>6.7680359206600533</v>
      </c>
      <c r="Q71" s="100">
        <v>3817.1722592522701</v>
      </c>
      <c r="R71" s="100">
        <v>3.1575327834138993</v>
      </c>
      <c r="S71" s="100">
        <v>1780.8484898454392</v>
      </c>
      <c r="T71" s="100">
        <v>5</v>
      </c>
      <c r="U71" s="100">
        <v>2820</v>
      </c>
      <c r="V71" s="100">
        <v>6.9580542559076539</v>
      </c>
      <c r="W71" s="100">
        <v>3924.3426003319169</v>
      </c>
      <c r="X71" s="100">
        <v>5</v>
      </c>
      <c r="Y71" s="100">
        <v>2820</v>
      </c>
      <c r="Z71" s="100">
        <v>5.3162899494676488</v>
      </c>
      <c r="AA71" s="100">
        <v>2998.387531499754</v>
      </c>
      <c r="AB71" s="100">
        <v>5.7866615086739657</v>
      </c>
      <c r="AC71" s="100">
        <v>3263.6770908921167</v>
      </c>
      <c r="AD71" s="100">
        <v>5.4873330593299245</v>
      </c>
      <c r="AE71" s="100">
        <v>3094.8558454620775</v>
      </c>
      <c r="AF71" s="100">
        <v>6.0558955944432942</v>
      </c>
      <c r="AG71" s="100">
        <v>3415.525115266018</v>
      </c>
      <c r="AH71" s="100">
        <v>7</v>
      </c>
      <c r="AI71" s="100">
        <v>3948</v>
      </c>
      <c r="AJ71" s="100">
        <v>4.0571648116882182</v>
      </c>
      <c r="AK71" s="100">
        <v>2288.2409537921549</v>
      </c>
      <c r="AL71" s="100">
        <v>3.1940744541640571</v>
      </c>
      <c r="AM71" s="100">
        <v>1801.4579921485283</v>
      </c>
      <c r="AN71" s="100">
        <v>8</v>
      </c>
      <c r="AO71" s="100">
        <v>4512</v>
      </c>
      <c r="AP71" s="100">
        <v>4.0654944641889017</v>
      </c>
      <c r="AQ71" s="100">
        <v>2292.9388778025404</v>
      </c>
      <c r="AR71" s="100">
        <v>6.0065910255727601</v>
      </c>
      <c r="AS71" s="100">
        <v>3387.7173384230368</v>
      </c>
      <c r="AT71" s="100">
        <v>6</v>
      </c>
      <c r="AU71" s="100">
        <v>3384</v>
      </c>
      <c r="AV71" s="100">
        <v>7</v>
      </c>
      <c r="AW71" s="100">
        <v>3948</v>
      </c>
      <c r="AX71" s="100">
        <v>2.2296421317817146</v>
      </c>
      <c r="AY71" s="100">
        <v>1257.518162324887</v>
      </c>
      <c r="AZ71" s="100">
        <v>5.1844485206573934</v>
      </c>
      <c r="BA71" s="100">
        <v>2924.0289656507698</v>
      </c>
      <c r="BB71" s="100">
        <v>6.7117695753058966</v>
      </c>
      <c r="BC71" s="100">
        <v>3785.4380404725257</v>
      </c>
      <c r="BD71" s="100">
        <v>5.3784536851065345</v>
      </c>
      <c r="BE71" s="100">
        <v>3033.4478784000853</v>
      </c>
      <c r="BF71" s="100">
        <v>3.1016540400812631</v>
      </c>
      <c r="BG71" s="100">
        <v>1749.3328786058323</v>
      </c>
      <c r="BH71" s="100">
        <v>7.9772708310210607</v>
      </c>
      <c r="BI71" s="100">
        <v>4499.1807486958778</v>
      </c>
      <c r="BJ71" s="100">
        <v>6.3916922084453649</v>
      </c>
      <c r="BK71" s="100">
        <v>3604.9144055631859</v>
      </c>
      <c r="BL71" s="100">
        <v>5.5514674442876775</v>
      </c>
      <c r="BM71" s="100">
        <v>3131.0276385782499</v>
      </c>
      <c r="BN71" s="100">
        <v>7.8606125281183256E-2</v>
      </c>
      <c r="BO71" s="100">
        <v>44.333854658587356</v>
      </c>
      <c r="BP71" s="100">
        <v>5.6291522352256349</v>
      </c>
      <c r="BQ71" s="100">
        <v>3174.8418606672581</v>
      </c>
      <c r="BR71" s="100">
        <v>8.6440538045999755</v>
      </c>
      <c r="BS71" s="100">
        <v>4875.2463457943859</v>
      </c>
      <c r="BT71" s="100">
        <v>5</v>
      </c>
      <c r="BU71" s="100">
        <v>2820</v>
      </c>
      <c r="BV71" s="100">
        <v>8.3548101350174946</v>
      </c>
      <c r="BW71" s="100">
        <v>4712.1129161498666</v>
      </c>
      <c r="BX71" s="100">
        <v>5.4746377583694947</v>
      </c>
      <c r="BY71" s="100">
        <v>3087.6956957203952</v>
      </c>
      <c r="BZ71" s="100">
        <v>2.9892607188164209</v>
      </c>
      <c r="CA71" s="100">
        <v>1685.9430454124613</v>
      </c>
      <c r="CB71" s="100">
        <v>5.8316240118531537</v>
      </c>
      <c r="CC71" s="100">
        <v>3289.0359426851787</v>
      </c>
      <c r="CD71" s="100">
        <v>2.3397409984438329</v>
      </c>
      <c r="CE71" s="100">
        <v>1319.6139231223217</v>
      </c>
      <c r="CF71" s="100">
        <v>5.1671975851788012</v>
      </c>
      <c r="CG71" s="100">
        <v>2914.2994380408441</v>
      </c>
      <c r="CH71" s="100">
        <v>8.019369891562377</v>
      </c>
      <c r="CI71" s="100">
        <v>4522.9246188411807</v>
      </c>
      <c r="CJ71" s="100">
        <v>4</v>
      </c>
      <c r="CK71" s="100">
        <v>2256</v>
      </c>
      <c r="CL71" s="100">
        <v>3.5643600413069421</v>
      </c>
      <c r="CM71" s="100">
        <v>2010.2990632971153</v>
      </c>
      <c r="CN71" s="100">
        <v>5.3785914819068719</v>
      </c>
      <c r="CO71" s="100">
        <v>3033.5255957954755</v>
      </c>
      <c r="CP71" s="100">
        <v>2.2786879939188323</v>
      </c>
      <c r="CQ71" s="100">
        <v>1285.1800285702213</v>
      </c>
      <c r="CR71" s="100">
        <v>7.9094644554439633</v>
      </c>
      <c r="CS71" s="100">
        <v>4460.9379528703948</v>
      </c>
      <c r="CT71" s="100">
        <v>4.926505717630989</v>
      </c>
      <c r="CU71" s="100">
        <v>2778.5492247438779</v>
      </c>
    </row>
    <row r="72" spans="2:99">
      <c r="C72" s="99" t="s">
        <v>238</v>
      </c>
      <c r="D72" s="100">
        <v>5.0026788659737296</v>
      </c>
      <c r="E72" s="100">
        <v>372.19930762844541</v>
      </c>
      <c r="F72" s="100">
        <v>3.1810758634002014</v>
      </c>
      <c r="G72" s="100">
        <v>236.67204423697495</v>
      </c>
      <c r="H72" s="100">
        <v>8.0074480504623349</v>
      </c>
      <c r="I72" s="100">
        <v>595.75413495439761</v>
      </c>
      <c r="J72" s="100">
        <v>0.88810261681751457</v>
      </c>
      <c r="K72" s="100">
        <v>66.074834691223074</v>
      </c>
      <c r="L72" s="100">
        <v>6.307409546669696</v>
      </c>
      <c r="M72" s="100">
        <v>469.27127027222531</v>
      </c>
      <c r="N72" s="100">
        <v>7</v>
      </c>
      <c r="O72" s="100">
        <v>520.79999999999995</v>
      </c>
      <c r="P72" s="100">
        <v>7.7348981950400608</v>
      </c>
      <c r="Q72" s="100">
        <v>575.47642571098049</v>
      </c>
      <c r="R72" s="100">
        <v>3.1575327834138993</v>
      </c>
      <c r="S72" s="100">
        <v>234.92043908599408</v>
      </c>
      <c r="T72" s="100">
        <v>5</v>
      </c>
      <c r="U72" s="100">
        <v>371.99999999999994</v>
      </c>
      <c r="V72" s="100">
        <v>6.9580542559076539</v>
      </c>
      <c r="W72" s="100">
        <v>517.67923663952934</v>
      </c>
      <c r="X72" s="100">
        <v>6</v>
      </c>
      <c r="Y72" s="100">
        <v>446.4</v>
      </c>
      <c r="Z72" s="100">
        <v>6.0757599422487409</v>
      </c>
      <c r="AA72" s="100">
        <v>452.03653970330629</v>
      </c>
      <c r="AB72" s="100">
        <v>5.7866615086739657</v>
      </c>
      <c r="AC72" s="100">
        <v>430.52761624534298</v>
      </c>
      <c r="AD72" s="100">
        <v>6.8591663241624046</v>
      </c>
      <c r="AE72" s="100">
        <v>510.32197451768286</v>
      </c>
      <c r="AF72" s="100">
        <v>6.0558955944432942</v>
      </c>
      <c r="AG72" s="100">
        <v>450.55863222658104</v>
      </c>
      <c r="AH72" s="100">
        <v>8</v>
      </c>
      <c r="AI72" s="100">
        <v>595.19999999999993</v>
      </c>
      <c r="AJ72" s="100">
        <v>3.550019210227191</v>
      </c>
      <c r="AK72" s="100">
        <v>264.12142924090296</v>
      </c>
      <c r="AL72" s="100">
        <v>3.1940744541640571</v>
      </c>
      <c r="AM72" s="100">
        <v>237.63913938980582</v>
      </c>
      <c r="AN72" s="100">
        <v>9</v>
      </c>
      <c r="AO72" s="100">
        <v>669.59999999999991</v>
      </c>
      <c r="AP72" s="100">
        <v>4.8785933570266815</v>
      </c>
      <c r="AQ72" s="100">
        <v>362.96734576278504</v>
      </c>
      <c r="AR72" s="100">
        <v>6.0065910255727601</v>
      </c>
      <c r="AS72" s="100">
        <v>446.89037230261329</v>
      </c>
      <c r="AT72" s="100">
        <v>6</v>
      </c>
      <c r="AU72" s="100">
        <v>446.4</v>
      </c>
      <c r="AV72" s="100">
        <v>8</v>
      </c>
      <c r="AW72" s="100">
        <v>595.19999999999993</v>
      </c>
      <c r="AX72" s="100">
        <v>2.6755705581380576</v>
      </c>
      <c r="AY72" s="100">
        <v>199.06244952547146</v>
      </c>
      <c r="AZ72" s="100">
        <v>6.1844485206573934</v>
      </c>
      <c r="BA72" s="100">
        <v>460.12296993691001</v>
      </c>
      <c r="BB72" s="100">
        <v>6.7117695753058966</v>
      </c>
      <c r="BC72" s="100">
        <v>499.35565640275865</v>
      </c>
      <c r="BD72" s="100">
        <v>5.3784536851065345</v>
      </c>
      <c r="BE72" s="100">
        <v>400.15695417192615</v>
      </c>
      <c r="BF72" s="100">
        <v>2.8155870791674684</v>
      </c>
      <c r="BG72" s="100">
        <v>209.47967869005961</v>
      </c>
      <c r="BH72" s="100">
        <v>6.9772708310210607</v>
      </c>
      <c r="BI72" s="100">
        <v>519.10894982796685</v>
      </c>
      <c r="BJ72" s="100">
        <v>7.1906537345010353</v>
      </c>
      <c r="BK72" s="100">
        <v>534.98463784687692</v>
      </c>
      <c r="BL72" s="100">
        <v>6.1682971603196419</v>
      </c>
      <c r="BM72" s="100">
        <v>458.92130872778131</v>
      </c>
      <c r="BN72" s="100">
        <v>9.1707146161380468E-2</v>
      </c>
      <c r="BO72" s="100">
        <v>6.8230116744067058</v>
      </c>
      <c r="BP72" s="100">
        <v>5.0259662703993664</v>
      </c>
      <c r="BQ72" s="100">
        <v>373.93189051771282</v>
      </c>
      <c r="BR72" s="100">
        <v>8.6440538045999755</v>
      </c>
      <c r="BS72" s="100">
        <v>643.11760306223812</v>
      </c>
      <c r="BT72" s="100">
        <v>5</v>
      </c>
      <c r="BU72" s="100">
        <v>371.99999999999994</v>
      </c>
      <c r="BV72" s="100">
        <v>7.5193291215157458</v>
      </c>
      <c r="BW72" s="100">
        <v>559.43808664077142</v>
      </c>
      <c r="BX72" s="100">
        <v>5.4746377583694947</v>
      </c>
      <c r="BY72" s="100">
        <v>407.31304922269038</v>
      </c>
      <c r="BZ72" s="100">
        <v>2.9892607188164209</v>
      </c>
      <c r="CA72" s="100">
        <v>222.40099747994168</v>
      </c>
      <c r="CB72" s="100">
        <v>6.7214453228941498</v>
      </c>
      <c r="CC72" s="100">
        <v>500.07553202332468</v>
      </c>
      <c r="CD72" s="100">
        <v>2.9199117433123059</v>
      </c>
      <c r="CE72" s="100">
        <v>217.24143370243553</v>
      </c>
      <c r="CF72" s="100">
        <v>5.1671975851788012</v>
      </c>
      <c r="CG72" s="100">
        <v>384.43950033730277</v>
      </c>
      <c r="CH72" s="100">
        <v>9.019369891562377</v>
      </c>
      <c r="CI72" s="100">
        <v>671.0411199322408</v>
      </c>
      <c r="CJ72" s="100">
        <v>5</v>
      </c>
      <c r="CK72" s="100">
        <v>371.99999999999994</v>
      </c>
      <c r="CL72" s="100">
        <v>4.4554500516336777</v>
      </c>
      <c r="CM72" s="100">
        <v>331.4854838415456</v>
      </c>
      <c r="CN72" s="100">
        <v>5.3785914819068719</v>
      </c>
      <c r="CO72" s="100">
        <v>400.1672062538712</v>
      </c>
      <c r="CP72" s="100">
        <v>2.7273387190644272</v>
      </c>
      <c r="CQ72" s="100">
        <v>202.91400069839335</v>
      </c>
      <c r="CR72" s="100">
        <v>7.0610418646846238</v>
      </c>
      <c r="CS72" s="100">
        <v>525.34151473253598</v>
      </c>
      <c r="CT72" s="100">
        <v>6.1581321470387369</v>
      </c>
      <c r="CU72" s="100">
        <v>458.16503173968198</v>
      </c>
    </row>
    <row r="73" spans="2:99">
      <c r="C73" s="99" t="s">
        <v>239</v>
      </c>
      <c r="D73" s="100">
        <v>5.0026788659737296</v>
      </c>
      <c r="E73" s="100">
        <v>2797.4980218525093</v>
      </c>
      <c r="F73" s="100">
        <v>3.1290666915084859</v>
      </c>
      <c r="G73" s="100">
        <v>1749.7740938915451</v>
      </c>
      <c r="H73" s="100">
        <v>5.8395400420519463</v>
      </c>
      <c r="I73" s="100">
        <v>3265.4707915154481</v>
      </c>
      <c r="J73" s="100">
        <v>0.80050735748575763</v>
      </c>
      <c r="K73" s="100">
        <v>447.64371430603563</v>
      </c>
      <c r="L73" s="100">
        <v>6.307409546669696</v>
      </c>
      <c r="M73" s="100">
        <v>3527.1034184976934</v>
      </c>
      <c r="N73" s="100">
        <v>7</v>
      </c>
      <c r="O73" s="100">
        <v>3914.3999999999996</v>
      </c>
      <c r="P73" s="100">
        <v>7.7348981950400608</v>
      </c>
      <c r="Q73" s="100">
        <v>4325.3550706664018</v>
      </c>
      <c r="R73" s="100">
        <v>3.1575327834138993</v>
      </c>
      <c r="S73" s="100">
        <v>1765.6923324850522</v>
      </c>
      <c r="T73" s="100">
        <v>5</v>
      </c>
      <c r="U73" s="100">
        <v>2795.9999999999995</v>
      </c>
      <c r="V73" s="100">
        <v>6.9580542559076539</v>
      </c>
      <c r="W73" s="100">
        <v>3890.9439399035596</v>
      </c>
      <c r="X73" s="100">
        <v>6</v>
      </c>
      <c r="Y73" s="100">
        <v>3355.2</v>
      </c>
      <c r="Z73" s="100">
        <v>6.0757599422487409</v>
      </c>
      <c r="AA73" s="100">
        <v>3397.5649597054953</v>
      </c>
      <c r="AB73" s="100">
        <v>5.0633288200897191</v>
      </c>
      <c r="AC73" s="100">
        <v>2831.4134761941705</v>
      </c>
      <c r="AD73" s="100">
        <v>5.4873330593299245</v>
      </c>
      <c r="AE73" s="100">
        <v>3068.5166467772933</v>
      </c>
      <c r="AF73" s="100">
        <v>5.2989086451378817</v>
      </c>
      <c r="AG73" s="100">
        <v>2963.1497143611032</v>
      </c>
      <c r="AH73" s="100">
        <v>7</v>
      </c>
      <c r="AI73" s="100">
        <v>3914.3999999999996</v>
      </c>
      <c r="AJ73" s="100">
        <v>3.0428736087661634</v>
      </c>
      <c r="AK73" s="100">
        <v>1701.5749220220384</v>
      </c>
      <c r="AL73" s="100">
        <v>2.7948151473935501</v>
      </c>
      <c r="AM73" s="100">
        <v>1562.8606304224729</v>
      </c>
      <c r="AN73" s="100">
        <v>8</v>
      </c>
      <c r="AO73" s="100">
        <v>4473.5999999999995</v>
      </c>
      <c r="AP73" s="100">
        <v>4.8785933570266815</v>
      </c>
      <c r="AQ73" s="100">
        <v>2728.1094052493199</v>
      </c>
      <c r="AR73" s="100">
        <v>6.0065910255727601</v>
      </c>
      <c r="AS73" s="100">
        <v>3358.8857015002873</v>
      </c>
      <c r="AT73" s="100">
        <v>7</v>
      </c>
      <c r="AU73" s="100">
        <v>3914.3999999999996</v>
      </c>
      <c r="AV73" s="100">
        <v>7</v>
      </c>
      <c r="AW73" s="100">
        <v>3914.3999999999996</v>
      </c>
      <c r="AX73" s="100">
        <v>2.6755705581380576</v>
      </c>
      <c r="AY73" s="100">
        <v>1496.1790561108016</v>
      </c>
      <c r="AZ73" s="100">
        <v>6.1844485206573934</v>
      </c>
      <c r="BA73" s="100">
        <v>3458.3436127516138</v>
      </c>
      <c r="BB73" s="100">
        <v>7.5507407722191342</v>
      </c>
      <c r="BC73" s="100">
        <v>4222.3742398249397</v>
      </c>
      <c r="BD73" s="100">
        <v>5.3810718243129614</v>
      </c>
      <c r="BE73" s="100">
        <v>3009.0953641558076</v>
      </c>
      <c r="BF73" s="100">
        <v>3.1052801360438353</v>
      </c>
      <c r="BG73" s="100">
        <v>1736.4726520757124</v>
      </c>
      <c r="BH73" s="100">
        <v>7.9772708310210607</v>
      </c>
      <c r="BI73" s="100">
        <v>4460.8898487069764</v>
      </c>
      <c r="BJ73" s="100">
        <v>5.5927306823896936</v>
      </c>
      <c r="BK73" s="100">
        <v>3127.4549975923164</v>
      </c>
      <c r="BL73" s="100">
        <v>5.5514674442876775</v>
      </c>
      <c r="BM73" s="100">
        <v>3104.3805948456688</v>
      </c>
      <c r="BN73" s="100">
        <v>9.1707146161380468E-2</v>
      </c>
      <c r="BO73" s="100">
        <v>51.282636133443951</v>
      </c>
      <c r="BP73" s="100">
        <v>5.7570477335385224</v>
      </c>
      <c r="BQ73" s="100">
        <v>3219.3410925947414</v>
      </c>
      <c r="BR73" s="100">
        <v>8.6440538045999755</v>
      </c>
      <c r="BS73" s="100">
        <v>4833.7548875323055</v>
      </c>
      <c r="BT73" s="100">
        <v>5</v>
      </c>
      <c r="BU73" s="100">
        <v>2795.9999999999995</v>
      </c>
      <c r="BV73" s="100">
        <v>7.5193291215157458</v>
      </c>
      <c r="BW73" s="100">
        <v>4204.8088447516047</v>
      </c>
      <c r="BX73" s="100">
        <v>5.4746377583694947</v>
      </c>
      <c r="BY73" s="100">
        <v>3061.4174344802209</v>
      </c>
      <c r="BZ73" s="100">
        <v>2.6571206389479296</v>
      </c>
      <c r="CA73" s="100">
        <v>1485.861861299682</v>
      </c>
      <c r="CB73" s="100">
        <v>5.9639990669977614</v>
      </c>
      <c r="CC73" s="100">
        <v>3335.0682782651479</v>
      </c>
      <c r="CD73" s="100">
        <v>2.3445055031863187</v>
      </c>
      <c r="CE73" s="100">
        <v>1311.0474773817893</v>
      </c>
      <c r="CF73" s="100">
        <v>5.1671975851788012</v>
      </c>
      <c r="CG73" s="100">
        <v>2889.4968896319851</v>
      </c>
      <c r="CH73" s="100">
        <v>8.019369891562377</v>
      </c>
      <c r="CI73" s="100">
        <v>4484.4316433616805</v>
      </c>
      <c r="CJ73" s="100">
        <v>4</v>
      </c>
      <c r="CK73" s="100">
        <v>2236.7999999999997</v>
      </c>
      <c r="CL73" s="100">
        <v>4.0099050464703101</v>
      </c>
      <c r="CM73" s="100">
        <v>2242.338901986197</v>
      </c>
      <c r="CN73" s="100">
        <v>5.3785914819068719</v>
      </c>
      <c r="CO73" s="100">
        <v>3007.7083566823226</v>
      </c>
      <c r="CP73" s="100">
        <v>2.287067929126398</v>
      </c>
      <c r="CQ73" s="100">
        <v>1278.9283859674815</v>
      </c>
      <c r="CR73" s="100">
        <v>7.9094644554439633</v>
      </c>
      <c r="CS73" s="100">
        <v>4422.9725234842635</v>
      </c>
      <c r="CT73" s="100">
        <v>6.1581321470387369</v>
      </c>
      <c r="CU73" s="100">
        <v>3443.6274966240612</v>
      </c>
    </row>
    <row r="74" spans="2:99">
      <c r="C74" s="99" t="s">
        <v>240</v>
      </c>
      <c r="D74" s="100">
        <v>5.002232388311441</v>
      </c>
      <c r="E74" s="100">
        <v>2016.9000989671729</v>
      </c>
      <c r="F74" s="100">
        <v>2.8224482593939633</v>
      </c>
      <c r="G74" s="100">
        <v>1138.0111381876459</v>
      </c>
      <c r="H74" s="100">
        <v>7.0074480504623349</v>
      </c>
      <c r="I74" s="100">
        <v>2825.4030539464134</v>
      </c>
      <c r="J74" s="100">
        <v>0.71225870679774861</v>
      </c>
      <c r="K74" s="100">
        <v>287.18271058085224</v>
      </c>
      <c r="L74" s="100">
        <v>6.307409546669696</v>
      </c>
      <c r="M74" s="100">
        <v>2543.1475292172213</v>
      </c>
      <c r="N74" s="100">
        <v>7</v>
      </c>
      <c r="O74" s="100">
        <v>2822.4</v>
      </c>
      <c r="P74" s="100">
        <v>7.7348981950400608</v>
      </c>
      <c r="Q74" s="100">
        <v>3118.7109522401524</v>
      </c>
      <c r="R74" s="100">
        <v>3.1575327834138993</v>
      </c>
      <c r="S74" s="100">
        <v>1273.1172182724843</v>
      </c>
      <c r="T74" s="100">
        <v>5</v>
      </c>
      <c r="U74" s="100">
        <v>2016</v>
      </c>
      <c r="V74" s="100">
        <v>6.9580542559076539</v>
      </c>
      <c r="W74" s="100">
        <v>2805.4874759819659</v>
      </c>
      <c r="X74" s="100">
        <v>5</v>
      </c>
      <c r="Y74" s="100">
        <v>2016</v>
      </c>
      <c r="Z74" s="100">
        <v>6.0757599422487409</v>
      </c>
      <c r="AA74" s="100">
        <v>2449.7464087146923</v>
      </c>
      <c r="AB74" s="100">
        <v>5.7866615086739657</v>
      </c>
      <c r="AC74" s="100">
        <v>2333.1819202973429</v>
      </c>
      <c r="AD74" s="100">
        <v>6.1732496917461646</v>
      </c>
      <c r="AE74" s="100">
        <v>2489.0542757120534</v>
      </c>
      <c r="AF74" s="100">
        <v>6.0558955944432942</v>
      </c>
      <c r="AG74" s="100">
        <v>2441.7371036795362</v>
      </c>
      <c r="AH74" s="100">
        <v>8</v>
      </c>
      <c r="AI74" s="100">
        <v>3225.6</v>
      </c>
      <c r="AJ74" s="100">
        <v>3.0428736087661634</v>
      </c>
      <c r="AK74" s="100">
        <v>1226.886639054517</v>
      </c>
      <c r="AL74" s="100">
        <v>2.7948151473935501</v>
      </c>
      <c r="AM74" s="100">
        <v>1126.8694674290794</v>
      </c>
      <c r="AN74" s="100">
        <v>7</v>
      </c>
      <c r="AO74" s="100">
        <v>2822.4</v>
      </c>
      <c r="AP74" s="100">
        <v>4.8785933570266815</v>
      </c>
      <c r="AQ74" s="100">
        <v>1967.0488415531579</v>
      </c>
      <c r="AR74" s="100">
        <v>6.0065910255727601</v>
      </c>
      <c r="AS74" s="100">
        <v>2421.8575015109368</v>
      </c>
      <c r="AT74" s="100">
        <v>7</v>
      </c>
      <c r="AU74" s="100">
        <v>2822.4</v>
      </c>
      <c r="AV74" s="100">
        <v>7</v>
      </c>
      <c r="AW74" s="100">
        <v>2822.4</v>
      </c>
      <c r="AX74" s="100">
        <v>2.2296421317817146</v>
      </c>
      <c r="AY74" s="100">
        <v>898.99170753438727</v>
      </c>
      <c r="AZ74" s="100">
        <v>6.1844485206573934</v>
      </c>
      <c r="BA74" s="100">
        <v>2493.5696435290611</v>
      </c>
      <c r="BB74" s="100">
        <v>7.5507407722191342</v>
      </c>
      <c r="BC74" s="100">
        <v>3044.458679358755</v>
      </c>
      <c r="BD74" s="100">
        <v>5.3784536851065345</v>
      </c>
      <c r="BE74" s="100">
        <v>2168.5925258349548</v>
      </c>
      <c r="BF74" s="100">
        <v>3.1393005680710564</v>
      </c>
      <c r="BG74" s="100">
        <v>1265.7659890462498</v>
      </c>
      <c r="BH74" s="100">
        <v>7.9772708310210607</v>
      </c>
      <c r="BI74" s="100">
        <v>3216.4355990676918</v>
      </c>
      <c r="BJ74" s="100">
        <v>6.3916922084453649</v>
      </c>
      <c r="BK74" s="100">
        <v>2577.1302984451709</v>
      </c>
      <c r="BL74" s="100">
        <v>5.5514674442876775</v>
      </c>
      <c r="BM74" s="100">
        <v>2238.3516735367916</v>
      </c>
      <c r="BN74" s="100">
        <v>9.1707146161380468E-2</v>
      </c>
      <c r="BO74" s="100">
        <v>36.976321332268604</v>
      </c>
      <c r="BP74" s="100">
        <v>4.8980707720864798</v>
      </c>
      <c r="BQ74" s="100">
        <v>1974.9021353052685</v>
      </c>
      <c r="BR74" s="100">
        <v>8.6440538045999755</v>
      </c>
      <c r="BS74" s="100">
        <v>3485.2824940147102</v>
      </c>
      <c r="BT74" s="100">
        <v>6</v>
      </c>
      <c r="BU74" s="100">
        <v>2419.1999999999998</v>
      </c>
      <c r="BV74" s="100">
        <v>6.6838481080139953</v>
      </c>
      <c r="BW74" s="100">
        <v>2694.927557151243</v>
      </c>
      <c r="BX74" s="100">
        <v>5.4746377583694947</v>
      </c>
      <c r="BY74" s="100">
        <v>2207.3739441745802</v>
      </c>
      <c r="BZ74" s="100">
        <v>2.6571206389479296</v>
      </c>
      <c r="CA74" s="100">
        <v>1071.3510416238053</v>
      </c>
      <c r="CB74" s="100">
        <v>5.2065528111013721</v>
      </c>
      <c r="CC74" s="100">
        <v>2099.2820934360734</v>
      </c>
      <c r="CD74" s="100">
        <v>2.6298263708780691</v>
      </c>
      <c r="CE74" s="100">
        <v>1060.3459927380375</v>
      </c>
      <c r="CF74" s="100">
        <v>6.0518950717726838</v>
      </c>
      <c r="CG74" s="100">
        <v>2440.1240929387459</v>
      </c>
      <c r="CH74" s="100">
        <v>9.019369891562377</v>
      </c>
      <c r="CI74" s="100">
        <v>3636.6099402779505</v>
      </c>
      <c r="CJ74" s="100">
        <v>5</v>
      </c>
      <c r="CK74" s="100">
        <v>2016</v>
      </c>
      <c r="CL74" s="100">
        <v>4.0099050464703101</v>
      </c>
      <c r="CM74" s="100">
        <v>1616.7937147368291</v>
      </c>
      <c r="CN74" s="100">
        <v>5.3785914819068719</v>
      </c>
      <c r="CO74" s="100">
        <v>2168.6480855048508</v>
      </c>
      <c r="CP74" s="100">
        <v>2.7130530558250516</v>
      </c>
      <c r="CQ74" s="100">
        <v>1093.9029921086608</v>
      </c>
      <c r="CR74" s="100">
        <v>6.9094644554439633</v>
      </c>
      <c r="CS74" s="100">
        <v>2785.8960684350059</v>
      </c>
      <c r="CT74" s="100">
        <v>5.5423189323348625</v>
      </c>
      <c r="CU74" s="100">
        <v>2234.6629935174165</v>
      </c>
    </row>
    <row r="75" spans="2:99">
      <c r="C75" s="99" t="s">
        <v>241</v>
      </c>
      <c r="D75" s="100">
        <v>4.002232388311441</v>
      </c>
      <c r="E75" s="100">
        <v>2574.2358721619185</v>
      </c>
      <c r="F75" s="100">
        <v>2.8224482593939633</v>
      </c>
      <c r="G75" s="100">
        <v>1815.3987204421969</v>
      </c>
      <c r="H75" s="100">
        <v>6.8395400420519463</v>
      </c>
      <c r="I75" s="100">
        <v>4399.192155047811</v>
      </c>
      <c r="J75" s="100">
        <v>0.79985396612950566</v>
      </c>
      <c r="K75" s="100">
        <v>514.46607101449797</v>
      </c>
      <c r="L75" s="100">
        <v>6.307409546669696</v>
      </c>
      <c r="M75" s="100">
        <v>4056.9258204179482</v>
      </c>
      <c r="N75" s="100">
        <v>7</v>
      </c>
      <c r="O75" s="100">
        <v>4502.3999999999996</v>
      </c>
      <c r="P75" s="100">
        <v>8.7017604694200674</v>
      </c>
      <c r="Q75" s="100">
        <v>5596.9723339309867</v>
      </c>
      <c r="R75" s="100">
        <v>3.1575327834138993</v>
      </c>
      <c r="S75" s="100">
        <v>2030.9250862918198</v>
      </c>
      <c r="T75" s="100">
        <v>5</v>
      </c>
      <c r="U75" s="100">
        <v>3215.9999999999995</v>
      </c>
      <c r="V75" s="100">
        <v>6.9580542559076539</v>
      </c>
      <c r="W75" s="100">
        <v>4475.4204973998021</v>
      </c>
      <c r="X75" s="100">
        <v>5</v>
      </c>
      <c r="Y75" s="100">
        <v>3215.9999999999995</v>
      </c>
      <c r="Z75" s="100">
        <v>5.3162899494676488</v>
      </c>
      <c r="AA75" s="100">
        <v>3419.4376954975914</v>
      </c>
      <c r="AB75" s="100">
        <v>5.0633288200897191</v>
      </c>
      <c r="AC75" s="100">
        <v>3256.733097081707</v>
      </c>
      <c r="AD75" s="100">
        <v>5.4873330593299245</v>
      </c>
      <c r="AE75" s="100">
        <v>3529.4526237610071</v>
      </c>
      <c r="AF75" s="100">
        <v>5.2989086451378817</v>
      </c>
      <c r="AG75" s="100">
        <v>3408.2580405526851</v>
      </c>
      <c r="AH75" s="100">
        <v>7</v>
      </c>
      <c r="AI75" s="100">
        <v>4502.3999999999996</v>
      </c>
      <c r="AJ75" s="100">
        <v>3.550019210227191</v>
      </c>
      <c r="AK75" s="100">
        <v>2283.3723560181288</v>
      </c>
      <c r="AL75" s="100">
        <v>2.7948151473935501</v>
      </c>
      <c r="AM75" s="100">
        <v>1797.6251028035313</v>
      </c>
      <c r="AN75" s="100">
        <v>8</v>
      </c>
      <c r="AO75" s="100">
        <v>5145.5999999999995</v>
      </c>
      <c r="AP75" s="100">
        <v>4.0654944641889017</v>
      </c>
      <c r="AQ75" s="100">
        <v>2614.9260393663012</v>
      </c>
      <c r="AR75" s="100">
        <v>6.0065910255727601</v>
      </c>
      <c r="AS75" s="100">
        <v>3863.4393476483988</v>
      </c>
      <c r="AT75" s="100">
        <v>7</v>
      </c>
      <c r="AU75" s="100">
        <v>4502.3999999999996</v>
      </c>
      <c r="AV75" s="100">
        <v>7</v>
      </c>
      <c r="AW75" s="100">
        <v>4502.3999999999996</v>
      </c>
      <c r="AX75" s="100">
        <v>2.6755705581380576</v>
      </c>
      <c r="AY75" s="100">
        <v>1720.9269829943985</v>
      </c>
      <c r="AZ75" s="100">
        <v>6.1844485206573934</v>
      </c>
      <c r="BA75" s="100">
        <v>3977.837288486835</v>
      </c>
      <c r="BB75" s="100">
        <v>6.7117695753058966</v>
      </c>
      <c r="BC75" s="100">
        <v>4317.0101908367524</v>
      </c>
      <c r="BD75" s="100">
        <v>6.1475522513235896</v>
      </c>
      <c r="BE75" s="100">
        <v>3954.1056080513326</v>
      </c>
      <c r="BF75" s="100">
        <v>2.7779405511776747</v>
      </c>
      <c r="BG75" s="100">
        <v>1786.7713625174802</v>
      </c>
      <c r="BH75" s="100">
        <v>6.8143923591842173</v>
      </c>
      <c r="BI75" s="100">
        <v>4383.0171654272881</v>
      </c>
      <c r="BJ75" s="100">
        <v>5.5927306823896936</v>
      </c>
      <c r="BK75" s="100">
        <v>3597.2443749130507</v>
      </c>
      <c r="BL75" s="100">
        <v>5.5514674442876775</v>
      </c>
      <c r="BM75" s="100">
        <v>3570.7038601658337</v>
      </c>
      <c r="BN75" s="100">
        <v>9.1707146161380468E-2</v>
      </c>
      <c r="BO75" s="100">
        <v>58.986036410999908</v>
      </c>
      <c r="BP75" s="100">
        <v>4.8980707720864798</v>
      </c>
      <c r="BQ75" s="100">
        <v>3150.4391206060236</v>
      </c>
      <c r="BR75" s="100">
        <v>8.6440538045999755</v>
      </c>
      <c r="BS75" s="100">
        <v>5559.8554071187036</v>
      </c>
      <c r="BT75" s="100">
        <v>5</v>
      </c>
      <c r="BU75" s="100">
        <v>3215.9999999999995</v>
      </c>
      <c r="BV75" s="100">
        <v>7.5193291215157458</v>
      </c>
      <c r="BW75" s="100">
        <v>4836.4324909589268</v>
      </c>
      <c r="BX75" s="100">
        <v>5.4746377583694947</v>
      </c>
      <c r="BY75" s="100">
        <v>3521.2870061832587</v>
      </c>
      <c r="BZ75" s="100">
        <v>2.6571206389479296</v>
      </c>
      <c r="CA75" s="100">
        <v>1709.0599949713082</v>
      </c>
      <c r="CB75" s="100">
        <v>5.9639990669977614</v>
      </c>
      <c r="CC75" s="100">
        <v>3836.0441998929596</v>
      </c>
      <c r="CD75" s="100">
        <v>2.6298263708780691</v>
      </c>
      <c r="CE75" s="100">
        <v>1691.5043217487739</v>
      </c>
      <c r="CF75" s="100">
        <v>5.1671975851788012</v>
      </c>
      <c r="CG75" s="100">
        <v>3323.5414867870045</v>
      </c>
      <c r="CH75" s="100">
        <v>9.0145274186717828</v>
      </c>
      <c r="CI75" s="100">
        <v>5798.1440356896901</v>
      </c>
      <c r="CJ75" s="100">
        <v>5</v>
      </c>
      <c r="CK75" s="100">
        <v>3215.9999999999995</v>
      </c>
      <c r="CL75" s="100">
        <v>4.0099050464703101</v>
      </c>
      <c r="CM75" s="100">
        <v>2579.1709258897031</v>
      </c>
      <c r="CN75" s="100">
        <v>4.4821595682557271</v>
      </c>
      <c r="CO75" s="100">
        <v>2882.9250343020835</v>
      </c>
      <c r="CP75" s="100">
        <v>2.2727822658870229</v>
      </c>
      <c r="CQ75" s="100">
        <v>1461.853553418533</v>
      </c>
      <c r="CR75" s="100">
        <v>6.7578870462033027</v>
      </c>
      <c r="CS75" s="100">
        <v>4346.6729481179636</v>
      </c>
      <c r="CT75" s="100">
        <v>6.1581321470387369</v>
      </c>
      <c r="CU75" s="100">
        <v>3960.910596975315</v>
      </c>
    </row>
    <row r="76" spans="2:99">
      <c r="C76" s="99" t="s">
        <v>242</v>
      </c>
      <c r="D76" s="100">
        <v>5.0026788659737296</v>
      </c>
      <c r="E76" s="100">
        <v>3896.0863008203405</v>
      </c>
      <c r="F76" s="100">
        <v>3.1810758634002014</v>
      </c>
      <c r="G76" s="100">
        <v>2477.4218824160766</v>
      </c>
      <c r="H76" s="100">
        <v>7.0074480504623349</v>
      </c>
      <c r="I76" s="100">
        <v>5457.4005417000662</v>
      </c>
      <c r="J76" s="100">
        <v>0.7631913650545924</v>
      </c>
      <c r="K76" s="100">
        <v>594.37343510451649</v>
      </c>
      <c r="L76" s="100">
        <v>6.307409546669696</v>
      </c>
      <c r="M76" s="100">
        <v>4912.2105549463586</v>
      </c>
      <c r="N76" s="100">
        <v>6</v>
      </c>
      <c r="O76" s="100">
        <v>4672.7999999999993</v>
      </c>
      <c r="P76" s="100">
        <v>6.7680359206600533</v>
      </c>
      <c r="Q76" s="100">
        <v>5270.9463750100495</v>
      </c>
      <c r="R76" s="100">
        <v>3.1575327834138993</v>
      </c>
      <c r="S76" s="100">
        <v>2459.0865317227444</v>
      </c>
      <c r="T76" s="100">
        <v>5</v>
      </c>
      <c r="U76" s="100">
        <v>3894</v>
      </c>
      <c r="V76" s="100">
        <v>6.9580542559076539</v>
      </c>
      <c r="W76" s="100">
        <v>5418.9326545008807</v>
      </c>
      <c r="X76" s="100">
        <v>6</v>
      </c>
      <c r="Y76" s="100">
        <v>4672.7999999999993</v>
      </c>
      <c r="Z76" s="100">
        <v>5.3162899494676488</v>
      </c>
      <c r="AA76" s="100">
        <v>4140.3266126454046</v>
      </c>
      <c r="AB76" s="100">
        <v>5.7866615086739657</v>
      </c>
      <c r="AC76" s="100">
        <v>4506.6519829552844</v>
      </c>
      <c r="AD76" s="100">
        <v>5.4873330593299245</v>
      </c>
      <c r="AE76" s="100">
        <v>4273.5349866061451</v>
      </c>
      <c r="AF76" s="100">
        <v>5.2989086451378817</v>
      </c>
      <c r="AG76" s="100">
        <v>4126.7900528333821</v>
      </c>
      <c r="AH76" s="100">
        <v>8</v>
      </c>
      <c r="AI76" s="100">
        <v>6230.4</v>
      </c>
      <c r="AJ76" s="100">
        <v>3.0428736087661634</v>
      </c>
      <c r="AK76" s="100">
        <v>2369.7899665070881</v>
      </c>
      <c r="AL76" s="100">
        <v>3.1940744541640571</v>
      </c>
      <c r="AM76" s="100">
        <v>2487.5451849029673</v>
      </c>
      <c r="AN76" s="100">
        <v>7</v>
      </c>
      <c r="AO76" s="100">
        <v>5451.5999999999995</v>
      </c>
      <c r="AP76" s="100">
        <v>4.0654944641889017</v>
      </c>
      <c r="AQ76" s="100">
        <v>3166.2070887103164</v>
      </c>
      <c r="AR76" s="100">
        <v>5.1485065933480811</v>
      </c>
      <c r="AS76" s="100">
        <v>4009.6569348994853</v>
      </c>
      <c r="AT76" s="100">
        <v>6</v>
      </c>
      <c r="AU76" s="100">
        <v>4672.7999999999993</v>
      </c>
      <c r="AV76" s="100">
        <v>6</v>
      </c>
      <c r="AW76" s="100">
        <v>4672.7999999999993</v>
      </c>
      <c r="AX76" s="100">
        <v>2.6755705581380576</v>
      </c>
      <c r="AY76" s="100">
        <v>2083.7343506779189</v>
      </c>
      <c r="AZ76" s="100">
        <v>6.1844485206573934</v>
      </c>
      <c r="BA76" s="100">
        <v>4816.4485078879779</v>
      </c>
      <c r="BB76" s="100">
        <v>6.7117695753058966</v>
      </c>
      <c r="BC76" s="100">
        <v>5227.1261452482322</v>
      </c>
      <c r="BD76" s="100">
        <v>5.3810718243129614</v>
      </c>
      <c r="BE76" s="100">
        <v>4190.7787367749343</v>
      </c>
      <c r="BF76" s="100">
        <v>3.1052801360438353</v>
      </c>
      <c r="BG76" s="100">
        <v>2418.3921699509388</v>
      </c>
      <c r="BH76" s="100">
        <v>6.9772708310210607</v>
      </c>
      <c r="BI76" s="100">
        <v>5433.8985231992019</v>
      </c>
      <c r="BJ76" s="100">
        <v>6.3916922084453649</v>
      </c>
      <c r="BK76" s="100">
        <v>4977.8498919372496</v>
      </c>
      <c r="BL76" s="100">
        <v>5.5514674442876775</v>
      </c>
      <c r="BM76" s="100">
        <v>4323.4828456112427</v>
      </c>
      <c r="BN76" s="100">
        <v>9.1707146161380468E-2</v>
      </c>
      <c r="BO76" s="100">
        <v>71.421525430483101</v>
      </c>
      <c r="BP76" s="100">
        <v>4.8980707720864798</v>
      </c>
      <c r="BQ76" s="100">
        <v>3814.6175173009501</v>
      </c>
      <c r="BR76" s="100">
        <v>7.7059038388193786</v>
      </c>
      <c r="BS76" s="100">
        <v>6001.3579096725316</v>
      </c>
      <c r="BT76" s="100">
        <v>5</v>
      </c>
      <c r="BU76" s="100">
        <v>3894</v>
      </c>
      <c r="BV76" s="100">
        <v>7.5193291215157458</v>
      </c>
      <c r="BW76" s="100">
        <v>5856.0535198364623</v>
      </c>
      <c r="BX76" s="100">
        <v>4.5621981319745792</v>
      </c>
      <c r="BY76" s="100">
        <v>3553.0399051818022</v>
      </c>
      <c r="BZ76" s="100">
        <v>2.6571206389479296</v>
      </c>
      <c r="CA76" s="100">
        <v>2069.3655536126475</v>
      </c>
      <c r="CB76" s="100">
        <v>5.8316240118531537</v>
      </c>
      <c r="CC76" s="100">
        <v>4541.668780431236</v>
      </c>
      <c r="CD76" s="100">
        <v>2.3397409984438329</v>
      </c>
      <c r="CE76" s="100">
        <v>1822.1902895880569</v>
      </c>
      <c r="CF76" s="100">
        <v>5.9031530413308051</v>
      </c>
      <c r="CG76" s="100">
        <v>4597.3755885884311</v>
      </c>
      <c r="CH76" s="100">
        <v>8.019369891562377</v>
      </c>
      <c r="CI76" s="100">
        <v>6245.4852715487787</v>
      </c>
      <c r="CJ76" s="100">
        <v>5</v>
      </c>
      <c r="CK76" s="100">
        <v>3894</v>
      </c>
      <c r="CL76" s="100">
        <v>4.0099050464703101</v>
      </c>
      <c r="CM76" s="100">
        <v>3122.9140501910774</v>
      </c>
      <c r="CN76" s="100">
        <v>5.3785914819068719</v>
      </c>
      <c r="CO76" s="100">
        <v>4188.8470461090719</v>
      </c>
      <c r="CP76" s="100">
        <v>2.7130530558250516</v>
      </c>
      <c r="CQ76" s="100">
        <v>2112.9257198765499</v>
      </c>
      <c r="CR76" s="100">
        <v>6.9094644554439633</v>
      </c>
      <c r="CS76" s="100">
        <v>5381.0909178997581</v>
      </c>
      <c r="CT76" s="100">
        <v>5.5423189323348625</v>
      </c>
      <c r="CU76" s="100">
        <v>4316.3579845023905</v>
      </c>
    </row>
    <row r="77" spans="2:99">
      <c r="C77" s="99" t="s">
        <v>243</v>
      </c>
      <c r="D77" s="100">
        <v>5.0026788659737296</v>
      </c>
      <c r="E77" s="100">
        <v>1392.7457962870863</v>
      </c>
      <c r="F77" s="100">
        <v>3.1810758634002014</v>
      </c>
      <c r="G77" s="100">
        <v>885.61152037061606</v>
      </c>
      <c r="H77" s="100">
        <v>6.8395400420519463</v>
      </c>
      <c r="I77" s="100">
        <v>1904.1279477072617</v>
      </c>
      <c r="J77" s="100">
        <v>0.80050735748575763</v>
      </c>
      <c r="K77" s="100">
        <v>222.8612483240349</v>
      </c>
      <c r="L77" s="100">
        <v>6.307409546669696</v>
      </c>
      <c r="M77" s="100">
        <v>1755.9828177928432</v>
      </c>
      <c r="N77" s="100">
        <v>6</v>
      </c>
      <c r="O77" s="100">
        <v>1670.3999999999999</v>
      </c>
      <c r="P77" s="100">
        <v>8.7017604694200674</v>
      </c>
      <c r="Q77" s="100">
        <v>2422.5701146865467</v>
      </c>
      <c r="R77" s="100">
        <v>3.6086088953301707</v>
      </c>
      <c r="S77" s="100">
        <v>1004.6367164599194</v>
      </c>
      <c r="T77" s="100">
        <v>5</v>
      </c>
      <c r="U77" s="100">
        <v>1392</v>
      </c>
      <c r="V77" s="100">
        <v>6.9580542559076539</v>
      </c>
      <c r="W77" s="100">
        <v>1937.1223048446907</v>
      </c>
      <c r="X77" s="100">
        <v>6</v>
      </c>
      <c r="Y77" s="100">
        <v>1670.3999999999999</v>
      </c>
      <c r="Z77" s="100">
        <v>6.0757599422487409</v>
      </c>
      <c r="AA77" s="100">
        <v>1691.4915679220494</v>
      </c>
      <c r="AB77" s="100">
        <v>5.0633288200897191</v>
      </c>
      <c r="AC77" s="100">
        <v>1409.6307435129777</v>
      </c>
      <c r="AD77" s="100">
        <v>6.1732496917461646</v>
      </c>
      <c r="AE77" s="100">
        <v>1718.6327141821321</v>
      </c>
      <c r="AF77" s="100">
        <v>6.0558955944432942</v>
      </c>
      <c r="AG77" s="100">
        <v>1685.9613334930129</v>
      </c>
      <c r="AH77" s="100">
        <v>8</v>
      </c>
      <c r="AI77" s="100">
        <v>2227.1999999999998</v>
      </c>
      <c r="AJ77" s="100">
        <v>3.550019210227191</v>
      </c>
      <c r="AK77" s="100">
        <v>988.32534812724987</v>
      </c>
      <c r="AL77" s="100">
        <v>2.7948151473935501</v>
      </c>
      <c r="AM77" s="100">
        <v>778.07653703436426</v>
      </c>
      <c r="AN77" s="100">
        <v>8</v>
      </c>
      <c r="AO77" s="100">
        <v>2227.1999999999998</v>
      </c>
      <c r="AP77" s="100">
        <v>4.8785933570266815</v>
      </c>
      <c r="AQ77" s="100">
        <v>1358.2003905962281</v>
      </c>
      <c r="AR77" s="100">
        <v>5.1485065933480811</v>
      </c>
      <c r="AS77" s="100">
        <v>1433.3442355881057</v>
      </c>
      <c r="AT77" s="100">
        <v>7</v>
      </c>
      <c r="AU77" s="100">
        <v>1948.7999999999997</v>
      </c>
      <c r="AV77" s="100">
        <v>8</v>
      </c>
      <c r="AW77" s="100">
        <v>2227.1999999999998</v>
      </c>
      <c r="AX77" s="100">
        <v>2.2296421317817146</v>
      </c>
      <c r="AY77" s="100">
        <v>620.73236948802924</v>
      </c>
      <c r="AZ77" s="100">
        <v>6.2459313608765248</v>
      </c>
      <c r="BA77" s="100">
        <v>1738.8672908680244</v>
      </c>
      <c r="BB77" s="100">
        <v>6.7117695753058966</v>
      </c>
      <c r="BC77" s="100">
        <v>1868.5566497651614</v>
      </c>
      <c r="BD77" s="100">
        <v>6.1475522513235896</v>
      </c>
      <c r="BE77" s="100">
        <v>1711.4785467684871</v>
      </c>
      <c r="BF77" s="100">
        <v>2.7779405511776747</v>
      </c>
      <c r="BG77" s="100">
        <v>773.37864944786452</v>
      </c>
      <c r="BH77" s="100">
        <v>7.8143923591842173</v>
      </c>
      <c r="BI77" s="100">
        <v>2175.5268327968861</v>
      </c>
      <c r="BJ77" s="100">
        <v>7.1906537345010353</v>
      </c>
      <c r="BK77" s="100">
        <v>2001.8779996850881</v>
      </c>
      <c r="BL77" s="100">
        <v>5.5514674442876775</v>
      </c>
      <c r="BM77" s="100">
        <v>1545.5285364896893</v>
      </c>
      <c r="BN77" s="100">
        <v>9.1707146161380468E-2</v>
      </c>
      <c r="BO77" s="100">
        <v>25.53126949132832</v>
      </c>
      <c r="BP77" s="100">
        <v>5.6291522352256349</v>
      </c>
      <c r="BQ77" s="100">
        <v>1567.1559822868167</v>
      </c>
      <c r="BR77" s="100">
        <v>9.5822037703805716</v>
      </c>
      <c r="BS77" s="100">
        <v>2667.6855296739509</v>
      </c>
      <c r="BT77" s="100">
        <v>6</v>
      </c>
      <c r="BU77" s="100">
        <v>1670.3999999999999</v>
      </c>
      <c r="BV77" s="100">
        <v>7.5193291215157458</v>
      </c>
      <c r="BW77" s="100">
        <v>2093.3812274299835</v>
      </c>
      <c r="BX77" s="100">
        <v>5.4746377583694947</v>
      </c>
      <c r="BY77" s="100">
        <v>1524.1391519300671</v>
      </c>
      <c r="BZ77" s="100">
        <v>2.6571206389479296</v>
      </c>
      <c r="CA77" s="100">
        <v>739.74238588310357</v>
      </c>
      <c r="CB77" s="100">
        <v>6.5890702677495421</v>
      </c>
      <c r="CC77" s="100">
        <v>1834.3971625414724</v>
      </c>
      <c r="CD77" s="100">
        <v>2.6298263708780691</v>
      </c>
      <c r="CE77" s="100">
        <v>732.1436616524544</v>
      </c>
      <c r="CF77" s="100">
        <v>6.0518950717726838</v>
      </c>
      <c r="CG77" s="100">
        <v>1684.8475879815151</v>
      </c>
      <c r="CH77" s="100">
        <v>8.019369891562377</v>
      </c>
      <c r="CI77" s="100">
        <v>2232.5925778109654</v>
      </c>
      <c r="CJ77" s="100">
        <v>5</v>
      </c>
      <c r="CK77" s="100">
        <v>1392</v>
      </c>
      <c r="CL77" s="100">
        <v>4.0099050464703101</v>
      </c>
      <c r="CM77" s="100">
        <v>1116.3575649373342</v>
      </c>
      <c r="CN77" s="100">
        <v>5.3785914819068719</v>
      </c>
      <c r="CO77" s="100">
        <v>1497.3998685628731</v>
      </c>
      <c r="CP77" s="100">
        <v>2.2727822658870229</v>
      </c>
      <c r="CQ77" s="100">
        <v>632.74258282294716</v>
      </c>
      <c r="CR77" s="100">
        <v>6.9094644554439633</v>
      </c>
      <c r="CS77" s="100">
        <v>1923.5949043955993</v>
      </c>
      <c r="CT77" s="100">
        <v>6.1581321470387369</v>
      </c>
      <c r="CU77" s="100">
        <v>1714.4239897355842</v>
      </c>
    </row>
    <row r="78" spans="2:99">
      <c r="C78" s="99" t="s">
        <v>244</v>
      </c>
      <c r="D78" s="100">
        <v>4.0026788659737296</v>
      </c>
      <c r="E78" s="100">
        <v>2209.4787340174989</v>
      </c>
      <c r="F78" s="100">
        <v>2.8224482593939633</v>
      </c>
      <c r="G78" s="100">
        <v>1557.9914391854677</v>
      </c>
      <c r="H78" s="100">
        <v>6.8395400420519463</v>
      </c>
      <c r="I78" s="100">
        <v>3775.4261032126742</v>
      </c>
      <c r="J78" s="100">
        <v>0.71230537760890944</v>
      </c>
      <c r="K78" s="100">
        <v>393.19256844011801</v>
      </c>
      <c r="L78" s="100">
        <v>6.307409546669696</v>
      </c>
      <c r="M78" s="100">
        <v>3481.690069761672</v>
      </c>
      <c r="N78" s="100">
        <v>7</v>
      </c>
      <c r="O78" s="100">
        <v>3864</v>
      </c>
      <c r="P78" s="100">
        <v>7.7348981950400608</v>
      </c>
      <c r="Q78" s="100">
        <v>4269.6638036621134</v>
      </c>
      <c r="R78" s="100">
        <v>3.1575327834138993</v>
      </c>
      <c r="S78" s="100">
        <v>1742.9580964444724</v>
      </c>
      <c r="T78" s="100">
        <v>5</v>
      </c>
      <c r="U78" s="100">
        <v>2760</v>
      </c>
      <c r="V78" s="100">
        <v>6.9580542559076539</v>
      </c>
      <c r="W78" s="100">
        <v>3840.845949261025</v>
      </c>
      <c r="X78" s="100">
        <v>6</v>
      </c>
      <c r="Y78" s="100">
        <v>3312</v>
      </c>
      <c r="Z78" s="100">
        <v>5.3162899494676488</v>
      </c>
      <c r="AA78" s="100">
        <v>2934.5920521061421</v>
      </c>
      <c r="AB78" s="100">
        <v>5.0633288200897191</v>
      </c>
      <c r="AC78" s="100">
        <v>2794.9575086895247</v>
      </c>
      <c r="AD78" s="100">
        <v>6.1732496917461646</v>
      </c>
      <c r="AE78" s="100">
        <v>3407.6338298438827</v>
      </c>
      <c r="AF78" s="100">
        <v>6.0558955944432942</v>
      </c>
      <c r="AG78" s="100">
        <v>3342.8543681326983</v>
      </c>
      <c r="AH78" s="100">
        <v>7</v>
      </c>
      <c r="AI78" s="100">
        <v>3864</v>
      </c>
      <c r="AJ78" s="100">
        <v>3.0428736087661634</v>
      </c>
      <c r="AK78" s="100">
        <v>1679.6662320389223</v>
      </c>
      <c r="AL78" s="100">
        <v>2.7948151473935501</v>
      </c>
      <c r="AM78" s="100">
        <v>1542.7379613612397</v>
      </c>
      <c r="AN78" s="100">
        <v>8</v>
      </c>
      <c r="AO78" s="100">
        <v>4416</v>
      </c>
      <c r="AP78" s="100">
        <v>4.8785933570266815</v>
      </c>
      <c r="AQ78" s="100">
        <v>2692.9835330787282</v>
      </c>
      <c r="AR78" s="100">
        <v>5.1485065933480811</v>
      </c>
      <c r="AS78" s="100">
        <v>2841.9756395281406</v>
      </c>
      <c r="AT78" s="100">
        <v>7</v>
      </c>
      <c r="AU78" s="100">
        <v>3864</v>
      </c>
      <c r="AV78" s="100">
        <v>7</v>
      </c>
      <c r="AW78" s="100">
        <v>3864</v>
      </c>
      <c r="AX78" s="100">
        <v>2.6755705581380576</v>
      </c>
      <c r="AY78" s="100">
        <v>1476.9149480922079</v>
      </c>
      <c r="AZ78" s="100">
        <v>6.2459313608765248</v>
      </c>
      <c r="BA78" s="100">
        <v>3447.7541112038416</v>
      </c>
      <c r="BB78" s="100">
        <v>6.7117695753058966</v>
      </c>
      <c r="BC78" s="100">
        <v>3704.8968055688547</v>
      </c>
      <c r="BD78" s="100">
        <v>5.3810718243129614</v>
      </c>
      <c r="BE78" s="100">
        <v>2970.3516470207546</v>
      </c>
      <c r="BF78" s="100">
        <v>2.7779405511776747</v>
      </c>
      <c r="BG78" s="100">
        <v>1533.4231842500765</v>
      </c>
      <c r="BH78" s="100">
        <v>6.9772708310210607</v>
      </c>
      <c r="BI78" s="100">
        <v>3851.4534987236257</v>
      </c>
      <c r="BJ78" s="100">
        <v>5.5927306823896936</v>
      </c>
      <c r="BK78" s="100">
        <v>3087.187336679111</v>
      </c>
      <c r="BL78" s="100">
        <v>4.9346377282557139</v>
      </c>
      <c r="BM78" s="100">
        <v>2723.920025997154</v>
      </c>
      <c r="BN78" s="100">
        <v>7.8606125281183256E-2</v>
      </c>
      <c r="BO78" s="100">
        <v>43.390581155213155</v>
      </c>
      <c r="BP78" s="100">
        <v>5.6291522352256349</v>
      </c>
      <c r="BQ78" s="100">
        <v>3107.2920338445506</v>
      </c>
      <c r="BR78" s="100">
        <v>9.5822037703805716</v>
      </c>
      <c r="BS78" s="100">
        <v>5289.3764812500758</v>
      </c>
      <c r="BT78" s="100">
        <v>6</v>
      </c>
      <c r="BU78" s="100">
        <v>3312</v>
      </c>
      <c r="BV78" s="100">
        <v>7.5193291215157458</v>
      </c>
      <c r="BW78" s="100">
        <v>4150.6696750766914</v>
      </c>
      <c r="BX78" s="100">
        <v>4.5621981319745792</v>
      </c>
      <c r="BY78" s="100">
        <v>2518.3333688499679</v>
      </c>
      <c r="BZ78" s="100">
        <v>2.9892607188164209</v>
      </c>
      <c r="CA78" s="100">
        <v>1650.0719167866644</v>
      </c>
      <c r="CB78" s="100">
        <v>5.8316240118531537</v>
      </c>
      <c r="CC78" s="100">
        <v>3219.0564545429406</v>
      </c>
      <c r="CD78" s="100">
        <v>2.6298263708780691</v>
      </c>
      <c r="CE78" s="100">
        <v>1451.6641567246941</v>
      </c>
      <c r="CF78" s="100">
        <v>5.1671975851788012</v>
      </c>
      <c r="CG78" s="100">
        <v>2852.2930670186984</v>
      </c>
      <c r="CH78" s="100">
        <v>9.019369891562377</v>
      </c>
      <c r="CI78" s="100">
        <v>4978.6921801424323</v>
      </c>
      <c r="CJ78" s="100">
        <v>5</v>
      </c>
      <c r="CK78" s="100">
        <v>2760</v>
      </c>
      <c r="CL78" s="100">
        <v>4.0099050464703101</v>
      </c>
      <c r="CM78" s="100">
        <v>2213.467585651611</v>
      </c>
      <c r="CN78" s="100">
        <v>5.3785914819068719</v>
      </c>
      <c r="CO78" s="100">
        <v>2968.9824980125932</v>
      </c>
      <c r="CP78" s="100">
        <v>2.2727822658870229</v>
      </c>
      <c r="CQ78" s="100">
        <v>1254.5758107696367</v>
      </c>
      <c r="CR78" s="100">
        <v>6.9094644554439633</v>
      </c>
      <c r="CS78" s="100">
        <v>3814.0243794050675</v>
      </c>
      <c r="CT78" s="100">
        <v>6.1581321470387369</v>
      </c>
      <c r="CU78" s="100">
        <v>3399.2889451653828</v>
      </c>
    </row>
    <row r="79" spans="2:99">
      <c r="C79" s="99" t="s">
        <v>245</v>
      </c>
      <c r="D79" s="100">
        <v>5.002232388311441</v>
      </c>
      <c r="E79" s="100">
        <v>3787.690364429423</v>
      </c>
      <c r="F79" s="100">
        <v>2.7704390875022473</v>
      </c>
      <c r="G79" s="100">
        <v>2097.7764770567014</v>
      </c>
      <c r="H79" s="100">
        <v>7.0074480504623349</v>
      </c>
      <c r="I79" s="100">
        <v>5306.0396638100792</v>
      </c>
      <c r="J79" s="100">
        <v>0.71160531544149674</v>
      </c>
      <c r="K79" s="100">
        <v>538.82754485230123</v>
      </c>
      <c r="L79" s="100">
        <v>6.307409546669696</v>
      </c>
      <c r="M79" s="100">
        <v>4775.9705087382936</v>
      </c>
      <c r="N79" s="100">
        <v>6</v>
      </c>
      <c r="O79" s="100">
        <v>4543.2</v>
      </c>
      <c r="P79" s="100">
        <v>6.7680359206600533</v>
      </c>
      <c r="Q79" s="100">
        <v>5124.756799123792</v>
      </c>
      <c r="R79" s="100">
        <v>3.1575327834138993</v>
      </c>
      <c r="S79" s="100">
        <v>2390.8838236010042</v>
      </c>
      <c r="T79" s="100">
        <v>5</v>
      </c>
      <c r="U79" s="100">
        <v>3785.9999999999995</v>
      </c>
      <c r="V79" s="100">
        <v>6.9580542559076539</v>
      </c>
      <c r="W79" s="100">
        <v>5268.6386825732752</v>
      </c>
      <c r="X79" s="100">
        <v>5</v>
      </c>
      <c r="Y79" s="100">
        <v>3785.9999999999995</v>
      </c>
      <c r="Z79" s="100">
        <v>5.3162899494676488</v>
      </c>
      <c r="AA79" s="100">
        <v>4025.4947497369035</v>
      </c>
      <c r="AB79" s="100">
        <v>5.7866615086739657</v>
      </c>
      <c r="AC79" s="100">
        <v>4381.6600943679268</v>
      </c>
      <c r="AD79" s="100">
        <v>5.4873330593299245</v>
      </c>
      <c r="AE79" s="100">
        <v>4155.0085925246185</v>
      </c>
      <c r="AF79" s="100">
        <v>6.0558955944432942</v>
      </c>
      <c r="AG79" s="100">
        <v>4585.5241441124617</v>
      </c>
      <c r="AH79" s="100">
        <v>7</v>
      </c>
      <c r="AI79" s="100">
        <v>5300.4</v>
      </c>
      <c r="AJ79" s="100">
        <v>3.550019210227191</v>
      </c>
      <c r="AK79" s="100">
        <v>2688.0745459840286</v>
      </c>
      <c r="AL79" s="100">
        <v>2.7948151473935501</v>
      </c>
      <c r="AM79" s="100">
        <v>2116.2340296063958</v>
      </c>
      <c r="AN79" s="100">
        <v>7</v>
      </c>
      <c r="AO79" s="100">
        <v>5300.4</v>
      </c>
      <c r="AP79" s="100">
        <v>4.0654944641889017</v>
      </c>
      <c r="AQ79" s="100">
        <v>3078.3924082838362</v>
      </c>
      <c r="AR79" s="100">
        <v>6.0065910255727601</v>
      </c>
      <c r="AS79" s="100">
        <v>4548.1907245636939</v>
      </c>
      <c r="AT79" s="100">
        <v>7</v>
      </c>
      <c r="AU79" s="100">
        <v>5300.4</v>
      </c>
      <c r="AV79" s="100">
        <v>6</v>
      </c>
      <c r="AW79" s="100">
        <v>4543.2</v>
      </c>
      <c r="AX79" s="100">
        <v>2.6755705581380576</v>
      </c>
      <c r="AY79" s="100">
        <v>2025.9420266221371</v>
      </c>
      <c r="AZ79" s="100">
        <v>6.2459313608765248</v>
      </c>
      <c r="BA79" s="100">
        <v>4729.4192264557041</v>
      </c>
      <c r="BB79" s="100">
        <v>7.5507407722191342</v>
      </c>
      <c r="BC79" s="100">
        <v>5717.4209127243275</v>
      </c>
      <c r="BD79" s="100">
        <v>5.3784536851065345</v>
      </c>
      <c r="BE79" s="100">
        <v>4072.5651303626678</v>
      </c>
      <c r="BF79" s="100">
        <v>2.7779405511776747</v>
      </c>
      <c r="BG79" s="100">
        <v>2103.4565853517352</v>
      </c>
      <c r="BH79" s="100">
        <v>6.9772708310210607</v>
      </c>
      <c r="BI79" s="100">
        <v>5283.1894732491464</v>
      </c>
      <c r="BJ79" s="100">
        <v>6.3916922084453649</v>
      </c>
      <c r="BK79" s="100">
        <v>4839.78934023483</v>
      </c>
      <c r="BL79" s="100">
        <v>4.9346377282557139</v>
      </c>
      <c r="BM79" s="100">
        <v>3736.5076878352261</v>
      </c>
      <c r="BN79" s="100">
        <v>7.8606125281183256E-2</v>
      </c>
      <c r="BO79" s="100">
        <v>59.520558062911959</v>
      </c>
      <c r="BP79" s="100">
        <v>4.8980707720864798</v>
      </c>
      <c r="BQ79" s="100">
        <v>3708.8191886238824</v>
      </c>
      <c r="BR79" s="100">
        <v>7.7059038388193786</v>
      </c>
      <c r="BS79" s="100">
        <v>5834.9103867540325</v>
      </c>
      <c r="BT79" s="100">
        <v>5</v>
      </c>
      <c r="BU79" s="100">
        <v>3785.9999999999995</v>
      </c>
      <c r="BV79" s="100">
        <v>7.5193291215157458</v>
      </c>
      <c r="BW79" s="100">
        <v>5693.6360108117224</v>
      </c>
      <c r="BX79" s="100">
        <v>4.5621981319745792</v>
      </c>
      <c r="BY79" s="100">
        <v>3454.4964255311511</v>
      </c>
      <c r="BZ79" s="100">
        <v>2.6571206389479296</v>
      </c>
      <c r="CA79" s="100">
        <v>2011.9717478113721</v>
      </c>
      <c r="CB79" s="100">
        <v>6.5890702677495421</v>
      </c>
      <c r="CC79" s="100">
        <v>4989.244006739953</v>
      </c>
      <c r="CD79" s="100">
        <v>2.6298263708780691</v>
      </c>
      <c r="CE79" s="100">
        <v>1991.3045280288738</v>
      </c>
      <c r="CF79" s="100">
        <v>5.1671975851788012</v>
      </c>
      <c r="CG79" s="100">
        <v>3912.602011497388</v>
      </c>
      <c r="CH79" s="100">
        <v>7.0193698915623761</v>
      </c>
      <c r="CI79" s="100">
        <v>5315.0668818910308</v>
      </c>
      <c r="CJ79" s="100">
        <v>5</v>
      </c>
      <c r="CK79" s="100">
        <v>3785.9999999999995</v>
      </c>
      <c r="CL79" s="100">
        <v>4.0099050464703101</v>
      </c>
      <c r="CM79" s="100">
        <v>3036.3001011873184</v>
      </c>
      <c r="CN79" s="100">
        <v>5.3785914819068719</v>
      </c>
      <c r="CO79" s="100">
        <v>4072.6694700998828</v>
      </c>
      <c r="CP79" s="100">
        <v>2.7130530558250516</v>
      </c>
      <c r="CQ79" s="100">
        <v>2054.3237738707289</v>
      </c>
      <c r="CR79" s="100">
        <v>7.9094644554439633</v>
      </c>
      <c r="CS79" s="100">
        <v>5989.0464856621684</v>
      </c>
      <c r="CT79" s="100">
        <v>4.926505717630989</v>
      </c>
      <c r="CU79" s="100">
        <v>3730.3501293901845</v>
      </c>
    </row>
    <row r="80" spans="2:99">
      <c r="C80" s="99" t="s">
        <v>246</v>
      </c>
      <c r="D80" s="100">
        <v>5.002232388311441</v>
      </c>
      <c r="E80" s="100">
        <v>4027.7975190683719</v>
      </c>
      <c r="F80" s="100">
        <v>2.8224482593939633</v>
      </c>
      <c r="G80" s="100">
        <v>2272.6353384640192</v>
      </c>
      <c r="H80" s="100">
        <v>6.8395400420519463</v>
      </c>
      <c r="I80" s="100">
        <v>5507.1976418602271</v>
      </c>
      <c r="J80" s="100">
        <v>0.71160531544149674</v>
      </c>
      <c r="K80" s="100">
        <v>572.98459999349313</v>
      </c>
      <c r="L80" s="100">
        <v>6.307409546669696</v>
      </c>
      <c r="M80" s="100">
        <v>5078.7261669784384</v>
      </c>
      <c r="N80" s="100">
        <v>6</v>
      </c>
      <c r="O80" s="100">
        <v>4831.2</v>
      </c>
      <c r="P80" s="100">
        <v>7.7348981950400608</v>
      </c>
      <c r="Q80" s="100">
        <v>6228.140026646256</v>
      </c>
      <c r="R80" s="100">
        <v>3.6086088953301707</v>
      </c>
      <c r="S80" s="100">
        <v>2905.6518825198532</v>
      </c>
      <c r="T80" s="100">
        <v>5</v>
      </c>
      <c r="U80" s="100">
        <v>4025.9999999999995</v>
      </c>
      <c r="V80" s="100">
        <v>6.9580542559076539</v>
      </c>
      <c r="W80" s="100">
        <v>5602.6252868568426</v>
      </c>
      <c r="X80" s="100">
        <v>5</v>
      </c>
      <c r="Y80" s="100">
        <v>4025.9999999999995</v>
      </c>
      <c r="Z80" s="100">
        <v>5.3162899494676488</v>
      </c>
      <c r="AA80" s="100">
        <v>4280.6766673113507</v>
      </c>
      <c r="AB80" s="100">
        <v>5.0633288200897191</v>
      </c>
      <c r="AC80" s="100">
        <v>4076.9923659362416</v>
      </c>
      <c r="AD80" s="100">
        <v>6.1732496917461646</v>
      </c>
      <c r="AE80" s="100">
        <v>4970.7006517940117</v>
      </c>
      <c r="AF80" s="100">
        <v>6.0558955944432942</v>
      </c>
      <c r="AG80" s="100">
        <v>4876.2071326457399</v>
      </c>
      <c r="AH80" s="100">
        <v>8</v>
      </c>
      <c r="AI80" s="100">
        <v>6441.5999999999995</v>
      </c>
      <c r="AJ80" s="100">
        <v>3.0428736087661634</v>
      </c>
      <c r="AK80" s="100">
        <v>2450.1218297785144</v>
      </c>
      <c r="AL80" s="100">
        <v>2.7948151473935501</v>
      </c>
      <c r="AM80" s="100">
        <v>2250.3851566812864</v>
      </c>
      <c r="AN80" s="100">
        <v>8</v>
      </c>
      <c r="AO80" s="100">
        <v>6441.5999999999995</v>
      </c>
      <c r="AP80" s="100">
        <v>4.8785933570266815</v>
      </c>
      <c r="AQ80" s="100">
        <v>3928.2433710778837</v>
      </c>
      <c r="AR80" s="100">
        <v>6.0065910255727601</v>
      </c>
      <c r="AS80" s="100">
        <v>4836.507093791186</v>
      </c>
      <c r="AT80" s="100">
        <v>7</v>
      </c>
      <c r="AU80" s="100">
        <v>5636.4</v>
      </c>
      <c r="AV80" s="100">
        <v>6</v>
      </c>
      <c r="AW80" s="100">
        <v>4831.2</v>
      </c>
      <c r="AX80" s="100">
        <v>2.6755705581380576</v>
      </c>
      <c r="AY80" s="100">
        <v>2154.3694134127636</v>
      </c>
      <c r="AZ80" s="100">
        <v>5.2459313608765248</v>
      </c>
      <c r="BA80" s="100">
        <v>4224.0239317777778</v>
      </c>
      <c r="BB80" s="100">
        <v>6.7117695753058966</v>
      </c>
      <c r="BC80" s="100">
        <v>5404.3168620363076</v>
      </c>
      <c r="BD80" s="100">
        <v>5.3810718243129614</v>
      </c>
      <c r="BE80" s="100">
        <v>4332.8390329367958</v>
      </c>
      <c r="BF80" s="100">
        <v>2.7815666471402469</v>
      </c>
      <c r="BG80" s="100">
        <v>2239.7174642773266</v>
      </c>
      <c r="BH80" s="100">
        <v>6.9772708310210607</v>
      </c>
      <c r="BI80" s="100">
        <v>5618.0984731381577</v>
      </c>
      <c r="BJ80" s="100">
        <v>5.5927306823896936</v>
      </c>
      <c r="BK80" s="100">
        <v>4503.2667454601806</v>
      </c>
      <c r="BL80" s="100">
        <v>6.1682971603196419</v>
      </c>
      <c r="BM80" s="100">
        <v>4966.7128734893749</v>
      </c>
      <c r="BN80" s="100">
        <v>9.1707146161380468E-2</v>
      </c>
      <c r="BO80" s="100">
        <v>73.842594089143546</v>
      </c>
      <c r="BP80" s="100">
        <v>4.8980707720864798</v>
      </c>
      <c r="BQ80" s="100">
        <v>3943.9265856840334</v>
      </c>
      <c r="BR80" s="100">
        <v>8.6440538045999755</v>
      </c>
      <c r="BS80" s="100">
        <v>6960.1921234638994</v>
      </c>
      <c r="BT80" s="100">
        <v>5</v>
      </c>
      <c r="BU80" s="100">
        <v>4025.9999999999995</v>
      </c>
      <c r="BV80" s="100">
        <v>6.6838481080139953</v>
      </c>
      <c r="BW80" s="100">
        <v>5381.8344965728684</v>
      </c>
      <c r="BX80" s="100">
        <v>5.4746377583694947</v>
      </c>
      <c r="BY80" s="100">
        <v>4408.1783230391165</v>
      </c>
      <c r="BZ80" s="100">
        <v>2.6571206389479296</v>
      </c>
      <c r="CA80" s="100">
        <v>2139.5135384808727</v>
      </c>
      <c r="CB80" s="100">
        <v>5.9639990669977614</v>
      </c>
      <c r="CC80" s="100">
        <v>4802.2120487465972</v>
      </c>
      <c r="CD80" s="100">
        <v>2.3397409984438329</v>
      </c>
      <c r="CE80" s="100">
        <v>1883.959451946974</v>
      </c>
      <c r="CF80" s="100">
        <v>5.1671975851788012</v>
      </c>
      <c r="CG80" s="100">
        <v>4160.6274955859708</v>
      </c>
      <c r="CH80" s="100">
        <v>9.019369891562377</v>
      </c>
      <c r="CI80" s="100">
        <v>7262.396636686025</v>
      </c>
      <c r="CJ80" s="100">
        <v>5</v>
      </c>
      <c r="CK80" s="100">
        <v>4025.9999999999995</v>
      </c>
      <c r="CL80" s="100">
        <v>4.0099050464703101</v>
      </c>
      <c r="CM80" s="100">
        <v>3228.7755434178935</v>
      </c>
      <c r="CN80" s="100">
        <v>5.3785914819068719</v>
      </c>
      <c r="CO80" s="100">
        <v>4330.8418612314126</v>
      </c>
      <c r="CP80" s="100">
        <v>2.2727822658870229</v>
      </c>
      <c r="CQ80" s="100">
        <v>1830.0442804922307</v>
      </c>
      <c r="CR80" s="100">
        <v>6.9094644554439633</v>
      </c>
      <c r="CS80" s="100">
        <v>5563.5007795234787</v>
      </c>
      <c r="CT80" s="100">
        <v>5.5423189323348625</v>
      </c>
      <c r="CU80" s="100">
        <v>4462.6752043160313</v>
      </c>
    </row>
    <row r="81" spans="2:99">
      <c r="C81" s="99" t="s">
        <v>247</v>
      </c>
      <c r="D81" s="100">
        <v>5.0026788659737296</v>
      </c>
      <c r="E81" s="100">
        <v>3770.0187933978027</v>
      </c>
      <c r="F81" s="100">
        <v>2.8224482593939633</v>
      </c>
      <c r="G81" s="100">
        <v>2126.9970082792906</v>
      </c>
      <c r="H81" s="100">
        <v>6.8395400420519463</v>
      </c>
      <c r="I81" s="100">
        <v>5154.2773756903471</v>
      </c>
      <c r="J81" s="100">
        <v>0.79985396612950566</v>
      </c>
      <c r="K81" s="100">
        <v>602.7699488751955</v>
      </c>
      <c r="L81" s="100">
        <v>5.307409546669696</v>
      </c>
      <c r="M81" s="100">
        <v>3999.663834370283</v>
      </c>
      <c r="N81" s="100">
        <v>6</v>
      </c>
      <c r="O81" s="100">
        <v>4521.6000000000004</v>
      </c>
      <c r="P81" s="100">
        <v>6.7680359206600533</v>
      </c>
      <c r="Q81" s="100">
        <v>5100.3918698094167</v>
      </c>
      <c r="R81" s="100">
        <v>3.1575327834138993</v>
      </c>
      <c r="S81" s="100">
        <v>2379.5167055807146</v>
      </c>
      <c r="T81" s="100">
        <v>5</v>
      </c>
      <c r="U81" s="100">
        <v>3768</v>
      </c>
      <c r="V81" s="100">
        <v>6.9580542559076539</v>
      </c>
      <c r="W81" s="100">
        <v>5243.5896872520079</v>
      </c>
      <c r="X81" s="100">
        <v>5</v>
      </c>
      <c r="Y81" s="100">
        <v>3768</v>
      </c>
      <c r="Z81" s="100">
        <v>4.5568199566865557</v>
      </c>
      <c r="AA81" s="100">
        <v>3434.0195193589884</v>
      </c>
      <c r="AB81" s="100">
        <v>5.0633288200897191</v>
      </c>
      <c r="AC81" s="100">
        <v>3815.7245988196123</v>
      </c>
      <c r="AD81" s="100">
        <v>5.4873330593299245</v>
      </c>
      <c r="AE81" s="100">
        <v>4135.2541935110312</v>
      </c>
      <c r="AF81" s="100">
        <v>5.2989086451378817</v>
      </c>
      <c r="AG81" s="100">
        <v>3993.2575549759076</v>
      </c>
      <c r="AH81" s="100">
        <v>7</v>
      </c>
      <c r="AI81" s="100">
        <v>5275.2</v>
      </c>
      <c r="AJ81" s="100">
        <v>3.0428736087661634</v>
      </c>
      <c r="AK81" s="100">
        <v>2293.1095515661809</v>
      </c>
      <c r="AL81" s="100">
        <v>3.1940744541640571</v>
      </c>
      <c r="AM81" s="100">
        <v>2407.0545086580337</v>
      </c>
      <c r="AN81" s="100">
        <v>8</v>
      </c>
      <c r="AO81" s="100">
        <v>6028.8</v>
      </c>
      <c r="AP81" s="100">
        <v>4.8785933570266815</v>
      </c>
      <c r="AQ81" s="100">
        <v>3676.5079538553073</v>
      </c>
      <c r="AR81" s="100">
        <v>6.0065910255727601</v>
      </c>
      <c r="AS81" s="100">
        <v>4526.566996871632</v>
      </c>
      <c r="AT81" s="100">
        <v>7</v>
      </c>
      <c r="AU81" s="100">
        <v>5275.2</v>
      </c>
      <c r="AV81" s="100">
        <v>6</v>
      </c>
      <c r="AW81" s="100">
        <v>4521.6000000000004</v>
      </c>
      <c r="AX81" s="100">
        <v>2.2296421317817146</v>
      </c>
      <c r="AY81" s="100">
        <v>1680.2583105107001</v>
      </c>
      <c r="AZ81" s="100">
        <v>5.1844485206573934</v>
      </c>
      <c r="BA81" s="100">
        <v>3907.0004051674118</v>
      </c>
      <c r="BB81" s="100">
        <v>5.8727983783926598</v>
      </c>
      <c r="BC81" s="100">
        <v>4425.7408579567082</v>
      </c>
      <c r="BD81" s="100">
        <v>5.3810718243129614</v>
      </c>
      <c r="BE81" s="100">
        <v>4055.1757268022479</v>
      </c>
      <c r="BF81" s="100">
        <v>3.1016540400812631</v>
      </c>
      <c r="BG81" s="100">
        <v>2337.4064846052402</v>
      </c>
      <c r="BH81" s="100">
        <v>6.8143923591842173</v>
      </c>
      <c r="BI81" s="100">
        <v>5135.3260818812259</v>
      </c>
      <c r="BJ81" s="100">
        <v>7.1906537345010353</v>
      </c>
      <c r="BK81" s="100">
        <v>5418.8766543199799</v>
      </c>
      <c r="BL81" s="100">
        <v>5.5514674442876775</v>
      </c>
      <c r="BM81" s="100">
        <v>4183.5858660151935</v>
      </c>
      <c r="BN81" s="100">
        <v>7.8606125281183256E-2</v>
      </c>
      <c r="BO81" s="100">
        <v>59.237576011899705</v>
      </c>
      <c r="BP81" s="100">
        <v>5.6291522352256349</v>
      </c>
      <c r="BQ81" s="100">
        <v>4242.1291244660388</v>
      </c>
      <c r="BR81" s="100">
        <v>7.7059038388193786</v>
      </c>
      <c r="BS81" s="100">
        <v>5807.1691329342839</v>
      </c>
      <c r="BT81" s="100">
        <v>5</v>
      </c>
      <c r="BU81" s="100">
        <v>3768</v>
      </c>
      <c r="BV81" s="100">
        <v>7.5193291215157458</v>
      </c>
      <c r="BW81" s="100">
        <v>5666.5664259742662</v>
      </c>
      <c r="BX81" s="100">
        <v>5.4746377583694947</v>
      </c>
      <c r="BY81" s="100">
        <v>4125.6870147072514</v>
      </c>
      <c r="BZ81" s="100">
        <v>2.9892607188164209</v>
      </c>
      <c r="CA81" s="100">
        <v>2252.706877700055</v>
      </c>
      <c r="CB81" s="100">
        <v>5.8316240118531537</v>
      </c>
      <c r="CC81" s="100">
        <v>4394.7118553325372</v>
      </c>
      <c r="CD81" s="100">
        <v>2.6298263708780691</v>
      </c>
      <c r="CE81" s="100">
        <v>1981.8371530937129</v>
      </c>
      <c r="CF81" s="100">
        <v>5.0184555547369234</v>
      </c>
      <c r="CG81" s="100">
        <v>3781.9081060497456</v>
      </c>
      <c r="CH81" s="100">
        <v>9.019369891562377</v>
      </c>
      <c r="CI81" s="100">
        <v>6796.9971502814078</v>
      </c>
      <c r="CJ81" s="100">
        <v>5</v>
      </c>
      <c r="CK81" s="100">
        <v>3768</v>
      </c>
      <c r="CL81" s="100">
        <v>4.0099050464703101</v>
      </c>
      <c r="CM81" s="100">
        <v>3021.8644430200256</v>
      </c>
      <c r="CN81" s="100">
        <v>5.3785914819068719</v>
      </c>
      <c r="CO81" s="100">
        <v>4053.3065407650188</v>
      </c>
      <c r="CP81" s="100">
        <v>2.7273387190644272</v>
      </c>
      <c r="CQ81" s="100">
        <v>2055.3224586869524</v>
      </c>
      <c r="CR81" s="100">
        <v>7.7578870462033027</v>
      </c>
      <c r="CS81" s="100">
        <v>5846.3436780188094</v>
      </c>
      <c r="CT81" s="100">
        <v>5.5423189323348625</v>
      </c>
      <c r="CU81" s="100">
        <v>4176.6915474075522</v>
      </c>
    </row>
    <row r="82" spans="2:99">
      <c r="C82" s="99" t="s">
        <v>248</v>
      </c>
      <c r="D82" s="100">
        <v>5.002232388311441</v>
      </c>
      <c r="E82" s="100">
        <v>2545.1358391728609</v>
      </c>
      <c r="F82" s="100">
        <v>3.1810758634002014</v>
      </c>
      <c r="G82" s="100">
        <v>1618.5313992980221</v>
      </c>
      <c r="H82" s="100">
        <v>6.8395400420519463</v>
      </c>
      <c r="I82" s="100">
        <v>3479.9579733960295</v>
      </c>
      <c r="J82" s="100">
        <v>0.85144001574260131</v>
      </c>
      <c r="K82" s="100">
        <v>433.21268000983548</v>
      </c>
      <c r="L82" s="100">
        <v>6.307409546669696</v>
      </c>
      <c r="M82" s="100">
        <v>3209.2099773455407</v>
      </c>
      <c r="N82" s="100">
        <v>7</v>
      </c>
      <c r="O82" s="100">
        <v>3561.5999999999995</v>
      </c>
      <c r="P82" s="100">
        <v>7.7348981950400608</v>
      </c>
      <c r="Q82" s="100">
        <v>3935.516201636382</v>
      </c>
      <c r="R82" s="100">
        <v>3.1575327834138993</v>
      </c>
      <c r="S82" s="100">
        <v>1606.5526802009917</v>
      </c>
      <c r="T82" s="100">
        <v>5</v>
      </c>
      <c r="U82" s="100">
        <v>2543.9999999999995</v>
      </c>
      <c r="V82" s="100">
        <v>6.9580542559076539</v>
      </c>
      <c r="W82" s="100">
        <v>3540.2580054058135</v>
      </c>
      <c r="X82" s="100">
        <v>5</v>
      </c>
      <c r="Y82" s="100">
        <v>2543.9999999999995</v>
      </c>
      <c r="Z82" s="100">
        <v>5.3162899494676488</v>
      </c>
      <c r="AA82" s="100">
        <v>2704.928326289139</v>
      </c>
      <c r="AB82" s="100">
        <v>5.7866615086739657</v>
      </c>
      <c r="AC82" s="100">
        <v>2944.253375613313</v>
      </c>
      <c r="AD82" s="100">
        <v>6.1732496917461646</v>
      </c>
      <c r="AE82" s="100">
        <v>3140.949443160448</v>
      </c>
      <c r="AF82" s="100">
        <v>6.0558955944432942</v>
      </c>
      <c r="AG82" s="100">
        <v>3081.2396784527473</v>
      </c>
      <c r="AH82" s="100">
        <v>7</v>
      </c>
      <c r="AI82" s="100">
        <v>3561.5999999999995</v>
      </c>
      <c r="AJ82" s="100">
        <v>3.550019210227191</v>
      </c>
      <c r="AK82" s="100">
        <v>1806.2497741635943</v>
      </c>
      <c r="AL82" s="100">
        <v>3.1940744541640571</v>
      </c>
      <c r="AM82" s="100">
        <v>1625.1450822786719</v>
      </c>
      <c r="AN82" s="100">
        <v>8</v>
      </c>
      <c r="AO82" s="100">
        <v>4070.3999999999992</v>
      </c>
      <c r="AP82" s="100">
        <v>4.8785933570266815</v>
      </c>
      <c r="AQ82" s="100">
        <v>2482.2283000551752</v>
      </c>
      <c r="AR82" s="100">
        <v>6.0065910255727601</v>
      </c>
      <c r="AS82" s="100">
        <v>3056.1535138114195</v>
      </c>
      <c r="AT82" s="100">
        <v>7</v>
      </c>
      <c r="AU82" s="100">
        <v>3561.5999999999995</v>
      </c>
      <c r="AV82" s="100">
        <v>6</v>
      </c>
      <c r="AW82" s="100">
        <v>3052.7999999999993</v>
      </c>
      <c r="AX82" s="100">
        <v>2.6755705581380576</v>
      </c>
      <c r="AY82" s="100">
        <v>1361.3302999806433</v>
      </c>
      <c r="AZ82" s="100">
        <v>6.2459313608765248</v>
      </c>
      <c r="BA82" s="100">
        <v>3177.9298764139753</v>
      </c>
      <c r="BB82" s="100">
        <v>5.8727983783926598</v>
      </c>
      <c r="BC82" s="100">
        <v>2988.0798149261846</v>
      </c>
      <c r="BD82" s="100">
        <v>5.3784536851065345</v>
      </c>
      <c r="BE82" s="100">
        <v>2736.5572349822041</v>
      </c>
      <c r="BF82" s="100">
        <v>3.1016540400812631</v>
      </c>
      <c r="BG82" s="100">
        <v>1578.1215755933463</v>
      </c>
      <c r="BH82" s="100">
        <v>6.8143923591842173</v>
      </c>
      <c r="BI82" s="100">
        <v>3467.1628323529289</v>
      </c>
      <c r="BJ82" s="100">
        <v>5.5927306823896936</v>
      </c>
      <c r="BK82" s="100">
        <v>2845.5813711998753</v>
      </c>
      <c r="BL82" s="100">
        <v>5.5514674442876775</v>
      </c>
      <c r="BM82" s="100">
        <v>2824.5866356535698</v>
      </c>
      <c r="BN82" s="100">
        <v>8.5675178522628778E-2</v>
      </c>
      <c r="BO82" s="100">
        <v>43.591530832313516</v>
      </c>
      <c r="BP82" s="100">
        <v>5.7570477335385224</v>
      </c>
      <c r="BQ82" s="100">
        <v>2929.1858868243994</v>
      </c>
      <c r="BR82" s="100">
        <v>8.6440538045999755</v>
      </c>
      <c r="BS82" s="100">
        <v>4398.0945757804666</v>
      </c>
      <c r="BT82" s="100">
        <v>5</v>
      </c>
      <c r="BU82" s="100">
        <v>2543.9999999999995</v>
      </c>
      <c r="BV82" s="100">
        <v>7.5193291215157458</v>
      </c>
      <c r="BW82" s="100">
        <v>3825.8346570272106</v>
      </c>
      <c r="BX82" s="100">
        <v>5.4746377583694947</v>
      </c>
      <c r="BY82" s="100">
        <v>2785.4956914583981</v>
      </c>
      <c r="BZ82" s="100">
        <v>2.6571206389479296</v>
      </c>
      <c r="CA82" s="100">
        <v>1351.9429810967063</v>
      </c>
      <c r="CB82" s="100">
        <v>5.9639990669977614</v>
      </c>
      <c r="CC82" s="100">
        <v>3034.4827252884602</v>
      </c>
      <c r="CD82" s="100">
        <v>2.6298263708780691</v>
      </c>
      <c r="CE82" s="100">
        <v>1338.0556575027613</v>
      </c>
      <c r="CF82" s="100">
        <v>5.0184555547369234</v>
      </c>
      <c r="CG82" s="100">
        <v>2553.3901862501461</v>
      </c>
      <c r="CH82" s="100">
        <v>8.0145274186717828</v>
      </c>
      <c r="CI82" s="100">
        <v>4077.7915506202021</v>
      </c>
      <c r="CJ82" s="100">
        <v>5</v>
      </c>
      <c r="CK82" s="100">
        <v>2543.9999999999995</v>
      </c>
      <c r="CL82" s="100">
        <v>4.0099050464703101</v>
      </c>
      <c r="CM82" s="100">
        <v>2040.2396876440935</v>
      </c>
      <c r="CN82" s="100">
        <v>4.4821595682557271</v>
      </c>
      <c r="CO82" s="100">
        <v>2280.5227883285133</v>
      </c>
      <c r="CP82" s="100">
        <v>2.7273387190644272</v>
      </c>
      <c r="CQ82" s="100">
        <v>1387.6699402599802</v>
      </c>
      <c r="CR82" s="100">
        <v>7.9094644554439633</v>
      </c>
      <c r="CS82" s="100">
        <v>4024.3355149298877</v>
      </c>
      <c r="CT82" s="100">
        <v>5.5423189323348625</v>
      </c>
      <c r="CU82" s="100">
        <v>2819.9318727719774</v>
      </c>
    </row>
    <row r="83" spans="2:99">
      <c r="C83" s="99" t="s">
        <v>249</v>
      </c>
      <c r="D83" s="100">
        <v>5.002232388311441</v>
      </c>
      <c r="E83" s="100">
        <v>4303.9207469031635</v>
      </c>
      <c r="F83" s="100">
        <v>2.8224482593939633</v>
      </c>
      <c r="G83" s="100">
        <v>2428.4344823825659</v>
      </c>
      <c r="H83" s="100">
        <v>6.8395400420519463</v>
      </c>
      <c r="I83" s="100">
        <v>5884.7402521814947</v>
      </c>
      <c r="J83" s="100">
        <v>0.79985396612950566</v>
      </c>
      <c r="K83" s="100">
        <v>688.19435245782665</v>
      </c>
      <c r="L83" s="100">
        <v>6.307409546669696</v>
      </c>
      <c r="M83" s="100">
        <v>5426.8951739546064</v>
      </c>
      <c r="N83" s="100">
        <v>6</v>
      </c>
      <c r="O83" s="100">
        <v>5162.3999999999996</v>
      </c>
      <c r="P83" s="100">
        <v>7.7348981950400608</v>
      </c>
      <c r="Q83" s="100">
        <v>6655.1064070124685</v>
      </c>
      <c r="R83" s="100">
        <v>3.1575327834138993</v>
      </c>
      <c r="S83" s="100">
        <v>2716.741206849319</v>
      </c>
      <c r="T83" s="100">
        <v>5</v>
      </c>
      <c r="U83" s="100">
        <v>4302</v>
      </c>
      <c r="V83" s="100">
        <v>7.8278110378961108</v>
      </c>
      <c r="W83" s="100">
        <v>6735.0486170058139</v>
      </c>
      <c r="X83" s="100">
        <v>5</v>
      </c>
      <c r="Y83" s="100">
        <v>4302</v>
      </c>
      <c r="Z83" s="100">
        <v>5.3162899494676488</v>
      </c>
      <c r="AA83" s="100">
        <v>4574.1358725219652</v>
      </c>
      <c r="AB83" s="100">
        <v>5.0633288200897191</v>
      </c>
      <c r="AC83" s="100">
        <v>4356.4881168051943</v>
      </c>
      <c r="AD83" s="100">
        <v>6.1732496917461646</v>
      </c>
      <c r="AE83" s="100">
        <v>5311.4640347783998</v>
      </c>
      <c r="AF83" s="100">
        <v>5.2989086451378817</v>
      </c>
      <c r="AG83" s="100">
        <v>4559.1809982766335</v>
      </c>
      <c r="AH83" s="100">
        <v>8</v>
      </c>
      <c r="AI83" s="100">
        <v>6883.2</v>
      </c>
      <c r="AJ83" s="100">
        <v>3.0428736087661634</v>
      </c>
      <c r="AK83" s="100">
        <v>2618.088452982407</v>
      </c>
      <c r="AL83" s="100">
        <v>3.1940744541640571</v>
      </c>
      <c r="AM83" s="100">
        <v>2748.1816603627549</v>
      </c>
      <c r="AN83" s="100">
        <v>8</v>
      </c>
      <c r="AO83" s="100">
        <v>6883.2</v>
      </c>
      <c r="AP83" s="100">
        <v>4.0654944641889017</v>
      </c>
      <c r="AQ83" s="100">
        <v>3497.9514369881308</v>
      </c>
      <c r="AR83" s="100">
        <v>5.1485065933480811</v>
      </c>
      <c r="AS83" s="100">
        <v>4429.7750729166892</v>
      </c>
      <c r="AT83" s="100">
        <v>7</v>
      </c>
      <c r="AU83" s="100">
        <v>6022.8</v>
      </c>
      <c r="AV83" s="100">
        <v>6</v>
      </c>
      <c r="AW83" s="100">
        <v>5162.3999999999996</v>
      </c>
      <c r="AX83" s="100">
        <v>2.6755705581380576</v>
      </c>
      <c r="AY83" s="100">
        <v>2302.0609082219848</v>
      </c>
      <c r="AZ83" s="100">
        <v>6.2459313608765248</v>
      </c>
      <c r="BA83" s="100">
        <v>5373.9993428981616</v>
      </c>
      <c r="BB83" s="100">
        <v>6.7117695753058966</v>
      </c>
      <c r="BC83" s="100">
        <v>5774.8065425931936</v>
      </c>
      <c r="BD83" s="100">
        <v>5.3810718243129614</v>
      </c>
      <c r="BE83" s="100">
        <v>4629.8741976388719</v>
      </c>
      <c r="BF83" s="100">
        <v>2.7779405511776747</v>
      </c>
      <c r="BG83" s="100">
        <v>2390.1400502332713</v>
      </c>
      <c r="BH83" s="100">
        <v>7.9772708310210607</v>
      </c>
      <c r="BI83" s="100">
        <v>6863.6438230105205</v>
      </c>
      <c r="BJ83" s="100">
        <v>5.5927306823896936</v>
      </c>
      <c r="BK83" s="100">
        <v>4811.9854791280923</v>
      </c>
      <c r="BL83" s="100">
        <v>6.1682971603196419</v>
      </c>
      <c r="BM83" s="100">
        <v>5307.2028767390202</v>
      </c>
      <c r="BN83" s="100">
        <v>7.8606125281183256E-2</v>
      </c>
      <c r="BO83" s="100">
        <v>67.632710191930073</v>
      </c>
      <c r="BP83" s="100">
        <v>4.8980707720864798</v>
      </c>
      <c r="BQ83" s="100">
        <v>4214.3000923032068</v>
      </c>
      <c r="BR83" s="100">
        <v>8.6440538045999755</v>
      </c>
      <c r="BS83" s="100">
        <v>7437.3438934778187</v>
      </c>
      <c r="BT83" s="100">
        <v>5</v>
      </c>
      <c r="BU83" s="100">
        <v>4302</v>
      </c>
      <c r="BV83" s="100">
        <v>6.6838481080139953</v>
      </c>
      <c r="BW83" s="100">
        <v>5750.7829121352415</v>
      </c>
      <c r="BX83" s="100">
        <v>4.5621981319745792</v>
      </c>
      <c r="BY83" s="100">
        <v>3925.3152727509278</v>
      </c>
      <c r="BZ83" s="100">
        <v>2.3249805590794383</v>
      </c>
      <c r="CA83" s="100">
        <v>2000.4132730319486</v>
      </c>
      <c r="CB83" s="100">
        <v>5.9639990669977614</v>
      </c>
      <c r="CC83" s="100">
        <v>5131.4247972448738</v>
      </c>
      <c r="CD83" s="100">
        <v>2.6298263708780691</v>
      </c>
      <c r="CE83" s="100">
        <v>2262.7026095034907</v>
      </c>
      <c r="CF83" s="100">
        <v>5.9031530413308051</v>
      </c>
      <c r="CG83" s="100">
        <v>5079.0728767610244</v>
      </c>
      <c r="CH83" s="100">
        <v>8.0145274186717828</v>
      </c>
      <c r="CI83" s="100">
        <v>6895.6993910252013</v>
      </c>
      <c r="CJ83" s="100">
        <v>5</v>
      </c>
      <c r="CK83" s="100">
        <v>4302</v>
      </c>
      <c r="CL83" s="100">
        <v>4.0099050464703101</v>
      </c>
      <c r="CM83" s="100">
        <v>3450.1223019830545</v>
      </c>
      <c r="CN83" s="100">
        <v>5.3785914819068719</v>
      </c>
      <c r="CO83" s="100">
        <v>4627.7401110326728</v>
      </c>
      <c r="CP83" s="100">
        <v>2.2727822658870229</v>
      </c>
      <c r="CQ83" s="100">
        <v>1955.5018615691945</v>
      </c>
      <c r="CR83" s="100">
        <v>6.9094644554439633</v>
      </c>
      <c r="CS83" s="100">
        <v>5944.903217463986</v>
      </c>
      <c r="CT83" s="100">
        <v>5.5423189323348625</v>
      </c>
      <c r="CU83" s="100">
        <v>4768.6112093809152</v>
      </c>
    </row>
    <row r="84" spans="2:99">
      <c r="C84" s="99" t="s">
        <v>250</v>
      </c>
      <c r="D84" s="100">
        <v>5.0026788659737296</v>
      </c>
      <c r="E84" s="100">
        <v>3908.0927300986773</v>
      </c>
      <c r="F84" s="100">
        <v>2.8224482593939633</v>
      </c>
      <c r="G84" s="100">
        <v>2204.8965802385637</v>
      </c>
      <c r="H84" s="100">
        <v>6.8395400420519463</v>
      </c>
      <c r="I84" s="100">
        <v>5343.0486808509804</v>
      </c>
      <c r="J84" s="100">
        <v>0.79985396612950566</v>
      </c>
      <c r="K84" s="100">
        <v>624.84591834036974</v>
      </c>
      <c r="L84" s="100">
        <v>6.307409546669696</v>
      </c>
      <c r="M84" s="100">
        <v>4927.348337858366</v>
      </c>
      <c r="N84" s="100">
        <v>7</v>
      </c>
      <c r="O84" s="100">
        <v>5468.4</v>
      </c>
      <c r="P84" s="100">
        <v>7.7348981950400608</v>
      </c>
      <c r="Q84" s="100">
        <v>6042.5024699652949</v>
      </c>
      <c r="R84" s="100">
        <v>3.1575327834138993</v>
      </c>
      <c r="S84" s="100">
        <v>2466.6646104029378</v>
      </c>
      <c r="T84" s="100">
        <v>5</v>
      </c>
      <c r="U84" s="100">
        <v>3905.9999999999995</v>
      </c>
      <c r="V84" s="100">
        <v>6.9580542559076539</v>
      </c>
      <c r="W84" s="100">
        <v>5435.6319847150589</v>
      </c>
      <c r="X84" s="100">
        <v>5</v>
      </c>
      <c r="Y84" s="100">
        <v>3905.9999999999995</v>
      </c>
      <c r="Z84" s="100">
        <v>5.3162899494676488</v>
      </c>
      <c r="AA84" s="100">
        <v>4153.0857085241269</v>
      </c>
      <c r="AB84" s="100">
        <v>5.7866615086739657</v>
      </c>
      <c r="AC84" s="100">
        <v>4520.539970576102</v>
      </c>
      <c r="AD84" s="100">
        <v>6.1732496917461646</v>
      </c>
      <c r="AE84" s="100">
        <v>4822.5426591921032</v>
      </c>
      <c r="AF84" s="100">
        <v>5.2989086451378817</v>
      </c>
      <c r="AG84" s="100">
        <v>4139.5074335817126</v>
      </c>
      <c r="AH84" s="100">
        <v>7</v>
      </c>
      <c r="AI84" s="100">
        <v>5468.4</v>
      </c>
      <c r="AJ84" s="100">
        <v>3.550019210227191</v>
      </c>
      <c r="AK84" s="100">
        <v>2773.2750070294815</v>
      </c>
      <c r="AL84" s="100">
        <v>2.7948151473935501</v>
      </c>
      <c r="AM84" s="100">
        <v>2183.3095931438411</v>
      </c>
      <c r="AN84" s="100">
        <v>7</v>
      </c>
      <c r="AO84" s="100">
        <v>5468.4</v>
      </c>
      <c r="AP84" s="100">
        <v>4.0654944641889017</v>
      </c>
      <c r="AQ84" s="100">
        <v>3175.9642754243696</v>
      </c>
      <c r="AR84" s="100">
        <v>6.0065910255727601</v>
      </c>
      <c r="AS84" s="100">
        <v>4692.34890917744</v>
      </c>
      <c r="AT84" s="100">
        <v>6</v>
      </c>
      <c r="AU84" s="100">
        <v>4687.2</v>
      </c>
      <c r="AV84" s="100">
        <v>6</v>
      </c>
      <c r="AW84" s="100">
        <v>4687.2</v>
      </c>
      <c r="AX84" s="100">
        <v>2.6755705581380576</v>
      </c>
      <c r="AY84" s="100">
        <v>2090.1557200174502</v>
      </c>
      <c r="AZ84" s="100">
        <v>5.2459313608765248</v>
      </c>
      <c r="BA84" s="100">
        <v>4098.1215791167406</v>
      </c>
      <c r="BB84" s="100">
        <v>6.7117695753058966</v>
      </c>
      <c r="BC84" s="100">
        <v>5243.2343922289656</v>
      </c>
      <c r="BD84" s="100">
        <v>5.3784536851065345</v>
      </c>
      <c r="BE84" s="100">
        <v>4201.6480188052246</v>
      </c>
      <c r="BF84" s="100">
        <v>2.7779405511776747</v>
      </c>
      <c r="BG84" s="100">
        <v>2170.1271585799991</v>
      </c>
      <c r="BH84" s="100">
        <v>6.9772708310210607</v>
      </c>
      <c r="BI84" s="100">
        <v>5450.6439731936525</v>
      </c>
      <c r="BJ84" s="100">
        <v>6.3916922084453649</v>
      </c>
      <c r="BK84" s="100">
        <v>4993.1899532375182</v>
      </c>
      <c r="BL84" s="100">
        <v>5.5514674442876775</v>
      </c>
      <c r="BM84" s="100">
        <v>4336.8063674775331</v>
      </c>
      <c r="BN84" s="100">
        <v>7.8606125281183256E-2</v>
      </c>
      <c r="BO84" s="100">
        <v>61.407105069660354</v>
      </c>
      <c r="BP84" s="100">
        <v>4.8980707720864798</v>
      </c>
      <c r="BQ84" s="100">
        <v>3826.3728871539579</v>
      </c>
      <c r="BR84" s="100">
        <v>7.7059038388193786</v>
      </c>
      <c r="BS84" s="100">
        <v>6019.8520788856977</v>
      </c>
      <c r="BT84" s="100">
        <v>5</v>
      </c>
      <c r="BU84" s="100">
        <v>3905.9999999999995</v>
      </c>
      <c r="BV84" s="100">
        <v>6.6838481080139953</v>
      </c>
      <c r="BW84" s="100">
        <v>5221.4221419805326</v>
      </c>
      <c r="BX84" s="100">
        <v>5.4746377583694947</v>
      </c>
      <c r="BY84" s="100">
        <v>4276.7870168382487</v>
      </c>
      <c r="BZ84" s="100">
        <v>2.9892607188164209</v>
      </c>
      <c r="CA84" s="100">
        <v>2335.2104735393877</v>
      </c>
      <c r="CB84" s="100">
        <v>6.5890702677495421</v>
      </c>
      <c r="CC84" s="100">
        <v>5147.3816931659421</v>
      </c>
      <c r="CD84" s="100">
        <v>2.6298263708780691</v>
      </c>
      <c r="CE84" s="100">
        <v>2054.4203609299475</v>
      </c>
      <c r="CF84" s="100">
        <v>5.1671975851788012</v>
      </c>
      <c r="CG84" s="100">
        <v>4036.614753541679</v>
      </c>
      <c r="CH84" s="100">
        <v>8.0145274186717828</v>
      </c>
      <c r="CI84" s="100">
        <v>6260.9488194663963</v>
      </c>
      <c r="CJ84" s="100">
        <v>4</v>
      </c>
      <c r="CK84" s="100">
        <v>3124.7999999999997</v>
      </c>
      <c r="CL84" s="100">
        <v>3.5643600413069421</v>
      </c>
      <c r="CM84" s="100">
        <v>2784.478064268983</v>
      </c>
      <c r="CN84" s="100">
        <v>5.3785914819068719</v>
      </c>
      <c r="CO84" s="100">
        <v>4201.7556656656479</v>
      </c>
      <c r="CP84" s="100">
        <v>2.2786879939188323</v>
      </c>
      <c r="CQ84" s="100">
        <v>1780.1110608493916</v>
      </c>
      <c r="CR84" s="100">
        <v>6.9094644554439633</v>
      </c>
      <c r="CS84" s="100">
        <v>5397.6736325928232</v>
      </c>
      <c r="CT84" s="100">
        <v>5.5423189323348625</v>
      </c>
      <c r="CU84" s="100">
        <v>4329.6595499399946</v>
      </c>
    </row>
    <row r="85" spans="2:99">
      <c r="C85" s="99" t="s">
        <v>251</v>
      </c>
      <c r="D85" s="100">
        <v>5.0026788659737296</v>
      </c>
      <c r="E85" s="100">
        <v>750.40182989605944</v>
      </c>
      <c r="F85" s="100">
        <v>3.1810758634002014</v>
      </c>
      <c r="G85" s="100">
        <v>477.1613795100302</v>
      </c>
      <c r="H85" s="100">
        <v>8.0074480504623349</v>
      </c>
      <c r="I85" s="100">
        <v>1201.1172075693503</v>
      </c>
      <c r="J85" s="100">
        <v>0.71160531544149674</v>
      </c>
      <c r="K85" s="100">
        <v>106.74079731622452</v>
      </c>
      <c r="L85" s="100">
        <v>6.38426193333712</v>
      </c>
      <c r="M85" s="100">
        <v>957.63929000056805</v>
      </c>
      <c r="N85" s="100">
        <v>7</v>
      </c>
      <c r="O85" s="100">
        <v>1050</v>
      </c>
      <c r="P85" s="100">
        <v>7.7348981950400608</v>
      </c>
      <c r="Q85" s="100">
        <v>1160.2347292560091</v>
      </c>
      <c r="R85" s="100">
        <v>3.1575327834138993</v>
      </c>
      <c r="S85" s="100">
        <v>473.62991751208489</v>
      </c>
      <c r="T85" s="100">
        <v>5</v>
      </c>
      <c r="U85" s="100">
        <v>750</v>
      </c>
      <c r="V85" s="100">
        <v>6.9580542559076539</v>
      </c>
      <c r="W85" s="100">
        <v>1043.708138386148</v>
      </c>
      <c r="X85" s="100">
        <v>5</v>
      </c>
      <c r="Y85" s="100">
        <v>750</v>
      </c>
      <c r="Z85" s="100">
        <v>6.0757599422487409</v>
      </c>
      <c r="AA85" s="100">
        <v>911.36399133731118</v>
      </c>
      <c r="AB85" s="100">
        <v>5.0633288200897191</v>
      </c>
      <c r="AC85" s="100">
        <v>759.49932301345791</v>
      </c>
      <c r="AD85" s="100">
        <v>6.1732496917461646</v>
      </c>
      <c r="AE85" s="100">
        <v>925.98745376192471</v>
      </c>
      <c r="AF85" s="100">
        <v>5.2989086451378817</v>
      </c>
      <c r="AG85" s="100">
        <v>794.83629677068222</v>
      </c>
      <c r="AH85" s="100">
        <v>8</v>
      </c>
      <c r="AI85" s="100">
        <v>1200</v>
      </c>
      <c r="AJ85" s="100">
        <v>3.550019210227191</v>
      </c>
      <c r="AK85" s="100">
        <v>532.5028815340786</v>
      </c>
      <c r="AL85" s="100">
        <v>3.1940744541640571</v>
      </c>
      <c r="AM85" s="100">
        <v>479.11116812460858</v>
      </c>
      <c r="AN85" s="100">
        <v>7</v>
      </c>
      <c r="AO85" s="100">
        <v>1050</v>
      </c>
      <c r="AP85" s="100">
        <v>4.8785933570266815</v>
      </c>
      <c r="AQ85" s="100">
        <v>731.78900355400219</v>
      </c>
      <c r="AR85" s="100">
        <v>6.0065910255727601</v>
      </c>
      <c r="AS85" s="100">
        <v>900.98865383591396</v>
      </c>
      <c r="AT85" s="100">
        <v>7</v>
      </c>
      <c r="AU85" s="100">
        <v>1050</v>
      </c>
      <c r="AV85" s="100">
        <v>7</v>
      </c>
      <c r="AW85" s="100">
        <v>1050</v>
      </c>
      <c r="AX85" s="100">
        <v>2.6755705581380576</v>
      </c>
      <c r="AY85" s="100">
        <v>401.33558372070866</v>
      </c>
      <c r="AZ85" s="100">
        <v>6.2459313608765248</v>
      </c>
      <c r="BA85" s="100">
        <v>936.88970413147877</v>
      </c>
      <c r="BB85" s="100">
        <v>6.7117695753058966</v>
      </c>
      <c r="BC85" s="100">
        <v>1006.7654362958845</v>
      </c>
      <c r="BD85" s="100">
        <v>5.3784536851065345</v>
      </c>
      <c r="BE85" s="100">
        <v>806.7680527659802</v>
      </c>
      <c r="BF85" s="100">
        <v>3.1016540400812631</v>
      </c>
      <c r="BG85" s="100">
        <v>465.24810601218945</v>
      </c>
      <c r="BH85" s="100">
        <v>6.9772708310210607</v>
      </c>
      <c r="BI85" s="100">
        <v>1046.590624653159</v>
      </c>
      <c r="BJ85" s="100">
        <v>6.3916922084453649</v>
      </c>
      <c r="BK85" s="100">
        <v>958.7538312668047</v>
      </c>
      <c r="BL85" s="100">
        <v>6.1682971603196419</v>
      </c>
      <c r="BM85" s="100">
        <v>925.24457404794634</v>
      </c>
      <c r="BN85" s="100">
        <v>0.10006148181036154</v>
      </c>
      <c r="BO85" s="100">
        <v>15.009222271554231</v>
      </c>
      <c r="BP85" s="100">
        <v>5.6291522352256349</v>
      </c>
      <c r="BQ85" s="100">
        <v>844.37283528384523</v>
      </c>
      <c r="BR85" s="100">
        <v>8.6440538045999755</v>
      </c>
      <c r="BS85" s="100">
        <v>1296.6080706899963</v>
      </c>
      <c r="BT85" s="100">
        <v>6</v>
      </c>
      <c r="BU85" s="100">
        <v>900</v>
      </c>
      <c r="BV85" s="100">
        <v>8.3548101350174946</v>
      </c>
      <c r="BW85" s="100">
        <v>1253.2215202526243</v>
      </c>
      <c r="BX85" s="100">
        <v>5.4746377583694947</v>
      </c>
      <c r="BY85" s="100">
        <v>821.19566375542422</v>
      </c>
      <c r="BZ85" s="100">
        <v>2.6571206389479296</v>
      </c>
      <c r="CA85" s="100">
        <v>398.56809584218945</v>
      </c>
      <c r="CB85" s="100">
        <v>5.8316240118531537</v>
      </c>
      <c r="CC85" s="100">
        <v>874.74360177797303</v>
      </c>
      <c r="CD85" s="100">
        <v>2.9199117433123059</v>
      </c>
      <c r="CE85" s="100">
        <v>437.98676149684587</v>
      </c>
      <c r="CF85" s="100">
        <v>5.1671975851788012</v>
      </c>
      <c r="CG85" s="100">
        <v>775.07963777682016</v>
      </c>
      <c r="CH85" s="100">
        <v>9.019369891562377</v>
      </c>
      <c r="CI85" s="100">
        <v>1352.9054837343565</v>
      </c>
      <c r="CJ85" s="100">
        <v>6</v>
      </c>
      <c r="CK85" s="100">
        <v>900</v>
      </c>
      <c r="CL85" s="100">
        <v>4.0099050464703101</v>
      </c>
      <c r="CM85" s="100">
        <v>601.4857569705465</v>
      </c>
      <c r="CN85" s="100">
        <v>5.3785914819068719</v>
      </c>
      <c r="CO85" s="100">
        <v>806.78872228603075</v>
      </c>
      <c r="CP85" s="100">
        <v>2.7194509278595125</v>
      </c>
      <c r="CQ85" s="100">
        <v>407.91763917892689</v>
      </c>
      <c r="CR85" s="100">
        <v>7.9094644554439633</v>
      </c>
      <c r="CS85" s="100">
        <v>1186.4196683165944</v>
      </c>
      <c r="CT85" s="100">
        <v>5.5423189323348625</v>
      </c>
      <c r="CU85" s="100">
        <v>831.34783985022932</v>
      </c>
    </row>
    <row r="86" spans="2:99">
      <c r="C86" s="99" t="s">
        <v>252</v>
      </c>
      <c r="D86" s="100">
        <v>5.002232388311441</v>
      </c>
      <c r="E86" s="100">
        <v>2701.2054896881782</v>
      </c>
      <c r="F86" s="100">
        <v>2.8224482593939633</v>
      </c>
      <c r="G86" s="100">
        <v>1524.1220600727402</v>
      </c>
      <c r="H86" s="100">
        <v>7.0074480504623349</v>
      </c>
      <c r="I86" s="100">
        <v>3784.021947249661</v>
      </c>
      <c r="J86" s="100">
        <v>0.71160531544149674</v>
      </c>
      <c r="K86" s="100">
        <v>384.26687033840824</v>
      </c>
      <c r="L86" s="100">
        <v>6.307409546669696</v>
      </c>
      <c r="M86" s="100">
        <v>3406.0011552016358</v>
      </c>
      <c r="N86" s="100">
        <v>6</v>
      </c>
      <c r="O86" s="100">
        <v>3240</v>
      </c>
      <c r="P86" s="100">
        <v>7.7348981950400608</v>
      </c>
      <c r="Q86" s="100">
        <v>4176.8450253216324</v>
      </c>
      <c r="R86" s="100">
        <v>3.1575327834138993</v>
      </c>
      <c r="S86" s="100">
        <v>1705.0677030435056</v>
      </c>
      <c r="T86" s="100">
        <v>5</v>
      </c>
      <c r="U86" s="100">
        <v>2700</v>
      </c>
      <c r="V86" s="100">
        <v>6.9580542559076539</v>
      </c>
      <c r="W86" s="100">
        <v>3757.3492981901331</v>
      </c>
      <c r="X86" s="100">
        <v>5</v>
      </c>
      <c r="Y86" s="100">
        <v>2700</v>
      </c>
      <c r="Z86" s="100">
        <v>4.5568199566865557</v>
      </c>
      <c r="AA86" s="100">
        <v>2460.6827766107399</v>
      </c>
      <c r="AB86" s="100">
        <v>5.0633288200897191</v>
      </c>
      <c r="AC86" s="100">
        <v>2734.1975628484483</v>
      </c>
      <c r="AD86" s="100">
        <v>6.1732496917461646</v>
      </c>
      <c r="AE86" s="100">
        <v>3333.5548335429289</v>
      </c>
      <c r="AF86" s="100">
        <v>6.0558955944432942</v>
      </c>
      <c r="AG86" s="100">
        <v>3270.1836209993789</v>
      </c>
      <c r="AH86" s="100">
        <v>8</v>
      </c>
      <c r="AI86" s="100">
        <v>4320</v>
      </c>
      <c r="AJ86" s="100">
        <v>3.550019210227191</v>
      </c>
      <c r="AK86" s="100">
        <v>1917.010373522683</v>
      </c>
      <c r="AL86" s="100">
        <v>3.1940744541640571</v>
      </c>
      <c r="AM86" s="100">
        <v>1724.8002052485908</v>
      </c>
      <c r="AN86" s="100">
        <v>7</v>
      </c>
      <c r="AO86" s="100">
        <v>3780</v>
      </c>
      <c r="AP86" s="100">
        <v>4.0654944641889017</v>
      </c>
      <c r="AQ86" s="100">
        <v>2195.367010662007</v>
      </c>
      <c r="AR86" s="100">
        <v>5.1485065933480811</v>
      </c>
      <c r="AS86" s="100">
        <v>2780.193560407964</v>
      </c>
      <c r="AT86" s="100">
        <v>7</v>
      </c>
      <c r="AU86" s="100">
        <v>3780</v>
      </c>
      <c r="AV86" s="100">
        <v>6</v>
      </c>
      <c r="AW86" s="100">
        <v>3240</v>
      </c>
      <c r="AX86" s="100">
        <v>2.6755705581380576</v>
      </c>
      <c r="AY86" s="100">
        <v>1444.8081013945512</v>
      </c>
      <c r="AZ86" s="100">
        <v>6.1844485206573934</v>
      </c>
      <c r="BA86" s="100">
        <v>3339.6022011549926</v>
      </c>
      <c r="BB86" s="100">
        <v>6.7117695753058966</v>
      </c>
      <c r="BC86" s="100">
        <v>3624.3555706651841</v>
      </c>
      <c r="BD86" s="100">
        <v>5.3784536851065345</v>
      </c>
      <c r="BE86" s="100">
        <v>2904.3649899575285</v>
      </c>
      <c r="BF86" s="100">
        <v>3.1016540400812631</v>
      </c>
      <c r="BG86" s="100">
        <v>1674.8931816438821</v>
      </c>
      <c r="BH86" s="100">
        <v>7.9772708310210607</v>
      </c>
      <c r="BI86" s="100">
        <v>4307.7262487513726</v>
      </c>
      <c r="BJ86" s="100">
        <v>6.3916922084453649</v>
      </c>
      <c r="BK86" s="100">
        <v>3451.5137925604972</v>
      </c>
      <c r="BL86" s="100">
        <v>5.5514674442876775</v>
      </c>
      <c r="BM86" s="100">
        <v>2997.7924199153458</v>
      </c>
      <c r="BN86" s="100">
        <v>9.1707146161380468E-2</v>
      </c>
      <c r="BO86" s="100">
        <v>49.521858927145452</v>
      </c>
      <c r="BP86" s="100">
        <v>5.6291522352256349</v>
      </c>
      <c r="BQ86" s="100">
        <v>3039.7422070218427</v>
      </c>
      <c r="BR86" s="100">
        <v>9.5822037703805716</v>
      </c>
      <c r="BS86" s="100">
        <v>5174.3900360055086</v>
      </c>
      <c r="BT86" s="100">
        <v>5</v>
      </c>
      <c r="BU86" s="100">
        <v>2700</v>
      </c>
      <c r="BV86" s="100">
        <v>7.5193291215157458</v>
      </c>
      <c r="BW86" s="100">
        <v>4060.4377256185026</v>
      </c>
      <c r="BX86" s="100">
        <v>4.5621981319745792</v>
      </c>
      <c r="BY86" s="100">
        <v>2463.5869912662729</v>
      </c>
      <c r="BZ86" s="100">
        <v>2.6571206389479296</v>
      </c>
      <c r="CA86" s="100">
        <v>1434.8451450318819</v>
      </c>
      <c r="CB86" s="100">
        <v>5.8316240118531537</v>
      </c>
      <c r="CC86" s="100">
        <v>3149.076966400703</v>
      </c>
      <c r="CD86" s="100">
        <v>2.6345908756205549</v>
      </c>
      <c r="CE86" s="100">
        <v>1422.6790728350998</v>
      </c>
      <c r="CF86" s="100">
        <v>6.0518950717726838</v>
      </c>
      <c r="CG86" s="100">
        <v>3268.0233387572493</v>
      </c>
      <c r="CH86" s="100">
        <v>9.019369891562377</v>
      </c>
      <c r="CI86" s="100">
        <v>4870.4597414436839</v>
      </c>
      <c r="CJ86" s="100">
        <v>5</v>
      </c>
      <c r="CK86" s="100">
        <v>2700</v>
      </c>
      <c r="CL86" s="100">
        <v>4.4554500516336777</v>
      </c>
      <c r="CM86" s="100">
        <v>2405.943027882186</v>
      </c>
      <c r="CN86" s="100">
        <v>5.3785914819068719</v>
      </c>
      <c r="CO86" s="100">
        <v>2904.4394002297108</v>
      </c>
      <c r="CP86" s="100">
        <v>2.2727822658870229</v>
      </c>
      <c r="CQ86" s="100">
        <v>1227.3024235789924</v>
      </c>
      <c r="CR86" s="100">
        <v>6.9094644554439633</v>
      </c>
      <c r="CS86" s="100">
        <v>3731.1108059397402</v>
      </c>
      <c r="CT86" s="100">
        <v>6.1581321470387369</v>
      </c>
      <c r="CU86" s="100">
        <v>3325.3913594009177</v>
      </c>
    </row>
    <row r="87" spans="2:99">
      <c r="B87" s="99" t="s">
        <v>131</v>
      </c>
      <c r="C87" s="99" t="s">
        <v>253</v>
      </c>
      <c r="D87" s="100">
        <v>5.5843180605732599</v>
      </c>
      <c r="E87" s="100">
        <v>5997.5575970556811</v>
      </c>
      <c r="F87" s="100">
        <v>0.55420834031625366</v>
      </c>
      <c r="G87" s="100">
        <v>595.21975749965645</v>
      </c>
      <c r="H87" s="100">
        <v>6.7724926432213755</v>
      </c>
      <c r="I87" s="100">
        <v>7273.6570988197573</v>
      </c>
      <c r="J87" s="100">
        <v>7</v>
      </c>
      <c r="K87" s="100">
        <v>7518</v>
      </c>
      <c r="L87" s="100">
        <v>6.4518043812023516</v>
      </c>
      <c r="M87" s="100">
        <v>6929.2379054113253</v>
      </c>
      <c r="N87" s="100">
        <v>5</v>
      </c>
      <c r="O87" s="100">
        <v>5370</v>
      </c>
      <c r="P87" s="100">
        <v>2.9301995465352944</v>
      </c>
      <c r="Q87" s="100">
        <v>3147.0343129789062</v>
      </c>
      <c r="R87" s="100">
        <v>3.8847778958718013</v>
      </c>
      <c r="S87" s="100">
        <v>4172.2514601663142</v>
      </c>
      <c r="T87" s="100">
        <v>5.6505860303589852</v>
      </c>
      <c r="U87" s="100">
        <v>6068.7293966055504</v>
      </c>
      <c r="V87" s="100">
        <v>4.5559698883522692</v>
      </c>
      <c r="W87" s="100">
        <v>4893.111660090337</v>
      </c>
      <c r="X87" s="100">
        <v>4.7357292444913401</v>
      </c>
      <c r="Y87" s="100">
        <v>5086.1732085836993</v>
      </c>
      <c r="Z87" s="100">
        <v>0.70550106644068189</v>
      </c>
      <c r="AA87" s="100">
        <v>757.70814535729232</v>
      </c>
      <c r="AB87" s="100">
        <v>4.8220643628462385</v>
      </c>
      <c r="AC87" s="100">
        <v>5178.8971256968598</v>
      </c>
      <c r="AD87" s="100">
        <v>4.807292410024961</v>
      </c>
      <c r="AE87" s="100">
        <v>5163.0320483668083</v>
      </c>
      <c r="AF87" s="100">
        <v>5.0000000000000018</v>
      </c>
      <c r="AG87" s="100">
        <v>5370.0000000000018</v>
      </c>
      <c r="AH87" s="100">
        <v>1.668225536120457</v>
      </c>
      <c r="AI87" s="100">
        <v>1791.6742257933709</v>
      </c>
      <c r="AJ87" s="100">
        <v>5.230326140173589</v>
      </c>
      <c r="AK87" s="100">
        <v>5617.3702745464343</v>
      </c>
      <c r="AL87" s="100">
        <v>6.5388880743327835</v>
      </c>
      <c r="AM87" s="100">
        <v>7022.7657918334098</v>
      </c>
      <c r="AN87" s="100">
        <v>3.0694541399480904</v>
      </c>
      <c r="AO87" s="100">
        <v>3296.5937463042492</v>
      </c>
      <c r="AP87" s="100">
        <v>6.4939570796662949</v>
      </c>
      <c r="AQ87" s="100">
        <v>6974.5099035616004</v>
      </c>
      <c r="AR87" s="100">
        <v>4.257290844791016</v>
      </c>
      <c r="AS87" s="100">
        <v>4572.3303673055516</v>
      </c>
      <c r="AT87" s="100">
        <v>4.199759887428975</v>
      </c>
      <c r="AU87" s="100">
        <v>4510.542119098719</v>
      </c>
      <c r="AV87" s="100">
        <v>6.0665966700381064</v>
      </c>
      <c r="AW87" s="100">
        <v>6515.5248236209263</v>
      </c>
      <c r="AX87" s="100">
        <v>3.5116636346863741</v>
      </c>
      <c r="AY87" s="100">
        <v>3771.5267436531658</v>
      </c>
      <c r="AZ87" s="100">
        <v>4.4797438799242411</v>
      </c>
      <c r="BA87" s="100">
        <v>4811.2449270386351</v>
      </c>
      <c r="BB87" s="100">
        <v>4.3910468933822537</v>
      </c>
      <c r="BC87" s="100">
        <v>4715.9843634925401</v>
      </c>
      <c r="BD87" s="100">
        <v>4.628671535506828</v>
      </c>
      <c r="BE87" s="100">
        <v>4971.1932291343328</v>
      </c>
      <c r="BF87" s="100">
        <v>7.073202157095662</v>
      </c>
      <c r="BG87" s="100">
        <v>7596.6191167207407</v>
      </c>
      <c r="BH87" s="100">
        <v>5.1687854297518578</v>
      </c>
      <c r="BI87" s="100">
        <v>5551.2755515534955</v>
      </c>
      <c r="BJ87" s="100">
        <v>0.68380000908610084</v>
      </c>
      <c r="BK87" s="100">
        <v>734.40120975847231</v>
      </c>
      <c r="BL87" s="100">
        <v>8.2972578090942193</v>
      </c>
      <c r="BM87" s="100">
        <v>8911.2548869671919</v>
      </c>
      <c r="BN87" s="100">
        <v>6.1331493234864691</v>
      </c>
      <c r="BO87" s="100">
        <v>6587.0023734244678</v>
      </c>
      <c r="BP87" s="100">
        <v>6.250368905089827</v>
      </c>
      <c r="BQ87" s="100">
        <v>6712.8962040664746</v>
      </c>
      <c r="BR87" s="100">
        <v>5.4386890542205215</v>
      </c>
      <c r="BS87" s="100">
        <v>5841.1520442328401</v>
      </c>
      <c r="BT87" s="100">
        <v>4.0625128322842379</v>
      </c>
      <c r="BU87" s="100">
        <v>4363.1387818732719</v>
      </c>
      <c r="BV87" s="100">
        <v>0.79894543820912844</v>
      </c>
      <c r="BW87" s="100">
        <v>858.06740063660391</v>
      </c>
      <c r="BX87" s="100">
        <v>6.4726913282101375</v>
      </c>
      <c r="BY87" s="100">
        <v>6951.6704864976873</v>
      </c>
      <c r="BZ87" s="100">
        <v>6.6654318283544596</v>
      </c>
      <c r="CA87" s="100">
        <v>7158.67378365269</v>
      </c>
      <c r="CB87" s="100">
        <v>4.4625140957706861</v>
      </c>
      <c r="CC87" s="100">
        <v>4792.7401388577173</v>
      </c>
      <c r="CD87" s="100">
        <v>0.4637923079557566</v>
      </c>
      <c r="CE87" s="100">
        <v>498.11293874448256</v>
      </c>
      <c r="CF87" s="100">
        <v>5.6999027707879995</v>
      </c>
      <c r="CG87" s="100">
        <v>6121.6955758263111</v>
      </c>
      <c r="CH87" s="100">
        <v>1.8140468233541307</v>
      </c>
      <c r="CI87" s="100">
        <v>1948.2862882823363</v>
      </c>
      <c r="CJ87" s="100">
        <v>5.5989969067411076</v>
      </c>
      <c r="CK87" s="100">
        <v>6013.3226778399494</v>
      </c>
      <c r="CL87" s="100">
        <v>3.0086223768444174</v>
      </c>
      <c r="CM87" s="100">
        <v>3231.2604327309041</v>
      </c>
      <c r="CN87" s="100">
        <v>4.5617975666677157</v>
      </c>
      <c r="CO87" s="100">
        <v>4899.3705866011269</v>
      </c>
      <c r="CP87" s="100">
        <v>0.22814746580899314</v>
      </c>
      <c r="CQ87" s="100">
        <v>245.03037827885865</v>
      </c>
      <c r="CR87" s="100">
        <v>4.2457645357385152</v>
      </c>
      <c r="CS87" s="100">
        <v>4559.951111383165</v>
      </c>
      <c r="CT87" s="100">
        <v>6.9400010755544272</v>
      </c>
      <c r="CU87" s="100">
        <v>7453.5611551454549</v>
      </c>
    </row>
    <row r="88" spans="2:99">
      <c r="C88" s="99" t="s">
        <v>254</v>
      </c>
      <c r="D88" s="100">
        <v>4.6369070989760397</v>
      </c>
      <c r="E88" s="100">
        <v>4601.6666050238218</v>
      </c>
      <c r="F88" s="100">
        <v>0.55420834031625366</v>
      </c>
      <c r="G88" s="100">
        <v>549.99635692985009</v>
      </c>
      <c r="H88" s="100">
        <v>6.7724926432213755</v>
      </c>
      <c r="I88" s="100">
        <v>6721.0216991328925</v>
      </c>
      <c r="J88" s="100">
        <v>7</v>
      </c>
      <c r="K88" s="100">
        <v>6946.8</v>
      </c>
      <c r="L88" s="100">
        <v>6.4518043812023516</v>
      </c>
      <c r="M88" s="100">
        <v>6402.7706679052135</v>
      </c>
      <c r="N88" s="100">
        <v>5</v>
      </c>
      <c r="O88" s="100">
        <v>4962</v>
      </c>
      <c r="P88" s="100">
        <v>2.9301995465352944</v>
      </c>
      <c r="Q88" s="100">
        <v>2907.9300299816259</v>
      </c>
      <c r="R88" s="100">
        <v>3.8847778958718013</v>
      </c>
      <c r="S88" s="100">
        <v>3855.2535838631757</v>
      </c>
      <c r="T88" s="100">
        <v>5.6505860303589852</v>
      </c>
      <c r="U88" s="100">
        <v>5607.6415765282572</v>
      </c>
      <c r="V88" s="100">
        <v>3.9051170471590879</v>
      </c>
      <c r="W88" s="100">
        <v>3875.4381576006786</v>
      </c>
      <c r="X88" s="100">
        <v>4.7357292444913401</v>
      </c>
      <c r="Y88" s="100">
        <v>4699.7377022332057</v>
      </c>
      <c r="Z88" s="100">
        <v>0.84261894561591033</v>
      </c>
      <c r="AA88" s="100">
        <v>836.2150416292294</v>
      </c>
      <c r="AB88" s="100">
        <v>5.4714111247278874</v>
      </c>
      <c r="AC88" s="100">
        <v>5429.8284001799557</v>
      </c>
      <c r="AD88" s="100">
        <v>4.807292410024961</v>
      </c>
      <c r="AE88" s="100">
        <v>4770.7569877087708</v>
      </c>
      <c r="AF88" s="100">
        <v>6.0000000000000018</v>
      </c>
      <c r="AG88" s="100">
        <v>5954.4000000000015</v>
      </c>
      <c r="AH88" s="100">
        <v>1.649752950268855</v>
      </c>
      <c r="AI88" s="100">
        <v>1637.2148278468117</v>
      </c>
      <c r="AJ88" s="100">
        <v>6.197422405863076</v>
      </c>
      <c r="AK88" s="100">
        <v>6150.3219955785162</v>
      </c>
      <c r="AL88" s="100">
        <v>6.5388880743327835</v>
      </c>
      <c r="AM88" s="100">
        <v>6489.1925249678543</v>
      </c>
      <c r="AN88" s="100">
        <v>3.0694541399480904</v>
      </c>
      <c r="AO88" s="100">
        <v>3046.1262884844846</v>
      </c>
      <c r="AP88" s="100">
        <v>6.4939570796662949</v>
      </c>
      <c r="AQ88" s="100">
        <v>6444.6030058608312</v>
      </c>
      <c r="AR88" s="100">
        <v>4.257290844791016</v>
      </c>
      <c r="AS88" s="100">
        <v>4224.9354343706045</v>
      </c>
      <c r="AT88" s="100">
        <v>4.199759887428975</v>
      </c>
      <c r="AU88" s="100">
        <v>4167.8417122845149</v>
      </c>
      <c r="AV88" s="100">
        <v>6.0665966700381064</v>
      </c>
      <c r="AW88" s="100">
        <v>6020.4905353458171</v>
      </c>
      <c r="AX88" s="100">
        <v>3.4732548136819923</v>
      </c>
      <c r="AY88" s="100">
        <v>3446.8580770980093</v>
      </c>
      <c r="AZ88" s="100">
        <v>4.4797438799242411</v>
      </c>
      <c r="BA88" s="100">
        <v>4445.6978264368163</v>
      </c>
      <c r="BB88" s="100">
        <v>3.7542063174945741</v>
      </c>
      <c r="BC88" s="100">
        <v>3725.6743494816151</v>
      </c>
      <c r="BD88" s="100">
        <v>3.9674327447201381</v>
      </c>
      <c r="BE88" s="100">
        <v>3937.2802558602648</v>
      </c>
      <c r="BF88" s="100">
        <v>6.1651818580547584</v>
      </c>
      <c r="BG88" s="100">
        <v>6118.3264759335425</v>
      </c>
      <c r="BH88" s="100">
        <v>5.1687854297518578</v>
      </c>
      <c r="BI88" s="100">
        <v>5129.5026604857439</v>
      </c>
      <c r="BJ88" s="100">
        <v>0.76179792631266341</v>
      </c>
      <c r="BK88" s="100">
        <v>756.0082620726871</v>
      </c>
      <c r="BL88" s="100">
        <v>9.2972578090942193</v>
      </c>
      <c r="BM88" s="100">
        <v>9226.5986497451031</v>
      </c>
      <c r="BN88" s="100">
        <v>6.1331493234864691</v>
      </c>
      <c r="BO88" s="100">
        <v>6086.5373886279722</v>
      </c>
      <c r="BP88" s="100">
        <v>5.5558834711909579</v>
      </c>
      <c r="BQ88" s="100">
        <v>5513.6587568099067</v>
      </c>
      <c r="BR88" s="100">
        <v>5.4386890542205215</v>
      </c>
      <c r="BS88" s="100">
        <v>5397.3550174084457</v>
      </c>
      <c r="BT88" s="100">
        <v>4.0625128322842379</v>
      </c>
      <c r="BU88" s="100">
        <v>4031.6377347588777</v>
      </c>
      <c r="BV88" s="100">
        <v>1.0218233557297853</v>
      </c>
      <c r="BW88" s="100">
        <v>1014.057498226239</v>
      </c>
      <c r="BX88" s="100">
        <v>6.4726913282101375</v>
      </c>
      <c r="BY88" s="100">
        <v>6423.4988741157404</v>
      </c>
      <c r="BZ88" s="100">
        <v>6.6654318283544596</v>
      </c>
      <c r="CA88" s="100">
        <v>6614.7745464589652</v>
      </c>
      <c r="CB88" s="100">
        <v>4.4625140957706861</v>
      </c>
      <c r="CC88" s="100">
        <v>4428.5989886428288</v>
      </c>
      <c r="CD88" s="100">
        <v>0.55655076954690796</v>
      </c>
      <c r="CE88" s="100">
        <v>552.32098369835148</v>
      </c>
      <c r="CF88" s="100">
        <v>5.8748784634849995</v>
      </c>
      <c r="CG88" s="100">
        <v>5830.2293871625134</v>
      </c>
      <c r="CH88" s="100">
        <v>2.3216624987512162</v>
      </c>
      <c r="CI88" s="100">
        <v>2304.0178637607069</v>
      </c>
      <c r="CJ88" s="100">
        <v>5.0093328322806316</v>
      </c>
      <c r="CK88" s="100">
        <v>4971.2619027552992</v>
      </c>
      <c r="CL88" s="100">
        <v>3.0051914466420491</v>
      </c>
      <c r="CM88" s="100">
        <v>2982.3519916475693</v>
      </c>
      <c r="CN88" s="100">
        <v>5.1937953105658208</v>
      </c>
      <c r="CO88" s="100">
        <v>5154.3224662055209</v>
      </c>
      <c r="CP88" s="100">
        <v>0.2736695089606036</v>
      </c>
      <c r="CQ88" s="100">
        <v>271.58962069250299</v>
      </c>
      <c r="CR88" s="100">
        <v>4.2457645357385152</v>
      </c>
      <c r="CS88" s="100">
        <v>4213.4967252669021</v>
      </c>
      <c r="CT88" s="100">
        <v>7.8504230793826837</v>
      </c>
      <c r="CU88" s="100">
        <v>7790.759863979375</v>
      </c>
    </row>
    <row r="89" spans="2:99">
      <c r="C89" s="99" t="s">
        <v>255</v>
      </c>
      <c r="D89" s="100">
        <v>4.6369070989760397</v>
      </c>
      <c r="E89" s="100">
        <v>4924.3953391125542</v>
      </c>
      <c r="F89" s="100">
        <v>0.64657639703562919</v>
      </c>
      <c r="G89" s="100">
        <v>686.66413365183826</v>
      </c>
      <c r="H89" s="100">
        <v>7.6179941145771002</v>
      </c>
      <c r="I89" s="100">
        <v>8090.3097496808805</v>
      </c>
      <c r="J89" s="100">
        <v>7</v>
      </c>
      <c r="K89" s="100">
        <v>7434</v>
      </c>
      <c r="L89" s="100">
        <v>5.6453288335520577</v>
      </c>
      <c r="M89" s="100">
        <v>5995.3392212322851</v>
      </c>
      <c r="N89" s="100">
        <v>5</v>
      </c>
      <c r="O89" s="100">
        <v>5310</v>
      </c>
      <c r="P89" s="100">
        <v>2.9301995465352944</v>
      </c>
      <c r="Q89" s="100">
        <v>3111.8719184204824</v>
      </c>
      <c r="R89" s="100">
        <v>3.8847778958718013</v>
      </c>
      <c r="S89" s="100">
        <v>4125.6341254158533</v>
      </c>
      <c r="T89" s="100">
        <v>5.6505860303589852</v>
      </c>
      <c r="U89" s="100">
        <v>6000.9223642412426</v>
      </c>
      <c r="V89" s="100">
        <v>3.9051170471590879</v>
      </c>
      <c r="W89" s="100">
        <v>4147.234304082951</v>
      </c>
      <c r="X89" s="100">
        <v>4.143763088929922</v>
      </c>
      <c r="Y89" s="100">
        <v>4400.6764004435772</v>
      </c>
      <c r="Z89" s="100">
        <v>0.83764102797477513</v>
      </c>
      <c r="AA89" s="100">
        <v>889.57477170921118</v>
      </c>
      <c r="AB89" s="100">
        <v>5.4714111247278874</v>
      </c>
      <c r="AC89" s="100">
        <v>5810.638614461016</v>
      </c>
      <c r="AD89" s="100">
        <v>4.7891381410445186</v>
      </c>
      <c r="AE89" s="100">
        <v>5086.0647057892784</v>
      </c>
      <c r="AF89" s="100">
        <v>5.0000000000000018</v>
      </c>
      <c r="AG89" s="100">
        <v>5310.0000000000018</v>
      </c>
      <c r="AH89" s="100">
        <v>1.668225536120457</v>
      </c>
      <c r="AI89" s="100">
        <v>1771.6555193599254</v>
      </c>
      <c r="AJ89" s="100">
        <v>6.197422405863076</v>
      </c>
      <c r="AK89" s="100">
        <v>6581.662595026587</v>
      </c>
      <c r="AL89" s="100">
        <v>6.5388880743327835</v>
      </c>
      <c r="AM89" s="100">
        <v>6944.299134941416</v>
      </c>
      <c r="AN89" s="100">
        <v>3.0694541399480904</v>
      </c>
      <c r="AO89" s="100">
        <v>3259.7602966248719</v>
      </c>
      <c r="AP89" s="100">
        <v>5.5662489254282521</v>
      </c>
      <c r="AQ89" s="100">
        <v>5911.3563588048037</v>
      </c>
      <c r="AR89" s="100">
        <v>4.257290844791016</v>
      </c>
      <c r="AS89" s="100">
        <v>4521.2428771680588</v>
      </c>
      <c r="AT89" s="100">
        <v>4.199759887428975</v>
      </c>
      <c r="AU89" s="100">
        <v>4460.1450004495719</v>
      </c>
      <c r="AV89" s="100">
        <v>6.0665966700381064</v>
      </c>
      <c r="AW89" s="100">
        <v>6442.7256635804688</v>
      </c>
      <c r="AX89" s="100">
        <v>3.5116636346863741</v>
      </c>
      <c r="AY89" s="100">
        <v>3729.3867800369294</v>
      </c>
      <c r="AZ89" s="100">
        <v>4.0660991874940491</v>
      </c>
      <c r="BA89" s="100">
        <v>4318.1973371186805</v>
      </c>
      <c r="BB89" s="100">
        <v>3.7542063174945741</v>
      </c>
      <c r="BC89" s="100">
        <v>3986.9671091792379</v>
      </c>
      <c r="BD89" s="100">
        <v>3.9674327447201381</v>
      </c>
      <c r="BE89" s="100">
        <v>4213.4135748927865</v>
      </c>
      <c r="BF89" s="100">
        <v>5.448121794245421</v>
      </c>
      <c r="BG89" s="100">
        <v>5785.9053454886371</v>
      </c>
      <c r="BH89" s="100">
        <v>4.3302498974220258</v>
      </c>
      <c r="BI89" s="100">
        <v>4598.7253910621912</v>
      </c>
      <c r="BJ89" s="100">
        <v>0.76179792631266341</v>
      </c>
      <c r="BK89" s="100">
        <v>809.02939774404854</v>
      </c>
      <c r="BL89" s="100">
        <v>9.2972578090942193</v>
      </c>
      <c r="BM89" s="100">
        <v>9873.687793258061</v>
      </c>
      <c r="BN89" s="100">
        <v>5.2569851344169729</v>
      </c>
      <c r="BO89" s="100">
        <v>5582.9182127508257</v>
      </c>
      <c r="BP89" s="100">
        <v>6.250368905089827</v>
      </c>
      <c r="BQ89" s="100">
        <v>6637.8917772053965</v>
      </c>
      <c r="BR89" s="100">
        <v>5.4386890542205215</v>
      </c>
      <c r="BS89" s="100">
        <v>5775.8877755821941</v>
      </c>
      <c r="BT89" s="100">
        <v>4.8750153987410849</v>
      </c>
      <c r="BU89" s="100">
        <v>5177.2663534630319</v>
      </c>
      <c r="BV89" s="100">
        <v>0.91308050081043257</v>
      </c>
      <c r="BW89" s="100">
        <v>969.69149186067943</v>
      </c>
      <c r="BX89" s="100">
        <v>6.5908641602626723</v>
      </c>
      <c r="BY89" s="100">
        <v>6999.4977381989584</v>
      </c>
      <c r="BZ89" s="100">
        <v>6.6654318283544596</v>
      </c>
      <c r="CA89" s="100">
        <v>7078.6886017124361</v>
      </c>
      <c r="CB89" s="100">
        <v>3.8250120820891595</v>
      </c>
      <c r="CC89" s="100">
        <v>4062.1628311786876</v>
      </c>
      <c r="CD89" s="100">
        <v>0.55655076954690796</v>
      </c>
      <c r="CE89" s="100">
        <v>591.05691725881627</v>
      </c>
      <c r="CF89" s="100">
        <v>6.6999027707879995</v>
      </c>
      <c r="CG89" s="100">
        <v>7115.2967425768556</v>
      </c>
      <c r="CH89" s="100">
        <v>2.062512952557769</v>
      </c>
      <c r="CI89" s="100">
        <v>2190.3887556163509</v>
      </c>
      <c r="CJ89" s="100">
        <v>5.540592859421742</v>
      </c>
      <c r="CK89" s="100">
        <v>5884.1096167058904</v>
      </c>
      <c r="CL89" s="100">
        <v>3.5703291456756778</v>
      </c>
      <c r="CM89" s="100">
        <v>3791.6895527075699</v>
      </c>
      <c r="CN89" s="100">
        <v>5.193307969118119</v>
      </c>
      <c r="CO89" s="100">
        <v>5515.2930632034422</v>
      </c>
      <c r="CP89" s="100">
        <v>0.27313225890966286</v>
      </c>
      <c r="CQ89" s="100">
        <v>290.06645896206197</v>
      </c>
      <c r="CR89" s="100">
        <v>4.2621325385022342</v>
      </c>
      <c r="CS89" s="100">
        <v>4526.3847558893731</v>
      </c>
      <c r="CT89" s="100">
        <v>7.0544593939116371</v>
      </c>
      <c r="CU89" s="100">
        <v>7491.8358763341585</v>
      </c>
    </row>
    <row r="90" spans="2:99">
      <c r="C90" s="99" t="s">
        <v>256</v>
      </c>
      <c r="D90" s="100">
        <v>5.5843180605732599</v>
      </c>
      <c r="E90" s="100">
        <v>6191.8918655636298</v>
      </c>
      <c r="F90" s="100">
        <v>0.55420834031625366</v>
      </c>
      <c r="G90" s="100">
        <v>614.50620774266201</v>
      </c>
      <c r="H90" s="100">
        <v>6.7724926432213755</v>
      </c>
      <c r="I90" s="100">
        <v>7509.3398428038608</v>
      </c>
      <c r="J90" s="100">
        <v>6</v>
      </c>
      <c r="K90" s="100">
        <v>6652.7999999999993</v>
      </c>
      <c r="L90" s="100">
        <v>6.4518043812023516</v>
      </c>
      <c r="M90" s="100">
        <v>7153.7606978771673</v>
      </c>
      <c r="N90" s="100">
        <v>5</v>
      </c>
      <c r="O90" s="100">
        <v>5544</v>
      </c>
      <c r="P90" s="100">
        <v>2.9301995465352944</v>
      </c>
      <c r="Q90" s="100">
        <v>3249.0052571983342</v>
      </c>
      <c r="R90" s="100">
        <v>3.8847778958718013</v>
      </c>
      <c r="S90" s="100">
        <v>4307.4417309426535</v>
      </c>
      <c r="T90" s="100">
        <v>5.6505860303589852</v>
      </c>
      <c r="U90" s="100">
        <v>6265.3697904620421</v>
      </c>
      <c r="V90" s="100">
        <v>3.9051170471590879</v>
      </c>
      <c r="W90" s="100">
        <v>4329.9937818899962</v>
      </c>
      <c r="X90" s="100">
        <v>4.143763088929922</v>
      </c>
      <c r="Y90" s="100">
        <v>4594.6045130054972</v>
      </c>
      <c r="Z90" s="100">
        <v>0.83764102797477513</v>
      </c>
      <c r="AA90" s="100">
        <v>928.77637181843068</v>
      </c>
      <c r="AB90" s="100">
        <v>4.8220643628462385</v>
      </c>
      <c r="AC90" s="100">
        <v>5346.7049655239089</v>
      </c>
      <c r="AD90" s="100">
        <v>4.0077118487691674</v>
      </c>
      <c r="AE90" s="100">
        <v>4443.7508979152526</v>
      </c>
      <c r="AF90" s="100">
        <v>5.0000000000000018</v>
      </c>
      <c r="AG90" s="100">
        <v>5544.0000000000018</v>
      </c>
      <c r="AH90" s="100">
        <v>1.649752950268855</v>
      </c>
      <c r="AI90" s="100">
        <v>1829.2460712581064</v>
      </c>
      <c r="AJ90" s="100">
        <v>6.197422405863076</v>
      </c>
      <c r="AK90" s="100">
        <v>6871.7019636209789</v>
      </c>
      <c r="AL90" s="100">
        <v>5.6047612065709576</v>
      </c>
      <c r="AM90" s="100">
        <v>6214.5592258458773</v>
      </c>
      <c r="AN90" s="100">
        <v>3.8368176749351131</v>
      </c>
      <c r="AO90" s="100">
        <v>4254.263437968053</v>
      </c>
      <c r="AP90" s="100">
        <v>5.5662489254282521</v>
      </c>
      <c r="AQ90" s="100">
        <v>6171.8568085148454</v>
      </c>
      <c r="AR90" s="100">
        <v>3.4058326758328126</v>
      </c>
      <c r="AS90" s="100">
        <v>3776.3872709634225</v>
      </c>
      <c r="AT90" s="100">
        <v>4.199759887428975</v>
      </c>
      <c r="AU90" s="100">
        <v>4656.693763181247</v>
      </c>
      <c r="AV90" s="100">
        <v>5.4698261919032003</v>
      </c>
      <c r="AW90" s="100">
        <v>6064.9432815822684</v>
      </c>
      <c r="AX90" s="100">
        <v>3.4732548136819923</v>
      </c>
      <c r="AY90" s="100">
        <v>3851.1449374105928</v>
      </c>
      <c r="AZ90" s="100">
        <v>4.0660991874940491</v>
      </c>
      <c r="BA90" s="100">
        <v>4508.4907790934012</v>
      </c>
      <c r="BB90" s="100">
        <v>3.7542063174945741</v>
      </c>
      <c r="BC90" s="100">
        <v>4162.6639648379833</v>
      </c>
      <c r="BD90" s="100">
        <v>3.9674327447201381</v>
      </c>
      <c r="BE90" s="100">
        <v>4399.0894273456888</v>
      </c>
      <c r="BF90" s="100">
        <v>6.1651818580547584</v>
      </c>
      <c r="BG90" s="100">
        <v>6835.9536442111157</v>
      </c>
      <c r="BH90" s="100">
        <v>5.1687854297518578</v>
      </c>
      <c r="BI90" s="100">
        <v>5731.1492845088596</v>
      </c>
      <c r="BJ90" s="100">
        <v>0.68006146713150084</v>
      </c>
      <c r="BK90" s="100">
        <v>754.05215475540808</v>
      </c>
      <c r="BL90" s="100">
        <v>8.2972578090942193</v>
      </c>
      <c r="BM90" s="100">
        <v>9199.9994587236706</v>
      </c>
      <c r="BN90" s="100">
        <v>6.1331493234864691</v>
      </c>
      <c r="BO90" s="100">
        <v>6800.4359698817971</v>
      </c>
      <c r="BP90" s="100">
        <v>5.5558834711909579</v>
      </c>
      <c r="BQ90" s="100">
        <v>6160.3635928565336</v>
      </c>
      <c r="BR90" s="100">
        <v>5.4386890542205215</v>
      </c>
      <c r="BS90" s="100">
        <v>6030.4184233197138</v>
      </c>
      <c r="BT90" s="100">
        <v>4.0625128322842379</v>
      </c>
      <c r="BU90" s="100">
        <v>4504.514228436763</v>
      </c>
      <c r="BV90" s="100">
        <v>1.0164311480478339</v>
      </c>
      <c r="BW90" s="100">
        <v>1127.0188569554382</v>
      </c>
      <c r="BX90" s="100">
        <v>6.4726913282101375</v>
      </c>
      <c r="BY90" s="100">
        <v>7176.9201447194</v>
      </c>
      <c r="BZ90" s="100">
        <v>7.4986108068987667</v>
      </c>
      <c r="CA90" s="100">
        <v>8314.4596626893526</v>
      </c>
      <c r="CB90" s="100">
        <v>4.4625140957706861</v>
      </c>
      <c r="CC90" s="100">
        <v>4948.035629390537</v>
      </c>
      <c r="CD90" s="100">
        <v>0.4637923079557566</v>
      </c>
      <c r="CE90" s="100">
        <v>514.25291106134284</v>
      </c>
      <c r="CF90" s="100">
        <v>5.6999027707879995</v>
      </c>
      <c r="CG90" s="100">
        <v>6320.0521922497337</v>
      </c>
      <c r="CH90" s="100">
        <v>2.0731963695475777</v>
      </c>
      <c r="CI90" s="100">
        <v>2298.760134554354</v>
      </c>
      <c r="CJ90" s="100">
        <v>5.0093328322806316</v>
      </c>
      <c r="CK90" s="100">
        <v>5554.3482444327637</v>
      </c>
      <c r="CL90" s="100">
        <v>3.5703291456756778</v>
      </c>
      <c r="CM90" s="100">
        <v>3958.7809567251916</v>
      </c>
      <c r="CN90" s="100">
        <v>4.4971592999467571</v>
      </c>
      <c r="CO90" s="100">
        <v>4986.4502317809638</v>
      </c>
      <c r="CP90" s="100">
        <v>0.27313225890966286</v>
      </c>
      <c r="CQ90" s="100">
        <v>302.84904867903418</v>
      </c>
      <c r="CR90" s="100">
        <v>4.2457645357385152</v>
      </c>
      <c r="CS90" s="100">
        <v>4707.7037172268656</v>
      </c>
      <c r="CT90" s="100">
        <v>6.9400010755544272</v>
      </c>
      <c r="CU90" s="100">
        <v>7695.0731925747486</v>
      </c>
    </row>
    <row r="91" spans="2:99">
      <c r="C91" s="99" t="s">
        <v>257</v>
      </c>
      <c r="D91" s="100">
        <v>5.5843180605732599</v>
      </c>
      <c r="E91" s="100">
        <v>6346.0190440354518</v>
      </c>
      <c r="F91" s="100">
        <v>0.55420834031625366</v>
      </c>
      <c r="G91" s="100">
        <v>629.80235793539055</v>
      </c>
      <c r="H91" s="100">
        <v>6.6179941145771002</v>
      </c>
      <c r="I91" s="100">
        <v>7520.6885118054161</v>
      </c>
      <c r="J91" s="100">
        <v>6</v>
      </c>
      <c r="K91" s="100">
        <v>6818.4</v>
      </c>
      <c r="L91" s="100">
        <v>5.6453288335520577</v>
      </c>
      <c r="M91" s="100">
        <v>6415.3516864485573</v>
      </c>
      <c r="N91" s="100">
        <v>5</v>
      </c>
      <c r="O91" s="100">
        <v>5681.9999999999991</v>
      </c>
      <c r="P91" s="100">
        <v>2.9301995465352944</v>
      </c>
      <c r="Q91" s="100">
        <v>3329.8787646827082</v>
      </c>
      <c r="R91" s="100">
        <v>3.8847778958718013</v>
      </c>
      <c r="S91" s="100">
        <v>4414.6616008687142</v>
      </c>
      <c r="T91" s="100">
        <v>5.6505860303589852</v>
      </c>
      <c r="U91" s="100">
        <v>6421.3259648999501</v>
      </c>
      <c r="V91" s="100">
        <v>3.9051170471590879</v>
      </c>
      <c r="W91" s="100">
        <v>4437.7750123915866</v>
      </c>
      <c r="X91" s="100">
        <v>4.143763088929922</v>
      </c>
      <c r="Y91" s="100">
        <v>4708.9723742599626</v>
      </c>
      <c r="Z91" s="100">
        <v>0.70550106644068189</v>
      </c>
      <c r="AA91" s="100">
        <v>801.73141190319075</v>
      </c>
      <c r="AB91" s="100">
        <v>4.8220643628462385</v>
      </c>
      <c r="AC91" s="100">
        <v>5479.7939419384647</v>
      </c>
      <c r="AD91" s="100">
        <v>4.0264791829052475</v>
      </c>
      <c r="AE91" s="100">
        <v>4575.6909434535228</v>
      </c>
      <c r="AF91" s="100">
        <v>6.0000000000000018</v>
      </c>
      <c r="AG91" s="100">
        <v>6818.4000000000015</v>
      </c>
      <c r="AH91" s="100">
        <v>1.668225536120457</v>
      </c>
      <c r="AI91" s="100">
        <v>1895.771499247287</v>
      </c>
      <c r="AJ91" s="100">
        <v>6.197422405863076</v>
      </c>
      <c r="AK91" s="100">
        <v>7042.7508220227992</v>
      </c>
      <c r="AL91" s="100">
        <v>6.5388880743327835</v>
      </c>
      <c r="AM91" s="100">
        <v>7430.7924076717745</v>
      </c>
      <c r="AN91" s="100">
        <v>3.0694541399480904</v>
      </c>
      <c r="AO91" s="100">
        <v>3488.1276846370097</v>
      </c>
      <c r="AP91" s="100">
        <v>5.5662489254282521</v>
      </c>
      <c r="AQ91" s="100">
        <v>6325.485278856665</v>
      </c>
      <c r="AR91" s="100">
        <v>4.257290844791016</v>
      </c>
      <c r="AS91" s="100">
        <v>4837.9853160205103</v>
      </c>
      <c r="AT91" s="100">
        <v>4.199759887428975</v>
      </c>
      <c r="AU91" s="100">
        <v>4772.6071360742862</v>
      </c>
      <c r="AV91" s="100">
        <v>6.0665966700381064</v>
      </c>
      <c r="AW91" s="100">
        <v>6894.080455831303</v>
      </c>
      <c r="AX91" s="100">
        <v>3.5116636346863741</v>
      </c>
      <c r="AY91" s="100">
        <v>3990.6545544575952</v>
      </c>
      <c r="AZ91" s="100">
        <v>4.4206517810056427</v>
      </c>
      <c r="BA91" s="100">
        <v>5023.6286839348122</v>
      </c>
      <c r="BB91" s="100">
        <v>4.3910468933822537</v>
      </c>
      <c r="BC91" s="100">
        <v>4989.9856896395922</v>
      </c>
      <c r="BD91" s="100">
        <v>3.9674327447201381</v>
      </c>
      <c r="BE91" s="100">
        <v>4508.5905710999641</v>
      </c>
      <c r="BF91" s="100">
        <v>5.3526416766296379</v>
      </c>
      <c r="BG91" s="100">
        <v>6082.7420013219198</v>
      </c>
      <c r="BH91" s="100">
        <v>4.3302498974220258</v>
      </c>
      <c r="BI91" s="100">
        <v>4920.8959834303896</v>
      </c>
      <c r="BJ91" s="100">
        <v>0.67632292517690085</v>
      </c>
      <c r="BK91" s="100">
        <v>768.57337217102997</v>
      </c>
      <c r="BL91" s="100">
        <v>8.2972578090942193</v>
      </c>
      <c r="BM91" s="100">
        <v>9429.0037742546701</v>
      </c>
      <c r="BN91" s="100">
        <v>5.2569851344169729</v>
      </c>
      <c r="BO91" s="100">
        <v>5974.0379067514477</v>
      </c>
      <c r="BP91" s="100">
        <v>6.250368905089827</v>
      </c>
      <c r="BQ91" s="100">
        <v>7102.9192237440784</v>
      </c>
      <c r="BR91" s="100">
        <v>6.2156446333948825</v>
      </c>
      <c r="BS91" s="100">
        <v>7063.4585613899435</v>
      </c>
      <c r="BT91" s="100">
        <v>4.0625128322842379</v>
      </c>
      <c r="BU91" s="100">
        <v>4616.6395826078069</v>
      </c>
      <c r="BV91" s="100">
        <v>0.90229608544652973</v>
      </c>
      <c r="BW91" s="100">
        <v>1025.3692715014363</v>
      </c>
      <c r="BX91" s="100">
        <v>6.5908641602626723</v>
      </c>
      <c r="BY91" s="100">
        <v>7489.8580317224996</v>
      </c>
      <c r="BZ91" s="100">
        <v>6.6654318283544596</v>
      </c>
      <c r="CA91" s="100">
        <v>7574.5967297420066</v>
      </c>
      <c r="CB91" s="100">
        <v>4.4625140957706861</v>
      </c>
      <c r="CC91" s="100">
        <v>5071.2010184338069</v>
      </c>
      <c r="CD91" s="100">
        <v>0.55655076954690796</v>
      </c>
      <c r="CE91" s="100">
        <v>632.4642945131061</v>
      </c>
      <c r="CF91" s="100">
        <v>5.6999027707879995</v>
      </c>
      <c r="CG91" s="100">
        <v>6477.3695087234819</v>
      </c>
      <c r="CH91" s="100">
        <v>2.0731963695475777</v>
      </c>
      <c r="CI91" s="100">
        <v>2355.9803543538669</v>
      </c>
      <c r="CJ91" s="100">
        <v>5.0093328322806316</v>
      </c>
      <c r="CK91" s="100">
        <v>5692.6058306037094</v>
      </c>
      <c r="CL91" s="100">
        <v>3.5478912767414386</v>
      </c>
      <c r="CM91" s="100">
        <v>4031.8236468889704</v>
      </c>
      <c r="CN91" s="100">
        <v>4.5617975666677157</v>
      </c>
      <c r="CO91" s="100">
        <v>5184.0267547611911</v>
      </c>
      <c r="CP91" s="100">
        <v>0.2736695089606036</v>
      </c>
      <c r="CQ91" s="100">
        <v>310.99802998282991</v>
      </c>
      <c r="CR91" s="100">
        <v>3.7293659711894551</v>
      </c>
      <c r="CS91" s="100">
        <v>4238.051489659696</v>
      </c>
      <c r="CT91" s="100">
        <v>7.8504230793826837</v>
      </c>
      <c r="CU91" s="100">
        <v>8921.2207874104806</v>
      </c>
    </row>
    <row r="92" spans="2:99">
      <c r="C92" s="99" t="s">
        <v>258</v>
      </c>
      <c r="D92" s="100">
        <v>5.5843180605732599</v>
      </c>
      <c r="E92" s="100">
        <v>4382.5728139378944</v>
      </c>
      <c r="F92" s="100">
        <v>0.55420834031625366</v>
      </c>
      <c r="G92" s="100">
        <v>434.94270548019585</v>
      </c>
      <c r="H92" s="100">
        <v>7.7724926432213755</v>
      </c>
      <c r="I92" s="100">
        <v>6099.8522264001349</v>
      </c>
      <c r="J92" s="100">
        <v>7</v>
      </c>
      <c r="K92" s="100">
        <v>5493.5999999999995</v>
      </c>
      <c r="L92" s="100">
        <v>6.4518043812023516</v>
      </c>
      <c r="M92" s="100">
        <v>5063.3760783676053</v>
      </c>
      <c r="N92" s="100">
        <v>5</v>
      </c>
      <c r="O92" s="100">
        <v>3924</v>
      </c>
      <c r="P92" s="100">
        <v>2.9301995465352944</v>
      </c>
      <c r="Q92" s="100">
        <v>2299.6206041208989</v>
      </c>
      <c r="R92" s="100">
        <v>3.8847778958718013</v>
      </c>
      <c r="S92" s="100">
        <v>3048.7736926801895</v>
      </c>
      <c r="T92" s="100">
        <v>4.8433594545934158</v>
      </c>
      <c r="U92" s="100">
        <v>3801.0684999649125</v>
      </c>
      <c r="V92" s="100">
        <v>3.9051170471590879</v>
      </c>
      <c r="W92" s="100">
        <v>3064.7358586104519</v>
      </c>
      <c r="X92" s="100">
        <v>4.7357292444913401</v>
      </c>
      <c r="Y92" s="100">
        <v>3716.6003110768033</v>
      </c>
      <c r="Z92" s="100">
        <v>0.96978098950886849</v>
      </c>
      <c r="AA92" s="100">
        <v>761.08412056655993</v>
      </c>
      <c r="AB92" s="100">
        <v>4.8681705344586881</v>
      </c>
      <c r="AC92" s="100">
        <v>3820.5402354431781</v>
      </c>
      <c r="AD92" s="100">
        <v>4.0197354661932341</v>
      </c>
      <c r="AE92" s="100">
        <v>3154.68839386845</v>
      </c>
      <c r="AF92" s="100">
        <v>5.0000000000000018</v>
      </c>
      <c r="AG92" s="100">
        <v>3924.0000000000014</v>
      </c>
      <c r="AH92" s="100">
        <v>2.0206278696699642</v>
      </c>
      <c r="AI92" s="100">
        <v>1585.7887521169878</v>
      </c>
      <c r="AJ92" s="100">
        <v>6.197422405863076</v>
      </c>
      <c r="AK92" s="100">
        <v>4863.7371041213419</v>
      </c>
      <c r="AL92" s="100">
        <v>6.5388880743327835</v>
      </c>
      <c r="AM92" s="100">
        <v>5131.7193607363679</v>
      </c>
      <c r="AN92" s="100">
        <v>3.0694541399480904</v>
      </c>
      <c r="AO92" s="100">
        <v>2408.907609031261</v>
      </c>
      <c r="AP92" s="100">
        <v>6.4939570796662949</v>
      </c>
      <c r="AQ92" s="100">
        <v>5096.4575161221082</v>
      </c>
      <c r="AR92" s="100">
        <v>5.1087490137492191</v>
      </c>
      <c r="AS92" s="100">
        <v>4009.3462259903868</v>
      </c>
      <c r="AT92" s="100">
        <v>4.199759887428975</v>
      </c>
      <c r="AU92" s="100">
        <v>3295.9715596542592</v>
      </c>
      <c r="AV92" s="100">
        <v>5.3704082807525193</v>
      </c>
      <c r="AW92" s="100">
        <v>4214.6964187345766</v>
      </c>
      <c r="AX92" s="100">
        <v>3.5116636346863741</v>
      </c>
      <c r="AY92" s="100">
        <v>2755.9536205018662</v>
      </c>
      <c r="AZ92" s="100">
        <v>4.4206517810056427</v>
      </c>
      <c r="BA92" s="100">
        <v>3469.327517733228</v>
      </c>
      <c r="BB92" s="100">
        <v>4.3910468933822537</v>
      </c>
      <c r="BC92" s="100">
        <v>3446.0936019263927</v>
      </c>
      <c r="BD92" s="100">
        <v>3.9674327447201381</v>
      </c>
      <c r="BE92" s="100">
        <v>3113.6412180563643</v>
      </c>
      <c r="BF92" s="100">
        <v>6.1651818580547584</v>
      </c>
      <c r="BG92" s="100">
        <v>4838.4347222013739</v>
      </c>
      <c r="BH92" s="100">
        <v>5.1687854297518578</v>
      </c>
      <c r="BI92" s="100">
        <v>4056.4628052692578</v>
      </c>
      <c r="BJ92" s="100">
        <v>0.76179792631266341</v>
      </c>
      <c r="BK92" s="100">
        <v>597.85901257017827</v>
      </c>
      <c r="BL92" s="100">
        <v>9.3715722613677741</v>
      </c>
      <c r="BM92" s="100">
        <v>7354.8099107214284</v>
      </c>
      <c r="BN92" s="100">
        <v>6.1331493234864691</v>
      </c>
      <c r="BO92" s="100">
        <v>4813.2955890721805</v>
      </c>
      <c r="BP92" s="100">
        <v>6.9448543389886961</v>
      </c>
      <c r="BQ92" s="100">
        <v>5450.3216852383284</v>
      </c>
      <c r="BR92" s="100">
        <v>5.4386890542205215</v>
      </c>
      <c r="BS92" s="100">
        <v>4268.2831697522652</v>
      </c>
      <c r="BT92" s="100">
        <v>4.0625128322842379</v>
      </c>
      <c r="BU92" s="100">
        <v>3188.2600707766696</v>
      </c>
      <c r="BV92" s="100">
        <v>0.90768829312848121</v>
      </c>
      <c r="BW92" s="100">
        <v>712.35377244723202</v>
      </c>
      <c r="BX92" s="100">
        <v>7.5908641602626723</v>
      </c>
      <c r="BY92" s="100">
        <v>5957.3101929741451</v>
      </c>
      <c r="BZ92" s="100">
        <v>6.6654318283544596</v>
      </c>
      <c r="CA92" s="100">
        <v>5231.0308988925799</v>
      </c>
      <c r="CB92" s="100">
        <v>4.4625140957706861</v>
      </c>
      <c r="CC92" s="100">
        <v>3502.1810623608344</v>
      </c>
      <c r="CD92" s="100">
        <v>0.4637923079557566</v>
      </c>
      <c r="CE92" s="100">
        <v>363.98420328367774</v>
      </c>
      <c r="CF92" s="100">
        <v>5.8748784634849995</v>
      </c>
      <c r="CG92" s="100">
        <v>4610.6046181430274</v>
      </c>
      <c r="CH92" s="100">
        <v>2.0731963695475777</v>
      </c>
      <c r="CI92" s="100">
        <v>1627.044510820939</v>
      </c>
      <c r="CJ92" s="100">
        <v>5.0093328322806316</v>
      </c>
      <c r="CK92" s="100">
        <v>3931.3244067738397</v>
      </c>
      <c r="CL92" s="100">
        <v>4.113028975775066</v>
      </c>
      <c r="CM92" s="100">
        <v>3227.9051401882716</v>
      </c>
      <c r="CN92" s="100">
        <v>4.497646641394458</v>
      </c>
      <c r="CO92" s="100">
        <v>3529.7530841663706</v>
      </c>
      <c r="CP92" s="100">
        <v>0.31811705201033258</v>
      </c>
      <c r="CQ92" s="100">
        <v>249.65826241770898</v>
      </c>
      <c r="CR92" s="100">
        <v>4.2457645357385152</v>
      </c>
      <c r="CS92" s="100">
        <v>3332.0760076475867</v>
      </c>
      <c r="CT92" s="100">
        <v>7.0544593939116371</v>
      </c>
      <c r="CU92" s="100">
        <v>5536.3397323418521</v>
      </c>
    </row>
    <row r="93" spans="2:99">
      <c r="C93" s="99" t="s">
        <v>259</v>
      </c>
      <c r="D93" s="100">
        <v>5.5843180605732599</v>
      </c>
      <c r="E93" s="100">
        <v>3873.2830068136132</v>
      </c>
      <c r="F93" s="100">
        <v>0.55420834031625366</v>
      </c>
      <c r="G93" s="100">
        <v>384.39890484335353</v>
      </c>
      <c r="H93" s="100">
        <v>6.7724926432213755</v>
      </c>
      <c r="I93" s="100">
        <v>4697.4008973383461</v>
      </c>
      <c r="J93" s="100">
        <v>7</v>
      </c>
      <c r="K93" s="100">
        <v>4855.2</v>
      </c>
      <c r="L93" s="100">
        <v>7.2582799288526454</v>
      </c>
      <c r="M93" s="100">
        <v>5034.3429586521952</v>
      </c>
      <c r="N93" s="100">
        <v>5</v>
      </c>
      <c r="O93" s="100">
        <v>3468</v>
      </c>
      <c r="P93" s="100">
        <v>2.9301995465352944</v>
      </c>
      <c r="Q93" s="100">
        <v>2032.3864054768803</v>
      </c>
      <c r="R93" s="100">
        <v>3.8847778958718013</v>
      </c>
      <c r="S93" s="100">
        <v>2694.4819485766816</v>
      </c>
      <c r="T93" s="100">
        <v>5.6505860303589852</v>
      </c>
      <c r="U93" s="100">
        <v>3919.2464706569922</v>
      </c>
      <c r="V93" s="100">
        <v>3.9051170471590879</v>
      </c>
      <c r="W93" s="100">
        <v>2708.5891839095434</v>
      </c>
      <c r="X93" s="100">
        <v>4.143763088929922</v>
      </c>
      <c r="Y93" s="100">
        <v>2874.114078481794</v>
      </c>
      <c r="Z93" s="100">
        <v>0.83764102797477513</v>
      </c>
      <c r="AA93" s="100">
        <v>580.98781700330403</v>
      </c>
      <c r="AB93" s="100">
        <v>5.5175172963403369</v>
      </c>
      <c r="AC93" s="100">
        <v>3826.9499967416577</v>
      </c>
      <c r="AD93" s="100">
        <v>4.0077118487691674</v>
      </c>
      <c r="AE93" s="100">
        <v>2779.7489383062948</v>
      </c>
      <c r="AF93" s="100">
        <v>6.0000000000000018</v>
      </c>
      <c r="AG93" s="100">
        <v>4161.6000000000013</v>
      </c>
      <c r="AH93" s="100">
        <v>1.668225536120457</v>
      </c>
      <c r="AI93" s="100">
        <v>1157.0812318531489</v>
      </c>
      <c r="AJ93" s="100">
        <v>6.197422405863076</v>
      </c>
      <c r="AK93" s="100">
        <v>4298.5321807066293</v>
      </c>
      <c r="AL93" s="100">
        <v>6.5388880743327835</v>
      </c>
      <c r="AM93" s="100">
        <v>4535.3727683572188</v>
      </c>
      <c r="AN93" s="100">
        <v>3.8368176749351131</v>
      </c>
      <c r="AO93" s="100">
        <v>2661.2167393349946</v>
      </c>
      <c r="AP93" s="100">
        <v>5.5662489254282521</v>
      </c>
      <c r="AQ93" s="100">
        <v>3860.7502546770356</v>
      </c>
      <c r="AR93" s="100">
        <v>4.257290844791016</v>
      </c>
      <c r="AS93" s="100">
        <v>2952.8569299470487</v>
      </c>
      <c r="AT93" s="100">
        <v>4.199759887428975</v>
      </c>
      <c r="AU93" s="100">
        <v>2912.953457920737</v>
      </c>
      <c r="AV93" s="100">
        <v>6.7627850593236936</v>
      </c>
      <c r="AW93" s="100">
        <v>4690.6677171469137</v>
      </c>
      <c r="AX93" s="100">
        <v>3.4732548136819923</v>
      </c>
      <c r="AY93" s="100">
        <v>2409.0495387698297</v>
      </c>
      <c r="AZ93" s="100">
        <v>4.4206517810056427</v>
      </c>
      <c r="BA93" s="100">
        <v>3066.164075305514</v>
      </c>
      <c r="BB93" s="100">
        <v>4.3910468933822537</v>
      </c>
      <c r="BC93" s="100">
        <v>3045.6301252499311</v>
      </c>
      <c r="BD93" s="100">
        <v>3.9674327447201381</v>
      </c>
      <c r="BE93" s="100">
        <v>2751.8113517378879</v>
      </c>
      <c r="BF93" s="100">
        <v>6.2606619756705406</v>
      </c>
      <c r="BG93" s="100">
        <v>4342.3951463250869</v>
      </c>
      <c r="BH93" s="100">
        <v>5.1687854297518578</v>
      </c>
      <c r="BI93" s="100">
        <v>3585.0695740758888</v>
      </c>
      <c r="BJ93" s="100">
        <v>0.76179792631266341</v>
      </c>
      <c r="BK93" s="100">
        <v>528.38304169046341</v>
      </c>
      <c r="BL93" s="100">
        <v>9.2972578090942193</v>
      </c>
      <c r="BM93" s="100">
        <v>6448.5780163877507</v>
      </c>
      <c r="BN93" s="100">
        <v>5.2569851344169729</v>
      </c>
      <c r="BO93" s="100">
        <v>3646.2448892316124</v>
      </c>
      <c r="BP93" s="100">
        <v>6.9448543389886961</v>
      </c>
      <c r="BQ93" s="100">
        <v>4816.9509695225597</v>
      </c>
      <c r="BR93" s="100">
        <v>6.2156446333948825</v>
      </c>
      <c r="BS93" s="100">
        <v>4311.1711177226907</v>
      </c>
      <c r="BT93" s="100">
        <v>4.0625128322842379</v>
      </c>
      <c r="BU93" s="100">
        <v>2817.7589004723477</v>
      </c>
      <c r="BV93" s="100">
        <v>0.90768829312848121</v>
      </c>
      <c r="BW93" s="100">
        <v>629.57260011391463</v>
      </c>
      <c r="BX93" s="100">
        <v>6.5908641602626723</v>
      </c>
      <c r="BY93" s="100">
        <v>4571.4233815581892</v>
      </c>
      <c r="BZ93" s="100">
        <v>7.4986108068987667</v>
      </c>
      <c r="CA93" s="100">
        <v>5201.0364556649847</v>
      </c>
      <c r="CB93" s="100">
        <v>5.1000161094522127</v>
      </c>
      <c r="CC93" s="100">
        <v>3537.371173516055</v>
      </c>
      <c r="CD93" s="100">
        <v>0.55655076954690796</v>
      </c>
      <c r="CE93" s="100">
        <v>386.0236137577354</v>
      </c>
      <c r="CF93" s="100">
        <v>6.8748784634849995</v>
      </c>
      <c r="CG93" s="100">
        <v>4768.4157022731961</v>
      </c>
      <c r="CH93" s="100">
        <v>2.0731963695475777</v>
      </c>
      <c r="CI93" s="100">
        <v>1437.9690019181999</v>
      </c>
      <c r="CJ93" s="100">
        <v>5.0093328322806316</v>
      </c>
      <c r="CK93" s="100">
        <v>3474.4732524698461</v>
      </c>
      <c r="CL93" s="100">
        <v>3.5737600758780457</v>
      </c>
      <c r="CM93" s="100">
        <v>2478.7599886290127</v>
      </c>
      <c r="CN93" s="100">
        <v>5.2574588943913758</v>
      </c>
      <c r="CO93" s="100">
        <v>3646.5734891498582</v>
      </c>
      <c r="CP93" s="100">
        <v>0.31811705201033258</v>
      </c>
      <c r="CQ93" s="100">
        <v>220.64598727436669</v>
      </c>
      <c r="CR93" s="100">
        <v>4.2457645357385152</v>
      </c>
      <c r="CS93" s="100">
        <v>2944.8622819882344</v>
      </c>
      <c r="CT93" s="100">
        <v>7.7359647610254738</v>
      </c>
      <c r="CU93" s="100">
        <v>5365.6651582472687</v>
      </c>
    </row>
    <row r="94" spans="2:99">
      <c r="C94" s="99" t="s">
        <v>260</v>
      </c>
      <c r="D94" s="100">
        <v>5.7255286026711198</v>
      </c>
      <c r="E94" s="100">
        <v>6829.4105172661111</v>
      </c>
      <c r="F94" s="100">
        <v>0.55420834031625366</v>
      </c>
      <c r="G94" s="100">
        <v>661.05970832922731</v>
      </c>
      <c r="H94" s="100">
        <v>6.7724926432213755</v>
      </c>
      <c r="I94" s="100">
        <v>8078.2292248344565</v>
      </c>
      <c r="J94" s="100">
        <v>6</v>
      </c>
      <c r="K94" s="100">
        <v>7156.7999999999993</v>
      </c>
      <c r="L94" s="100">
        <v>6.4518043812023516</v>
      </c>
      <c r="M94" s="100">
        <v>7695.7122658981643</v>
      </c>
      <c r="N94" s="100">
        <v>5</v>
      </c>
      <c r="O94" s="100">
        <v>5964</v>
      </c>
      <c r="P94" s="100">
        <v>2.9301995465352944</v>
      </c>
      <c r="Q94" s="100">
        <v>3495.1420191072989</v>
      </c>
      <c r="R94" s="100">
        <v>3.8847778958718013</v>
      </c>
      <c r="S94" s="100">
        <v>4633.7630741958847</v>
      </c>
      <c r="T94" s="100">
        <v>4.8433594545934158</v>
      </c>
      <c r="U94" s="100">
        <v>5777.1591574390259</v>
      </c>
      <c r="V94" s="100">
        <v>3.9051170471590879</v>
      </c>
      <c r="W94" s="100">
        <v>4658.0236138513601</v>
      </c>
      <c r="X94" s="100">
        <v>4.143763088929922</v>
      </c>
      <c r="Y94" s="100">
        <v>4942.6806124756104</v>
      </c>
      <c r="Z94" s="100">
        <v>0.84261894561591033</v>
      </c>
      <c r="AA94" s="100">
        <v>1005.0758783306578</v>
      </c>
      <c r="AB94" s="100">
        <v>4.8220643628462385</v>
      </c>
      <c r="AC94" s="100">
        <v>5751.7583720029934</v>
      </c>
      <c r="AD94" s="100">
        <v>4.0070987836135297</v>
      </c>
      <c r="AE94" s="100">
        <v>4779.6674290942183</v>
      </c>
      <c r="AF94" s="100">
        <v>6.0000000000000018</v>
      </c>
      <c r="AG94" s="100">
        <v>7156.800000000002</v>
      </c>
      <c r="AH94" s="100">
        <v>2.0391004555215662</v>
      </c>
      <c r="AI94" s="100">
        <v>2432.2390233461242</v>
      </c>
      <c r="AJ94" s="100">
        <v>5.197422405863076</v>
      </c>
      <c r="AK94" s="100">
        <v>6199.485445713477</v>
      </c>
      <c r="AL94" s="100">
        <v>6.5388880743327835</v>
      </c>
      <c r="AM94" s="100">
        <v>7799.5856950641437</v>
      </c>
      <c r="AN94" s="100">
        <v>3.0694541399480904</v>
      </c>
      <c r="AO94" s="100">
        <v>3661.2448981300822</v>
      </c>
      <c r="AP94" s="100">
        <v>5.5662489254282521</v>
      </c>
      <c r="AQ94" s="100">
        <v>6639.4217182508191</v>
      </c>
      <c r="AR94" s="100">
        <v>4.257290844791016</v>
      </c>
      <c r="AS94" s="100">
        <v>5078.0965196667239</v>
      </c>
      <c r="AT94" s="100">
        <v>4.199759887428975</v>
      </c>
      <c r="AU94" s="100">
        <v>5009.4735937252808</v>
      </c>
      <c r="AV94" s="100">
        <v>5.3704082807525193</v>
      </c>
      <c r="AW94" s="100">
        <v>6405.8229972816043</v>
      </c>
      <c r="AX94" s="100">
        <v>2.8093309077490991</v>
      </c>
      <c r="AY94" s="100">
        <v>3350.9699067631254</v>
      </c>
      <c r="AZ94" s="100">
        <v>4.4206517810056427</v>
      </c>
      <c r="BA94" s="100">
        <v>5272.95344438353</v>
      </c>
      <c r="BB94" s="100">
        <v>3.7542063174945741</v>
      </c>
      <c r="BC94" s="100">
        <v>4478.0172955075277</v>
      </c>
      <c r="BD94" s="100">
        <v>4.628671535506828</v>
      </c>
      <c r="BE94" s="100">
        <v>5521.0794075525446</v>
      </c>
      <c r="BF94" s="100">
        <v>5.3526416766296379</v>
      </c>
      <c r="BG94" s="100">
        <v>6384.6309918838315</v>
      </c>
      <c r="BH94" s="100">
        <v>5.1687854297518578</v>
      </c>
      <c r="BI94" s="100">
        <v>6165.3272606080154</v>
      </c>
      <c r="BJ94" s="100">
        <v>0.67632292517690085</v>
      </c>
      <c r="BK94" s="100">
        <v>806.71798515100727</v>
      </c>
      <c r="BL94" s="100">
        <v>8.2972578090942193</v>
      </c>
      <c r="BM94" s="100">
        <v>9896.9691146875848</v>
      </c>
      <c r="BN94" s="100">
        <v>5.2569851344169729</v>
      </c>
      <c r="BO94" s="100">
        <v>6270.531868332565</v>
      </c>
      <c r="BP94" s="100">
        <v>5.5558834711909579</v>
      </c>
      <c r="BQ94" s="100">
        <v>6627.0578044365748</v>
      </c>
      <c r="BR94" s="100">
        <v>5.4386890542205215</v>
      </c>
      <c r="BS94" s="100">
        <v>6487.268303874238</v>
      </c>
      <c r="BT94" s="100">
        <v>4.0625128322842379</v>
      </c>
      <c r="BU94" s="100">
        <v>4845.7653063486387</v>
      </c>
      <c r="BV94" s="100">
        <v>1.0164311480478339</v>
      </c>
      <c r="BW94" s="100">
        <v>1212.3990733914561</v>
      </c>
      <c r="BX94" s="100">
        <v>6.4726913282101375</v>
      </c>
      <c r="BY94" s="100">
        <v>7720.6262162890516</v>
      </c>
      <c r="BZ94" s="100">
        <v>6.6654318283544596</v>
      </c>
      <c r="CA94" s="100">
        <v>7950.527084861199</v>
      </c>
      <c r="CB94" s="100">
        <v>4.4625140957706861</v>
      </c>
      <c r="CC94" s="100">
        <v>5322.8868134352742</v>
      </c>
      <c r="CD94" s="100">
        <v>0.4637923079557566</v>
      </c>
      <c r="CE94" s="100">
        <v>553.21146492962646</v>
      </c>
      <c r="CF94" s="100">
        <v>6.6999027707879995</v>
      </c>
      <c r="CG94" s="100">
        <v>7991.6440249959251</v>
      </c>
      <c r="CH94" s="100">
        <v>1.8247302403439396</v>
      </c>
      <c r="CI94" s="100">
        <v>2176.5382306822512</v>
      </c>
      <c r="CJ94" s="100">
        <v>5.5989969067411076</v>
      </c>
      <c r="CK94" s="100">
        <v>6678.4835103607929</v>
      </c>
      <c r="CL94" s="100">
        <v>3.575125927782512</v>
      </c>
      <c r="CM94" s="100">
        <v>4264.4102066589803</v>
      </c>
      <c r="CN94" s="100">
        <v>4.497646641394458</v>
      </c>
      <c r="CO94" s="100">
        <v>5364.7929138553091</v>
      </c>
      <c r="CP94" s="100">
        <v>0.22814746580899314</v>
      </c>
      <c r="CQ94" s="100">
        <v>272.13429721696701</v>
      </c>
      <c r="CR94" s="100">
        <v>3.7293659711894551</v>
      </c>
      <c r="CS94" s="100">
        <v>4448.3877304347816</v>
      </c>
      <c r="CT94" s="100">
        <v>6.2584957084405897</v>
      </c>
      <c r="CU94" s="100">
        <v>7465.1336810279354</v>
      </c>
    </row>
    <row r="95" spans="2:99">
      <c r="B95" s="99" t="s">
        <v>132</v>
      </c>
      <c r="C95" s="99" t="s">
        <v>261</v>
      </c>
      <c r="D95" s="100">
        <v>12.78103696014524</v>
      </c>
      <c r="E95" s="100">
        <v>4202.4049524957554</v>
      </c>
      <c r="F95" s="100">
        <v>1.1084166806325073</v>
      </c>
      <c r="G95" s="100">
        <v>364.44740459196839</v>
      </c>
      <c r="H95" s="100">
        <v>10.92699117186565</v>
      </c>
      <c r="I95" s="100">
        <v>3592.7946973094258</v>
      </c>
      <c r="J95" s="100">
        <v>8</v>
      </c>
      <c r="K95" s="100">
        <v>2630.4</v>
      </c>
      <c r="L95" s="100">
        <v>5.6453288335520577</v>
      </c>
      <c r="M95" s="100">
        <v>1856.1841204719167</v>
      </c>
      <c r="N95" s="100">
        <v>7</v>
      </c>
      <c r="O95" s="100">
        <v>2301.6</v>
      </c>
      <c r="P95" s="100">
        <v>9.5231485262397069</v>
      </c>
      <c r="Q95" s="100">
        <v>3131.2112354276155</v>
      </c>
      <c r="R95" s="100">
        <v>7.1220928090983024</v>
      </c>
      <c r="S95" s="100">
        <v>2341.7441156315217</v>
      </c>
      <c r="T95" s="100">
        <v>7.2650391818901232</v>
      </c>
      <c r="U95" s="100">
        <v>2388.7448830054727</v>
      </c>
      <c r="V95" s="100">
        <v>8.4610869355113589</v>
      </c>
      <c r="W95" s="100">
        <v>2782.005384396135</v>
      </c>
      <c r="X95" s="100">
        <v>7.6955600222984275</v>
      </c>
      <c r="Y95" s="100">
        <v>2530.3001353317231</v>
      </c>
      <c r="Z95" s="100">
        <v>0.8475968632570452</v>
      </c>
      <c r="AA95" s="100">
        <v>278.68984863891649</v>
      </c>
      <c r="AB95" s="100">
        <v>6.9142230840955987</v>
      </c>
      <c r="AC95" s="100">
        <v>2273.3965500506329</v>
      </c>
      <c r="AD95" s="100">
        <v>7.1515712868510146</v>
      </c>
      <c r="AE95" s="100">
        <v>2351.4366391166136</v>
      </c>
      <c r="AF95" s="100">
        <v>8.0000000000000018</v>
      </c>
      <c r="AG95" s="100">
        <v>2630.4000000000005</v>
      </c>
      <c r="AH95" s="100">
        <v>3.9488928100819183</v>
      </c>
      <c r="AI95" s="100">
        <v>1298.3959559549348</v>
      </c>
      <c r="AJ95" s="100">
        <v>11.329037343105126</v>
      </c>
      <c r="AK95" s="100">
        <v>3724.9874784129656</v>
      </c>
      <c r="AL95" s="100">
        <v>7.4730149420946113</v>
      </c>
      <c r="AM95" s="100">
        <v>2457.1273129607084</v>
      </c>
      <c r="AN95" s="100">
        <v>7.6736353498702261</v>
      </c>
      <c r="AO95" s="100">
        <v>2523.0913030373304</v>
      </c>
      <c r="AP95" s="100">
        <v>6.4939570796662949</v>
      </c>
      <c r="AQ95" s="100">
        <v>2135.2130877942777</v>
      </c>
      <c r="AR95" s="100">
        <v>7.6631235206238282</v>
      </c>
      <c r="AS95" s="100">
        <v>2519.6350135811149</v>
      </c>
      <c r="AT95" s="100">
        <v>7.5595677973721545</v>
      </c>
      <c r="AU95" s="100">
        <v>2485.5858917759647</v>
      </c>
      <c r="AV95" s="100">
        <v>5.966915747656607</v>
      </c>
      <c r="AW95" s="100">
        <v>1961.9218978294925</v>
      </c>
      <c r="AX95" s="100">
        <v>7.9670868711947103</v>
      </c>
      <c r="AY95" s="100">
        <v>2619.5781632488206</v>
      </c>
      <c r="AZ95" s="100">
        <v>6.9194033924206702</v>
      </c>
      <c r="BA95" s="100">
        <v>2275.0998354279163</v>
      </c>
      <c r="BB95" s="100">
        <v>7.1012673220918812</v>
      </c>
      <c r="BC95" s="100">
        <v>2334.8966955038104</v>
      </c>
      <c r="BD95" s="100">
        <v>8.5961042802269674</v>
      </c>
      <c r="BE95" s="100">
        <v>2826.3990873386269</v>
      </c>
      <c r="BF95" s="100">
        <v>5.6877812699758437</v>
      </c>
      <c r="BG95" s="100">
        <v>1870.1424815680575</v>
      </c>
      <c r="BH95" s="100">
        <v>6.1448931978545538</v>
      </c>
      <c r="BI95" s="100">
        <v>2020.4408834545773</v>
      </c>
      <c r="BJ95" s="100">
        <v>1.0924823049919139</v>
      </c>
      <c r="BK95" s="100">
        <v>359.20818188134132</v>
      </c>
      <c r="BL95" s="100">
        <v>7.7431445227355473</v>
      </c>
      <c r="BM95" s="100">
        <v>2545.9459190754483</v>
      </c>
      <c r="BN95" s="100">
        <v>9.6378060797644505</v>
      </c>
      <c r="BO95" s="100">
        <v>3168.9106390265515</v>
      </c>
      <c r="BP95" s="100">
        <v>5.5558834711909579</v>
      </c>
      <c r="BQ95" s="100">
        <v>1826.7744853275869</v>
      </c>
      <c r="BR95" s="100">
        <v>6.9926002125692426</v>
      </c>
      <c r="BS95" s="100">
        <v>2299.1669498927672</v>
      </c>
      <c r="BT95" s="100">
        <v>7.3125230981116278</v>
      </c>
      <c r="BU95" s="100">
        <v>2404.3575946591031</v>
      </c>
      <c r="BV95" s="100">
        <v>0.79894543820912844</v>
      </c>
      <c r="BW95" s="100">
        <v>262.69326008316142</v>
      </c>
      <c r="BX95" s="100">
        <v>8.0635554884728098</v>
      </c>
      <c r="BY95" s="100">
        <v>2651.2970446098598</v>
      </c>
      <c r="BZ95" s="100">
        <v>8.3317897854430729</v>
      </c>
      <c r="CA95" s="100">
        <v>2739.4924814536826</v>
      </c>
      <c r="CB95" s="100">
        <v>7.6500241641783191</v>
      </c>
      <c r="CC95" s="100">
        <v>2515.3279451818312</v>
      </c>
      <c r="CD95" s="100">
        <v>1.1131015390938159</v>
      </c>
      <c r="CE95" s="100">
        <v>365.98778605404669</v>
      </c>
      <c r="CF95" s="100">
        <v>9.9247326196669992</v>
      </c>
      <c r="CG95" s="100">
        <v>3263.2520853465094</v>
      </c>
      <c r="CH95" s="100">
        <v>2.5701286279548547</v>
      </c>
      <c r="CI95" s="100">
        <v>845.05829287155632</v>
      </c>
      <c r="CJ95" s="100">
        <v>7.0119412449395178</v>
      </c>
      <c r="CK95" s="100">
        <v>2305.5262813361137</v>
      </c>
      <c r="CL95" s="100">
        <v>7.0224622814202959</v>
      </c>
      <c r="CM95" s="100">
        <v>2308.9855981309934</v>
      </c>
      <c r="CN95" s="100">
        <v>6.7100084264257474</v>
      </c>
      <c r="CO95" s="100">
        <v>2206.2507706087858</v>
      </c>
      <c r="CP95" s="100">
        <v>0.54572726776838498</v>
      </c>
      <c r="CQ95" s="100">
        <v>179.435125642245</v>
      </c>
      <c r="CR95" s="100">
        <v>5.3276656731277932</v>
      </c>
      <c r="CS95" s="100">
        <v>1751.7364733244185</v>
      </c>
      <c r="CT95" s="100">
        <v>8.7608450832109419</v>
      </c>
      <c r="CU95" s="100">
        <v>2880.5658633597577</v>
      </c>
    </row>
    <row r="96" spans="2:99">
      <c r="C96" s="99" t="s">
        <v>262</v>
      </c>
      <c r="D96" s="100">
        <v>12.78103696014524</v>
      </c>
      <c r="E96" s="100">
        <v>8880.2644799089121</v>
      </c>
      <c r="F96" s="100">
        <v>1.1084166806325073</v>
      </c>
      <c r="G96" s="100">
        <v>770.127909703466</v>
      </c>
      <c r="H96" s="100">
        <v>9.7724926432213746</v>
      </c>
      <c r="I96" s="100">
        <v>6789.9278885102103</v>
      </c>
      <c r="J96" s="100">
        <v>7</v>
      </c>
      <c r="K96" s="100">
        <v>4863.5999999999995</v>
      </c>
      <c r="L96" s="100">
        <v>5.6453288335520577</v>
      </c>
      <c r="M96" s="100">
        <v>3922.3744735519695</v>
      </c>
      <c r="N96" s="100">
        <v>7</v>
      </c>
      <c r="O96" s="100">
        <v>4863.5999999999995</v>
      </c>
      <c r="P96" s="100">
        <v>7.3254988663382354</v>
      </c>
      <c r="Q96" s="100">
        <v>5089.7566123318056</v>
      </c>
      <c r="R96" s="100">
        <v>8.417018774388902</v>
      </c>
      <c r="S96" s="100">
        <v>5848.1446444454086</v>
      </c>
      <c r="T96" s="100">
        <v>7.2650391818901232</v>
      </c>
      <c r="U96" s="100">
        <v>5047.749223577257</v>
      </c>
      <c r="V96" s="100">
        <v>7.1593812531249945</v>
      </c>
      <c r="W96" s="100">
        <v>4974.3380946712459</v>
      </c>
      <c r="X96" s="100">
        <v>7.1035938667370093</v>
      </c>
      <c r="Y96" s="100">
        <v>4935.5770186088739</v>
      </c>
      <c r="Z96" s="100">
        <v>0.83764102797477513</v>
      </c>
      <c r="AA96" s="100">
        <v>581.99298623687378</v>
      </c>
      <c r="AB96" s="100">
        <v>6.9142230840955987</v>
      </c>
      <c r="AC96" s="100">
        <v>4804.0021988296221</v>
      </c>
      <c r="AD96" s="100">
        <v>7.1328039527149345</v>
      </c>
      <c r="AE96" s="100">
        <v>4955.8721863463361</v>
      </c>
      <c r="AF96" s="100">
        <v>7.0000000000000018</v>
      </c>
      <c r="AG96" s="100">
        <v>4863.6000000000013</v>
      </c>
      <c r="AH96" s="100">
        <v>4.0796241134122022</v>
      </c>
      <c r="AI96" s="100">
        <v>2834.522833998798</v>
      </c>
      <c r="AJ96" s="100">
        <v>11</v>
      </c>
      <c r="AK96" s="100">
        <v>7642.7999999999993</v>
      </c>
      <c r="AL96" s="100">
        <v>6.5388880743327835</v>
      </c>
      <c r="AM96" s="100">
        <v>4543.2194340464175</v>
      </c>
      <c r="AN96" s="100">
        <v>7.6736353498702261</v>
      </c>
      <c r="AO96" s="100">
        <v>5331.6418410898332</v>
      </c>
      <c r="AP96" s="100">
        <v>5.5662489254282521</v>
      </c>
      <c r="AQ96" s="100">
        <v>3867.4297533875492</v>
      </c>
      <c r="AR96" s="100">
        <v>7.6631235206238282</v>
      </c>
      <c r="AS96" s="100">
        <v>5324.3382221294351</v>
      </c>
      <c r="AT96" s="100">
        <v>7.5595677973721545</v>
      </c>
      <c r="AU96" s="100">
        <v>5252.3877056141728</v>
      </c>
      <c r="AV96" s="100">
        <v>6.6631041369421951</v>
      </c>
      <c r="AW96" s="100">
        <v>4629.524754347437</v>
      </c>
      <c r="AX96" s="100">
        <v>8.631010777127603</v>
      </c>
      <c r="AY96" s="100">
        <v>5996.8262879482581</v>
      </c>
      <c r="AZ96" s="100">
        <v>6.106183554921861</v>
      </c>
      <c r="BA96" s="100">
        <v>4242.5763339597088</v>
      </c>
      <c r="BB96" s="100">
        <v>7.0198382595124276</v>
      </c>
      <c r="BC96" s="100">
        <v>4877.3836227092343</v>
      </c>
      <c r="BD96" s="100">
        <v>7.2736266986535876</v>
      </c>
      <c r="BE96" s="100">
        <v>5053.7158302245125</v>
      </c>
      <c r="BF96" s="100">
        <v>5.6877812699758437</v>
      </c>
      <c r="BG96" s="100">
        <v>3951.870426379216</v>
      </c>
      <c r="BH96" s="100">
        <v>6.9834287301843867</v>
      </c>
      <c r="BI96" s="100">
        <v>4852.0862817321113</v>
      </c>
      <c r="BJ96" s="100">
        <v>0.93274792858418876</v>
      </c>
      <c r="BK96" s="100">
        <v>648.07326078029428</v>
      </c>
      <c r="BL96" s="100">
        <v>6.7431445227355473</v>
      </c>
      <c r="BM96" s="100">
        <v>4685.1368143966583</v>
      </c>
      <c r="BN96" s="100">
        <v>9.6378060797644505</v>
      </c>
      <c r="BO96" s="100">
        <v>6696.3476642203395</v>
      </c>
      <c r="BP96" s="100">
        <v>5.5558834711909579</v>
      </c>
      <c r="BQ96" s="100">
        <v>3860.2278357834775</v>
      </c>
      <c r="BR96" s="100">
        <v>5.4386890542205215</v>
      </c>
      <c r="BS96" s="100">
        <v>3778.801154872418</v>
      </c>
      <c r="BT96" s="100">
        <v>7.3125230981116278</v>
      </c>
      <c r="BU96" s="100">
        <v>5080.7410485679584</v>
      </c>
      <c r="BV96" s="100">
        <v>0.69559479097172716</v>
      </c>
      <c r="BW96" s="100">
        <v>483.299260767156</v>
      </c>
      <c r="BX96" s="100">
        <v>7.1817283205253437</v>
      </c>
      <c r="BY96" s="100">
        <v>4989.8648371010086</v>
      </c>
      <c r="BZ96" s="100">
        <v>9.1649687639873818</v>
      </c>
      <c r="CA96" s="100">
        <v>6367.8202972184326</v>
      </c>
      <c r="CB96" s="100">
        <v>7.6500241641783191</v>
      </c>
      <c r="CC96" s="100">
        <v>5315.2367892710954</v>
      </c>
      <c r="CD96" s="100">
        <v>1.0203430775026645</v>
      </c>
      <c r="CE96" s="100">
        <v>708.93437024885122</v>
      </c>
      <c r="CF96" s="100">
        <v>8.9247326196669992</v>
      </c>
      <c r="CG96" s="100">
        <v>6200.9042241446305</v>
      </c>
      <c r="CH96" s="100">
        <v>2.5808120449446634</v>
      </c>
      <c r="CI96" s="100">
        <v>1793.148208827552</v>
      </c>
      <c r="CJ96" s="100">
        <v>7.0119412449395178</v>
      </c>
      <c r="CK96" s="100">
        <v>4871.8967769839765</v>
      </c>
      <c r="CL96" s="100">
        <v>6.4573245823866667</v>
      </c>
      <c r="CM96" s="100">
        <v>4486.549119842256</v>
      </c>
      <c r="CN96" s="100">
        <v>6.7100084264257474</v>
      </c>
      <c r="CO96" s="100">
        <v>4662.1138546806087</v>
      </c>
      <c r="CP96" s="100">
        <v>0.54626451781932572</v>
      </c>
      <c r="CQ96" s="100">
        <v>379.54458698086751</v>
      </c>
      <c r="CR96" s="100">
        <v>5.3276656731277932</v>
      </c>
      <c r="CS96" s="100">
        <v>3701.6621096891904</v>
      </c>
      <c r="CT96" s="100">
        <v>8.0793397160971043</v>
      </c>
      <c r="CU96" s="100">
        <v>5613.5252347442674</v>
      </c>
    </row>
    <row r="97" spans="2:99">
      <c r="C97" s="99" t="s">
        <v>263</v>
      </c>
      <c r="D97" s="100">
        <v>12.78103696014524</v>
      </c>
      <c r="E97" s="100">
        <v>5015.2789031609918</v>
      </c>
      <c r="F97" s="100">
        <v>1.0160486239131317</v>
      </c>
      <c r="G97" s="100">
        <v>398.69748002351287</v>
      </c>
      <c r="H97" s="100">
        <v>9.7724926432213746</v>
      </c>
      <c r="I97" s="100">
        <v>3834.7261132000672</v>
      </c>
      <c r="J97" s="100">
        <v>7</v>
      </c>
      <c r="K97" s="100">
        <v>2746.7999999999997</v>
      </c>
      <c r="L97" s="100">
        <v>6.4518043812023516</v>
      </c>
      <c r="M97" s="100">
        <v>2531.6880391838026</v>
      </c>
      <c r="N97" s="100">
        <v>7</v>
      </c>
      <c r="O97" s="100">
        <v>2746.7999999999997</v>
      </c>
      <c r="P97" s="100">
        <v>9.5231485262397069</v>
      </c>
      <c r="Q97" s="100">
        <v>3736.8834816964609</v>
      </c>
      <c r="R97" s="100">
        <v>7.7695557917436027</v>
      </c>
      <c r="S97" s="100">
        <v>3048.7736926801895</v>
      </c>
      <c r="T97" s="100">
        <v>5.6505860303589852</v>
      </c>
      <c r="U97" s="100">
        <v>2217.2899583128656</v>
      </c>
      <c r="V97" s="100">
        <v>8.4610869355113589</v>
      </c>
      <c r="W97" s="100">
        <v>3320.130513494657</v>
      </c>
      <c r="X97" s="100">
        <v>7.6955600222984275</v>
      </c>
      <c r="Y97" s="100">
        <v>3019.7377527499029</v>
      </c>
      <c r="Z97" s="100">
        <v>0.97475890715000357</v>
      </c>
      <c r="AA97" s="100">
        <v>382.49539516566136</v>
      </c>
      <c r="AB97" s="100">
        <v>6.9134980939997153</v>
      </c>
      <c r="AC97" s="100">
        <v>2712.8566520854879</v>
      </c>
      <c r="AD97" s="100">
        <v>6.3701449945756634</v>
      </c>
      <c r="AE97" s="100">
        <v>2499.64489587149</v>
      </c>
      <c r="AF97" s="100">
        <v>8.0000000000000018</v>
      </c>
      <c r="AG97" s="100">
        <v>3139.2000000000007</v>
      </c>
      <c r="AH97" s="100">
        <v>4.709115234735739</v>
      </c>
      <c r="AI97" s="100">
        <v>1847.8568181103039</v>
      </c>
      <c r="AJ97" s="100">
        <v>11</v>
      </c>
      <c r="AK97" s="100">
        <v>4316.3999999999996</v>
      </c>
      <c r="AL97" s="100">
        <v>8.4071418098564372</v>
      </c>
      <c r="AM97" s="100">
        <v>3298.9624461876656</v>
      </c>
      <c r="AN97" s="100">
        <v>8.4409988848572493</v>
      </c>
      <c r="AO97" s="100">
        <v>3312.2479624179846</v>
      </c>
      <c r="AP97" s="100">
        <v>5.5662489254282521</v>
      </c>
      <c r="AQ97" s="100">
        <v>2184.1960783380459</v>
      </c>
      <c r="AR97" s="100">
        <v>6.8116653516656251</v>
      </c>
      <c r="AS97" s="100">
        <v>2672.8974839935913</v>
      </c>
      <c r="AT97" s="100">
        <v>6.7196158198863598</v>
      </c>
      <c r="AU97" s="100">
        <v>2636.7772477234075</v>
      </c>
      <c r="AV97" s="100">
        <v>5.867497836505926</v>
      </c>
      <c r="AW97" s="100">
        <v>2302.4061510449251</v>
      </c>
      <c r="AX97" s="100">
        <v>7.3031629652618184</v>
      </c>
      <c r="AY97" s="100">
        <v>2865.7611475687372</v>
      </c>
      <c r="AZ97" s="100">
        <v>6.9194033924206702</v>
      </c>
      <c r="BA97" s="100">
        <v>2715.1738911858706</v>
      </c>
      <c r="BB97" s="100">
        <v>7.7381078979795612</v>
      </c>
      <c r="BC97" s="100">
        <v>3036.4335391671798</v>
      </c>
      <c r="BD97" s="100">
        <v>7.2736266986535876</v>
      </c>
      <c r="BE97" s="100">
        <v>2854.1711165516676</v>
      </c>
      <c r="BF97" s="100">
        <v>5.6877812699758437</v>
      </c>
      <c r="BG97" s="100">
        <v>2231.8853703385207</v>
      </c>
      <c r="BH97" s="100">
        <v>6.9490356712411705</v>
      </c>
      <c r="BI97" s="100">
        <v>2726.8015973950351</v>
      </c>
      <c r="BJ97" s="100">
        <v>0.92900938662958865</v>
      </c>
      <c r="BK97" s="100">
        <v>364.54328331345056</v>
      </c>
      <c r="BL97" s="100">
        <v>7.7431445227355473</v>
      </c>
      <c r="BM97" s="100">
        <v>3038.4099107214288</v>
      </c>
      <c r="BN97" s="100">
        <v>9.6378060797644505</v>
      </c>
      <c r="BO97" s="100">
        <v>3781.8751056995702</v>
      </c>
      <c r="BP97" s="100">
        <v>5.5558834711909579</v>
      </c>
      <c r="BQ97" s="100">
        <v>2180.1286740953319</v>
      </c>
      <c r="BR97" s="100">
        <v>5.4386890542205215</v>
      </c>
      <c r="BS97" s="100">
        <v>2134.1415848761326</v>
      </c>
      <c r="BT97" s="100">
        <v>6.5000205316547808</v>
      </c>
      <c r="BU97" s="100">
        <v>2550.6080566213359</v>
      </c>
      <c r="BV97" s="100">
        <v>0.79894543820912844</v>
      </c>
      <c r="BW97" s="100">
        <v>313.50618995326198</v>
      </c>
      <c r="BX97" s="100">
        <v>8.0635554884728098</v>
      </c>
      <c r="BY97" s="100">
        <v>3164.1391736767305</v>
      </c>
      <c r="BZ97" s="100">
        <v>9.1649687639873818</v>
      </c>
      <c r="CA97" s="100">
        <v>3596.3337429886483</v>
      </c>
      <c r="CB97" s="100">
        <v>7.0125221504967925</v>
      </c>
      <c r="CC97" s="100">
        <v>2751.7136918549413</v>
      </c>
      <c r="CD97" s="100">
        <v>1.0203430775026645</v>
      </c>
      <c r="CE97" s="100">
        <v>400.38262361204551</v>
      </c>
      <c r="CF97" s="100">
        <v>10.099708312363999</v>
      </c>
      <c r="CG97" s="100">
        <v>3963.1255417716329</v>
      </c>
      <c r="CH97" s="100">
        <v>2.5808120449446634</v>
      </c>
      <c r="CI97" s="100">
        <v>1012.7106464362859</v>
      </c>
      <c r="CJ97" s="100">
        <v>7.0119412449395178</v>
      </c>
      <c r="CK97" s="100">
        <v>2751.4857445142666</v>
      </c>
      <c r="CL97" s="100">
        <v>6.4573245823866667</v>
      </c>
      <c r="CM97" s="100">
        <v>2533.854166128528</v>
      </c>
      <c r="CN97" s="100">
        <v>6.6458575011524896</v>
      </c>
      <c r="CO97" s="100">
        <v>2607.8344834522368</v>
      </c>
      <c r="CP97" s="100">
        <v>0.59071206086905481</v>
      </c>
      <c r="CQ97" s="100">
        <v>231.79541268501708</v>
      </c>
      <c r="CR97" s="100">
        <v>5.3276656731277932</v>
      </c>
      <c r="CS97" s="100">
        <v>2090.5760101353458</v>
      </c>
      <c r="CT97" s="100">
        <v>8.8753034015681518</v>
      </c>
      <c r="CU97" s="100">
        <v>3482.6690547753424</v>
      </c>
    </row>
    <row r="98" spans="2:99">
      <c r="C98" s="99" t="s">
        <v>264</v>
      </c>
      <c r="D98" s="100">
        <v>13.728447921742463</v>
      </c>
      <c r="E98" s="100">
        <v>7215.6722276678383</v>
      </c>
      <c r="F98" s="100">
        <v>1.0160486239131317</v>
      </c>
      <c r="G98" s="100">
        <v>534.03515672874198</v>
      </c>
      <c r="H98" s="100">
        <v>9.7724926432213746</v>
      </c>
      <c r="I98" s="100">
        <v>5136.4221332771549</v>
      </c>
      <c r="J98" s="100">
        <v>6</v>
      </c>
      <c r="K98" s="100">
        <v>3153.6000000000004</v>
      </c>
      <c r="L98" s="100">
        <v>5.6453288335520577</v>
      </c>
      <c r="M98" s="100">
        <v>2967.1848349149618</v>
      </c>
      <c r="N98" s="100">
        <v>6</v>
      </c>
      <c r="O98" s="100">
        <v>3153.6000000000004</v>
      </c>
      <c r="P98" s="100">
        <v>8.7905986396058822</v>
      </c>
      <c r="Q98" s="100">
        <v>4620.3386449768523</v>
      </c>
      <c r="R98" s="100">
        <v>7.7695557917436027</v>
      </c>
      <c r="S98" s="100">
        <v>4083.6785241404377</v>
      </c>
      <c r="T98" s="100">
        <v>6.4578126061245547</v>
      </c>
      <c r="U98" s="100">
        <v>3394.226305779066</v>
      </c>
      <c r="V98" s="100">
        <v>7.8102340943181758</v>
      </c>
      <c r="W98" s="100">
        <v>4105.0590399736338</v>
      </c>
      <c r="X98" s="100">
        <v>6.511627711175592</v>
      </c>
      <c r="Y98" s="100">
        <v>3422.5115249938913</v>
      </c>
      <c r="Z98" s="100">
        <v>0.84261894561591033</v>
      </c>
      <c r="AA98" s="100">
        <v>442.8805178157225</v>
      </c>
      <c r="AB98" s="100">
        <v>6.264876322213949</v>
      </c>
      <c r="AC98" s="100">
        <v>3292.8189949556518</v>
      </c>
      <c r="AD98" s="100">
        <v>7.1515712868510146</v>
      </c>
      <c r="AE98" s="100">
        <v>3758.8658683688936</v>
      </c>
      <c r="AF98" s="100">
        <v>7.0000000000000018</v>
      </c>
      <c r="AG98" s="100">
        <v>3679.2000000000012</v>
      </c>
      <c r="AH98" s="100">
        <v>3.9304202242303168</v>
      </c>
      <c r="AI98" s="100">
        <v>2065.8288698554547</v>
      </c>
      <c r="AJ98" s="100">
        <v>12.329037343105126</v>
      </c>
      <c r="AK98" s="100">
        <v>6480.1420275360542</v>
      </c>
      <c r="AL98" s="100">
        <v>8.4071418098564372</v>
      </c>
      <c r="AM98" s="100">
        <v>4418.7937352605431</v>
      </c>
      <c r="AN98" s="100">
        <v>7.6736353498702261</v>
      </c>
      <c r="AO98" s="100">
        <v>4033.2627398917912</v>
      </c>
      <c r="AP98" s="100">
        <v>5.5662489254282521</v>
      </c>
      <c r="AQ98" s="100">
        <v>2925.6204352050895</v>
      </c>
      <c r="AR98" s="100">
        <v>7.6631235206238282</v>
      </c>
      <c r="AS98" s="100">
        <v>4027.7377224398842</v>
      </c>
      <c r="AT98" s="100">
        <v>6.7196158198863598</v>
      </c>
      <c r="AU98" s="100">
        <v>3531.8300749322707</v>
      </c>
      <c r="AV98" s="100">
        <v>6.6631041369421951</v>
      </c>
      <c r="AW98" s="100">
        <v>3502.1275343768179</v>
      </c>
      <c r="AX98" s="100">
        <v>8.631010777127603</v>
      </c>
      <c r="AY98" s="100">
        <v>4536.4592644582681</v>
      </c>
      <c r="AZ98" s="100">
        <v>7.7326232299194793</v>
      </c>
      <c r="BA98" s="100">
        <v>4064.2667696456783</v>
      </c>
      <c r="BB98" s="100">
        <v>7.1012673220918812</v>
      </c>
      <c r="BC98" s="100">
        <v>3732.4261044914929</v>
      </c>
      <c r="BD98" s="100">
        <v>6.6123879078668972</v>
      </c>
      <c r="BE98" s="100">
        <v>3475.4710843748412</v>
      </c>
      <c r="BF98" s="100">
        <v>5.6877812699758437</v>
      </c>
      <c r="BG98" s="100">
        <v>2989.4978354993036</v>
      </c>
      <c r="BH98" s="100">
        <v>6.1792862567977709</v>
      </c>
      <c r="BI98" s="100">
        <v>3247.8328565729084</v>
      </c>
      <c r="BJ98" s="100">
        <v>0.93274792858418876</v>
      </c>
      <c r="BK98" s="100">
        <v>490.25231126384961</v>
      </c>
      <c r="BL98" s="100">
        <v>7.7431445227355473</v>
      </c>
      <c r="BM98" s="100">
        <v>4069.7967611498038</v>
      </c>
      <c r="BN98" s="100">
        <v>8.7616418906949551</v>
      </c>
      <c r="BO98" s="100">
        <v>4605.1189777492682</v>
      </c>
      <c r="BP98" s="100">
        <v>6.250368905089827</v>
      </c>
      <c r="BQ98" s="100">
        <v>3285.1938965152131</v>
      </c>
      <c r="BR98" s="100">
        <v>5.4386890542205215</v>
      </c>
      <c r="BS98" s="100">
        <v>2858.5749668983062</v>
      </c>
      <c r="BT98" s="100">
        <v>6.5000205316547808</v>
      </c>
      <c r="BU98" s="100">
        <v>3416.4107914377528</v>
      </c>
      <c r="BV98" s="100">
        <v>0.79894543820912844</v>
      </c>
      <c r="BW98" s="100">
        <v>419.92572232271795</v>
      </c>
      <c r="BX98" s="100">
        <v>8.0635554884728098</v>
      </c>
      <c r="BY98" s="100">
        <v>4238.2047647413092</v>
      </c>
      <c r="BZ98" s="100">
        <v>9.1649687639873818</v>
      </c>
      <c r="CA98" s="100">
        <v>4817.1075823517676</v>
      </c>
      <c r="CB98" s="100">
        <v>7.6500241641783191</v>
      </c>
      <c r="CC98" s="100">
        <v>4020.8527006921245</v>
      </c>
      <c r="CD98" s="100">
        <v>1.0203430775026645</v>
      </c>
      <c r="CE98" s="100">
        <v>536.29232153540045</v>
      </c>
      <c r="CF98" s="100">
        <v>9.7497569269699991</v>
      </c>
      <c r="CG98" s="100">
        <v>5124.4722408154321</v>
      </c>
      <c r="CH98" s="100">
        <v>2.5701286279548547</v>
      </c>
      <c r="CI98" s="100">
        <v>1350.8596068530717</v>
      </c>
      <c r="CJ98" s="100">
        <v>6.9535371976201521</v>
      </c>
      <c r="CK98" s="100">
        <v>3654.7791510691522</v>
      </c>
      <c r="CL98" s="100">
        <v>6.4573245823866667</v>
      </c>
      <c r="CM98" s="100">
        <v>3393.969800502432</v>
      </c>
      <c r="CN98" s="100">
        <v>7.3415188288761497</v>
      </c>
      <c r="CO98" s="100">
        <v>3858.7022964573043</v>
      </c>
      <c r="CP98" s="100">
        <v>0.59124931091999544</v>
      </c>
      <c r="CQ98" s="100">
        <v>310.76063781954963</v>
      </c>
      <c r="CR98" s="100">
        <v>5.8604322404405718</v>
      </c>
      <c r="CS98" s="100">
        <v>3080.2431855755644</v>
      </c>
      <c r="CT98" s="100">
        <v>8.7608450832109419</v>
      </c>
      <c r="CU98" s="100">
        <v>4604.7001757356711</v>
      </c>
    </row>
    <row r="99" spans="2:99">
      <c r="C99" s="99" t="s">
        <v>265</v>
      </c>
      <c r="D99" s="100">
        <v>8.7089720295606412</v>
      </c>
      <c r="E99" s="100">
        <v>36650.837889203001</v>
      </c>
      <c r="F99" s="100">
        <v>0.73894445375500484</v>
      </c>
      <c r="G99" s="100">
        <v>3109.7738391825619</v>
      </c>
      <c r="H99" s="100">
        <v>7.7724926432213755</v>
      </c>
      <c r="I99" s="100">
        <v>32709.758039732835</v>
      </c>
      <c r="J99" s="100">
        <v>5</v>
      </c>
      <c r="K99" s="100">
        <v>21042</v>
      </c>
      <c r="L99" s="100">
        <v>4.0323777382514701</v>
      </c>
      <c r="M99" s="100">
        <v>16969.858473657485</v>
      </c>
      <c r="N99" s="100">
        <v>5</v>
      </c>
      <c r="O99" s="100">
        <v>21042</v>
      </c>
      <c r="P99" s="100">
        <v>6.5929489797044125</v>
      </c>
      <c r="Q99" s="100">
        <v>27745.766486188048</v>
      </c>
      <c r="R99" s="100">
        <v>5.1797038611624018</v>
      </c>
      <c r="S99" s="100">
        <v>21798.265729315848</v>
      </c>
      <c r="T99" s="100">
        <v>4.8433594545934158</v>
      </c>
      <c r="U99" s="100">
        <v>20382.793928710929</v>
      </c>
      <c r="V99" s="100">
        <v>5.2068227295454514</v>
      </c>
      <c r="W99" s="100">
        <v>21912.392775019074</v>
      </c>
      <c r="X99" s="100">
        <v>5.3276954000527574</v>
      </c>
      <c r="Y99" s="100">
        <v>22421.073321582022</v>
      </c>
      <c r="Z99" s="100">
        <v>0.56340526962431847</v>
      </c>
      <c r="AA99" s="100">
        <v>2371.0347366869814</v>
      </c>
      <c r="AB99" s="100">
        <v>4.8725204750339861</v>
      </c>
      <c r="AC99" s="100">
        <v>20505.515167133024</v>
      </c>
      <c r="AD99" s="100">
        <v>4.7823944243325069</v>
      </c>
      <c r="AE99" s="100">
        <v>20126.228695360922</v>
      </c>
      <c r="AF99" s="100">
        <v>6.0000000000000018</v>
      </c>
      <c r="AG99" s="100">
        <v>25250.400000000005</v>
      </c>
      <c r="AH99" s="100">
        <v>2.9669993552088747</v>
      </c>
      <c r="AI99" s="100">
        <v>12486.320086461028</v>
      </c>
      <c r="AJ99" s="100">
        <v>8.263229874484102</v>
      </c>
      <c r="AK99" s="100">
        <v>34774.976603778894</v>
      </c>
      <c r="AL99" s="100">
        <v>5.6047612065709576</v>
      </c>
      <c r="AM99" s="100">
        <v>23587.077061733216</v>
      </c>
      <c r="AN99" s="100">
        <v>5.3715447449091585</v>
      </c>
      <c r="AO99" s="100">
        <v>22605.608904475699</v>
      </c>
      <c r="AP99" s="100">
        <v>4.6385407711902102</v>
      </c>
      <c r="AQ99" s="100">
        <v>19520.834981476881</v>
      </c>
      <c r="AR99" s="100">
        <v>5.9602071827074221</v>
      </c>
      <c r="AS99" s="100">
        <v>25082.935907705913</v>
      </c>
      <c r="AT99" s="100">
        <v>5.0397118649147696</v>
      </c>
      <c r="AU99" s="100">
        <v>21209.123412307315</v>
      </c>
      <c r="AV99" s="100">
        <v>4.375703146784069</v>
      </c>
      <c r="AW99" s="100">
        <v>18414.709122926073</v>
      </c>
      <c r="AX99" s="100">
        <v>5.3113912474631411</v>
      </c>
      <c r="AY99" s="100">
        <v>22352.458925823881</v>
      </c>
      <c r="AZ99" s="100">
        <v>5.1747795195858526</v>
      </c>
      <c r="BA99" s="100">
        <v>21777.542130225102</v>
      </c>
      <c r="BB99" s="100">
        <v>5.7461571077370674</v>
      </c>
      <c r="BC99" s="100">
        <v>24182.127572200672</v>
      </c>
      <c r="BD99" s="100">
        <v>5.2899103262935174</v>
      </c>
      <c r="BE99" s="100">
        <v>22262.058617173636</v>
      </c>
      <c r="BF99" s="100">
        <v>4.0627009071256026</v>
      </c>
      <c r="BG99" s="100">
        <v>17097.470497547383</v>
      </c>
      <c r="BH99" s="100">
        <v>4.4334290742516744</v>
      </c>
      <c r="BI99" s="100">
        <v>18657.642916080746</v>
      </c>
      <c r="BJ99" s="100">
        <v>0.68006146713150084</v>
      </c>
      <c r="BK99" s="100">
        <v>2861.9706782762078</v>
      </c>
      <c r="BL99" s="100">
        <v>5.5945156181884377</v>
      </c>
      <c r="BM99" s="100">
        <v>23543.959527584218</v>
      </c>
      <c r="BN99" s="100">
        <v>7.8854777016254607</v>
      </c>
      <c r="BO99" s="100">
        <v>33185.244359520584</v>
      </c>
      <c r="BP99" s="100">
        <v>4.166912603393218</v>
      </c>
      <c r="BQ99" s="100">
        <v>17536.035000120017</v>
      </c>
      <c r="BR99" s="100">
        <v>4.6617334750461614</v>
      </c>
      <c r="BS99" s="100">
        <v>19618.439156384266</v>
      </c>
      <c r="BT99" s="100">
        <v>4.8750153987410849</v>
      </c>
      <c r="BU99" s="100">
        <v>20516.014804061979</v>
      </c>
      <c r="BV99" s="100">
        <v>0.57606752068847167</v>
      </c>
      <c r="BW99" s="100">
        <v>2424.3225540653639</v>
      </c>
      <c r="BX99" s="100">
        <v>5.8272098243677402</v>
      </c>
      <c r="BY99" s="100">
        <v>24523.229824869195</v>
      </c>
      <c r="BZ99" s="100">
        <v>5.8322528498101516</v>
      </c>
      <c r="CA99" s="100">
        <v>24544.452893141039</v>
      </c>
      <c r="CB99" s="100">
        <v>5.1000161094522127</v>
      </c>
      <c r="CC99" s="100">
        <v>21462.907795018691</v>
      </c>
      <c r="CD99" s="100">
        <v>0.83482615432036189</v>
      </c>
      <c r="CE99" s="100">
        <v>3513.2823878418108</v>
      </c>
      <c r="CF99" s="100">
        <v>6.7497569269699991</v>
      </c>
      <c r="CG99" s="100">
        <v>28405.677051460541</v>
      </c>
      <c r="CH99" s="100">
        <v>2.062512952557769</v>
      </c>
      <c r="CI99" s="100">
        <v>8679.8795095441146</v>
      </c>
      <c r="CJ99" s="100">
        <v>4.5538748780205429</v>
      </c>
      <c r="CK99" s="100">
        <v>19164.52703666165</v>
      </c>
      <c r="CL99" s="100">
        <v>4.7275100719976741</v>
      </c>
      <c r="CM99" s="100">
        <v>19895.253386995009</v>
      </c>
      <c r="CN99" s="100">
        <v>4.4947225927082508</v>
      </c>
      <c r="CO99" s="100">
        <v>18915.590559153403</v>
      </c>
      <c r="CP99" s="100">
        <v>0.36471359526382457</v>
      </c>
      <c r="CQ99" s="100">
        <v>1534.8606943082791</v>
      </c>
      <c r="CR99" s="100">
        <v>3.7621019767168931</v>
      </c>
      <c r="CS99" s="100">
        <v>15832.429958815372</v>
      </c>
      <c r="CT99" s="100">
        <v>6.2584957084405897</v>
      </c>
      <c r="CU99" s="100">
        <v>26338.253339401374</v>
      </c>
    </row>
    <row r="100" spans="2:99">
      <c r="C100" s="99" t="s">
        <v>266</v>
      </c>
      <c r="D100" s="100">
        <v>12.922247502243103</v>
      </c>
      <c r="E100" s="100">
        <v>4186.8081907267651</v>
      </c>
      <c r="F100" s="100">
        <v>1.2007847373518827</v>
      </c>
      <c r="G100" s="100">
        <v>389.05425490201003</v>
      </c>
      <c r="H100" s="100">
        <v>10.92699117186565</v>
      </c>
      <c r="I100" s="100">
        <v>3540.3451396844707</v>
      </c>
      <c r="J100" s="100">
        <v>7</v>
      </c>
      <c r="K100" s="100">
        <v>2268</v>
      </c>
      <c r="L100" s="100">
        <v>6.4518043812023516</v>
      </c>
      <c r="M100" s="100">
        <v>2090.3846195095621</v>
      </c>
      <c r="N100" s="100">
        <v>7</v>
      </c>
      <c r="O100" s="100">
        <v>2268</v>
      </c>
      <c r="P100" s="100">
        <v>8.0580487529720592</v>
      </c>
      <c r="Q100" s="100">
        <v>2610.8077959629472</v>
      </c>
      <c r="R100" s="100">
        <v>7.7695557917436027</v>
      </c>
      <c r="S100" s="100">
        <v>2517.3360765249272</v>
      </c>
      <c r="T100" s="100">
        <v>6.4578126061245547</v>
      </c>
      <c r="U100" s="100">
        <v>2092.3312843843555</v>
      </c>
      <c r="V100" s="100">
        <v>7.1593812531249945</v>
      </c>
      <c r="W100" s="100">
        <v>2319.6395260124982</v>
      </c>
      <c r="X100" s="100">
        <v>7.1035938667370093</v>
      </c>
      <c r="Y100" s="100">
        <v>2301.5644128227909</v>
      </c>
      <c r="Z100" s="100">
        <v>0.84261894561591033</v>
      </c>
      <c r="AA100" s="100">
        <v>273.00853837955492</v>
      </c>
      <c r="AB100" s="100">
        <v>6.2187701506015003</v>
      </c>
      <c r="AC100" s="100">
        <v>2014.881528794886</v>
      </c>
      <c r="AD100" s="100">
        <v>6.3707580597313012</v>
      </c>
      <c r="AE100" s="100">
        <v>2064.1256113529416</v>
      </c>
      <c r="AF100" s="100">
        <v>8.0000000000000018</v>
      </c>
      <c r="AG100" s="100">
        <v>2592.0000000000005</v>
      </c>
      <c r="AH100" s="100">
        <v>3.9488928100819183</v>
      </c>
      <c r="AI100" s="100">
        <v>1279.4412704665415</v>
      </c>
      <c r="AJ100" s="100">
        <v>11</v>
      </c>
      <c r="AK100" s="100">
        <v>3564</v>
      </c>
      <c r="AL100" s="100">
        <v>8.4071418098564372</v>
      </c>
      <c r="AM100" s="100">
        <v>2723.9139463934857</v>
      </c>
      <c r="AN100" s="100">
        <v>7.6736353498702261</v>
      </c>
      <c r="AO100" s="100">
        <v>2486.2578533579531</v>
      </c>
      <c r="AP100" s="100">
        <v>6.4939570796662949</v>
      </c>
      <c r="AQ100" s="100">
        <v>2104.0420938118796</v>
      </c>
      <c r="AR100" s="100">
        <v>6.8116653516656251</v>
      </c>
      <c r="AS100" s="100">
        <v>2206.9795739396627</v>
      </c>
      <c r="AT100" s="100">
        <v>6.7196158198863598</v>
      </c>
      <c r="AU100" s="100">
        <v>2177.1555256431807</v>
      </c>
      <c r="AV100" s="100">
        <v>6.6631041369421951</v>
      </c>
      <c r="AW100" s="100">
        <v>2158.845740369271</v>
      </c>
      <c r="AX100" s="100">
        <v>7.3031629652618184</v>
      </c>
      <c r="AY100" s="100">
        <v>2366.2248007448293</v>
      </c>
      <c r="AZ100" s="100">
        <v>6.9194033924206702</v>
      </c>
      <c r="BA100" s="100">
        <v>2241.8866991442969</v>
      </c>
      <c r="BB100" s="100">
        <v>7.6566788354001076</v>
      </c>
      <c r="BC100" s="100">
        <v>2480.7639426696351</v>
      </c>
      <c r="BD100" s="100">
        <v>7.2736266986535876</v>
      </c>
      <c r="BE100" s="100">
        <v>2356.6550503637623</v>
      </c>
      <c r="BF100" s="100">
        <v>5.6877812699758437</v>
      </c>
      <c r="BG100" s="100">
        <v>1842.8411314721734</v>
      </c>
      <c r="BH100" s="100">
        <v>6.1792862567977709</v>
      </c>
      <c r="BI100" s="100">
        <v>2002.0887472024779</v>
      </c>
      <c r="BJ100" s="100">
        <v>1.0144843877653513</v>
      </c>
      <c r="BK100" s="100">
        <v>328.69294163597385</v>
      </c>
      <c r="BL100" s="100">
        <v>6.6688300704619925</v>
      </c>
      <c r="BM100" s="100">
        <v>2160.7009428296856</v>
      </c>
      <c r="BN100" s="100">
        <v>10.513970268833946</v>
      </c>
      <c r="BO100" s="100">
        <v>3406.5263671021985</v>
      </c>
      <c r="BP100" s="100">
        <v>4.861398037292088</v>
      </c>
      <c r="BQ100" s="100">
        <v>1575.0929640826364</v>
      </c>
      <c r="BR100" s="100">
        <v>6.2156446333948825</v>
      </c>
      <c r="BS100" s="100">
        <v>2013.8688612199419</v>
      </c>
      <c r="BT100" s="100">
        <v>7.3125230981116278</v>
      </c>
      <c r="BU100" s="100">
        <v>2369.2574837881675</v>
      </c>
      <c r="BV100" s="100">
        <v>0.91308050081043257</v>
      </c>
      <c r="BW100" s="100">
        <v>295.83808226258014</v>
      </c>
      <c r="BX100" s="100">
        <v>8.0635554884728098</v>
      </c>
      <c r="BY100" s="100">
        <v>2612.5919782651904</v>
      </c>
      <c r="BZ100" s="100">
        <v>9.1649687639873818</v>
      </c>
      <c r="CA100" s="100">
        <v>2969.4498795319118</v>
      </c>
      <c r="CB100" s="100">
        <v>7.6500241641783191</v>
      </c>
      <c r="CC100" s="100">
        <v>2478.6078291937756</v>
      </c>
      <c r="CD100" s="100">
        <v>1.2058600006849673</v>
      </c>
      <c r="CE100" s="100">
        <v>390.6986402219294</v>
      </c>
      <c r="CF100" s="100">
        <v>9.7497569269699991</v>
      </c>
      <c r="CG100" s="100">
        <v>3158.9212443382798</v>
      </c>
      <c r="CH100" s="100">
        <v>2.8185947571584928</v>
      </c>
      <c r="CI100" s="100">
        <v>913.22470131935165</v>
      </c>
      <c r="CJ100" s="100">
        <v>6.9535371976201521</v>
      </c>
      <c r="CK100" s="100">
        <v>2252.9460520289294</v>
      </c>
      <c r="CL100" s="100">
        <v>6.4573245823866667</v>
      </c>
      <c r="CM100" s="100">
        <v>2092.1731646932799</v>
      </c>
      <c r="CN100" s="100">
        <v>6.6458575011524896</v>
      </c>
      <c r="CO100" s="100">
        <v>2153.2578303734067</v>
      </c>
      <c r="CP100" s="100">
        <v>0.59071206086905481</v>
      </c>
      <c r="CQ100" s="100">
        <v>191.39070772157376</v>
      </c>
      <c r="CR100" s="100">
        <v>5.8604322404405718</v>
      </c>
      <c r="CS100" s="100">
        <v>1898.7800459027453</v>
      </c>
      <c r="CT100" s="100">
        <v>8.8753034015681518</v>
      </c>
      <c r="CU100" s="100">
        <v>2875.598302108081</v>
      </c>
    </row>
    <row r="101" spans="2:99">
      <c r="C101" s="99" t="s">
        <v>267</v>
      </c>
      <c r="D101" s="100">
        <v>11.833625998548023</v>
      </c>
      <c r="E101" s="100">
        <v>8562.8117725493503</v>
      </c>
      <c r="F101" s="100">
        <v>1.0160486239131317</v>
      </c>
      <c r="G101" s="100">
        <v>735.21278426354206</v>
      </c>
      <c r="H101" s="100">
        <v>9.9269911718656498</v>
      </c>
      <c r="I101" s="100">
        <v>7183.1708119619843</v>
      </c>
      <c r="J101" s="100">
        <v>7</v>
      </c>
      <c r="K101" s="100">
        <v>5065.2</v>
      </c>
      <c r="L101" s="100">
        <v>6.4518043812023516</v>
      </c>
      <c r="M101" s="100">
        <v>4668.5256502380216</v>
      </c>
      <c r="N101" s="100">
        <v>6</v>
      </c>
      <c r="O101" s="100">
        <v>4341.6000000000004</v>
      </c>
      <c r="P101" s="100">
        <v>8.7905986396058822</v>
      </c>
      <c r="Q101" s="100">
        <v>6360.8771756188162</v>
      </c>
      <c r="R101" s="100">
        <v>7.1220928090983024</v>
      </c>
      <c r="S101" s="100">
        <v>5153.5463566635317</v>
      </c>
      <c r="T101" s="100">
        <v>7.2650391818901232</v>
      </c>
      <c r="U101" s="100">
        <v>5256.9823520156933</v>
      </c>
      <c r="V101" s="100">
        <v>7.1593812531249945</v>
      </c>
      <c r="W101" s="100">
        <v>5180.5282747612464</v>
      </c>
      <c r="X101" s="100">
        <v>7.1035938667370093</v>
      </c>
      <c r="Y101" s="100">
        <v>5140.1605219708999</v>
      </c>
      <c r="Z101" s="100">
        <v>0.83764102797477513</v>
      </c>
      <c r="AA101" s="100">
        <v>606.11704784254732</v>
      </c>
      <c r="AB101" s="100">
        <v>6.2641513321180655</v>
      </c>
      <c r="AC101" s="100">
        <v>4532.7399039206321</v>
      </c>
      <c r="AD101" s="100">
        <v>6.3640143430192886</v>
      </c>
      <c r="AE101" s="100">
        <v>4605.0007786087572</v>
      </c>
      <c r="AF101" s="100">
        <v>8.0000000000000018</v>
      </c>
      <c r="AG101" s="100">
        <v>5788.8000000000011</v>
      </c>
      <c r="AH101" s="100">
        <v>3.9304202242303168</v>
      </c>
      <c r="AI101" s="100">
        <v>2844.0520742530575</v>
      </c>
      <c r="AJ101" s="100">
        <v>9.3290373431051261</v>
      </c>
      <c r="AK101" s="100">
        <v>6750.4914214708697</v>
      </c>
      <c r="AL101" s="100">
        <v>6.5388880743327835</v>
      </c>
      <c r="AM101" s="100">
        <v>4731.5394105872019</v>
      </c>
      <c r="AN101" s="100">
        <v>7.6736353498702261</v>
      </c>
      <c r="AO101" s="100">
        <v>5552.642539166096</v>
      </c>
      <c r="AP101" s="100">
        <v>6.4939570796662949</v>
      </c>
      <c r="AQ101" s="100">
        <v>4699.0273428465307</v>
      </c>
      <c r="AR101" s="100">
        <v>7.6631235206238282</v>
      </c>
      <c r="AS101" s="100">
        <v>5545.0361795234021</v>
      </c>
      <c r="AT101" s="100">
        <v>6.7196158198863598</v>
      </c>
      <c r="AU101" s="100">
        <v>4862.3140072697697</v>
      </c>
      <c r="AV101" s="100">
        <v>5.966915747656607</v>
      </c>
      <c r="AW101" s="100">
        <v>4317.6602350043213</v>
      </c>
      <c r="AX101" s="100">
        <v>8.8998725241582779</v>
      </c>
      <c r="AY101" s="100">
        <v>6439.9477584809301</v>
      </c>
      <c r="AZ101" s="100">
        <v>6.9194033924206702</v>
      </c>
      <c r="BA101" s="100">
        <v>5006.8802947555969</v>
      </c>
      <c r="BB101" s="100">
        <v>7.0198382595124276</v>
      </c>
      <c r="BC101" s="100">
        <v>5079.5549645831925</v>
      </c>
      <c r="BD101" s="100">
        <v>6.6123879078668972</v>
      </c>
      <c r="BE101" s="100">
        <v>4784.7238901324872</v>
      </c>
      <c r="BF101" s="100">
        <v>5.6877812699758437</v>
      </c>
      <c r="BG101" s="100">
        <v>4115.6785269545207</v>
      </c>
      <c r="BH101" s="100">
        <v>6.1105001389113385</v>
      </c>
      <c r="BI101" s="100">
        <v>4421.5579005162444</v>
      </c>
      <c r="BJ101" s="100">
        <v>1.096220846946514</v>
      </c>
      <c r="BK101" s="100">
        <v>793.22540485049751</v>
      </c>
      <c r="BL101" s="100">
        <v>6.6688300704619925</v>
      </c>
      <c r="BM101" s="100">
        <v>4825.5654389862975</v>
      </c>
      <c r="BN101" s="100">
        <v>10.513970268833946</v>
      </c>
      <c r="BO101" s="100">
        <v>7607.9088865282438</v>
      </c>
      <c r="BP101" s="100">
        <v>5.5558834711909579</v>
      </c>
      <c r="BQ101" s="100">
        <v>4020.2372797537773</v>
      </c>
      <c r="BR101" s="100">
        <v>5.4386890542205215</v>
      </c>
      <c r="BS101" s="100">
        <v>3935.4353996339696</v>
      </c>
      <c r="BT101" s="100">
        <v>6.5000205316547808</v>
      </c>
      <c r="BU101" s="100">
        <v>4703.4148567053999</v>
      </c>
      <c r="BV101" s="100">
        <v>0.79894543820912844</v>
      </c>
      <c r="BW101" s="100">
        <v>578.11691908812531</v>
      </c>
      <c r="BX101" s="100">
        <v>8.1817283205253446</v>
      </c>
      <c r="BY101" s="100">
        <v>5920.2986127321392</v>
      </c>
      <c r="BZ101" s="100">
        <v>8.3317897854430729</v>
      </c>
      <c r="CA101" s="100">
        <v>6028.8830887466074</v>
      </c>
      <c r="CB101" s="100">
        <v>7.6500241641783191</v>
      </c>
      <c r="CC101" s="100">
        <v>5535.5574851994315</v>
      </c>
      <c r="CD101" s="100">
        <v>1.0203430775026645</v>
      </c>
      <c r="CE101" s="100">
        <v>738.32025088092803</v>
      </c>
      <c r="CF101" s="100">
        <v>8.7497569269699991</v>
      </c>
      <c r="CG101" s="100">
        <v>6331.3241123554917</v>
      </c>
      <c r="CH101" s="100">
        <v>2.8079113401686837</v>
      </c>
      <c r="CI101" s="100">
        <v>2031.8046457460596</v>
      </c>
      <c r="CJ101" s="100">
        <v>6.9535371976201521</v>
      </c>
      <c r="CK101" s="100">
        <v>5031.5795161979422</v>
      </c>
      <c r="CL101" s="100">
        <v>7.0224622814202959</v>
      </c>
      <c r="CM101" s="100">
        <v>5081.4537068357267</v>
      </c>
      <c r="CN101" s="100">
        <v>6.0143470987020864</v>
      </c>
      <c r="CO101" s="100">
        <v>4351.9815606208294</v>
      </c>
      <c r="CP101" s="100">
        <v>0.54572726776838498</v>
      </c>
      <c r="CQ101" s="100">
        <v>394.88825095720341</v>
      </c>
      <c r="CR101" s="100">
        <v>5.3440336758915121</v>
      </c>
      <c r="CS101" s="100">
        <v>3866.9427678750981</v>
      </c>
      <c r="CT101" s="100">
        <v>8.7608450832109419</v>
      </c>
      <c r="CU101" s="100">
        <v>6339.347502211438</v>
      </c>
    </row>
    <row r="102" spans="2:99">
      <c r="C102" s="99" t="s">
        <v>268</v>
      </c>
      <c r="D102" s="100">
        <v>13.728447921742463</v>
      </c>
      <c r="E102" s="100">
        <v>7298.0429151982935</v>
      </c>
      <c r="F102" s="100">
        <v>1.1084166806325073</v>
      </c>
      <c r="G102" s="100">
        <v>589.23430742424091</v>
      </c>
      <c r="H102" s="100">
        <v>9.9269911718656498</v>
      </c>
      <c r="I102" s="100">
        <v>5277.1885069637801</v>
      </c>
      <c r="J102" s="100">
        <v>7</v>
      </c>
      <c r="K102" s="100">
        <v>3721.2000000000003</v>
      </c>
      <c r="L102" s="100">
        <v>5.6453288335520577</v>
      </c>
      <c r="M102" s="100">
        <v>3001.056807916274</v>
      </c>
      <c r="N102" s="100">
        <v>7</v>
      </c>
      <c r="O102" s="100">
        <v>3721.2000000000003</v>
      </c>
      <c r="P102" s="100">
        <v>8.7905986396058822</v>
      </c>
      <c r="Q102" s="100">
        <v>4673.0822368144873</v>
      </c>
      <c r="R102" s="100">
        <v>7.7695557917436027</v>
      </c>
      <c r="S102" s="100">
        <v>4130.2958588908996</v>
      </c>
      <c r="T102" s="100">
        <v>6.4578126061245547</v>
      </c>
      <c r="U102" s="100">
        <v>3432.9731814158135</v>
      </c>
      <c r="V102" s="100">
        <v>7.8102340943181758</v>
      </c>
      <c r="W102" s="100">
        <v>4151.9204445395426</v>
      </c>
      <c r="X102" s="100">
        <v>7.6955600222984275</v>
      </c>
      <c r="Y102" s="100">
        <v>4090.9597078538441</v>
      </c>
      <c r="Z102" s="100">
        <v>0.84261894561591033</v>
      </c>
      <c r="AA102" s="100">
        <v>447.93623148941793</v>
      </c>
      <c r="AB102" s="100">
        <v>6.2187701506015003</v>
      </c>
      <c r="AC102" s="100">
        <v>3305.8982120597575</v>
      </c>
      <c r="AD102" s="100">
        <v>6.3827816771553678</v>
      </c>
      <c r="AE102" s="100">
        <v>3393.0867395757937</v>
      </c>
      <c r="AF102" s="100">
        <v>7.0000000000000018</v>
      </c>
      <c r="AG102" s="100">
        <v>3721.2000000000012</v>
      </c>
      <c r="AH102" s="100">
        <v>4.3012951436314264</v>
      </c>
      <c r="AI102" s="100">
        <v>2286.5684983544666</v>
      </c>
      <c r="AJ102" s="100">
        <v>10</v>
      </c>
      <c r="AK102" s="100">
        <v>5316</v>
      </c>
      <c r="AL102" s="100">
        <v>7.4730149420946113</v>
      </c>
      <c r="AM102" s="100">
        <v>3972.6547432174957</v>
      </c>
      <c r="AN102" s="100">
        <v>8.4409988848572493</v>
      </c>
      <c r="AO102" s="100">
        <v>4487.2350071901137</v>
      </c>
      <c r="AP102" s="100">
        <v>6.4939570796662949</v>
      </c>
      <c r="AQ102" s="100">
        <v>3452.1875835506025</v>
      </c>
      <c r="AR102" s="100">
        <v>6.8116653516656251</v>
      </c>
      <c r="AS102" s="100">
        <v>3621.0813009454464</v>
      </c>
      <c r="AT102" s="100">
        <v>7.5595677973721545</v>
      </c>
      <c r="AU102" s="100">
        <v>4018.6662410830377</v>
      </c>
      <c r="AV102" s="100">
        <v>5.867497836505926</v>
      </c>
      <c r="AW102" s="100">
        <v>3119.1618498865505</v>
      </c>
      <c r="AX102" s="100">
        <v>8.8998725241582779</v>
      </c>
      <c r="AY102" s="100">
        <v>4731.1722338425407</v>
      </c>
      <c r="AZ102" s="100">
        <v>6.8603112935020718</v>
      </c>
      <c r="BA102" s="100">
        <v>3646.9414836257015</v>
      </c>
      <c r="BB102" s="100">
        <v>7.0198382595124276</v>
      </c>
      <c r="BC102" s="100">
        <v>3731.7460187568067</v>
      </c>
      <c r="BD102" s="100">
        <v>7.9348654894402761</v>
      </c>
      <c r="BE102" s="100">
        <v>4218.1744941864508</v>
      </c>
      <c r="BF102" s="100">
        <v>5.6877812699758437</v>
      </c>
      <c r="BG102" s="100">
        <v>3023.6245231191588</v>
      </c>
      <c r="BH102" s="100">
        <v>6.9834287301843867</v>
      </c>
      <c r="BI102" s="100">
        <v>3712.3907129660201</v>
      </c>
      <c r="BJ102" s="100">
        <v>1.0107458458107512</v>
      </c>
      <c r="BK102" s="100">
        <v>537.31249163299537</v>
      </c>
      <c r="BL102" s="100">
        <v>6.7431445227355473</v>
      </c>
      <c r="BM102" s="100">
        <v>3584.6556282862171</v>
      </c>
      <c r="BN102" s="100">
        <v>8.7616418906949551</v>
      </c>
      <c r="BO102" s="100">
        <v>4657.6888290934385</v>
      </c>
      <c r="BP102" s="100">
        <v>5.5558834711909579</v>
      </c>
      <c r="BQ102" s="100">
        <v>2953.5076532851135</v>
      </c>
      <c r="BR102" s="100">
        <v>6.2156446333948825</v>
      </c>
      <c r="BS102" s="100">
        <v>3304.2366871127197</v>
      </c>
      <c r="BT102" s="100">
        <v>7.3125230981116278</v>
      </c>
      <c r="BU102" s="100">
        <v>3887.3372789561413</v>
      </c>
      <c r="BV102" s="100">
        <v>0.79894543820912844</v>
      </c>
      <c r="BW102" s="100">
        <v>424.71939495197267</v>
      </c>
      <c r="BX102" s="100">
        <v>8.1817283205253446</v>
      </c>
      <c r="BY102" s="100">
        <v>4349.4067751912735</v>
      </c>
      <c r="BZ102" s="100">
        <v>9.1649687639873818</v>
      </c>
      <c r="CA102" s="100">
        <v>4872.0973949356921</v>
      </c>
      <c r="CB102" s="100">
        <v>7.6500241641783191</v>
      </c>
      <c r="CC102" s="100">
        <v>4066.7528456771947</v>
      </c>
      <c r="CD102" s="100">
        <v>1.1131015390938159</v>
      </c>
      <c r="CE102" s="100">
        <v>591.72477818227253</v>
      </c>
      <c r="CF102" s="100">
        <v>10.099708312363999</v>
      </c>
      <c r="CG102" s="100">
        <v>5369.0049388527023</v>
      </c>
      <c r="CH102" s="100">
        <v>2.5701286279548547</v>
      </c>
      <c r="CI102" s="100">
        <v>1366.2803786208008</v>
      </c>
      <c r="CJ102" s="100">
        <v>6.4222771704790427</v>
      </c>
      <c r="CK102" s="100">
        <v>3414.0825438266593</v>
      </c>
      <c r="CL102" s="100">
        <v>6.4573245823866667</v>
      </c>
      <c r="CM102" s="100">
        <v>3432.7137479967523</v>
      </c>
      <c r="CN102" s="100">
        <v>6.6458575011524896</v>
      </c>
      <c r="CO102" s="100">
        <v>3532.9378476126635</v>
      </c>
      <c r="CP102" s="100">
        <v>0.59124931091999544</v>
      </c>
      <c r="CQ102" s="100">
        <v>314.30813368506961</v>
      </c>
      <c r="CR102" s="100">
        <v>4.8112671085787326</v>
      </c>
      <c r="CS102" s="100">
        <v>2557.6695949204545</v>
      </c>
      <c r="CT102" s="100">
        <v>7.9648813977398936</v>
      </c>
      <c r="CU102" s="100">
        <v>4234.1309510385272</v>
      </c>
    </row>
    <row r="103" spans="2:99">
      <c r="C103" s="99" t="s">
        <v>269</v>
      </c>
      <c r="D103" s="100">
        <v>13.587237379644604</v>
      </c>
      <c r="E103" s="100">
        <v>8005.6002640866</v>
      </c>
      <c r="F103" s="100">
        <v>1.2007847373518827</v>
      </c>
      <c r="G103" s="100">
        <v>707.50236724772924</v>
      </c>
      <c r="H103" s="100">
        <v>9.9269911718656498</v>
      </c>
      <c r="I103" s="100">
        <v>5848.9831984632401</v>
      </c>
      <c r="J103" s="100">
        <v>7</v>
      </c>
      <c r="K103" s="100">
        <v>4124.3999999999996</v>
      </c>
      <c r="L103" s="100">
        <v>6.4518043812023516</v>
      </c>
      <c r="M103" s="100">
        <v>3801.4031414044252</v>
      </c>
      <c r="N103" s="100">
        <v>7</v>
      </c>
      <c r="O103" s="100">
        <v>4124.3999999999996</v>
      </c>
      <c r="P103" s="100">
        <v>8.7905986396058822</v>
      </c>
      <c r="Q103" s="100">
        <v>5179.4207184557854</v>
      </c>
      <c r="R103" s="100">
        <v>8.417018774388902</v>
      </c>
      <c r="S103" s="100">
        <v>4959.3074618699402</v>
      </c>
      <c r="T103" s="100">
        <v>6.4578126061245547</v>
      </c>
      <c r="U103" s="100">
        <v>3804.9431875285873</v>
      </c>
      <c r="V103" s="100">
        <v>7.8102340943181758</v>
      </c>
      <c r="W103" s="100">
        <v>4601.7899283722691</v>
      </c>
      <c r="X103" s="100">
        <v>7.6955600222984275</v>
      </c>
      <c r="Y103" s="100">
        <v>4534.2239651382333</v>
      </c>
      <c r="Z103" s="100">
        <v>0.83764102797477513</v>
      </c>
      <c r="AA103" s="100">
        <v>493.53809368273744</v>
      </c>
      <c r="AB103" s="100">
        <v>6.264876322213949</v>
      </c>
      <c r="AC103" s="100">
        <v>3691.2651290484582</v>
      </c>
      <c r="AD103" s="100">
        <v>6.3701449945756634</v>
      </c>
      <c r="AE103" s="100">
        <v>3753.2894308039804</v>
      </c>
      <c r="AF103" s="100">
        <v>8.0000000000000018</v>
      </c>
      <c r="AG103" s="100">
        <v>4713.6000000000004</v>
      </c>
      <c r="AH103" s="100">
        <v>4.3012951436314264</v>
      </c>
      <c r="AI103" s="100">
        <v>2534.3230986276362</v>
      </c>
      <c r="AJ103" s="100">
        <v>10</v>
      </c>
      <c r="AK103" s="100">
        <v>5891.9999999999991</v>
      </c>
      <c r="AL103" s="100">
        <v>7.4730149420946113</v>
      </c>
      <c r="AM103" s="100">
        <v>4403.1004038821447</v>
      </c>
      <c r="AN103" s="100">
        <v>8.4409988848572493</v>
      </c>
      <c r="AO103" s="100">
        <v>4973.4365429578911</v>
      </c>
      <c r="AP103" s="100">
        <v>6.4939570796662949</v>
      </c>
      <c r="AQ103" s="100">
        <v>3826.2395113393804</v>
      </c>
      <c r="AR103" s="100">
        <v>7.6631235206238282</v>
      </c>
      <c r="AS103" s="100">
        <v>4515.1123783515586</v>
      </c>
      <c r="AT103" s="100">
        <v>6.7196158198863598</v>
      </c>
      <c r="AU103" s="100">
        <v>3959.1976410770426</v>
      </c>
      <c r="AV103" s="100">
        <v>6.0663336588072889</v>
      </c>
      <c r="AW103" s="100">
        <v>3574.2837917692541</v>
      </c>
      <c r="AX103" s="100">
        <v>7.3031629652618184</v>
      </c>
      <c r="AY103" s="100">
        <v>4303.0236191322629</v>
      </c>
      <c r="AZ103" s="100">
        <v>6.8603112935020718</v>
      </c>
      <c r="BA103" s="100">
        <v>4042.0954141314201</v>
      </c>
      <c r="BB103" s="100">
        <v>7.1012673220918812</v>
      </c>
      <c r="BC103" s="100">
        <v>4184.0667061765362</v>
      </c>
      <c r="BD103" s="100">
        <v>7.2736266986535876</v>
      </c>
      <c r="BE103" s="100">
        <v>4285.6208508466934</v>
      </c>
      <c r="BF103" s="100">
        <v>4.8752410885507231</v>
      </c>
      <c r="BG103" s="100">
        <v>2872.4920493740856</v>
      </c>
      <c r="BH103" s="100">
        <v>6.9834287301843867</v>
      </c>
      <c r="BI103" s="100">
        <v>4114.6362078246402</v>
      </c>
      <c r="BJ103" s="100">
        <v>1.0924823049919139</v>
      </c>
      <c r="BK103" s="100">
        <v>643.6905741012356</v>
      </c>
      <c r="BL103" s="100">
        <v>7.6688300704619925</v>
      </c>
      <c r="BM103" s="100">
        <v>4518.4746775162057</v>
      </c>
      <c r="BN103" s="100">
        <v>9.6378060797644505</v>
      </c>
      <c r="BO103" s="100">
        <v>5678.5953421972135</v>
      </c>
      <c r="BP103" s="100">
        <v>5.5558834711909579</v>
      </c>
      <c r="BQ103" s="100">
        <v>3273.5265412257122</v>
      </c>
      <c r="BR103" s="100">
        <v>6.2156446333948825</v>
      </c>
      <c r="BS103" s="100">
        <v>3662.2578179962643</v>
      </c>
      <c r="BT103" s="100">
        <v>7.3125230981116278</v>
      </c>
      <c r="BU103" s="100">
        <v>4308.538609407371</v>
      </c>
      <c r="BV103" s="100">
        <v>0.90768829312848121</v>
      </c>
      <c r="BW103" s="100">
        <v>534.80994231130103</v>
      </c>
      <c r="BX103" s="100">
        <v>8.1817283205253446</v>
      </c>
      <c r="BY103" s="100">
        <v>4820.6743264535326</v>
      </c>
      <c r="BZ103" s="100">
        <v>9.1649687639873818</v>
      </c>
      <c r="CA103" s="100">
        <v>5399.9995957413648</v>
      </c>
      <c r="CB103" s="100">
        <v>7.6500241641783191</v>
      </c>
      <c r="CC103" s="100">
        <v>4507.3942375338647</v>
      </c>
      <c r="CD103" s="100">
        <v>1.1131015390938159</v>
      </c>
      <c r="CE103" s="100">
        <v>655.83942683407622</v>
      </c>
      <c r="CF103" s="100">
        <v>9.9247326196669992</v>
      </c>
      <c r="CG103" s="100">
        <v>5847.6524595077954</v>
      </c>
      <c r="CH103" s="100">
        <v>2.8292781741483015</v>
      </c>
      <c r="CI103" s="100">
        <v>1667.0107002081791</v>
      </c>
      <c r="CJ103" s="100">
        <v>7.0119412449395178</v>
      </c>
      <c r="CK103" s="100">
        <v>4131.435781518363</v>
      </c>
      <c r="CL103" s="100">
        <v>5.6513769903362823</v>
      </c>
      <c r="CM103" s="100">
        <v>3329.7913227061372</v>
      </c>
      <c r="CN103" s="100">
        <v>6.6458575011524896</v>
      </c>
      <c r="CO103" s="100">
        <v>3915.7392396790465</v>
      </c>
      <c r="CP103" s="100">
        <v>0.50074247466771538</v>
      </c>
      <c r="CQ103" s="100">
        <v>295.03746607421789</v>
      </c>
      <c r="CR103" s="100">
        <v>4.8112671085787326</v>
      </c>
      <c r="CS103" s="100">
        <v>2834.7985803745892</v>
      </c>
      <c r="CT103" s="100">
        <v>8.7608450832109419</v>
      </c>
      <c r="CU103" s="100">
        <v>5161.8899230278867</v>
      </c>
    </row>
    <row r="104" spans="2:99">
      <c r="C104" s="99" t="s">
        <v>270</v>
      </c>
      <c r="D104" s="100">
        <v>11.833625998548023</v>
      </c>
      <c r="E104" s="100">
        <v>7483.5850814817695</v>
      </c>
      <c r="F104" s="100">
        <v>1.1084166806325073</v>
      </c>
      <c r="G104" s="100">
        <v>700.96270883199759</v>
      </c>
      <c r="H104" s="100">
        <v>9.7724926432213746</v>
      </c>
      <c r="I104" s="100">
        <v>6180.1243475731972</v>
      </c>
      <c r="J104" s="100">
        <v>6</v>
      </c>
      <c r="K104" s="100">
        <v>3794.3999999999996</v>
      </c>
      <c r="L104" s="100">
        <v>5.6453288335520577</v>
      </c>
      <c r="M104" s="100">
        <v>3570.1059543383212</v>
      </c>
      <c r="N104" s="100">
        <v>6</v>
      </c>
      <c r="O104" s="100">
        <v>3794.3999999999996</v>
      </c>
      <c r="P104" s="100">
        <v>8.0580487529720592</v>
      </c>
      <c r="Q104" s="100">
        <v>5095.9100313795298</v>
      </c>
      <c r="R104" s="100">
        <v>8.417018774388902</v>
      </c>
      <c r="S104" s="100">
        <v>5322.9226729235415</v>
      </c>
      <c r="T104" s="100">
        <v>5.6505860303589852</v>
      </c>
      <c r="U104" s="100">
        <v>3573.4306055990223</v>
      </c>
      <c r="V104" s="100">
        <v>7.1593812531249945</v>
      </c>
      <c r="W104" s="100">
        <v>4527.5927044762466</v>
      </c>
      <c r="X104" s="100">
        <v>7.1035938667370093</v>
      </c>
      <c r="Y104" s="100">
        <v>4492.3127613244842</v>
      </c>
      <c r="Z104" s="100">
        <v>0.84261894561591033</v>
      </c>
      <c r="AA104" s="100">
        <v>532.87222120750164</v>
      </c>
      <c r="AB104" s="100">
        <v>6.264876322213949</v>
      </c>
      <c r="AC104" s="100">
        <v>3961.9077861681012</v>
      </c>
      <c r="AD104" s="100">
        <v>7.1454406352946398</v>
      </c>
      <c r="AE104" s="100">
        <v>4518.7766577603297</v>
      </c>
      <c r="AF104" s="100">
        <v>7.0000000000000018</v>
      </c>
      <c r="AG104" s="100">
        <v>4426.8000000000011</v>
      </c>
      <c r="AH104" s="100">
        <v>4.3382403153346303</v>
      </c>
      <c r="AI104" s="100">
        <v>2743.5031754176202</v>
      </c>
      <c r="AJ104" s="100">
        <v>11</v>
      </c>
      <c r="AK104" s="100">
        <v>6956.4</v>
      </c>
      <c r="AL104" s="100">
        <v>7.4730149420946113</v>
      </c>
      <c r="AM104" s="100">
        <v>4725.9346493806324</v>
      </c>
      <c r="AN104" s="100">
        <v>7.6736353498702261</v>
      </c>
      <c r="AO104" s="100">
        <v>4852.8069952579308</v>
      </c>
      <c r="AP104" s="100">
        <v>5.5662489254282521</v>
      </c>
      <c r="AQ104" s="100">
        <v>3520.0958204408266</v>
      </c>
      <c r="AR104" s="100">
        <v>7.6631235206238282</v>
      </c>
      <c r="AS104" s="100">
        <v>4846.1593144425087</v>
      </c>
      <c r="AT104" s="100">
        <v>6.7196158198863598</v>
      </c>
      <c r="AU104" s="100">
        <v>4249.4850444961339</v>
      </c>
      <c r="AV104" s="100">
        <v>5.966915747656607</v>
      </c>
      <c r="AW104" s="100">
        <v>3773.4775188180383</v>
      </c>
      <c r="AX104" s="100">
        <v>8.631010777127603</v>
      </c>
      <c r="AY104" s="100">
        <v>5458.2512154554961</v>
      </c>
      <c r="AZ104" s="100">
        <v>6.9194033924206702</v>
      </c>
      <c r="BA104" s="100">
        <v>4375.8307053668314</v>
      </c>
      <c r="BB104" s="100">
        <v>7.7381078979795612</v>
      </c>
      <c r="BC104" s="100">
        <v>4893.579434682274</v>
      </c>
      <c r="BD104" s="100">
        <v>7.9348654894402761</v>
      </c>
      <c r="BE104" s="100">
        <v>5018.0089355220307</v>
      </c>
      <c r="BF104" s="100">
        <v>5.6877812699758437</v>
      </c>
      <c r="BG104" s="100">
        <v>3596.9528751327234</v>
      </c>
      <c r="BH104" s="100">
        <v>6.9834287301843867</v>
      </c>
      <c r="BI104" s="100">
        <v>4416.3203289686062</v>
      </c>
      <c r="BJ104" s="100">
        <v>1.096220846946514</v>
      </c>
      <c r="BK104" s="100">
        <v>693.25006360897544</v>
      </c>
      <c r="BL104" s="100">
        <v>6.6688300704619925</v>
      </c>
      <c r="BM104" s="100">
        <v>4217.3681365601642</v>
      </c>
      <c r="BN104" s="100">
        <v>8.7616418906949551</v>
      </c>
      <c r="BO104" s="100">
        <v>5540.8623316754893</v>
      </c>
      <c r="BP104" s="100">
        <v>4.861398037292088</v>
      </c>
      <c r="BQ104" s="100">
        <v>3074.3481187835164</v>
      </c>
      <c r="BR104" s="100">
        <v>6.9926002125692426</v>
      </c>
      <c r="BS104" s="100">
        <v>4422.1203744287886</v>
      </c>
      <c r="BT104" s="100">
        <v>6.5000205316547808</v>
      </c>
      <c r="BU104" s="100">
        <v>4110.6129842184828</v>
      </c>
      <c r="BV104" s="100">
        <v>0.79894543820912844</v>
      </c>
      <c r="BW104" s="100">
        <v>505.25309512345279</v>
      </c>
      <c r="BX104" s="100">
        <v>7.945382656420275</v>
      </c>
      <c r="BY104" s="100">
        <v>5024.6599919201817</v>
      </c>
      <c r="BZ104" s="100">
        <v>9.1649687639873818</v>
      </c>
      <c r="CA104" s="100">
        <v>5795.9262463456198</v>
      </c>
      <c r="CB104" s="100">
        <v>7.0125221504967925</v>
      </c>
      <c r="CC104" s="100">
        <v>4434.7190079741713</v>
      </c>
      <c r="CD104" s="100">
        <v>1.0203430775026645</v>
      </c>
      <c r="CE104" s="100">
        <v>645.26496221268496</v>
      </c>
      <c r="CF104" s="100">
        <v>9.0997083123639992</v>
      </c>
      <c r="CG104" s="100">
        <v>5754.6555367389929</v>
      </c>
      <c r="CH104" s="100">
        <v>2.5701286279548547</v>
      </c>
      <c r="CI104" s="100">
        <v>1625.3493443186501</v>
      </c>
      <c r="CJ104" s="100">
        <v>5.8326130960185658</v>
      </c>
      <c r="CK104" s="100">
        <v>3688.544521922141</v>
      </c>
      <c r="CL104" s="100">
        <v>6.7816523884035389</v>
      </c>
      <c r="CM104" s="100">
        <v>4288.7169704263979</v>
      </c>
      <c r="CN104" s="100">
        <v>6.7100084264257474</v>
      </c>
      <c r="CO104" s="100">
        <v>4243.4093288716422</v>
      </c>
      <c r="CP104" s="100">
        <v>0.54572726776838498</v>
      </c>
      <c r="CQ104" s="100">
        <v>345.11792413672663</v>
      </c>
      <c r="CR104" s="100">
        <v>4.8112671085787326</v>
      </c>
      <c r="CS104" s="100">
        <v>3042.6453194651904</v>
      </c>
      <c r="CT104" s="100">
        <v>8.8753034015681518</v>
      </c>
      <c r="CU104" s="100">
        <v>5612.7418711516993</v>
      </c>
    </row>
    <row r="105" spans="2:99">
      <c r="C105" s="99" t="s">
        <v>271</v>
      </c>
      <c r="D105" s="100">
        <v>13.587237379644604</v>
      </c>
      <c r="E105" s="100">
        <v>7565.373772986115</v>
      </c>
      <c r="F105" s="100">
        <v>1.1084166806325073</v>
      </c>
      <c r="G105" s="100">
        <v>617.16640777617999</v>
      </c>
      <c r="H105" s="100">
        <v>10.92699117186565</v>
      </c>
      <c r="I105" s="100">
        <v>6084.1486844947931</v>
      </c>
      <c r="J105" s="100">
        <v>7</v>
      </c>
      <c r="K105" s="100">
        <v>3897.5999999999995</v>
      </c>
      <c r="L105" s="100">
        <v>5.6453288335520577</v>
      </c>
      <c r="M105" s="100">
        <v>3143.3190945217857</v>
      </c>
      <c r="N105" s="100">
        <v>6</v>
      </c>
      <c r="O105" s="100">
        <v>3340.7999999999997</v>
      </c>
      <c r="P105" s="100">
        <v>8.7905986396058822</v>
      </c>
      <c r="Q105" s="100">
        <v>4894.605322532555</v>
      </c>
      <c r="R105" s="100">
        <v>7.7695557917436027</v>
      </c>
      <c r="S105" s="100">
        <v>4326.0886648428377</v>
      </c>
      <c r="T105" s="100">
        <v>7.2650391818901232</v>
      </c>
      <c r="U105" s="100">
        <v>4045.1738164764201</v>
      </c>
      <c r="V105" s="100">
        <v>7.1593812531249945</v>
      </c>
      <c r="W105" s="100">
        <v>3986.3434817399966</v>
      </c>
      <c r="X105" s="100">
        <v>7.1035938667370093</v>
      </c>
      <c r="Y105" s="100">
        <v>3955.2810649991666</v>
      </c>
      <c r="Z105" s="100">
        <v>0.84261894561591033</v>
      </c>
      <c r="AA105" s="100">
        <v>469.17022891893885</v>
      </c>
      <c r="AB105" s="100">
        <v>6.2187701506015003</v>
      </c>
      <c r="AC105" s="100">
        <v>3462.6112198549149</v>
      </c>
      <c r="AD105" s="100">
        <v>6.3701449945756634</v>
      </c>
      <c r="AE105" s="100">
        <v>3546.8967329797292</v>
      </c>
      <c r="AF105" s="100">
        <v>8.0000000000000018</v>
      </c>
      <c r="AG105" s="100">
        <v>4454.4000000000005</v>
      </c>
      <c r="AH105" s="100">
        <v>4.0796241134122022</v>
      </c>
      <c r="AI105" s="100">
        <v>2271.5347063479139</v>
      </c>
      <c r="AJ105" s="100">
        <v>11</v>
      </c>
      <c r="AK105" s="100">
        <v>6124.7999999999993</v>
      </c>
      <c r="AL105" s="100">
        <v>7.4730149420946113</v>
      </c>
      <c r="AM105" s="100">
        <v>4160.9747197582792</v>
      </c>
      <c r="AN105" s="100">
        <v>7.6736353498702261</v>
      </c>
      <c r="AO105" s="100">
        <v>4272.6801628077419</v>
      </c>
      <c r="AP105" s="100">
        <v>6.4939570796662949</v>
      </c>
      <c r="AQ105" s="100">
        <v>3615.8353019581928</v>
      </c>
      <c r="AR105" s="100">
        <v>6.8116653516656251</v>
      </c>
      <c r="AS105" s="100">
        <v>3792.7352678074199</v>
      </c>
      <c r="AT105" s="100">
        <v>6.7196158198863598</v>
      </c>
      <c r="AU105" s="100">
        <v>3741.4820885127247</v>
      </c>
      <c r="AV105" s="100">
        <v>6.0663336588072889</v>
      </c>
      <c r="AW105" s="100">
        <v>3377.7345812238982</v>
      </c>
      <c r="AX105" s="100">
        <v>7.3031629652618184</v>
      </c>
      <c r="AY105" s="100">
        <v>4066.4011390577803</v>
      </c>
      <c r="AZ105" s="100">
        <v>6.8603112935020718</v>
      </c>
      <c r="BA105" s="100">
        <v>3819.8213282219531</v>
      </c>
      <c r="BB105" s="100">
        <v>7.7381078979795612</v>
      </c>
      <c r="BC105" s="100">
        <v>4308.5784775950196</v>
      </c>
      <c r="BD105" s="100">
        <v>7.2736266986535876</v>
      </c>
      <c r="BE105" s="100">
        <v>4049.9553458103173</v>
      </c>
      <c r="BF105" s="100">
        <v>5.6877812699758437</v>
      </c>
      <c r="BG105" s="100">
        <v>3166.9566111225495</v>
      </c>
      <c r="BH105" s="100">
        <v>6.1792862567977709</v>
      </c>
      <c r="BI105" s="100">
        <v>3440.6265877849987</v>
      </c>
      <c r="BJ105" s="100">
        <v>1.0924823049919139</v>
      </c>
      <c r="BK105" s="100">
        <v>608.29414741949756</v>
      </c>
      <c r="BL105" s="100">
        <v>7.6688300704619925</v>
      </c>
      <c r="BM105" s="100">
        <v>4270.0045832332371</v>
      </c>
      <c r="BN105" s="100">
        <v>8.7616418906949551</v>
      </c>
      <c r="BO105" s="100">
        <v>4878.4822047389507</v>
      </c>
      <c r="BP105" s="100">
        <v>6.250368905089827</v>
      </c>
      <c r="BQ105" s="100">
        <v>3480.2054063540154</v>
      </c>
      <c r="BR105" s="100">
        <v>6.2156446333948825</v>
      </c>
      <c r="BS105" s="100">
        <v>3460.8709318742704</v>
      </c>
      <c r="BT105" s="100">
        <v>6.5000205316547808</v>
      </c>
      <c r="BU105" s="100">
        <v>3619.2114320253818</v>
      </c>
      <c r="BV105" s="100">
        <v>0.90768829312848121</v>
      </c>
      <c r="BW105" s="100">
        <v>505.40084161393827</v>
      </c>
      <c r="BX105" s="100">
        <v>8.0635554884728098</v>
      </c>
      <c r="BY105" s="100">
        <v>4489.7876959816604</v>
      </c>
      <c r="BZ105" s="100">
        <v>9.1649687639873818</v>
      </c>
      <c r="CA105" s="100">
        <v>5103.0546077881736</v>
      </c>
      <c r="CB105" s="100">
        <v>7.0125221504967925</v>
      </c>
      <c r="CC105" s="100">
        <v>3904.5723333966139</v>
      </c>
      <c r="CD105" s="100">
        <v>1.1131015390938159</v>
      </c>
      <c r="CE105" s="100">
        <v>619.7749369674367</v>
      </c>
      <c r="CF105" s="100">
        <v>9.7497569269699991</v>
      </c>
      <c r="CG105" s="100">
        <v>5428.664656936895</v>
      </c>
      <c r="CH105" s="100">
        <v>2.5701286279548547</v>
      </c>
      <c r="CI105" s="100">
        <v>1431.0476200452631</v>
      </c>
      <c r="CJ105" s="100">
        <v>6.091813493966475</v>
      </c>
      <c r="CK105" s="100">
        <v>3391.9217534405329</v>
      </c>
      <c r="CL105" s="100">
        <v>6.2165146893699106</v>
      </c>
      <c r="CM105" s="100">
        <v>3461.3553790411661</v>
      </c>
      <c r="CN105" s="100">
        <v>6.6458575011524896</v>
      </c>
      <c r="CO105" s="100">
        <v>3700.413456641706</v>
      </c>
      <c r="CP105" s="100">
        <v>0.54572726776838498</v>
      </c>
      <c r="CQ105" s="100">
        <v>303.86094269343675</v>
      </c>
      <c r="CR105" s="100">
        <v>5.8654308620137794</v>
      </c>
      <c r="CS105" s="100">
        <v>3265.8719039692719</v>
      </c>
      <c r="CT105" s="100">
        <v>8.7608450832109419</v>
      </c>
      <c r="CU105" s="100">
        <v>4878.0385423318521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320.06476200531858</v>
      </c>
      <c r="E109" s="100">
        <f>SUM(L$6:L$19)+SUM(N$6:N$19)+SUM(P$6:P$19)+SUM(R$6:R$19)</f>
        <v>291.93122413405183</v>
      </c>
      <c r="F109" s="100">
        <f>SUM(T$6:T$19)+SUM(V$6:V$19)+SUM(X$6:X$19)+SUM(Z$6:Z$19)</f>
        <v>236.17948001757844</v>
      </c>
      <c r="G109" s="100">
        <f>SUM(AB$6:AB$19)+SUM(AD$6:AD$19)+SUM(AF$6:AF$19)+SUM(AH$6:AH$19)</f>
        <v>338.04801856104655</v>
      </c>
      <c r="H109" s="100">
        <f>SUM(AJ$6:AJ$19)+SUM(AL$6:AL$19)+SUM(AN$6:AN$19)+SUM(AP$6:AP$19)</f>
        <v>290.20257898459494</v>
      </c>
      <c r="I109" s="100">
        <f>SUM(AR$6:AR$19)+SUM(AT$6:AT$19)+SUM(AV$6:AV$19)+SUM(AX$6:AX$19)</f>
        <v>318.19067430320467</v>
      </c>
      <c r="J109" s="100">
        <f>SUM(AZ$6:AZ$19)+SUM(BB$6:BB$19)+SUM(BD$6:BD$19)+SUM(BF$6:BF$19)</f>
        <v>287.11640694381049</v>
      </c>
      <c r="K109" s="100">
        <f>SUM(BH$6:BH$19)+SUM(BJ$6:BJ$19)+SUM(BL$6:BL$19)+SUM(BN$6:BN$19)</f>
        <v>356.89556103145242</v>
      </c>
      <c r="L109" s="100">
        <f>SUM(BP$6:BP$19)+SUM(BR$6:BR$19)+SUM(BT$6:BT$19)+SUM(BV$6:BV$19)</f>
        <v>348.0470597065094</v>
      </c>
      <c r="M109" s="100">
        <f>SUM(BX$6:BX$19)+SUM(BZ$6:BZ$19)+SUM(CB$6:CB$19)+SUM(CD$6:CD$19)</f>
        <v>211.60237848870736</v>
      </c>
      <c r="N109" s="100">
        <f>SUM(CF$6:CF$19)+SUM(CH$6:CH$19)+SUM(CJ$6:CJ$19)+SUM(CL$6:CL$19)</f>
        <v>497.54470065225678</v>
      </c>
      <c r="O109" s="100">
        <f>SUM(CN$6:CN$19)+SUM(CP$6:CP$19)+SUM(CR$6:CR$19)+SUM(CT$6:CT$19)</f>
        <v>224.37137368938008</v>
      </c>
    </row>
    <row r="110" spans="2:99">
      <c r="C110" s="99" t="s">
        <v>127</v>
      </c>
      <c r="D110" s="100">
        <f>SUM(D$20:D$36)+SUM(F$20:F$36)+SUM(H$20:H$36)+SUM(J$20:J$36)</f>
        <v>497.52628116352128</v>
      </c>
      <c r="E110" s="100">
        <f>SUM(L$20:L$36)+SUM(N$20:N$36)+SUM(P$20:P$36)+SUM(R$20:R$36)</f>
        <v>323.74808140180284</v>
      </c>
      <c r="F110" s="100">
        <f>SUM(T$20:T$36)+SUM(V$20:V$36)+SUM(X$20:X$36)+SUM(Z$20:Z$36)</f>
        <v>447.48877362957307</v>
      </c>
      <c r="G110" s="100">
        <f>SUM(AB$20:AB$36)+SUM(AD$20:AD$36)+SUM(AF$20:AF$36)+SUM(AH$20:AH$36)</f>
        <v>465.41444606633758</v>
      </c>
      <c r="H110" s="100">
        <f>SUM(AJ$20:AJ$36)+SUM(AL$20:AL$36)+SUM(AN$20:AN$36)+SUM(AP$20:AP$36)</f>
        <v>449.67603999372852</v>
      </c>
      <c r="I110" s="100">
        <f>SUM(AR$20:AR$36)+SUM(AT$20:AT$36)+SUM(AV$20:AV$36)+SUM(AX$20:AX$36)</f>
        <v>497.32188620616745</v>
      </c>
      <c r="J110" s="100">
        <f>SUM(AZ$20:AZ$36)+SUM(BB$20:BB$36)+SUM(BD$20:BD$36)+SUM(BF$20:BF$36)</f>
        <v>440.2056414327235</v>
      </c>
      <c r="K110" s="100">
        <f>SUM(BH$20:BH$36)+SUM(BJ$20:BJ$36)+SUM(BL$20:BL$36)+SUM(BN$20:BN$36)</f>
        <v>478.26385340619845</v>
      </c>
      <c r="L110" s="100">
        <f>SUM(BP$20:BP$36)+SUM(BR$20:BR$36)+SUM(BT$20:BT$36)+SUM(BV$20:BV$36)</f>
        <v>367.09068821804397</v>
      </c>
      <c r="M110" s="100">
        <f>SUM(BX$20:BX$36)+SUM(BZ$20:BZ$36)+SUM(CB$20:CB$36)+SUM(CD$20:CD$36)</f>
        <v>291.47473343099239</v>
      </c>
      <c r="N110" s="100">
        <f>SUM(CF$20:CF$36)+SUM(CH$20:CH$36)+SUM(CJ$20:CJ$36)+SUM(CL$20:CL$36)</f>
        <v>576.78067008573896</v>
      </c>
      <c r="O110" s="100">
        <f>SUM(CN$20:CN$36)+SUM(CP$20:CP$36)+SUM(CR$20:CR$36)+SUM(CT$20:CT$36)</f>
        <v>327.57632849432292</v>
      </c>
    </row>
    <row r="111" spans="2:99">
      <c r="C111" s="99" t="s">
        <v>128</v>
      </c>
      <c r="D111" s="100">
        <f>SUM(D$37:D$48)+SUM(F$37:F$48)+SUM(H$37:H$48)+SUM(J$37:J$48)</f>
        <v>572.1839307086185</v>
      </c>
      <c r="E111" s="100">
        <f>SUM(L$37:L$48)+SUM(N$37:N$48)+SUM(P$37:P$48)+SUM(R$37:R$48)</f>
        <v>507.35209179874704</v>
      </c>
      <c r="F111" s="100">
        <f>SUM(T$37:T$48)+SUM(V$37:V$48)+SUM(X$37:X$48)+SUM(Z$37:Z$48)</f>
        <v>611.55456421716076</v>
      </c>
      <c r="G111" s="100">
        <f>SUM(AB$37:AB$48)+SUM(AD$37:AD$48)+SUM(AF$37:AF$48)+SUM(AH$37:AH$48)</f>
        <v>595.07443425796896</v>
      </c>
      <c r="H111" s="100">
        <f>SUM(AJ$37:AJ$48)+SUM(AL$37:AL$48)+SUM(AN$37:AN$48)+SUM(AP$37:AP$48)</f>
        <v>535.2722209515498</v>
      </c>
      <c r="I111" s="100">
        <f>SUM(AR$37:AR$48)+SUM(AT$37:AT$48)+SUM(AV$37:AV$48)+SUM(AX$37:AX$48)</f>
        <v>547.34985804334895</v>
      </c>
      <c r="J111" s="100">
        <f>SUM(AZ$37:AZ$48)+SUM(BB$37:BB$48)+SUM(BD$37:BD$48)+SUM(BF$37:BF$48)</f>
        <v>525.09934625700339</v>
      </c>
      <c r="K111" s="100">
        <f>SUM(BH$37:BH$48)+SUM(BJ$37:BJ$48)+SUM(BL$37:BL$48)+SUM(BN$37:BN$48)</f>
        <v>607.88744986990002</v>
      </c>
      <c r="L111" s="100">
        <f>SUM(BP$37:BP$48)+SUM(BR$37:BR$48)+SUM(BT$37:BT$48)+SUM(BV$37:BV$48)</f>
        <v>392.96183733400983</v>
      </c>
      <c r="M111" s="100">
        <f>SUM(BX$37:BX$48)+SUM(BZ$37:BZ$48)+SUM(CB$37:CB$48)+SUM(CD$37:CD$48)</f>
        <v>337.57742637243871</v>
      </c>
      <c r="N111" s="100">
        <f>SUM(CF$37:CF$48)+SUM(CH$37:CH$48)+SUM(CJ$37:CJ$48)+SUM(CL$37:CL$48)</f>
        <v>675.76190437182208</v>
      </c>
      <c r="O111" s="100">
        <f>SUM(CN$37:CN$48)+SUM(CP$37:CP$48)+SUM(CR$37:CR$48)+SUM(CT$37:CT$48)</f>
        <v>431.37200471005445</v>
      </c>
    </row>
    <row r="112" spans="2:99">
      <c r="C112" s="99" t="s">
        <v>129</v>
      </c>
      <c r="D112" s="100">
        <f>SUM(D$49:D$70)+SUM(F$49:F$70)+SUM(H$49:H$70)+SUM(J$49:J$70)</f>
        <v>624.4282752236046</v>
      </c>
      <c r="E112" s="100">
        <f>SUM(L$49:L$70)+SUM(N$49:N$70)+SUM(P$49:P$70)+SUM(R$49:R$70)</f>
        <v>457.06045126237814</v>
      </c>
      <c r="F112" s="100">
        <f>SUM(T$49:T$70)+SUM(V$49:V$70)+SUM(X$49:X$70)+SUM(Z$49:Z$70)</f>
        <v>566.1264306007979</v>
      </c>
      <c r="G112" s="100">
        <f>SUM(AB$49:AB$70)+SUM(AD$49:AD$70)+SUM(AF$49:AF$70)+SUM(AH$49:AH$70)</f>
        <v>609.67807478020961</v>
      </c>
      <c r="H112" s="100">
        <f>SUM(AJ$49:AJ$70)+SUM(AL$49:AL$70)+SUM(AN$49:AN$70)+SUM(AP$49:AP$70)</f>
        <v>556.83748318147104</v>
      </c>
      <c r="I112" s="100">
        <f>SUM(AR$49:AR$70)+SUM(AT$49:AT$70)+SUM(AV$49:AV$70)+SUM(AX$49:AX$70)</f>
        <v>611.68774135799879</v>
      </c>
      <c r="J112" s="100">
        <f>SUM(AZ$49:AZ$70)+SUM(BB$49:BB$70)+SUM(BD$49:BD$70)+SUM(BF$49:BF$70)</f>
        <v>630.12808436224054</v>
      </c>
      <c r="K112" s="100">
        <f>SUM(BH$49:BH$70)+SUM(BJ$49:BJ$70)+SUM(BL$49:BL$70)+SUM(BN$49:BN$70)</f>
        <v>468.91426821577767</v>
      </c>
      <c r="L112" s="100">
        <f>SUM(BP$49:BP$70)+SUM(BR$49:BR$70)+SUM(BT$49:BT$70)+SUM(BV$49:BV$70)</f>
        <v>546.04324529291625</v>
      </c>
      <c r="M112" s="100">
        <f>SUM(BX$49:BX$70)+SUM(BZ$49:BZ$70)+SUM(CB$49:CB$70)+SUM(CD$49:CD$70)</f>
        <v>416.87746813655735</v>
      </c>
      <c r="N112" s="100">
        <f>SUM(CF$49:CF$70)+SUM(CH$49:CH$70)+SUM(CJ$49:CJ$70)+SUM(CL$49:CL$70)</f>
        <v>654.07371196178076</v>
      </c>
      <c r="O112" s="100">
        <f>SUM(CN$49:CN$70)+SUM(CP$49:CP$70)+SUM(CR$49:CR$70)+SUM(CT$49:CT$70)</f>
        <v>466.02645916575653</v>
      </c>
    </row>
    <row r="113" spans="2:15">
      <c r="C113" s="99" t="s">
        <v>130</v>
      </c>
      <c r="D113" s="100">
        <f>SUM(D$71:D$86)+SUM(F$71:F$86)+SUM(H$71:H$86)+SUM(J$71:J$86)</f>
        <v>248.08905213238788</v>
      </c>
      <c r="E113" s="100">
        <f>SUM(L$71:L$86)+SUM(N$71:N$86)+SUM(P$71:P$86)+SUM(R$71:R$86)</f>
        <v>378.24272846371844</v>
      </c>
      <c r="F113" s="100">
        <f>SUM(T$71:T$86)+SUM(V$71:V$86)+SUM(X$71:X$86)+SUM(Z$71:Z$86)</f>
        <v>364.53767404633652</v>
      </c>
      <c r="G113" s="100">
        <f>SUM(AB$71:AB$86)+SUM(AD$71:AD$86)+SUM(AF$71:AF$86)+SUM(AH$71:AH$86)</f>
        <v>393.01442271333752</v>
      </c>
      <c r="H113" s="100">
        <f>SUM(AJ$71:AJ$86)+SUM(AL$71:AL$86)+SUM(AN$71:AN$86)+SUM(AP$71:AP$86)</f>
        <v>297.0343520298922</v>
      </c>
      <c r="I113" s="100">
        <f>SUM(AR$71:AR$86)+SUM(AT$71:AT$86)+SUM(AV$71:AV$86)+SUM(AX$71:AX$86)</f>
        <v>346.84044947282433</v>
      </c>
      <c r="J113" s="100">
        <f>SUM(AZ$71:AZ$86)+SUM(BB$71:BB$86)+SUM(BD$71:BD$86)+SUM(BF$71:BF$86)</f>
        <v>338.40241645739496</v>
      </c>
      <c r="K113" s="100">
        <f>SUM(BH$71:BH$86)+SUM(BJ$71:BJ$86)+SUM(BL$71:BL$86)+SUM(BN$71:BN$86)</f>
        <v>308.30317928792635</v>
      </c>
      <c r="L113" s="100">
        <f>SUM(BP$71:BP$86)+SUM(BR$71:BR$86)+SUM(BT$71:BT$86)+SUM(BV$71:BV$86)</f>
        <v>424.60648537850301</v>
      </c>
      <c r="M113" s="100">
        <f>SUM(BX$71:BX$86)+SUM(BZ$71:BZ$86)+SUM(CB$71:CB$86)+SUM(CD$71:CD$86)</f>
        <v>264.88602508659568</v>
      </c>
      <c r="N113" s="100">
        <f>SUM(CF$71:CF$86)+SUM(CH$71:CH$86)+SUM(CJ$71:CJ$86)+SUM(CL$71:CL$86)</f>
        <v>363.95270979102327</v>
      </c>
      <c r="O113" s="100">
        <f>SUM(CN$71:CN$86)+SUM(CP$71:CP$86)+SUM(CR$71:CR$86)+SUM(CT$71:CT$86)</f>
        <v>331.32657330205791</v>
      </c>
    </row>
    <row r="114" spans="2:15">
      <c r="C114" s="99" t="s">
        <v>131</v>
      </c>
      <c r="D114" s="100">
        <f>SUM(D$87:D$94)+SUM(F$87:F$94)+SUM(H$87:H$94)+SUM(J$87:J$94)</f>
        <v>156.31791197122135</v>
      </c>
      <c r="E114" s="100">
        <f>SUM(L$87:L$94)+SUM(N$87:N$94)+SUM(P$87:P$94)+SUM(R$87:R$94)</f>
        <v>145.32777904122528</v>
      </c>
      <c r="F114" s="100">
        <f>SUM(T$87:T$94)+SUM(V$87:V$94)+SUM(X$87:X$94)+SUM(Z$87:Z$94)</f>
        <v>116.98697158547665</v>
      </c>
      <c r="G114" s="100">
        <f>SUM(AB$87:AB$94)+SUM(AD$87:AD$94)+SUM(AF$87:AF$94)+SUM(AH$87:AH$94)</f>
        <v>133.12136399319562</v>
      </c>
      <c r="H114" s="100">
        <f>SUM(AJ$87:AJ$94)+SUM(AL$87:AL$94)+SUM(AN$87:AN$94)+SUM(AP$87:AP$94)</f>
        <v>172.39273676381447</v>
      </c>
      <c r="I114" s="100">
        <f>SUM(AR$87:AR$94)+SUM(AT$87:AT$94)+SUM(AV$87:AV$94)+SUM(AX$87:AX$94)</f>
        <v>142.17197023818485</v>
      </c>
      <c r="J114" s="100">
        <f>SUM(AZ$87:AZ$94)+SUM(BB$87:BB$94)+SUM(BD$87:BD$94)+SUM(BF$87:BF$94)</f>
        <v>148.40006049613609</v>
      </c>
      <c r="K114" s="100">
        <f>SUM(BH$87:BH$94)+SUM(BJ$87:BJ$94)+SUM(BL$87:BL$94)+SUM(BN$87:BN$94)</f>
        <v>161.44982616181832</v>
      </c>
      <c r="L114" s="100">
        <f>SUM(BP$87:BP$94)+SUM(BR$87:BR$94)+SUM(BT$87:BT$94)+SUM(BV$87:BV$94)</f>
        <v>135.1688788862119</v>
      </c>
      <c r="M114" s="100">
        <f>SUM(BX$87:BX$94)+SUM(BZ$87:BZ$94)+SUM(CB$87:CB$94)+SUM(CD$87:CD$94)</f>
        <v>148.02551961399169</v>
      </c>
      <c r="N114" s="100">
        <f>SUM(CF$87:CF$94)+SUM(CH$87:CH$94)+SUM(CJ$87:CJ$94)+SUM(CL$87:CL$94)</f>
        <v>135.18941644291436</v>
      </c>
      <c r="O114" s="100">
        <f>SUM(CN$87:CN$94)+SUM(CP$87:CP$94)+SUM(CR$87:CR$94)+SUM(CT$87:CT$94)</f>
        <v>131.08065718826288</v>
      </c>
    </row>
    <row r="115" spans="2:15">
      <c r="C115" s="99" t="s">
        <v>132</v>
      </c>
      <c r="D115" s="100">
        <f>SUM(D$95:D$105)+SUM(F$95:F$105)+SUM(H$95:H$105)+SUM(J$95:J$105)</f>
        <v>333.4281064627711</v>
      </c>
      <c r="E115" s="100">
        <f>SUM(L$95:L$105)+SUM(N$95:N$105)+SUM(P$95:P$105)+SUM(R$95:R$105)</f>
        <v>311.26812862811255</v>
      </c>
      <c r="F115" s="100">
        <f>SUM(T$95:T$105)+SUM(V$95:V$105)+SUM(X$95:X$105)+SUM(Z$95:Z$105)</f>
        <v>239.64385520266012</v>
      </c>
      <c r="G115" s="100">
        <f>SUM(AB$95:AB$105)+SUM(AD$95:AD$105)+SUM(AF$95:AF$105)+SUM(AH$95:AH$105)</f>
        <v>267.45614562545734</v>
      </c>
      <c r="H115" s="100">
        <f>SUM(AJ$95:AJ$105)+SUM(AL$95:AL$105)+SUM(AN$95:AN$105)+SUM(AP$95:AP$105)</f>
        <v>347.7966471985518</v>
      </c>
      <c r="I115" s="100">
        <f>SUM(AR$95:AR$105)+SUM(AT$95:AT$105)+SUM(AV$95:AV$105)+SUM(AX$95:AX$105)</f>
        <v>306.25866885996004</v>
      </c>
      <c r="J115" s="100">
        <f>SUM(AZ$95:AZ$105)+SUM(BB$95:BB$105)+SUM(BD$95:BD$105)+SUM(BF$95:BF$105)</f>
        <v>292.64864184878724</v>
      </c>
      <c r="K115" s="100">
        <f>SUM(BH$95:BH$105)+SUM(BJ$95:BJ$105)+SUM(BL$95:BL$105)+SUM(BN$95:BN$105)</f>
        <v>261.24471603207104</v>
      </c>
      <c r="L115" s="100">
        <f>SUM(BP$95:BP$105)+SUM(BR$95:BR$105)+SUM(BT$95:BT$105)+SUM(BV$95:BV$105)</f>
        <v>207.72154154150456</v>
      </c>
      <c r="M115" s="100">
        <f>SUM(BX$95:BX$105)+SUM(BZ$95:BZ$105)+SUM(CB$95:CB$105)+SUM(CD$95:CD$105)</f>
        <v>272.91542514693356</v>
      </c>
      <c r="N115" s="100">
        <f>SUM(CF$95:CF$105)+SUM(CH$95:CH$105)+SUM(CJ$95:CJ$105)+SUM(CL$95:CL$105)</f>
        <v>272.8702287106243</v>
      </c>
      <c r="O115" s="100">
        <f>SUM(CN$95:CN$105)+SUM(CP$95:CP$105)+SUM(CR$95:CR$105)+SUM(CT$95:CT$105)</f>
        <v>227.01053549138834</v>
      </c>
    </row>
    <row r="116" spans="2:15">
      <c r="C116" s="99" t="s">
        <v>278</v>
      </c>
      <c r="D116" s="100">
        <f t="shared" ref="D116:O116" si="0">SUM(D$109:D$115)</f>
        <v>2752.0383196674429</v>
      </c>
      <c r="E116" s="100">
        <f t="shared" si="0"/>
        <v>2414.9304847300364</v>
      </c>
      <c r="F116" s="100">
        <f t="shared" si="0"/>
        <v>2582.5177492995836</v>
      </c>
      <c r="G116" s="100">
        <f t="shared" si="0"/>
        <v>2801.8069059975533</v>
      </c>
      <c r="H116" s="100">
        <f t="shared" si="0"/>
        <v>2649.2120591036028</v>
      </c>
      <c r="I116" s="100">
        <f t="shared" si="0"/>
        <v>2769.8212484816886</v>
      </c>
      <c r="J116" s="100">
        <f t="shared" si="0"/>
        <v>2662.0005977980959</v>
      </c>
      <c r="K116" s="100">
        <f t="shared" si="0"/>
        <v>2642.9588540051445</v>
      </c>
      <c r="L116" s="100">
        <f t="shared" si="0"/>
        <v>2421.6397363576989</v>
      </c>
      <c r="M116" s="100">
        <f t="shared" si="0"/>
        <v>1943.3589762762167</v>
      </c>
      <c r="N116" s="100">
        <f t="shared" si="0"/>
        <v>3176.1733420161609</v>
      </c>
      <c r="O116" s="100">
        <f t="shared" si="0"/>
        <v>2138.7639320412231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1728349.7148287203</v>
      </c>
      <c r="E120" s="100">
        <f>E109*pricing!E33*2000</f>
        <v>1576428.6103238801</v>
      </c>
      <c r="F120" s="100">
        <f>F109*pricing!F33*2000</f>
        <v>1275369.1920949237</v>
      </c>
      <c r="G120" s="100">
        <f>G109*pricing!G33*2000</f>
        <v>1825459.3002296514</v>
      </c>
      <c r="H120" s="100">
        <f>H109*pricing!H33*2000</f>
        <v>1567093.9265168128</v>
      </c>
      <c r="I120" s="100">
        <f>I109*pricing!I33*2000</f>
        <v>1718229.6412373052</v>
      </c>
      <c r="J120" s="100">
        <f>J109*pricing!J33*2000</f>
        <v>1550428.5974965766</v>
      </c>
      <c r="K120" s="100">
        <f>K109*pricing!K33*2000</f>
        <v>1927236.0295698431</v>
      </c>
      <c r="L120" s="100">
        <f>L109*pricing!L33*2000</f>
        <v>1879454.1224151507</v>
      </c>
      <c r="M120" s="100">
        <f>M109*pricing!M33*2000</f>
        <v>1142652.8438390198</v>
      </c>
      <c r="N120" s="100">
        <f>N109*pricing!N33*2000</f>
        <v>2686741.3835221869</v>
      </c>
      <c r="O120" s="100">
        <f>O109*pricing!O33*2000</f>
        <v>1211605.4179226526</v>
      </c>
    </row>
    <row r="121" spans="2:15">
      <c r="C121" s="99" t="s">
        <v>127</v>
      </c>
      <c r="D121" s="100">
        <f>D110*pricing!D34*2000</f>
        <v>2388126.149584902</v>
      </c>
      <c r="E121" s="100">
        <f>E110*pricing!E34*2000</f>
        <v>1553990.7907286535</v>
      </c>
      <c r="F121" s="100">
        <f>F110*pricing!F34*2000</f>
        <v>2147946.1134219505</v>
      </c>
      <c r="G121" s="100">
        <f>G110*pricing!G34*2000</f>
        <v>2233989.3411184205</v>
      </c>
      <c r="H121" s="100">
        <f>H110*pricing!H34*2000</f>
        <v>2158444.9919698969</v>
      </c>
      <c r="I121" s="100">
        <f>I110*pricing!I34*2000</f>
        <v>2387145.0537896035</v>
      </c>
      <c r="J121" s="100">
        <f>J110*pricing!J34*2000</f>
        <v>2112987.0788770728</v>
      </c>
      <c r="K121" s="100">
        <f>K110*pricing!K34*2000</f>
        <v>2295666.4963497524</v>
      </c>
      <c r="L121" s="100">
        <f>L110*pricing!L34*2000</f>
        <v>1762035.3034466109</v>
      </c>
      <c r="M121" s="100">
        <f>M110*pricing!M34*2000</f>
        <v>1399078.7204687633</v>
      </c>
      <c r="N121" s="100">
        <f>N110*pricing!N34*2000</f>
        <v>2768547.2164115468</v>
      </c>
      <c r="O121" s="100">
        <f>O110*pricing!O34*2000</f>
        <v>1572366.3767727502</v>
      </c>
    </row>
    <row r="122" spans="2:15">
      <c r="C122" s="99" t="s">
        <v>128</v>
      </c>
      <c r="D122" s="100">
        <f>D111*pricing!D35*2000</f>
        <v>2632046.0812596446</v>
      </c>
      <c r="E122" s="100">
        <f>E111*pricing!E35*2000</f>
        <v>2333819.6222742363</v>
      </c>
      <c r="F122" s="100">
        <f>F111*pricing!F35*2000</f>
        <v>2813150.9953989396</v>
      </c>
      <c r="G122" s="100">
        <f>G111*pricing!G35*2000</f>
        <v>2737342.3975866572</v>
      </c>
      <c r="H122" s="100">
        <f>H111*pricing!H35*2000</f>
        <v>2462252.2163771288</v>
      </c>
      <c r="I122" s="100">
        <f>I111*pricing!I35*2000</f>
        <v>2517809.346999405</v>
      </c>
      <c r="J122" s="100">
        <f>J111*pricing!J35*2000</f>
        <v>2415456.9927822156</v>
      </c>
      <c r="K122" s="100">
        <f>K111*pricing!K35*2000</f>
        <v>2796282.26940154</v>
      </c>
      <c r="L122" s="100">
        <f>L111*pricing!L35*2000</f>
        <v>1807624.4517364451</v>
      </c>
      <c r="M122" s="100">
        <f>M111*pricing!M35*2000</f>
        <v>1552856.1613132178</v>
      </c>
      <c r="N122" s="100">
        <f>N111*pricing!N35*2000</f>
        <v>3108504.7601103815</v>
      </c>
      <c r="O122" s="100">
        <f>O111*pricing!O35*2000</f>
        <v>1984311.2216662504</v>
      </c>
    </row>
    <row r="123" spans="2:15">
      <c r="C123" s="99" t="s">
        <v>129</v>
      </c>
      <c r="D123" s="100">
        <f>D112*pricing!D36*2000</f>
        <v>3122141.3761180229</v>
      </c>
      <c r="E123" s="100">
        <f>E112*pricing!E36*2000</f>
        <v>2285302.2563118907</v>
      </c>
      <c r="F123" s="100">
        <f>F112*pricing!F36*2000</f>
        <v>2830632.1530039897</v>
      </c>
      <c r="G123" s="100">
        <f>G112*pricing!G36*2000</f>
        <v>3048390.3739010477</v>
      </c>
      <c r="H123" s="100">
        <f>H112*pricing!H36*2000</f>
        <v>2784187.415907355</v>
      </c>
      <c r="I123" s="100">
        <f>I112*pricing!I36*2000</f>
        <v>3058438.7067899937</v>
      </c>
      <c r="J123" s="100">
        <f>J112*pricing!J36*2000</f>
        <v>3150640.421811203</v>
      </c>
      <c r="K123" s="100">
        <f>K112*pricing!K36*2000</f>
        <v>2344571.3410788886</v>
      </c>
      <c r="L123" s="100">
        <f>L112*pricing!L36*2000</f>
        <v>2730216.2264645812</v>
      </c>
      <c r="M123" s="100">
        <f>M112*pricing!M36*2000</f>
        <v>2084387.3406827869</v>
      </c>
      <c r="N123" s="100">
        <f>N112*pricing!N36*2000</f>
        <v>3270368.5598089038</v>
      </c>
      <c r="O123" s="100">
        <f>O112*pricing!O36*2000</f>
        <v>2330132.295828783</v>
      </c>
    </row>
    <row r="124" spans="2:15">
      <c r="C124" s="99" t="s">
        <v>130</v>
      </c>
      <c r="D124" s="100">
        <f>D113*pricing!D37*2000</f>
        <v>1290063.071088417</v>
      </c>
      <c r="E124" s="100">
        <f>E113*pricing!E37*2000</f>
        <v>1966862.1880113359</v>
      </c>
      <c r="F124" s="100">
        <f>F113*pricing!F37*2000</f>
        <v>1895595.9050409498</v>
      </c>
      <c r="G124" s="100">
        <f>G113*pricing!G37*2000</f>
        <v>2043674.9981093551</v>
      </c>
      <c r="H124" s="100">
        <f>H113*pricing!H37*2000</f>
        <v>1544578.6305554395</v>
      </c>
      <c r="I124" s="100">
        <f>I113*pricing!I37*2000</f>
        <v>1803570.3372586865</v>
      </c>
      <c r="J124" s="100">
        <f>J113*pricing!J37*2000</f>
        <v>1759692.5655784539</v>
      </c>
      <c r="K124" s="100">
        <f>K113*pricing!K37*2000</f>
        <v>1603176.5322972171</v>
      </c>
      <c r="L124" s="100">
        <f>L113*pricing!L37*2000</f>
        <v>2207953.7239682158</v>
      </c>
      <c r="M124" s="100">
        <f>M113*pricing!M37*2000</f>
        <v>1377407.3304502976</v>
      </c>
      <c r="N124" s="100">
        <f>N113*pricing!N37*2000</f>
        <v>1892554.0909133211</v>
      </c>
      <c r="O124" s="100">
        <f>O113*pricing!O37*2000</f>
        <v>1722898.1811707013</v>
      </c>
    </row>
    <row r="125" spans="2:15">
      <c r="C125" s="99" t="s">
        <v>131</v>
      </c>
      <c r="D125" s="100">
        <f>D114*pricing!D38*2000</f>
        <v>875380.30703883956</v>
      </c>
      <c r="E125" s="100">
        <f>E114*pricing!E38*2000</f>
        <v>813835.56263086153</v>
      </c>
      <c r="F125" s="100">
        <f>F114*pricing!F38*2000</f>
        <v>655127.04087866913</v>
      </c>
      <c r="G125" s="100">
        <f>G114*pricing!G38*2000</f>
        <v>745479.63836189534</v>
      </c>
      <c r="H125" s="100">
        <f>H114*pricing!H38*2000</f>
        <v>965399.325877361</v>
      </c>
      <c r="I125" s="100">
        <f>I114*pricing!I38*2000</f>
        <v>796163.03333383519</v>
      </c>
      <c r="J125" s="100">
        <f>J114*pricing!J38*2000</f>
        <v>831040.33877836203</v>
      </c>
      <c r="K125" s="100">
        <f>K114*pricing!K38*2000</f>
        <v>904119.0265061825</v>
      </c>
      <c r="L125" s="100">
        <f>L114*pricing!L38*2000</f>
        <v>756945.7217627865</v>
      </c>
      <c r="M125" s="100">
        <f>M114*pricing!M38*2000</f>
        <v>828942.9098383534</v>
      </c>
      <c r="N125" s="100">
        <f>N114*pricing!N38*2000</f>
        <v>757060.73208032036</v>
      </c>
      <c r="O125" s="100">
        <f>O114*pricing!O38*2000</f>
        <v>734051.68025427207</v>
      </c>
    </row>
    <row r="126" spans="2:15">
      <c r="C126" s="99" t="s">
        <v>132</v>
      </c>
      <c r="D126" s="100">
        <f>D115*pricing!D39*2000</f>
        <v>1733826.1536064097</v>
      </c>
      <c r="E126" s="100">
        <f>E115*pricing!E39*2000</f>
        <v>1618594.2688661853</v>
      </c>
      <c r="F126" s="100">
        <f>F115*pricing!F39*2000</f>
        <v>1246148.0470538326</v>
      </c>
      <c r="G126" s="100">
        <f>G115*pricing!G39*2000</f>
        <v>1390771.9572523781</v>
      </c>
      <c r="H126" s="100">
        <f>H115*pricing!H39*2000</f>
        <v>1808542.5654324694</v>
      </c>
      <c r="I126" s="100">
        <f>I115*pricing!I39*2000</f>
        <v>1592545.0780717921</v>
      </c>
      <c r="J126" s="100">
        <f>J115*pricing!J39*2000</f>
        <v>1521772.9376136938</v>
      </c>
      <c r="K126" s="100">
        <f>K115*pricing!K39*2000</f>
        <v>1358472.5233667695</v>
      </c>
      <c r="L126" s="100">
        <f>L115*pricing!L39*2000</f>
        <v>1080152.0160158239</v>
      </c>
      <c r="M126" s="100">
        <f>M115*pricing!M39*2000</f>
        <v>1419160.2107640544</v>
      </c>
      <c r="N126" s="100">
        <f>N115*pricing!N39*2000</f>
        <v>1418925.1892952463</v>
      </c>
      <c r="O126" s="100">
        <f>O115*pricing!O39*2000</f>
        <v>1180454.7845552196</v>
      </c>
    </row>
    <row r="127" spans="2:15">
      <c r="C127" s="99" t="s">
        <v>278</v>
      </c>
      <c r="D127" s="100">
        <f>SUM(D$120:D$126)</f>
        <v>13769932.853524955</v>
      </c>
      <c r="E127" s="100">
        <f t="shared" ref="E127:O127" si="1">SUM(E$120:E$126)</f>
        <v>12148833.299147043</v>
      </c>
      <c r="F127" s="100">
        <f t="shared" si="1"/>
        <v>12863969.446893254</v>
      </c>
      <c r="G127" s="100">
        <f t="shared" si="1"/>
        <v>14025108.006559405</v>
      </c>
      <c r="H127" s="100">
        <f t="shared" si="1"/>
        <v>13290499.072636463</v>
      </c>
      <c r="I127" s="100">
        <f t="shared" si="1"/>
        <v>13873901.197480623</v>
      </c>
      <c r="J127" s="100">
        <f t="shared" si="1"/>
        <v>13342018.932937577</v>
      </c>
      <c r="K127" s="100">
        <f t="shared" si="1"/>
        <v>13229524.218570193</v>
      </c>
      <c r="L127" s="100">
        <f t="shared" si="1"/>
        <v>12224381.565809613</v>
      </c>
      <c r="M127" s="100">
        <f t="shared" si="1"/>
        <v>9804485.5173564926</v>
      </c>
      <c r="N127" s="100">
        <f t="shared" si="1"/>
        <v>15902701.932141908</v>
      </c>
      <c r="O127" s="100">
        <f t="shared" si="1"/>
        <v>10735819.958170628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160252.50114789992</v>
      </c>
      <c r="E131" s="106">
        <f>SUM(M$6:M$19)+SUM(O$6:O$19)+SUM(Q$6:Q$19)+SUM(S$6:S$19)</f>
        <v>147137.85038936627</v>
      </c>
      <c r="F131" s="106">
        <f>SUM(U$6:U$19)+SUM(W$6:W$19)+SUM(Y$6:Y$19)+SUM(AA$6:AA$19)</f>
        <v>118849.35310872571</v>
      </c>
      <c r="G131" s="106">
        <f>SUM(AC$6:AC$19)+SUM(AE$6:AE$19)+SUM(AG$6:AG$19)+SUM(AI$6:AI$19)</f>
        <v>170765.57435334782</v>
      </c>
      <c r="H131" s="106">
        <f>SUM(AK$6:AK$19)+SUM(AM$6:AM$19)+SUM(AO$6:AO$19)+SUM(AQ$6:AQ$19)</f>
        <v>147379.17114930414</v>
      </c>
      <c r="I131" s="106">
        <f>SUM(AS$6:AS$19)+SUM(AU$6:AU$19)+SUM(AW$6:AW$19)+SUM(AY$6:AY$19)</f>
        <v>159947.85992037831</v>
      </c>
      <c r="J131" s="106">
        <f>SUM(BA$6:BA$19)+SUM(BC$6:BC$19)+SUM(BE$6:BE$19)+SUM(BG$6:BG$19)</f>
        <v>145353.11122563714</v>
      </c>
      <c r="K131" s="106">
        <f>SUM(BI$6:BI$19)+SUM(BK$6:BK$19)+SUM(BM$6:BM$19)+SUM(BO$6:BO$19)</f>
        <v>179118.78189749573</v>
      </c>
      <c r="L131" s="106">
        <f>SUM(BQ$6:BQ$19)+SUM(BS$6:BS$19)+SUM(BU$6:BU$19)+SUM(BW$6:BW$19)</f>
        <v>175160.04020439793</v>
      </c>
      <c r="M131" s="106">
        <f>SUM(BY$6:BY$19)+SUM(CA$6:CA$19)+SUM(CC$6:CC$19)+SUM(CE$6:CE$19)</f>
        <v>106129.75025121892</v>
      </c>
      <c r="N131" s="106">
        <f>SUM(CG$6:CG$19)+SUM(CI$6:CI$19)+SUM(CK$6:CK$19)+SUM(CM$6:CM$19)</f>
        <v>250485.17230466902</v>
      </c>
      <c r="O131" s="106">
        <f>SUM(CO$6:CO$19)+SUM(CQ$6:CQ$19)+SUM(CS$6:CS$19)+SUM(CU$6:CU$19)</f>
        <v>113288.95455122713</v>
      </c>
    </row>
    <row r="132" spans="2:15">
      <c r="C132" s="105" t="s">
        <v>127</v>
      </c>
      <c r="D132" s="106">
        <f>SUM(E$20:E$36)+SUM(G$20:G$36)+SUM(I$20:I$36)+SUM(K$20:K$36)</f>
        <v>211697.36405408708</v>
      </c>
      <c r="E132" s="106">
        <f>SUM(M$20:M$36)+SUM(O$20:O$36)+SUM(Q$20:Q$36)+SUM(S$20:S$36)</f>
        <v>136657.62370969864</v>
      </c>
      <c r="F132" s="106">
        <f>SUM(U$20:U$36)+SUM(W$20:W$36)+SUM(Y$20:Y$36)+SUM(AA$20:AA$36)</f>
        <v>188785.50957577705</v>
      </c>
      <c r="G132" s="106">
        <f>SUM(AC$20:AC$36)+SUM(AE$20:AE$36)+SUM(AG$20:AG$36)+SUM(AI$20:AI$36)</f>
        <v>197599.37602031027</v>
      </c>
      <c r="H132" s="106">
        <f>SUM(AK$20:AK$36)+SUM(AM$20:AM$36)+SUM(AO$20:AO$36)+SUM(AQ$20:AQ$36)</f>
        <v>193109.61666123531</v>
      </c>
      <c r="I132" s="106">
        <f>SUM(AS$20:AS$36)+SUM(AU$20:AU$36)+SUM(AW$20:AW$36)+SUM(AY$20:AY$36)</f>
        <v>212886.64599541598</v>
      </c>
      <c r="J132" s="106">
        <f>SUM(BA$20:BA$36)+SUM(BC$20:BC$36)+SUM(BE$20:BE$36)+SUM(BG$20:BG$36)</f>
        <v>187585.25278283699</v>
      </c>
      <c r="K132" s="106">
        <f>SUM(BI$20:BI$36)+SUM(BK$20:BK$36)+SUM(BM$20:BM$36)+SUM(BO$20:BO$36)</f>
        <v>203355.6192807586</v>
      </c>
      <c r="L132" s="106">
        <f>SUM(BQ$20:BQ$36)+SUM(BS$20:BS$36)+SUM(BU$20:BU$36)+SUM(BW$20:BW$36)</f>
        <v>156846.27220346953</v>
      </c>
      <c r="M132" s="106">
        <f>SUM(BY$20:BY$36)+SUM(CA$20:CA$36)+SUM(CC$20:CC$36)+SUM(CE$20:CE$36)</f>
        <v>124675.42368664579</v>
      </c>
      <c r="N132" s="106">
        <f>SUM(CG$20:CG$36)+SUM(CI$20:CI$36)+SUM(CK$20:CK$36)+SUM(CM$20:CM$36)</f>
        <v>246705.78111492831</v>
      </c>
      <c r="O132" s="106">
        <f>SUM(CO$20:CO$36)+SUM(CQ$20:CQ$36)+SUM(CS$20:CS$36)+SUM(CU$20:CU$36)</f>
        <v>139219.38617019099</v>
      </c>
    </row>
    <row r="133" spans="2:15">
      <c r="C133" s="105" t="s">
        <v>128</v>
      </c>
      <c r="D133" s="106">
        <f>SUM(E$37:E$48)+SUM(G$37:G$48)+SUM(I$37:I$48)+SUM(K$37:K$48)</f>
        <v>600786.73401034251</v>
      </c>
      <c r="E133" s="106">
        <f>SUM(M$37:M$48)+SUM(O$37:O$48)+SUM(Q$37:Q$48)+SUM(S$37:S$48)</f>
        <v>532005.70699211152</v>
      </c>
      <c r="F133" s="106">
        <f>SUM(U$37:U$48)+SUM(W$37:W$48)+SUM(Y$37:Y$48)+SUM(AA$37:AA$48)</f>
        <v>639453.54533893941</v>
      </c>
      <c r="G133" s="106">
        <f>SUM(AC$37:AC$48)+SUM(AE$37:AE$48)+SUM(AG$37:AG$48)+SUM(AI$37:AI$48)</f>
        <v>623765.7517484061</v>
      </c>
      <c r="H133" s="106">
        <f>SUM(AK$37:AK$48)+SUM(AM$37:AM$48)+SUM(AO$37:AO$48)+SUM(AQ$37:AQ$48)</f>
        <v>561558.9467774675</v>
      </c>
      <c r="I133" s="106">
        <f>SUM(AS$37:AS$48)+SUM(AU$37:AU$48)+SUM(AW$37:AW$48)+SUM(AY$37:AY$48)</f>
        <v>573564.74631870002</v>
      </c>
      <c r="J133" s="106">
        <f>SUM(BA$37:BA$48)+SUM(BC$37:BC$48)+SUM(BE$37:BE$48)+SUM(BG$37:BG$48)</f>
        <v>551301.04408651288</v>
      </c>
      <c r="K133" s="106">
        <f>SUM(BI$37:BI$48)+SUM(BK$37:BK$48)+SUM(BM$37:BM$48)+SUM(BO$37:BO$48)</f>
        <v>636624.49926299788</v>
      </c>
      <c r="L133" s="106">
        <f>SUM(BQ$37:BQ$48)+SUM(BS$37:BS$48)+SUM(BU$37:BU$48)+SUM(BW$37:BW$48)</f>
        <v>410678.22814102867</v>
      </c>
      <c r="M133" s="106">
        <f>SUM(BY$37:BY$48)+SUM(CA$37:CA$48)+SUM(CC$37:CC$48)+SUM(CE$37:CE$48)</f>
        <v>351642.41846118501</v>
      </c>
      <c r="N133" s="106">
        <f>SUM(CG$37:CG$48)+SUM(CI$37:CI$48)+SUM(CK$37:CK$48)+SUM(CM$37:CM$48)</f>
        <v>708911.72922216449</v>
      </c>
      <c r="O133" s="106">
        <f>SUM(CO$37:CO$48)+SUM(CQ$37:CQ$48)+SUM(CS$37:CS$48)+SUM(CU$37:CU$48)</f>
        <v>453338.74668691121</v>
      </c>
    </row>
    <row r="134" spans="2:15">
      <c r="C134" s="105" t="s">
        <v>129</v>
      </c>
      <c r="D134" s="106">
        <f>SUM(E$49:E$70)+SUM(G$49:G$70)+SUM(I$49:I$70)+SUM(K$49:K$70)</f>
        <v>518371.06625902629</v>
      </c>
      <c r="E134" s="106">
        <f>SUM(M$49:M$70)+SUM(O$49:O$70)+SUM(Q$49:Q$70)+SUM(S$49:S$70)</f>
        <v>386380.53304450144</v>
      </c>
      <c r="F134" s="106">
        <f>SUM(U$49:U$70)+SUM(W$49:W$70)+SUM(Y$49:Y$70)+SUM(AA$49:AA$70)</f>
        <v>465159.42666178464</v>
      </c>
      <c r="G134" s="106">
        <f>SUM(AC$49:AC$70)+SUM(AE$49:AE$70)+SUM(AG$49:AG$70)+SUM(AI$49:AI$70)</f>
        <v>506845.38697499892</v>
      </c>
      <c r="H134" s="106">
        <f>SUM(AK$49:AK$70)+SUM(AM$49:AM$70)+SUM(AO$49:AO$70)+SUM(AQ$49:AQ$70)</f>
        <v>471634.23205009499</v>
      </c>
      <c r="I134" s="106">
        <f>SUM(AS$49:AS$70)+SUM(AU$49:AU$70)+SUM(AW$49:AW$70)+SUM(AY$49:AY$70)</f>
        <v>506622.82776284218</v>
      </c>
      <c r="J134" s="106">
        <f>SUM(BA$49:BA$70)+SUM(BC$49:BC$70)+SUM(BE$49:BE$70)+SUM(BG$49:BG$70)</f>
        <v>528649.40524273855</v>
      </c>
      <c r="K134" s="106">
        <f>SUM(BI$49:BI$70)+SUM(BK$49:BK$70)+SUM(BM$49:BM$70)+SUM(BO$49:BO$70)</f>
        <v>394328.48854469991</v>
      </c>
      <c r="L134" s="106">
        <f>SUM(BQ$49:BQ$70)+SUM(BS$49:BS$70)+SUM(BU$49:BU$70)+SUM(BW$49:BW$70)</f>
        <v>463251.06429558562</v>
      </c>
      <c r="M134" s="106">
        <f>SUM(BY$49:BY$70)+SUM(CA$49:CA$70)+SUM(CC$49:CC$70)+SUM(CE$49:CE$70)</f>
        <v>354755.67483536631</v>
      </c>
      <c r="N134" s="106">
        <f>SUM(CG$49:CG$70)+SUM(CI$49:CI$70)+SUM(CK$49:CK$70)+SUM(CM$49:CM$70)</f>
        <v>538420.38161431125</v>
      </c>
      <c r="O134" s="106">
        <f>SUM(CO$49:CO$70)+SUM(CQ$49:CQ$70)+SUM(CS$49:CS$70)+SUM(CU$49:CU$70)</f>
        <v>390626.7628123929</v>
      </c>
    </row>
    <row r="135" spans="2:15">
      <c r="C135" s="105" t="s">
        <v>130</v>
      </c>
      <c r="D135" s="106">
        <f>SUM(E$71:E$86)+SUM(G$71:G$86)+SUM(I$71:I$86)+SUM(K$71:K$86)</f>
        <v>138199.60891061428</v>
      </c>
      <c r="E135" s="106">
        <f>SUM(M$71:M$86)+SUM(O$71:O$86)+SUM(Q$71:Q$86)+SUM(S$71:S$86)</f>
        <v>211136.01921392448</v>
      </c>
      <c r="F135" s="106">
        <f>SUM(U$71:U$86)+SUM(W$71:W$86)+SUM(Y$71:Y$86)+SUM(AA$71:AA$86)</f>
        <v>203804.39533873345</v>
      </c>
      <c r="G135" s="106">
        <f>SUM(AC$71:AC$86)+SUM(AE$71:AE$86)+SUM(AG$71:AG$86)+SUM(AI$71:AI$86)</f>
        <v>219395.96482333675</v>
      </c>
      <c r="H135" s="106">
        <f>SUM(AK$71:AK$86)+SUM(AM$71:AM$86)+SUM(AO$71:AO$86)+SUM(AQ$71:AQ$86)</f>
        <v>165440.06896497821</v>
      </c>
      <c r="I135" s="106">
        <f>SUM(AS$71:AS$86)+SUM(AU$71:AU$86)+SUM(AW$71:AW$86)+SUM(AY$71:AY$86)</f>
        <v>193252.41198740597</v>
      </c>
      <c r="J135" s="106">
        <f>SUM(BA$71:BA$86)+SUM(BC$71:BC$86)+SUM(BE$71:BE$86)+SUM(BG$71:BG$86)</f>
        <v>189567.82227064701</v>
      </c>
      <c r="K135" s="106">
        <f>SUM(BI$71:BI$86)+SUM(BK$71:BK$86)+SUM(BM$71:BM$86)+SUM(BO$71:BO$86)</f>
        <v>172186.75798361446</v>
      </c>
      <c r="L135" s="106">
        <f>SUM(BQ$71:BQ$86)+SUM(BS$71:BS$86)+SUM(BU$71:BU$86)+SUM(BW$71:BW$86)</f>
        <v>235808.76760496365</v>
      </c>
      <c r="M135" s="106">
        <f>SUM(BY$71:BY$86)+SUM(CA$71:CA$86)+SUM(CC$71:CC$86)+SUM(CE$71:CE$86)</f>
        <v>147856.91387520544</v>
      </c>
      <c r="N135" s="106">
        <f>SUM(CG$71:CG$86)+SUM(CI$71:CI$86)+SUM(CK$71:CK$86)+SUM(CM$71:CM$86)</f>
        <v>203151.5593172033</v>
      </c>
      <c r="O135" s="106">
        <f>SUM(CO$71:CO$86)+SUM(CQ$71:CQ$86)+SUM(CS$71:CS$86)+SUM(CU$71:CU$86)</f>
        <v>185541.9947308304</v>
      </c>
    </row>
    <row r="136" spans="2:15">
      <c r="C136" s="105" t="s">
        <v>131</v>
      </c>
      <c r="D136" s="106">
        <f>SUM(E$87:E$94)+SUM(G$87:G$94)+SUM(I$87:I$94)+SUM(K$87:K$94)</f>
        <v>156569.48617203668</v>
      </c>
      <c r="E136" s="106">
        <f>SUM(M$87:M$94)+SUM(O$87:O$94)+SUM(Q$87:Q$94)+SUM(S$87:S$94)</f>
        <v>145739.02201046911</v>
      </c>
      <c r="F136" s="106">
        <f>SUM(U$87:U$94)+SUM(W$87:W$94)+SUM(Y$87:Y$94)+SUM(AA$87:AA$94)</f>
        <v>117561.0775521029</v>
      </c>
      <c r="G136" s="106">
        <f>SUM(AC$87:AC$94)+SUM(AE$87:AE$94)+SUM(AG$87:AG$94)+SUM(AI$87:AI$94)</f>
        <v>133738.38314731242</v>
      </c>
      <c r="H136" s="106">
        <f>SUM(AK$87:AK$94)+SUM(AM$87:AM$94)+SUM(AO$87:AO$94)+SUM(AQ$87:AQ$94)</f>
        <v>172694.53083591856</v>
      </c>
      <c r="I136" s="106">
        <f>SUM(AS$87:AS$94)+SUM(AU$87:AU$94)+SUM(AW$87:AW$94)+SUM(AY$87:AY$94)</f>
        <v>142313.90533563591</v>
      </c>
      <c r="J136" s="106">
        <f>SUM(BA$87:BA$94)+SUM(BC$87:BC$94)+SUM(BE$87:BE$94)+SUM(BG$87:BG$94)</f>
        <v>148867.82757012552</v>
      </c>
      <c r="K136" s="106">
        <f>SUM(BI$87:BI$94)+SUM(BK$87:BK$94)+SUM(BM$87:BM$94)+SUM(BO$87:BO$94)</f>
        <v>161595.33874972549</v>
      </c>
      <c r="L136" s="106">
        <f>SUM(BQ$87:BQ$94)+SUM(BS$87:BS$94)+SUM(BU$87:BU$94)+SUM(BW$87:BW$94)</f>
        <v>135290.56535103259</v>
      </c>
      <c r="M136" s="106">
        <f>SUM(BY$87:BY$94)+SUM(CA$87:CA$94)+SUM(CC$87:CC$94)+SUM(CE$87:CE$94)</f>
        <v>148171.19781281275</v>
      </c>
      <c r="N136" s="106">
        <f>SUM(CG$87:CG$94)+SUM(CI$87:CI$94)+SUM(CK$87:CK$94)+SUM(CM$87:CM$94)</f>
        <v>135741.20425005862</v>
      </c>
      <c r="O136" s="106">
        <f>SUM(CO$87:CO$94)+SUM(CQ$87:CQ$94)+SUM(CS$87:CS$94)+SUM(CU$87:CU$94)</f>
        <v>131134.057939786</v>
      </c>
    </row>
    <row r="137" spans="2:15">
      <c r="C137" s="105" t="s">
        <v>132</v>
      </c>
      <c r="D137" s="106">
        <f>SUM(E$95:E$105)+SUM(G$95:G$105)+SUM(I$95:I$105)+SUM(K$95:K$105)</f>
        <v>257467.68463131256</v>
      </c>
      <c r="E137" s="106">
        <f>SUM(M$95:M$105)+SUM(O$95:O$105)+SUM(Q$95:Q$105)+SUM(S$95:S$105)</f>
        <v>240888.84874902252</v>
      </c>
      <c r="F137" s="106">
        <f>SUM(U$95:U$105)+SUM(W$95:W$105)+SUM(Y$95:Y$105)+SUM(AA$95:AA$105)</f>
        <v>185221.81692770275</v>
      </c>
      <c r="G137" s="106">
        <f>SUM(AC$95:AC$105)+SUM(AE$95:AE$105)+SUM(AG$95:AG$105)+SUM(AI$95:AI$105)</f>
        <v>209883.06496689474</v>
      </c>
      <c r="H137" s="106">
        <f>SUM(AK$95:AK$105)+SUM(AM$95:AM$105)+SUM(AO$95:AO$105)+SUM(AQ$95:AQ$105)</f>
        <v>270847.92923640617</v>
      </c>
      <c r="I137" s="106">
        <f>SUM(AS$95:AS$105)+SUM(AU$95:AU$105)+SUM(AW$95:AW$105)+SUM(AY$95:AY$105)</f>
        <v>239146.61097865284</v>
      </c>
      <c r="J137" s="106">
        <f>SUM(BA$95:BA$105)+SUM(BC$95:BC$105)+SUM(BE$95:BE$105)+SUM(BG$95:BG$105)</f>
        <v>228994.03859525864</v>
      </c>
      <c r="K137" s="106">
        <f>SUM(BI$95:BI$105)+SUM(BK$95:BK$105)+SUM(BM$95:BM$105)+SUM(BO$95:BO$105)</f>
        <v>206608.51740715388</v>
      </c>
      <c r="L137" s="106">
        <f>SUM(BQ$95:BQ$105)+SUM(BS$95:BS$105)+SUM(BU$95:BU$105)+SUM(BW$95:BW$105)</f>
        <v>162267.58194350835</v>
      </c>
      <c r="M137" s="106">
        <f>SUM(BY$95:BY$105)+SUM(CA$95:CA$105)+SUM(CC$95:CC$105)+SUM(CE$95:CE$105)</f>
        <v>209178.91798137024</v>
      </c>
      <c r="N137" s="106">
        <f>SUM(CG$95:CG$105)+SUM(CI$95:CI$105)+SUM(CK$95:CK$105)+SUM(CM$95:CM$105)</f>
        <v>210527.56926985818</v>
      </c>
      <c r="O137" s="106">
        <f>SUM(CO$95:CO$105)+SUM(CQ$95:CQ$105)+SUM(CS$95:CS$105)+SUM(CU$95:CU$105)</f>
        <v>174574.04782078892</v>
      </c>
    </row>
    <row r="138" spans="2:15">
      <c r="C138" s="105" t="s">
        <v>278</v>
      </c>
      <c r="D138" s="100">
        <f t="shared" ref="D138:O138" si="2">SUM(D$131:D$137)</f>
        <v>2043344.4451853193</v>
      </c>
      <c r="E138" s="100">
        <f t="shared" si="2"/>
        <v>1799945.604109094</v>
      </c>
      <c r="F138" s="100">
        <f t="shared" si="2"/>
        <v>1918835.1245037662</v>
      </c>
      <c r="G138" s="100">
        <f t="shared" si="2"/>
        <v>2061993.5020346069</v>
      </c>
      <c r="H138" s="100">
        <f t="shared" si="2"/>
        <v>1982664.495675405</v>
      </c>
      <c r="I138" s="100">
        <f t="shared" si="2"/>
        <v>2027735.0082990313</v>
      </c>
      <c r="J138" s="100">
        <f t="shared" si="2"/>
        <v>1980318.5017737567</v>
      </c>
      <c r="K138" s="100">
        <f t="shared" si="2"/>
        <v>1953818.0031264459</v>
      </c>
      <c r="L138" s="100">
        <f t="shared" si="2"/>
        <v>1739302.5197439864</v>
      </c>
      <c r="M138" s="100">
        <f t="shared" si="2"/>
        <v>1442410.2969038049</v>
      </c>
      <c r="N138" s="100">
        <f t="shared" si="2"/>
        <v>2293943.3970931931</v>
      </c>
      <c r="O138" s="100">
        <f t="shared" si="2"/>
        <v>1587723.9507121276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2015-01-12T20:53:34Z</dcterms:modified>
</cp:coreProperties>
</file>