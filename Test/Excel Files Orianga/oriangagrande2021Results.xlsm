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25317" codeName="{7A2D7E96-6E34-419A-AE5F-296B3A7E7977}"/>
  <workbookPr codeName="ThisWorkbook" autoCompressPictures="0"/>
  <bookViews>
    <workbookView xWindow="0" yWindow="0" windowWidth="28260" windowHeight="17560" firstSheet="1" activeTab="5"/>
  </bookViews>
  <sheets>
    <sheet name="basic_info" sheetId="4" r:id="rId1"/>
    <sheet name="facilities" sheetId="5" r:id="rId2"/>
    <sheet name="raw_materials" sheetId="6" r:id="rId3"/>
    <sheet name="shipping_manufacturing" sheetId="7" r:id="rId4"/>
    <sheet name="pricing" sheetId="8" r:id="rId5"/>
    <sheet name="annual_report" sheetId="20" r:id="rId6"/>
    <sheet name="grove" sheetId="19" r:id="rId7"/>
    <sheet name="P05" sheetId="18" r:id="rId8"/>
    <sheet name="P07" sheetId="17" r:id="rId9"/>
    <sheet name="S15" sheetId="16" r:id="rId10"/>
    <sheet name="S48" sheetId="15" r:id="rId11"/>
    <sheet name="S61" sheetId="14" r:id="rId12"/>
    <sheet name="ORA" sheetId="13" r:id="rId13"/>
    <sheet name="POJ" sheetId="12" r:id="rId14"/>
    <sheet name="ROJ" sheetId="11" r:id="rId15"/>
    <sheet name="FCOJ" sheetId="10" r:id="rId16"/>
    <sheet name="market" sheetId="9" r:id="rId17"/>
  </sheets>
  <definedNames>
    <definedName name="AddColumn1">shipping_manufacturing!$I$4:$I$12</definedName>
    <definedName name="AddColumn2">shipping_manufacturing!$G$16:$G$20</definedName>
    <definedName name="AddColumn3">shipping_manufacturing!$H$24:$H$31</definedName>
    <definedName name="AddRow3">shipping_manufacturing!$B$31</definedName>
    <definedName name="AddRow4">shipping_manufacturing!$B$40</definedName>
    <definedName name="Table1">shipping_manufacturing!$B$4</definedName>
    <definedName name="Table2">shipping_manufacturing!$B$16</definedName>
    <definedName name="Table3">shipping_manufacturing!$B$24</definedName>
    <definedName name="Table4">shipping_manufacturing!$B$35</definedName>
  </definedNames>
  <calcPr calcId="15251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S37" i="20" l="1"/>
  <c r="S16" i="20"/>
  <c r="S15" i="20"/>
  <c r="S14" i="20"/>
  <c r="H40" i="20"/>
  <c r="H39" i="20"/>
  <c r="S39" i="20"/>
  <c r="H38" i="20"/>
  <c r="H35" i="20"/>
  <c r="S42" i="20"/>
  <c r="H34" i="20"/>
  <c r="H33" i="20"/>
  <c r="H30" i="20"/>
  <c r="H29" i="20"/>
  <c r="H28" i="20"/>
  <c r="H27" i="20"/>
  <c r="H24" i="20"/>
  <c r="H23" i="20"/>
  <c r="H15" i="20"/>
  <c r="H14" i="20"/>
  <c r="H13" i="20"/>
  <c r="AZ170" i="14"/>
  <c r="AZ121" i="14"/>
  <c r="AZ108" i="14"/>
  <c r="AZ99" i="14"/>
  <c r="AZ92" i="14"/>
  <c r="AZ170" i="15"/>
  <c r="AZ121" i="15"/>
  <c r="AZ108" i="15"/>
  <c r="AZ99" i="15"/>
  <c r="AZ92" i="15"/>
  <c r="AZ170" i="16"/>
  <c r="AZ121" i="16"/>
  <c r="AZ108" i="16"/>
  <c r="AZ99" i="16"/>
  <c r="AZ92" i="16"/>
  <c r="AZ42" i="17"/>
  <c r="AZ43" i="17"/>
  <c r="AZ53" i="17"/>
  <c r="AZ54" i="17"/>
  <c r="AZ64" i="17"/>
  <c r="AZ65" i="17"/>
  <c r="AZ42" i="18"/>
  <c r="AZ43" i="18"/>
  <c r="AZ53" i="18"/>
  <c r="AZ54" i="18"/>
  <c r="AZ64" i="18"/>
  <c r="AZ65" i="18"/>
  <c r="T25" i="20"/>
  <c r="T19" i="20"/>
  <c r="D109" i="10"/>
  <c r="E109" i="10"/>
  <c r="F109" i="10"/>
  <c r="G109" i="10"/>
  <c r="H109" i="10"/>
  <c r="I109" i="10"/>
  <c r="J109" i="10"/>
  <c r="K109" i="10"/>
  <c r="L109" i="10"/>
  <c r="M109" i="10"/>
  <c r="N109" i="10"/>
  <c r="O109" i="10"/>
  <c r="D110" i="10"/>
  <c r="E110" i="10"/>
  <c r="F110" i="10"/>
  <c r="G110" i="10"/>
  <c r="H110" i="10"/>
  <c r="I110" i="10"/>
  <c r="J110" i="10"/>
  <c r="K110" i="10"/>
  <c r="L110" i="10"/>
  <c r="M110" i="10"/>
  <c r="N110" i="10"/>
  <c r="O110" i="10"/>
  <c r="D111" i="10"/>
  <c r="E111" i="10"/>
  <c r="F111" i="10"/>
  <c r="G111" i="10"/>
  <c r="H111" i="10"/>
  <c r="I111" i="10"/>
  <c r="J111" i="10"/>
  <c r="K111" i="10"/>
  <c r="L111" i="10"/>
  <c r="M111" i="10"/>
  <c r="N111" i="10"/>
  <c r="O111" i="10"/>
  <c r="D112" i="10"/>
  <c r="E112" i="10"/>
  <c r="F112" i="10"/>
  <c r="G112" i="10"/>
  <c r="H112" i="10"/>
  <c r="I112" i="10"/>
  <c r="J112" i="10"/>
  <c r="K112" i="10"/>
  <c r="L112" i="10"/>
  <c r="M112" i="10"/>
  <c r="N112" i="10"/>
  <c r="O112" i="10"/>
  <c r="D113" i="10"/>
  <c r="E113" i="10"/>
  <c r="F113" i="10"/>
  <c r="G113" i="10"/>
  <c r="H113" i="10"/>
  <c r="I113" i="10"/>
  <c r="J113" i="10"/>
  <c r="K113" i="10"/>
  <c r="L113" i="10"/>
  <c r="M113" i="10"/>
  <c r="N113" i="10"/>
  <c r="O113" i="10"/>
  <c r="D114" i="10"/>
  <c r="E114" i="10"/>
  <c r="F114" i="10"/>
  <c r="G114" i="10"/>
  <c r="H114" i="10"/>
  <c r="I114" i="10"/>
  <c r="J114" i="10"/>
  <c r="K114" i="10"/>
  <c r="L114" i="10"/>
  <c r="M114" i="10"/>
  <c r="N114" i="10"/>
  <c r="O114" i="10"/>
  <c r="D115" i="10"/>
  <c r="E115" i="10"/>
  <c r="F115" i="10"/>
  <c r="G115" i="10"/>
  <c r="H115" i="10"/>
  <c r="I115" i="10"/>
  <c r="J115" i="10"/>
  <c r="K115" i="10"/>
  <c r="L115" i="10"/>
  <c r="M115" i="10"/>
  <c r="N115" i="10"/>
  <c r="O115" i="10"/>
  <c r="D116" i="10"/>
  <c r="E116" i="10"/>
  <c r="F116" i="10"/>
  <c r="G116" i="10"/>
  <c r="H116" i="10"/>
  <c r="I116" i="10"/>
  <c r="J116" i="10"/>
  <c r="K116" i="10"/>
  <c r="L116" i="10"/>
  <c r="M116" i="10"/>
  <c r="N116" i="10"/>
  <c r="O116" i="10"/>
  <c r="D120" i="10"/>
  <c r="E120" i="10"/>
  <c r="F120" i="10"/>
  <c r="G120" i="10"/>
  <c r="H120" i="10"/>
  <c r="I120" i="10"/>
  <c r="J120" i="10"/>
  <c r="K120" i="10"/>
  <c r="L120" i="10"/>
  <c r="M120" i="10"/>
  <c r="N120" i="10"/>
  <c r="O120" i="10"/>
  <c r="D121" i="10"/>
  <c r="E121" i="10"/>
  <c r="F121" i="10"/>
  <c r="G121" i="10"/>
  <c r="H121" i="10"/>
  <c r="I121" i="10"/>
  <c r="J121" i="10"/>
  <c r="K121" i="10"/>
  <c r="L121" i="10"/>
  <c r="M121" i="10"/>
  <c r="N121" i="10"/>
  <c r="O121" i="10"/>
  <c r="D122" i="10"/>
  <c r="E122" i="10"/>
  <c r="F122" i="10"/>
  <c r="G122" i="10"/>
  <c r="H122" i="10"/>
  <c r="I122" i="10"/>
  <c r="J122" i="10"/>
  <c r="K122" i="10"/>
  <c r="L122" i="10"/>
  <c r="M122" i="10"/>
  <c r="N122" i="10"/>
  <c r="O122" i="10"/>
  <c r="D123" i="10"/>
  <c r="E123" i="10"/>
  <c r="F123" i="10"/>
  <c r="G123" i="10"/>
  <c r="H123" i="10"/>
  <c r="I123" i="10"/>
  <c r="J123" i="10"/>
  <c r="K123" i="10"/>
  <c r="L123" i="10"/>
  <c r="M123" i="10"/>
  <c r="N123" i="10"/>
  <c r="O123" i="10"/>
  <c r="D124" i="10"/>
  <c r="E124" i="10"/>
  <c r="F124" i="10"/>
  <c r="G124" i="10"/>
  <c r="H124" i="10"/>
  <c r="I124" i="10"/>
  <c r="J124" i="10"/>
  <c r="K124" i="10"/>
  <c r="L124" i="10"/>
  <c r="M124" i="10"/>
  <c r="N124" i="10"/>
  <c r="O124" i="10"/>
  <c r="D125" i="10"/>
  <c r="E125" i="10"/>
  <c r="F125" i="10"/>
  <c r="G125" i="10"/>
  <c r="H125" i="10"/>
  <c r="I125" i="10"/>
  <c r="J125" i="10"/>
  <c r="K125" i="10"/>
  <c r="L125" i="10"/>
  <c r="M125" i="10"/>
  <c r="N125" i="10"/>
  <c r="O125" i="10"/>
  <c r="D126" i="10"/>
  <c r="E126" i="10"/>
  <c r="F126" i="10"/>
  <c r="G126" i="10"/>
  <c r="H126" i="10"/>
  <c r="I126" i="10"/>
  <c r="J126" i="10"/>
  <c r="K126" i="10"/>
  <c r="L126" i="10"/>
  <c r="M126" i="10"/>
  <c r="N126" i="10"/>
  <c r="O126" i="10"/>
  <c r="D127" i="10"/>
  <c r="E127" i="10"/>
  <c r="F127" i="10"/>
  <c r="G127" i="10"/>
  <c r="H127" i="10"/>
  <c r="I127" i="10"/>
  <c r="J127" i="10"/>
  <c r="K127" i="10"/>
  <c r="L127" i="10"/>
  <c r="M127" i="10"/>
  <c r="N127" i="10"/>
  <c r="O127" i="10"/>
  <c r="D131" i="10"/>
  <c r="E131" i="10"/>
  <c r="F131" i="10"/>
  <c r="G131" i="10"/>
  <c r="H131" i="10"/>
  <c r="I131" i="10"/>
  <c r="J131" i="10"/>
  <c r="K131" i="10"/>
  <c r="L131" i="10"/>
  <c r="M131" i="10"/>
  <c r="N131" i="10"/>
  <c r="O131" i="10"/>
  <c r="D132" i="10"/>
  <c r="E132" i="10"/>
  <c r="F132" i="10"/>
  <c r="G132" i="10"/>
  <c r="H132" i="10"/>
  <c r="I132" i="10"/>
  <c r="J132" i="10"/>
  <c r="K132" i="10"/>
  <c r="L132" i="10"/>
  <c r="M132" i="10"/>
  <c r="N132" i="10"/>
  <c r="O132" i="10"/>
  <c r="D133" i="10"/>
  <c r="E133" i="10"/>
  <c r="F133" i="10"/>
  <c r="G133" i="10"/>
  <c r="H133" i="10"/>
  <c r="I133" i="10"/>
  <c r="J133" i="10"/>
  <c r="K133" i="10"/>
  <c r="L133" i="10"/>
  <c r="M133" i="10"/>
  <c r="N133" i="10"/>
  <c r="O133" i="10"/>
  <c r="D134" i="10"/>
  <c r="E134" i="10"/>
  <c r="F134" i="10"/>
  <c r="G134" i="10"/>
  <c r="H134" i="10"/>
  <c r="I134" i="10"/>
  <c r="J134" i="10"/>
  <c r="K134" i="10"/>
  <c r="L134" i="10"/>
  <c r="M134" i="10"/>
  <c r="N134" i="10"/>
  <c r="O134" i="10"/>
  <c r="D135" i="10"/>
  <c r="E135" i="10"/>
  <c r="F135" i="10"/>
  <c r="G135" i="10"/>
  <c r="H135" i="10"/>
  <c r="I135" i="10"/>
  <c r="J135" i="10"/>
  <c r="K135" i="10"/>
  <c r="L135" i="10"/>
  <c r="M135" i="10"/>
  <c r="N135" i="10"/>
  <c r="O135" i="10"/>
  <c r="D136" i="10"/>
  <c r="E136" i="10"/>
  <c r="F136" i="10"/>
  <c r="G136" i="10"/>
  <c r="H136" i="10"/>
  <c r="I136" i="10"/>
  <c r="J136" i="10"/>
  <c r="K136" i="10"/>
  <c r="L136" i="10"/>
  <c r="M136" i="10"/>
  <c r="N136" i="10"/>
  <c r="O136" i="10"/>
  <c r="D137" i="10"/>
  <c r="E137" i="10"/>
  <c r="F137" i="10"/>
  <c r="G137" i="10"/>
  <c r="H137" i="10"/>
  <c r="I137" i="10"/>
  <c r="J137" i="10"/>
  <c r="K137" i="10"/>
  <c r="L137" i="10"/>
  <c r="M137" i="10"/>
  <c r="N137" i="10"/>
  <c r="O137" i="10"/>
  <c r="D138" i="10"/>
  <c r="E138" i="10"/>
  <c r="F138" i="10"/>
  <c r="G138" i="10"/>
  <c r="H138" i="10"/>
  <c r="I138" i="10"/>
  <c r="J138" i="10"/>
  <c r="K138" i="10"/>
  <c r="L138" i="10"/>
  <c r="M138" i="10"/>
  <c r="N138" i="10"/>
  <c r="O138" i="10"/>
  <c r="D109" i="11"/>
  <c r="E109" i="11"/>
  <c r="F109" i="11"/>
  <c r="G109" i="11"/>
  <c r="H109" i="11"/>
  <c r="I109" i="11"/>
  <c r="J109" i="11"/>
  <c r="K109" i="11"/>
  <c r="L109" i="11"/>
  <c r="M109" i="11"/>
  <c r="N109" i="11"/>
  <c r="O109" i="11"/>
  <c r="D110" i="11"/>
  <c r="E110" i="11"/>
  <c r="F110" i="11"/>
  <c r="G110" i="11"/>
  <c r="H110" i="11"/>
  <c r="I110" i="11"/>
  <c r="J110" i="11"/>
  <c r="K110" i="11"/>
  <c r="L110" i="11"/>
  <c r="M110" i="11"/>
  <c r="N110" i="11"/>
  <c r="O110" i="11"/>
  <c r="D111" i="11"/>
  <c r="E111" i="11"/>
  <c r="F111" i="11"/>
  <c r="G111" i="11"/>
  <c r="H111" i="11"/>
  <c r="I111" i="11"/>
  <c r="J111" i="11"/>
  <c r="K111" i="11"/>
  <c r="L111" i="11"/>
  <c r="M111" i="11"/>
  <c r="N111" i="11"/>
  <c r="O111" i="11"/>
  <c r="D112" i="11"/>
  <c r="E112" i="11"/>
  <c r="F112" i="11"/>
  <c r="G112" i="11"/>
  <c r="H112" i="11"/>
  <c r="I112" i="11"/>
  <c r="J112" i="11"/>
  <c r="K112" i="11"/>
  <c r="L112" i="11"/>
  <c r="M112" i="11"/>
  <c r="N112" i="11"/>
  <c r="O112" i="11"/>
  <c r="D113" i="11"/>
  <c r="E113" i="11"/>
  <c r="F113" i="11"/>
  <c r="G113" i="11"/>
  <c r="H113" i="11"/>
  <c r="I113" i="11"/>
  <c r="J113" i="11"/>
  <c r="K113" i="11"/>
  <c r="L113" i="11"/>
  <c r="M113" i="11"/>
  <c r="N113" i="11"/>
  <c r="O113" i="11"/>
  <c r="D114" i="11"/>
  <c r="E114" i="11"/>
  <c r="F114" i="11"/>
  <c r="G114" i="11"/>
  <c r="H114" i="11"/>
  <c r="I114" i="11"/>
  <c r="J114" i="11"/>
  <c r="K114" i="11"/>
  <c r="L114" i="11"/>
  <c r="M114" i="11"/>
  <c r="N114" i="11"/>
  <c r="O114" i="11"/>
  <c r="D115" i="11"/>
  <c r="E115" i="11"/>
  <c r="F115" i="11"/>
  <c r="G115" i="11"/>
  <c r="H115" i="11"/>
  <c r="I115" i="11"/>
  <c r="J115" i="11"/>
  <c r="K115" i="11"/>
  <c r="L115" i="11"/>
  <c r="M115" i="11"/>
  <c r="N115" i="11"/>
  <c r="O115" i="11"/>
  <c r="D116" i="11"/>
  <c r="E116" i="11"/>
  <c r="F116" i="11"/>
  <c r="G116" i="11"/>
  <c r="H116" i="11"/>
  <c r="I116" i="11"/>
  <c r="J116" i="11"/>
  <c r="K116" i="11"/>
  <c r="L116" i="11"/>
  <c r="M116" i="11"/>
  <c r="N116" i="11"/>
  <c r="O116" i="11"/>
  <c r="D120" i="11"/>
  <c r="E120" i="11"/>
  <c r="F120" i="11"/>
  <c r="G120" i="11"/>
  <c r="H120" i="11"/>
  <c r="I120" i="11"/>
  <c r="J120" i="11"/>
  <c r="K120" i="11"/>
  <c r="L120" i="11"/>
  <c r="M120" i="11"/>
  <c r="N120" i="11"/>
  <c r="O120" i="11"/>
  <c r="D121" i="11"/>
  <c r="E121" i="11"/>
  <c r="F121" i="11"/>
  <c r="G121" i="11"/>
  <c r="H121" i="11"/>
  <c r="I121" i="11"/>
  <c r="J121" i="11"/>
  <c r="K121" i="11"/>
  <c r="L121" i="11"/>
  <c r="M121" i="11"/>
  <c r="N121" i="11"/>
  <c r="O121" i="11"/>
  <c r="D122" i="11"/>
  <c r="E122" i="11"/>
  <c r="F122" i="11"/>
  <c r="G122" i="11"/>
  <c r="H122" i="11"/>
  <c r="I122" i="11"/>
  <c r="J122" i="11"/>
  <c r="K122" i="11"/>
  <c r="L122" i="11"/>
  <c r="M122" i="11"/>
  <c r="N122" i="11"/>
  <c r="O122" i="11"/>
  <c r="D123" i="11"/>
  <c r="E123" i="11"/>
  <c r="F123" i="11"/>
  <c r="G123" i="11"/>
  <c r="H123" i="11"/>
  <c r="I123" i="11"/>
  <c r="J123" i="11"/>
  <c r="K123" i="11"/>
  <c r="L123" i="11"/>
  <c r="M123" i="11"/>
  <c r="N123" i="11"/>
  <c r="O123" i="11"/>
  <c r="D124" i="11"/>
  <c r="E124" i="11"/>
  <c r="F124" i="11"/>
  <c r="G124" i="11"/>
  <c r="H124" i="11"/>
  <c r="I124" i="11"/>
  <c r="J124" i="11"/>
  <c r="K124" i="11"/>
  <c r="L124" i="11"/>
  <c r="M124" i="11"/>
  <c r="N124" i="11"/>
  <c r="O124" i="11"/>
  <c r="D125" i="11"/>
  <c r="E125" i="11"/>
  <c r="F125" i="11"/>
  <c r="G125" i="11"/>
  <c r="H125" i="11"/>
  <c r="I125" i="11"/>
  <c r="J125" i="11"/>
  <c r="K125" i="11"/>
  <c r="L125" i="11"/>
  <c r="M125" i="11"/>
  <c r="N125" i="11"/>
  <c r="O125" i="11"/>
  <c r="D126" i="11"/>
  <c r="E126" i="11"/>
  <c r="F126" i="11"/>
  <c r="G126" i="11"/>
  <c r="H126" i="11"/>
  <c r="I126" i="11"/>
  <c r="J126" i="11"/>
  <c r="K126" i="11"/>
  <c r="L126" i="11"/>
  <c r="M126" i="11"/>
  <c r="N126" i="11"/>
  <c r="O126" i="11"/>
  <c r="D127" i="11"/>
  <c r="E127" i="11"/>
  <c r="F127" i="11"/>
  <c r="G127" i="11"/>
  <c r="H127" i="11"/>
  <c r="I127" i="11"/>
  <c r="J127" i="11"/>
  <c r="K127" i="11"/>
  <c r="L127" i="11"/>
  <c r="M127" i="11"/>
  <c r="N127" i="11"/>
  <c r="O127" i="11"/>
  <c r="D131" i="11"/>
  <c r="E131" i="11"/>
  <c r="F131" i="11"/>
  <c r="G131" i="11"/>
  <c r="H131" i="11"/>
  <c r="I131" i="11"/>
  <c r="J131" i="11"/>
  <c r="K131" i="11"/>
  <c r="L131" i="11"/>
  <c r="M131" i="11"/>
  <c r="N131" i="11"/>
  <c r="O131" i="11"/>
  <c r="D132" i="11"/>
  <c r="E132" i="11"/>
  <c r="F132" i="11"/>
  <c r="G132" i="11"/>
  <c r="H132" i="11"/>
  <c r="I132" i="11"/>
  <c r="J132" i="11"/>
  <c r="K132" i="11"/>
  <c r="L132" i="11"/>
  <c r="M132" i="11"/>
  <c r="N132" i="11"/>
  <c r="O132" i="11"/>
  <c r="D133" i="11"/>
  <c r="E133" i="11"/>
  <c r="F133" i="11"/>
  <c r="G133" i="11"/>
  <c r="H133" i="11"/>
  <c r="I133" i="11"/>
  <c r="J133" i="11"/>
  <c r="K133" i="11"/>
  <c r="L133" i="11"/>
  <c r="M133" i="11"/>
  <c r="N133" i="11"/>
  <c r="O133" i="11"/>
  <c r="D134" i="11"/>
  <c r="E134" i="11"/>
  <c r="F134" i="11"/>
  <c r="G134" i="11"/>
  <c r="H134" i="11"/>
  <c r="I134" i="11"/>
  <c r="J134" i="11"/>
  <c r="K134" i="11"/>
  <c r="L134" i="11"/>
  <c r="M134" i="11"/>
  <c r="N134" i="11"/>
  <c r="O134" i="11"/>
  <c r="D135" i="11"/>
  <c r="E135" i="11"/>
  <c r="F135" i="11"/>
  <c r="G135" i="11"/>
  <c r="H135" i="11"/>
  <c r="I135" i="11"/>
  <c r="J135" i="11"/>
  <c r="K135" i="11"/>
  <c r="L135" i="11"/>
  <c r="M135" i="11"/>
  <c r="N135" i="11"/>
  <c r="O135" i="11"/>
  <c r="D136" i="11"/>
  <c r="E136" i="11"/>
  <c r="F136" i="11"/>
  <c r="G136" i="11"/>
  <c r="H136" i="11"/>
  <c r="I136" i="11"/>
  <c r="J136" i="11"/>
  <c r="K136" i="11"/>
  <c r="L136" i="11"/>
  <c r="M136" i="11"/>
  <c r="N136" i="11"/>
  <c r="O136" i="11"/>
  <c r="D137" i="11"/>
  <c r="E137" i="11"/>
  <c r="F137" i="11"/>
  <c r="G137" i="11"/>
  <c r="H137" i="11"/>
  <c r="I137" i="11"/>
  <c r="J137" i="11"/>
  <c r="K137" i="11"/>
  <c r="L137" i="11"/>
  <c r="M137" i="11"/>
  <c r="N137" i="11"/>
  <c r="O137" i="11"/>
  <c r="D138" i="11"/>
  <c r="E138" i="11"/>
  <c r="F138" i="11"/>
  <c r="G138" i="11"/>
  <c r="H138" i="11"/>
  <c r="I138" i="11"/>
  <c r="J138" i="11"/>
  <c r="K138" i="11"/>
  <c r="L138" i="11"/>
  <c r="M138" i="11"/>
  <c r="N138" i="11"/>
  <c r="O138" i="11"/>
  <c r="D109" i="12"/>
  <c r="E109" i="12"/>
  <c r="F109" i="12"/>
  <c r="G109" i="12"/>
  <c r="H109" i="12"/>
  <c r="I109" i="12"/>
  <c r="J109" i="12"/>
  <c r="K109" i="12"/>
  <c r="L109" i="12"/>
  <c r="M109" i="12"/>
  <c r="N109" i="12"/>
  <c r="O109" i="12"/>
  <c r="D110" i="12"/>
  <c r="E110" i="12"/>
  <c r="F110" i="12"/>
  <c r="G110" i="12"/>
  <c r="H110" i="12"/>
  <c r="I110" i="12"/>
  <c r="J110" i="12"/>
  <c r="K110" i="12"/>
  <c r="L110" i="12"/>
  <c r="M110" i="12"/>
  <c r="N110" i="12"/>
  <c r="O110" i="12"/>
  <c r="D111" i="12"/>
  <c r="E111" i="12"/>
  <c r="F111" i="12"/>
  <c r="G111" i="12"/>
  <c r="H111" i="12"/>
  <c r="I111" i="12"/>
  <c r="J111" i="12"/>
  <c r="K111" i="12"/>
  <c r="L111" i="12"/>
  <c r="M111" i="12"/>
  <c r="N111" i="12"/>
  <c r="O111" i="12"/>
  <c r="D112" i="12"/>
  <c r="E112" i="12"/>
  <c r="F112" i="12"/>
  <c r="G112" i="12"/>
  <c r="H112" i="12"/>
  <c r="I112" i="12"/>
  <c r="J112" i="12"/>
  <c r="K112" i="12"/>
  <c r="L112" i="12"/>
  <c r="M112" i="12"/>
  <c r="N112" i="12"/>
  <c r="O112" i="12"/>
  <c r="D113" i="12"/>
  <c r="E113" i="12"/>
  <c r="F113" i="12"/>
  <c r="G113" i="12"/>
  <c r="H113" i="12"/>
  <c r="I113" i="12"/>
  <c r="J113" i="12"/>
  <c r="K113" i="12"/>
  <c r="L113" i="12"/>
  <c r="M113" i="12"/>
  <c r="N113" i="12"/>
  <c r="O113" i="12"/>
  <c r="D114" i="12"/>
  <c r="E114" i="12"/>
  <c r="F114" i="12"/>
  <c r="G114" i="12"/>
  <c r="H114" i="12"/>
  <c r="I114" i="12"/>
  <c r="J114" i="12"/>
  <c r="K114" i="12"/>
  <c r="L114" i="12"/>
  <c r="M114" i="12"/>
  <c r="N114" i="12"/>
  <c r="O114" i="12"/>
  <c r="D115" i="12"/>
  <c r="E115" i="12"/>
  <c r="F115" i="12"/>
  <c r="G115" i="12"/>
  <c r="H115" i="12"/>
  <c r="I115" i="12"/>
  <c r="J115" i="12"/>
  <c r="K115" i="12"/>
  <c r="L115" i="12"/>
  <c r="M115" i="12"/>
  <c r="N115" i="12"/>
  <c r="O115" i="12"/>
  <c r="D116" i="12"/>
  <c r="E116" i="12"/>
  <c r="F116" i="12"/>
  <c r="G116" i="12"/>
  <c r="H116" i="12"/>
  <c r="I116" i="12"/>
  <c r="J116" i="12"/>
  <c r="K116" i="12"/>
  <c r="L116" i="12"/>
  <c r="M116" i="12"/>
  <c r="N116" i="12"/>
  <c r="O116" i="12"/>
  <c r="D120" i="12"/>
  <c r="E120" i="12"/>
  <c r="F120" i="12"/>
  <c r="G120" i="12"/>
  <c r="H120" i="12"/>
  <c r="I120" i="12"/>
  <c r="J120" i="12"/>
  <c r="K120" i="12"/>
  <c r="L120" i="12"/>
  <c r="M120" i="12"/>
  <c r="N120" i="12"/>
  <c r="O120" i="12"/>
  <c r="D121" i="12"/>
  <c r="E121" i="12"/>
  <c r="F121" i="12"/>
  <c r="G121" i="12"/>
  <c r="H121" i="12"/>
  <c r="I121" i="12"/>
  <c r="J121" i="12"/>
  <c r="K121" i="12"/>
  <c r="L121" i="12"/>
  <c r="M121" i="12"/>
  <c r="N121" i="12"/>
  <c r="O121" i="12"/>
  <c r="D122" i="12"/>
  <c r="E122" i="12"/>
  <c r="F122" i="12"/>
  <c r="G122" i="12"/>
  <c r="H122" i="12"/>
  <c r="I122" i="12"/>
  <c r="J122" i="12"/>
  <c r="K122" i="12"/>
  <c r="L122" i="12"/>
  <c r="M122" i="12"/>
  <c r="N122" i="12"/>
  <c r="O122" i="12"/>
  <c r="D123" i="12"/>
  <c r="E123" i="12"/>
  <c r="F123" i="12"/>
  <c r="G123" i="12"/>
  <c r="H123" i="12"/>
  <c r="I123" i="12"/>
  <c r="J123" i="12"/>
  <c r="K123" i="12"/>
  <c r="L123" i="12"/>
  <c r="M123" i="12"/>
  <c r="N123" i="12"/>
  <c r="O123" i="12"/>
  <c r="D124" i="12"/>
  <c r="E124" i="12"/>
  <c r="F124" i="12"/>
  <c r="G124" i="12"/>
  <c r="H124" i="12"/>
  <c r="I124" i="12"/>
  <c r="J124" i="12"/>
  <c r="K124" i="12"/>
  <c r="L124" i="12"/>
  <c r="M124" i="12"/>
  <c r="N124" i="12"/>
  <c r="O124" i="12"/>
  <c r="D125" i="12"/>
  <c r="E125" i="12"/>
  <c r="F125" i="12"/>
  <c r="G125" i="12"/>
  <c r="H125" i="12"/>
  <c r="I125" i="12"/>
  <c r="J125" i="12"/>
  <c r="K125" i="12"/>
  <c r="L125" i="12"/>
  <c r="M125" i="12"/>
  <c r="N125" i="12"/>
  <c r="O125" i="12"/>
  <c r="D126" i="12"/>
  <c r="E126" i="12"/>
  <c r="F126" i="12"/>
  <c r="G126" i="12"/>
  <c r="H126" i="12"/>
  <c r="I126" i="12"/>
  <c r="J126" i="12"/>
  <c r="K126" i="12"/>
  <c r="L126" i="12"/>
  <c r="M126" i="12"/>
  <c r="N126" i="12"/>
  <c r="O126" i="12"/>
  <c r="D127" i="12"/>
  <c r="E127" i="12"/>
  <c r="F127" i="12"/>
  <c r="G127" i="12"/>
  <c r="H127" i="12"/>
  <c r="I127" i="12"/>
  <c r="J127" i="12"/>
  <c r="K127" i="12"/>
  <c r="L127" i="12"/>
  <c r="M127" i="12"/>
  <c r="N127" i="12"/>
  <c r="O127" i="12"/>
  <c r="D131" i="12"/>
  <c r="E131" i="12"/>
  <c r="F131" i="12"/>
  <c r="G131" i="12"/>
  <c r="H131" i="12"/>
  <c r="I131" i="12"/>
  <c r="J131" i="12"/>
  <c r="K131" i="12"/>
  <c r="L131" i="12"/>
  <c r="M131" i="12"/>
  <c r="N131" i="12"/>
  <c r="O131" i="12"/>
  <c r="D132" i="12"/>
  <c r="E132" i="12"/>
  <c r="F132" i="12"/>
  <c r="G132" i="12"/>
  <c r="H132" i="12"/>
  <c r="I132" i="12"/>
  <c r="J132" i="12"/>
  <c r="K132" i="12"/>
  <c r="L132" i="12"/>
  <c r="M132" i="12"/>
  <c r="N132" i="12"/>
  <c r="O132" i="12"/>
  <c r="D133" i="12"/>
  <c r="E133" i="12"/>
  <c r="F133" i="12"/>
  <c r="G133" i="12"/>
  <c r="H133" i="12"/>
  <c r="I133" i="12"/>
  <c r="J133" i="12"/>
  <c r="K133" i="12"/>
  <c r="L133" i="12"/>
  <c r="M133" i="12"/>
  <c r="N133" i="12"/>
  <c r="O133" i="12"/>
  <c r="D134" i="12"/>
  <c r="E134" i="12"/>
  <c r="F134" i="12"/>
  <c r="G134" i="12"/>
  <c r="H134" i="12"/>
  <c r="I134" i="12"/>
  <c r="J134" i="12"/>
  <c r="K134" i="12"/>
  <c r="L134" i="12"/>
  <c r="M134" i="12"/>
  <c r="N134" i="12"/>
  <c r="O134" i="12"/>
  <c r="D135" i="12"/>
  <c r="E135" i="12"/>
  <c r="F135" i="12"/>
  <c r="G135" i="12"/>
  <c r="H135" i="12"/>
  <c r="I135" i="12"/>
  <c r="J135" i="12"/>
  <c r="K135" i="12"/>
  <c r="L135" i="12"/>
  <c r="M135" i="12"/>
  <c r="N135" i="12"/>
  <c r="O135" i="12"/>
  <c r="D136" i="12"/>
  <c r="E136" i="12"/>
  <c r="F136" i="12"/>
  <c r="G136" i="12"/>
  <c r="H136" i="12"/>
  <c r="I136" i="12"/>
  <c r="J136" i="12"/>
  <c r="K136" i="12"/>
  <c r="L136" i="12"/>
  <c r="M136" i="12"/>
  <c r="N136" i="12"/>
  <c r="O136" i="12"/>
  <c r="D137" i="12"/>
  <c r="E137" i="12"/>
  <c r="F137" i="12"/>
  <c r="G137" i="12"/>
  <c r="H137" i="12"/>
  <c r="I137" i="12"/>
  <c r="J137" i="12"/>
  <c r="K137" i="12"/>
  <c r="L137" i="12"/>
  <c r="M137" i="12"/>
  <c r="N137" i="12"/>
  <c r="O137" i="12"/>
  <c r="D138" i="12"/>
  <c r="E138" i="12"/>
  <c r="F138" i="12"/>
  <c r="G138" i="12"/>
  <c r="H138" i="12"/>
  <c r="I138" i="12"/>
  <c r="J138" i="12"/>
  <c r="K138" i="12"/>
  <c r="L138" i="12"/>
  <c r="M138" i="12"/>
  <c r="N138" i="12"/>
  <c r="O138" i="12"/>
  <c r="D109" i="13"/>
  <c r="E109" i="13"/>
  <c r="F109" i="13"/>
  <c r="G109" i="13"/>
  <c r="H109" i="13"/>
  <c r="I109" i="13"/>
  <c r="J109" i="13"/>
  <c r="K109" i="13"/>
  <c r="L109" i="13"/>
  <c r="M109" i="13"/>
  <c r="N109" i="13"/>
  <c r="O109" i="13"/>
  <c r="D110" i="13"/>
  <c r="E110" i="13"/>
  <c r="F110" i="13"/>
  <c r="G110" i="13"/>
  <c r="H110" i="13"/>
  <c r="I110" i="13"/>
  <c r="J110" i="13"/>
  <c r="K110" i="13"/>
  <c r="L110" i="13"/>
  <c r="M110" i="13"/>
  <c r="N110" i="13"/>
  <c r="O110" i="13"/>
  <c r="D111" i="13"/>
  <c r="E111" i="13"/>
  <c r="F111" i="13"/>
  <c r="G111" i="13"/>
  <c r="H111" i="13"/>
  <c r="I111" i="13"/>
  <c r="J111" i="13"/>
  <c r="K111" i="13"/>
  <c r="L111" i="13"/>
  <c r="M111" i="13"/>
  <c r="N111" i="13"/>
  <c r="O111" i="13"/>
  <c r="D112" i="13"/>
  <c r="E112" i="13"/>
  <c r="F112" i="13"/>
  <c r="G112" i="13"/>
  <c r="H112" i="13"/>
  <c r="I112" i="13"/>
  <c r="J112" i="13"/>
  <c r="K112" i="13"/>
  <c r="L112" i="13"/>
  <c r="M112" i="13"/>
  <c r="N112" i="13"/>
  <c r="O112" i="13"/>
  <c r="D113" i="13"/>
  <c r="E113" i="13"/>
  <c r="F113" i="13"/>
  <c r="G113" i="13"/>
  <c r="H113" i="13"/>
  <c r="I113" i="13"/>
  <c r="J113" i="13"/>
  <c r="K113" i="13"/>
  <c r="L113" i="13"/>
  <c r="M113" i="13"/>
  <c r="N113" i="13"/>
  <c r="O113" i="13"/>
  <c r="D114" i="13"/>
  <c r="E114" i="13"/>
  <c r="F114" i="13"/>
  <c r="G114" i="13"/>
  <c r="H114" i="13"/>
  <c r="I114" i="13"/>
  <c r="J114" i="13"/>
  <c r="K114" i="13"/>
  <c r="L114" i="13"/>
  <c r="M114" i="13"/>
  <c r="N114" i="13"/>
  <c r="O114" i="13"/>
  <c r="D115" i="13"/>
  <c r="E115" i="13"/>
  <c r="F115" i="13"/>
  <c r="G115" i="13"/>
  <c r="H115" i="13"/>
  <c r="I115" i="13"/>
  <c r="J115" i="13"/>
  <c r="K115" i="13"/>
  <c r="L115" i="13"/>
  <c r="M115" i="13"/>
  <c r="N115" i="13"/>
  <c r="O115" i="13"/>
  <c r="D116" i="13"/>
  <c r="E116" i="13"/>
  <c r="F116" i="13"/>
  <c r="G116" i="13"/>
  <c r="H116" i="13"/>
  <c r="I116" i="13"/>
  <c r="J116" i="13"/>
  <c r="K116" i="13"/>
  <c r="L116" i="13"/>
  <c r="M116" i="13"/>
  <c r="N116" i="13"/>
  <c r="O116" i="13"/>
  <c r="D120" i="13"/>
  <c r="E120" i="13"/>
  <c r="F120" i="13"/>
  <c r="G120" i="13"/>
  <c r="H120" i="13"/>
  <c r="I120" i="13"/>
  <c r="J120" i="13"/>
  <c r="K120" i="13"/>
  <c r="L120" i="13"/>
  <c r="M120" i="13"/>
  <c r="N120" i="13"/>
  <c r="O120" i="13"/>
  <c r="D121" i="13"/>
  <c r="E121" i="13"/>
  <c r="F121" i="13"/>
  <c r="G121" i="13"/>
  <c r="H121" i="13"/>
  <c r="I121" i="13"/>
  <c r="J121" i="13"/>
  <c r="K121" i="13"/>
  <c r="L121" i="13"/>
  <c r="M121" i="13"/>
  <c r="N121" i="13"/>
  <c r="O121" i="13"/>
  <c r="D122" i="13"/>
  <c r="E122" i="13"/>
  <c r="F122" i="13"/>
  <c r="G122" i="13"/>
  <c r="H122" i="13"/>
  <c r="I122" i="13"/>
  <c r="J122" i="13"/>
  <c r="K122" i="13"/>
  <c r="L122" i="13"/>
  <c r="M122" i="13"/>
  <c r="N122" i="13"/>
  <c r="O122" i="13"/>
  <c r="D123" i="13"/>
  <c r="E123" i="13"/>
  <c r="F123" i="13"/>
  <c r="G123" i="13"/>
  <c r="H123" i="13"/>
  <c r="I123" i="13"/>
  <c r="J123" i="13"/>
  <c r="K123" i="13"/>
  <c r="L123" i="13"/>
  <c r="M123" i="13"/>
  <c r="N123" i="13"/>
  <c r="O123" i="13"/>
  <c r="D124" i="13"/>
  <c r="E124" i="13"/>
  <c r="F124" i="13"/>
  <c r="G124" i="13"/>
  <c r="H124" i="13"/>
  <c r="I124" i="13"/>
  <c r="J124" i="13"/>
  <c r="K124" i="13"/>
  <c r="L124" i="13"/>
  <c r="M124" i="13"/>
  <c r="N124" i="13"/>
  <c r="O124" i="13"/>
  <c r="D125" i="13"/>
  <c r="E125" i="13"/>
  <c r="F125" i="13"/>
  <c r="G125" i="13"/>
  <c r="H125" i="13"/>
  <c r="I125" i="13"/>
  <c r="J125" i="13"/>
  <c r="K125" i="13"/>
  <c r="L125" i="13"/>
  <c r="M125" i="13"/>
  <c r="N125" i="13"/>
  <c r="O125" i="13"/>
  <c r="D126" i="13"/>
  <c r="E126" i="13"/>
  <c r="F126" i="13"/>
  <c r="G126" i="13"/>
  <c r="H126" i="13"/>
  <c r="I126" i="13"/>
  <c r="J126" i="13"/>
  <c r="K126" i="13"/>
  <c r="L126" i="13"/>
  <c r="M126" i="13"/>
  <c r="N126" i="13"/>
  <c r="O126" i="13"/>
  <c r="D127" i="13"/>
  <c r="E127" i="13"/>
  <c r="F127" i="13"/>
  <c r="G127" i="13"/>
  <c r="H127" i="13"/>
  <c r="I127" i="13"/>
  <c r="J127" i="13"/>
  <c r="K127" i="13"/>
  <c r="L127" i="13"/>
  <c r="M127" i="13"/>
  <c r="N127" i="13"/>
  <c r="O127" i="13"/>
  <c r="D131" i="13"/>
  <c r="E131" i="13"/>
  <c r="F131" i="13"/>
  <c r="G131" i="13"/>
  <c r="H131" i="13"/>
  <c r="I131" i="13"/>
  <c r="J131" i="13"/>
  <c r="K131" i="13"/>
  <c r="L131" i="13"/>
  <c r="M131" i="13"/>
  <c r="N131" i="13"/>
  <c r="O131" i="13"/>
  <c r="D132" i="13"/>
  <c r="E132" i="13"/>
  <c r="F132" i="13"/>
  <c r="G132" i="13"/>
  <c r="H132" i="13"/>
  <c r="I132" i="13"/>
  <c r="J132" i="13"/>
  <c r="K132" i="13"/>
  <c r="L132" i="13"/>
  <c r="M132" i="13"/>
  <c r="N132" i="13"/>
  <c r="O132" i="13"/>
  <c r="D133" i="13"/>
  <c r="E133" i="13"/>
  <c r="F133" i="13"/>
  <c r="G133" i="13"/>
  <c r="H133" i="13"/>
  <c r="I133" i="13"/>
  <c r="J133" i="13"/>
  <c r="K133" i="13"/>
  <c r="L133" i="13"/>
  <c r="M133" i="13"/>
  <c r="N133" i="13"/>
  <c r="O133" i="13"/>
  <c r="D134" i="13"/>
  <c r="E134" i="13"/>
  <c r="F134" i="13"/>
  <c r="G134" i="13"/>
  <c r="H134" i="13"/>
  <c r="I134" i="13"/>
  <c r="J134" i="13"/>
  <c r="K134" i="13"/>
  <c r="L134" i="13"/>
  <c r="M134" i="13"/>
  <c r="N134" i="13"/>
  <c r="O134" i="13"/>
  <c r="D135" i="13"/>
  <c r="E135" i="13"/>
  <c r="F135" i="13"/>
  <c r="G135" i="13"/>
  <c r="H135" i="13"/>
  <c r="I135" i="13"/>
  <c r="J135" i="13"/>
  <c r="K135" i="13"/>
  <c r="L135" i="13"/>
  <c r="M135" i="13"/>
  <c r="N135" i="13"/>
  <c r="O135" i="13"/>
  <c r="D136" i="13"/>
  <c r="E136" i="13"/>
  <c r="F136" i="13"/>
  <c r="G136" i="13"/>
  <c r="H136" i="13"/>
  <c r="I136" i="13"/>
  <c r="J136" i="13"/>
  <c r="K136" i="13"/>
  <c r="L136" i="13"/>
  <c r="M136" i="13"/>
  <c r="N136" i="13"/>
  <c r="O136" i="13"/>
  <c r="D137" i="13"/>
  <c r="E137" i="13"/>
  <c r="F137" i="13"/>
  <c r="G137" i="13"/>
  <c r="H137" i="13"/>
  <c r="I137" i="13"/>
  <c r="J137" i="13"/>
  <c r="K137" i="13"/>
  <c r="L137" i="13"/>
  <c r="M137" i="13"/>
  <c r="N137" i="13"/>
  <c r="O137" i="13"/>
  <c r="D138" i="13"/>
  <c r="E138" i="13"/>
  <c r="F138" i="13"/>
  <c r="G138" i="13"/>
  <c r="H138" i="13"/>
  <c r="I138" i="13"/>
  <c r="J138" i="13"/>
  <c r="K138" i="13"/>
  <c r="L138" i="13"/>
  <c r="M138" i="13"/>
  <c r="N138" i="13"/>
  <c r="O138" i="13"/>
  <c r="AZ14" i="14"/>
  <c r="AY259" i="14"/>
  <c r="AY181" i="14"/>
  <c r="AY179" i="14"/>
  <c r="AY177" i="14"/>
  <c r="AY175" i="14"/>
  <c r="AY260" i="14"/>
  <c r="AX259" i="14"/>
  <c r="AY14" i="14"/>
  <c r="AX181" i="14"/>
  <c r="AX179" i="14"/>
  <c r="AX260" i="14"/>
  <c r="AX177" i="14"/>
  <c r="AX175" i="14"/>
  <c r="AW259" i="14"/>
  <c r="AX14" i="14"/>
  <c r="AW181" i="14"/>
  <c r="AW179" i="14"/>
  <c r="AW260" i="14"/>
  <c r="AW177" i="14"/>
  <c r="AW175" i="14"/>
  <c r="AV259" i="14"/>
  <c r="AW14" i="14"/>
  <c r="AV181" i="14"/>
  <c r="AV179" i="14"/>
  <c r="AV177" i="14"/>
  <c r="AV175" i="14"/>
  <c r="AV14" i="14"/>
  <c r="AU259" i="14"/>
  <c r="AU181" i="14"/>
  <c r="AU179" i="14"/>
  <c r="AU177" i="14"/>
  <c r="AU175" i="14"/>
  <c r="AT259" i="14"/>
  <c r="AU14" i="14"/>
  <c r="AT181" i="14"/>
  <c r="AT179" i="14"/>
  <c r="AT260" i="14"/>
  <c r="AT177" i="14"/>
  <c r="AT175" i="14"/>
  <c r="AS259" i="14"/>
  <c r="AT14" i="14"/>
  <c r="AS181" i="14"/>
  <c r="AS179" i="14"/>
  <c r="AS177" i="14"/>
  <c r="AS260" i="14"/>
  <c r="AS175" i="14"/>
  <c r="AR259" i="14"/>
  <c r="AS14" i="14"/>
  <c r="AR181" i="14"/>
  <c r="AR179" i="14"/>
  <c r="AR177" i="14"/>
  <c r="AR175" i="14"/>
  <c r="AR14" i="14"/>
  <c r="AQ259" i="14"/>
  <c r="AQ181" i="14"/>
  <c r="AQ179" i="14"/>
  <c r="AQ177" i="14"/>
  <c r="AQ175" i="14"/>
  <c r="AQ260" i="14"/>
  <c r="AP259" i="14"/>
  <c r="AQ14" i="14"/>
  <c r="AP181" i="14"/>
  <c r="AP179" i="14"/>
  <c r="AP260" i="14"/>
  <c r="AP177" i="14"/>
  <c r="AP175" i="14"/>
  <c r="AO259" i="14"/>
  <c r="AP14" i="14"/>
  <c r="AO181" i="14"/>
  <c r="AO179" i="14"/>
  <c r="AO260" i="14"/>
  <c r="AO177" i="14"/>
  <c r="AO175" i="14"/>
  <c r="AO14" i="14"/>
  <c r="AN259" i="14"/>
  <c r="AN181" i="14"/>
  <c r="AN179" i="14"/>
  <c r="AN177" i="14"/>
  <c r="AN175" i="14"/>
  <c r="AN260" i="14"/>
  <c r="AN14" i="14"/>
  <c r="AM259" i="14"/>
  <c r="AM181" i="14"/>
  <c r="AM179" i="14"/>
  <c r="AM177" i="14"/>
  <c r="AM175" i="14"/>
  <c r="AM260" i="14"/>
  <c r="AL259" i="14"/>
  <c r="AM14" i="14"/>
  <c r="AL181" i="14"/>
  <c r="AL179" i="14"/>
  <c r="AL260" i="14"/>
  <c r="AL177" i="14"/>
  <c r="AL175" i="14"/>
  <c r="AK259" i="14"/>
  <c r="AL14" i="14"/>
  <c r="AK181" i="14"/>
  <c r="AK179" i="14"/>
  <c r="AK260" i="14"/>
  <c r="AK177" i="14"/>
  <c r="AK175" i="14"/>
  <c r="AK14" i="14"/>
  <c r="AJ259" i="14"/>
  <c r="AJ181" i="14"/>
  <c r="AJ179" i="14"/>
  <c r="AJ177" i="14"/>
  <c r="AJ175" i="14"/>
  <c r="AJ260" i="14"/>
  <c r="AJ14" i="14"/>
  <c r="AI259" i="14"/>
  <c r="AI181" i="14"/>
  <c r="AI179" i="14"/>
  <c r="AI177" i="14"/>
  <c r="AI175" i="14"/>
  <c r="AI260" i="14"/>
  <c r="AH259" i="14"/>
  <c r="AI14" i="14"/>
  <c r="AH181" i="14"/>
  <c r="AH179" i="14"/>
  <c r="AH260" i="14"/>
  <c r="AH177" i="14"/>
  <c r="AH175" i="14"/>
  <c r="AG259" i="14"/>
  <c r="AH14" i="14"/>
  <c r="AG181" i="14"/>
  <c r="AG179" i="14"/>
  <c r="AG260" i="14"/>
  <c r="AG177" i="14"/>
  <c r="AG175" i="14"/>
  <c r="AF259" i="14"/>
  <c r="AG14" i="14"/>
  <c r="AF181" i="14"/>
  <c r="AF179" i="14"/>
  <c r="AF177" i="14"/>
  <c r="AF175" i="14"/>
  <c r="AF14" i="14"/>
  <c r="AE259" i="14"/>
  <c r="AE181" i="14"/>
  <c r="AE179" i="14"/>
  <c r="AE177" i="14"/>
  <c r="AE175" i="14"/>
  <c r="AD259" i="14"/>
  <c r="AE14" i="14"/>
  <c r="AD181" i="14"/>
  <c r="AD179" i="14"/>
  <c r="AD260" i="14"/>
  <c r="AD177" i="14"/>
  <c r="AD175" i="14"/>
  <c r="AC259" i="14"/>
  <c r="AD14" i="14"/>
  <c r="AC181" i="14"/>
  <c r="AC179" i="14"/>
  <c r="AC177" i="14"/>
  <c r="AC260" i="14"/>
  <c r="AC175" i="14"/>
  <c r="AB259" i="14"/>
  <c r="AC14" i="14"/>
  <c r="AB181" i="14"/>
  <c r="AB179" i="14"/>
  <c r="AB177" i="14"/>
  <c r="AB175" i="14"/>
  <c r="AB14" i="14"/>
  <c r="AA259" i="14"/>
  <c r="AA181" i="14"/>
  <c r="AA179" i="14"/>
  <c r="AA177" i="14"/>
  <c r="AA175" i="14"/>
  <c r="AA260" i="14"/>
  <c r="Z259" i="14"/>
  <c r="AA14" i="14"/>
  <c r="Z181" i="14"/>
  <c r="Z179" i="14"/>
  <c r="Z177" i="14"/>
  <c r="Z175" i="14"/>
  <c r="Y259" i="14"/>
  <c r="Z14" i="14"/>
  <c r="Y181" i="14"/>
  <c r="Y179" i="14"/>
  <c r="Y260" i="14"/>
  <c r="Y177" i="14"/>
  <c r="Y175" i="14"/>
  <c r="Y14" i="14"/>
  <c r="X259" i="14"/>
  <c r="X181" i="14"/>
  <c r="X179" i="14"/>
  <c r="X177" i="14"/>
  <c r="X175" i="14"/>
  <c r="X260" i="14"/>
  <c r="X14" i="14"/>
  <c r="W181" i="14"/>
  <c r="W179" i="14"/>
  <c r="W177" i="14"/>
  <c r="W175" i="14"/>
  <c r="W260" i="14"/>
  <c r="V259" i="14"/>
  <c r="W14" i="14"/>
  <c r="V181" i="14"/>
  <c r="V179" i="14"/>
  <c r="V260" i="14"/>
  <c r="V177" i="14"/>
  <c r="V175" i="14"/>
  <c r="U259" i="14"/>
  <c r="V14" i="14"/>
  <c r="U181" i="14"/>
  <c r="U179" i="14"/>
  <c r="U260" i="14"/>
  <c r="U177" i="14"/>
  <c r="U175" i="14"/>
  <c r="U14" i="14"/>
  <c r="T259" i="14"/>
  <c r="T181" i="14"/>
  <c r="T179" i="14"/>
  <c r="T177" i="14"/>
  <c r="T175" i="14"/>
  <c r="T260" i="14"/>
  <c r="T14" i="14"/>
  <c r="S259" i="14"/>
  <c r="S181" i="14"/>
  <c r="S179" i="14"/>
  <c r="S177" i="14"/>
  <c r="S175" i="14"/>
  <c r="S260" i="14"/>
  <c r="R259" i="14"/>
  <c r="S14" i="14"/>
  <c r="R181" i="14"/>
  <c r="R179" i="14"/>
  <c r="R260" i="14"/>
  <c r="R177" i="14"/>
  <c r="R175" i="14"/>
  <c r="Q259" i="14"/>
  <c r="R14" i="14"/>
  <c r="Q181" i="14"/>
  <c r="Q179" i="14"/>
  <c r="Q260" i="14"/>
  <c r="Q177" i="14"/>
  <c r="Q175" i="14"/>
  <c r="P259" i="14"/>
  <c r="Q14" i="14"/>
  <c r="P181" i="14"/>
  <c r="P179" i="14"/>
  <c r="P177" i="14"/>
  <c r="P175" i="14"/>
  <c r="P14" i="14"/>
  <c r="O259" i="14"/>
  <c r="O181" i="14"/>
  <c r="O179" i="14"/>
  <c r="O177" i="14"/>
  <c r="O175" i="14"/>
  <c r="N259" i="14"/>
  <c r="O14" i="14"/>
  <c r="N181" i="14"/>
  <c r="N179" i="14"/>
  <c r="N260" i="14"/>
  <c r="N177" i="14"/>
  <c r="N175" i="14"/>
  <c r="M259" i="14"/>
  <c r="N14" i="14"/>
  <c r="M181" i="14"/>
  <c r="M179" i="14"/>
  <c r="M177" i="14"/>
  <c r="M260" i="14"/>
  <c r="M175" i="14"/>
  <c r="L259" i="14"/>
  <c r="M14" i="14"/>
  <c r="L181" i="14"/>
  <c r="L179" i="14"/>
  <c r="L177" i="14"/>
  <c r="L175" i="14"/>
  <c r="L14" i="14"/>
  <c r="K259" i="14"/>
  <c r="K181" i="14"/>
  <c r="K179" i="14"/>
  <c r="K177" i="14"/>
  <c r="K175" i="14"/>
  <c r="J259" i="14"/>
  <c r="K14" i="14"/>
  <c r="J181" i="14"/>
  <c r="J179" i="14"/>
  <c r="J260" i="14"/>
  <c r="J177" i="14"/>
  <c r="J175" i="14"/>
  <c r="I259" i="14"/>
  <c r="J14" i="14"/>
  <c r="I181" i="14"/>
  <c r="I179" i="14"/>
  <c r="I177" i="14"/>
  <c r="I260" i="14"/>
  <c r="I175" i="14"/>
  <c r="I14" i="14"/>
  <c r="H259" i="14"/>
  <c r="H181" i="14"/>
  <c r="H179" i="14"/>
  <c r="H177" i="14"/>
  <c r="H175" i="14"/>
  <c r="H260" i="14"/>
  <c r="H14" i="14"/>
  <c r="G259" i="14"/>
  <c r="G181" i="14"/>
  <c r="G179" i="14"/>
  <c r="G177" i="14"/>
  <c r="G175" i="14"/>
  <c r="G260" i="14"/>
  <c r="F259" i="14"/>
  <c r="G14" i="14"/>
  <c r="F181" i="14"/>
  <c r="F179" i="14"/>
  <c r="F260" i="14"/>
  <c r="F177" i="14"/>
  <c r="F175" i="14"/>
  <c r="E259" i="14"/>
  <c r="F14" i="14"/>
  <c r="E181" i="14"/>
  <c r="E179" i="14"/>
  <c r="E260" i="14"/>
  <c r="E177" i="14"/>
  <c r="E175" i="14"/>
  <c r="D259" i="14"/>
  <c r="E14" i="14"/>
  <c r="D181" i="14"/>
  <c r="D179" i="14"/>
  <c r="D177" i="14"/>
  <c r="D175" i="14"/>
  <c r="AZ14" i="15"/>
  <c r="AY259" i="15"/>
  <c r="AY181" i="15"/>
  <c r="AY179" i="15"/>
  <c r="AY177" i="15"/>
  <c r="AY175" i="15"/>
  <c r="AY260" i="15"/>
  <c r="AX259" i="15"/>
  <c r="AY14" i="15"/>
  <c r="AX181" i="15"/>
  <c r="AX179" i="15"/>
  <c r="AX260" i="15"/>
  <c r="AX177" i="15"/>
  <c r="AX175" i="15"/>
  <c r="AW259" i="15"/>
  <c r="AX14" i="15"/>
  <c r="AW181" i="15"/>
  <c r="AW179" i="15"/>
  <c r="AW260" i="15"/>
  <c r="AW177" i="15"/>
  <c r="AW175" i="15"/>
  <c r="AV259" i="15"/>
  <c r="AW14" i="15"/>
  <c r="AV181" i="15"/>
  <c r="AV179" i="15"/>
  <c r="AV177" i="15"/>
  <c r="AV175" i="15"/>
  <c r="AV14" i="15"/>
  <c r="AU259" i="15"/>
  <c r="AU181" i="15"/>
  <c r="AU179" i="15"/>
  <c r="AU177" i="15"/>
  <c r="AU175" i="15"/>
  <c r="AT259" i="15"/>
  <c r="AU14" i="15"/>
  <c r="AT181" i="15"/>
  <c r="AT179" i="15"/>
  <c r="AT260" i="15"/>
  <c r="AT177" i="15"/>
  <c r="AT175" i="15"/>
  <c r="AS259" i="15"/>
  <c r="AT14" i="15"/>
  <c r="AS181" i="15"/>
  <c r="AS179" i="15"/>
  <c r="AS177" i="15"/>
  <c r="AS260" i="15"/>
  <c r="AS175" i="15"/>
  <c r="AR259" i="15"/>
  <c r="AS14" i="15"/>
  <c r="AR181" i="15"/>
  <c r="AR179" i="15"/>
  <c r="AR177" i="15"/>
  <c r="AR175" i="15"/>
  <c r="AR14" i="15"/>
  <c r="AQ259" i="15"/>
  <c r="AQ181" i="15"/>
  <c r="AQ179" i="15"/>
  <c r="AQ177" i="15"/>
  <c r="AQ175" i="15"/>
  <c r="AP259" i="15"/>
  <c r="AQ14" i="15"/>
  <c r="AP181" i="15"/>
  <c r="AP179" i="15"/>
  <c r="AP260" i="15"/>
  <c r="AP177" i="15"/>
  <c r="AP175" i="15"/>
  <c r="AO259" i="15"/>
  <c r="AP14" i="15"/>
  <c r="AO181" i="15"/>
  <c r="AO179" i="15"/>
  <c r="AO177" i="15"/>
  <c r="AO260" i="15"/>
  <c r="AO175" i="15"/>
  <c r="AO14" i="15"/>
  <c r="AN259" i="15"/>
  <c r="AN181" i="15"/>
  <c r="AN179" i="15"/>
  <c r="AN177" i="15"/>
  <c r="AN175" i="15"/>
  <c r="AN260" i="15"/>
  <c r="AN14" i="15"/>
  <c r="AM259" i="15"/>
  <c r="AM181" i="15"/>
  <c r="AM179" i="15"/>
  <c r="AM177" i="15"/>
  <c r="AM175" i="15"/>
  <c r="AM260" i="15"/>
  <c r="AL259" i="15"/>
  <c r="AM14" i="15"/>
  <c r="AL181" i="15"/>
  <c r="AL179" i="15"/>
  <c r="AL177" i="15"/>
  <c r="AL175" i="15"/>
  <c r="AK259" i="15"/>
  <c r="AL14" i="15"/>
  <c r="AK181" i="15"/>
  <c r="AK179" i="15"/>
  <c r="AK260" i="15"/>
  <c r="AK177" i="15"/>
  <c r="AK175" i="15"/>
  <c r="AK14" i="15"/>
  <c r="AJ259" i="15"/>
  <c r="AJ181" i="15"/>
  <c r="AJ179" i="15"/>
  <c r="AJ177" i="15"/>
  <c r="AJ175" i="15"/>
  <c r="AJ260" i="15"/>
  <c r="AJ14" i="15"/>
  <c r="AI259" i="15"/>
  <c r="AI181" i="15"/>
  <c r="AI179" i="15"/>
  <c r="AI177" i="15"/>
  <c r="AI175" i="15"/>
  <c r="AI260" i="15"/>
  <c r="AH259" i="15"/>
  <c r="AI14" i="15"/>
  <c r="AH181" i="15"/>
  <c r="AH179" i="15"/>
  <c r="AH260" i="15"/>
  <c r="AH177" i="15"/>
  <c r="AH175" i="15"/>
  <c r="AG259" i="15"/>
  <c r="AH14" i="15"/>
  <c r="AG181" i="15"/>
  <c r="AG179" i="15"/>
  <c r="AG260" i="15"/>
  <c r="AG177" i="15"/>
  <c r="AG175" i="15"/>
  <c r="AF259" i="15"/>
  <c r="AG14" i="15"/>
  <c r="AF181" i="15"/>
  <c r="AF179" i="15"/>
  <c r="AF177" i="15"/>
  <c r="AF175" i="15"/>
  <c r="AF14" i="15"/>
  <c r="AE259" i="15"/>
  <c r="AE181" i="15"/>
  <c r="AE179" i="15"/>
  <c r="AE177" i="15"/>
  <c r="AE175" i="15"/>
  <c r="AD259" i="15"/>
  <c r="AE14" i="15"/>
  <c r="AD181" i="15"/>
  <c r="AD179" i="15"/>
  <c r="AD260" i="15"/>
  <c r="AD177" i="15"/>
  <c r="AD175" i="15"/>
  <c r="AC259" i="15"/>
  <c r="AD14" i="15"/>
  <c r="AC181" i="15"/>
  <c r="AC179" i="15"/>
  <c r="AC177" i="15"/>
  <c r="AC260" i="15"/>
  <c r="AC175" i="15"/>
  <c r="AB259" i="15"/>
  <c r="AC14" i="15"/>
  <c r="AB181" i="15"/>
  <c r="AB179" i="15"/>
  <c r="AB177" i="15"/>
  <c r="AB175" i="15"/>
  <c r="AB14" i="15"/>
  <c r="AA259" i="15"/>
  <c r="AA181" i="15"/>
  <c r="AA179" i="15"/>
  <c r="AA177" i="15"/>
  <c r="AA175" i="15"/>
  <c r="AA260" i="15"/>
  <c r="Z259" i="15"/>
  <c r="AA14" i="15"/>
  <c r="Z181" i="15"/>
  <c r="Z179" i="15"/>
  <c r="Z177" i="15"/>
  <c r="Z175" i="15"/>
  <c r="Y259" i="15"/>
  <c r="Z14" i="15"/>
  <c r="Y181" i="15"/>
  <c r="Y179" i="15"/>
  <c r="Y260" i="15"/>
  <c r="Y177" i="15"/>
  <c r="Y175" i="15"/>
  <c r="Y14" i="15"/>
  <c r="X259" i="15"/>
  <c r="X181" i="15"/>
  <c r="X179" i="15"/>
  <c r="X177" i="15"/>
  <c r="X175" i="15"/>
  <c r="X260" i="15"/>
  <c r="X14" i="15"/>
  <c r="W259" i="15"/>
  <c r="W181" i="15"/>
  <c r="W179" i="15"/>
  <c r="W177" i="15"/>
  <c r="W175" i="15"/>
  <c r="W260" i="15"/>
  <c r="V259" i="15"/>
  <c r="W14" i="15"/>
  <c r="V181" i="15"/>
  <c r="V179" i="15"/>
  <c r="V260" i="15"/>
  <c r="V177" i="15"/>
  <c r="V175" i="15"/>
  <c r="U259" i="15"/>
  <c r="V14" i="15"/>
  <c r="U181" i="15"/>
  <c r="U179" i="15"/>
  <c r="U260" i="15"/>
  <c r="U177" i="15"/>
  <c r="U175" i="15"/>
  <c r="U14" i="15"/>
  <c r="T259" i="15"/>
  <c r="T181" i="15"/>
  <c r="T179" i="15"/>
  <c r="T177" i="15"/>
  <c r="T175" i="15"/>
  <c r="T260" i="15"/>
  <c r="T14" i="15"/>
  <c r="S259" i="15"/>
  <c r="S181" i="15"/>
  <c r="S179" i="15"/>
  <c r="S177" i="15"/>
  <c r="S175" i="15"/>
  <c r="S260" i="15"/>
  <c r="R259" i="15"/>
  <c r="S14" i="15"/>
  <c r="R181" i="15"/>
  <c r="R179" i="15"/>
  <c r="R260" i="15"/>
  <c r="R177" i="15"/>
  <c r="R175" i="15"/>
  <c r="Q259" i="15"/>
  <c r="R14" i="15"/>
  <c r="Q181" i="15"/>
  <c r="Q179" i="15"/>
  <c r="Q260" i="15"/>
  <c r="Q177" i="15"/>
  <c r="Q175" i="15"/>
  <c r="P259" i="15"/>
  <c r="Q14" i="15"/>
  <c r="P181" i="15"/>
  <c r="P179" i="15"/>
  <c r="P177" i="15"/>
  <c r="P175" i="15"/>
  <c r="P14" i="15"/>
  <c r="O259" i="15"/>
  <c r="O181" i="15"/>
  <c r="O179" i="15"/>
  <c r="O177" i="15"/>
  <c r="O175" i="15"/>
  <c r="N259" i="15"/>
  <c r="O14" i="15"/>
  <c r="N181" i="15"/>
  <c r="N179" i="15"/>
  <c r="N260" i="15"/>
  <c r="N177" i="15"/>
  <c r="N175" i="15"/>
  <c r="M259" i="15"/>
  <c r="N14" i="15"/>
  <c r="M181" i="15"/>
  <c r="M179" i="15"/>
  <c r="M177" i="15"/>
  <c r="M260" i="15"/>
  <c r="M175" i="15"/>
  <c r="L259" i="15"/>
  <c r="M14" i="15"/>
  <c r="L181" i="15"/>
  <c r="L179" i="15"/>
  <c r="L177" i="15"/>
  <c r="L175" i="15"/>
  <c r="L14" i="15"/>
  <c r="K259" i="15"/>
  <c r="K181" i="15"/>
  <c r="K179" i="15"/>
  <c r="K177" i="15"/>
  <c r="K175" i="15"/>
  <c r="J259" i="15"/>
  <c r="K14" i="15"/>
  <c r="J181" i="15"/>
  <c r="J179" i="15"/>
  <c r="J260" i="15"/>
  <c r="J177" i="15"/>
  <c r="J175" i="15"/>
  <c r="I259" i="15"/>
  <c r="J14" i="15"/>
  <c r="I181" i="15"/>
  <c r="I179" i="15"/>
  <c r="I177" i="15"/>
  <c r="I260" i="15"/>
  <c r="I175" i="15"/>
  <c r="I14" i="15"/>
  <c r="H259" i="15"/>
  <c r="H181" i="15"/>
  <c r="H179" i="15"/>
  <c r="H177" i="15"/>
  <c r="H175" i="15"/>
  <c r="H260" i="15"/>
  <c r="H14" i="15"/>
  <c r="G259" i="15"/>
  <c r="G181" i="15"/>
  <c r="G179" i="15"/>
  <c r="G177" i="15"/>
  <c r="G175" i="15"/>
  <c r="G260" i="15"/>
  <c r="F259" i="15"/>
  <c r="G14" i="15"/>
  <c r="F181" i="15"/>
  <c r="F179" i="15"/>
  <c r="F260" i="15"/>
  <c r="F177" i="15"/>
  <c r="F175" i="15"/>
  <c r="E259" i="15"/>
  <c r="F14" i="15"/>
  <c r="E181" i="15"/>
  <c r="E179" i="15"/>
  <c r="E260" i="15"/>
  <c r="E177" i="15"/>
  <c r="E175" i="15"/>
  <c r="E14" i="15"/>
  <c r="D181" i="15"/>
  <c r="D179" i="15"/>
  <c r="D177" i="15"/>
  <c r="D175" i="15"/>
  <c r="D260" i="15"/>
  <c r="AZ14" i="16"/>
  <c r="AY259" i="16"/>
  <c r="AY181" i="16"/>
  <c r="AY179" i="16"/>
  <c r="AY177" i="16"/>
  <c r="AY175" i="16"/>
  <c r="AY260" i="16"/>
  <c r="AX259" i="16"/>
  <c r="AY14" i="16"/>
  <c r="AX181" i="16"/>
  <c r="AX179" i="16"/>
  <c r="AX260" i="16"/>
  <c r="AX177" i="16"/>
  <c r="AX175" i="16"/>
  <c r="AW259" i="16"/>
  <c r="AX14" i="16"/>
  <c r="AW181" i="16"/>
  <c r="AW179" i="16"/>
  <c r="AW260" i="16"/>
  <c r="AW177" i="16"/>
  <c r="AW175" i="16"/>
  <c r="AV259" i="16"/>
  <c r="AW14" i="16"/>
  <c r="AV181" i="16"/>
  <c r="AV179" i="16"/>
  <c r="AV177" i="16"/>
  <c r="AV175" i="16"/>
  <c r="AV14" i="16"/>
  <c r="AU259" i="16"/>
  <c r="AU181" i="16"/>
  <c r="AU179" i="16"/>
  <c r="AU177" i="16"/>
  <c r="AU175" i="16"/>
  <c r="AT259" i="16"/>
  <c r="AU14" i="16"/>
  <c r="AT181" i="16"/>
  <c r="AT179" i="16"/>
  <c r="AT260" i="16"/>
  <c r="AT177" i="16"/>
  <c r="AT175" i="16"/>
  <c r="AS259" i="16"/>
  <c r="AT14" i="16"/>
  <c r="AS181" i="16"/>
  <c r="AS179" i="16"/>
  <c r="AS177" i="16"/>
  <c r="AS260" i="16"/>
  <c r="AS175" i="16"/>
  <c r="AR259" i="16"/>
  <c r="AS14" i="16"/>
  <c r="AR181" i="16"/>
  <c r="AR179" i="16"/>
  <c r="AR177" i="16"/>
  <c r="AR175" i="16"/>
  <c r="AR14" i="16"/>
  <c r="AQ259" i="16"/>
  <c r="AQ181" i="16"/>
  <c r="AQ179" i="16"/>
  <c r="AQ177" i="16"/>
  <c r="AQ175" i="16"/>
  <c r="AP259" i="16"/>
  <c r="AQ14" i="16"/>
  <c r="AP181" i="16"/>
  <c r="AP179" i="16"/>
  <c r="AP260" i="16"/>
  <c r="AP177" i="16"/>
  <c r="AP175" i="16"/>
  <c r="AO259" i="16"/>
  <c r="AP14" i="16"/>
  <c r="AO181" i="16"/>
  <c r="AO179" i="16"/>
  <c r="AO177" i="16"/>
  <c r="AO260" i="16"/>
  <c r="AO175" i="16"/>
  <c r="AO14" i="16"/>
  <c r="AN259" i="16"/>
  <c r="AN181" i="16"/>
  <c r="AN179" i="16"/>
  <c r="AN177" i="16"/>
  <c r="AN175" i="16"/>
  <c r="AN260" i="16"/>
  <c r="AN14" i="16"/>
  <c r="AM259" i="16"/>
  <c r="AM181" i="16"/>
  <c r="AM179" i="16"/>
  <c r="AM177" i="16"/>
  <c r="AM175" i="16"/>
  <c r="AM260" i="16"/>
  <c r="AL259" i="16"/>
  <c r="AM14" i="16"/>
  <c r="AL181" i="16"/>
  <c r="AL179" i="16"/>
  <c r="AL260" i="16"/>
  <c r="AL177" i="16"/>
  <c r="AL175" i="16"/>
  <c r="AK259" i="16"/>
  <c r="AL14" i="16"/>
  <c r="AK181" i="16"/>
  <c r="AK179" i="16"/>
  <c r="AK260" i="16"/>
  <c r="AK177" i="16"/>
  <c r="AK175" i="16"/>
  <c r="AJ259" i="16"/>
  <c r="AK14" i="16"/>
  <c r="AJ181" i="16"/>
  <c r="AJ179" i="16"/>
  <c r="AJ177" i="16"/>
  <c r="AJ175" i="16"/>
  <c r="AJ14" i="16"/>
  <c r="AI259" i="16"/>
  <c r="AI181" i="16"/>
  <c r="AI179" i="16"/>
  <c r="AI177" i="16"/>
  <c r="AI175" i="16"/>
  <c r="AI260" i="16"/>
  <c r="AH259" i="16"/>
  <c r="AI14" i="16"/>
  <c r="AH181" i="16"/>
  <c r="AH179" i="16"/>
  <c r="AH260" i="16"/>
  <c r="AH177" i="16"/>
  <c r="AH175" i="16"/>
  <c r="AG259" i="16"/>
  <c r="AH14" i="16"/>
  <c r="AG181" i="16"/>
  <c r="AG179" i="16"/>
  <c r="AG260" i="16"/>
  <c r="AG177" i="16"/>
  <c r="AG175" i="16"/>
  <c r="AF259" i="16"/>
  <c r="AG14" i="16"/>
  <c r="AF181" i="16"/>
  <c r="AF179" i="16"/>
  <c r="AF177" i="16"/>
  <c r="AF175" i="16"/>
  <c r="AF14" i="16"/>
  <c r="AE259" i="16"/>
  <c r="AE181" i="16"/>
  <c r="AE179" i="16"/>
  <c r="AE177" i="16"/>
  <c r="AE175" i="16"/>
  <c r="AD259" i="16"/>
  <c r="AE14" i="16"/>
  <c r="AD181" i="16"/>
  <c r="AD179" i="16"/>
  <c r="AD260" i="16"/>
  <c r="AD177" i="16"/>
  <c r="AD175" i="16"/>
  <c r="AC259" i="16"/>
  <c r="AD14" i="16"/>
  <c r="AC181" i="16"/>
  <c r="AC179" i="16"/>
  <c r="AC177" i="16"/>
  <c r="AC260" i="16"/>
  <c r="AC175" i="16"/>
  <c r="AB259" i="16"/>
  <c r="AC14" i="16"/>
  <c r="AB181" i="16"/>
  <c r="AB179" i="16"/>
  <c r="AB177" i="16"/>
  <c r="AB175" i="16"/>
  <c r="AB14" i="16"/>
  <c r="AA259" i="16"/>
  <c r="AA181" i="16"/>
  <c r="AA179" i="16"/>
  <c r="AA177" i="16"/>
  <c r="AA175" i="16"/>
  <c r="Z259" i="16"/>
  <c r="AA14" i="16"/>
  <c r="Z181" i="16"/>
  <c r="Z179" i="16"/>
  <c r="Z260" i="16"/>
  <c r="Z177" i="16"/>
  <c r="Z175" i="16"/>
  <c r="Y259" i="16"/>
  <c r="Z14" i="16"/>
  <c r="Y181" i="16"/>
  <c r="Y179" i="16"/>
  <c r="Y177" i="16"/>
  <c r="Y260" i="16"/>
  <c r="Y175" i="16"/>
  <c r="Y14" i="16"/>
  <c r="X259" i="16"/>
  <c r="X181" i="16"/>
  <c r="X179" i="16"/>
  <c r="X177" i="16"/>
  <c r="X175" i="16"/>
  <c r="X260" i="16"/>
  <c r="X14" i="16"/>
  <c r="W259" i="16"/>
  <c r="W181" i="16"/>
  <c r="W179" i="16"/>
  <c r="W177" i="16"/>
  <c r="W175" i="16"/>
  <c r="W260" i="16"/>
  <c r="V259" i="16"/>
  <c r="W14" i="16"/>
  <c r="V181" i="16"/>
  <c r="V179" i="16"/>
  <c r="V177" i="16"/>
  <c r="V175" i="16"/>
  <c r="U259" i="16"/>
  <c r="V14" i="16"/>
  <c r="U181" i="16"/>
  <c r="U179" i="16"/>
  <c r="U260" i="16"/>
  <c r="U177" i="16"/>
  <c r="U175" i="16"/>
  <c r="U14" i="16"/>
  <c r="T259" i="16"/>
  <c r="T181" i="16"/>
  <c r="T179" i="16"/>
  <c r="T177" i="16"/>
  <c r="T175" i="16"/>
  <c r="T260" i="16"/>
  <c r="T14" i="16"/>
  <c r="S259" i="16"/>
  <c r="S181" i="16"/>
  <c r="S179" i="16"/>
  <c r="S177" i="16"/>
  <c r="S175" i="16"/>
  <c r="S260" i="16"/>
  <c r="R259" i="16"/>
  <c r="S14" i="16"/>
  <c r="R181" i="16"/>
  <c r="R179" i="16"/>
  <c r="R260" i="16"/>
  <c r="R177" i="16"/>
  <c r="R175" i="16"/>
  <c r="Q259" i="16"/>
  <c r="R14" i="16"/>
  <c r="Q181" i="16"/>
  <c r="Q179" i="16"/>
  <c r="Q260" i="16"/>
  <c r="Q177" i="16"/>
  <c r="Q175" i="16"/>
  <c r="P259" i="16"/>
  <c r="Q14" i="16"/>
  <c r="P181" i="16"/>
  <c r="P179" i="16"/>
  <c r="P177" i="16"/>
  <c r="P175" i="16"/>
  <c r="P14" i="16"/>
  <c r="O259" i="16"/>
  <c r="O181" i="16"/>
  <c r="O179" i="16"/>
  <c r="O177" i="16"/>
  <c r="O175" i="16"/>
  <c r="N259" i="16"/>
  <c r="O14" i="16"/>
  <c r="N181" i="16"/>
  <c r="N179" i="16"/>
  <c r="N260" i="16"/>
  <c r="N177" i="16"/>
  <c r="N175" i="16"/>
  <c r="M259" i="16"/>
  <c r="N14" i="16"/>
  <c r="M181" i="16"/>
  <c r="M179" i="16"/>
  <c r="M177" i="16"/>
  <c r="M260" i="16"/>
  <c r="M175" i="16"/>
  <c r="L259" i="16"/>
  <c r="M14" i="16"/>
  <c r="L181" i="16"/>
  <c r="L179" i="16"/>
  <c r="L177" i="16"/>
  <c r="L175" i="16"/>
  <c r="L14" i="16"/>
  <c r="K259" i="16"/>
  <c r="K181" i="16"/>
  <c r="K179" i="16"/>
  <c r="K177" i="16"/>
  <c r="K175" i="16"/>
  <c r="K260" i="16"/>
  <c r="J259" i="16"/>
  <c r="K14" i="16"/>
  <c r="J181" i="16"/>
  <c r="J179" i="16"/>
  <c r="J260" i="16"/>
  <c r="J177" i="16"/>
  <c r="J175" i="16"/>
  <c r="I259" i="16"/>
  <c r="J14" i="16"/>
  <c r="I181" i="16"/>
  <c r="I179" i="16"/>
  <c r="I260" i="16"/>
  <c r="I177" i="16"/>
  <c r="I175" i="16"/>
  <c r="I14" i="16"/>
  <c r="H259" i="16"/>
  <c r="H181" i="16"/>
  <c r="H179" i="16"/>
  <c r="H177" i="16"/>
  <c r="H175" i="16"/>
  <c r="H260" i="16"/>
  <c r="H14" i="16"/>
  <c r="G259" i="16"/>
  <c r="G181" i="16"/>
  <c r="G179" i="16"/>
  <c r="G177" i="16"/>
  <c r="G175" i="16"/>
  <c r="G260" i="16"/>
  <c r="G14" i="16"/>
  <c r="F259" i="16"/>
  <c r="F181" i="16"/>
  <c r="F179" i="16"/>
  <c r="F260" i="16"/>
  <c r="F177" i="16"/>
  <c r="F175" i="16"/>
  <c r="E259" i="16"/>
  <c r="F14" i="16"/>
  <c r="E181" i="16"/>
  <c r="E179" i="16"/>
  <c r="E177" i="16"/>
  <c r="E260" i="16"/>
  <c r="E175" i="16"/>
  <c r="E14" i="16"/>
  <c r="D259" i="16"/>
  <c r="D181" i="16"/>
  <c r="D179" i="16"/>
  <c r="D177" i="16"/>
  <c r="D175" i="16"/>
  <c r="D260" i="16"/>
  <c r="AY14" i="17"/>
  <c r="AY15" i="17"/>
  <c r="AY16" i="17"/>
  <c r="AY10" i="17"/>
  <c r="AY13" i="17"/>
  <c r="AY17" i="17"/>
  <c r="AY29" i="17"/>
  <c r="AX14" i="17"/>
  <c r="AX10" i="17"/>
  <c r="AX13" i="17"/>
  <c r="AX15" i="17"/>
  <c r="AX16" i="17"/>
  <c r="AX17" i="17"/>
  <c r="AX29" i="17"/>
  <c r="AW14" i="17"/>
  <c r="AW15" i="17"/>
  <c r="AW16" i="17"/>
  <c r="AW17" i="17"/>
  <c r="AW29" i="17"/>
  <c r="AV14" i="17"/>
  <c r="AV10" i="17"/>
  <c r="AV13" i="17"/>
  <c r="AV15" i="17"/>
  <c r="AV16" i="17"/>
  <c r="AV17" i="17"/>
  <c r="AV29" i="17"/>
  <c r="AU14" i="17"/>
  <c r="AU15" i="17"/>
  <c r="AU16" i="17"/>
  <c r="AU17" i="17"/>
  <c r="AU29" i="17"/>
  <c r="AT14" i="17"/>
  <c r="AT10" i="17"/>
  <c r="AT13" i="17"/>
  <c r="AT15" i="17"/>
  <c r="AT16" i="17"/>
  <c r="AT17" i="17"/>
  <c r="AT29" i="17"/>
  <c r="AS14" i="17"/>
  <c r="AS10" i="17"/>
  <c r="AS13" i="17"/>
  <c r="AS15" i="17"/>
  <c r="AS16" i="17"/>
  <c r="AS17" i="17"/>
  <c r="AS29" i="17"/>
  <c r="AR14" i="17"/>
  <c r="AR10" i="17"/>
  <c r="AR13" i="17"/>
  <c r="AR15" i="17"/>
  <c r="AR16" i="17"/>
  <c r="AR17" i="17"/>
  <c r="AR29" i="17"/>
  <c r="AQ14" i="17"/>
  <c r="AQ15" i="17"/>
  <c r="AQ16" i="17"/>
  <c r="AQ10" i="17"/>
  <c r="AQ13" i="17"/>
  <c r="AQ17" i="17"/>
  <c r="AQ29" i="17"/>
  <c r="AP14" i="17"/>
  <c r="AP10" i="17"/>
  <c r="AP13" i="17"/>
  <c r="AP15" i="17"/>
  <c r="AP16" i="17"/>
  <c r="AP17" i="17"/>
  <c r="AP29" i="17"/>
  <c r="AO14" i="17"/>
  <c r="AO10" i="17"/>
  <c r="AO13" i="17"/>
  <c r="AO15" i="17"/>
  <c r="AO16" i="17"/>
  <c r="AO17" i="17"/>
  <c r="AO29" i="17"/>
  <c r="AN21" i="17"/>
  <c r="AN22" i="17"/>
  <c r="AN56" i="17"/>
  <c r="AN62" i="17"/>
  <c r="AN23" i="17"/>
  <c r="AN29" i="17"/>
  <c r="AN33" i="17"/>
  <c r="AN39" i="17"/>
  <c r="AN44" i="17"/>
  <c r="AN45" i="17"/>
  <c r="AN50" i="17"/>
  <c r="AN55" i="17"/>
  <c r="AM14" i="17"/>
  <c r="AN15" i="17"/>
  <c r="AM15" i="17"/>
  <c r="AN16" i="17"/>
  <c r="AM16" i="17"/>
  <c r="AN17" i="17"/>
  <c r="AM17" i="17"/>
  <c r="AM29" i="17"/>
  <c r="AL14" i="17"/>
  <c r="AL10" i="17"/>
  <c r="AL13" i="17"/>
  <c r="AL15" i="17"/>
  <c r="AL16" i="17"/>
  <c r="AL17" i="17"/>
  <c r="AL29" i="17"/>
  <c r="AK14" i="17"/>
  <c r="AK10" i="17"/>
  <c r="AK15" i="17"/>
  <c r="AK16" i="17"/>
  <c r="AK13" i="17"/>
  <c r="AK17" i="17"/>
  <c r="AK29" i="17"/>
  <c r="AJ14" i="17"/>
  <c r="AJ15" i="17"/>
  <c r="AJ16" i="17"/>
  <c r="AJ10" i="17"/>
  <c r="AJ13" i="17"/>
  <c r="AJ17" i="17"/>
  <c r="AJ29" i="17"/>
  <c r="AI16" i="17"/>
  <c r="AI21" i="17"/>
  <c r="AI33" i="17"/>
  <c r="AI22" i="17"/>
  <c r="AI24" i="17"/>
  <c r="AI23" i="17"/>
  <c r="AI29" i="17"/>
  <c r="AI39" i="17"/>
  <c r="AI44" i="17"/>
  <c r="AI50" i="17"/>
  <c r="AI45" i="17"/>
  <c r="AI51" i="17"/>
  <c r="AI46" i="17"/>
  <c r="AI55" i="17"/>
  <c r="AI57" i="17"/>
  <c r="AI56" i="17"/>
  <c r="AI62" i="17"/>
  <c r="AH14" i="17"/>
  <c r="AH15" i="17"/>
  <c r="AH16" i="17"/>
  <c r="AI17" i="17"/>
  <c r="AH17" i="17"/>
  <c r="AH29" i="17"/>
  <c r="AG14" i="17"/>
  <c r="AG10" i="17"/>
  <c r="AG15" i="17"/>
  <c r="AG16" i="17"/>
  <c r="AG13" i="17"/>
  <c r="AG17" i="17"/>
  <c r="AG29" i="17"/>
  <c r="AF14" i="17"/>
  <c r="AF10" i="17"/>
  <c r="AF13" i="17"/>
  <c r="AF15" i="17"/>
  <c r="AF16" i="17"/>
  <c r="AF17" i="17"/>
  <c r="AF29" i="17"/>
  <c r="AE14" i="17"/>
  <c r="AE10" i="17"/>
  <c r="AE13" i="17"/>
  <c r="AE15" i="17"/>
  <c r="AE16" i="17"/>
  <c r="AE17" i="17"/>
  <c r="AE29" i="17"/>
  <c r="AD14" i="17"/>
  <c r="AD10" i="17"/>
  <c r="AD15" i="17"/>
  <c r="AD16" i="17"/>
  <c r="AD13" i="17"/>
  <c r="AD17" i="17"/>
  <c r="AD29" i="17"/>
  <c r="AC14" i="17"/>
  <c r="AC10" i="17"/>
  <c r="AC15" i="17"/>
  <c r="AC16" i="17"/>
  <c r="AC13" i="17"/>
  <c r="AC17" i="17"/>
  <c r="AC29" i="17"/>
  <c r="AB14" i="17"/>
  <c r="AB10" i="17"/>
  <c r="AB15" i="17"/>
  <c r="AB16" i="17"/>
  <c r="AB13" i="17"/>
  <c r="AB17" i="17"/>
  <c r="AB29" i="17"/>
  <c r="AA14" i="17"/>
  <c r="AA10" i="17"/>
  <c r="AA13" i="17"/>
  <c r="AA15" i="17"/>
  <c r="AA16" i="17"/>
  <c r="AA17" i="17"/>
  <c r="AA29" i="17"/>
  <c r="Z14" i="17"/>
  <c r="Z15" i="17"/>
  <c r="Z16" i="17"/>
  <c r="Z10" i="17"/>
  <c r="Z13" i="17"/>
  <c r="Z17" i="17"/>
  <c r="Z29" i="17"/>
  <c r="Y14" i="17"/>
  <c r="Y10" i="17"/>
  <c r="Y13" i="17"/>
  <c r="Y15" i="17"/>
  <c r="Y16" i="17"/>
  <c r="Y17" i="17"/>
  <c r="Y29" i="17"/>
  <c r="X21" i="17"/>
  <c r="X22" i="17"/>
  <c r="X23" i="17"/>
  <c r="X29" i="17"/>
  <c r="X33" i="17"/>
  <c r="X39" i="17"/>
  <c r="X44" i="17"/>
  <c r="X50" i="17"/>
  <c r="X45" i="17"/>
  <c r="X51" i="17"/>
  <c r="X46" i="17"/>
  <c r="X55" i="17"/>
  <c r="X56" i="17"/>
  <c r="X62" i="17"/>
  <c r="W14" i="17"/>
  <c r="W15" i="17"/>
  <c r="X16" i="17"/>
  <c r="W16" i="17"/>
  <c r="X17" i="17"/>
  <c r="W17" i="17"/>
  <c r="W29" i="17"/>
  <c r="V14" i="17"/>
  <c r="V15" i="17"/>
  <c r="V16" i="17"/>
  <c r="V10" i="17"/>
  <c r="V13" i="17"/>
  <c r="V17" i="17"/>
  <c r="V29" i="17"/>
  <c r="U14" i="17"/>
  <c r="U10" i="17"/>
  <c r="U15" i="17"/>
  <c r="U16" i="17"/>
  <c r="U13" i="17"/>
  <c r="U17" i="17"/>
  <c r="U29" i="17"/>
  <c r="T14" i="17"/>
  <c r="T15" i="17"/>
  <c r="T16" i="17"/>
  <c r="T10" i="17"/>
  <c r="T13" i="17"/>
  <c r="T17" i="17"/>
  <c r="T29" i="17"/>
  <c r="S21" i="17"/>
  <c r="S22" i="17"/>
  <c r="S23" i="17"/>
  <c r="S29" i="17"/>
  <c r="S33" i="17"/>
  <c r="S39" i="17"/>
  <c r="S44" i="17"/>
  <c r="S50" i="17"/>
  <c r="S55" i="17"/>
  <c r="R14" i="17"/>
  <c r="R15" i="17"/>
  <c r="S16" i="17"/>
  <c r="R16" i="17"/>
  <c r="S17" i="17"/>
  <c r="R17" i="17"/>
  <c r="R29" i="17"/>
  <c r="Q14" i="17"/>
  <c r="Q15" i="17"/>
  <c r="Q16" i="17"/>
  <c r="Q10" i="17"/>
  <c r="Q13" i="17"/>
  <c r="Q17" i="17"/>
  <c r="Q29" i="17"/>
  <c r="P14" i="17"/>
  <c r="P10" i="17"/>
  <c r="P13" i="17"/>
  <c r="P15" i="17"/>
  <c r="P16" i="17"/>
  <c r="P17" i="17"/>
  <c r="P29" i="17"/>
  <c r="O14" i="17"/>
  <c r="O15" i="17"/>
  <c r="O16" i="17"/>
  <c r="O10" i="17"/>
  <c r="O13" i="17"/>
  <c r="O17" i="17"/>
  <c r="O29" i="17"/>
  <c r="N14" i="17"/>
  <c r="N10" i="17"/>
  <c r="N13" i="17"/>
  <c r="N15" i="17"/>
  <c r="N16" i="17"/>
  <c r="N17" i="17"/>
  <c r="N29" i="17"/>
  <c r="M14" i="17"/>
  <c r="M15" i="17"/>
  <c r="M16" i="17"/>
  <c r="M10" i="17"/>
  <c r="M13" i="17"/>
  <c r="M17" i="17"/>
  <c r="M29" i="17"/>
  <c r="L14" i="17"/>
  <c r="L10" i="17"/>
  <c r="L13" i="17"/>
  <c r="L15" i="17"/>
  <c r="L16" i="17"/>
  <c r="L17" i="17"/>
  <c r="L29" i="17"/>
  <c r="K21" i="17"/>
  <c r="K22" i="17"/>
  <c r="K23" i="17"/>
  <c r="K29" i="17"/>
  <c r="K33" i="17"/>
  <c r="K39" i="17"/>
  <c r="K44" i="17"/>
  <c r="K45" i="17"/>
  <c r="K51" i="17"/>
  <c r="K46" i="17"/>
  <c r="K50" i="17"/>
  <c r="K55" i="17"/>
  <c r="K56" i="17"/>
  <c r="K62" i="17"/>
  <c r="J14" i="17"/>
  <c r="K15" i="17"/>
  <c r="J15" i="17"/>
  <c r="K16" i="17"/>
  <c r="J16" i="17"/>
  <c r="K17" i="17"/>
  <c r="J10" i="17"/>
  <c r="J13" i="17"/>
  <c r="K14" i="17"/>
  <c r="J17" i="17"/>
  <c r="J29" i="17"/>
  <c r="I14" i="17"/>
  <c r="I10" i="17"/>
  <c r="I13" i="17"/>
  <c r="I15" i="17"/>
  <c r="I16" i="17"/>
  <c r="I17" i="17"/>
  <c r="I29" i="17"/>
  <c r="H14" i="17"/>
  <c r="H15" i="17"/>
  <c r="H16" i="17"/>
  <c r="H10" i="17"/>
  <c r="H13" i="17"/>
  <c r="H17" i="17"/>
  <c r="H29" i="17"/>
  <c r="G14" i="17"/>
  <c r="G10" i="17"/>
  <c r="G13" i="17"/>
  <c r="G15" i="17"/>
  <c r="G16" i="17"/>
  <c r="G17" i="17"/>
  <c r="G29" i="17"/>
  <c r="F14" i="17"/>
  <c r="F15" i="17"/>
  <c r="F16" i="17"/>
  <c r="F10" i="17"/>
  <c r="F13" i="17"/>
  <c r="F17" i="17"/>
  <c r="F29" i="17"/>
  <c r="E14" i="17"/>
  <c r="E10" i="17"/>
  <c r="E13" i="17"/>
  <c r="E15" i="17"/>
  <c r="E16" i="17"/>
  <c r="E17" i="17"/>
  <c r="E29" i="17"/>
  <c r="D14" i="17"/>
  <c r="D15" i="17"/>
  <c r="D16" i="17"/>
  <c r="D10" i="17"/>
  <c r="D17" i="17"/>
  <c r="D27" i="17"/>
  <c r="D29" i="17"/>
  <c r="D30" i="17"/>
  <c r="AY14" i="18"/>
  <c r="AY15" i="18"/>
  <c r="AY16" i="18"/>
  <c r="AY10" i="18"/>
  <c r="AY13" i="18"/>
  <c r="AY17" i="18"/>
  <c r="AY29" i="18"/>
  <c r="AX14" i="18"/>
  <c r="AX10" i="18"/>
  <c r="AX15" i="18"/>
  <c r="AX16" i="18"/>
  <c r="AX13" i="18"/>
  <c r="AX17" i="18"/>
  <c r="AX22" i="18"/>
  <c r="AX29" i="18"/>
  <c r="AX56" i="18"/>
  <c r="AX62" i="18"/>
  <c r="AW14" i="18"/>
  <c r="AW10" i="18"/>
  <c r="AW13" i="18"/>
  <c r="AW15" i="18"/>
  <c r="AW16" i="18"/>
  <c r="AW17" i="18"/>
  <c r="AW29" i="18"/>
  <c r="AV16" i="18"/>
  <c r="AV21" i="18"/>
  <c r="AV23" i="18"/>
  <c r="AV22" i="18"/>
  <c r="AV24" i="18"/>
  <c r="AV29" i="18"/>
  <c r="AV34" i="18"/>
  <c r="AV40" i="18"/>
  <c r="AV45" i="18"/>
  <c r="AV51" i="18"/>
  <c r="AV56" i="18"/>
  <c r="AV62" i="18"/>
  <c r="AU14" i="18"/>
  <c r="AU15" i="18"/>
  <c r="AU16" i="18"/>
  <c r="AV17" i="18"/>
  <c r="AU17" i="18"/>
  <c r="AU29" i="18"/>
  <c r="AT14" i="18"/>
  <c r="AT10" i="18"/>
  <c r="AT13" i="18"/>
  <c r="AU21" i="18"/>
  <c r="AT15" i="18"/>
  <c r="AT16" i="18"/>
  <c r="AT17" i="18"/>
  <c r="AT29" i="18"/>
  <c r="AS14" i="18"/>
  <c r="AS10" i="18"/>
  <c r="AS15" i="18"/>
  <c r="AS16" i="18"/>
  <c r="AS13" i="18"/>
  <c r="AS17" i="18"/>
  <c r="AS29" i="18"/>
  <c r="AR14" i="18"/>
  <c r="AR15" i="18"/>
  <c r="AR16" i="18"/>
  <c r="AR17" i="18"/>
  <c r="AR29" i="18"/>
  <c r="AQ14" i="18"/>
  <c r="AQ15" i="18"/>
  <c r="AQ16" i="18"/>
  <c r="AQ17" i="18"/>
  <c r="AQ29" i="18"/>
  <c r="AP14" i="18"/>
  <c r="AP10" i="18"/>
  <c r="AP13" i="18"/>
  <c r="AQ21" i="18"/>
  <c r="AP15" i="18"/>
  <c r="AP16" i="18"/>
  <c r="AP17" i="18"/>
  <c r="AP29" i="18"/>
  <c r="AO14" i="18"/>
  <c r="AO10" i="18"/>
  <c r="AO15" i="18"/>
  <c r="AO16" i="18"/>
  <c r="AO13" i="18"/>
  <c r="AO17" i="18"/>
  <c r="AO29" i="18"/>
  <c r="AN14" i="18"/>
  <c r="AN15" i="18"/>
  <c r="AN16" i="18"/>
  <c r="AN17" i="18"/>
  <c r="AN29" i="18"/>
  <c r="AM14" i="18"/>
  <c r="AM15" i="18"/>
  <c r="AM16" i="18"/>
  <c r="AM17" i="18"/>
  <c r="AM29" i="18"/>
  <c r="AL14" i="18"/>
  <c r="AL10" i="18"/>
  <c r="AL13" i="18"/>
  <c r="AM21" i="18"/>
  <c r="AL15" i="18"/>
  <c r="AL16" i="18"/>
  <c r="AL17" i="18"/>
  <c r="AL29" i="18"/>
  <c r="AK14" i="18"/>
  <c r="AK10" i="18"/>
  <c r="AK15" i="18"/>
  <c r="AK16" i="18"/>
  <c r="AK13" i="18"/>
  <c r="AK17" i="18"/>
  <c r="AK29" i="18"/>
  <c r="AJ14" i="18"/>
  <c r="AJ15" i="18"/>
  <c r="AJ16" i="18"/>
  <c r="AJ17" i="18"/>
  <c r="AJ29" i="18"/>
  <c r="AI14" i="18"/>
  <c r="AI10" i="18"/>
  <c r="AI15" i="18"/>
  <c r="AI16" i="18"/>
  <c r="AI13" i="18"/>
  <c r="AI17" i="18"/>
  <c r="AI29" i="18"/>
  <c r="AH14" i="18"/>
  <c r="AH15" i="18"/>
  <c r="AH16" i="18"/>
  <c r="AH17" i="18"/>
  <c r="AH29" i="18"/>
  <c r="AG14" i="18"/>
  <c r="AG15" i="18"/>
  <c r="AG16" i="18"/>
  <c r="AG17" i="18"/>
  <c r="AG29" i="18"/>
  <c r="AF14" i="18"/>
  <c r="AF10" i="18"/>
  <c r="AF13" i="18"/>
  <c r="AF15" i="18"/>
  <c r="AF16" i="18"/>
  <c r="AF17" i="18"/>
  <c r="AF29" i="18"/>
  <c r="AE14" i="18"/>
  <c r="AE10" i="18"/>
  <c r="AE15" i="18"/>
  <c r="AE16" i="18"/>
  <c r="AE13" i="18"/>
  <c r="AF22" i="18"/>
  <c r="AF34" i="18"/>
  <c r="AF40" i="18"/>
  <c r="AE17" i="18"/>
  <c r="AE29" i="18"/>
  <c r="AD14" i="18"/>
  <c r="AD15" i="18"/>
  <c r="AD16" i="18"/>
  <c r="AD17" i="18"/>
  <c r="AD29" i="18"/>
  <c r="AC14" i="18"/>
  <c r="AC15" i="18"/>
  <c r="AC16" i="18"/>
  <c r="AC17" i="18"/>
  <c r="AC29" i="18"/>
  <c r="AB14" i="18"/>
  <c r="AB10" i="18"/>
  <c r="AB13" i="18"/>
  <c r="AB15" i="18"/>
  <c r="AB16" i="18"/>
  <c r="AB17" i="18"/>
  <c r="AB29" i="18"/>
  <c r="AA14" i="18"/>
  <c r="AA10" i="18"/>
  <c r="AA15" i="18"/>
  <c r="AA16" i="18"/>
  <c r="AA13" i="18"/>
  <c r="AB22" i="18"/>
  <c r="AA17" i="18"/>
  <c r="AA29" i="18"/>
  <c r="Z14" i="18"/>
  <c r="Z15" i="18"/>
  <c r="Z16" i="18"/>
  <c r="Z17" i="18"/>
  <c r="Z29" i="18"/>
  <c r="Y14" i="18"/>
  <c r="Y15" i="18"/>
  <c r="Y16" i="18"/>
  <c r="Y17" i="18"/>
  <c r="Y29" i="18"/>
  <c r="X14" i="18"/>
  <c r="X10" i="18"/>
  <c r="X13" i="18"/>
  <c r="X15" i="18"/>
  <c r="X16" i="18"/>
  <c r="X17" i="18"/>
  <c r="X29" i="18"/>
  <c r="W14" i="18"/>
  <c r="W10" i="18"/>
  <c r="W15" i="18"/>
  <c r="W16" i="18"/>
  <c r="W13" i="18"/>
  <c r="X22" i="18"/>
  <c r="W17" i="18"/>
  <c r="W29" i="18"/>
  <c r="V14" i="18"/>
  <c r="V15" i="18"/>
  <c r="V16" i="18"/>
  <c r="V17" i="18"/>
  <c r="V29" i="18"/>
  <c r="U14" i="18"/>
  <c r="U15" i="18"/>
  <c r="U16" i="18"/>
  <c r="U17" i="18"/>
  <c r="U29" i="18"/>
  <c r="T14" i="18"/>
  <c r="T10" i="18"/>
  <c r="T13" i="18"/>
  <c r="T15" i="18"/>
  <c r="T16" i="18"/>
  <c r="T17" i="18"/>
  <c r="T29" i="18"/>
  <c r="S14" i="18"/>
  <c r="S10" i="18"/>
  <c r="S15" i="18"/>
  <c r="S16" i="18"/>
  <c r="S13" i="18"/>
  <c r="T22" i="18"/>
  <c r="T34" i="18"/>
  <c r="T40" i="18"/>
  <c r="S17" i="18"/>
  <c r="S29" i="18"/>
  <c r="R14" i="18"/>
  <c r="R15" i="18"/>
  <c r="R16" i="18"/>
  <c r="R17" i="18"/>
  <c r="R29" i="18"/>
  <c r="Q14" i="18"/>
  <c r="Q10" i="18"/>
  <c r="Q13" i="18"/>
  <c r="Q15" i="18"/>
  <c r="Q16" i="18"/>
  <c r="Q17" i="18"/>
  <c r="Q29" i="18"/>
  <c r="P14" i="18"/>
  <c r="P15" i="18"/>
  <c r="P16" i="18"/>
  <c r="P17" i="18"/>
  <c r="P29" i="18"/>
  <c r="O14" i="18"/>
  <c r="O15" i="18"/>
  <c r="O16" i="18"/>
  <c r="O10" i="18"/>
  <c r="O13" i="18"/>
  <c r="O17" i="18"/>
  <c r="O29" i="18"/>
  <c r="N14" i="18"/>
  <c r="N15" i="18"/>
  <c r="N16" i="18"/>
  <c r="N10" i="18"/>
  <c r="N13" i="18"/>
  <c r="N17" i="18"/>
  <c r="N29" i="18"/>
  <c r="M14" i="18"/>
  <c r="M15" i="18"/>
  <c r="M16" i="18"/>
  <c r="M10" i="18"/>
  <c r="M13" i="18"/>
  <c r="M17" i="18"/>
  <c r="M29" i="18"/>
  <c r="L17" i="18"/>
  <c r="L21" i="18"/>
  <c r="L22" i="18"/>
  <c r="L34" i="18"/>
  <c r="L23" i="18"/>
  <c r="L29" i="18"/>
  <c r="L33" i="18"/>
  <c r="L39" i="18"/>
  <c r="L44" i="18"/>
  <c r="L45" i="18"/>
  <c r="L51" i="18"/>
  <c r="L50" i="18"/>
  <c r="L55" i="18"/>
  <c r="L61" i="18"/>
  <c r="K14" i="18"/>
  <c r="L15" i="18"/>
  <c r="K15" i="18"/>
  <c r="L16" i="18"/>
  <c r="K16" i="18"/>
  <c r="K10" i="18"/>
  <c r="K13" i="18"/>
  <c r="L14" i="18"/>
  <c r="K17" i="18"/>
  <c r="K29" i="18"/>
  <c r="J14" i="18"/>
  <c r="J15" i="18"/>
  <c r="J16" i="18"/>
  <c r="J10" i="18"/>
  <c r="J13" i="18"/>
  <c r="J17" i="18"/>
  <c r="J29" i="18"/>
  <c r="I14" i="18"/>
  <c r="I15" i="18"/>
  <c r="I16" i="18"/>
  <c r="I10" i="18"/>
  <c r="I13" i="18"/>
  <c r="I17" i="18"/>
  <c r="I29" i="18"/>
  <c r="H14" i="18"/>
  <c r="H15" i="18"/>
  <c r="H16" i="18"/>
  <c r="H10" i="18"/>
  <c r="H13" i="18"/>
  <c r="H17" i="18"/>
  <c r="H29" i="18"/>
  <c r="G14" i="18"/>
  <c r="G15" i="18"/>
  <c r="G16" i="18"/>
  <c r="G10" i="18"/>
  <c r="G13" i="18"/>
  <c r="G17" i="18"/>
  <c r="G29" i="18"/>
  <c r="F14" i="18"/>
  <c r="F15" i="18"/>
  <c r="F16" i="18"/>
  <c r="F10" i="18"/>
  <c r="F13" i="18"/>
  <c r="F17" i="18"/>
  <c r="F29" i="18"/>
  <c r="E14" i="18"/>
  <c r="E15" i="18"/>
  <c r="E16" i="18"/>
  <c r="E10" i="18"/>
  <c r="E13" i="18"/>
  <c r="E17" i="18"/>
  <c r="E29" i="18"/>
  <c r="D14" i="18"/>
  <c r="D15" i="18"/>
  <c r="D16" i="18"/>
  <c r="D10" i="18"/>
  <c r="D17" i="18"/>
  <c r="D22" i="18"/>
  <c r="D27" i="18"/>
  <c r="E27" i="18"/>
  <c r="D29" i="18"/>
  <c r="D30" i="18"/>
  <c r="B21" i="17"/>
  <c r="D21" i="17"/>
  <c r="D55" i="17"/>
  <c r="B21" i="18"/>
  <c r="D21" i="18"/>
  <c r="D133" i="19"/>
  <c r="E133" i="19"/>
  <c r="F133" i="19"/>
  <c r="G133" i="19"/>
  <c r="H133" i="19"/>
  <c r="I133" i="19"/>
  <c r="J133" i="19"/>
  <c r="K133" i="19"/>
  <c r="L133" i="19"/>
  <c r="M133" i="19"/>
  <c r="N133" i="19"/>
  <c r="O133" i="19"/>
  <c r="P133" i="19"/>
  <c r="Q133" i="19"/>
  <c r="R133" i="19"/>
  <c r="S133" i="19"/>
  <c r="T133" i="19"/>
  <c r="U133" i="19"/>
  <c r="V133" i="19"/>
  <c r="W133" i="19"/>
  <c r="X133" i="19"/>
  <c r="Y133" i="19"/>
  <c r="Z133" i="19"/>
  <c r="AA133" i="19"/>
  <c r="AB133" i="19"/>
  <c r="AC133" i="19"/>
  <c r="AD133" i="19"/>
  <c r="AE133" i="19"/>
  <c r="AF133" i="19"/>
  <c r="AG133" i="19"/>
  <c r="AH133" i="19"/>
  <c r="AI133" i="19"/>
  <c r="AJ133" i="19"/>
  <c r="AK133" i="19"/>
  <c r="AL133" i="19"/>
  <c r="AM133" i="19"/>
  <c r="AN133" i="19"/>
  <c r="AO133" i="19"/>
  <c r="AP133" i="19"/>
  <c r="AQ133" i="19"/>
  <c r="AR133" i="19"/>
  <c r="AS133" i="19"/>
  <c r="AT133" i="19"/>
  <c r="AU133" i="19"/>
  <c r="AV133" i="19"/>
  <c r="AW133" i="19"/>
  <c r="AX133" i="19"/>
  <c r="C133" i="19"/>
  <c r="D127" i="19"/>
  <c r="E127" i="19"/>
  <c r="F127" i="19"/>
  <c r="G127" i="19"/>
  <c r="H127" i="19"/>
  <c r="I127" i="19"/>
  <c r="J127" i="19"/>
  <c r="K127" i="19"/>
  <c r="L127" i="19"/>
  <c r="M127" i="19"/>
  <c r="N127" i="19"/>
  <c r="O127" i="19"/>
  <c r="P127" i="19"/>
  <c r="Q127" i="19"/>
  <c r="R127" i="19"/>
  <c r="S127" i="19"/>
  <c r="T127" i="19"/>
  <c r="U127" i="19"/>
  <c r="V127" i="19"/>
  <c r="W127" i="19"/>
  <c r="X127" i="19"/>
  <c r="Y127" i="19"/>
  <c r="Z127" i="19"/>
  <c r="AA127" i="19"/>
  <c r="AB127" i="19"/>
  <c r="AC127" i="19"/>
  <c r="AD127" i="19"/>
  <c r="AE127" i="19"/>
  <c r="AF127" i="19"/>
  <c r="AG127" i="19"/>
  <c r="AH127" i="19"/>
  <c r="AI127" i="19"/>
  <c r="AJ127" i="19"/>
  <c r="AK127" i="19"/>
  <c r="AL127" i="19"/>
  <c r="AM127" i="19"/>
  <c r="AN127" i="19"/>
  <c r="AO127" i="19"/>
  <c r="AP127" i="19"/>
  <c r="AQ127" i="19"/>
  <c r="AR127" i="19"/>
  <c r="AS127" i="19"/>
  <c r="AT127" i="19"/>
  <c r="AU127" i="19"/>
  <c r="AV127" i="19"/>
  <c r="AW127" i="19"/>
  <c r="AX127" i="19"/>
  <c r="C127" i="19"/>
  <c r="D121" i="19"/>
  <c r="E121" i="19"/>
  <c r="F121" i="19"/>
  <c r="G121" i="19"/>
  <c r="H121" i="19"/>
  <c r="I121" i="19"/>
  <c r="J121" i="19"/>
  <c r="K121" i="19"/>
  <c r="L121" i="19"/>
  <c r="M121" i="19"/>
  <c r="N121" i="19"/>
  <c r="O121" i="19"/>
  <c r="P121" i="19"/>
  <c r="Q121" i="19"/>
  <c r="R121" i="19"/>
  <c r="S121" i="19"/>
  <c r="T121" i="19"/>
  <c r="U121" i="19"/>
  <c r="V121" i="19"/>
  <c r="W121" i="19"/>
  <c r="X121" i="19"/>
  <c r="Y121" i="19"/>
  <c r="Z121" i="19"/>
  <c r="AA121" i="19"/>
  <c r="AB121" i="19"/>
  <c r="AC121" i="19"/>
  <c r="AD121" i="19"/>
  <c r="AE121" i="19"/>
  <c r="AF121" i="19"/>
  <c r="AG121" i="19"/>
  <c r="AH121" i="19"/>
  <c r="AI121" i="19"/>
  <c r="AJ121" i="19"/>
  <c r="AK121" i="19"/>
  <c r="AL121" i="19"/>
  <c r="AM121" i="19"/>
  <c r="AN121" i="19"/>
  <c r="AO121" i="19"/>
  <c r="AP121" i="19"/>
  <c r="AQ121" i="19"/>
  <c r="AR121" i="19"/>
  <c r="AS121" i="19"/>
  <c r="AT121" i="19"/>
  <c r="AU121" i="19"/>
  <c r="AV121" i="19"/>
  <c r="AW121" i="19"/>
  <c r="AX121" i="19"/>
  <c r="C121" i="19"/>
  <c r="D115" i="19"/>
  <c r="E115" i="19"/>
  <c r="F115" i="19"/>
  <c r="G115" i="19"/>
  <c r="H115" i="19"/>
  <c r="I115" i="19"/>
  <c r="J115" i="19"/>
  <c r="K115" i="19"/>
  <c r="L115" i="19"/>
  <c r="M115" i="19"/>
  <c r="N115" i="19"/>
  <c r="O115" i="19"/>
  <c r="P115" i="19"/>
  <c r="Q115" i="19"/>
  <c r="R115" i="19"/>
  <c r="S115" i="19"/>
  <c r="T115" i="19"/>
  <c r="U115" i="19"/>
  <c r="V115" i="19"/>
  <c r="W115" i="19"/>
  <c r="X115" i="19"/>
  <c r="Y115" i="19"/>
  <c r="Z115" i="19"/>
  <c r="AA115" i="19"/>
  <c r="AB115" i="19"/>
  <c r="AC115" i="19"/>
  <c r="AD115" i="19"/>
  <c r="AE115" i="19"/>
  <c r="AF115" i="19"/>
  <c r="AG115" i="19"/>
  <c r="AH115" i="19"/>
  <c r="AI115" i="19"/>
  <c r="AJ115" i="19"/>
  <c r="AK115" i="19"/>
  <c r="AL115" i="19"/>
  <c r="AM115" i="19"/>
  <c r="AN115" i="19"/>
  <c r="AO115" i="19"/>
  <c r="AP115" i="19"/>
  <c r="AQ115" i="19"/>
  <c r="AR115" i="19"/>
  <c r="AS115" i="19"/>
  <c r="AT115" i="19"/>
  <c r="AU115" i="19"/>
  <c r="AV115" i="19"/>
  <c r="AW115" i="19"/>
  <c r="AX115" i="19"/>
  <c r="C115" i="19"/>
  <c r="D109" i="19"/>
  <c r="E109" i="19"/>
  <c r="F109" i="19"/>
  <c r="G109" i="19"/>
  <c r="H109" i="19"/>
  <c r="I109" i="19"/>
  <c r="J109" i="19"/>
  <c r="K109" i="19"/>
  <c r="L109" i="19"/>
  <c r="M109" i="19"/>
  <c r="N109" i="19"/>
  <c r="O109" i="19"/>
  <c r="P109" i="19"/>
  <c r="Q109" i="19"/>
  <c r="R109" i="19"/>
  <c r="S109" i="19"/>
  <c r="T109" i="19"/>
  <c r="U109" i="19"/>
  <c r="V109" i="19"/>
  <c r="W109" i="19"/>
  <c r="X109" i="19"/>
  <c r="Y109" i="19"/>
  <c r="Z109" i="19"/>
  <c r="AA109" i="19"/>
  <c r="AB109" i="19"/>
  <c r="AC109" i="19"/>
  <c r="AD109" i="19"/>
  <c r="AE109" i="19"/>
  <c r="AF109" i="19"/>
  <c r="AG109" i="19"/>
  <c r="AH109" i="19"/>
  <c r="AI109" i="19"/>
  <c r="AJ109" i="19"/>
  <c r="AK109" i="19"/>
  <c r="AL109" i="19"/>
  <c r="AM109" i="19"/>
  <c r="AN109" i="19"/>
  <c r="AO109" i="19"/>
  <c r="AP109" i="19"/>
  <c r="AQ109" i="19"/>
  <c r="AR109" i="19"/>
  <c r="AS109" i="19"/>
  <c r="AT109" i="19"/>
  <c r="AU109" i="19"/>
  <c r="AV109" i="19"/>
  <c r="AW109" i="19"/>
  <c r="AX109" i="19"/>
  <c r="C109" i="19"/>
  <c r="D103" i="19"/>
  <c r="E103" i="19"/>
  <c r="F103" i="19"/>
  <c r="G103" i="19"/>
  <c r="H103" i="19"/>
  <c r="I103" i="19"/>
  <c r="J103" i="19"/>
  <c r="K103" i="19"/>
  <c r="L103" i="19"/>
  <c r="M103" i="19"/>
  <c r="N103" i="19"/>
  <c r="O103" i="19"/>
  <c r="P103" i="19"/>
  <c r="Q103" i="19"/>
  <c r="R103" i="19"/>
  <c r="S103" i="19"/>
  <c r="T103" i="19"/>
  <c r="U103" i="19"/>
  <c r="V103" i="19"/>
  <c r="W103" i="19"/>
  <c r="X103" i="19"/>
  <c r="Y103" i="19"/>
  <c r="Z103" i="19"/>
  <c r="AA103" i="19"/>
  <c r="AB103" i="19"/>
  <c r="AC103" i="19"/>
  <c r="AD103" i="19"/>
  <c r="AE103" i="19"/>
  <c r="AF103" i="19"/>
  <c r="AG103" i="19"/>
  <c r="AH103" i="19"/>
  <c r="AI103" i="19"/>
  <c r="AJ103" i="19"/>
  <c r="AK103" i="19"/>
  <c r="AL103" i="19"/>
  <c r="AM103" i="19"/>
  <c r="AN103" i="19"/>
  <c r="AO103" i="19"/>
  <c r="AP103" i="19"/>
  <c r="AQ103" i="19"/>
  <c r="AR103" i="19"/>
  <c r="AS103" i="19"/>
  <c r="AT103" i="19"/>
  <c r="AU103" i="19"/>
  <c r="AV103" i="19"/>
  <c r="AW103" i="19"/>
  <c r="AX103" i="19"/>
  <c r="C103" i="19"/>
  <c r="C88" i="19"/>
  <c r="D88" i="19"/>
  <c r="E88" i="19"/>
  <c r="F88" i="19"/>
  <c r="G88" i="19"/>
  <c r="H88" i="19"/>
  <c r="I88" i="19"/>
  <c r="J88" i="19"/>
  <c r="K88" i="19"/>
  <c r="L88" i="19"/>
  <c r="M88" i="19"/>
  <c r="N88" i="19"/>
  <c r="O88" i="19"/>
  <c r="P88" i="19"/>
  <c r="Q88" i="19"/>
  <c r="R88" i="19"/>
  <c r="S88" i="19"/>
  <c r="T88" i="19"/>
  <c r="U88" i="19"/>
  <c r="V88" i="19"/>
  <c r="W88" i="19"/>
  <c r="X88" i="19"/>
  <c r="Y88" i="19"/>
  <c r="Z88" i="19"/>
  <c r="AA88" i="19"/>
  <c r="AB88" i="19"/>
  <c r="AC88" i="19"/>
  <c r="AD88" i="19"/>
  <c r="AE88" i="19"/>
  <c r="AF88" i="19"/>
  <c r="AG88" i="19"/>
  <c r="AH88" i="19"/>
  <c r="AI88" i="19"/>
  <c r="AJ88" i="19"/>
  <c r="AK88" i="19"/>
  <c r="AL88" i="19"/>
  <c r="AM88" i="19"/>
  <c r="AN88" i="19"/>
  <c r="AO88" i="19"/>
  <c r="AP88" i="19"/>
  <c r="AQ88" i="19"/>
  <c r="AR88" i="19"/>
  <c r="AS88" i="19"/>
  <c r="AT88" i="19"/>
  <c r="AU88" i="19"/>
  <c r="AV88" i="19"/>
  <c r="AW88" i="19"/>
  <c r="AX88" i="19"/>
  <c r="C89" i="19"/>
  <c r="D89" i="19"/>
  <c r="E89" i="19"/>
  <c r="F89" i="19"/>
  <c r="G89" i="19"/>
  <c r="H89" i="19"/>
  <c r="I89" i="19"/>
  <c r="J89" i="19"/>
  <c r="K89" i="19"/>
  <c r="L89" i="19"/>
  <c r="M89" i="19"/>
  <c r="N89" i="19"/>
  <c r="O89" i="19"/>
  <c r="P89" i="19"/>
  <c r="Q89" i="19"/>
  <c r="R89" i="19"/>
  <c r="S89" i="19"/>
  <c r="T89" i="19"/>
  <c r="U89" i="19"/>
  <c r="V89" i="19"/>
  <c r="W89" i="19"/>
  <c r="X89" i="19"/>
  <c r="Y89" i="19"/>
  <c r="Z89" i="19"/>
  <c r="AA89" i="19"/>
  <c r="AB89" i="19"/>
  <c r="AC89" i="19"/>
  <c r="AD89" i="19"/>
  <c r="AE89" i="19"/>
  <c r="AF89" i="19"/>
  <c r="AG89" i="19"/>
  <c r="AH89" i="19"/>
  <c r="AI89" i="19"/>
  <c r="AJ89" i="19"/>
  <c r="AK89" i="19"/>
  <c r="AL89" i="19"/>
  <c r="AM89" i="19"/>
  <c r="AN89" i="19"/>
  <c r="AO89" i="19"/>
  <c r="AP89" i="19"/>
  <c r="AQ89" i="19"/>
  <c r="AR89" i="19"/>
  <c r="AS89" i="19"/>
  <c r="AT89" i="19"/>
  <c r="AU89" i="19"/>
  <c r="AV89" i="19"/>
  <c r="AW89" i="19"/>
  <c r="AX89" i="19"/>
  <c r="C90" i="19"/>
  <c r="D90" i="19"/>
  <c r="E90" i="19"/>
  <c r="F90" i="19"/>
  <c r="G90" i="19"/>
  <c r="H90" i="19"/>
  <c r="I90" i="19"/>
  <c r="J90" i="19"/>
  <c r="K90" i="19"/>
  <c r="L90" i="19"/>
  <c r="M90" i="19"/>
  <c r="N90" i="19"/>
  <c r="O90" i="19"/>
  <c r="P90" i="19"/>
  <c r="Q90" i="19"/>
  <c r="R90" i="19"/>
  <c r="S90" i="19"/>
  <c r="T90" i="19"/>
  <c r="U90" i="19"/>
  <c r="V90" i="19"/>
  <c r="W90" i="19"/>
  <c r="X90" i="19"/>
  <c r="Y90" i="19"/>
  <c r="Z90" i="19"/>
  <c r="AA90" i="19"/>
  <c r="AB90" i="19"/>
  <c r="AC90" i="19"/>
  <c r="AD90" i="19"/>
  <c r="AE90" i="19"/>
  <c r="AF90" i="19"/>
  <c r="AG90" i="19"/>
  <c r="AH90" i="19"/>
  <c r="AI90" i="19"/>
  <c r="AJ90" i="19"/>
  <c r="AK90" i="19"/>
  <c r="AL90" i="19"/>
  <c r="AM90" i="19"/>
  <c r="AN90" i="19"/>
  <c r="AO90" i="19"/>
  <c r="AP90" i="19"/>
  <c r="AQ90" i="19"/>
  <c r="AR90" i="19"/>
  <c r="AS90" i="19"/>
  <c r="AT90" i="19"/>
  <c r="AU90" i="19"/>
  <c r="AV90" i="19"/>
  <c r="AW90" i="19"/>
  <c r="AX90" i="19"/>
  <c r="C91" i="19"/>
  <c r="D91" i="19"/>
  <c r="E91" i="19"/>
  <c r="F91" i="19"/>
  <c r="G91" i="19"/>
  <c r="H91" i="19"/>
  <c r="I91" i="19"/>
  <c r="J91" i="19"/>
  <c r="K91" i="19"/>
  <c r="L91" i="19"/>
  <c r="M91" i="19"/>
  <c r="N91" i="19"/>
  <c r="O91" i="19"/>
  <c r="P91" i="19"/>
  <c r="Q91" i="19"/>
  <c r="R91" i="19"/>
  <c r="S91" i="19"/>
  <c r="T91" i="19"/>
  <c r="U91" i="19"/>
  <c r="V91" i="19"/>
  <c r="W91" i="19"/>
  <c r="X91" i="19"/>
  <c r="Y91" i="19"/>
  <c r="Z91" i="19"/>
  <c r="AA91" i="19"/>
  <c r="AB91" i="19"/>
  <c r="AC91" i="19"/>
  <c r="AD91" i="19"/>
  <c r="AE91" i="19"/>
  <c r="AF91" i="19"/>
  <c r="AG91" i="19"/>
  <c r="AH91" i="19"/>
  <c r="AI91" i="19"/>
  <c r="AJ91" i="19"/>
  <c r="AK91" i="19"/>
  <c r="AL91" i="19"/>
  <c r="AM91" i="19"/>
  <c r="AN91" i="19"/>
  <c r="AO91" i="19"/>
  <c r="AP91" i="19"/>
  <c r="AQ91" i="19"/>
  <c r="AR91" i="19"/>
  <c r="AS91" i="19"/>
  <c r="AT91" i="19"/>
  <c r="AU91" i="19"/>
  <c r="AV91" i="19"/>
  <c r="AW91" i="19"/>
  <c r="AX91" i="19"/>
  <c r="C92" i="19"/>
  <c r="D92" i="19"/>
  <c r="E92" i="19"/>
  <c r="F92" i="19"/>
  <c r="G92" i="19"/>
  <c r="H92" i="19"/>
  <c r="I92" i="19"/>
  <c r="J92" i="19"/>
  <c r="K92" i="19"/>
  <c r="L92" i="19"/>
  <c r="M92" i="19"/>
  <c r="N92" i="19"/>
  <c r="O92" i="19"/>
  <c r="P92" i="19"/>
  <c r="Q92" i="19"/>
  <c r="R92" i="19"/>
  <c r="S92" i="19"/>
  <c r="T92" i="19"/>
  <c r="U92" i="19"/>
  <c r="V92" i="19"/>
  <c r="W92" i="19"/>
  <c r="X92" i="19"/>
  <c r="Y92" i="19"/>
  <c r="Z92" i="19"/>
  <c r="AA92" i="19"/>
  <c r="AB92" i="19"/>
  <c r="AC92" i="19"/>
  <c r="AD92" i="19"/>
  <c r="AE92" i="19"/>
  <c r="AF92" i="19"/>
  <c r="AG92" i="19"/>
  <c r="AH92" i="19"/>
  <c r="AI92" i="19"/>
  <c r="AJ92" i="19"/>
  <c r="AK92" i="19"/>
  <c r="AL92" i="19"/>
  <c r="AM92" i="19"/>
  <c r="AN92" i="19"/>
  <c r="AO92" i="19"/>
  <c r="AP92" i="19"/>
  <c r="AQ92" i="19"/>
  <c r="AR92" i="19"/>
  <c r="AS92" i="19"/>
  <c r="AT92" i="19"/>
  <c r="AU92" i="19"/>
  <c r="AV92" i="19"/>
  <c r="AW92" i="19"/>
  <c r="AX92" i="19"/>
  <c r="C93" i="19"/>
  <c r="D93" i="19"/>
  <c r="E93" i="19"/>
  <c r="F93" i="19"/>
  <c r="G93" i="19"/>
  <c r="H93" i="19"/>
  <c r="I93" i="19"/>
  <c r="J93" i="19"/>
  <c r="K93" i="19"/>
  <c r="L93" i="19"/>
  <c r="M93" i="19"/>
  <c r="N93" i="19"/>
  <c r="O93" i="19"/>
  <c r="P93" i="19"/>
  <c r="Q93" i="19"/>
  <c r="R93" i="19"/>
  <c r="S93" i="19"/>
  <c r="T93" i="19"/>
  <c r="U93" i="19"/>
  <c r="V93" i="19"/>
  <c r="W93" i="19"/>
  <c r="X93" i="19"/>
  <c r="Y93" i="19"/>
  <c r="Z93" i="19"/>
  <c r="AA93" i="19"/>
  <c r="AB93" i="19"/>
  <c r="AC93" i="19"/>
  <c r="AD93" i="19"/>
  <c r="AE93" i="19"/>
  <c r="AF93" i="19"/>
  <c r="AG93" i="19"/>
  <c r="AH93" i="19"/>
  <c r="AI93" i="19"/>
  <c r="AJ93" i="19"/>
  <c r="AK93" i="19"/>
  <c r="AL93" i="19"/>
  <c r="AM93" i="19"/>
  <c r="AN93" i="19"/>
  <c r="AO93" i="19"/>
  <c r="AP93" i="19"/>
  <c r="AQ93" i="19"/>
  <c r="AR93" i="19"/>
  <c r="AS93" i="19"/>
  <c r="AT93" i="19"/>
  <c r="AU93" i="19"/>
  <c r="AV93" i="19"/>
  <c r="AW93" i="19"/>
  <c r="AX93" i="19"/>
  <c r="C19" i="19"/>
  <c r="C28" i="19"/>
  <c r="D19" i="19"/>
  <c r="D28" i="19"/>
  <c r="E19" i="19"/>
  <c r="E28" i="19"/>
  <c r="F19" i="19"/>
  <c r="F28" i="19"/>
  <c r="G19" i="19"/>
  <c r="G28" i="19"/>
  <c r="H19" i="19"/>
  <c r="H28" i="19"/>
  <c r="I19" i="19"/>
  <c r="I28" i="19"/>
  <c r="J19" i="19"/>
  <c r="J28" i="19"/>
  <c r="K19" i="19"/>
  <c r="K28" i="19"/>
  <c r="L19" i="19"/>
  <c r="L28" i="19"/>
  <c r="M19" i="19"/>
  <c r="M28" i="19"/>
  <c r="N19" i="19"/>
  <c r="N28" i="19"/>
  <c r="C20" i="19"/>
  <c r="C29" i="19"/>
  <c r="D20" i="19"/>
  <c r="D29" i="19"/>
  <c r="E20" i="19"/>
  <c r="E29" i="19"/>
  <c r="F20" i="19"/>
  <c r="F29" i="19"/>
  <c r="G20" i="19"/>
  <c r="G29" i="19"/>
  <c r="H20" i="19"/>
  <c r="H29" i="19"/>
  <c r="I20" i="19"/>
  <c r="I29" i="19"/>
  <c r="J20" i="19"/>
  <c r="J29" i="19"/>
  <c r="K20" i="19"/>
  <c r="K29" i="19"/>
  <c r="L20" i="19"/>
  <c r="L29" i="19"/>
  <c r="M20" i="19"/>
  <c r="M29" i="19"/>
  <c r="N20" i="19"/>
  <c r="N29" i="19"/>
  <c r="C21" i="19"/>
  <c r="C30" i="19"/>
  <c r="D21" i="19"/>
  <c r="D30" i="19"/>
  <c r="E21" i="19"/>
  <c r="E30" i="19"/>
  <c r="F21" i="19"/>
  <c r="F30" i="19"/>
  <c r="G21" i="19"/>
  <c r="G30" i="19"/>
  <c r="H21" i="19"/>
  <c r="H30" i="19"/>
  <c r="I21" i="19"/>
  <c r="I30" i="19"/>
  <c r="J21" i="19"/>
  <c r="J30" i="19"/>
  <c r="K21" i="19"/>
  <c r="K30" i="19"/>
  <c r="L21" i="19"/>
  <c r="L30" i="19"/>
  <c r="M21" i="19"/>
  <c r="M30" i="19"/>
  <c r="N21" i="19"/>
  <c r="N30" i="19"/>
  <c r="C22" i="19"/>
  <c r="C31" i="19"/>
  <c r="D22" i="19"/>
  <c r="D31" i="19"/>
  <c r="E22" i="19"/>
  <c r="E31" i="19"/>
  <c r="F22" i="19"/>
  <c r="F31" i="19"/>
  <c r="G22" i="19"/>
  <c r="G31" i="19"/>
  <c r="H22" i="19"/>
  <c r="H31" i="19"/>
  <c r="I22" i="19"/>
  <c r="I31" i="19"/>
  <c r="J22" i="19"/>
  <c r="J31" i="19"/>
  <c r="K22" i="19"/>
  <c r="K31" i="19"/>
  <c r="L22" i="19"/>
  <c r="L31" i="19"/>
  <c r="M22" i="19"/>
  <c r="M31" i="19"/>
  <c r="N22" i="19"/>
  <c r="N31" i="19"/>
  <c r="C23" i="19"/>
  <c r="C32" i="19"/>
  <c r="D23" i="19"/>
  <c r="D32" i="19"/>
  <c r="E23" i="19"/>
  <c r="E32" i="19"/>
  <c r="F23" i="19"/>
  <c r="F32" i="19"/>
  <c r="G23" i="19"/>
  <c r="G32" i="19"/>
  <c r="H23" i="19"/>
  <c r="H32" i="19"/>
  <c r="I23" i="19"/>
  <c r="I32" i="19"/>
  <c r="J23" i="19"/>
  <c r="J32" i="19"/>
  <c r="K23" i="19"/>
  <c r="K32" i="19"/>
  <c r="L23" i="19"/>
  <c r="L32" i="19"/>
  <c r="M23" i="19"/>
  <c r="M32" i="19"/>
  <c r="N23" i="19"/>
  <c r="N32" i="19"/>
  <c r="C24" i="19"/>
  <c r="C33" i="19"/>
  <c r="D24" i="19"/>
  <c r="D33" i="19"/>
  <c r="E24" i="19"/>
  <c r="E33" i="19"/>
  <c r="F24" i="19"/>
  <c r="F33" i="19"/>
  <c r="G24" i="19"/>
  <c r="G33" i="19"/>
  <c r="H24" i="19"/>
  <c r="H33" i="19"/>
  <c r="I24" i="19"/>
  <c r="I33" i="19"/>
  <c r="J24" i="19"/>
  <c r="J33" i="19"/>
  <c r="K24" i="19"/>
  <c r="K33" i="19"/>
  <c r="L24" i="19"/>
  <c r="L33" i="19"/>
  <c r="M24" i="19"/>
  <c r="M33" i="19"/>
  <c r="N24" i="19"/>
  <c r="N33" i="19"/>
  <c r="B22" i="18"/>
  <c r="B22" i="17"/>
  <c r="D22" i="17"/>
  <c r="R22" i="18"/>
  <c r="R21" i="18"/>
  <c r="U22" i="18"/>
  <c r="U21" i="18"/>
  <c r="AQ55" i="18"/>
  <c r="AQ33" i="18"/>
  <c r="AQ44" i="18"/>
  <c r="AQ23" i="18"/>
  <c r="G21" i="18"/>
  <c r="G22" i="18"/>
  <c r="I21" i="18"/>
  <c r="I22" i="18"/>
  <c r="K21" i="18"/>
  <c r="K22" i="18"/>
  <c r="O21" i="18"/>
  <c r="O22" i="18"/>
  <c r="Y22" i="18"/>
  <c r="Y21" i="18"/>
  <c r="AU55" i="18"/>
  <c r="AU33" i="18"/>
  <c r="AU44" i="18"/>
  <c r="AU23" i="18"/>
  <c r="D44" i="18"/>
  <c r="D55" i="18"/>
  <c r="D23" i="18"/>
  <c r="D33" i="18"/>
  <c r="F27" i="18"/>
  <c r="E30" i="18"/>
  <c r="L35" i="18"/>
  <c r="L40" i="18"/>
  <c r="AC22" i="18"/>
  <c r="AC21" i="18"/>
  <c r="D57" i="17"/>
  <c r="D61" i="17"/>
  <c r="F21" i="18"/>
  <c r="F22" i="18"/>
  <c r="H21" i="18"/>
  <c r="H22" i="18"/>
  <c r="J21" i="18"/>
  <c r="J22" i="18"/>
  <c r="L10" i="18"/>
  <c r="L13" i="18"/>
  <c r="N21" i="18"/>
  <c r="N22" i="18"/>
  <c r="P22" i="18"/>
  <c r="P21" i="18"/>
  <c r="AG22" i="18"/>
  <c r="AG21" i="18"/>
  <c r="AM55" i="18"/>
  <c r="AM33" i="18"/>
  <c r="AM44" i="18"/>
  <c r="AM23" i="18"/>
  <c r="X45" i="18"/>
  <c r="X51" i="18"/>
  <c r="X24" i="18"/>
  <c r="AB45" i="18"/>
  <c r="AB51" i="18"/>
  <c r="AB24" i="18"/>
  <c r="R21" i="17"/>
  <c r="R22" i="17"/>
  <c r="D24" i="18"/>
  <c r="AZ17" i="18"/>
  <c r="L24" i="18"/>
  <c r="P10" i="18"/>
  <c r="P13" i="18"/>
  <c r="R10" i="18"/>
  <c r="R13" i="18"/>
  <c r="V10" i="18"/>
  <c r="V13" i="18"/>
  <c r="X34" i="18"/>
  <c r="X40" i="18"/>
  <c r="Z10" i="18"/>
  <c r="Z13" i="18"/>
  <c r="AB34" i="18"/>
  <c r="AB40" i="18"/>
  <c r="AD10" i="18"/>
  <c r="AD13" i="18"/>
  <c r="AH10" i="18"/>
  <c r="AH13" i="18"/>
  <c r="AL22" i="18"/>
  <c r="AL21" i="18"/>
  <c r="AP22" i="18"/>
  <c r="AP21" i="18"/>
  <c r="AT22" i="18"/>
  <c r="AT21" i="18"/>
  <c r="AY21" i="18"/>
  <c r="AY22" i="18"/>
  <c r="M21" i="17"/>
  <c r="M22" i="17"/>
  <c r="O21" i="17"/>
  <c r="O22" i="17"/>
  <c r="Q21" i="17"/>
  <c r="Q22" i="17"/>
  <c r="S15" i="17"/>
  <c r="R10" i="17"/>
  <c r="R13" i="17"/>
  <c r="S14" i="17"/>
  <c r="W22" i="17"/>
  <c r="AC22" i="17"/>
  <c r="AC21" i="17"/>
  <c r="AG22" i="17"/>
  <c r="AG21" i="17"/>
  <c r="AP21" i="17"/>
  <c r="AP22" i="17"/>
  <c r="D33" i="17"/>
  <c r="D44" i="17"/>
  <c r="D56" i="18"/>
  <c r="D62" i="18"/>
  <c r="D13" i="18"/>
  <c r="L56" i="18"/>
  <c r="L62" i="18"/>
  <c r="L46" i="18"/>
  <c r="T21" i="18"/>
  <c r="X21" i="18"/>
  <c r="AB21" i="18"/>
  <c r="AF21" i="18"/>
  <c r="AM22" i="18"/>
  <c r="AQ22" i="18"/>
  <c r="AU22" i="18"/>
  <c r="AX21" i="18"/>
  <c r="D23" i="17"/>
  <c r="F21" i="17"/>
  <c r="F22" i="17"/>
  <c r="H21" i="17"/>
  <c r="H22" i="17"/>
  <c r="J21" i="17"/>
  <c r="J22" i="17"/>
  <c r="K57" i="17"/>
  <c r="K61" i="17"/>
  <c r="S24" i="17"/>
  <c r="S34" i="17"/>
  <c r="S56" i="17"/>
  <c r="S62" i="17"/>
  <c r="V21" i="17"/>
  <c r="V22" i="17"/>
  <c r="Z21" i="17"/>
  <c r="Z22" i="17"/>
  <c r="AB22" i="17"/>
  <c r="AB21" i="17"/>
  <c r="D24" i="17"/>
  <c r="D34" i="17"/>
  <c r="D40" i="17"/>
  <c r="D56" i="17"/>
  <c r="D62" i="17"/>
  <c r="D45" i="17"/>
  <c r="D51" i="17"/>
  <c r="D45" i="18"/>
  <c r="D51" i="18"/>
  <c r="T45" i="18"/>
  <c r="T51" i="18"/>
  <c r="T24" i="18"/>
  <c r="AF45" i="18"/>
  <c r="AF51" i="18"/>
  <c r="AF24" i="18"/>
  <c r="AJ22" i="18"/>
  <c r="AJ21" i="18"/>
  <c r="AV55" i="18"/>
  <c r="AV33" i="18"/>
  <c r="AV44" i="18"/>
  <c r="AX24" i="18"/>
  <c r="AX34" i="18"/>
  <c r="AX40" i="18"/>
  <c r="AX45" i="18"/>
  <c r="AX51" i="18"/>
  <c r="N21" i="17"/>
  <c r="N22" i="17"/>
  <c r="P21" i="17"/>
  <c r="P22" i="17"/>
  <c r="AS21" i="17"/>
  <c r="AS22" i="17"/>
  <c r="D34" i="18"/>
  <c r="D40" i="18"/>
  <c r="T56" i="18"/>
  <c r="T62" i="18"/>
  <c r="U10" i="18"/>
  <c r="U13" i="18"/>
  <c r="X56" i="18"/>
  <c r="X62" i="18"/>
  <c r="Y10" i="18"/>
  <c r="Y13" i="18"/>
  <c r="AB56" i="18"/>
  <c r="AB62" i="18"/>
  <c r="AC10" i="18"/>
  <c r="AC13" i="18"/>
  <c r="AF56" i="18"/>
  <c r="AF62" i="18"/>
  <c r="AG10" i="18"/>
  <c r="AG13" i="18"/>
  <c r="AJ10" i="18"/>
  <c r="AJ13" i="18"/>
  <c r="AN10" i="18"/>
  <c r="AN13" i="18"/>
  <c r="AR10" i="18"/>
  <c r="AR13" i="18"/>
  <c r="D13" i="17"/>
  <c r="G21" i="17"/>
  <c r="G22" i="17"/>
  <c r="I21" i="17"/>
  <c r="I22" i="17"/>
  <c r="K10" i="17"/>
  <c r="K13" i="17"/>
  <c r="S45" i="17"/>
  <c r="U22" i="17"/>
  <c r="AA21" i="17"/>
  <c r="AA22" i="17"/>
  <c r="AF22" i="17"/>
  <c r="AF21" i="17"/>
  <c r="W259" i="14"/>
  <c r="BA14" i="14"/>
  <c r="W21" i="17"/>
  <c r="AD22" i="17"/>
  <c r="AD21" i="17"/>
  <c r="AM21" i="17"/>
  <c r="AM10" i="18"/>
  <c r="AM13" i="18"/>
  <c r="AQ10" i="18"/>
  <c r="AQ13" i="18"/>
  <c r="AU10" i="18"/>
  <c r="AU13" i="18"/>
  <c r="AV14" i="18"/>
  <c r="AV15" i="18"/>
  <c r="U21" i="17"/>
  <c r="X15" i="17"/>
  <c r="W10" i="17"/>
  <c r="W13" i="17"/>
  <c r="X14" i="17"/>
  <c r="AM22" i="17"/>
  <c r="S57" i="17"/>
  <c r="S61" i="17"/>
  <c r="X24" i="17"/>
  <c r="X34" i="17"/>
  <c r="AN51" i="17"/>
  <c r="AN46" i="17"/>
  <c r="AQ21" i="17"/>
  <c r="AQ22" i="17"/>
  <c r="AW21" i="17"/>
  <c r="AW22" i="17"/>
  <c r="AY21" i="17"/>
  <c r="AY22" i="17"/>
  <c r="E27" i="17"/>
  <c r="K24" i="17"/>
  <c r="K34" i="17"/>
  <c r="X57" i="17"/>
  <c r="X61" i="17"/>
  <c r="AH22" i="17"/>
  <c r="AH21" i="17"/>
  <c r="AT21" i="17"/>
  <c r="AT22" i="17"/>
  <c r="Z260" i="14"/>
  <c r="AH10" i="17"/>
  <c r="AH13" i="17"/>
  <c r="AI14" i="17"/>
  <c r="AI15" i="17"/>
  <c r="AR21" i="17"/>
  <c r="AR22" i="17"/>
  <c r="AZ17" i="17"/>
  <c r="AE22" i="17"/>
  <c r="AE21" i="17"/>
  <c r="AK21" i="17"/>
  <c r="AK22" i="17"/>
  <c r="AL21" i="17"/>
  <c r="AL22" i="17"/>
  <c r="AN24" i="17"/>
  <c r="AN34" i="17"/>
  <c r="AU21" i="17"/>
  <c r="AU22" i="17"/>
  <c r="S9" i="20"/>
  <c r="AI61" i="17"/>
  <c r="AI34" i="17"/>
  <c r="AI40" i="17"/>
  <c r="AU10" i="17"/>
  <c r="AU13" i="17"/>
  <c r="AW10" i="17"/>
  <c r="AW13" i="17"/>
  <c r="K260" i="15"/>
  <c r="AM10" i="17"/>
  <c r="AM13" i="17"/>
  <c r="AN14" i="17"/>
  <c r="AN10" i="17"/>
  <c r="AN13" i="17"/>
  <c r="Z260" i="15"/>
  <c r="AZ259" i="14"/>
  <c r="AN57" i="17"/>
  <c r="AN61" i="17"/>
  <c r="AQ260" i="16"/>
  <c r="BA14" i="15"/>
  <c r="K260" i="14"/>
  <c r="AZ259" i="16"/>
  <c r="V260" i="16"/>
  <c r="AA260" i="16"/>
  <c r="AJ260" i="16"/>
  <c r="D259" i="15"/>
  <c r="AZ259" i="15"/>
  <c r="AL260" i="15"/>
  <c r="AQ260" i="15"/>
  <c r="D260" i="14"/>
  <c r="H7" i="20"/>
  <c r="S8" i="20"/>
  <c r="H8" i="20"/>
  <c r="BA14" i="16"/>
  <c r="L260" i="16"/>
  <c r="AZ260" i="16"/>
  <c r="O260" i="16"/>
  <c r="AB260" i="16"/>
  <c r="AE260" i="16"/>
  <c r="AR260" i="16"/>
  <c r="AU260" i="16"/>
  <c r="L260" i="15"/>
  <c r="AZ260" i="15"/>
  <c r="O260" i="15"/>
  <c r="AB260" i="15"/>
  <c r="AE260" i="15"/>
  <c r="AR260" i="15"/>
  <c r="AU260" i="15"/>
  <c r="L260" i="14"/>
  <c r="O260" i="14"/>
  <c r="AB260" i="14"/>
  <c r="AE260" i="14"/>
  <c r="AR260" i="14"/>
  <c r="AU260" i="14"/>
  <c r="S40" i="20"/>
  <c r="P260" i="16"/>
  <c r="AF260" i="16"/>
  <c r="AV260" i="16"/>
  <c r="P260" i="15"/>
  <c r="AF260" i="15"/>
  <c r="AV260" i="15"/>
  <c r="P260" i="14"/>
  <c r="AF260" i="14"/>
  <c r="AV260" i="14"/>
  <c r="S31" i="20"/>
  <c r="T32" i="20"/>
  <c r="S7" i="20"/>
  <c r="H9" i="20"/>
  <c r="S10" i="20"/>
  <c r="H10" i="20"/>
  <c r="S36" i="20"/>
  <c r="AU44" i="17"/>
  <c r="AU55" i="17"/>
  <c r="AU33" i="17"/>
  <c r="AU23" i="17"/>
  <c r="AD45" i="17"/>
  <c r="AD51" i="17"/>
  <c r="AD24" i="17"/>
  <c r="AD34" i="17"/>
  <c r="AD40" i="17"/>
  <c r="AD56" i="17"/>
  <c r="AD62" i="17"/>
  <c r="AV57" i="18"/>
  <c r="AV61" i="18"/>
  <c r="Z33" i="17"/>
  <c r="Z44" i="17"/>
  <c r="Z55" i="17"/>
  <c r="Z23" i="17"/>
  <c r="AU45" i="18"/>
  <c r="AU51" i="18"/>
  <c r="AU24" i="18"/>
  <c r="AU34" i="18"/>
  <c r="AU40" i="18"/>
  <c r="AU56" i="18"/>
  <c r="AU62" i="18"/>
  <c r="AP24" i="17"/>
  <c r="AP34" i="17"/>
  <c r="AP40" i="17"/>
  <c r="AP56" i="17"/>
  <c r="AP62" i="17"/>
  <c r="AP45" i="17"/>
  <c r="AP51" i="17"/>
  <c r="O33" i="17"/>
  <c r="O44" i="17"/>
  <c r="O55" i="17"/>
  <c r="O23" i="17"/>
  <c r="AP45" i="18"/>
  <c r="AP51" i="18"/>
  <c r="AP24" i="18"/>
  <c r="AP56" i="18"/>
  <c r="AP62" i="18"/>
  <c r="AP34" i="18"/>
  <c r="AP40" i="18"/>
  <c r="R33" i="17"/>
  <c r="R44" i="17"/>
  <c r="R23" i="17"/>
  <c r="R55" i="17"/>
  <c r="P55" i="18"/>
  <c r="P23" i="18"/>
  <c r="P33" i="18"/>
  <c r="P44" i="18"/>
  <c r="G34" i="18"/>
  <c r="G40" i="18"/>
  <c r="G45" i="18"/>
  <c r="G51" i="18"/>
  <c r="G56" i="18"/>
  <c r="G62" i="18"/>
  <c r="G24" i="18"/>
  <c r="AX21" i="17"/>
  <c r="AX22" i="17"/>
  <c r="AK33" i="17"/>
  <c r="AK44" i="17"/>
  <c r="AK23" i="17"/>
  <c r="AK55" i="17"/>
  <c r="AR24" i="17"/>
  <c r="AR34" i="17"/>
  <c r="AR40" i="17"/>
  <c r="AR56" i="17"/>
  <c r="AR62" i="17"/>
  <c r="AR45" i="17"/>
  <c r="AR51" i="17"/>
  <c r="AH45" i="17"/>
  <c r="AH51" i="17"/>
  <c r="AH24" i="17"/>
  <c r="AH34" i="17"/>
  <c r="AH40" i="17"/>
  <c r="AH56" i="17"/>
  <c r="AH62" i="17"/>
  <c r="AW34" i="17"/>
  <c r="AW40" i="17"/>
  <c r="AW45" i="17"/>
  <c r="AW51" i="17"/>
  <c r="AW24" i="17"/>
  <c r="AW56" i="17"/>
  <c r="AW62" i="17"/>
  <c r="AM24" i="17"/>
  <c r="AM34" i="17"/>
  <c r="AM40" i="17"/>
  <c r="AM56" i="17"/>
  <c r="AM62" i="17"/>
  <c r="AM45" i="17"/>
  <c r="AM51" i="17"/>
  <c r="AM33" i="17"/>
  <c r="AM44" i="17"/>
  <c r="AM23" i="17"/>
  <c r="AM55" i="17"/>
  <c r="AA24" i="17"/>
  <c r="AA34" i="17"/>
  <c r="AA40" i="17"/>
  <c r="AA56" i="17"/>
  <c r="AA62" i="17"/>
  <c r="AA45" i="17"/>
  <c r="AA51" i="17"/>
  <c r="L21" i="17"/>
  <c r="L22" i="17"/>
  <c r="G33" i="17"/>
  <c r="G44" i="17"/>
  <c r="G23" i="17"/>
  <c r="G55" i="17"/>
  <c r="AO22" i="18"/>
  <c r="AO21" i="18"/>
  <c r="AD22" i="18"/>
  <c r="AD21" i="18"/>
  <c r="V22" i="18"/>
  <c r="V21" i="18"/>
  <c r="AS33" i="17"/>
  <c r="AS44" i="17"/>
  <c r="AS55" i="17"/>
  <c r="AS23" i="17"/>
  <c r="N33" i="17"/>
  <c r="N44" i="17"/>
  <c r="N23" i="17"/>
  <c r="N55" i="17"/>
  <c r="AV50" i="18"/>
  <c r="AV46" i="18"/>
  <c r="AJ45" i="18"/>
  <c r="AJ51" i="18"/>
  <c r="AJ24" i="18"/>
  <c r="AJ56" i="18"/>
  <c r="AJ62" i="18"/>
  <c r="AJ34" i="18"/>
  <c r="AJ40" i="18"/>
  <c r="AB45" i="17"/>
  <c r="AB51" i="17"/>
  <c r="AB24" i="17"/>
  <c r="AB34" i="17"/>
  <c r="AB40" i="17"/>
  <c r="AB56" i="17"/>
  <c r="AB62" i="17"/>
  <c r="V33" i="17"/>
  <c r="V44" i="17"/>
  <c r="V55" i="17"/>
  <c r="V23" i="17"/>
  <c r="H24" i="17"/>
  <c r="H34" i="17"/>
  <c r="H40" i="17"/>
  <c r="H45" i="17"/>
  <c r="H51" i="17"/>
  <c r="H56" i="17"/>
  <c r="H62" i="17"/>
  <c r="AM45" i="18"/>
  <c r="AM51" i="18"/>
  <c r="AM24" i="18"/>
  <c r="AM34" i="18"/>
  <c r="AM40" i="18"/>
  <c r="AM56" i="18"/>
  <c r="AM62" i="18"/>
  <c r="T55" i="18"/>
  <c r="T33" i="18"/>
  <c r="T44" i="18"/>
  <c r="T23" i="18"/>
  <c r="AG55" i="17"/>
  <c r="AG33" i="17"/>
  <c r="AG44" i="17"/>
  <c r="AG23" i="17"/>
  <c r="W24" i="17"/>
  <c r="W34" i="17"/>
  <c r="W40" i="17"/>
  <c r="W56" i="17"/>
  <c r="W62" i="17"/>
  <c r="W45" i="17"/>
  <c r="W51" i="17"/>
  <c r="Q33" i="17"/>
  <c r="Q44" i="17"/>
  <c r="Q55" i="17"/>
  <c r="Q23" i="17"/>
  <c r="M33" i="17"/>
  <c r="M44" i="17"/>
  <c r="M55" i="17"/>
  <c r="M23" i="17"/>
  <c r="AT45" i="18"/>
  <c r="AT51" i="18"/>
  <c r="AT24" i="18"/>
  <c r="AT56" i="18"/>
  <c r="AT62" i="18"/>
  <c r="AT34" i="18"/>
  <c r="AT40" i="18"/>
  <c r="AL45" i="18"/>
  <c r="AL51" i="18"/>
  <c r="AL24" i="18"/>
  <c r="AL56" i="18"/>
  <c r="AL62" i="18"/>
  <c r="AL34" i="18"/>
  <c r="AL40" i="18"/>
  <c r="AA22" i="18"/>
  <c r="AA21" i="18"/>
  <c r="Q22" i="18"/>
  <c r="Q21" i="18"/>
  <c r="AG55" i="18"/>
  <c r="AG33" i="18"/>
  <c r="AG44" i="18"/>
  <c r="AG23" i="18"/>
  <c r="N34" i="18"/>
  <c r="N40" i="18"/>
  <c r="N56" i="18"/>
  <c r="N62" i="18"/>
  <c r="N45" i="18"/>
  <c r="N51" i="18"/>
  <c r="N24" i="18"/>
  <c r="J44" i="18"/>
  <c r="J23" i="18"/>
  <c r="J55" i="18"/>
  <c r="J33" i="18"/>
  <c r="F44" i="18"/>
  <c r="F55" i="18"/>
  <c r="F23" i="18"/>
  <c r="F33" i="18"/>
  <c r="AC45" i="18"/>
  <c r="AC51" i="18"/>
  <c r="AC24" i="18"/>
  <c r="AC34" i="18"/>
  <c r="AC40" i="18"/>
  <c r="AC56" i="18"/>
  <c r="AC62" i="18"/>
  <c r="G27" i="18"/>
  <c r="F30" i="18"/>
  <c r="D46" i="18"/>
  <c r="D50" i="18"/>
  <c r="AU35" i="18"/>
  <c r="AU39" i="18"/>
  <c r="O34" i="18"/>
  <c r="O40" i="18"/>
  <c r="O56" i="18"/>
  <c r="O62" i="18"/>
  <c r="O24" i="18"/>
  <c r="O45" i="18"/>
  <c r="O51" i="18"/>
  <c r="I34" i="18"/>
  <c r="I40" i="18"/>
  <c r="I56" i="18"/>
  <c r="I62" i="18"/>
  <c r="I45" i="18"/>
  <c r="I51" i="18"/>
  <c r="I24" i="18"/>
  <c r="U55" i="18"/>
  <c r="U33" i="18"/>
  <c r="U44" i="18"/>
  <c r="U23" i="18"/>
  <c r="AO21" i="17"/>
  <c r="AO22" i="17"/>
  <c r="AE45" i="17"/>
  <c r="AE51" i="17"/>
  <c r="AE24" i="17"/>
  <c r="AE34" i="17"/>
  <c r="AE40" i="17"/>
  <c r="AE56" i="17"/>
  <c r="AE62" i="17"/>
  <c r="AY24" i="17"/>
  <c r="AY34" i="17"/>
  <c r="AY40" i="17"/>
  <c r="AY45" i="17"/>
  <c r="AY51" i="17"/>
  <c r="AY56" i="17"/>
  <c r="AY62" i="17"/>
  <c r="AF55" i="17"/>
  <c r="AF33" i="17"/>
  <c r="AF44" i="17"/>
  <c r="AF23" i="17"/>
  <c r="AH22" i="18"/>
  <c r="AH21" i="18"/>
  <c r="S40" i="17"/>
  <c r="S35" i="17"/>
  <c r="AB55" i="18"/>
  <c r="AB33" i="18"/>
  <c r="AB23" i="18"/>
  <c r="AB44" i="18"/>
  <c r="D50" i="17"/>
  <c r="D46" i="17"/>
  <c r="W22" i="18"/>
  <c r="W21" i="18"/>
  <c r="M21" i="18"/>
  <c r="M22" i="18"/>
  <c r="AQ39" i="18"/>
  <c r="AZ260" i="14"/>
  <c r="AV21" i="17"/>
  <c r="AV22" i="17"/>
  <c r="AU34" i="17"/>
  <c r="AU40" i="17"/>
  <c r="AU45" i="17"/>
  <c r="AU51" i="17"/>
  <c r="AU24" i="17"/>
  <c r="AU56" i="17"/>
  <c r="AU62" i="17"/>
  <c r="AL24" i="17"/>
  <c r="AL34" i="17"/>
  <c r="AL40" i="17"/>
  <c r="AL45" i="17"/>
  <c r="AL51" i="17"/>
  <c r="AL56" i="17"/>
  <c r="AL62" i="17"/>
  <c r="AE55" i="17"/>
  <c r="AE33" i="17"/>
  <c r="AE44" i="17"/>
  <c r="AE23" i="17"/>
  <c r="AR33" i="17"/>
  <c r="AR44" i="17"/>
  <c r="AR23" i="17"/>
  <c r="AR55" i="17"/>
  <c r="AT34" i="17"/>
  <c r="AT40" i="17"/>
  <c r="AT45" i="17"/>
  <c r="AT51" i="17"/>
  <c r="AT24" i="17"/>
  <c r="AT56" i="17"/>
  <c r="AT62" i="17"/>
  <c r="F27" i="17"/>
  <c r="E30" i="17"/>
  <c r="AW44" i="17"/>
  <c r="AW55" i="17"/>
  <c r="AW33" i="17"/>
  <c r="AW23" i="17"/>
  <c r="X10" i="17"/>
  <c r="X13" i="17"/>
  <c r="AV10" i="18"/>
  <c r="AV13" i="18"/>
  <c r="AD55" i="17"/>
  <c r="AD33" i="17"/>
  <c r="AD44" i="17"/>
  <c r="AD23" i="17"/>
  <c r="AA33" i="17"/>
  <c r="AA44" i="17"/>
  <c r="AA23" i="17"/>
  <c r="AA55" i="17"/>
  <c r="I24" i="17"/>
  <c r="I34" i="17"/>
  <c r="I40" i="17"/>
  <c r="I56" i="17"/>
  <c r="I62" i="17"/>
  <c r="I45" i="17"/>
  <c r="I51" i="17"/>
  <c r="E21" i="17"/>
  <c r="E22" i="17"/>
  <c r="AK22" i="18"/>
  <c r="AK21" i="18"/>
  <c r="P24" i="17"/>
  <c r="P34" i="17"/>
  <c r="P40" i="17"/>
  <c r="P56" i="17"/>
  <c r="P62" i="17"/>
  <c r="P45" i="17"/>
  <c r="P51" i="17"/>
  <c r="AV35" i="18"/>
  <c r="AV39" i="18"/>
  <c r="Z24" i="17"/>
  <c r="Z34" i="17"/>
  <c r="Z40" i="17"/>
  <c r="Z45" i="17"/>
  <c r="Z51" i="17"/>
  <c r="Z56" i="17"/>
  <c r="Z62" i="17"/>
  <c r="H33" i="17"/>
  <c r="H44" i="17"/>
  <c r="H55" i="17"/>
  <c r="H23" i="17"/>
  <c r="AX33" i="18"/>
  <c r="AX55" i="18"/>
  <c r="AX23" i="18"/>
  <c r="AX44" i="18"/>
  <c r="AF55" i="18"/>
  <c r="AF33" i="18"/>
  <c r="AF44" i="18"/>
  <c r="AF23" i="18"/>
  <c r="AZ10" i="18"/>
  <c r="AG45" i="17"/>
  <c r="AG51" i="17"/>
  <c r="AG24" i="17"/>
  <c r="AG34" i="17"/>
  <c r="AG40" i="17"/>
  <c r="AG56" i="17"/>
  <c r="AG62" i="17"/>
  <c r="S10" i="17"/>
  <c r="O24" i="17"/>
  <c r="O34" i="17"/>
  <c r="O40" i="17"/>
  <c r="O45" i="17"/>
  <c r="O51" i="17"/>
  <c r="O56" i="17"/>
  <c r="O62" i="17"/>
  <c r="AY24" i="18"/>
  <c r="AY34" i="18"/>
  <c r="AY40" i="18"/>
  <c r="AY45" i="18"/>
  <c r="AY51" i="18"/>
  <c r="AY56" i="18"/>
  <c r="AY62" i="18"/>
  <c r="AP55" i="18"/>
  <c r="AP33" i="18"/>
  <c r="AP44" i="18"/>
  <c r="AP23" i="18"/>
  <c r="AI22" i="18"/>
  <c r="AI21" i="18"/>
  <c r="R24" i="17"/>
  <c r="R34" i="17"/>
  <c r="R40" i="17"/>
  <c r="R56" i="17"/>
  <c r="R62" i="17"/>
  <c r="R45" i="17"/>
  <c r="R51" i="17"/>
  <c r="AM50" i="18"/>
  <c r="AM46" i="18"/>
  <c r="AG45" i="18"/>
  <c r="AG51" i="18"/>
  <c r="AG24" i="18"/>
  <c r="AG34" i="18"/>
  <c r="AG40" i="18"/>
  <c r="AG56" i="18"/>
  <c r="AG62" i="18"/>
  <c r="N44" i="18"/>
  <c r="N55" i="18"/>
  <c r="N23" i="18"/>
  <c r="N33" i="18"/>
  <c r="H34" i="18"/>
  <c r="H40" i="18"/>
  <c r="H45" i="18"/>
  <c r="H51" i="18"/>
  <c r="H56" i="18"/>
  <c r="H62" i="18"/>
  <c r="H24" i="18"/>
  <c r="D35" i="18"/>
  <c r="D39" i="18"/>
  <c r="AU61" i="18"/>
  <c r="O44" i="18"/>
  <c r="O23" i="18"/>
  <c r="O55" i="18"/>
  <c r="O33" i="18"/>
  <c r="I44" i="18"/>
  <c r="I55" i="18"/>
  <c r="I23" i="18"/>
  <c r="I33" i="18"/>
  <c r="AQ50" i="18"/>
  <c r="AQ46" i="18"/>
  <c r="U45" i="18"/>
  <c r="U51" i="18"/>
  <c r="U24" i="18"/>
  <c r="U34" i="18"/>
  <c r="U40" i="18"/>
  <c r="U56" i="18"/>
  <c r="U62" i="18"/>
  <c r="AL33" i="17"/>
  <c r="AL44" i="17"/>
  <c r="AL55" i="17"/>
  <c r="AL23" i="17"/>
  <c r="AT44" i="17"/>
  <c r="AT55" i="17"/>
  <c r="AT33" i="17"/>
  <c r="AT23" i="17"/>
  <c r="AQ24" i="17"/>
  <c r="AQ34" i="17"/>
  <c r="AQ40" i="17"/>
  <c r="AQ45" i="17"/>
  <c r="AQ51" i="17"/>
  <c r="AQ56" i="17"/>
  <c r="AQ62" i="17"/>
  <c r="AI35" i="17"/>
  <c r="AR22" i="18"/>
  <c r="AR21" i="18"/>
  <c r="U24" i="17"/>
  <c r="U34" i="17"/>
  <c r="U40" i="17"/>
  <c r="U56" i="17"/>
  <c r="U62" i="17"/>
  <c r="U45" i="17"/>
  <c r="U51" i="17"/>
  <c r="I33" i="17"/>
  <c r="I44" i="17"/>
  <c r="I23" i="17"/>
  <c r="I55" i="17"/>
  <c r="Z22" i="18"/>
  <c r="Z21" i="18"/>
  <c r="P33" i="17"/>
  <c r="P44" i="17"/>
  <c r="P23" i="17"/>
  <c r="P55" i="17"/>
  <c r="J24" i="17"/>
  <c r="J34" i="17"/>
  <c r="J40" i="17"/>
  <c r="J45" i="17"/>
  <c r="J51" i="17"/>
  <c r="J56" i="17"/>
  <c r="J62" i="17"/>
  <c r="F24" i="17"/>
  <c r="F34" i="17"/>
  <c r="F40" i="17"/>
  <c r="F45" i="17"/>
  <c r="F51" i="17"/>
  <c r="F56" i="17"/>
  <c r="F62" i="17"/>
  <c r="AC55" i="17"/>
  <c r="AC33" i="17"/>
  <c r="AC44" i="17"/>
  <c r="AC23" i="17"/>
  <c r="AY33" i="18"/>
  <c r="AY44" i="18"/>
  <c r="AY55" i="18"/>
  <c r="AY23" i="18"/>
  <c r="AE22" i="18"/>
  <c r="AE21" i="18"/>
  <c r="L57" i="18"/>
  <c r="AM39" i="18"/>
  <c r="H44" i="18"/>
  <c r="H23" i="18"/>
  <c r="H33" i="18"/>
  <c r="H55" i="18"/>
  <c r="Y55" i="18"/>
  <c r="Y33" i="18"/>
  <c r="Y44" i="18"/>
  <c r="Y23" i="18"/>
  <c r="K34" i="18"/>
  <c r="K40" i="18"/>
  <c r="K45" i="18"/>
  <c r="K51" i="18"/>
  <c r="K56" i="18"/>
  <c r="K62" i="18"/>
  <c r="K24" i="18"/>
  <c r="R55" i="18"/>
  <c r="R33" i="18"/>
  <c r="R44" i="18"/>
  <c r="R23" i="18"/>
  <c r="T43" i="20"/>
  <c r="T11" i="20"/>
  <c r="AN40" i="17"/>
  <c r="AN35" i="17"/>
  <c r="AK24" i="17"/>
  <c r="AK34" i="17"/>
  <c r="AK40" i="17"/>
  <c r="AK56" i="17"/>
  <c r="AK62" i="17"/>
  <c r="AK45" i="17"/>
  <c r="AK51" i="17"/>
  <c r="AI10" i="17"/>
  <c r="AI13" i="17"/>
  <c r="AH55" i="17"/>
  <c r="AH33" i="17"/>
  <c r="AH44" i="17"/>
  <c r="AH23" i="17"/>
  <c r="K40" i="17"/>
  <c r="K35" i="17"/>
  <c r="AY23" i="17"/>
  <c r="AY33" i="17"/>
  <c r="AY44" i="17"/>
  <c r="AY55" i="17"/>
  <c r="AQ33" i="17"/>
  <c r="AQ44" i="17"/>
  <c r="AQ55" i="17"/>
  <c r="AQ23" i="17"/>
  <c r="X40" i="17"/>
  <c r="X35" i="17"/>
  <c r="U33" i="17"/>
  <c r="U44" i="17"/>
  <c r="U23" i="17"/>
  <c r="U55" i="17"/>
  <c r="AN22" i="18"/>
  <c r="AN21" i="18"/>
  <c r="W33" i="17"/>
  <c r="W44" i="17"/>
  <c r="W23" i="17"/>
  <c r="W55" i="17"/>
  <c r="AF45" i="17"/>
  <c r="AF51" i="17"/>
  <c r="AF24" i="17"/>
  <c r="AF34" i="17"/>
  <c r="AF40" i="17"/>
  <c r="AF56" i="17"/>
  <c r="AF62" i="17"/>
  <c r="S51" i="17"/>
  <c r="S46" i="17"/>
  <c r="G24" i="17"/>
  <c r="G34" i="17"/>
  <c r="G40" i="17"/>
  <c r="G56" i="17"/>
  <c r="G62" i="17"/>
  <c r="G45" i="17"/>
  <c r="G51" i="17"/>
  <c r="AS22" i="18"/>
  <c r="AS21" i="18"/>
  <c r="AS24" i="17"/>
  <c r="AS34" i="17"/>
  <c r="AS40" i="17"/>
  <c r="AS45" i="17"/>
  <c r="AS51" i="17"/>
  <c r="AS56" i="17"/>
  <c r="AS62" i="17"/>
  <c r="N24" i="17"/>
  <c r="N34" i="17"/>
  <c r="N40" i="17"/>
  <c r="N56" i="17"/>
  <c r="N62" i="17"/>
  <c r="N45" i="17"/>
  <c r="N51" i="17"/>
  <c r="AJ55" i="18"/>
  <c r="AJ33" i="18"/>
  <c r="AJ23" i="18"/>
  <c r="AJ44" i="18"/>
  <c r="AB55" i="17"/>
  <c r="AB33" i="17"/>
  <c r="AB44" i="17"/>
  <c r="AB23" i="17"/>
  <c r="V24" i="17"/>
  <c r="V34" i="17"/>
  <c r="V40" i="17"/>
  <c r="V45" i="17"/>
  <c r="V51" i="17"/>
  <c r="V56" i="17"/>
  <c r="V62" i="17"/>
  <c r="J33" i="17"/>
  <c r="J44" i="17"/>
  <c r="J55" i="17"/>
  <c r="J23" i="17"/>
  <c r="F33" i="17"/>
  <c r="F44" i="17"/>
  <c r="F55" i="17"/>
  <c r="F23" i="17"/>
  <c r="AQ45" i="18"/>
  <c r="AQ51" i="18"/>
  <c r="AQ24" i="18"/>
  <c r="AQ34" i="18"/>
  <c r="AQ40" i="18"/>
  <c r="AQ56" i="18"/>
  <c r="AQ62" i="18"/>
  <c r="X55" i="18"/>
  <c r="X33" i="18"/>
  <c r="X23" i="18"/>
  <c r="X44" i="18"/>
  <c r="E21" i="18"/>
  <c r="E22" i="18"/>
  <c r="D39" i="17"/>
  <c r="D35" i="17"/>
  <c r="AP33" i="17"/>
  <c r="AP44" i="17"/>
  <c r="AP23" i="17"/>
  <c r="AP55" i="17"/>
  <c r="AC45" i="17"/>
  <c r="AC51" i="17"/>
  <c r="AC24" i="17"/>
  <c r="AC34" i="17"/>
  <c r="AC40" i="17"/>
  <c r="AC56" i="17"/>
  <c r="AC62" i="17"/>
  <c r="Q24" i="17"/>
  <c r="Q34" i="17"/>
  <c r="Q40" i="17"/>
  <c r="Q45" i="17"/>
  <c r="Q51" i="17"/>
  <c r="Q56" i="17"/>
  <c r="Q62" i="17"/>
  <c r="M24" i="17"/>
  <c r="M34" i="17"/>
  <c r="M40" i="17"/>
  <c r="M45" i="17"/>
  <c r="M51" i="17"/>
  <c r="M56" i="17"/>
  <c r="M62" i="17"/>
  <c r="AT55" i="18"/>
  <c r="AT33" i="18"/>
  <c r="AT44" i="18"/>
  <c r="AT23" i="18"/>
  <c r="AL55" i="18"/>
  <c r="AL33" i="18"/>
  <c r="AL44" i="18"/>
  <c r="AL23" i="18"/>
  <c r="S22" i="18"/>
  <c r="S21" i="18"/>
  <c r="AM57" i="18"/>
  <c r="AM61" i="18"/>
  <c r="P45" i="18"/>
  <c r="P51" i="18"/>
  <c r="P24" i="18"/>
  <c r="P56" i="18"/>
  <c r="P62" i="18"/>
  <c r="P34" i="18"/>
  <c r="P40" i="18"/>
  <c r="J34" i="18"/>
  <c r="J40" i="18"/>
  <c r="J56" i="18"/>
  <c r="J62" i="18"/>
  <c r="J24" i="18"/>
  <c r="J45" i="18"/>
  <c r="J51" i="18"/>
  <c r="F34" i="18"/>
  <c r="F40" i="18"/>
  <c r="F56" i="18"/>
  <c r="F62" i="18"/>
  <c r="F24" i="18"/>
  <c r="F45" i="18"/>
  <c r="F51" i="18"/>
  <c r="AC55" i="18"/>
  <c r="AC33" i="18"/>
  <c r="AC44" i="18"/>
  <c r="AC23" i="18"/>
  <c r="D61" i="18"/>
  <c r="D57" i="18"/>
  <c r="AU50" i="18"/>
  <c r="AU46" i="18"/>
  <c r="Y45" i="18"/>
  <c r="Y51" i="18"/>
  <c r="Y24" i="18"/>
  <c r="Y34" i="18"/>
  <c r="Y40" i="18"/>
  <c r="Y56" i="18"/>
  <c r="Y62" i="18"/>
  <c r="K44" i="18"/>
  <c r="K23" i="18"/>
  <c r="K55" i="18"/>
  <c r="K33" i="18"/>
  <c r="G44" i="18"/>
  <c r="G23" i="18"/>
  <c r="G33" i="18"/>
  <c r="G55" i="18"/>
  <c r="AQ61" i="18"/>
  <c r="R45" i="18"/>
  <c r="R51" i="18"/>
  <c r="R24" i="18"/>
  <c r="R34" i="18"/>
  <c r="R40" i="18"/>
  <c r="R56" i="18"/>
  <c r="R62" i="18"/>
  <c r="AC35" i="18"/>
  <c r="AC39" i="18"/>
  <c r="X35" i="18"/>
  <c r="X39" i="18"/>
  <c r="W50" i="17"/>
  <c r="W46" i="17"/>
  <c r="AJ21" i="17"/>
  <c r="AJ22" i="17"/>
  <c r="R61" i="18"/>
  <c r="R57" i="18"/>
  <c r="H46" i="18"/>
  <c r="H50" i="18"/>
  <c r="AR55" i="18"/>
  <c r="AR33" i="18"/>
  <c r="AR23" i="18"/>
  <c r="AR44" i="18"/>
  <c r="AL57" i="17"/>
  <c r="AL61" i="17"/>
  <c r="H57" i="17"/>
  <c r="H61" i="17"/>
  <c r="AD35" i="17"/>
  <c r="AD39" i="17"/>
  <c r="G61" i="18"/>
  <c r="G57" i="18"/>
  <c r="K35" i="18"/>
  <c r="K39" i="18"/>
  <c r="AP57" i="17"/>
  <c r="AP61" i="17"/>
  <c r="X50" i="18"/>
  <c r="X46" i="18"/>
  <c r="AJ50" i="18"/>
  <c r="AJ46" i="18"/>
  <c r="AS55" i="18"/>
  <c r="AS33" i="18"/>
  <c r="AS23" i="18"/>
  <c r="AS44" i="18"/>
  <c r="W57" i="17"/>
  <c r="W61" i="17"/>
  <c r="AN55" i="18"/>
  <c r="AN33" i="18"/>
  <c r="AN23" i="18"/>
  <c r="AN44" i="18"/>
  <c r="U50" i="17"/>
  <c r="U46" i="17"/>
  <c r="AY61" i="17"/>
  <c r="AY57" i="17"/>
  <c r="AH35" i="17"/>
  <c r="AH39" i="17"/>
  <c r="R50" i="18"/>
  <c r="R46" i="18"/>
  <c r="Y50" i="18"/>
  <c r="Y46" i="18"/>
  <c r="H35" i="18"/>
  <c r="H39" i="18"/>
  <c r="AM35" i="18"/>
  <c r="P57" i="17"/>
  <c r="P61" i="17"/>
  <c r="Z55" i="18"/>
  <c r="Z33" i="18"/>
  <c r="Z23" i="18"/>
  <c r="Z44" i="18"/>
  <c r="I50" i="17"/>
  <c r="I46" i="17"/>
  <c r="AT50" i="17"/>
  <c r="AT46" i="17"/>
  <c r="AL35" i="17"/>
  <c r="AL39" i="17"/>
  <c r="O61" i="18"/>
  <c r="O57" i="18"/>
  <c r="AU57" i="18"/>
  <c r="AP50" i="18"/>
  <c r="AP46" i="18"/>
  <c r="AF57" i="18"/>
  <c r="AF61" i="18"/>
  <c r="AX39" i="18"/>
  <c r="AX35" i="18"/>
  <c r="H35" i="17"/>
  <c r="H39" i="17"/>
  <c r="AK55" i="18"/>
  <c r="AK33" i="18"/>
  <c r="AK23" i="18"/>
  <c r="AK44" i="18"/>
  <c r="AA57" i="17"/>
  <c r="AA61" i="17"/>
  <c r="AW22" i="18"/>
  <c r="AW21" i="18"/>
  <c r="AW61" i="17"/>
  <c r="AW57" i="17"/>
  <c r="AR57" i="17"/>
  <c r="AR61" i="17"/>
  <c r="AV34" i="17"/>
  <c r="AV40" i="17"/>
  <c r="AV45" i="17"/>
  <c r="AV51" i="17"/>
  <c r="AV24" i="17"/>
  <c r="AV56" i="17"/>
  <c r="AV62" i="17"/>
  <c r="AQ35" i="18"/>
  <c r="W55" i="18"/>
  <c r="W33" i="18"/>
  <c r="W23" i="18"/>
  <c r="W44" i="18"/>
  <c r="AB50" i="18"/>
  <c r="AB46" i="18"/>
  <c r="AO24" i="17"/>
  <c r="AO34" i="17"/>
  <c r="AO40" i="17"/>
  <c r="AO45" i="17"/>
  <c r="AO51" i="17"/>
  <c r="AO56" i="17"/>
  <c r="AO62" i="17"/>
  <c r="U35" i="18"/>
  <c r="U39" i="18"/>
  <c r="F35" i="18"/>
  <c r="F39" i="18"/>
  <c r="J35" i="18"/>
  <c r="J39" i="18"/>
  <c r="AA45" i="18"/>
  <c r="AA51" i="18"/>
  <c r="AA24" i="18"/>
  <c r="AA34" i="18"/>
  <c r="AA40" i="18"/>
  <c r="AA56" i="18"/>
  <c r="AA62" i="18"/>
  <c r="M35" i="17"/>
  <c r="M39" i="17"/>
  <c r="Q35" i="17"/>
  <c r="Q39" i="17"/>
  <c r="AG57" i="17"/>
  <c r="AG61" i="17"/>
  <c r="T57" i="18"/>
  <c r="T61" i="18"/>
  <c r="V50" i="17"/>
  <c r="V46" i="17"/>
  <c r="N57" i="17"/>
  <c r="N61" i="17"/>
  <c r="V55" i="18"/>
  <c r="V33" i="18"/>
  <c r="V23" i="18"/>
  <c r="V44" i="18"/>
  <c r="AO55" i="18"/>
  <c r="AO33" i="18"/>
  <c r="AO23" i="18"/>
  <c r="AO44" i="18"/>
  <c r="G50" i="17"/>
  <c r="G46" i="17"/>
  <c r="AM57" i="17"/>
  <c r="AM61" i="17"/>
  <c r="AK57" i="17"/>
  <c r="AK61" i="17"/>
  <c r="AX34" i="17"/>
  <c r="AX40" i="17"/>
  <c r="AX45" i="17"/>
  <c r="AX51" i="17"/>
  <c r="AX24" i="17"/>
  <c r="AX56" i="17"/>
  <c r="AX62" i="17"/>
  <c r="R50" i="17"/>
  <c r="R46" i="17"/>
  <c r="O50" i="17"/>
  <c r="O46" i="17"/>
  <c r="Z50" i="17"/>
  <c r="Z46" i="17"/>
  <c r="AL35" i="18"/>
  <c r="AL39" i="18"/>
  <c r="AP50" i="17"/>
  <c r="AP46" i="17"/>
  <c r="F50" i="17"/>
  <c r="F46" i="17"/>
  <c r="AB35" i="17"/>
  <c r="AB39" i="17"/>
  <c r="AQ50" i="17"/>
  <c r="AQ46" i="17"/>
  <c r="Y57" i="18"/>
  <c r="Y61" i="18"/>
  <c r="AT35" i="17"/>
  <c r="AT39" i="17"/>
  <c r="AI45" i="18"/>
  <c r="AI51" i="18"/>
  <c r="AI24" i="18"/>
  <c r="AI34" i="18"/>
  <c r="AI40" i="18"/>
  <c r="AI56" i="18"/>
  <c r="AI62" i="18"/>
  <c r="E24" i="17"/>
  <c r="E34" i="17"/>
  <c r="E40" i="17"/>
  <c r="E56" i="17"/>
  <c r="E62" i="17"/>
  <c r="E45" i="17"/>
  <c r="E51" i="17"/>
  <c r="G35" i="18"/>
  <c r="G39" i="18"/>
  <c r="K61" i="18"/>
  <c r="K57" i="18"/>
  <c r="AC50" i="18"/>
  <c r="AC46" i="18"/>
  <c r="AL50" i="18"/>
  <c r="AL46" i="18"/>
  <c r="AT50" i="18"/>
  <c r="AT46" i="18"/>
  <c r="F57" i="17"/>
  <c r="F61" i="17"/>
  <c r="J57" i="17"/>
  <c r="J61" i="17"/>
  <c r="AB50" i="17"/>
  <c r="AB46" i="17"/>
  <c r="AS45" i="18"/>
  <c r="AS51" i="18"/>
  <c r="AS24" i="18"/>
  <c r="AS34" i="18"/>
  <c r="AS40" i="18"/>
  <c r="AS56" i="18"/>
  <c r="AS62" i="18"/>
  <c r="AN45" i="18"/>
  <c r="AN51" i="18"/>
  <c r="AN24" i="18"/>
  <c r="AN56" i="18"/>
  <c r="AN62" i="18"/>
  <c r="AN34" i="18"/>
  <c r="AN40" i="18"/>
  <c r="U39" i="17"/>
  <c r="U35" i="17"/>
  <c r="AQ57" i="17"/>
  <c r="AQ61" i="17"/>
  <c r="AY50" i="17"/>
  <c r="AY46" i="17"/>
  <c r="AH57" i="17"/>
  <c r="AH61" i="17"/>
  <c r="T45" i="20"/>
  <c r="R35" i="18"/>
  <c r="R39" i="18"/>
  <c r="Y35" i="18"/>
  <c r="Y39" i="18"/>
  <c r="AY57" i="18"/>
  <c r="AY61" i="18"/>
  <c r="AC50" i="17"/>
  <c r="AC46" i="17"/>
  <c r="Z45" i="18"/>
  <c r="Z51" i="18"/>
  <c r="Z24" i="18"/>
  <c r="Z56" i="18"/>
  <c r="Z62" i="18"/>
  <c r="Z34" i="18"/>
  <c r="Z40" i="18"/>
  <c r="I39" i="17"/>
  <c r="I35" i="17"/>
  <c r="I61" i="18"/>
  <c r="I57" i="18"/>
  <c r="N61" i="18"/>
  <c r="N57" i="18"/>
  <c r="AI55" i="18"/>
  <c r="AI33" i="18"/>
  <c r="AI23" i="18"/>
  <c r="AI44" i="18"/>
  <c r="AP35" i="18"/>
  <c r="AP39" i="18"/>
  <c r="AX50" i="18"/>
  <c r="AX46" i="18"/>
  <c r="AK45" i="18"/>
  <c r="AK51" i="18"/>
  <c r="AK24" i="18"/>
  <c r="AK34" i="18"/>
  <c r="AK40" i="18"/>
  <c r="AK56" i="18"/>
  <c r="AK62" i="18"/>
  <c r="AD50" i="17"/>
  <c r="AD46" i="17"/>
  <c r="Y21" i="17"/>
  <c r="Y22" i="17"/>
  <c r="AW50" i="17"/>
  <c r="AW46" i="17"/>
  <c r="AE50" i="17"/>
  <c r="AE46" i="17"/>
  <c r="AV44" i="17"/>
  <c r="AV55" i="17"/>
  <c r="AV33" i="17"/>
  <c r="AV23" i="17"/>
  <c r="W45" i="18"/>
  <c r="W51" i="18"/>
  <c r="W24" i="18"/>
  <c r="W34" i="18"/>
  <c r="W40" i="18"/>
  <c r="W56" i="18"/>
  <c r="W62" i="18"/>
  <c r="AF50" i="17"/>
  <c r="AF46" i="17"/>
  <c r="AO33" i="17"/>
  <c r="AO44" i="17"/>
  <c r="AO55" i="17"/>
  <c r="AO23" i="17"/>
  <c r="U57" i="18"/>
  <c r="U61" i="18"/>
  <c r="J61" i="18"/>
  <c r="J57" i="18"/>
  <c r="AG50" i="18"/>
  <c r="AG46" i="18"/>
  <c r="Q55" i="18"/>
  <c r="Q33" i="18"/>
  <c r="Q44" i="18"/>
  <c r="Q23" i="18"/>
  <c r="V35" i="17"/>
  <c r="V39" i="17"/>
  <c r="AS57" i="17"/>
  <c r="AS61" i="17"/>
  <c r="V45" i="18"/>
  <c r="V51" i="18"/>
  <c r="V24" i="18"/>
  <c r="V34" i="18"/>
  <c r="V40" i="18"/>
  <c r="V56" i="18"/>
  <c r="V62" i="18"/>
  <c r="AO45" i="18"/>
  <c r="AO51" i="18"/>
  <c r="AO24" i="18"/>
  <c r="AO34" i="18"/>
  <c r="AO40" i="18"/>
  <c r="AO56" i="18"/>
  <c r="AO62" i="18"/>
  <c r="G39" i="17"/>
  <c r="G35" i="17"/>
  <c r="AX44" i="17"/>
  <c r="AX55" i="17"/>
  <c r="AX33" i="17"/>
  <c r="AX23" i="17"/>
  <c r="P61" i="18"/>
  <c r="P57" i="18"/>
  <c r="R39" i="17"/>
  <c r="R35" i="17"/>
  <c r="O35" i="17"/>
  <c r="O39" i="17"/>
  <c r="Z35" i="17"/>
  <c r="Z39" i="17"/>
  <c r="AU35" i="17"/>
  <c r="AU39" i="17"/>
  <c r="S55" i="18"/>
  <c r="S33" i="18"/>
  <c r="S23" i="18"/>
  <c r="S44" i="18"/>
  <c r="AT35" i="18"/>
  <c r="AT39" i="18"/>
  <c r="E34" i="18"/>
  <c r="E40" i="18"/>
  <c r="E45" i="18"/>
  <c r="E51" i="18"/>
  <c r="E56" i="18"/>
  <c r="E62" i="18"/>
  <c r="E24" i="18"/>
  <c r="AZ22" i="18"/>
  <c r="J50" i="17"/>
  <c r="J46" i="17"/>
  <c r="AJ35" i="18"/>
  <c r="AJ39" i="18"/>
  <c r="U57" i="17"/>
  <c r="U61" i="17"/>
  <c r="AY35" i="17"/>
  <c r="AY39" i="17"/>
  <c r="AE55" i="18"/>
  <c r="AE33" i="18"/>
  <c r="AE23" i="18"/>
  <c r="AE44" i="18"/>
  <c r="AY50" i="18"/>
  <c r="AY46" i="18"/>
  <c r="AC35" i="17"/>
  <c r="AC39" i="17"/>
  <c r="P50" i="17"/>
  <c r="P46" i="17"/>
  <c r="I57" i="17"/>
  <c r="I61" i="17"/>
  <c r="I46" i="18"/>
  <c r="I50" i="18"/>
  <c r="O46" i="18"/>
  <c r="O50" i="18"/>
  <c r="N46" i="18"/>
  <c r="N50" i="18"/>
  <c r="AP57" i="18"/>
  <c r="AP61" i="18"/>
  <c r="AF50" i="18"/>
  <c r="AF46" i="18"/>
  <c r="AA50" i="17"/>
  <c r="AA46" i="17"/>
  <c r="AR50" i="17"/>
  <c r="AR46" i="17"/>
  <c r="AE35" i="17"/>
  <c r="AE39" i="17"/>
  <c r="M34" i="18"/>
  <c r="M40" i="18"/>
  <c r="M56" i="18"/>
  <c r="M62" i="18"/>
  <c r="M45" i="18"/>
  <c r="M51" i="18"/>
  <c r="M24" i="18"/>
  <c r="AB35" i="18"/>
  <c r="AB39" i="18"/>
  <c r="AH55" i="18"/>
  <c r="AH33" i="18"/>
  <c r="AH44" i="18"/>
  <c r="AH23" i="18"/>
  <c r="AF35" i="17"/>
  <c r="AF39" i="17"/>
  <c r="F61" i="18"/>
  <c r="F57" i="18"/>
  <c r="AG35" i="18"/>
  <c r="AG39" i="18"/>
  <c r="Q45" i="18"/>
  <c r="Q51" i="18"/>
  <c r="Q24" i="18"/>
  <c r="Q56" i="18"/>
  <c r="Q62" i="18"/>
  <c r="Q34" i="18"/>
  <c r="Q40" i="18"/>
  <c r="M57" i="17"/>
  <c r="M61" i="17"/>
  <c r="Q57" i="17"/>
  <c r="Q61" i="17"/>
  <c r="AG50" i="17"/>
  <c r="AG46" i="17"/>
  <c r="T50" i="18"/>
  <c r="T46" i="18"/>
  <c r="N50" i="17"/>
  <c r="N46" i="17"/>
  <c r="AS50" i="17"/>
  <c r="AS46" i="17"/>
  <c r="AD55" i="18"/>
  <c r="AD33" i="18"/>
  <c r="AD44" i="18"/>
  <c r="AD23" i="18"/>
  <c r="G57" i="17"/>
  <c r="G61" i="17"/>
  <c r="L24" i="17"/>
  <c r="L34" i="17"/>
  <c r="L40" i="17"/>
  <c r="L56" i="17"/>
  <c r="L62" i="17"/>
  <c r="L45" i="17"/>
  <c r="L51" i="17"/>
  <c r="AM50" i="17"/>
  <c r="AM46" i="17"/>
  <c r="AK50" i="17"/>
  <c r="AK46" i="17"/>
  <c r="P50" i="18"/>
  <c r="P46" i="18"/>
  <c r="R57" i="17"/>
  <c r="R61" i="17"/>
  <c r="AU61" i="17"/>
  <c r="AU57" i="17"/>
  <c r="AQ57" i="18"/>
  <c r="G46" i="18"/>
  <c r="G50" i="18"/>
  <c r="K46" i="18"/>
  <c r="K50" i="18"/>
  <c r="AC57" i="18"/>
  <c r="AC61" i="18"/>
  <c r="S45" i="18"/>
  <c r="S51" i="18"/>
  <c r="S24" i="18"/>
  <c r="S34" i="18"/>
  <c r="S40" i="18"/>
  <c r="S56" i="18"/>
  <c r="S62" i="18"/>
  <c r="AL57" i="18"/>
  <c r="AL61" i="18"/>
  <c r="AT57" i="18"/>
  <c r="AT61" i="18"/>
  <c r="AP39" i="17"/>
  <c r="AP35" i="17"/>
  <c r="E44" i="18"/>
  <c r="E23" i="18"/>
  <c r="E33" i="18"/>
  <c r="E55" i="18"/>
  <c r="X57" i="18"/>
  <c r="X61" i="18"/>
  <c r="F35" i="17"/>
  <c r="F39" i="17"/>
  <c r="J35" i="17"/>
  <c r="J39" i="17"/>
  <c r="AB57" i="17"/>
  <c r="AB61" i="17"/>
  <c r="AJ57" i="18"/>
  <c r="AJ61" i="18"/>
  <c r="W39" i="17"/>
  <c r="W35" i="17"/>
  <c r="AQ35" i="17"/>
  <c r="AQ39" i="17"/>
  <c r="AH50" i="17"/>
  <c r="AH46" i="17"/>
  <c r="H61" i="18"/>
  <c r="H57" i="18"/>
  <c r="AE45" i="18"/>
  <c r="AE51" i="18"/>
  <c r="AE24" i="18"/>
  <c r="AE34" i="18"/>
  <c r="AE40" i="18"/>
  <c r="AE56" i="18"/>
  <c r="AE62" i="18"/>
  <c r="AY35" i="18"/>
  <c r="AY39" i="18"/>
  <c r="AC57" i="17"/>
  <c r="AC61" i="17"/>
  <c r="P39" i="17"/>
  <c r="P35" i="17"/>
  <c r="AR45" i="18"/>
  <c r="AR51" i="18"/>
  <c r="AR24" i="18"/>
  <c r="AR56" i="18"/>
  <c r="AR62" i="18"/>
  <c r="AR34" i="18"/>
  <c r="AR40" i="18"/>
  <c r="AT61" i="17"/>
  <c r="AT57" i="17"/>
  <c r="AL50" i="17"/>
  <c r="AL46" i="17"/>
  <c r="I35" i="18"/>
  <c r="I39" i="18"/>
  <c r="O35" i="18"/>
  <c r="O39" i="18"/>
  <c r="N35" i="18"/>
  <c r="N39" i="18"/>
  <c r="S13" i="17"/>
  <c r="AZ10" i="17"/>
  <c r="AF35" i="18"/>
  <c r="AF39" i="18"/>
  <c r="AX57" i="18"/>
  <c r="AX61" i="18"/>
  <c r="H50" i="17"/>
  <c r="H46" i="17"/>
  <c r="E33" i="17"/>
  <c r="E44" i="17"/>
  <c r="E23" i="17"/>
  <c r="E55" i="17"/>
  <c r="AA39" i="17"/>
  <c r="AA35" i="17"/>
  <c r="AD57" i="17"/>
  <c r="AD61" i="17"/>
  <c r="AW35" i="17"/>
  <c r="AW39" i="17"/>
  <c r="G27" i="17"/>
  <c r="F30" i="17"/>
  <c r="AR39" i="17"/>
  <c r="AR35" i="17"/>
  <c r="AE57" i="17"/>
  <c r="AE61" i="17"/>
  <c r="M44" i="18"/>
  <c r="M55" i="18"/>
  <c r="M23" i="18"/>
  <c r="M33" i="18"/>
  <c r="AB57" i="18"/>
  <c r="AB61" i="18"/>
  <c r="AH45" i="18"/>
  <c r="AH51" i="18"/>
  <c r="AH24" i="18"/>
  <c r="AH34" i="18"/>
  <c r="AH40" i="18"/>
  <c r="AH56" i="18"/>
  <c r="AH62" i="18"/>
  <c r="AF57" i="17"/>
  <c r="AF61" i="17"/>
  <c r="U50" i="18"/>
  <c r="U46" i="18"/>
  <c r="H27" i="18"/>
  <c r="G30" i="18"/>
  <c r="F46" i="18"/>
  <c r="F50" i="18"/>
  <c r="J46" i="18"/>
  <c r="J50" i="18"/>
  <c r="AG57" i="18"/>
  <c r="AG61" i="18"/>
  <c r="AA55" i="18"/>
  <c r="AA33" i="18"/>
  <c r="AA23" i="18"/>
  <c r="AA44" i="18"/>
  <c r="M50" i="17"/>
  <c r="M46" i="17"/>
  <c r="Q50" i="17"/>
  <c r="Q46" i="17"/>
  <c r="AG35" i="17"/>
  <c r="AG39" i="17"/>
  <c r="T35" i="18"/>
  <c r="T39" i="18"/>
  <c r="V57" i="17"/>
  <c r="V61" i="17"/>
  <c r="N39" i="17"/>
  <c r="N35" i="17"/>
  <c r="AS35" i="17"/>
  <c r="AS39" i="17"/>
  <c r="AD45" i="18"/>
  <c r="AD51" i="18"/>
  <c r="AD24" i="18"/>
  <c r="AD34" i="18"/>
  <c r="AD40" i="18"/>
  <c r="AD56" i="18"/>
  <c r="AD62" i="18"/>
  <c r="L33" i="17"/>
  <c r="L44" i="17"/>
  <c r="L23" i="17"/>
  <c r="L55" i="17"/>
  <c r="AM39" i="17"/>
  <c r="AM35" i="17"/>
  <c r="AK39" i="17"/>
  <c r="AK35" i="17"/>
  <c r="P35" i="18"/>
  <c r="P39" i="18"/>
  <c r="O57" i="17"/>
  <c r="O61" i="17"/>
  <c r="Z57" i="17"/>
  <c r="Z61" i="17"/>
  <c r="AU50" i="17"/>
  <c r="AU46" i="17"/>
  <c r="AA57" i="18"/>
  <c r="AA61" i="18"/>
  <c r="Q61" i="18"/>
  <c r="Q57" i="18"/>
  <c r="AW55" i="18"/>
  <c r="AW33" i="18"/>
  <c r="AW44" i="18"/>
  <c r="AW23" i="18"/>
  <c r="Z57" i="18"/>
  <c r="Z61" i="18"/>
  <c r="AN50" i="18"/>
  <c r="AN46" i="18"/>
  <c r="L39" i="17"/>
  <c r="L35" i="17"/>
  <c r="M46" i="18"/>
  <c r="M50" i="18"/>
  <c r="E50" i="17"/>
  <c r="E46" i="17"/>
  <c r="AZ21" i="18"/>
  <c r="E46" i="18"/>
  <c r="E50" i="18"/>
  <c r="AD35" i="18"/>
  <c r="AD39" i="18"/>
  <c r="AH57" i="18"/>
  <c r="AH61" i="18"/>
  <c r="AE50" i="18"/>
  <c r="AE46" i="18"/>
  <c r="AX50" i="17"/>
  <c r="AX46" i="17"/>
  <c r="Q46" i="18"/>
  <c r="Q50" i="18"/>
  <c r="AO35" i="17"/>
  <c r="AO39" i="17"/>
  <c r="AV35" i="17"/>
  <c r="AV39" i="17"/>
  <c r="Y33" i="17"/>
  <c r="Y44" i="17"/>
  <c r="Y23" i="17"/>
  <c r="Y55" i="17"/>
  <c r="AO57" i="18"/>
  <c r="AO61" i="18"/>
  <c r="V57" i="18"/>
  <c r="V61" i="18"/>
  <c r="W57" i="18"/>
  <c r="W61" i="18"/>
  <c r="AK35" i="18"/>
  <c r="AK39" i="18"/>
  <c r="AN35" i="18"/>
  <c r="AN39" i="18"/>
  <c r="AS50" i="18"/>
  <c r="AS46" i="18"/>
  <c r="AR50" i="18"/>
  <c r="AR46" i="18"/>
  <c r="AJ24" i="17"/>
  <c r="AJ34" i="17"/>
  <c r="AJ40" i="17"/>
  <c r="AJ45" i="17"/>
  <c r="AJ51" i="17"/>
  <c r="AJ56" i="17"/>
  <c r="AJ62" i="17"/>
  <c r="I27" i="18"/>
  <c r="H30" i="18"/>
  <c r="E57" i="17"/>
  <c r="E61" i="17"/>
  <c r="E39" i="18"/>
  <c r="E35" i="18"/>
  <c r="S57" i="18"/>
  <c r="S61" i="18"/>
  <c r="AO57" i="17"/>
  <c r="AO61" i="17"/>
  <c r="AV50" i="17"/>
  <c r="AV46" i="17"/>
  <c r="AK50" i="18"/>
  <c r="AK46" i="18"/>
  <c r="L57" i="17"/>
  <c r="L61" i="17"/>
  <c r="AA35" i="18"/>
  <c r="AA39" i="18"/>
  <c r="M35" i="18"/>
  <c r="M39" i="18"/>
  <c r="E39" i="17"/>
  <c r="E35" i="17"/>
  <c r="T21" i="17"/>
  <c r="T22" i="17"/>
  <c r="E61" i="18"/>
  <c r="E57" i="18"/>
  <c r="AD57" i="18"/>
  <c r="AD61" i="18"/>
  <c r="S35" i="18"/>
  <c r="S39" i="18"/>
  <c r="Q35" i="18"/>
  <c r="Q39" i="18"/>
  <c r="AV61" i="17"/>
  <c r="AV57" i="17"/>
  <c r="AI35" i="18"/>
  <c r="AI39" i="18"/>
  <c r="AO50" i="18"/>
  <c r="AO46" i="18"/>
  <c r="V50" i="18"/>
  <c r="V46" i="18"/>
  <c r="W50" i="18"/>
  <c r="W46" i="18"/>
  <c r="AK57" i="18"/>
  <c r="AK61" i="18"/>
  <c r="Z35" i="18"/>
  <c r="Z39" i="18"/>
  <c r="AN57" i="18"/>
  <c r="AN61" i="18"/>
  <c r="AJ33" i="17"/>
  <c r="AJ55" i="17"/>
  <c r="AJ44" i="17"/>
  <c r="AJ23" i="17"/>
  <c r="H27" i="17"/>
  <c r="G30" i="17"/>
  <c r="AH50" i="18"/>
  <c r="AH46" i="18"/>
  <c r="AE35" i="18"/>
  <c r="AE39" i="18"/>
  <c r="AX35" i="17"/>
  <c r="AX39" i="17"/>
  <c r="AI57" i="18"/>
  <c r="AI61" i="18"/>
  <c r="AS35" i="18"/>
  <c r="AS39" i="18"/>
  <c r="AR35" i="18"/>
  <c r="AR39" i="18"/>
  <c r="L50" i="17"/>
  <c r="L46" i="17"/>
  <c r="AA50" i="18"/>
  <c r="AA46" i="18"/>
  <c r="M61" i="18"/>
  <c r="M57" i="18"/>
  <c r="AZ23" i="18"/>
  <c r="AD50" i="18"/>
  <c r="AD46" i="18"/>
  <c r="AH35" i="18"/>
  <c r="AH39" i="18"/>
  <c r="AE57" i="18"/>
  <c r="AE61" i="18"/>
  <c r="S50" i="18"/>
  <c r="S46" i="18"/>
  <c r="AX61" i="17"/>
  <c r="AX57" i="17"/>
  <c r="AO50" i="17"/>
  <c r="AO46" i="17"/>
  <c r="Y24" i="17"/>
  <c r="Y34" i="17"/>
  <c r="Y40" i="17"/>
  <c r="Y56" i="17"/>
  <c r="Y62" i="17"/>
  <c r="Y45" i="17"/>
  <c r="Y51" i="17"/>
  <c r="AI50" i="18"/>
  <c r="AI46" i="18"/>
  <c r="AO35" i="18"/>
  <c r="AO39" i="18"/>
  <c r="V35" i="18"/>
  <c r="V39" i="18"/>
  <c r="W35" i="18"/>
  <c r="W39" i="18"/>
  <c r="AW45" i="18"/>
  <c r="AW51" i="18"/>
  <c r="AW24" i="18"/>
  <c r="AZ24" i="18"/>
  <c r="AW56" i="18"/>
  <c r="AW62" i="18"/>
  <c r="AW34" i="18"/>
  <c r="AW40" i="18"/>
  <c r="Z50" i="18"/>
  <c r="Z46" i="18"/>
  <c r="AS57" i="18"/>
  <c r="AS61" i="18"/>
  <c r="AR57" i="18"/>
  <c r="AR61" i="18"/>
  <c r="T33" i="17"/>
  <c r="T44" i="17"/>
  <c r="T55" i="17"/>
  <c r="T23" i="17"/>
  <c r="AZ23" i="17"/>
  <c r="AZ21" i="17"/>
  <c r="J27" i="18"/>
  <c r="I30" i="18"/>
  <c r="AW35" i="18"/>
  <c r="AW39" i="18"/>
  <c r="AJ50" i="17"/>
  <c r="AJ46" i="17"/>
  <c r="T24" i="17"/>
  <c r="AZ24" i="17"/>
  <c r="T34" i="17"/>
  <c r="T40" i="17"/>
  <c r="T45" i="17"/>
  <c r="T51" i="17"/>
  <c r="T56" i="17"/>
  <c r="T62" i="17"/>
  <c r="AZ22" i="17"/>
  <c r="Y50" i="17"/>
  <c r="Y46" i="17"/>
  <c r="AW57" i="18"/>
  <c r="AW61" i="18"/>
  <c r="AJ57" i="17"/>
  <c r="AJ61" i="17"/>
  <c r="Y39" i="17"/>
  <c r="Y35" i="17"/>
  <c r="I27" i="17"/>
  <c r="H30" i="17"/>
  <c r="AJ35" i="17"/>
  <c r="AJ39" i="17"/>
  <c r="Y57" i="17"/>
  <c r="Y61" i="17"/>
  <c r="AW50" i="18"/>
  <c r="AW46" i="18"/>
  <c r="K27" i="18"/>
  <c r="J30" i="18"/>
  <c r="T57" i="17"/>
  <c r="T61" i="17"/>
  <c r="T50" i="17"/>
  <c r="T46" i="17"/>
  <c r="J27" i="17"/>
  <c r="I30" i="17"/>
  <c r="T35" i="17"/>
  <c r="T39" i="17"/>
  <c r="K27" i="17"/>
  <c r="J30" i="17"/>
  <c r="L27" i="18"/>
  <c r="K30" i="18"/>
  <c r="M27" i="18"/>
  <c r="L30" i="18"/>
  <c r="L27" i="17"/>
  <c r="K30" i="17"/>
  <c r="M27" i="17"/>
  <c r="L30" i="17"/>
  <c r="N27" i="18"/>
  <c r="M30" i="18"/>
  <c r="O27" i="18"/>
  <c r="N30" i="18"/>
  <c r="N27" i="17"/>
  <c r="M30" i="17"/>
  <c r="O27" i="17"/>
  <c r="N30" i="17"/>
  <c r="O30" i="18"/>
  <c r="P27" i="18"/>
  <c r="Q27" i="18"/>
  <c r="P30" i="18"/>
  <c r="P27" i="17"/>
  <c r="O30" i="17"/>
  <c r="Q27" i="17"/>
  <c r="P30" i="17"/>
  <c r="R27" i="18"/>
  <c r="Q30" i="18"/>
  <c r="R30" i="18"/>
  <c r="S27" i="18"/>
  <c r="R27" i="17"/>
  <c r="Q30" i="17"/>
  <c r="S27" i="17"/>
  <c r="R30" i="17"/>
  <c r="T27" i="18"/>
  <c r="S30" i="18"/>
  <c r="T30" i="18"/>
  <c r="U27" i="18"/>
  <c r="T27" i="17"/>
  <c r="S30" i="17"/>
  <c r="U27" i="17"/>
  <c r="T30" i="17"/>
  <c r="U30" i="18"/>
  <c r="V27" i="18"/>
  <c r="V30" i="18"/>
  <c r="W27" i="18"/>
  <c r="V27" i="17"/>
  <c r="U30" i="17"/>
  <c r="W27" i="17"/>
  <c r="V30" i="17"/>
  <c r="X27" i="18"/>
  <c r="W30" i="18"/>
  <c r="X30" i="18"/>
  <c r="Y27" i="18"/>
  <c r="X27" i="17"/>
  <c r="W30" i="17"/>
  <c r="Y27" i="17"/>
  <c r="X30" i="17"/>
  <c r="Z27" i="18"/>
  <c r="Y30" i="18"/>
  <c r="Z30" i="18"/>
  <c r="AA27" i="18"/>
  <c r="Z27" i="17"/>
  <c r="Y30" i="17"/>
  <c r="AA27" i="17"/>
  <c r="Z30" i="17"/>
  <c r="AB27" i="18"/>
  <c r="AA30" i="18"/>
  <c r="AB30" i="18"/>
  <c r="AC27" i="18"/>
  <c r="AB27" i="17"/>
  <c r="AA30" i="17"/>
  <c r="AC27" i="17"/>
  <c r="AB30" i="17"/>
  <c r="AC30" i="18"/>
  <c r="AD27" i="18"/>
  <c r="AD30" i="18"/>
  <c r="AE27" i="18"/>
  <c r="AD27" i="17"/>
  <c r="AC30" i="17"/>
  <c r="AE27" i="17"/>
  <c r="AD30" i="17"/>
  <c r="AF27" i="18"/>
  <c r="AE30" i="18"/>
  <c r="AF30" i="18"/>
  <c r="AG27" i="18"/>
  <c r="AF27" i="17"/>
  <c r="AE30" i="17"/>
  <c r="AG27" i="17"/>
  <c r="AF30" i="17"/>
  <c r="AG30" i="18"/>
  <c r="AH27" i="18"/>
  <c r="AH30" i="18"/>
  <c r="AI27" i="18"/>
  <c r="AH27" i="17"/>
  <c r="AG30" i="17"/>
  <c r="AI27" i="17"/>
  <c r="AH30" i="17"/>
  <c r="AJ27" i="18"/>
  <c r="AI30" i="18"/>
  <c r="AJ30" i="18"/>
  <c r="AK27" i="18"/>
  <c r="AJ27" i="17"/>
  <c r="AI30" i="17"/>
  <c r="AK27" i="17"/>
  <c r="AJ30" i="17"/>
  <c r="AL27" i="18"/>
  <c r="AK30" i="18"/>
  <c r="AL30" i="18"/>
  <c r="AM27" i="18"/>
  <c r="AL27" i="17"/>
  <c r="AK30" i="17"/>
  <c r="AM27" i="17"/>
  <c r="AL30" i="17"/>
  <c r="AN27" i="18"/>
  <c r="AM30" i="18"/>
  <c r="AN30" i="18"/>
  <c r="AO27" i="18"/>
  <c r="AN27" i="17"/>
  <c r="AM30" i="17"/>
  <c r="AO27" i="17"/>
  <c r="AN30" i="17"/>
  <c r="AP27" i="18"/>
  <c r="AO30" i="18"/>
  <c r="AP30" i="18"/>
  <c r="AQ27" i="18"/>
  <c r="AP27" i="17"/>
  <c r="AO30" i="17"/>
  <c r="AQ27" i="17"/>
  <c r="AP30" i="17"/>
  <c r="AR27" i="18"/>
  <c r="AQ30" i="18"/>
  <c r="AR30" i="18"/>
  <c r="AS27" i="18"/>
  <c r="AR27" i="17"/>
  <c r="AQ30" i="17"/>
  <c r="AS27" i="17"/>
  <c r="AR30" i="17"/>
  <c r="AT27" i="18"/>
  <c r="AS30" i="18"/>
  <c r="AT30" i="18"/>
  <c r="AU27" i="18"/>
  <c r="AT27" i="17"/>
  <c r="AS30" i="17"/>
  <c r="AU27" i="17"/>
  <c r="AT30" i="17"/>
  <c r="AV27" i="18"/>
  <c r="AU30" i="18"/>
  <c r="AW27" i="18"/>
  <c r="AV30" i="18"/>
  <c r="AV27" i="17"/>
  <c r="AU30" i="17"/>
  <c r="AW27" i="17"/>
  <c r="AV30" i="17"/>
  <c r="AX27" i="18"/>
  <c r="AW30" i="18"/>
  <c r="AY27" i="18"/>
  <c r="AY30" i="18"/>
  <c r="AX30" i="18"/>
  <c r="AX27" i="17"/>
  <c r="AW30" i="17"/>
  <c r="AX30" i="17"/>
  <c r="AY27" i="17"/>
  <c r="AY30" i="17"/>
  <c r="AZ30" i="17"/>
  <c r="AZ30" i="18"/>
  <c r="G30" i="7"/>
  <c r="F30" i="7"/>
  <c r="E30" i="7"/>
  <c r="D30" i="7"/>
  <c r="C30" i="7"/>
  <c r="F19" i="7"/>
  <c r="D19" i="7"/>
  <c r="H11" i="7"/>
  <c r="H10" i="7"/>
  <c r="H9" i="7"/>
  <c r="H8" i="7"/>
  <c r="H7" i="7"/>
  <c r="H6" i="7"/>
  <c r="G12" i="5"/>
  <c r="G9" i="5"/>
  <c r="H9" i="5"/>
  <c r="D16" i="5"/>
  <c r="P36" i="6"/>
  <c r="P30" i="6"/>
  <c r="G21" i="5"/>
  <c r="G6" i="5"/>
  <c r="G7" i="5"/>
  <c r="H7" i="5"/>
  <c r="G8" i="5"/>
  <c r="H8" i="5"/>
  <c r="G10" i="5"/>
  <c r="H10" i="5"/>
  <c r="G11" i="5"/>
  <c r="H11" i="5"/>
  <c r="H12" i="5"/>
  <c r="G13" i="5"/>
  <c r="H13" i="5"/>
  <c r="G14" i="5"/>
  <c r="H14" i="5"/>
  <c r="G15" i="5"/>
  <c r="H15" i="5"/>
  <c r="G22" i="5"/>
  <c r="G23" i="5"/>
  <c r="G24" i="5"/>
  <c r="G25" i="5"/>
  <c r="G26" i="5"/>
  <c r="G27" i="5"/>
  <c r="G28" i="5"/>
  <c r="G29" i="5"/>
  <c r="G30" i="5"/>
  <c r="D31" i="5"/>
  <c r="G36" i="5"/>
  <c r="H36" i="5"/>
  <c r="G37" i="5"/>
  <c r="H37" i="5"/>
  <c r="G38" i="5"/>
  <c r="H38" i="5"/>
  <c r="G39" i="5"/>
  <c r="H39" i="5"/>
  <c r="G40" i="5"/>
  <c r="H40" i="5"/>
  <c r="G41" i="5"/>
  <c r="H41" i="5"/>
  <c r="G42" i="5"/>
  <c r="H42" i="5"/>
  <c r="G43" i="5"/>
  <c r="H43" i="5"/>
  <c r="G44" i="5"/>
  <c r="H44" i="5"/>
  <c r="G45" i="5"/>
  <c r="H45" i="5"/>
  <c r="G46" i="5"/>
  <c r="H46" i="5"/>
  <c r="G47" i="5"/>
  <c r="H47" i="5"/>
  <c r="G48" i="5"/>
  <c r="H48" i="5"/>
  <c r="G49" i="5"/>
  <c r="H49" i="5"/>
  <c r="G50" i="5"/>
  <c r="H50" i="5"/>
  <c r="G51" i="5"/>
  <c r="H51" i="5"/>
  <c r="G52" i="5"/>
  <c r="H52" i="5"/>
  <c r="G53" i="5"/>
  <c r="H53" i="5"/>
  <c r="G54" i="5"/>
  <c r="H54" i="5"/>
  <c r="G55" i="5"/>
  <c r="H55" i="5"/>
  <c r="G56" i="5"/>
  <c r="H56" i="5"/>
  <c r="G57" i="5"/>
  <c r="H57" i="5"/>
  <c r="G58" i="5"/>
  <c r="H58" i="5"/>
  <c r="G59" i="5"/>
  <c r="H59" i="5"/>
  <c r="G60" i="5"/>
  <c r="H60" i="5"/>
  <c r="G61" i="5"/>
  <c r="H61" i="5"/>
  <c r="G62" i="5"/>
  <c r="H62" i="5"/>
  <c r="G63" i="5"/>
  <c r="H63" i="5"/>
  <c r="G64" i="5"/>
  <c r="H64" i="5"/>
  <c r="G65" i="5"/>
  <c r="H65" i="5"/>
  <c r="G66" i="5"/>
  <c r="H66" i="5"/>
  <c r="G67" i="5"/>
  <c r="H67" i="5"/>
  <c r="G68" i="5"/>
  <c r="H68" i="5"/>
  <c r="G69" i="5"/>
  <c r="H69" i="5"/>
  <c r="G70" i="5"/>
  <c r="H70" i="5"/>
  <c r="G71" i="5"/>
  <c r="H71" i="5"/>
  <c r="G72" i="5"/>
  <c r="H72" i="5"/>
  <c r="G73" i="5"/>
  <c r="H73" i="5"/>
  <c r="G74" i="5"/>
  <c r="H74" i="5"/>
  <c r="G75" i="5"/>
  <c r="H75" i="5"/>
  <c r="G76" i="5"/>
  <c r="H76" i="5"/>
  <c r="G77" i="5"/>
  <c r="H77" i="5"/>
  <c r="G78" i="5"/>
  <c r="H78" i="5"/>
  <c r="G79" i="5"/>
  <c r="H79" i="5"/>
  <c r="G80" i="5"/>
  <c r="H80" i="5"/>
  <c r="G81" i="5"/>
  <c r="H81" i="5"/>
  <c r="G82" i="5"/>
  <c r="H82" i="5"/>
  <c r="G83" i="5"/>
  <c r="H83" i="5"/>
  <c r="G84" i="5"/>
  <c r="H84" i="5"/>
  <c r="G85" i="5"/>
  <c r="H85" i="5"/>
  <c r="G86" i="5"/>
  <c r="H86" i="5"/>
  <c r="G87" i="5"/>
  <c r="H87" i="5"/>
  <c r="G88" i="5"/>
  <c r="H88" i="5"/>
  <c r="G89" i="5"/>
  <c r="H89" i="5"/>
  <c r="G90" i="5"/>
  <c r="H90" i="5"/>
  <c r="G91" i="5"/>
  <c r="H91" i="5"/>
  <c r="G92" i="5"/>
  <c r="H92" i="5"/>
  <c r="G93" i="5"/>
  <c r="H93" i="5"/>
  <c r="G94" i="5"/>
  <c r="H94" i="5"/>
  <c r="G95" i="5"/>
  <c r="H95" i="5"/>
  <c r="G96" i="5"/>
  <c r="H96" i="5"/>
  <c r="G97" i="5"/>
  <c r="H97" i="5"/>
  <c r="G98" i="5"/>
  <c r="H98" i="5"/>
  <c r="G99" i="5"/>
  <c r="H99" i="5"/>
  <c r="G100" i="5"/>
  <c r="H100" i="5"/>
  <c r="G101" i="5"/>
  <c r="H101" i="5"/>
  <c r="G102" i="5"/>
  <c r="H102" i="5"/>
  <c r="G103" i="5"/>
  <c r="H103" i="5"/>
  <c r="G104" i="5"/>
  <c r="H104" i="5"/>
  <c r="G105" i="5"/>
  <c r="H105" i="5"/>
  <c r="G106" i="5"/>
  <c r="H106" i="5"/>
  <c r="D107" i="5"/>
  <c r="P41" i="6"/>
  <c r="P40" i="6"/>
  <c r="P39" i="6"/>
  <c r="P38" i="6"/>
  <c r="P37" i="6"/>
  <c r="P35" i="6"/>
  <c r="P34" i="6"/>
  <c r="P33" i="6"/>
  <c r="P32" i="6"/>
  <c r="P31" i="6"/>
  <c r="C41" i="6"/>
  <c r="C40" i="6"/>
  <c r="C39" i="6"/>
  <c r="C38" i="6"/>
  <c r="C37" i="6"/>
  <c r="C36" i="6"/>
  <c r="D28" i="6"/>
  <c r="F28" i="6"/>
  <c r="H28" i="6"/>
  <c r="J28" i="6"/>
  <c r="L28" i="6"/>
  <c r="N28" i="6"/>
  <c r="C30" i="6"/>
  <c r="C31" i="6"/>
  <c r="C32" i="6"/>
  <c r="C33" i="6"/>
  <c r="C34" i="6"/>
  <c r="C35" i="6"/>
  <c r="O48" i="6"/>
  <c r="O47" i="6"/>
  <c r="G107" i="5"/>
  <c r="H6" i="5"/>
  <c r="G16" i="5"/>
</calcChain>
</file>

<file path=xl/sharedStrings.xml><?xml version="1.0" encoding="utf-8"?>
<sst xmlns="http://schemas.openxmlformats.org/spreadsheetml/2006/main" count="2634" uniqueCount="414">
  <si>
    <t>Basic Information</t>
  </si>
  <si>
    <t>Company Name</t>
  </si>
  <si>
    <t>Facilities</t>
  </si>
  <si>
    <t>Location</t>
  </si>
  <si>
    <t>Buy/Sell capacity</t>
  </si>
  <si>
    <t>P01</t>
  </si>
  <si>
    <t xml:space="preserve"> -&gt;</t>
  </si>
  <si>
    <t>P02</t>
  </si>
  <si>
    <t>P03</t>
  </si>
  <si>
    <t>P04</t>
  </si>
  <si>
    <t>P05</t>
  </si>
  <si>
    <t>P06</t>
  </si>
  <si>
    <t>P07</t>
  </si>
  <si>
    <t>P08</t>
  </si>
  <si>
    <t>P09</t>
  </si>
  <si>
    <t>P10</t>
  </si>
  <si>
    <t>Plants</t>
  </si>
  <si>
    <t>Buy/Sell tankcars</t>
  </si>
  <si>
    <t>TankCars</t>
  </si>
  <si>
    <t>S01</t>
  </si>
  <si>
    <t>S13</t>
  </si>
  <si>
    <t>S14</t>
  </si>
  <si>
    <t>S15</t>
  </si>
  <si>
    <t>S21</t>
  </si>
  <si>
    <t>S22</t>
  </si>
  <si>
    <t>S23</t>
  </si>
  <si>
    <t>S24</t>
  </si>
  <si>
    <t>S25</t>
  </si>
  <si>
    <t>S26</t>
  </si>
  <si>
    <t>S27</t>
  </si>
  <si>
    <t>S31</t>
  </si>
  <si>
    <t>S32</t>
  </si>
  <si>
    <t>S33</t>
  </si>
  <si>
    <t>S34</t>
  </si>
  <si>
    <t>S35</t>
  </si>
  <si>
    <t>S36</t>
  </si>
  <si>
    <t>S37</t>
  </si>
  <si>
    <t>S38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</si>
  <si>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</si>
  <si>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</si>
  <si>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</si>
  <si>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</si>
  <si>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</si>
  <si>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</si>
  <si>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</si>
  <si>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</si>
  <si>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</si>
  <si>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</si>
  <si>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</si>
  <si>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</si>
  <si>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</si>
  <si>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S53</t>
  </si>
  <si>
    <t>S54</t>
  </si>
  <si>
    <t>S55</t>
  </si>
  <si>
    <t>S56</t>
  </si>
  <si>
    <t>S57</t>
  </si>
  <si>
    <t>S58</t>
  </si>
  <si>
    <t>S59</t>
  </si>
  <si>
    <t>S60</t>
  </si>
  <si>
    <t>S61</t>
  </si>
  <si>
    <t>S62</t>
  </si>
  <si>
    <t>S63</t>
  </si>
  <si>
    <t>S64</t>
  </si>
  <si>
    <t>S65</t>
  </si>
  <si>
    <t>S66</t>
  </si>
  <si>
    <t>S67</t>
  </si>
  <si>
    <t>S68</t>
  </si>
  <si>
    <t>S69</t>
  </si>
  <si>
    <t>S70</t>
  </si>
  <si>
    <t>S72</t>
  </si>
  <si>
    <t>S73</t>
  </si>
  <si>
    <t>S74</t>
  </si>
  <si>
    <t>S75</t>
  </si>
  <si>
    <t>S76</t>
  </si>
  <si>
    <t>S77</t>
  </si>
  <si>
    <t>S78</t>
  </si>
  <si>
    <t>S79</t>
  </si>
  <si>
    <t>S83</t>
  </si>
  <si>
    <t>S84</t>
  </si>
  <si>
    <t>S85</t>
  </si>
  <si>
    <t>S86</t>
  </si>
  <si>
    <t>S87</t>
  </si>
  <si>
    <t>S88</t>
  </si>
  <si>
    <t>S89</t>
  </si>
  <si>
    <t>S94</t>
  </si>
  <si>
    <t>S95</t>
  </si>
  <si>
    <t>S96</t>
  </si>
  <si>
    <t>S97</t>
  </si>
  <si>
    <t>S98</t>
  </si>
  <si>
    <t>S99</t>
  </si>
  <si>
    <t>Storages</t>
  </si>
  <si>
    <t>Grove:Month</t>
  </si>
  <si>
    <t>Sep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</si>
  <si>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</si>
  <si>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</si>
  <si>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</si>
  <si>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</si>
  <si>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</si>
  <si>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</si>
  <si>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</si>
  <si>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</si>
  <si>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</si>
  <si>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Jul</t>
  </si>
  <si>
    <t>Aug</t>
  </si>
  <si>
    <t>FLA</t>
  </si>
  <si>
    <t>CAL</t>
  </si>
  <si>
    <t>TEX</t>
  </si>
  <si>
    <t>ARZ</t>
  </si>
  <si>
    <t>BRA</t>
  </si>
  <si>
    <t>SPA</t>
  </si>
  <si>
    <t xml:space="preserve"> </t>
  </si>
  <si>
    <t>Year</t>
  </si>
  <si>
    <t>ORA Contracts</t>
  </si>
  <si>
    <t>FCOJ Contracts</t>
  </si>
  <si>
    <t>Shipping</t>
  </si>
  <si>
    <t>From:To</t>
  </si>
  <si>
    <t>Manufacturing</t>
  </si>
  <si>
    <t>Process ORA into POJ or FCOJ(%)</t>
  </si>
  <si>
    <t>Plant</t>
  </si>
  <si>
    <t>Product</t>
  </si>
  <si>
    <t>Proportion</t>
  </si>
  <si>
    <t>From</t>
  </si>
  <si>
    <t>Futures</t>
  </si>
  <si>
    <t>FCOJ</t>
  </si>
  <si>
    <t>Reconstitution</t>
  </si>
  <si>
    <t>ORA</t>
  </si>
  <si>
    <t>NE</t>
  </si>
  <si>
    <t>MA</t>
  </si>
  <si>
    <t>SE</t>
  </si>
  <si>
    <t>MW</t>
  </si>
  <si>
    <t>DS</t>
  </si>
  <si>
    <t>NW</t>
  </si>
  <si>
    <t>SW</t>
  </si>
  <si>
    <t>POJ</t>
  </si>
  <si>
    <t>ROJ</t>
  </si>
  <si>
    <t>Price 3</t>
  </si>
  <si>
    <t>Price 2</t>
  </si>
  <si>
    <t>Price 1</t>
  </si>
  <si>
    <t>Pricing for each product in each region($/lb)</t>
  </si>
  <si>
    <t>Grove:Multiplier</t>
  </si>
  <si>
    <t>Raw Materials</t>
  </si>
  <si>
    <t>Type</t>
  </si>
  <si>
    <t>Multiplier</t>
  </si>
  <si>
    <t>Reconstitute FCOJ into ROJ at Storages(%)</t>
  </si>
  <si>
    <t>Ship ORA from Groves to Plants or Storages(%)</t>
  </si>
  <si>
    <t>Ship FCOJ (futures) from FLA to Storages; Ship POJ, FCOJ from Plants to Storages(%)</t>
  </si>
  <si>
    <t>Region:Month</t>
  </si>
  <si>
    <t>Storage:Month</t>
  </si>
  <si>
    <t>TankCars(unit of cars)</t>
  </si>
  <si>
    <t>Type:Month</t>
  </si>
  <si>
    <t>Sum</t>
  </si>
  <si>
    <t>This year</t>
  </si>
  <si>
    <t>Next year</t>
  </si>
  <si>
    <t>Arrival of matured ORA Futures and FCOJ Futures(%)</t>
  </si>
  <si>
    <t>Purchases at the Futures Market(tons) (ORA and FCOJ)</t>
  </si>
  <si>
    <t>Plants(tons)</t>
  </si>
  <si>
    <t>Storages(tons)</t>
  </si>
  <si>
    <t>Quantity Multipliers(unit, $/lb)</t>
  </si>
  <si>
    <t>Pricing</t>
  </si>
  <si>
    <t>Price</t>
  </si>
  <si>
    <t>Quantity</t>
  </si>
  <si>
    <t>Maturity</t>
  </si>
  <si>
    <t>Matured Amount:</t>
  </si>
  <si>
    <r>
      <t xml:space="preserve">FLA </t>
    </r>
    <r>
      <rPr>
        <i/>
        <sz val="10"/>
        <rFont val="Arial"/>
        <family val="2"/>
      </rPr>
      <t>(spot &amp; futures)</t>
    </r>
  </si>
  <si>
    <r>
      <t xml:space="preserve">Purchases at the Spot Market(tons per </t>
    </r>
    <r>
      <rPr>
        <b/>
        <i/>
        <sz val="10"/>
        <rFont val="Arial"/>
        <family val="2"/>
      </rPr>
      <t>week</t>
    </r>
    <r>
      <rPr>
        <i/>
        <sz val="10"/>
        <rFont val="Arial"/>
        <family val="2"/>
      </rPr>
      <t xml:space="preserve"> in a month) (ORA)</t>
    </r>
  </si>
  <si>
    <t>oriangagrande</t>
  </si>
  <si>
    <t/>
  </si>
  <si>
    <t>Region</t>
  </si>
  <si>
    <t>Market</t>
  </si>
  <si>
    <t>Nearest Storage</t>
  </si>
  <si>
    <t>Distance(miles)</t>
  </si>
  <si>
    <t>Transportation Cost($/ton)</t>
  </si>
  <si>
    <t>ANY</t>
  </si>
  <si>
    <t>BOS</t>
  </si>
  <si>
    <t>CLP</t>
  </si>
  <si>
    <t>KEE</t>
  </si>
  <si>
    <t>LAK</t>
  </si>
  <si>
    <t>MBK</t>
  </si>
  <si>
    <t>MVY</t>
  </si>
  <si>
    <t>PGH</t>
  </si>
  <si>
    <t>PHI</t>
  </si>
  <si>
    <t>PVD</t>
  </si>
  <si>
    <t>RER</t>
  </si>
  <si>
    <t>SCR</t>
  </si>
  <si>
    <t>SMS</t>
  </si>
  <si>
    <t>SUP</t>
  </si>
  <si>
    <t>CRS</t>
  </si>
  <si>
    <t>CVE</t>
  </si>
  <si>
    <t>CWV</t>
  </si>
  <si>
    <t>DTN</t>
  </si>
  <si>
    <t>FRY</t>
  </si>
  <si>
    <t>HIP</t>
  </si>
  <si>
    <t>JTC</t>
  </si>
  <si>
    <t>LXK</t>
  </si>
  <si>
    <t>MAO</t>
  </si>
  <si>
    <t>MAY</t>
  </si>
  <si>
    <t>MSD</t>
  </si>
  <si>
    <t>MSP</t>
  </si>
  <si>
    <t>MTH</t>
  </si>
  <si>
    <t>RCH</t>
  </si>
  <si>
    <t>RRN</t>
  </si>
  <si>
    <t>SHK</t>
  </si>
  <si>
    <t>TIL</t>
  </si>
  <si>
    <t>CHR</t>
  </si>
  <si>
    <t>DAY</t>
  </si>
  <si>
    <t>FPR</t>
  </si>
  <si>
    <t>FSC</t>
  </si>
  <si>
    <t>GRN</t>
  </si>
  <si>
    <t>HVA</t>
  </si>
  <si>
    <t>JFL</t>
  </si>
  <si>
    <t>MTG</t>
  </si>
  <si>
    <t>OCL</t>
  </si>
  <si>
    <t>PAN</t>
  </si>
  <si>
    <t>WPB</t>
  </si>
  <si>
    <t>YEM</t>
  </si>
  <si>
    <t>ABL</t>
  </si>
  <si>
    <t>BYO</t>
  </si>
  <si>
    <t>CED</t>
  </si>
  <si>
    <t>CUP</t>
  </si>
  <si>
    <t>ELK</t>
  </si>
  <si>
    <t>FWA</t>
  </si>
  <si>
    <t>GBW</t>
  </si>
  <si>
    <t>GEE</t>
  </si>
  <si>
    <t>GFK</t>
  </si>
  <si>
    <t>HER</t>
  </si>
  <si>
    <t>JAC</t>
  </si>
  <si>
    <t>LSL</t>
  </si>
  <si>
    <t>MAS</t>
  </si>
  <si>
    <t>MND</t>
  </si>
  <si>
    <t>NLW</t>
  </si>
  <si>
    <t>OWT</t>
  </si>
  <si>
    <t>SDL</t>
  </si>
  <si>
    <t>SHL</t>
  </si>
  <si>
    <t>SJF</t>
  </si>
  <si>
    <t>STP</t>
  </si>
  <si>
    <t>SWI</t>
  </si>
  <si>
    <t>TRV</t>
  </si>
  <si>
    <t>BST</t>
  </si>
  <si>
    <t>DEL</t>
  </si>
  <si>
    <t>ELP</t>
  </si>
  <si>
    <t>FTW</t>
  </si>
  <si>
    <t>GRL</t>
  </si>
  <si>
    <t>LAF</t>
  </si>
  <si>
    <t>LRO</t>
  </si>
  <si>
    <t>MCX</t>
  </si>
  <si>
    <t>MKO</t>
  </si>
  <si>
    <t>MRE</t>
  </si>
  <si>
    <t>PRA</t>
  </si>
  <si>
    <t>RSW</t>
  </si>
  <si>
    <t>SGE</t>
  </si>
  <si>
    <t>SME</t>
  </si>
  <si>
    <t>SNA</t>
  </si>
  <si>
    <t>TYE</t>
  </si>
  <si>
    <t>BTT</t>
  </si>
  <si>
    <t>DIM</t>
  </si>
  <si>
    <t>EUG</t>
  </si>
  <si>
    <t>LEW</t>
  </si>
  <si>
    <t>PCO</t>
  </si>
  <si>
    <t>RSP</t>
  </si>
  <si>
    <t>TWF</t>
  </si>
  <si>
    <t>YKM</t>
  </si>
  <si>
    <t>BKR</t>
  </si>
  <si>
    <t>DOZ</t>
  </si>
  <si>
    <t>FSO</t>
  </si>
  <si>
    <t>GRU</t>
  </si>
  <si>
    <t>HUL</t>
  </si>
  <si>
    <t>LOS</t>
  </si>
  <si>
    <t>RFE</t>
  </si>
  <si>
    <t>RNE</t>
  </si>
  <si>
    <t>SCM</t>
  </si>
  <si>
    <t>SFC</t>
  </si>
  <si>
    <t>TCY</t>
  </si>
  <si>
    <t>Sales</t>
  </si>
  <si>
    <t>Sales For FCOJ(tons)(1st Column), Transportation Cost($)(2nd Column) (by market and week)</t>
  </si>
  <si>
    <t>Month</t>
  </si>
  <si>
    <t>Mar:Week</t>
  </si>
  <si>
    <t>Sales(tons) (by region and month)</t>
  </si>
  <si>
    <t>Reg:Mon</t>
  </si>
  <si>
    <t>Total</t>
  </si>
  <si>
    <t>Sales Revenue($) (by region and month)</t>
  </si>
  <si>
    <t>Transportation Cost from storages to markets($) (by region and month)</t>
  </si>
  <si>
    <t>Sales For ROJ(tons)(1st Column), Transportation Cost($)(2nd Column) (by market and week)</t>
  </si>
  <si>
    <t>Sales For POJ(tons)(1st Column), Transportation Cost($)(2nd Column) (by market and week)</t>
  </si>
  <si>
    <t>Sales For ORA(tons)(1st Column), Transportation Cost($)(2nd Column) (by market and week)</t>
  </si>
  <si>
    <t>Storage</t>
  </si>
  <si>
    <t>Storage:</t>
  </si>
  <si>
    <t>Capacity:</t>
  </si>
  <si>
    <t>Time (beginning of week)</t>
  </si>
  <si>
    <t>|-------</t>
  </si>
  <si>
    <t xml:space="preserve"> -------|-------</t>
  </si>
  <si>
    <t xml:space="preserve"> -------|</t>
  </si>
  <si>
    <t>Scheduled to ship in/Sum</t>
  </si>
  <si>
    <t>Shipped In + Reconstituted</t>
  </si>
  <si>
    <t xml:space="preserve"> -</t>
  </si>
  <si>
    <t>Toss Out</t>
  </si>
  <si>
    <t>Inventory</t>
  </si>
  <si>
    <t>rotten</t>
  </si>
  <si>
    <t>% of FCOJ</t>
  </si>
  <si>
    <t>Available</t>
  </si>
  <si>
    <t>Sold</t>
  </si>
  <si>
    <t>Ship Out</t>
  </si>
  <si>
    <t>Costs at storage</t>
  </si>
  <si>
    <t>Hold Inventory</t>
  </si>
  <si>
    <t>Plant:</t>
  </si>
  <si>
    <t>Shipped In</t>
  </si>
  <si>
    <t>Breakdown?</t>
  </si>
  <si>
    <t>(Yes/"")</t>
  </si>
  <si>
    <t>Cost for POJ</t>
  </si>
  <si>
    <t>Cost for FCOJ</t>
  </si>
  <si>
    <t>At home</t>
  </si>
  <si>
    <t>Going out</t>
  </si>
  <si>
    <t>Coming home</t>
  </si>
  <si>
    <t>Hold Cost</t>
  </si>
  <si>
    <t>Grove</t>
  </si>
  <si>
    <r>
      <t xml:space="preserve">Prices of oranges at the Spot Market(Currency/lb) </t>
    </r>
    <r>
      <rPr>
        <i/>
        <u/>
        <sz val="10"/>
        <rFont val="Arial"/>
        <family val="2"/>
      </rPr>
      <t>ORA</t>
    </r>
  </si>
  <si>
    <t>Foreign Exchange Rate: US$ value of 1 BRA Real or 1 SPA Euro ($/BRL)($/EUR)</t>
  </si>
  <si>
    <t>Currency:Month</t>
  </si>
  <si>
    <t>BRA Real</t>
  </si>
  <si>
    <t>SPA Euro</t>
  </si>
  <si>
    <r>
      <t xml:space="preserve">US$ Prices of oranges at the Spot Market($/lb) </t>
    </r>
    <r>
      <rPr>
        <i/>
        <u/>
        <sz val="10"/>
        <rFont val="Arial"/>
        <family val="2"/>
      </rPr>
      <t>ORA</t>
    </r>
  </si>
  <si>
    <t>Actual Quantity Multiplier(unit)</t>
  </si>
  <si>
    <t>Gro:Mon</t>
  </si>
  <si>
    <r>
      <t xml:space="preserve">Amount of oranges harvested(tons) </t>
    </r>
    <r>
      <rPr>
        <i/>
        <u/>
        <sz val="10"/>
        <rFont val="Arial"/>
        <family val="2"/>
      </rPr>
      <t>ORA</t>
    </r>
  </si>
  <si>
    <t>Gro:Week</t>
  </si>
  <si>
    <r>
      <t xml:space="preserve">Actual amount of oranges purchased(tons) </t>
    </r>
    <r>
      <rPr>
        <i/>
        <u/>
        <sz val="10"/>
        <rFont val="Arial"/>
        <family val="2"/>
      </rPr>
      <t>ORA</t>
    </r>
  </si>
  <si>
    <t>Gro:Wk</t>
  </si>
  <si>
    <r>
      <t xml:space="preserve">Purchasing cost of oranges($) </t>
    </r>
    <r>
      <rPr>
        <i/>
        <u/>
        <sz val="10"/>
        <rFont val="Arial"/>
        <family val="2"/>
      </rPr>
      <t>ORA</t>
    </r>
  </si>
  <si>
    <r>
      <t xml:space="preserve">Amount of matured futures products(tons) </t>
    </r>
    <r>
      <rPr>
        <i/>
        <u/>
        <sz val="10"/>
        <rFont val="Arial"/>
        <family val="2"/>
      </rPr>
      <t>ORA Futures, FCOJ Futures</t>
    </r>
  </si>
  <si>
    <t>from FLA:Month</t>
  </si>
  <si>
    <t>ORA Futures</t>
  </si>
  <si>
    <t>FCOJ Futures</t>
  </si>
  <si>
    <r>
      <t xml:space="preserve">Transportation Cost($) for shipping </t>
    </r>
    <r>
      <rPr>
        <i/>
        <u/>
        <sz val="10"/>
        <rFont val="Arial"/>
        <family val="2"/>
      </rPr>
      <t>FCOJ Futures</t>
    </r>
  </si>
  <si>
    <t>Month:Storage</t>
  </si>
  <si>
    <r>
      <t xml:space="preserve">Actual amount of oranges shipped out from groves(tons) </t>
    </r>
    <r>
      <rPr>
        <i/>
        <u/>
        <sz val="10"/>
        <rFont val="Arial"/>
        <family val="2"/>
      </rPr>
      <t>ORA, ORA Futures</t>
    </r>
  </si>
  <si>
    <t>from Grove:Week</t>
  </si>
  <si>
    <r>
      <t xml:space="preserve">Transportation Cost($) for shipping </t>
    </r>
    <r>
      <rPr>
        <i/>
        <u/>
        <sz val="10"/>
        <rFont val="Arial"/>
        <family val="2"/>
      </rPr>
      <t>ORA + ORA Futures</t>
    </r>
  </si>
  <si>
    <t>To</t>
  </si>
  <si>
    <t>plants</t>
  </si>
  <si>
    <t>storages</t>
  </si>
  <si>
    <t>Yes</t>
  </si>
  <si>
    <t>Distance:</t>
  </si>
  <si>
    <t>POJ to ship</t>
  </si>
  <si>
    <t>FCOJ to ship</t>
  </si>
  <si>
    <t>OJ to ship (Sum)</t>
  </si>
  <si>
    <t>POJ by TankCars</t>
  </si>
  <si>
    <t>FCOJ by TankCars</t>
  </si>
  <si>
    <t>No. TankCars</t>
  </si>
  <si>
    <t>POJ by Carrier</t>
  </si>
  <si>
    <t>FCOJ by Carrier</t>
  </si>
  <si>
    <t>No. Weeks</t>
  </si>
  <si>
    <t>Cost by TankCars</t>
  </si>
  <si>
    <t>Cost by Carrier</t>
  </si>
  <si>
    <t>Activities</t>
  </si>
  <si>
    <t>Earnings</t>
  </si>
  <si>
    <t>Sales (tons)</t>
  </si>
  <si>
    <t>Sales Revenue</t>
  </si>
  <si>
    <t>Fresh Oranges (ORA)</t>
  </si>
  <si>
    <t>Premium Orange Juice (POJ)</t>
  </si>
  <si>
    <t>Reconstituted Orange Juice (ROJ)</t>
  </si>
  <si>
    <t>Frozen Concentrated Orange Juice (FCOJ)</t>
  </si>
  <si>
    <t>Total Revenue</t>
  </si>
  <si>
    <t>Materials Acquisitions &amp; Losses (tons)</t>
  </si>
  <si>
    <t>Oranges Harvested</t>
  </si>
  <si>
    <t>Materials Costs</t>
  </si>
  <si>
    <t>ORA Futures Matured</t>
  </si>
  <si>
    <t xml:space="preserve">Orange (ORA) Purchases </t>
  </si>
  <si>
    <t>FCOJ Futures Matured</t>
  </si>
  <si>
    <t>ORA Futures Costs</t>
  </si>
  <si>
    <t>Premium Orange Juice (POJ) Manufactured</t>
  </si>
  <si>
    <t>FCOJ Futures Costs</t>
  </si>
  <si>
    <t>Frozen Concentrated Orange Juice (FCOJ) Manufactured</t>
  </si>
  <si>
    <t>Transportation Costs from Groves (ORA &amp; ORA futures)</t>
  </si>
  <si>
    <t>Reconstituted Orange Juice (ROJ) Manufactured</t>
  </si>
  <si>
    <t>Transportation Costs from Groves (FCOJ futures)</t>
  </si>
  <si>
    <t>Products Lost due to Capacity Shortage</t>
  </si>
  <si>
    <t>Total Materials Costs</t>
  </si>
  <si>
    <t>(</t>
  </si>
  <si>
    <t>)</t>
  </si>
  <si>
    <t>Products Lost due to Spoilage</t>
  </si>
  <si>
    <t>Manufacturing Costs</t>
  </si>
  <si>
    <t>Futures Contracts Purchases (tons)</t>
  </si>
  <si>
    <t>POJ Manufacturing Costs</t>
  </si>
  <si>
    <t>ORA Futures Contracts</t>
  </si>
  <si>
    <t>FCOJ Manufacturing Costs</t>
  </si>
  <si>
    <t>FCOJ Futures Contracts</t>
  </si>
  <si>
    <t>ROJ Reconstitution Costs</t>
  </si>
  <si>
    <t>Total Processing Costs</t>
  </si>
  <si>
    <t>Facilities Adjustment (tons of capacity)</t>
  </si>
  <si>
    <t>Processing Plants Capacity Upgrade</t>
  </si>
  <si>
    <t>Transportation Costs from Plants and Storages &amp; Inventory Hold Costs</t>
  </si>
  <si>
    <t>Storage Centers Capacity Upgrade</t>
  </si>
  <si>
    <t>Transportation Costs from Plants (TankCars)</t>
  </si>
  <si>
    <t>Processing Plants Capacity Downgrade</t>
  </si>
  <si>
    <t>Transportation Costs from Plants (Carriers)</t>
  </si>
  <si>
    <t>Storage Centers Capacity Downgrade</t>
  </si>
  <si>
    <t>Inventory Hold Costs at Storages</t>
  </si>
  <si>
    <t>Transportation Costs from Storages</t>
  </si>
  <si>
    <t>Facilities Acquisitions (unit)</t>
  </si>
  <si>
    <t>Total Transportation and Storage Costs</t>
  </si>
  <si>
    <t>Processing Plants</t>
  </si>
  <si>
    <t>Storage Centers</t>
  </si>
  <si>
    <t>Facilities Adjustment &amp; Maintenance Costs</t>
  </si>
  <si>
    <t>Processing Plant Maintenance Costs</t>
  </si>
  <si>
    <t>Costs(/Gains) of Acquiring(/Selling) Processing Plant</t>
  </si>
  <si>
    <t>Facilities Sold (unit)</t>
  </si>
  <si>
    <t>Processing Plant Capacity Adjustment Costs(/Gains)</t>
  </si>
  <si>
    <t>Storage Center Maintenance Costs</t>
  </si>
  <si>
    <t>Costs(/Gains) of Acquiring(/Selling) Storage Center</t>
  </si>
  <si>
    <t>Storage Center Capacity Adjustment Costs(/Gains)</t>
  </si>
  <si>
    <t>TankCars Hold Costs</t>
  </si>
  <si>
    <t>TankCars Purchase Costs(/Selling Gains)</t>
  </si>
  <si>
    <t>Total Facilities Costs</t>
  </si>
  <si>
    <t>Net Profit</t>
  </si>
  <si>
    <t>Annual Report for the year ending August 31st,  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</si>
</sst>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&quot;$&quot;#,##0"/>
  </numFmts>
  <fonts count="14" x14ac:knownFonts="1"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i/>
      <sz val="10"/>
      <name val="Arial"/>
      <family val="2"/>
    </font>
    <font>
      <i/>
      <u/>
      <sz val="10"/>
      <name val="Arial"/>
      <family val="2"/>
    </font>
    <font>
      <b/>
      <sz val="12"/>
      <name val="Times New Roman"/>
      <family val="1"/>
    </font>
    <font>
      <u/>
      <sz val="12"/>
      <name val="Times New Roman"/>
      <family val="1"/>
    </font>
    <font>
      <sz val="10"/>
      <name val="Times New Roman"/>
      <family val="1"/>
    </font>
    <font>
      <u/>
      <sz val="10"/>
      <name val="Times New Roman"/>
      <family val="1"/>
    </font>
    <font>
      <i/>
      <sz val="10"/>
      <name val="Times New Roman"/>
      <family val="1"/>
    </font>
    <font>
      <sz val="8"/>
      <name val="Arial"/>
      <family val="2"/>
    </font>
    <font>
      <b/>
      <i/>
      <sz val="10"/>
      <name val="Times New Roman"/>
      <family val="1"/>
    </font>
  </fonts>
  <fills count="11">
    <fill>
      <patternFill patternType="none"/>
    </fill>
    <fill>
      <patternFill patternType="gray125"/>
    </fill>
    <fill>
      <patternFill patternType="solid">
        <fgColor indexed="5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44"/>
        <bgColor indexed="64"/>
      </patternFill>
    </fill>
  </fills>
  <borders count="28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</borders>
  <cellStyleXfs count="2">
    <xf numFmtId="0" fontId="0" fillId="0" borderId="0"/>
    <xf numFmtId="0" fontId="4" fillId="0" borderId="0"/>
  </cellStyleXfs>
  <cellXfs count="208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2" borderId="0" xfId="0" applyFill="1"/>
    <xf numFmtId="0" fontId="0" fillId="3" borderId="1" xfId="0" applyFill="1" applyBorder="1"/>
    <xf numFmtId="0" fontId="0" fillId="3" borderId="2" xfId="0" applyFill="1" applyBorder="1" applyAlignment="1">
      <alignment horizontal="right"/>
    </xf>
    <xf numFmtId="0" fontId="0" fillId="3" borderId="3" xfId="0" applyFill="1" applyBorder="1"/>
    <xf numFmtId="0" fontId="0" fillId="3" borderId="4" xfId="0" applyFill="1" applyBorder="1" applyAlignment="1">
      <alignment horizontal="right"/>
    </xf>
    <xf numFmtId="0" fontId="1" fillId="0" borderId="0" xfId="0" applyFont="1" applyAlignment="1"/>
    <xf numFmtId="0" fontId="0" fillId="0" borderId="0" xfId="0" applyAlignment="1"/>
    <xf numFmtId="0" fontId="2" fillId="0" borderId="0" xfId="0" applyFont="1" applyAlignment="1"/>
    <xf numFmtId="0" fontId="1" fillId="2" borderId="0" xfId="0" applyFont="1" applyFill="1" applyAlignment="1"/>
    <xf numFmtId="0" fontId="0" fillId="2" borderId="0" xfId="0" applyFill="1" applyAlignment="1"/>
    <xf numFmtId="0" fontId="0" fillId="3" borderId="5" xfId="0" applyFill="1" applyBorder="1" applyAlignment="1"/>
    <xf numFmtId="0" fontId="0" fillId="3" borderId="6" xfId="0" applyFill="1" applyBorder="1" applyAlignment="1"/>
    <xf numFmtId="0" fontId="0" fillId="3" borderId="0" xfId="0" applyFill="1" applyBorder="1" applyAlignment="1"/>
    <xf numFmtId="0" fontId="0" fillId="3" borderId="2" xfId="0" applyFill="1" applyBorder="1" applyAlignment="1"/>
    <xf numFmtId="0" fontId="0" fillId="3" borderId="7" xfId="0" applyFill="1" applyBorder="1" applyAlignment="1"/>
    <xf numFmtId="0" fontId="0" fillId="3" borderId="3" xfId="0" applyFill="1" applyBorder="1" applyAlignment="1"/>
    <xf numFmtId="0" fontId="0" fillId="3" borderId="8" xfId="0" applyFill="1" applyBorder="1" applyAlignment="1"/>
    <xf numFmtId="0" fontId="0" fillId="3" borderId="4" xfId="0" applyFill="1" applyBorder="1" applyAlignment="1"/>
    <xf numFmtId="0" fontId="0" fillId="2" borderId="9" xfId="0" applyFill="1" applyBorder="1" applyAlignment="1"/>
    <xf numFmtId="0" fontId="0" fillId="2" borderId="0" xfId="0" applyFill="1" applyBorder="1" applyAlignment="1"/>
    <xf numFmtId="0" fontId="0" fillId="3" borderId="10" xfId="0" applyFill="1" applyBorder="1" applyAlignment="1"/>
    <xf numFmtId="0" fontId="0" fillId="3" borderId="11" xfId="0" applyFill="1" applyBorder="1" applyAlignment="1"/>
    <xf numFmtId="0" fontId="0" fillId="3" borderId="1" xfId="0" applyFill="1" applyBorder="1" applyAlignment="1"/>
    <xf numFmtId="0" fontId="0" fillId="3" borderId="9" xfId="0" applyFill="1" applyBorder="1" applyAlignment="1"/>
    <xf numFmtId="0" fontId="0" fillId="3" borderId="12" xfId="0" applyFill="1" applyBorder="1" applyAlignment="1"/>
    <xf numFmtId="0" fontId="1" fillId="0" borderId="0" xfId="0" applyNumberFormat="1" applyFont="1" applyAlignment="1"/>
    <xf numFmtId="0" fontId="0" fillId="0" borderId="0" xfId="0" applyNumberFormat="1" applyAlignment="1"/>
    <xf numFmtId="0" fontId="2" fillId="0" borderId="0" xfId="0" applyNumberFormat="1" applyFont="1" applyAlignment="1"/>
    <xf numFmtId="0" fontId="2" fillId="2" borderId="0" xfId="0" applyNumberFormat="1" applyFont="1" applyFill="1" applyAlignment="1"/>
    <xf numFmtId="0" fontId="0" fillId="2" borderId="0" xfId="0" applyNumberFormat="1" applyFill="1" applyAlignment="1"/>
    <xf numFmtId="0" fontId="0" fillId="3" borderId="5" xfId="0" applyNumberFormat="1" applyFill="1" applyBorder="1" applyAlignment="1"/>
    <xf numFmtId="0" fontId="0" fillId="3" borderId="13" xfId="0" applyNumberFormat="1" applyFill="1" applyBorder="1" applyAlignment="1"/>
    <xf numFmtId="0" fontId="0" fillId="3" borderId="14" xfId="0" applyNumberFormat="1" applyFill="1" applyBorder="1" applyAlignment="1"/>
    <xf numFmtId="0" fontId="0" fillId="3" borderId="12" xfId="0" applyNumberFormat="1" applyFill="1" applyBorder="1" applyAlignment="1"/>
    <xf numFmtId="0" fontId="0" fillId="3" borderId="15" xfId="0" applyNumberFormat="1" applyFill="1" applyBorder="1" applyAlignment="1"/>
    <xf numFmtId="0" fontId="0" fillId="2" borderId="3" xfId="0" applyNumberFormat="1" applyFill="1" applyBorder="1" applyAlignment="1"/>
    <xf numFmtId="0" fontId="0" fillId="2" borderId="8" xfId="0" applyNumberFormat="1" applyFill="1" applyBorder="1" applyAlignment="1"/>
    <xf numFmtId="0" fontId="0" fillId="2" borderId="4" xfId="0" applyNumberFormat="1" applyFill="1" applyBorder="1" applyAlignment="1"/>
    <xf numFmtId="0" fontId="0" fillId="3" borderId="10" xfId="0" applyNumberFormat="1" applyFill="1" applyBorder="1" applyAlignment="1"/>
    <xf numFmtId="0" fontId="0" fillId="2" borderId="9" xfId="0" applyNumberFormat="1" applyFill="1" applyBorder="1" applyAlignment="1"/>
    <xf numFmtId="0" fontId="3" fillId="2" borderId="9" xfId="0" applyNumberFormat="1" applyFont="1" applyFill="1" applyBorder="1" applyAlignment="1"/>
    <xf numFmtId="0" fontId="0" fillId="3" borderId="11" xfId="0" applyNumberFormat="1" applyFill="1" applyBorder="1" applyAlignment="1"/>
    <xf numFmtId="0" fontId="0" fillId="3" borderId="0" xfId="0" applyNumberFormat="1" applyFill="1" applyBorder="1" applyAlignment="1"/>
    <xf numFmtId="0" fontId="0" fillId="3" borderId="7" xfId="0" applyNumberFormat="1" applyFill="1" applyBorder="1" applyAlignment="1"/>
    <xf numFmtId="0" fontId="0" fillId="3" borderId="6" xfId="0" applyNumberFormat="1" applyFill="1" applyBorder="1" applyAlignment="1"/>
    <xf numFmtId="0" fontId="2" fillId="2" borderId="0" xfId="0" applyNumberFormat="1" applyFont="1" applyFill="1" applyBorder="1" applyAlignment="1"/>
    <xf numFmtId="0" fontId="0" fillId="0" borderId="0" xfId="0" applyNumberFormat="1" applyFill="1" applyBorder="1" applyAlignment="1"/>
    <xf numFmtId="0" fontId="0" fillId="0" borderId="0" xfId="0" applyNumberFormat="1" applyFill="1" applyAlignment="1"/>
    <xf numFmtId="0" fontId="0" fillId="2" borderId="0" xfId="0" applyNumberFormat="1" applyFill="1" applyBorder="1" applyAlignment="1"/>
    <xf numFmtId="0" fontId="1" fillId="0" borderId="0" xfId="0" applyNumberFormat="1" applyFont="1" applyFill="1" applyBorder="1" applyAlignment="1"/>
    <xf numFmtId="0" fontId="2" fillId="0" borderId="0" xfId="0" applyNumberFormat="1" applyFont="1" applyFill="1" applyAlignment="1"/>
    <xf numFmtId="0" fontId="1" fillId="2" borderId="0" xfId="0" applyNumberFormat="1" applyFont="1" applyFill="1" applyBorder="1" applyAlignment="1"/>
    <xf numFmtId="0" fontId="2" fillId="0" borderId="0" xfId="0" applyNumberFormat="1" applyFont="1" applyFill="1" applyBorder="1" applyAlignment="1"/>
    <xf numFmtId="0" fontId="3" fillId="0" borderId="0" xfId="0" applyNumberFormat="1" applyFont="1" applyFill="1" applyAlignment="1"/>
    <xf numFmtId="0" fontId="1" fillId="2" borderId="0" xfId="0" applyNumberFormat="1" applyFont="1" applyFill="1" applyAlignment="1"/>
    <xf numFmtId="0" fontId="2" fillId="0" borderId="0" xfId="0" applyNumberFormat="1" applyFont="1" applyAlignment="1">
      <alignment horizontal="right"/>
    </xf>
    <xf numFmtId="0" fontId="4" fillId="3" borderId="5" xfId="0" applyNumberFormat="1" applyFont="1" applyFill="1" applyBorder="1" applyAlignment="1"/>
    <xf numFmtId="0" fontId="0" fillId="0" borderId="6" xfId="0" applyNumberFormat="1" applyBorder="1" applyAlignment="1"/>
    <xf numFmtId="0" fontId="0" fillId="3" borderId="16" xfId="0" applyNumberFormat="1" applyFill="1" applyBorder="1" applyAlignment="1"/>
    <xf numFmtId="0" fontId="0" fillId="3" borderId="17" xfId="0" applyNumberFormat="1" applyFill="1" applyBorder="1" applyAlignment="1"/>
    <xf numFmtId="0" fontId="0" fillId="3" borderId="18" xfId="0" applyNumberFormat="1" applyFill="1" applyBorder="1" applyAlignment="1"/>
    <xf numFmtId="0" fontId="0" fillId="3" borderId="19" xfId="0" applyNumberFormat="1" applyFill="1" applyBorder="1" applyAlignment="1"/>
    <xf numFmtId="0" fontId="0" fillId="3" borderId="20" xfId="0" applyNumberFormat="1" applyFill="1" applyBorder="1" applyAlignment="1"/>
    <xf numFmtId="0" fontId="0" fillId="3" borderId="21" xfId="0" applyNumberFormat="1" applyFill="1" applyBorder="1" applyAlignment="1"/>
    <xf numFmtId="0" fontId="0" fillId="3" borderId="22" xfId="0" applyNumberFormat="1" applyFill="1" applyBorder="1" applyAlignment="1"/>
    <xf numFmtId="0" fontId="0" fillId="0" borderId="21" xfId="0" applyNumberFormat="1" applyBorder="1" applyAlignment="1"/>
    <xf numFmtId="0" fontId="0" fillId="3" borderId="23" xfId="0" applyNumberFormat="1" applyFill="1" applyBorder="1" applyAlignment="1"/>
    <xf numFmtId="0" fontId="4" fillId="0" borderId="0" xfId="0" applyNumberFormat="1" applyFont="1" applyAlignment="1"/>
    <xf numFmtId="0" fontId="0" fillId="0" borderId="7" xfId="0" applyNumberFormat="1" applyBorder="1" applyAlignment="1">
      <alignment horizontal="right"/>
    </xf>
    <xf numFmtId="0" fontId="0" fillId="3" borderId="3" xfId="0" applyNumberFormat="1" applyFill="1" applyBorder="1" applyAlignment="1"/>
    <xf numFmtId="0" fontId="0" fillId="3" borderId="24" xfId="0" applyNumberFormat="1" applyFill="1" applyBorder="1" applyAlignment="1"/>
    <xf numFmtId="0" fontId="0" fillId="3" borderId="25" xfId="0" applyNumberFormat="1" applyFill="1" applyBorder="1" applyAlignment="1"/>
    <xf numFmtId="0" fontId="0" fillId="4" borderId="0" xfId="0" applyNumberFormat="1" applyFill="1" applyBorder="1" applyAlignment="1"/>
    <xf numFmtId="0" fontId="0" fillId="4" borderId="6" xfId="0" applyNumberFormat="1" applyFill="1" applyBorder="1" applyAlignment="1"/>
    <xf numFmtId="0" fontId="0" fillId="4" borderId="3" xfId="0" applyNumberFormat="1" applyFill="1" applyBorder="1" applyAlignment="1"/>
    <xf numFmtId="0" fontId="0" fillId="4" borderId="8" xfId="0" applyNumberFormat="1" applyFill="1" applyBorder="1" applyAlignment="1"/>
    <xf numFmtId="0" fontId="0" fillId="3" borderId="26" xfId="0" applyNumberFormat="1" applyFill="1" applyBorder="1" applyAlignment="1"/>
    <xf numFmtId="0" fontId="0" fillId="0" borderId="8" xfId="0" applyNumberFormat="1" applyBorder="1" applyAlignment="1"/>
    <xf numFmtId="0" fontId="0" fillId="0" borderId="4" xfId="0" applyNumberFormat="1" applyBorder="1" applyAlignment="1"/>
    <xf numFmtId="0" fontId="4" fillId="2" borderId="0" xfId="0" applyFont="1" applyFill="1" applyBorder="1" applyAlignment="1"/>
    <xf numFmtId="0" fontId="4" fillId="2" borderId="0" xfId="0" applyFont="1" applyFill="1" applyAlignment="1"/>
    <xf numFmtId="0" fontId="0" fillId="0" borderId="5" xfId="0" applyFill="1" applyBorder="1" applyAlignment="1" applyProtection="1">
      <protection locked="0"/>
    </xf>
    <xf numFmtId="0" fontId="0" fillId="0" borderId="5" xfId="0" applyBorder="1" applyAlignment="1" applyProtection="1">
      <protection locked="0"/>
    </xf>
    <xf numFmtId="0" fontId="0" fillId="0" borderId="4" xfId="0" applyNumberFormat="1" applyFill="1" applyBorder="1" applyAlignment="1" applyProtection="1">
      <protection locked="0"/>
    </xf>
    <xf numFmtId="0" fontId="0" fillId="0" borderId="15" xfId="0" applyNumberFormat="1" applyFill="1" applyBorder="1" applyAlignment="1" applyProtection="1">
      <protection locked="0"/>
    </xf>
    <xf numFmtId="0" fontId="0" fillId="0" borderId="14" xfId="0" applyNumberFormat="1" applyFill="1" applyBorder="1" applyAlignment="1" applyProtection="1">
      <protection locked="0"/>
    </xf>
    <xf numFmtId="0" fontId="0" fillId="0" borderId="5" xfId="0" applyNumberFormat="1" applyFill="1" applyBorder="1" applyAlignment="1" applyProtection="1">
      <protection locked="0"/>
    </xf>
    <xf numFmtId="0" fontId="3" fillId="0" borderId="15" xfId="0" applyNumberFormat="1" applyFont="1" applyFill="1" applyBorder="1" applyAlignment="1" applyProtection="1">
      <protection locked="0"/>
    </xf>
    <xf numFmtId="0" fontId="3" fillId="0" borderId="5" xfId="0" applyNumberFormat="1" applyFont="1" applyFill="1" applyBorder="1" applyAlignment="1" applyProtection="1">
      <protection locked="0"/>
    </xf>
    <xf numFmtId="0" fontId="0" fillId="0" borderId="5" xfId="0" applyNumberFormat="1" applyBorder="1" applyAlignment="1" applyProtection="1">
      <protection locked="0"/>
    </xf>
    <xf numFmtId="0" fontId="0" fillId="0" borderId="1" xfId="0" applyNumberFormat="1" applyFill="1" applyBorder="1" applyAlignment="1" applyProtection="1">
      <protection locked="0"/>
    </xf>
    <xf numFmtId="0" fontId="0" fillId="0" borderId="11" xfId="0" applyNumberFormat="1" applyFill="1" applyBorder="1" applyAlignment="1" applyProtection="1">
      <protection locked="0"/>
    </xf>
    <xf numFmtId="0" fontId="0" fillId="0" borderId="10" xfId="0" applyNumberFormat="1" applyFill="1" applyBorder="1" applyAlignment="1" applyProtection="1">
      <protection locked="0"/>
    </xf>
    <xf numFmtId="0" fontId="0" fillId="3" borderId="5" xfId="0" applyNumberFormat="1" applyFill="1" applyBorder="1" applyAlignment="1" applyProtection="1"/>
    <xf numFmtId="0" fontId="0" fillId="3" borderId="10" xfId="0" applyNumberFormat="1" applyFill="1" applyBorder="1" applyAlignment="1" applyProtection="1"/>
    <xf numFmtId="0" fontId="0" fillId="3" borderId="11" xfId="0" applyNumberFormat="1" applyFill="1" applyBorder="1" applyAlignment="1" applyProtection="1"/>
    <xf numFmtId="0" fontId="4" fillId="5" borderId="0" xfId="1" applyFill="1"/>
    <xf numFmtId="0" fontId="4" fillId="0" borderId="0" xfId="1"/>
    <xf numFmtId="0" fontId="4" fillId="0" borderId="0" xfId="1" applyFill="1"/>
    <xf numFmtId="0" fontId="1" fillId="0" borderId="0" xfId="1" applyFont="1"/>
    <xf numFmtId="0" fontId="2" fillId="0" borderId="0" xfId="1" applyFont="1"/>
    <xf numFmtId="0" fontId="2" fillId="0" borderId="0" xfId="1" applyFont="1" applyFill="1"/>
    <xf numFmtId="0" fontId="4" fillId="6" borderId="0" xfId="1" applyFill="1"/>
    <xf numFmtId="0" fontId="4" fillId="0" borderId="0" xfId="1" applyFill="1" applyBorder="1"/>
    <xf numFmtId="0" fontId="4" fillId="0" borderId="5" xfId="1" applyBorder="1"/>
    <xf numFmtId="0" fontId="4" fillId="0" borderId="11" xfId="1" applyBorder="1"/>
    <xf numFmtId="0" fontId="4" fillId="0" borderId="6" xfId="1" applyBorder="1"/>
    <xf numFmtId="0" fontId="4" fillId="0" borderId="0" xfId="1" applyBorder="1"/>
    <xf numFmtId="0" fontId="4" fillId="0" borderId="0" xfId="1" applyAlignment="1"/>
    <xf numFmtId="0" fontId="4" fillId="0" borderId="0" xfId="1" applyAlignment="1">
      <alignment horizontal="center"/>
    </xf>
    <xf numFmtId="0" fontId="4" fillId="0" borderId="0" xfId="1" applyBorder="1" applyAlignment="1">
      <alignment horizontal="right"/>
    </xf>
    <xf numFmtId="0" fontId="4" fillId="0" borderId="8" xfId="1" applyFill="1" applyBorder="1"/>
    <xf numFmtId="0" fontId="4" fillId="5" borderId="13" xfId="1" applyFill="1" applyBorder="1" applyAlignment="1">
      <alignment horizontal="right"/>
    </xf>
    <xf numFmtId="0" fontId="4" fillId="7" borderId="8" xfId="1" applyFill="1" applyBorder="1"/>
    <xf numFmtId="0" fontId="4" fillId="0" borderId="13" xfId="1" applyBorder="1"/>
    <xf numFmtId="0" fontId="4" fillId="5" borderId="0" xfId="1" applyFill="1" applyAlignment="1">
      <alignment horizontal="right"/>
    </xf>
    <xf numFmtId="0" fontId="4" fillId="7" borderId="0" xfId="1" applyFill="1" applyBorder="1"/>
    <xf numFmtId="0" fontId="4" fillId="2" borderId="0" xfId="1" applyFill="1" applyBorder="1"/>
    <xf numFmtId="0" fontId="4" fillId="7" borderId="13" xfId="1" applyFill="1" applyBorder="1"/>
    <xf numFmtId="0" fontId="4" fillId="5" borderId="9" xfId="1" applyFill="1" applyBorder="1" applyAlignment="1">
      <alignment horizontal="right"/>
    </xf>
    <xf numFmtId="0" fontId="4" fillId="7" borderId="9" xfId="1" applyFill="1" applyBorder="1"/>
    <xf numFmtId="0" fontId="4" fillId="0" borderId="9" xfId="1" applyBorder="1"/>
    <xf numFmtId="0" fontId="4" fillId="0" borderId="8" xfId="1" applyBorder="1"/>
    <xf numFmtId="0" fontId="4" fillId="5" borderId="1" xfId="1" applyFill="1" applyBorder="1" applyAlignment="1">
      <alignment horizontal="right"/>
    </xf>
    <xf numFmtId="0" fontId="4" fillId="3" borderId="0" xfId="1" applyFill="1" applyBorder="1"/>
    <xf numFmtId="0" fontId="4" fillId="0" borderId="3" xfId="1" applyBorder="1"/>
    <xf numFmtId="0" fontId="4" fillId="8" borderId="8" xfId="1" applyFill="1" applyBorder="1"/>
    <xf numFmtId="0" fontId="4" fillId="8" borderId="0" xfId="1" applyFill="1" applyBorder="1"/>
    <xf numFmtId="0" fontId="4" fillId="5" borderId="6" xfId="1" applyFill="1" applyBorder="1" applyAlignment="1">
      <alignment horizontal="right"/>
    </xf>
    <xf numFmtId="0" fontId="4" fillId="9" borderId="8" xfId="1" applyFill="1" applyBorder="1" applyAlignment="1">
      <alignment horizontal="right"/>
    </xf>
    <xf numFmtId="0" fontId="4" fillId="5" borderId="13" xfId="1" applyFill="1" applyBorder="1"/>
    <xf numFmtId="10" fontId="4" fillId="0" borderId="13" xfId="1" applyNumberFormat="1" applyBorder="1"/>
    <xf numFmtId="0" fontId="4" fillId="5" borderId="9" xfId="1" applyFill="1" applyBorder="1"/>
    <xf numFmtId="0" fontId="4" fillId="5" borderId="8" xfId="1" applyFill="1" applyBorder="1"/>
    <xf numFmtId="0" fontId="4" fillId="6" borderId="9" xfId="1" applyFill="1" applyBorder="1"/>
    <xf numFmtId="0" fontId="4" fillId="0" borderId="9" xfId="1" applyFill="1" applyBorder="1"/>
    <xf numFmtId="0" fontId="4" fillId="0" borderId="10" xfId="1" applyFill="1" applyBorder="1"/>
    <xf numFmtId="0" fontId="4" fillId="6" borderId="8" xfId="1" applyFill="1" applyBorder="1"/>
    <xf numFmtId="0" fontId="4" fillId="0" borderId="15" xfId="1" applyFill="1" applyBorder="1"/>
    <xf numFmtId="0" fontId="4" fillId="0" borderId="0" xfId="1" applyFill="1" applyBorder="1" applyAlignment="1">
      <alignment horizontal="left"/>
    </xf>
    <xf numFmtId="0" fontId="4" fillId="7" borderId="13" xfId="1" applyFill="1" applyBorder="1" applyAlignment="1">
      <alignment horizontal="right"/>
    </xf>
    <xf numFmtId="0" fontId="4" fillId="0" borderId="13" xfId="1" applyFill="1" applyBorder="1"/>
    <xf numFmtId="0" fontId="4" fillId="0" borderId="9" xfId="1" applyFont="1" applyFill="1" applyBorder="1"/>
    <xf numFmtId="0" fontId="4" fillId="0" borderId="0" xfId="1" applyFont="1" applyFill="1" applyBorder="1" applyAlignment="1">
      <alignment horizontal="right"/>
    </xf>
    <xf numFmtId="0" fontId="4" fillId="0" borderId="0" xfId="1" applyFont="1" applyFill="1" applyBorder="1"/>
    <xf numFmtId="0" fontId="4" fillId="0" borderId="0" xfId="1" applyFont="1" applyFill="1" applyBorder="1" applyAlignment="1"/>
    <xf numFmtId="0" fontId="4" fillId="5" borderId="13" xfId="1" applyFont="1" applyFill="1" applyBorder="1" applyAlignment="1">
      <alignment horizontal="right"/>
    </xf>
    <xf numFmtId="0" fontId="4" fillId="7" borderId="13" xfId="1" applyFont="1" applyFill="1" applyBorder="1" applyAlignment="1"/>
    <xf numFmtId="0" fontId="4" fillId="0" borderId="5" xfId="1" applyFill="1" applyBorder="1"/>
    <xf numFmtId="0" fontId="1" fillId="0" borderId="0" xfId="1" applyFont="1" applyBorder="1"/>
    <xf numFmtId="0" fontId="4" fillId="0" borderId="9" xfId="1" applyFill="1" applyBorder="1" applyAlignment="1">
      <alignment horizontal="right"/>
    </xf>
    <xf numFmtId="10" fontId="4" fillId="5" borderId="13" xfId="1" applyNumberFormat="1" applyFill="1" applyBorder="1"/>
    <xf numFmtId="0" fontId="4" fillId="5" borderId="0" xfId="1" applyFill="1" applyBorder="1" applyAlignment="1">
      <alignment horizontal="right"/>
    </xf>
    <xf numFmtId="10" fontId="4" fillId="0" borderId="0" xfId="1" applyNumberFormat="1" applyFill="1" applyBorder="1"/>
    <xf numFmtId="0" fontId="4" fillId="0" borderId="12" xfId="1" applyFill="1" applyBorder="1"/>
    <xf numFmtId="0" fontId="4" fillId="5" borderId="8" xfId="1" applyFill="1" applyBorder="1" applyAlignment="1">
      <alignment horizontal="right"/>
    </xf>
    <xf numFmtId="10" fontId="4" fillId="0" borderId="8" xfId="1" applyNumberFormat="1" applyFill="1" applyBorder="1"/>
    <xf numFmtId="0" fontId="4" fillId="6" borderId="9" xfId="1" applyFill="1" applyBorder="1" applyAlignment="1">
      <alignment horizontal="right"/>
    </xf>
    <xf numFmtId="0" fontId="4" fillId="6" borderId="8" xfId="1" applyFill="1" applyBorder="1" applyAlignment="1">
      <alignment horizontal="right"/>
    </xf>
    <xf numFmtId="0" fontId="4" fillId="0" borderId="8" xfId="1" applyNumberFormat="1" applyFill="1" applyBorder="1"/>
    <xf numFmtId="0" fontId="1" fillId="0" borderId="0" xfId="1" applyFont="1" applyFill="1" applyBorder="1" applyAlignment="1"/>
    <xf numFmtId="0" fontId="4" fillId="0" borderId="2" xfId="1" applyBorder="1"/>
    <xf numFmtId="0" fontId="4" fillId="5" borderId="0" xfId="1" applyFill="1" applyBorder="1"/>
    <xf numFmtId="0" fontId="4" fillId="0" borderId="7" xfId="1" applyBorder="1"/>
    <xf numFmtId="0" fontId="4" fillId="0" borderId="4" xfId="1" applyBorder="1"/>
    <xf numFmtId="0" fontId="4" fillId="0" borderId="3" xfId="1" applyFill="1" applyBorder="1"/>
    <xf numFmtId="0" fontId="4" fillId="6" borderId="13" xfId="1" applyFill="1" applyBorder="1" applyAlignment="1">
      <alignment horizontal="right"/>
    </xf>
    <xf numFmtId="0" fontId="4" fillId="10" borderId="0" xfId="1" applyFill="1"/>
    <xf numFmtId="0" fontId="4" fillId="10" borderId="0" xfId="1" applyFont="1" applyFill="1"/>
    <xf numFmtId="0" fontId="4" fillId="0" borderId="0" xfId="1" applyFont="1" applyFill="1"/>
    <xf numFmtId="0" fontId="4" fillId="5" borderId="0" xfId="1" applyFont="1" applyFill="1"/>
    <xf numFmtId="0" fontId="2" fillId="0" borderId="0" xfId="1" applyNumberFormat="1" applyFont="1" applyFill="1" applyAlignment="1"/>
    <xf numFmtId="0" fontId="4" fillId="0" borderId="0" xfId="1" applyNumberFormat="1" applyAlignment="1"/>
    <xf numFmtId="0" fontId="4" fillId="6" borderId="0" xfId="1" applyNumberFormat="1" applyFill="1" applyAlignment="1"/>
    <xf numFmtId="0" fontId="4" fillId="0" borderId="0" xfId="1" applyAlignment="1">
      <alignment horizontal="right"/>
    </xf>
    <xf numFmtId="0" fontId="4" fillId="6" borderId="0" xfId="1" applyFill="1" applyBorder="1"/>
    <xf numFmtId="0" fontId="4" fillId="0" borderId="0" xfId="1" applyNumberFormat="1"/>
    <xf numFmtId="0" fontId="7" fillId="0" borderId="0" xfId="1" applyFont="1"/>
    <xf numFmtId="0" fontId="8" fillId="0" borderId="0" xfId="1" applyFont="1"/>
    <xf numFmtId="0" fontId="9" fillId="0" borderId="0" xfId="1" applyFont="1"/>
    <xf numFmtId="0" fontId="10" fillId="0" borderId="0" xfId="1" applyFont="1"/>
    <xf numFmtId="0" fontId="11" fillId="0" borderId="0" xfId="1" applyFont="1"/>
    <xf numFmtId="0" fontId="12" fillId="0" borderId="0" xfId="1" applyNumberFormat="1" applyFont="1" applyAlignment="1">
      <alignment horizontal="left"/>
    </xf>
    <xf numFmtId="1" fontId="4" fillId="0" borderId="10" xfId="1" applyNumberFormat="1" applyBorder="1"/>
    <xf numFmtId="164" fontId="4" fillId="0" borderId="10" xfId="1" applyNumberFormat="1" applyBorder="1"/>
    <xf numFmtId="1" fontId="4" fillId="0" borderId="12" xfId="1" applyNumberFormat="1" applyBorder="1"/>
    <xf numFmtId="164" fontId="4" fillId="0" borderId="12" xfId="1" applyNumberFormat="1" applyBorder="1"/>
    <xf numFmtId="1" fontId="4" fillId="0" borderId="15" xfId="1" applyNumberFormat="1" applyBorder="1"/>
    <xf numFmtId="164" fontId="4" fillId="0" borderId="15" xfId="1" applyNumberFormat="1" applyBorder="1"/>
    <xf numFmtId="164" fontId="4" fillId="0" borderId="13" xfId="1" applyNumberFormat="1" applyBorder="1"/>
    <xf numFmtId="1" fontId="4" fillId="0" borderId="5" xfId="1" applyNumberFormat="1" applyBorder="1"/>
    <xf numFmtId="1" fontId="4" fillId="0" borderId="10" xfId="1" applyNumberFormat="1" applyFill="1" applyBorder="1"/>
    <xf numFmtId="1" fontId="4" fillId="0" borderId="12" xfId="1" applyNumberFormat="1" applyFill="1" applyBorder="1"/>
    <xf numFmtId="1" fontId="4" fillId="0" borderId="15" xfId="1" applyNumberFormat="1" applyFill="1" applyBorder="1"/>
    <xf numFmtId="0" fontId="4" fillId="0" borderId="9" xfId="1" applyBorder="1" applyAlignment="1">
      <alignment horizontal="right"/>
    </xf>
    <xf numFmtId="164" fontId="4" fillId="0" borderId="0" xfId="1" applyNumberFormat="1"/>
    <xf numFmtId="0" fontId="13" fillId="0" borderId="0" xfId="1" applyFont="1"/>
    <xf numFmtId="164" fontId="4" fillId="0" borderId="27" xfId="1" applyNumberFormat="1" applyBorder="1"/>
    <xf numFmtId="0" fontId="0" fillId="3" borderId="1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7" fillId="0" borderId="0" xfId="1" applyFont="1" applyAlignment="1">
      <alignment horizontal="center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haredStrings" Target="sharedStrings.xml"/><Relationship Id="rId21" Type="http://schemas.openxmlformats.org/officeDocument/2006/relationships/calcChain" Target="calcChain.xml"/><Relationship Id="rId22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theme" Target="theme/theme1.xml"/><Relationship Id="rId19" Type="http://schemas.openxmlformats.org/officeDocument/2006/relationships/styles" Target="style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2:F12"/>
  <sheetViews>
    <sheetView showGridLines="0" workbookViewId="0"/>
  </sheetViews>
  <sheetFormatPr baseColWidth="10" defaultColWidth="8.83203125" defaultRowHeight="12" x14ac:dyDescent="0"/>
  <cols>
    <col min="1" max="1" width="4.6640625" customWidth="1" collapsed="1"/>
  </cols>
  <sheetData>
    <row r="2" spans="2:6">
      <c r="B2" s="1" t="s">
        <v>0</v>
      </c>
    </row>
    <row r="3" spans="2:6">
      <c r="B3" s="2"/>
      <c r="C3" s="3"/>
      <c r="D3" s="3"/>
      <c r="E3" s="3"/>
      <c r="F3" s="3"/>
    </row>
    <row r="4" spans="2:6">
      <c r="B4" s="4"/>
      <c r="C4" s="5" t="s">
        <v>1</v>
      </c>
      <c r="D4" s="201" t="s">
        <v>165</v>
      </c>
      <c r="E4" s="202"/>
      <c r="F4" s="203"/>
    </row>
    <row r="5" spans="2:6">
      <c r="B5" s="6"/>
      <c r="C5" s="7" t="s">
        <v>111</v>
      </c>
      <c r="D5" s="204">
        <v>2021</v>
      </c>
      <c r="E5" s="205"/>
      <c r="F5" s="206"/>
    </row>
    <row r="6" spans="2:6">
      <c r="B6" s="3"/>
      <c r="C6" s="3"/>
      <c r="D6" s="3"/>
      <c r="E6" s="3"/>
      <c r="F6" s="3"/>
    </row>
    <row r="8" spans="2:6">
      <c r="B8">
        <v>2</v>
      </c>
      <c r="C8" t="s">
        <v>337</v>
      </c>
      <c r="D8">
        <v>3</v>
      </c>
      <c r="E8" t="s">
        <v>338</v>
      </c>
    </row>
    <row r="10" spans="2:6">
      <c r="C10" t="s">
        <v>10</v>
      </c>
      <c r="E10" t="s">
        <v>22</v>
      </c>
    </row>
    <row r="11" spans="2:6">
      <c r="C11" t="s">
        <v>12</v>
      </c>
      <c r="E11" t="s">
        <v>46</v>
      </c>
    </row>
    <row r="12" spans="2:6">
      <c r="E12" t="s">
        <v>59</v>
      </c>
    </row>
  </sheetData>
  <mergeCells count="2">
    <mergeCell ref="D4:F4"/>
    <mergeCell ref="D5:F5"/>
  </mergeCells>
  <phoneticPr fontId="0" type="noConversion"/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B2:H107"/>
  <sheetViews>
    <sheetView showGridLines="0" topLeftCell="A31" workbookViewId="0">
      <selection activeCell="C77" sqref="C77"/>
    </sheetView>
  </sheetViews>
  <sheetFormatPr baseColWidth="10" defaultColWidth="8.83203125" defaultRowHeight="12" x14ac:dyDescent="0"/>
  <cols>
    <col min="1" max="1" width="4.6640625" style="9" customWidth="1" collapsed="1"/>
    <col min="2" max="2" width="8" style="9" bestFit="1" customWidth="1" collapsed="1"/>
    <col min="3" max="3" width="15.6640625" style="9" bestFit="1" customWidth="1" collapsed="1"/>
    <col min="4" max="4" width="8.6640625" style="9" customWidth="1" collapsed="1"/>
    <col min="5" max="5" width="4.5" style="9" customWidth="1" collapsed="1"/>
    <col min="6" max="6" width="3.33203125" style="9" bestFit="1" customWidth="1" collapsed="1"/>
    <col min="7" max="7" width="8.6640625" style="9" customWidth="1" collapsed="1"/>
    <col min="8" max="8" width="9.5" style="9" customWidth="1" collapsed="1"/>
    <col min="9" max="16384" width="8.83203125" style="9" collapsed="1"/>
  </cols>
  <sheetData>
    <row r="2" spans="2:8">
      <c r="B2" s="8" t="s">
        <v>2</v>
      </c>
    </row>
    <row r="3" spans="2:8">
      <c r="B3" s="10" t="s">
        <v>155</v>
      </c>
    </row>
    <row r="4" spans="2:8">
      <c r="B4" s="11"/>
      <c r="C4" s="12"/>
      <c r="D4" s="12"/>
      <c r="E4" s="12"/>
      <c r="F4" s="12"/>
      <c r="G4" s="12"/>
      <c r="H4" s="12"/>
    </row>
    <row r="5" spans="2:8">
      <c r="B5" s="13" t="s">
        <v>3</v>
      </c>
      <c r="C5" s="13" t="s">
        <v>4</v>
      </c>
      <c r="D5" s="13" t="s">
        <v>151</v>
      </c>
      <c r="E5" s="13"/>
      <c r="F5" s="13"/>
      <c r="G5" s="13" t="s">
        <v>152</v>
      </c>
      <c r="H5" s="13"/>
    </row>
    <row r="6" spans="2:8">
      <c r="B6" s="14" t="s">
        <v>5</v>
      </c>
      <c r="C6" s="84">
        <v>0</v>
      </c>
      <c r="D6" s="15">
        <v>0</v>
      </c>
      <c r="E6" s="15" t="s">
        <v>166</v>
      </c>
      <c r="F6" s="15" t="s">
        <v>6</v>
      </c>
      <c r="G6" s="15">
        <f t="shared" ref="G6:G15" si="0">$D6+$C6</f>
        <v>0</v>
      </c>
      <c r="H6" s="16" t="str">
        <f t="shared" ref="H6:H15" si="1">IF(AND($D6=0, $G6&gt;0),"new", IF(AND($D6&gt;0, $G6=0),"sold",""))</f>
        <v/>
      </c>
    </row>
    <row r="7" spans="2:8">
      <c r="B7" s="14" t="s">
        <v>7</v>
      </c>
      <c r="C7" s="84">
        <v>0</v>
      </c>
      <c r="D7" s="15">
        <v>0</v>
      </c>
      <c r="E7" s="15" t="s">
        <v>166</v>
      </c>
      <c r="F7" s="15" t="s">
        <v>6</v>
      </c>
      <c r="G7" s="15">
        <f t="shared" si="0"/>
        <v>0</v>
      </c>
      <c r="H7" s="17" t="str">
        <f t="shared" si="1"/>
        <v/>
      </c>
    </row>
    <row r="8" spans="2:8">
      <c r="B8" s="14" t="s">
        <v>8</v>
      </c>
      <c r="C8" s="84">
        <v>0</v>
      </c>
      <c r="D8" s="15">
        <v>0</v>
      </c>
      <c r="E8" s="15" t="s">
        <v>166</v>
      </c>
      <c r="F8" s="15" t="s">
        <v>6</v>
      </c>
      <c r="G8" s="15">
        <f t="shared" si="0"/>
        <v>0</v>
      </c>
      <c r="H8" s="17" t="str">
        <f t="shared" si="1"/>
        <v/>
      </c>
    </row>
    <row r="9" spans="2:8">
      <c r="B9" s="14" t="s">
        <v>9</v>
      </c>
      <c r="C9" s="84">
        <v>0</v>
      </c>
      <c r="D9" s="15">
        <v>0</v>
      </c>
      <c r="E9" s="15" t="s">
        <v>166</v>
      </c>
      <c r="F9" s="15" t="s">
        <v>6</v>
      </c>
      <c r="G9" s="15">
        <f t="shared" si="0"/>
        <v>0</v>
      </c>
      <c r="H9" s="17" t="str">
        <f t="shared" si="1"/>
        <v/>
      </c>
    </row>
    <row r="10" spans="2:8">
      <c r="B10" s="14" t="s">
        <v>10</v>
      </c>
      <c r="C10" s="84">
        <v>0</v>
      </c>
      <c r="D10" s="15">
        <v>600</v>
      </c>
      <c r="E10" s="15" t="s">
        <v>166</v>
      </c>
      <c r="F10" s="15" t="s">
        <v>6</v>
      </c>
      <c r="G10" s="15">
        <f t="shared" si="0"/>
        <v>600</v>
      </c>
      <c r="H10" s="17" t="str">
        <f t="shared" si="1"/>
        <v/>
      </c>
    </row>
    <row r="11" spans="2:8">
      <c r="B11" s="14" t="s">
        <v>11</v>
      </c>
      <c r="C11" s="84">
        <v>0</v>
      </c>
      <c r="D11" s="15">
        <v>0</v>
      </c>
      <c r="E11" s="15" t="s">
        <v>166</v>
      </c>
      <c r="F11" s="15" t="s">
        <v>6</v>
      </c>
      <c r="G11" s="15">
        <f t="shared" si="0"/>
        <v>0</v>
      </c>
      <c r="H11" s="17" t="str">
        <f t="shared" si="1"/>
        <v/>
      </c>
    </row>
    <row r="12" spans="2:8">
      <c r="B12" s="14" t="s">
        <v>12</v>
      </c>
      <c r="C12" s="84">
        <v>0</v>
      </c>
      <c r="D12" s="15">
        <v>3589</v>
      </c>
      <c r="E12" s="15" t="s">
        <v>166</v>
      </c>
      <c r="F12" s="15" t="s">
        <v>6</v>
      </c>
      <c r="G12" s="15">
        <f t="shared" si="0"/>
        <v>3589</v>
      </c>
      <c r="H12" s="17" t="str">
        <f t="shared" si="1"/>
        <v/>
      </c>
    </row>
    <row r="13" spans="2:8">
      <c r="B13" s="14" t="s">
        <v>13</v>
      </c>
      <c r="C13" s="84">
        <v>0</v>
      </c>
      <c r="D13" s="15">
        <v>0</v>
      </c>
      <c r="E13" s="15" t="s">
        <v>166</v>
      </c>
      <c r="F13" s="15" t="s">
        <v>6</v>
      </c>
      <c r="G13" s="15">
        <f t="shared" si="0"/>
        <v>0</v>
      </c>
      <c r="H13" s="17" t="str">
        <f t="shared" si="1"/>
        <v/>
      </c>
    </row>
    <row r="14" spans="2:8">
      <c r="B14" s="14" t="s">
        <v>14</v>
      </c>
      <c r="C14" s="84">
        <v>0</v>
      </c>
      <c r="D14" s="15">
        <v>0</v>
      </c>
      <c r="E14" s="15" t="s">
        <v>166</v>
      </c>
      <c r="F14" s="15" t="s">
        <v>6</v>
      </c>
      <c r="G14" s="15">
        <f t="shared" si="0"/>
        <v>0</v>
      </c>
      <c r="H14" s="17" t="str">
        <f t="shared" si="1"/>
        <v/>
      </c>
    </row>
    <row r="15" spans="2:8">
      <c r="B15" s="18" t="s">
        <v>15</v>
      </c>
      <c r="C15" s="84">
        <v>0</v>
      </c>
      <c r="D15" s="15">
        <v>0</v>
      </c>
      <c r="E15" s="15" t="s">
        <v>166</v>
      </c>
      <c r="F15" s="19" t="s">
        <v>6</v>
      </c>
      <c r="G15" s="15">
        <f t="shared" si="0"/>
        <v>0</v>
      </c>
      <c r="H15" s="20" t="str">
        <f t="shared" si="1"/>
        <v/>
      </c>
    </row>
    <row r="16" spans="2:8">
      <c r="B16" s="21"/>
      <c r="C16" s="21"/>
      <c r="D16" s="21">
        <f>COUNTIF($D$6:$D$15,"&gt;0")</f>
        <v>2</v>
      </c>
      <c r="E16" s="21" t="s">
        <v>16</v>
      </c>
      <c r="F16" s="12"/>
      <c r="G16" s="21">
        <f>COUNTIF(G6:G15,"&gt;0")</f>
        <v>2</v>
      </c>
      <c r="H16" s="82" t="s">
        <v>16</v>
      </c>
    </row>
    <row r="18" spans="2:8">
      <c r="B18" s="10" t="s">
        <v>148</v>
      </c>
    </row>
    <row r="19" spans="2:8">
      <c r="B19" s="11"/>
      <c r="C19" s="12"/>
      <c r="D19" s="12"/>
      <c r="E19" s="12"/>
      <c r="F19" s="12"/>
      <c r="G19" s="12"/>
      <c r="H19" s="12"/>
    </row>
    <row r="20" spans="2:8">
      <c r="B20" s="13" t="s">
        <v>3</v>
      </c>
      <c r="C20" s="13" t="s">
        <v>17</v>
      </c>
      <c r="D20" s="13" t="s">
        <v>151</v>
      </c>
      <c r="E20" s="13"/>
      <c r="F20" s="13"/>
      <c r="G20" s="13" t="s">
        <v>152</v>
      </c>
      <c r="H20" s="13"/>
    </row>
    <row r="21" spans="2:8">
      <c r="B21" s="14" t="s">
        <v>5</v>
      </c>
      <c r="C21" s="85">
        <v>0</v>
      </c>
      <c r="D21" s="15">
        <v>0</v>
      </c>
      <c r="E21" s="15"/>
      <c r="F21" s="15" t="s">
        <v>6</v>
      </c>
      <c r="G21" s="15">
        <f t="shared" ref="G21:G30" si="2">$D21+$C21</f>
        <v>0</v>
      </c>
      <c r="H21" s="17"/>
    </row>
    <row r="22" spans="2:8">
      <c r="B22" s="14" t="s">
        <v>7</v>
      </c>
      <c r="C22" s="85">
        <v>0</v>
      </c>
      <c r="D22" s="15">
        <v>0</v>
      </c>
      <c r="E22" s="15"/>
      <c r="F22" s="15" t="s">
        <v>6</v>
      </c>
      <c r="G22" s="15">
        <f t="shared" si="2"/>
        <v>0</v>
      </c>
      <c r="H22" s="17"/>
    </row>
    <row r="23" spans="2:8">
      <c r="B23" s="14" t="s">
        <v>8</v>
      </c>
      <c r="C23" s="85">
        <v>0</v>
      </c>
      <c r="D23" s="15">
        <v>0</v>
      </c>
      <c r="E23" s="15"/>
      <c r="F23" s="15" t="s">
        <v>6</v>
      </c>
      <c r="G23" s="15">
        <f t="shared" si="2"/>
        <v>0</v>
      </c>
      <c r="H23" s="17"/>
    </row>
    <row r="24" spans="2:8">
      <c r="B24" s="14" t="s">
        <v>9</v>
      </c>
      <c r="C24" s="85">
        <v>0</v>
      </c>
      <c r="D24" s="15">
        <v>0</v>
      </c>
      <c r="E24" s="15"/>
      <c r="F24" s="15" t="s">
        <v>6</v>
      </c>
      <c r="G24" s="15">
        <f t="shared" si="2"/>
        <v>0</v>
      </c>
      <c r="H24" s="17"/>
    </row>
    <row r="25" spans="2:8">
      <c r="B25" s="14" t="s">
        <v>10</v>
      </c>
      <c r="C25" s="85">
        <v>0</v>
      </c>
      <c r="D25" s="15">
        <v>22</v>
      </c>
      <c r="E25" s="15"/>
      <c r="F25" s="15" t="s">
        <v>6</v>
      </c>
      <c r="G25" s="15">
        <f t="shared" si="2"/>
        <v>22</v>
      </c>
      <c r="H25" s="17"/>
    </row>
    <row r="26" spans="2:8">
      <c r="B26" s="14" t="s">
        <v>11</v>
      </c>
      <c r="C26" s="85">
        <v>0</v>
      </c>
      <c r="D26" s="15">
        <v>0</v>
      </c>
      <c r="E26" s="15"/>
      <c r="F26" s="15" t="s">
        <v>6</v>
      </c>
      <c r="G26" s="15">
        <f t="shared" si="2"/>
        <v>0</v>
      </c>
      <c r="H26" s="17"/>
    </row>
    <row r="27" spans="2:8">
      <c r="B27" s="14" t="s">
        <v>12</v>
      </c>
      <c r="C27" s="85">
        <v>0</v>
      </c>
      <c r="D27" s="15">
        <v>15</v>
      </c>
      <c r="E27" s="15"/>
      <c r="F27" s="15" t="s">
        <v>6</v>
      </c>
      <c r="G27" s="15">
        <f t="shared" si="2"/>
        <v>15</v>
      </c>
      <c r="H27" s="17"/>
    </row>
    <row r="28" spans="2:8">
      <c r="B28" s="14" t="s">
        <v>13</v>
      </c>
      <c r="C28" s="85">
        <v>0</v>
      </c>
      <c r="D28" s="15">
        <v>0</v>
      </c>
      <c r="E28" s="15"/>
      <c r="F28" s="15" t="s">
        <v>6</v>
      </c>
      <c r="G28" s="15">
        <f t="shared" si="2"/>
        <v>0</v>
      </c>
      <c r="H28" s="17"/>
    </row>
    <row r="29" spans="2:8">
      <c r="B29" s="14" t="s">
        <v>14</v>
      </c>
      <c r="C29" s="85">
        <v>0</v>
      </c>
      <c r="D29" s="15">
        <v>0</v>
      </c>
      <c r="E29" s="15"/>
      <c r="F29" s="15" t="s">
        <v>6</v>
      </c>
      <c r="G29" s="15">
        <f t="shared" si="2"/>
        <v>0</v>
      </c>
      <c r="H29" s="17"/>
    </row>
    <row r="30" spans="2:8">
      <c r="B30" s="18" t="s">
        <v>15</v>
      </c>
      <c r="C30" s="85">
        <v>0</v>
      </c>
      <c r="D30" s="15">
        <v>0</v>
      </c>
      <c r="E30" s="15"/>
      <c r="F30" s="19" t="s">
        <v>6</v>
      </c>
      <c r="G30" s="15">
        <f t="shared" si="2"/>
        <v>0</v>
      </c>
      <c r="H30" s="20"/>
    </row>
    <row r="31" spans="2:8">
      <c r="B31" s="21"/>
      <c r="C31" s="21"/>
      <c r="D31" s="21">
        <f>SUM($D$21:$D$30)</f>
        <v>37</v>
      </c>
      <c r="E31" s="21" t="s">
        <v>18</v>
      </c>
      <c r="F31" s="21"/>
      <c r="G31" s="21"/>
      <c r="H31" s="22"/>
    </row>
    <row r="33" spans="2:8">
      <c r="B33" s="10" t="s">
        <v>156</v>
      </c>
    </row>
    <row r="34" spans="2:8">
      <c r="B34" s="11"/>
      <c r="C34" s="12"/>
      <c r="D34" s="12"/>
      <c r="E34" s="12"/>
      <c r="F34" s="12"/>
      <c r="G34" s="12"/>
      <c r="H34" s="12"/>
    </row>
    <row r="35" spans="2:8">
      <c r="B35" s="13" t="s">
        <v>3</v>
      </c>
      <c r="C35" s="13" t="s">
        <v>4</v>
      </c>
      <c r="D35" s="23" t="s">
        <v>151</v>
      </c>
      <c r="E35" s="23"/>
      <c r="F35" s="23"/>
      <c r="G35" s="24" t="s">
        <v>152</v>
      </c>
      <c r="H35" s="13"/>
    </row>
    <row r="36" spans="2:8">
      <c r="B36" s="25" t="s">
        <v>19</v>
      </c>
      <c r="C36" s="84">
        <v>0</v>
      </c>
      <c r="D36" s="25">
        <v>0</v>
      </c>
      <c r="E36" s="26" t="s">
        <v>166</v>
      </c>
      <c r="F36" s="26" t="s">
        <v>6</v>
      </c>
      <c r="G36" s="15">
        <f t="shared" ref="G36:G67" si="3">$D36+$C36</f>
        <v>0</v>
      </c>
      <c r="H36" s="17" t="str">
        <f t="shared" ref="H36:H67" si="4">IF(AND($D36=0, $G36&gt;0),"new", IF(AND($D36&gt;0, $G36=0),"sold",""))</f>
        <v/>
      </c>
    </row>
    <row r="37" spans="2:8">
      <c r="B37" s="14" t="s">
        <v>20</v>
      </c>
      <c r="C37" s="84">
        <v>0</v>
      </c>
      <c r="D37" s="14">
        <v>0</v>
      </c>
      <c r="E37" s="15" t="s">
        <v>166</v>
      </c>
      <c r="F37" s="15" t="s">
        <v>6</v>
      </c>
      <c r="G37" s="15">
        <f t="shared" si="3"/>
        <v>0</v>
      </c>
      <c r="H37" s="17" t="str">
        <f t="shared" si="4"/>
        <v/>
      </c>
    </row>
    <row r="38" spans="2:8">
      <c r="B38" s="14" t="s">
        <v>21</v>
      </c>
      <c r="C38" s="84">
        <v>0</v>
      </c>
      <c r="D38" s="14">
        <v>0</v>
      </c>
      <c r="E38" s="15" t="s">
        <v>166</v>
      </c>
      <c r="F38" s="15" t="s">
        <v>6</v>
      </c>
      <c r="G38" s="15">
        <f t="shared" si="3"/>
        <v>0</v>
      </c>
      <c r="H38" s="17" t="str">
        <f t="shared" si="4"/>
        <v/>
      </c>
    </row>
    <row r="39" spans="2:8">
      <c r="B39" s="14" t="s">
        <v>22</v>
      </c>
      <c r="C39" s="84">
        <v>-400</v>
      </c>
      <c r="D39" s="14">
        <v>2000</v>
      </c>
      <c r="E39" s="15" t="s">
        <v>166</v>
      </c>
      <c r="F39" s="15" t="s">
        <v>6</v>
      </c>
      <c r="G39" s="15">
        <f t="shared" si="3"/>
        <v>1600</v>
      </c>
      <c r="H39" s="17" t="str">
        <f t="shared" si="4"/>
        <v/>
      </c>
    </row>
    <row r="40" spans="2:8">
      <c r="B40" s="14" t="s">
        <v>23</v>
      </c>
      <c r="C40" s="84">
        <v>0</v>
      </c>
      <c r="D40" s="14">
        <v>0</v>
      </c>
      <c r="E40" s="15" t="s">
        <v>166</v>
      </c>
      <c r="F40" s="15" t="s">
        <v>6</v>
      </c>
      <c r="G40" s="15">
        <f t="shared" si="3"/>
        <v>0</v>
      </c>
      <c r="H40" s="17" t="str">
        <f t="shared" si="4"/>
        <v/>
      </c>
    </row>
    <row r="41" spans="2:8">
      <c r="B41" s="14" t="s">
        <v>24</v>
      </c>
      <c r="C41" s="84">
        <v>0</v>
      </c>
      <c r="D41" s="14">
        <v>0</v>
      </c>
      <c r="E41" s="15" t="s">
        <v>166</v>
      </c>
      <c r="F41" s="15" t="s">
        <v>6</v>
      </c>
      <c r="G41" s="15">
        <f t="shared" si="3"/>
        <v>0</v>
      </c>
      <c r="H41" s="17" t="str">
        <f t="shared" si="4"/>
        <v/>
      </c>
    </row>
    <row r="42" spans="2:8">
      <c r="B42" s="14" t="s">
        <v>25</v>
      </c>
      <c r="C42" s="84">
        <v>0</v>
      </c>
      <c r="D42" s="14">
        <v>0</v>
      </c>
      <c r="E42" s="15" t="s">
        <v>166</v>
      </c>
      <c r="F42" s="15" t="s">
        <v>6</v>
      </c>
      <c r="G42" s="15">
        <f t="shared" si="3"/>
        <v>0</v>
      </c>
      <c r="H42" s="17" t="str">
        <f t="shared" si="4"/>
        <v/>
      </c>
    </row>
    <row r="43" spans="2:8">
      <c r="B43" s="14" t="s">
        <v>26</v>
      </c>
      <c r="C43" s="84">
        <v>0</v>
      </c>
      <c r="D43" s="14">
        <v>0</v>
      </c>
      <c r="E43" s="15" t="s">
        <v>166</v>
      </c>
      <c r="F43" s="15" t="s">
        <v>6</v>
      </c>
      <c r="G43" s="15">
        <f t="shared" si="3"/>
        <v>0</v>
      </c>
      <c r="H43" s="17" t="str">
        <f t="shared" si="4"/>
        <v/>
      </c>
    </row>
    <row r="44" spans="2:8">
      <c r="B44" s="14" t="s">
        <v>27</v>
      </c>
      <c r="C44" s="84">
        <v>0</v>
      </c>
      <c r="D44" s="14">
        <v>0</v>
      </c>
      <c r="E44" s="15" t="s">
        <v>166</v>
      </c>
      <c r="F44" s="15" t="s">
        <v>6</v>
      </c>
      <c r="G44" s="15">
        <f t="shared" si="3"/>
        <v>0</v>
      </c>
      <c r="H44" s="17" t="str">
        <f t="shared" si="4"/>
        <v/>
      </c>
    </row>
    <row r="45" spans="2:8">
      <c r="B45" s="14" t="s">
        <v>28</v>
      </c>
      <c r="C45" s="84">
        <v>0</v>
      </c>
      <c r="D45" s="14">
        <v>0</v>
      </c>
      <c r="E45" s="15" t="s">
        <v>166</v>
      </c>
      <c r="F45" s="15" t="s">
        <v>6</v>
      </c>
      <c r="G45" s="15">
        <f t="shared" si="3"/>
        <v>0</v>
      </c>
      <c r="H45" s="17" t="str">
        <f t="shared" si="4"/>
        <v/>
      </c>
    </row>
    <row r="46" spans="2:8">
      <c r="B46" s="14" t="s">
        <v>29</v>
      </c>
      <c r="C46" s="84">
        <v>0</v>
      </c>
      <c r="D46" s="14">
        <v>0</v>
      </c>
      <c r="E46" s="15" t="s">
        <v>166</v>
      </c>
      <c r="F46" s="15" t="s">
        <v>6</v>
      </c>
      <c r="G46" s="15">
        <f t="shared" si="3"/>
        <v>0</v>
      </c>
      <c r="H46" s="17" t="str">
        <f t="shared" si="4"/>
        <v/>
      </c>
    </row>
    <row r="47" spans="2:8">
      <c r="B47" s="14" t="s">
        <v>30</v>
      </c>
      <c r="C47" s="84">
        <v>0</v>
      </c>
      <c r="D47" s="14">
        <v>0</v>
      </c>
      <c r="E47" s="15" t="s">
        <v>166</v>
      </c>
      <c r="F47" s="15" t="s">
        <v>6</v>
      </c>
      <c r="G47" s="15">
        <f t="shared" si="3"/>
        <v>0</v>
      </c>
      <c r="H47" s="17" t="str">
        <f t="shared" si="4"/>
        <v/>
      </c>
    </row>
    <row r="48" spans="2:8">
      <c r="B48" s="14" t="s">
        <v>31</v>
      </c>
      <c r="C48" s="84">
        <v>0</v>
      </c>
      <c r="D48" s="14">
        <v>0</v>
      </c>
      <c r="E48" s="15" t="s">
        <v>166</v>
      </c>
      <c r="F48" s="15" t="s">
        <v>6</v>
      </c>
      <c r="G48" s="15">
        <f t="shared" si="3"/>
        <v>0</v>
      </c>
      <c r="H48" s="17" t="str">
        <f t="shared" si="4"/>
        <v/>
      </c>
    </row>
    <row r="49" spans="2:8">
      <c r="B49" s="14" t="s">
        <v>32</v>
      </c>
      <c r="C49" s="84">
        <v>0</v>
      </c>
      <c r="D49" s="14">
        <v>0</v>
      </c>
      <c r="E49" s="15" t="s">
        <v>166</v>
      </c>
      <c r="F49" s="15" t="s">
        <v>6</v>
      </c>
      <c r="G49" s="15">
        <f t="shared" si="3"/>
        <v>0</v>
      </c>
      <c r="H49" s="17" t="str">
        <f t="shared" si="4"/>
        <v/>
      </c>
    </row>
    <row r="50" spans="2:8">
      <c r="B50" s="14" t="s">
        <v>33</v>
      </c>
      <c r="C50" s="84">
        <v>0</v>
      </c>
      <c r="D50" s="14">
        <v>0</v>
      </c>
      <c r="E50" s="15" t="s">
        <v>166</v>
      </c>
      <c r="F50" s="15" t="s">
        <v>6</v>
      </c>
      <c r="G50" s="15">
        <f t="shared" si="3"/>
        <v>0</v>
      </c>
      <c r="H50" s="17" t="str">
        <f t="shared" si="4"/>
        <v/>
      </c>
    </row>
    <row r="51" spans="2:8">
      <c r="B51" s="14" t="s">
        <v>34</v>
      </c>
      <c r="C51" s="84">
        <v>0</v>
      </c>
      <c r="D51" s="14">
        <v>0</v>
      </c>
      <c r="E51" s="15" t="s">
        <v>166</v>
      </c>
      <c r="F51" s="15" t="s">
        <v>6</v>
      </c>
      <c r="G51" s="15">
        <f t="shared" si="3"/>
        <v>0</v>
      </c>
      <c r="H51" s="17" t="str">
        <f t="shared" si="4"/>
        <v/>
      </c>
    </row>
    <row r="52" spans="2:8">
      <c r="B52" s="14" t="s">
        <v>35</v>
      </c>
      <c r="C52" s="84">
        <v>0</v>
      </c>
      <c r="D52" s="14">
        <v>0</v>
      </c>
      <c r="E52" s="15" t="s">
        <v>166</v>
      </c>
      <c r="F52" s="15" t="s">
        <v>6</v>
      </c>
      <c r="G52" s="15">
        <f t="shared" si="3"/>
        <v>0</v>
      </c>
      <c r="H52" s="17" t="str">
        <f t="shared" si="4"/>
        <v/>
      </c>
    </row>
    <row r="53" spans="2:8">
      <c r="B53" s="14" t="s">
        <v>36</v>
      </c>
      <c r="C53" s="84">
        <v>0</v>
      </c>
      <c r="D53" s="14">
        <v>0</v>
      </c>
      <c r="E53" s="15" t="s">
        <v>166</v>
      </c>
      <c r="F53" s="15" t="s">
        <v>6</v>
      </c>
      <c r="G53" s="15">
        <f t="shared" si="3"/>
        <v>0</v>
      </c>
      <c r="H53" s="17" t="str">
        <f t="shared" si="4"/>
        <v/>
      </c>
    </row>
    <row r="54" spans="2:8">
      <c r="B54" s="14" t="s">
        <v>37</v>
      </c>
      <c r="C54" s="84">
        <v>0</v>
      </c>
      <c r="D54" s="14">
        <v>0</v>
      </c>
      <c r="E54" s="15" t="s">
        <v>166</v>
      </c>
      <c r="F54" s="15" t="s">
        <v>6</v>
      </c>
      <c r="G54" s="15">
        <f t="shared" si="3"/>
        <v>0</v>
      </c>
      <c r="H54" s="17" t="str">
        <f t="shared" si="4"/>
        <v/>
      </c>
    </row>
    <row r="55" spans="2:8">
      <c r="B55" s="14" t="s">
        <v>38</v>
      </c>
      <c r="C55" s="84">
        <v>0</v>
      </c>
      <c r="D55" s="14">
        <v>0</v>
      </c>
      <c r="E55" s="15" t="s">
        <v>166</v>
      </c>
      <c r="F55" s="15" t="s">
        <v>6</v>
      </c>
      <c r="G55" s="15">
        <f t="shared" si="3"/>
        <v>0</v>
      </c>
      <c r="H55" s="17" t="str">
        <f t="shared" si="4"/>
        <v/>
      </c>
    </row>
    <row r="56" spans="2:8">
      <c r="B56" s="14" t="s">
        <v>39</v>
      </c>
      <c r="C56" s="84">
        <v>0</v>
      </c>
      <c r="D56" s="14">
        <v>0</v>
      </c>
      <c r="E56" s="15" t="s">
        <v>166</v>
      </c>
      <c r="F56" s="15" t="s">
        <v>6</v>
      </c>
      <c r="G56" s="15">
        <f t="shared" si="3"/>
        <v>0</v>
      </c>
      <c r="H56" s="17" t="str">
        <f t="shared" si="4"/>
        <v/>
      </c>
    </row>
    <row r="57" spans="2:8">
      <c r="B57" s="14" t="s">
        <v>40</v>
      </c>
      <c r="C57" s="84">
        <v>0</v>
      </c>
      <c r="D57" s="14">
        <v>0</v>
      </c>
      <c r="E57" s="15" t="s">
        <v>166</v>
      </c>
      <c r="F57" s="15" t="s">
        <v>6</v>
      </c>
      <c r="G57" s="15">
        <f t="shared" si="3"/>
        <v>0</v>
      </c>
      <c r="H57" s="17" t="str">
        <f t="shared" si="4"/>
        <v/>
      </c>
    </row>
    <row r="58" spans="2:8">
      <c r="B58" s="14" t="s">
        <v>41</v>
      </c>
      <c r="C58" s="84">
        <v>0</v>
      </c>
      <c r="D58" s="14">
        <v>0</v>
      </c>
      <c r="E58" s="15" t="s">
        <v>166</v>
      </c>
      <c r="F58" s="15" t="s">
        <v>6</v>
      </c>
      <c r="G58" s="15">
        <f t="shared" si="3"/>
        <v>0</v>
      </c>
      <c r="H58" s="17" t="str">
        <f t="shared" si="4"/>
        <v/>
      </c>
    </row>
    <row r="59" spans="2:8">
      <c r="B59" s="14" t="s">
        <v>42</v>
      </c>
      <c r="C59" s="84">
        <v>0</v>
      </c>
      <c r="D59" s="14">
        <v>0</v>
      </c>
      <c r="E59" s="15" t="s">
        <v>166</v>
      </c>
      <c r="F59" s="15" t="s">
        <v>6</v>
      </c>
      <c r="G59" s="15">
        <f t="shared" si="3"/>
        <v>0</v>
      </c>
      <c r="H59" s="17" t="str">
        <f t="shared" si="4"/>
        <v/>
      </c>
    </row>
    <row r="60" spans="2:8">
      <c r="B60" s="14" t="s">
        <v>43</v>
      </c>
      <c r="C60" s="84">
        <v>0</v>
      </c>
      <c r="D60" s="15">
        <v>0</v>
      </c>
      <c r="E60" s="15" t="s">
        <v>166</v>
      </c>
      <c r="F60" s="15" t="s">
        <v>6</v>
      </c>
      <c r="G60" s="15">
        <f t="shared" si="3"/>
        <v>0</v>
      </c>
      <c r="H60" s="17" t="str">
        <f t="shared" si="4"/>
        <v/>
      </c>
    </row>
    <row r="61" spans="2:8">
      <c r="B61" s="14" t="s">
        <v>44</v>
      </c>
      <c r="C61" s="85">
        <v>0</v>
      </c>
      <c r="D61" s="15">
        <v>0</v>
      </c>
      <c r="E61" s="15" t="s">
        <v>166</v>
      </c>
      <c r="F61" s="15" t="s">
        <v>6</v>
      </c>
      <c r="G61" s="15">
        <f t="shared" si="3"/>
        <v>0</v>
      </c>
      <c r="H61" s="17" t="str">
        <f t="shared" si="4"/>
        <v/>
      </c>
    </row>
    <row r="62" spans="2:8">
      <c r="B62" s="14" t="s">
        <v>45</v>
      </c>
      <c r="C62" s="85">
        <v>0</v>
      </c>
      <c r="D62" s="15">
        <v>0</v>
      </c>
      <c r="E62" s="15" t="s">
        <v>166</v>
      </c>
      <c r="F62" s="15" t="s">
        <v>6</v>
      </c>
      <c r="G62" s="15">
        <f t="shared" si="3"/>
        <v>0</v>
      </c>
      <c r="H62" s="17" t="str">
        <f t="shared" si="4"/>
        <v/>
      </c>
    </row>
    <row r="63" spans="2:8">
      <c r="B63" s="14" t="s">
        <v>46</v>
      </c>
      <c r="C63" s="85">
        <v>0</v>
      </c>
      <c r="D63" s="15">
        <v>2000</v>
      </c>
      <c r="E63" s="15" t="s">
        <v>166</v>
      </c>
      <c r="F63" s="15" t="s">
        <v>6</v>
      </c>
      <c r="G63" s="15">
        <f t="shared" si="3"/>
        <v>2000</v>
      </c>
      <c r="H63" s="17" t="str">
        <f t="shared" si="4"/>
        <v/>
      </c>
    </row>
    <row r="64" spans="2:8">
      <c r="B64" s="14" t="s">
        <v>47</v>
      </c>
      <c r="C64" s="85">
        <v>0</v>
      </c>
      <c r="D64" s="15">
        <v>0</v>
      </c>
      <c r="E64" s="15" t="s">
        <v>166</v>
      </c>
      <c r="F64" s="15" t="s">
        <v>6</v>
      </c>
      <c r="G64" s="15">
        <f t="shared" si="3"/>
        <v>0</v>
      </c>
      <c r="H64" s="17" t="str">
        <f t="shared" si="4"/>
        <v/>
      </c>
    </row>
    <row r="65" spans="2:8">
      <c r="B65" s="14" t="s">
        <v>48</v>
      </c>
      <c r="C65" s="85">
        <v>0</v>
      </c>
      <c r="D65" s="15">
        <v>0</v>
      </c>
      <c r="E65" s="15" t="s">
        <v>166</v>
      </c>
      <c r="F65" s="15" t="s">
        <v>6</v>
      </c>
      <c r="G65" s="15">
        <f t="shared" si="3"/>
        <v>0</v>
      </c>
      <c r="H65" s="17" t="str">
        <f t="shared" si="4"/>
        <v/>
      </c>
    </row>
    <row r="66" spans="2:8">
      <c r="B66" s="14" t="s">
        <v>49</v>
      </c>
      <c r="C66" s="85">
        <v>0</v>
      </c>
      <c r="D66" s="15">
        <v>0</v>
      </c>
      <c r="E66" s="15" t="s">
        <v>166</v>
      </c>
      <c r="F66" s="15" t="s">
        <v>6</v>
      </c>
      <c r="G66" s="15">
        <f t="shared" si="3"/>
        <v>0</v>
      </c>
      <c r="H66" s="17" t="str">
        <f t="shared" si="4"/>
        <v/>
      </c>
    </row>
    <row r="67" spans="2:8">
      <c r="B67" s="14" t="s">
        <v>50</v>
      </c>
      <c r="C67" s="85">
        <v>0</v>
      </c>
      <c r="D67" s="15">
        <v>0</v>
      </c>
      <c r="E67" s="15" t="s">
        <v>166</v>
      </c>
      <c r="F67" s="15" t="s">
        <v>6</v>
      </c>
      <c r="G67" s="15">
        <f t="shared" si="3"/>
        <v>0</v>
      </c>
      <c r="H67" s="17" t="str">
        <f t="shared" si="4"/>
        <v/>
      </c>
    </row>
    <row r="68" spans="2:8">
      <c r="B68" s="14" t="s">
        <v>51</v>
      </c>
      <c r="C68" s="85">
        <v>0</v>
      </c>
      <c r="D68" s="15">
        <v>0</v>
      </c>
      <c r="E68" s="15" t="s">
        <v>166</v>
      </c>
      <c r="F68" s="15" t="s">
        <v>6</v>
      </c>
      <c r="G68" s="15">
        <f t="shared" ref="G68:G99" si="5">$D68+$C68</f>
        <v>0</v>
      </c>
      <c r="H68" s="17" t="str">
        <f t="shared" ref="H68:H99" si="6">IF(AND($D68=0, $G68&gt;0),"new", IF(AND($D68&gt;0, $G68=0),"sold",""))</f>
        <v/>
      </c>
    </row>
    <row r="69" spans="2:8">
      <c r="B69" s="14" t="s">
        <v>52</v>
      </c>
      <c r="C69" s="85">
        <v>0</v>
      </c>
      <c r="D69" s="15">
        <v>0</v>
      </c>
      <c r="E69" s="15" t="s">
        <v>166</v>
      </c>
      <c r="F69" s="15" t="s">
        <v>6</v>
      </c>
      <c r="G69" s="15">
        <f t="shared" si="5"/>
        <v>0</v>
      </c>
      <c r="H69" s="17" t="str">
        <f t="shared" si="6"/>
        <v/>
      </c>
    </row>
    <row r="70" spans="2:8">
      <c r="B70" s="14" t="s">
        <v>53</v>
      </c>
      <c r="C70" s="85">
        <v>0</v>
      </c>
      <c r="D70" s="15">
        <v>0</v>
      </c>
      <c r="E70" s="15" t="s">
        <v>166</v>
      </c>
      <c r="F70" s="15" t="s">
        <v>6</v>
      </c>
      <c r="G70" s="15">
        <f t="shared" si="5"/>
        <v>0</v>
      </c>
      <c r="H70" s="17" t="str">
        <f t="shared" si="6"/>
        <v/>
      </c>
    </row>
    <row r="71" spans="2:8">
      <c r="B71" s="14" t="s">
        <v>54</v>
      </c>
      <c r="C71" s="85">
        <v>0</v>
      </c>
      <c r="D71" s="15">
        <v>0</v>
      </c>
      <c r="E71" s="15" t="s">
        <v>166</v>
      </c>
      <c r="F71" s="15" t="s">
        <v>6</v>
      </c>
      <c r="G71" s="15">
        <f t="shared" si="5"/>
        <v>0</v>
      </c>
      <c r="H71" s="17" t="str">
        <f t="shared" si="6"/>
        <v/>
      </c>
    </row>
    <row r="72" spans="2:8">
      <c r="B72" s="14" t="s">
        <v>55</v>
      </c>
      <c r="C72" s="85">
        <v>0</v>
      </c>
      <c r="D72" s="15">
        <v>0</v>
      </c>
      <c r="E72" s="15" t="s">
        <v>166</v>
      </c>
      <c r="F72" s="15" t="s">
        <v>6</v>
      </c>
      <c r="G72" s="15">
        <f t="shared" si="5"/>
        <v>0</v>
      </c>
      <c r="H72" s="17" t="str">
        <f t="shared" si="6"/>
        <v/>
      </c>
    </row>
    <row r="73" spans="2:8">
      <c r="B73" s="14" t="s">
        <v>56</v>
      </c>
      <c r="C73" s="85">
        <v>0</v>
      </c>
      <c r="D73" s="15">
        <v>0</v>
      </c>
      <c r="E73" s="15" t="s">
        <v>166</v>
      </c>
      <c r="F73" s="15" t="s">
        <v>6</v>
      </c>
      <c r="G73" s="15">
        <f t="shared" si="5"/>
        <v>0</v>
      </c>
      <c r="H73" s="17" t="str">
        <f t="shared" si="6"/>
        <v/>
      </c>
    </row>
    <row r="74" spans="2:8">
      <c r="B74" s="14" t="s">
        <v>57</v>
      </c>
      <c r="C74" s="85">
        <v>0</v>
      </c>
      <c r="D74" s="15">
        <v>0</v>
      </c>
      <c r="E74" s="15" t="s">
        <v>166</v>
      </c>
      <c r="F74" s="15" t="s">
        <v>6</v>
      </c>
      <c r="G74" s="15">
        <f t="shared" si="5"/>
        <v>0</v>
      </c>
      <c r="H74" s="17" t="str">
        <f t="shared" si="6"/>
        <v/>
      </c>
    </row>
    <row r="75" spans="2:8">
      <c r="B75" s="14" t="s">
        <v>58</v>
      </c>
      <c r="C75" s="85">
        <v>0</v>
      </c>
      <c r="D75" s="15">
        <v>0</v>
      </c>
      <c r="E75" s="15" t="s">
        <v>166</v>
      </c>
      <c r="F75" s="15" t="s">
        <v>6</v>
      </c>
      <c r="G75" s="15">
        <f t="shared" si="5"/>
        <v>0</v>
      </c>
      <c r="H75" s="17" t="str">
        <f t="shared" si="6"/>
        <v/>
      </c>
    </row>
    <row r="76" spans="2:8">
      <c r="B76" s="14" t="s">
        <v>59</v>
      </c>
      <c r="C76" s="85">
        <v>-500</v>
      </c>
      <c r="D76" s="15">
        <v>6000</v>
      </c>
      <c r="E76" s="15" t="s">
        <v>166</v>
      </c>
      <c r="F76" s="15" t="s">
        <v>6</v>
      </c>
      <c r="G76" s="15">
        <f t="shared" si="5"/>
        <v>5500</v>
      </c>
      <c r="H76" s="17" t="str">
        <f t="shared" si="6"/>
        <v/>
      </c>
    </row>
    <row r="77" spans="2:8">
      <c r="B77" s="14" t="s">
        <v>60</v>
      </c>
      <c r="C77" s="85">
        <v>0</v>
      </c>
      <c r="D77" s="15">
        <v>0</v>
      </c>
      <c r="E77" s="15" t="s">
        <v>166</v>
      </c>
      <c r="F77" s="15" t="s">
        <v>6</v>
      </c>
      <c r="G77" s="15">
        <f t="shared" si="5"/>
        <v>0</v>
      </c>
      <c r="H77" s="17" t="str">
        <f t="shared" si="6"/>
        <v/>
      </c>
    </row>
    <row r="78" spans="2:8">
      <c r="B78" s="14" t="s">
        <v>61</v>
      </c>
      <c r="C78" s="85">
        <v>0</v>
      </c>
      <c r="D78" s="15">
        <v>0</v>
      </c>
      <c r="E78" s="15" t="s">
        <v>166</v>
      </c>
      <c r="F78" s="15" t="s">
        <v>6</v>
      </c>
      <c r="G78" s="15">
        <f t="shared" si="5"/>
        <v>0</v>
      </c>
      <c r="H78" s="17" t="str">
        <f t="shared" si="6"/>
        <v/>
      </c>
    </row>
    <row r="79" spans="2:8">
      <c r="B79" s="14" t="s">
        <v>62</v>
      </c>
      <c r="C79" s="85">
        <v>0</v>
      </c>
      <c r="D79" s="15">
        <v>0</v>
      </c>
      <c r="E79" s="15" t="s">
        <v>166</v>
      </c>
      <c r="F79" s="15" t="s">
        <v>6</v>
      </c>
      <c r="G79" s="15">
        <f t="shared" si="5"/>
        <v>0</v>
      </c>
      <c r="H79" s="17" t="str">
        <f t="shared" si="6"/>
        <v/>
      </c>
    </row>
    <row r="80" spans="2:8">
      <c r="B80" s="14" t="s">
        <v>63</v>
      </c>
      <c r="C80" s="85">
        <v>0</v>
      </c>
      <c r="D80" s="15">
        <v>0</v>
      </c>
      <c r="E80" s="15" t="s">
        <v>166</v>
      </c>
      <c r="F80" s="15" t="s">
        <v>6</v>
      </c>
      <c r="G80" s="15">
        <f t="shared" si="5"/>
        <v>0</v>
      </c>
      <c r="H80" s="17" t="str">
        <f t="shared" si="6"/>
        <v/>
      </c>
    </row>
    <row r="81" spans="2:8">
      <c r="B81" s="14" t="s">
        <v>64</v>
      </c>
      <c r="C81" s="85">
        <v>0</v>
      </c>
      <c r="D81" s="15">
        <v>0</v>
      </c>
      <c r="E81" s="15" t="s">
        <v>166</v>
      </c>
      <c r="F81" s="15" t="s">
        <v>6</v>
      </c>
      <c r="G81" s="15">
        <f t="shared" si="5"/>
        <v>0</v>
      </c>
      <c r="H81" s="17" t="str">
        <f t="shared" si="6"/>
        <v/>
      </c>
    </row>
    <row r="82" spans="2:8">
      <c r="B82" s="14" t="s">
        <v>65</v>
      </c>
      <c r="C82" s="85">
        <v>0</v>
      </c>
      <c r="D82" s="15">
        <v>0</v>
      </c>
      <c r="E82" s="15" t="s">
        <v>166</v>
      </c>
      <c r="F82" s="15" t="s">
        <v>6</v>
      </c>
      <c r="G82" s="15">
        <f t="shared" si="5"/>
        <v>0</v>
      </c>
      <c r="H82" s="17" t="str">
        <f t="shared" si="6"/>
        <v/>
      </c>
    </row>
    <row r="83" spans="2:8">
      <c r="B83" s="27" t="s">
        <v>66</v>
      </c>
      <c r="C83" s="85">
        <v>0</v>
      </c>
      <c r="D83" s="14">
        <v>0</v>
      </c>
      <c r="E83" s="15" t="s">
        <v>166</v>
      </c>
      <c r="F83" s="15" t="s">
        <v>6</v>
      </c>
      <c r="G83" s="15">
        <f t="shared" si="5"/>
        <v>0</v>
      </c>
      <c r="H83" s="17" t="str">
        <f t="shared" si="6"/>
        <v/>
      </c>
    </row>
    <row r="84" spans="2:8">
      <c r="B84" s="14" t="s">
        <v>67</v>
      </c>
      <c r="C84" s="85">
        <v>0</v>
      </c>
      <c r="D84" s="15">
        <v>0</v>
      </c>
      <c r="E84" s="15" t="s">
        <v>166</v>
      </c>
      <c r="F84" s="15" t="s">
        <v>6</v>
      </c>
      <c r="G84" s="15">
        <f t="shared" si="5"/>
        <v>0</v>
      </c>
      <c r="H84" s="17" t="str">
        <f t="shared" si="6"/>
        <v/>
      </c>
    </row>
    <row r="85" spans="2:8">
      <c r="B85" s="14" t="s">
        <v>68</v>
      </c>
      <c r="C85" s="85">
        <v>0</v>
      </c>
      <c r="D85" s="15">
        <v>0</v>
      </c>
      <c r="E85" s="15" t="s">
        <v>166</v>
      </c>
      <c r="F85" s="15" t="s">
        <v>6</v>
      </c>
      <c r="G85" s="15">
        <f t="shared" si="5"/>
        <v>0</v>
      </c>
      <c r="H85" s="17" t="str">
        <f t="shared" si="6"/>
        <v/>
      </c>
    </row>
    <row r="86" spans="2:8">
      <c r="B86" s="14" t="s">
        <v>69</v>
      </c>
      <c r="C86" s="85">
        <v>0</v>
      </c>
      <c r="D86" s="15">
        <v>0</v>
      </c>
      <c r="E86" s="15" t="s">
        <v>166</v>
      </c>
      <c r="F86" s="15" t="s">
        <v>6</v>
      </c>
      <c r="G86" s="15">
        <f t="shared" si="5"/>
        <v>0</v>
      </c>
      <c r="H86" s="17" t="str">
        <f t="shared" si="6"/>
        <v/>
      </c>
    </row>
    <row r="87" spans="2:8">
      <c r="B87" s="14" t="s">
        <v>70</v>
      </c>
      <c r="C87" s="85">
        <v>0</v>
      </c>
      <c r="D87" s="15">
        <v>0</v>
      </c>
      <c r="E87" s="15" t="s">
        <v>166</v>
      </c>
      <c r="F87" s="15" t="s">
        <v>6</v>
      </c>
      <c r="G87" s="15">
        <f t="shared" si="5"/>
        <v>0</v>
      </c>
      <c r="H87" s="17" t="str">
        <f t="shared" si="6"/>
        <v/>
      </c>
    </row>
    <row r="88" spans="2:8">
      <c r="B88" s="14" t="s">
        <v>71</v>
      </c>
      <c r="C88" s="85">
        <v>0</v>
      </c>
      <c r="D88" s="15">
        <v>0</v>
      </c>
      <c r="E88" s="15" t="s">
        <v>166</v>
      </c>
      <c r="F88" s="15" t="s">
        <v>6</v>
      </c>
      <c r="G88" s="15">
        <f t="shared" si="5"/>
        <v>0</v>
      </c>
      <c r="H88" s="17" t="str">
        <f t="shared" si="6"/>
        <v/>
      </c>
    </row>
    <row r="89" spans="2:8">
      <c r="B89" s="14" t="s">
        <v>72</v>
      </c>
      <c r="C89" s="85">
        <v>0</v>
      </c>
      <c r="D89" s="15">
        <v>0</v>
      </c>
      <c r="E89" s="15" t="s">
        <v>166</v>
      </c>
      <c r="F89" s="15" t="s">
        <v>6</v>
      </c>
      <c r="G89" s="15">
        <f t="shared" si="5"/>
        <v>0</v>
      </c>
      <c r="H89" s="17" t="str">
        <f t="shared" si="6"/>
        <v/>
      </c>
    </row>
    <row r="90" spans="2:8">
      <c r="B90" s="14" t="s">
        <v>73</v>
      </c>
      <c r="C90" s="85">
        <v>0</v>
      </c>
      <c r="D90" s="15">
        <v>0</v>
      </c>
      <c r="E90" s="15" t="s">
        <v>166</v>
      </c>
      <c r="F90" s="15" t="s">
        <v>6</v>
      </c>
      <c r="G90" s="15">
        <f t="shared" si="5"/>
        <v>0</v>
      </c>
      <c r="H90" s="17" t="str">
        <f t="shared" si="6"/>
        <v/>
      </c>
    </row>
    <row r="91" spans="2:8">
      <c r="B91" s="14" t="s">
        <v>74</v>
      </c>
      <c r="C91" s="85">
        <v>0</v>
      </c>
      <c r="D91" s="15">
        <v>0</v>
      </c>
      <c r="E91" s="15" t="s">
        <v>166</v>
      </c>
      <c r="F91" s="15" t="s">
        <v>6</v>
      </c>
      <c r="G91" s="15">
        <f t="shared" si="5"/>
        <v>0</v>
      </c>
      <c r="H91" s="17" t="str">
        <f t="shared" si="6"/>
        <v/>
      </c>
    </row>
    <row r="92" spans="2:8">
      <c r="B92" s="14" t="s">
        <v>75</v>
      </c>
      <c r="C92" s="85">
        <v>0</v>
      </c>
      <c r="D92" s="15">
        <v>0</v>
      </c>
      <c r="E92" s="15" t="s">
        <v>166</v>
      </c>
      <c r="F92" s="15" t="s">
        <v>6</v>
      </c>
      <c r="G92" s="15">
        <f t="shared" si="5"/>
        <v>0</v>
      </c>
      <c r="H92" s="17" t="str">
        <f t="shared" si="6"/>
        <v/>
      </c>
    </row>
    <row r="93" spans="2:8">
      <c r="B93" s="14" t="s">
        <v>76</v>
      </c>
      <c r="C93" s="85">
        <v>0</v>
      </c>
      <c r="D93" s="15">
        <v>0</v>
      </c>
      <c r="E93" s="15" t="s">
        <v>166</v>
      </c>
      <c r="F93" s="15" t="s">
        <v>6</v>
      </c>
      <c r="G93" s="15">
        <f t="shared" si="5"/>
        <v>0</v>
      </c>
      <c r="H93" s="17" t="str">
        <f t="shared" si="6"/>
        <v/>
      </c>
    </row>
    <row r="94" spans="2:8">
      <c r="B94" s="14" t="s">
        <v>77</v>
      </c>
      <c r="C94" s="85">
        <v>0</v>
      </c>
      <c r="D94" s="15">
        <v>0</v>
      </c>
      <c r="E94" s="15" t="s">
        <v>166</v>
      </c>
      <c r="F94" s="15" t="s">
        <v>6</v>
      </c>
      <c r="G94" s="15">
        <f t="shared" si="5"/>
        <v>0</v>
      </c>
      <c r="H94" s="17" t="str">
        <f t="shared" si="6"/>
        <v/>
      </c>
    </row>
    <row r="95" spans="2:8">
      <c r="B95" s="14" t="s">
        <v>78</v>
      </c>
      <c r="C95" s="85">
        <v>0</v>
      </c>
      <c r="D95" s="15">
        <v>0</v>
      </c>
      <c r="E95" s="15" t="s">
        <v>166</v>
      </c>
      <c r="F95" s="15" t="s">
        <v>6</v>
      </c>
      <c r="G95" s="15">
        <f t="shared" si="5"/>
        <v>0</v>
      </c>
      <c r="H95" s="17" t="str">
        <f t="shared" si="6"/>
        <v/>
      </c>
    </row>
    <row r="96" spans="2:8">
      <c r="B96" s="14" t="s">
        <v>79</v>
      </c>
      <c r="C96" s="85">
        <v>0</v>
      </c>
      <c r="D96" s="15">
        <v>0</v>
      </c>
      <c r="E96" s="15" t="s">
        <v>166</v>
      </c>
      <c r="F96" s="15" t="s">
        <v>6</v>
      </c>
      <c r="G96" s="15">
        <f t="shared" si="5"/>
        <v>0</v>
      </c>
      <c r="H96" s="17" t="str">
        <f t="shared" si="6"/>
        <v/>
      </c>
    </row>
    <row r="97" spans="2:8">
      <c r="B97" s="14" t="s">
        <v>80</v>
      </c>
      <c r="C97" s="85">
        <v>0</v>
      </c>
      <c r="D97" s="15">
        <v>0</v>
      </c>
      <c r="E97" s="15" t="s">
        <v>166</v>
      </c>
      <c r="F97" s="15" t="s">
        <v>6</v>
      </c>
      <c r="G97" s="15">
        <f t="shared" si="5"/>
        <v>0</v>
      </c>
      <c r="H97" s="17" t="str">
        <f t="shared" si="6"/>
        <v/>
      </c>
    </row>
    <row r="98" spans="2:8">
      <c r="B98" s="14" t="s">
        <v>81</v>
      </c>
      <c r="C98" s="85">
        <v>0</v>
      </c>
      <c r="D98" s="15">
        <v>0</v>
      </c>
      <c r="E98" s="15" t="s">
        <v>166</v>
      </c>
      <c r="F98" s="15" t="s">
        <v>6</v>
      </c>
      <c r="G98" s="15">
        <f t="shared" si="5"/>
        <v>0</v>
      </c>
      <c r="H98" s="17" t="str">
        <f t="shared" si="6"/>
        <v/>
      </c>
    </row>
    <row r="99" spans="2:8">
      <c r="B99" s="14" t="s">
        <v>82</v>
      </c>
      <c r="C99" s="85">
        <v>0</v>
      </c>
      <c r="D99" s="15">
        <v>0</v>
      </c>
      <c r="E99" s="15" t="s">
        <v>166</v>
      </c>
      <c r="F99" s="15" t="s">
        <v>6</v>
      </c>
      <c r="G99" s="15">
        <f t="shared" si="5"/>
        <v>0</v>
      </c>
      <c r="H99" s="17" t="str">
        <f t="shared" si="6"/>
        <v/>
      </c>
    </row>
    <row r="100" spans="2:8">
      <c r="B100" s="14" t="s">
        <v>83</v>
      </c>
      <c r="C100" s="85">
        <v>0</v>
      </c>
      <c r="D100" s="15">
        <v>0</v>
      </c>
      <c r="E100" s="15" t="s">
        <v>166</v>
      </c>
      <c r="F100" s="15" t="s">
        <v>6</v>
      </c>
      <c r="G100" s="15">
        <f t="shared" ref="G100:G106" si="7">$D100+$C100</f>
        <v>0</v>
      </c>
      <c r="H100" s="17" t="str">
        <f t="shared" ref="H100:H106" si="8">IF(AND($D100=0, $G100&gt;0),"new", IF(AND($D100&gt;0, $G100=0),"sold",""))</f>
        <v/>
      </c>
    </row>
    <row r="101" spans="2:8">
      <c r="B101" s="14" t="s">
        <v>84</v>
      </c>
      <c r="C101" s="85">
        <v>0</v>
      </c>
      <c r="D101" s="15">
        <v>0</v>
      </c>
      <c r="E101" s="15" t="s">
        <v>166</v>
      </c>
      <c r="F101" s="15" t="s">
        <v>6</v>
      </c>
      <c r="G101" s="15">
        <f t="shared" si="7"/>
        <v>0</v>
      </c>
      <c r="H101" s="17" t="str">
        <f t="shared" si="8"/>
        <v/>
      </c>
    </row>
    <row r="102" spans="2:8">
      <c r="B102" s="14" t="s">
        <v>85</v>
      </c>
      <c r="C102" s="85">
        <v>0</v>
      </c>
      <c r="D102" s="15">
        <v>0</v>
      </c>
      <c r="E102" s="15" t="s">
        <v>166</v>
      </c>
      <c r="F102" s="15" t="s">
        <v>6</v>
      </c>
      <c r="G102" s="15">
        <f t="shared" si="7"/>
        <v>0</v>
      </c>
      <c r="H102" s="17" t="str">
        <f t="shared" si="8"/>
        <v/>
      </c>
    </row>
    <row r="103" spans="2:8">
      <c r="B103" s="14" t="s">
        <v>86</v>
      </c>
      <c r="C103" s="85">
        <v>0</v>
      </c>
      <c r="D103" s="15">
        <v>0</v>
      </c>
      <c r="E103" s="15" t="s">
        <v>166</v>
      </c>
      <c r="F103" s="15" t="s">
        <v>6</v>
      </c>
      <c r="G103" s="15">
        <f t="shared" si="7"/>
        <v>0</v>
      </c>
      <c r="H103" s="17" t="str">
        <f t="shared" si="8"/>
        <v/>
      </c>
    </row>
    <row r="104" spans="2:8">
      <c r="B104" s="14" t="s">
        <v>87</v>
      </c>
      <c r="C104" s="85">
        <v>0</v>
      </c>
      <c r="D104" s="15">
        <v>0</v>
      </c>
      <c r="E104" s="15" t="s">
        <v>166</v>
      </c>
      <c r="F104" s="15" t="s">
        <v>6</v>
      </c>
      <c r="G104" s="15">
        <f t="shared" si="7"/>
        <v>0</v>
      </c>
      <c r="H104" s="17" t="str">
        <f t="shared" si="8"/>
        <v/>
      </c>
    </row>
    <row r="105" spans="2:8">
      <c r="B105" s="14" t="s">
        <v>88</v>
      </c>
      <c r="C105" s="85">
        <v>0</v>
      </c>
      <c r="D105" s="15">
        <v>0</v>
      </c>
      <c r="E105" s="15" t="s">
        <v>166</v>
      </c>
      <c r="F105" s="15" t="s">
        <v>6</v>
      </c>
      <c r="G105" s="15">
        <f t="shared" si="7"/>
        <v>0</v>
      </c>
      <c r="H105" s="17" t="str">
        <f t="shared" si="8"/>
        <v/>
      </c>
    </row>
    <row r="106" spans="2:8">
      <c r="B106" s="18" t="s">
        <v>89</v>
      </c>
      <c r="C106" s="85">
        <v>0</v>
      </c>
      <c r="D106" s="19">
        <v>0</v>
      </c>
      <c r="E106" s="19" t="s">
        <v>166</v>
      </c>
      <c r="F106" s="19" t="s">
        <v>6</v>
      </c>
      <c r="G106" s="19">
        <f t="shared" si="7"/>
        <v>0</v>
      </c>
      <c r="H106" s="20" t="str">
        <f t="shared" si="8"/>
        <v/>
      </c>
    </row>
    <row r="107" spans="2:8">
      <c r="B107" s="12"/>
      <c r="C107" s="12"/>
      <c r="D107" s="12">
        <f>COUNTIF($D$36:$D$106,"&gt;0")</f>
        <v>3</v>
      </c>
      <c r="E107" s="12" t="s">
        <v>90</v>
      </c>
      <c r="F107" s="12"/>
      <c r="G107" s="12">
        <f>COUNTIF(G36:G106,"&gt;0")</f>
        <v>3</v>
      </c>
      <c r="H107" s="83" t="s">
        <v>90</v>
      </c>
    </row>
  </sheetData>
  <phoneticPr fontId="0" type="noConversion"/>
  <dataValidations count="3">
    <dataValidation type="decimal" operator="greaterThanOrEqual" allowBlank="1" showInputMessage="1" showErrorMessage="1" errorTitle="Error" error="This error occurred because user was trying to sell more than owned" promptTitle="Plants" prompt="Enter Capacity (Positive number to buy, Negative number to sell)" sqref="C6:C15">
      <formula1>-D6:D15</formula1>
    </dataValidation>
    <dataValidation type="whole" operator="greaterThanOrEqual" allowBlank="1" showInputMessage="1" showErrorMessage="1" errorTitle="Error" error="This error occurred because a non-integer was entered or user was trying to sell more than owned" promptTitle="TankCars" prompt="Enter Unit of Cars (Positive integer to buy, Negative integer to sell)" sqref="C21:C30">
      <formula1>-D21:D30</formula1>
    </dataValidation>
    <dataValidation type="decimal" operator="greaterThanOrEqual" allowBlank="1" showInputMessage="1" showErrorMessage="1" errorTitle="Error" error="This error occurred because user was trying to sell more than owned" promptTitle="Storages" prompt="Enter Capacity (Positive number to buy, Negative number to sell)" sqref="C36:C106">
      <formula1>-D36:D106</formula1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B2:AG49"/>
  <sheetViews>
    <sheetView showGridLines="0" workbookViewId="0"/>
  </sheetViews>
  <sheetFormatPr baseColWidth="10" defaultColWidth="8.83203125" defaultRowHeight="12" x14ac:dyDescent="0"/>
  <cols>
    <col min="1" max="1" width="4.6640625" style="29" customWidth="1" collapsed="1"/>
    <col min="2" max="2" width="16.6640625" style="29" customWidth="1" collapsed="1"/>
    <col min="3" max="14" width="8.6640625" style="29" customWidth="1" collapsed="1"/>
    <col min="15" max="16384" width="8.83203125" style="29" collapsed="1"/>
  </cols>
  <sheetData>
    <row r="2" spans="2:14">
      <c r="B2" s="28" t="s">
        <v>140</v>
      </c>
    </row>
    <row r="3" spans="2:14">
      <c r="B3" s="30" t="s">
        <v>164</v>
      </c>
    </row>
    <row r="4" spans="2:14">
      <c r="B4" s="31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</row>
    <row r="5" spans="2:14">
      <c r="B5" s="33" t="s">
        <v>91</v>
      </c>
      <c r="C5" s="34" t="s">
        <v>92</v>
      </c>
      <c r="D5" s="34" t="s">
        <v>93</v>
      </c>
      <c r="E5" s="34" t="s">
        <v>94</v>
      </c>
      <c r="F5" s="34" t="s">
        <v>95</v>
      </c>
      <c r="G5" s="34" t="s">
        <v>96</v>
      </c>
      <c r="H5" s="34" t="s">
        <v>97</v>
      </c>
      <c r="I5" s="34" t="s">
        <v>98</v>
      </c>
      <c r="J5" s="34" t="s">
        <v>99</v>
      </c>
      <c r="K5" s="34" t="s">
        <v>100</v>
      </c>
      <c r="L5" s="34" t="s">
        <v>101</v>
      </c>
      <c r="M5" s="34" t="s">
        <v>102</v>
      </c>
      <c r="N5" s="35" t="s">
        <v>103</v>
      </c>
    </row>
    <row r="6" spans="2:14">
      <c r="B6" s="36" t="s">
        <v>104</v>
      </c>
      <c r="C6" s="86">
        <v>1939.7251294472078</v>
      </c>
      <c r="D6" s="87">
        <v>1939.7251294472078</v>
      </c>
      <c r="E6" s="87">
        <v>1939.7251294472078</v>
      </c>
      <c r="F6" s="87">
        <v>1939.7251294472078</v>
      </c>
      <c r="G6" s="87">
        <v>1939.7251294472078</v>
      </c>
      <c r="H6" s="87">
        <v>1939.7251294472078</v>
      </c>
      <c r="I6" s="87">
        <v>1939.7251294472078</v>
      </c>
      <c r="J6" s="87">
        <v>1939.7251294472078</v>
      </c>
      <c r="K6" s="87">
        <v>1939.7251294472078</v>
      </c>
      <c r="L6" s="87">
        <v>1939.7251294472078</v>
      </c>
      <c r="M6" s="87">
        <v>1939.7251294472078</v>
      </c>
      <c r="N6" s="87">
        <v>1939.7251294472078</v>
      </c>
    </row>
    <row r="7" spans="2:14">
      <c r="B7" s="36" t="s">
        <v>105</v>
      </c>
      <c r="C7" s="88">
        <v>3.5405814086345522E-22</v>
      </c>
      <c r="D7" s="89">
        <v>3.5405814086345522E-22</v>
      </c>
      <c r="E7" s="89">
        <v>3.5405814086345522E-22</v>
      </c>
      <c r="F7" s="89">
        <v>3.5405814086345522E-22</v>
      </c>
      <c r="G7" s="89">
        <v>3.5405814086345522E-22</v>
      </c>
      <c r="H7" s="89">
        <v>3.5405814086345522E-22</v>
      </c>
      <c r="I7" s="89">
        <v>3.5405814086345522E-22</v>
      </c>
      <c r="J7" s="89">
        <v>3.5405814086345522E-22</v>
      </c>
      <c r="K7" s="89">
        <v>3.5405814086345522E-22</v>
      </c>
      <c r="L7" s="89">
        <v>3.5405814086345522E-22</v>
      </c>
      <c r="M7" s="89">
        <v>3.5405814086345522E-22</v>
      </c>
      <c r="N7" s="89">
        <v>3.5405814086345522E-22</v>
      </c>
    </row>
    <row r="8" spans="2:14">
      <c r="B8" s="36" t="s">
        <v>106</v>
      </c>
      <c r="C8" s="88">
        <v>198.81834908592074</v>
      </c>
      <c r="D8" s="89">
        <v>198.81834908592074</v>
      </c>
      <c r="E8" s="89">
        <v>198.81834908592074</v>
      </c>
      <c r="F8" s="89">
        <v>198.81834908592074</v>
      </c>
      <c r="G8" s="89">
        <v>198.81834908592074</v>
      </c>
      <c r="H8" s="89">
        <v>198.81834908592074</v>
      </c>
      <c r="I8" s="89">
        <v>198.81834908592074</v>
      </c>
      <c r="J8" s="89">
        <v>198.81834908592074</v>
      </c>
      <c r="K8" s="89">
        <v>198.81834908592074</v>
      </c>
      <c r="L8" s="89">
        <v>198.81834908592074</v>
      </c>
      <c r="M8" s="89">
        <v>198.81834908592074</v>
      </c>
      <c r="N8" s="89">
        <v>198.81834908592074</v>
      </c>
    </row>
    <row r="9" spans="2:14">
      <c r="B9" s="36" t="s">
        <v>107</v>
      </c>
      <c r="C9" s="88">
        <v>696.95166304570103</v>
      </c>
      <c r="D9" s="89">
        <v>696.95166304570103</v>
      </c>
      <c r="E9" s="89">
        <v>696.95166304570103</v>
      </c>
      <c r="F9" s="89">
        <v>696.95166304570103</v>
      </c>
      <c r="G9" s="89">
        <v>696.95166304570103</v>
      </c>
      <c r="H9" s="89">
        <v>696.95166304570103</v>
      </c>
      <c r="I9" s="89">
        <v>696.95166304570103</v>
      </c>
      <c r="J9" s="89">
        <v>696.95166304570103</v>
      </c>
      <c r="K9" s="89">
        <v>696.95166304570103</v>
      </c>
      <c r="L9" s="89">
        <v>696.95166304570103</v>
      </c>
      <c r="M9" s="89">
        <v>696.95166304570103</v>
      </c>
      <c r="N9" s="89">
        <v>696.95166304570103</v>
      </c>
    </row>
    <row r="10" spans="2:14">
      <c r="B10" s="36" t="s">
        <v>108</v>
      </c>
      <c r="C10" s="88">
        <v>1.0783992233127868E-21</v>
      </c>
      <c r="D10" s="89">
        <v>1.0783992233127868E-21</v>
      </c>
      <c r="E10" s="89">
        <v>1.0783992233127868E-21</v>
      </c>
      <c r="F10" s="89">
        <v>1.0783992233127868E-21</v>
      </c>
      <c r="G10" s="89">
        <v>1.0783992233127868E-21</v>
      </c>
      <c r="H10" s="89">
        <v>1.0783992233127868E-21</v>
      </c>
      <c r="I10" s="89">
        <v>1.0783992233127868E-21</v>
      </c>
      <c r="J10" s="89">
        <v>1.0783992233127868E-21</v>
      </c>
      <c r="K10" s="89">
        <v>1.0783992233127868E-21</v>
      </c>
      <c r="L10" s="89">
        <v>1.0783992233127868E-21</v>
      </c>
      <c r="M10" s="89">
        <v>1.0783992233127868E-21</v>
      </c>
      <c r="N10" s="89">
        <v>1.0783992233127868E-21</v>
      </c>
    </row>
    <row r="11" spans="2:14">
      <c r="B11" s="37" t="s">
        <v>109</v>
      </c>
      <c r="C11" s="88">
        <v>6.4728882093765631E-23</v>
      </c>
      <c r="D11" s="89">
        <v>6.4728882093765631E-23</v>
      </c>
      <c r="E11" s="89">
        <v>6.4728882093765631E-23</v>
      </c>
      <c r="F11" s="89">
        <v>6.4728882093765631E-23</v>
      </c>
      <c r="G11" s="89">
        <v>6.4728882093765631E-23</v>
      </c>
      <c r="H11" s="89">
        <v>6.4728882093765631E-23</v>
      </c>
      <c r="I11" s="89">
        <v>6.4728882093765631E-23</v>
      </c>
      <c r="J11" s="89">
        <v>6.4728882093765631E-23</v>
      </c>
      <c r="K11" s="89">
        <v>6.4728882093765631E-23</v>
      </c>
      <c r="L11" s="89">
        <v>6.4728882093765631E-23</v>
      </c>
      <c r="M11" s="89">
        <v>6.4728882093765631E-23</v>
      </c>
      <c r="N11" s="89">
        <v>6.4728882093765631E-23</v>
      </c>
    </row>
    <row r="12" spans="2:14">
      <c r="B12" s="38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40"/>
    </row>
    <row r="14" spans="2:14">
      <c r="B14" s="30" t="s">
        <v>157</v>
      </c>
    </row>
    <row r="15" spans="2:14">
      <c r="B15" s="31"/>
      <c r="C15" s="32"/>
      <c r="D15" s="32"/>
      <c r="E15" s="51"/>
      <c r="F15" s="32"/>
      <c r="G15" s="32"/>
      <c r="H15" s="32"/>
    </row>
    <row r="16" spans="2:14">
      <c r="B16" s="33" t="s">
        <v>139</v>
      </c>
      <c r="C16" s="34" t="s">
        <v>142</v>
      </c>
      <c r="D16" s="34" t="s">
        <v>137</v>
      </c>
      <c r="E16" s="34" t="s">
        <v>142</v>
      </c>
      <c r="F16" s="34" t="s">
        <v>136</v>
      </c>
      <c r="G16" s="34" t="s">
        <v>142</v>
      </c>
      <c r="H16" s="34" t="s">
        <v>135</v>
      </c>
    </row>
    <row r="17" spans="2:33">
      <c r="B17" s="41" t="s">
        <v>104</v>
      </c>
      <c r="C17" s="90">
        <v>1.2</v>
      </c>
      <c r="D17" s="90">
        <v>0.55533553308722183</v>
      </c>
      <c r="E17" s="90">
        <v>1</v>
      </c>
      <c r="F17" s="90">
        <v>0.78780031560877717</v>
      </c>
      <c r="G17" s="90">
        <v>0.8</v>
      </c>
      <c r="H17" s="90">
        <v>1.0202650981303327</v>
      </c>
      <c r="I17" s="29" t="s">
        <v>110</v>
      </c>
    </row>
    <row r="18" spans="2:33">
      <c r="B18" s="36" t="s">
        <v>105</v>
      </c>
      <c r="C18" s="91">
        <v>1.2</v>
      </c>
      <c r="D18" s="91">
        <v>0.6398733327687578</v>
      </c>
      <c r="E18" s="91">
        <v>1</v>
      </c>
      <c r="F18" s="91">
        <v>0.76586835391569097</v>
      </c>
      <c r="G18" s="91">
        <v>0.8</v>
      </c>
      <c r="H18" s="91">
        <v>0.89186337506262403</v>
      </c>
      <c r="I18" s="29" t="s">
        <v>110</v>
      </c>
    </row>
    <row r="19" spans="2:33">
      <c r="B19" s="36" t="s">
        <v>106</v>
      </c>
      <c r="C19" s="91">
        <v>1.2</v>
      </c>
      <c r="D19" s="91">
        <v>0.68442076627961101</v>
      </c>
      <c r="E19" s="91">
        <v>1</v>
      </c>
      <c r="F19" s="91">
        <v>0.83454656521414405</v>
      </c>
      <c r="G19" s="91">
        <v>0.8</v>
      </c>
      <c r="H19" s="91">
        <v>0.9846723641486772</v>
      </c>
      <c r="I19" s="29" t="s">
        <v>110</v>
      </c>
    </row>
    <row r="20" spans="2:33">
      <c r="B20" s="36" t="s">
        <v>107</v>
      </c>
      <c r="C20" s="91">
        <v>1.2</v>
      </c>
      <c r="D20" s="91">
        <v>0.64255458194253057</v>
      </c>
      <c r="E20" s="91">
        <v>1</v>
      </c>
      <c r="F20" s="91">
        <v>0.81996775220512019</v>
      </c>
      <c r="G20" s="91">
        <v>0.8</v>
      </c>
      <c r="H20" s="91">
        <v>0.99738092246770971</v>
      </c>
    </row>
    <row r="21" spans="2:33">
      <c r="B21" s="36" t="s">
        <v>108</v>
      </c>
      <c r="C21" s="91">
        <v>1.2</v>
      </c>
      <c r="D21" s="91">
        <v>0.70687579053512017</v>
      </c>
      <c r="E21" s="91">
        <v>1</v>
      </c>
      <c r="F21" s="91">
        <v>0.73508265356202229</v>
      </c>
      <c r="G21" s="91">
        <v>0.8</v>
      </c>
      <c r="H21" s="91">
        <v>0.76328951658892452</v>
      </c>
    </row>
    <row r="22" spans="2:33">
      <c r="B22" s="37" t="s">
        <v>109</v>
      </c>
      <c r="C22" s="91">
        <v>1.2</v>
      </c>
      <c r="D22" s="91">
        <v>0.70035466551405934</v>
      </c>
      <c r="E22" s="91">
        <v>1</v>
      </c>
      <c r="F22" s="91">
        <v>0.76406117913318261</v>
      </c>
      <c r="G22" s="91">
        <v>0.8</v>
      </c>
      <c r="H22" s="91">
        <v>0.82776769275230577</v>
      </c>
      <c r="K22" s="50"/>
      <c r="L22" s="49"/>
      <c r="M22" s="49"/>
      <c r="N22" s="49"/>
      <c r="O22" s="49"/>
      <c r="P22" s="49"/>
      <c r="Q22" s="49"/>
      <c r="R22" s="49"/>
      <c r="S22" s="49"/>
      <c r="T22" s="49"/>
      <c r="U22" s="50"/>
      <c r="V22" s="49"/>
      <c r="W22" s="50"/>
      <c r="X22" s="49"/>
      <c r="Y22" s="50"/>
      <c r="Z22" s="49"/>
      <c r="AA22" s="50"/>
      <c r="AB22" s="49"/>
      <c r="AC22" s="50"/>
      <c r="AD22" s="49"/>
      <c r="AE22" s="50"/>
      <c r="AF22" s="49"/>
      <c r="AG22" s="50"/>
    </row>
    <row r="23" spans="2:33">
      <c r="B23" s="42"/>
      <c r="C23" s="43"/>
      <c r="D23" s="43"/>
      <c r="E23" s="43"/>
      <c r="F23" s="43"/>
      <c r="G23" s="43"/>
      <c r="H23" s="32"/>
      <c r="K23" s="50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</row>
    <row r="24" spans="2:33">
      <c r="K24" s="49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50"/>
    </row>
    <row r="25" spans="2:33">
      <c r="K25" s="49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  <c r="AB25" s="50"/>
      <c r="AC25" s="50"/>
      <c r="AD25" s="50"/>
      <c r="AE25" s="50"/>
      <c r="AF25" s="50"/>
      <c r="AG25" s="50"/>
    </row>
    <row r="26" spans="2:33">
      <c r="B26" s="30" t="s">
        <v>154</v>
      </c>
      <c r="K26" s="49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  <c r="AB26" s="50"/>
      <c r="AC26" s="50"/>
      <c r="AD26" s="50"/>
      <c r="AE26" s="50"/>
      <c r="AF26" s="50"/>
      <c r="AG26" s="50"/>
    </row>
    <row r="27" spans="2:33">
      <c r="B27" s="31"/>
      <c r="C27" s="32"/>
      <c r="D27" s="32"/>
      <c r="E27" s="32"/>
      <c r="F27" s="32"/>
      <c r="G27" s="32"/>
      <c r="H27" s="32"/>
      <c r="I27" s="32"/>
      <c r="J27" s="32"/>
      <c r="K27" s="51"/>
      <c r="L27" s="32"/>
      <c r="M27" s="32"/>
      <c r="N27" s="32"/>
      <c r="O27" s="32"/>
      <c r="P27" s="32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50"/>
      <c r="AF27" s="50"/>
      <c r="AG27" s="50"/>
    </row>
    <row r="28" spans="2:33">
      <c r="D28" s="45">
        <f>basic_info!$D$5-5</f>
        <v>2016</v>
      </c>
      <c r="E28" s="49"/>
      <c r="F28" s="45">
        <f>basic_info!$D$5-4</f>
        <v>2017</v>
      </c>
      <c r="G28" s="49"/>
      <c r="H28" s="45">
        <f>basic_info!$D$5-3</f>
        <v>2018</v>
      </c>
      <c r="I28" s="49"/>
      <c r="J28" s="45">
        <f>basic_info!$D$5-2</f>
        <v>2019</v>
      </c>
      <c r="K28" s="49"/>
      <c r="L28" s="45">
        <f>basic_info!$D$5-1</f>
        <v>2020</v>
      </c>
      <c r="N28" s="45">
        <f>basic_info!$D$5</f>
        <v>2021</v>
      </c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0"/>
      <c r="AE28" s="50"/>
      <c r="AF28" s="50"/>
      <c r="AG28" s="50"/>
    </row>
    <row r="29" spans="2:33">
      <c r="B29" s="33" t="s">
        <v>141</v>
      </c>
      <c r="C29" s="33" t="s">
        <v>161</v>
      </c>
      <c r="D29" s="44" t="s">
        <v>159</v>
      </c>
      <c r="E29" s="35" t="s">
        <v>160</v>
      </c>
      <c r="F29" s="44" t="s">
        <v>159</v>
      </c>
      <c r="G29" s="35" t="s">
        <v>160</v>
      </c>
      <c r="H29" s="44" t="s">
        <v>159</v>
      </c>
      <c r="I29" s="35" t="s">
        <v>160</v>
      </c>
      <c r="J29" s="44" t="s">
        <v>159</v>
      </c>
      <c r="K29" s="35" t="s">
        <v>160</v>
      </c>
      <c r="L29" s="44" t="s">
        <v>159</v>
      </c>
      <c r="M29" s="35" t="s">
        <v>160</v>
      </c>
      <c r="N29" s="44" t="s">
        <v>159</v>
      </c>
      <c r="O29" s="35" t="s">
        <v>160</v>
      </c>
      <c r="P29" s="33" t="s">
        <v>150</v>
      </c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/>
      <c r="AD29" s="50"/>
      <c r="AE29" s="50"/>
      <c r="AF29" s="50"/>
      <c r="AG29" s="50"/>
    </row>
    <row r="30" spans="2:33">
      <c r="B30" s="41" t="s">
        <v>112</v>
      </c>
      <c r="C30" s="36">
        <f>basic_info!$D$5</f>
        <v>2021</v>
      </c>
      <c r="D30" s="44">
        <v>0.67052111424505711</v>
      </c>
      <c r="E30" s="35">
        <v>2000</v>
      </c>
      <c r="F30" s="47">
        <v>0.82996059621196905</v>
      </c>
      <c r="G30" s="46">
        <v>1061.069</v>
      </c>
      <c r="H30" s="47">
        <v>0.81109959679484855</v>
      </c>
      <c r="I30" s="46">
        <v>0.81109959679484855</v>
      </c>
      <c r="J30" s="47">
        <v>0.85598770293106174</v>
      </c>
      <c r="K30" s="46">
        <v>0.85598770293106174</v>
      </c>
      <c r="L30" s="47">
        <v>0.73990162963512685</v>
      </c>
      <c r="M30" s="46">
        <v>0.73990162963512685</v>
      </c>
      <c r="N30" s="60"/>
      <c r="O30" s="71" t="s">
        <v>162</v>
      </c>
      <c r="P30" s="41">
        <f>M30+K30+I30+E30+G30</f>
        <v>3063.4759889293609</v>
      </c>
      <c r="Q30" s="70"/>
    </row>
    <row r="31" spans="2:33">
      <c r="B31" s="36"/>
      <c r="C31" s="47">
        <f>basic_info!$D$5+1</f>
        <v>2022</v>
      </c>
      <c r="D31" s="76"/>
      <c r="E31" s="75"/>
      <c r="F31" s="69">
        <v>0.77235281866490846</v>
      </c>
      <c r="G31" s="79">
        <v>1061.069</v>
      </c>
      <c r="H31" s="61">
        <v>0.74817568762620479</v>
      </c>
      <c r="I31" s="62">
        <v>0.74817568762620479</v>
      </c>
      <c r="J31" s="61">
        <v>0.80283888711486584</v>
      </c>
      <c r="K31" s="62">
        <v>0.80283888711486584</v>
      </c>
      <c r="L31" s="61">
        <v>0.74570195787797222</v>
      </c>
      <c r="M31" s="62">
        <v>0.74570195787797222</v>
      </c>
      <c r="N31" s="63">
        <v>1.0049511707471239</v>
      </c>
      <c r="O31" s="89">
        <v>1.0049511707471239</v>
      </c>
      <c r="P31" s="63">
        <f>O31+M31+K31+I31+G31</f>
        <v>1064.3706677033661</v>
      </c>
    </row>
    <row r="32" spans="2:33">
      <c r="B32" s="36"/>
      <c r="C32" s="47">
        <f>basic_info!$D$5+2</f>
        <v>2023</v>
      </c>
      <c r="D32" s="76"/>
      <c r="E32" s="75"/>
      <c r="F32" s="75"/>
      <c r="G32" s="75"/>
      <c r="H32" s="69">
        <v>0.76104814894497397</v>
      </c>
      <c r="I32" s="79">
        <v>0.76104814894497397</v>
      </c>
      <c r="J32" s="61">
        <v>0.79273633468025484</v>
      </c>
      <c r="K32" s="62">
        <v>0.79273633468025484</v>
      </c>
      <c r="L32" s="61">
        <v>0.69703697591794289</v>
      </c>
      <c r="M32" s="62">
        <v>0.69703697591794289</v>
      </c>
      <c r="N32" s="63">
        <v>0.95294777880413084</v>
      </c>
      <c r="O32" s="89">
        <v>0.95294777880413084</v>
      </c>
      <c r="P32" s="63">
        <f>O32+M32+K32+I32</f>
        <v>3.2037692383473022</v>
      </c>
    </row>
    <row r="33" spans="2:17">
      <c r="B33" s="36"/>
      <c r="C33" s="47">
        <f>basic_info!$D$5+3</f>
        <v>2024</v>
      </c>
      <c r="D33" s="76"/>
      <c r="E33" s="75"/>
      <c r="F33" s="75"/>
      <c r="G33" s="75"/>
      <c r="H33" s="75"/>
      <c r="I33" s="75"/>
      <c r="J33" s="69">
        <v>0.74555828573405758</v>
      </c>
      <c r="K33" s="79">
        <v>0.74555828573405758</v>
      </c>
      <c r="L33" s="61">
        <v>0.64461704818677901</v>
      </c>
      <c r="M33" s="62">
        <v>0.64461704818677901</v>
      </c>
      <c r="N33" s="63">
        <v>0.87899184604331659</v>
      </c>
      <c r="O33" s="89">
        <v>0.87899184604331659</v>
      </c>
      <c r="P33" s="63">
        <f>O33+M33+K33</f>
        <v>2.2691671799641533</v>
      </c>
    </row>
    <row r="34" spans="2:17">
      <c r="B34" s="36"/>
      <c r="C34" s="47">
        <f>basic_info!$D$5+4</f>
        <v>2025</v>
      </c>
      <c r="D34" s="76"/>
      <c r="E34" s="75"/>
      <c r="F34" s="75"/>
      <c r="G34" s="75"/>
      <c r="H34" s="75"/>
      <c r="I34" s="75"/>
      <c r="J34" s="75"/>
      <c r="K34" s="75"/>
      <c r="L34" s="69">
        <v>0.64994232899248594</v>
      </c>
      <c r="M34" s="79">
        <v>0.64994232899248594</v>
      </c>
      <c r="N34" s="63">
        <v>0.79960135907517904</v>
      </c>
      <c r="O34" s="89">
        <v>0.79960135907517904</v>
      </c>
      <c r="P34" s="63">
        <f>O34+M34</f>
        <v>1.4495436880676649</v>
      </c>
    </row>
    <row r="35" spans="2:17">
      <c r="B35" s="37"/>
      <c r="C35" s="72">
        <f>basic_info!$D$5+5</f>
        <v>2026</v>
      </c>
      <c r="D35" s="77"/>
      <c r="E35" s="78"/>
      <c r="F35" s="78"/>
      <c r="G35" s="78"/>
      <c r="H35" s="78"/>
      <c r="I35" s="78"/>
      <c r="J35" s="78"/>
      <c r="K35" s="78"/>
      <c r="L35" s="80"/>
      <c r="M35" s="81"/>
      <c r="N35" s="64">
        <v>0.73880555482804788</v>
      </c>
      <c r="O35" s="89">
        <v>0.73880555482804788</v>
      </c>
      <c r="P35" s="65">
        <f>O35</f>
        <v>0.73880555482804788</v>
      </c>
    </row>
    <row r="36" spans="2:17">
      <c r="B36" s="41" t="s">
        <v>113</v>
      </c>
      <c r="C36" s="36">
        <f>basic_info!$D$5</f>
        <v>2021</v>
      </c>
      <c r="D36" s="44">
        <v>0.88851178684830667</v>
      </c>
      <c r="E36" s="35">
        <v>20000</v>
      </c>
      <c r="F36" s="73">
        <v>0.9979103092184296</v>
      </c>
      <c r="G36" s="74">
        <v>16262.2045658647</v>
      </c>
      <c r="H36" s="73">
        <v>0.98917274591614612</v>
      </c>
      <c r="I36" s="74">
        <v>0.98917274591614612</v>
      </c>
      <c r="J36" s="73">
        <v>1.0530186656760385</v>
      </c>
      <c r="K36" s="74">
        <v>1.0530186656760385</v>
      </c>
      <c r="L36" s="66">
        <v>1.225624111661084</v>
      </c>
      <c r="M36" s="67">
        <v>1.225624111661084</v>
      </c>
      <c r="N36" s="68"/>
      <c r="O36" s="71" t="s">
        <v>162</v>
      </c>
      <c r="P36" s="41">
        <f>M36+K36+I36+E36+G36</f>
        <v>36265.472381387954</v>
      </c>
      <c r="Q36" s="70"/>
    </row>
    <row r="37" spans="2:17">
      <c r="B37" s="36"/>
      <c r="C37" s="47">
        <f>basic_info!$D$5+1</f>
        <v>2022</v>
      </c>
      <c r="D37" s="76"/>
      <c r="E37" s="75"/>
      <c r="F37" s="69">
        <v>0.91683839964866642</v>
      </c>
      <c r="G37" s="79">
        <v>16262.2045658647</v>
      </c>
      <c r="H37" s="61">
        <v>0.95076571483281835</v>
      </c>
      <c r="I37" s="62">
        <v>0.95076571483281835</v>
      </c>
      <c r="J37" s="61">
        <v>0.99685742648302889</v>
      </c>
      <c r="K37" s="62">
        <v>0.99685742648302889</v>
      </c>
      <c r="L37" s="61">
        <v>1.1844849384504048</v>
      </c>
      <c r="M37" s="62">
        <v>1.1844849384504048</v>
      </c>
      <c r="N37" s="61">
        <v>1.0690742702798606</v>
      </c>
      <c r="O37" s="89">
        <v>1.0690742702798606</v>
      </c>
      <c r="P37" s="63">
        <f>O37+M37+K37+I37+G37</f>
        <v>16266.405748214747</v>
      </c>
    </row>
    <row r="38" spans="2:17">
      <c r="B38" s="36"/>
      <c r="C38" s="47">
        <f>basic_info!$D$5+2</f>
        <v>2023</v>
      </c>
      <c r="D38" s="76"/>
      <c r="E38" s="75"/>
      <c r="F38" s="75"/>
      <c r="G38" s="75"/>
      <c r="H38" s="69">
        <v>0.92028542885184295</v>
      </c>
      <c r="I38" s="79">
        <v>0.92028542885184295</v>
      </c>
      <c r="J38" s="61">
        <v>0.97101189850230707</v>
      </c>
      <c r="K38" s="62">
        <v>0.97101189850230707</v>
      </c>
      <c r="L38" s="61">
        <v>1.0883434339799747</v>
      </c>
      <c r="M38" s="62">
        <v>1.0883434339799747</v>
      </c>
      <c r="N38" s="61">
        <v>1.0379530990077617</v>
      </c>
      <c r="O38" s="89">
        <v>1.0379530990077617</v>
      </c>
      <c r="P38" s="63">
        <f>O38+M38+K38+I38</f>
        <v>4.0175938603418864</v>
      </c>
    </row>
    <row r="39" spans="2:17">
      <c r="B39" s="36"/>
      <c r="C39" s="47">
        <f>basic_info!$D$5+3</f>
        <v>2024</v>
      </c>
      <c r="D39" s="76"/>
      <c r="E39" s="75"/>
      <c r="F39" s="75"/>
      <c r="G39" s="75"/>
      <c r="H39" s="75"/>
      <c r="I39" s="75"/>
      <c r="J39" s="69">
        <v>0.91845404595136637</v>
      </c>
      <c r="K39" s="79">
        <v>0.91845404595136637</v>
      </c>
      <c r="L39" s="61">
        <v>1.0508784733022103</v>
      </c>
      <c r="M39" s="62">
        <v>1.0508784733022103</v>
      </c>
      <c r="N39" s="61">
        <v>0.98950169448473901</v>
      </c>
      <c r="O39" s="89">
        <v>0.98950169448473901</v>
      </c>
      <c r="P39" s="63">
        <f>O39+M39+K39</f>
        <v>2.9588342137383159</v>
      </c>
    </row>
    <row r="40" spans="2:17">
      <c r="B40" s="36"/>
      <c r="C40" s="47">
        <f>basic_info!$D$5+4</f>
        <v>2025</v>
      </c>
      <c r="D40" s="76"/>
      <c r="E40" s="75"/>
      <c r="F40" s="75"/>
      <c r="G40" s="75"/>
      <c r="H40" s="75"/>
      <c r="I40" s="75"/>
      <c r="J40" s="75"/>
      <c r="K40" s="75"/>
      <c r="L40" s="69">
        <v>1.0247439911663534</v>
      </c>
      <c r="M40" s="79">
        <v>1.0247439911663534</v>
      </c>
      <c r="N40" s="61">
        <v>0.93453935364490526</v>
      </c>
      <c r="O40" s="89">
        <v>0.93453935364490526</v>
      </c>
      <c r="P40" s="63">
        <f>O40+M40</f>
        <v>1.9592833448112588</v>
      </c>
    </row>
    <row r="41" spans="2:17">
      <c r="B41" s="37"/>
      <c r="C41" s="72">
        <f>basic_info!$D$5+5</f>
        <v>2026</v>
      </c>
      <c r="D41" s="77"/>
      <c r="E41" s="78"/>
      <c r="F41" s="78"/>
      <c r="G41" s="78"/>
      <c r="H41" s="78"/>
      <c r="I41" s="78"/>
      <c r="J41" s="78"/>
      <c r="K41" s="78"/>
      <c r="L41" s="80"/>
      <c r="M41" s="81"/>
      <c r="N41" s="69">
        <v>0.93520843183994296</v>
      </c>
      <c r="O41" s="89">
        <v>0.93520843183994296</v>
      </c>
      <c r="P41" s="64">
        <f>O41</f>
        <v>0.93520843183994296</v>
      </c>
    </row>
    <row r="42" spans="2:17"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50"/>
    </row>
    <row r="44" spans="2:17">
      <c r="B44" s="30" t="s">
        <v>153</v>
      </c>
    </row>
    <row r="45" spans="2:17">
      <c r="B45" s="31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</row>
    <row r="46" spans="2:17">
      <c r="B46" s="33" t="s">
        <v>149</v>
      </c>
      <c r="C46" s="34" t="s">
        <v>92</v>
      </c>
      <c r="D46" s="34" t="s">
        <v>93</v>
      </c>
      <c r="E46" s="34" t="s">
        <v>94</v>
      </c>
      <c r="F46" s="34" t="s">
        <v>95</v>
      </c>
      <c r="G46" s="34" t="s">
        <v>96</v>
      </c>
      <c r="H46" s="34" t="s">
        <v>97</v>
      </c>
      <c r="I46" s="34" t="s">
        <v>98</v>
      </c>
      <c r="J46" s="34" t="s">
        <v>99</v>
      </c>
      <c r="K46" s="34" t="s">
        <v>100</v>
      </c>
      <c r="L46" s="34" t="s">
        <v>101</v>
      </c>
      <c r="M46" s="34" t="s">
        <v>102</v>
      </c>
      <c r="N46" s="35" t="s">
        <v>103</v>
      </c>
      <c r="O46" s="33" t="s">
        <v>150</v>
      </c>
    </row>
    <row r="47" spans="2:17">
      <c r="B47" s="41" t="s">
        <v>112</v>
      </c>
      <c r="C47" s="92">
        <v>8.3333333333333339</v>
      </c>
      <c r="D47" s="92">
        <v>8.3333333333333339</v>
      </c>
      <c r="E47" s="92">
        <v>8.3333333333333339</v>
      </c>
      <c r="F47" s="92">
        <v>8.3333333333333339</v>
      </c>
      <c r="G47" s="92">
        <v>8.3333333333333339</v>
      </c>
      <c r="H47" s="92">
        <v>8.3333333333333339</v>
      </c>
      <c r="I47" s="92">
        <v>8.3333333333333339</v>
      </c>
      <c r="J47" s="92">
        <v>8.3333333333333339</v>
      </c>
      <c r="K47" s="92">
        <v>8.3333333333333339</v>
      </c>
      <c r="L47" s="92">
        <v>8.3333333333333339</v>
      </c>
      <c r="M47" s="92">
        <v>8.3333333333333339</v>
      </c>
      <c r="N47" s="92">
        <v>8.3333333333333339</v>
      </c>
      <c r="O47" s="33">
        <f>SUM(C47:N47)</f>
        <v>99.999999999999986</v>
      </c>
    </row>
    <row r="48" spans="2:17">
      <c r="B48" s="37" t="s">
        <v>113</v>
      </c>
      <c r="C48" s="92">
        <v>8.3333333333333321</v>
      </c>
      <c r="D48" s="92">
        <v>8.3333333333333321</v>
      </c>
      <c r="E48" s="92">
        <v>8.3333333333333321</v>
      </c>
      <c r="F48" s="92">
        <v>8.3333333333333321</v>
      </c>
      <c r="G48" s="92">
        <v>8.3333333333333321</v>
      </c>
      <c r="H48" s="92">
        <v>8.3333333333333321</v>
      </c>
      <c r="I48" s="92">
        <v>8.3333333333333321</v>
      </c>
      <c r="J48" s="92">
        <v>8.3333333333333321</v>
      </c>
      <c r="K48" s="92">
        <v>8.3333333333333321</v>
      </c>
      <c r="L48" s="92">
        <v>8.3333333333333321</v>
      </c>
      <c r="M48" s="92">
        <v>8.3333333333333321</v>
      </c>
      <c r="N48" s="92">
        <v>8.3333333333333321</v>
      </c>
      <c r="O48" s="33">
        <f>SUM(C48:N48)</f>
        <v>99.999999999999957</v>
      </c>
    </row>
    <row r="49" spans="2:15">
      <c r="B49" s="32"/>
      <c r="C49" s="32"/>
      <c r="D49" s="32"/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</row>
  </sheetData>
  <phoneticPr fontId="0" type="noConversion"/>
  <dataValidations count="8">
    <dataValidation type="decimal" operator="greaterThanOrEqual" allowBlank="1" showInputMessage="1" showErrorMessage="1" errorTitle="Error" error="This error occurred because a non-positive number was entered" promptTitle="Purchases" prompt="Enter amount of fresh oranges (ORA) to purchase" sqref="C6:N11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0 &lt; real price &lt;= price 1" sqref="C17:C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1 &lt; real price &lt;= price 2" sqref="E17:E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2 &lt; real price &lt;= price 3 (Note: quantity multiplier = 0 if real price &gt; price 3)" sqref="G17:G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Prices" prompt="Enter prices (Note Unit: $/lb)" sqref="D17:D22 F17:F22 H17:H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ORA futures to purchase" sqref="O31:O35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FCOJ futures to purchase" sqref="O37:O41">
      <formula1>0</formula1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47:N48">
      <formula1>0</formula1>
      <formula2>100</formula2>
    </dataValidation>
  </dataValidations>
  <pageMargins left="0.75" right="0.75" top="1" bottom="1" header="0.5" footer="0.5"/>
  <pageSetup orientation="portrait" horizontalDpi="300" verticalDpi="300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B2:X65"/>
  <sheetViews>
    <sheetView showGridLines="0" workbookViewId="0">
      <selection activeCell="B35" sqref="B35"/>
    </sheetView>
  </sheetViews>
  <sheetFormatPr baseColWidth="10" defaultColWidth="8.83203125" defaultRowHeight="12" x14ac:dyDescent="0"/>
  <cols>
    <col min="1" max="1" width="4.6640625" style="29" customWidth="1" collapsed="1"/>
    <col min="2" max="2" width="17.33203125" style="29" customWidth="1" collapsed="1"/>
    <col min="3" max="16384" width="8.83203125" style="29" collapsed="1"/>
  </cols>
  <sheetData>
    <row r="2" spans="2:17">
      <c r="B2" s="28" t="s">
        <v>114</v>
      </c>
    </row>
    <row r="3" spans="2:17">
      <c r="B3" s="30" t="s">
        <v>144</v>
      </c>
    </row>
    <row r="4" spans="2:17">
      <c r="B4" s="48"/>
      <c r="C4" s="48"/>
      <c r="D4" s="48"/>
      <c r="E4" s="48"/>
      <c r="F4" s="48"/>
      <c r="G4" s="48"/>
      <c r="H4" s="48"/>
      <c r="I4" s="49"/>
      <c r="J4" s="49"/>
      <c r="K4" s="49"/>
      <c r="L4" s="49"/>
      <c r="M4" s="49"/>
      <c r="N4" s="49"/>
    </row>
    <row r="5" spans="2:17">
      <c r="B5" s="45" t="s">
        <v>115</v>
      </c>
      <c r="C5" s="45" t="s">
        <v>10</v>
      </c>
      <c r="D5" s="45" t="s">
        <v>12</v>
      </c>
      <c r="E5" s="45" t="s">
        <v>22</v>
      </c>
      <c r="F5" s="45" t="s">
        <v>46</v>
      </c>
      <c r="G5" s="45" t="s">
        <v>59</v>
      </c>
      <c r="H5" s="45" t="s">
        <v>150</v>
      </c>
      <c r="I5" s="50"/>
      <c r="J5" s="50"/>
      <c r="K5" s="50"/>
      <c r="L5" s="50"/>
      <c r="M5" s="50"/>
      <c r="N5" s="50"/>
      <c r="O5" s="50"/>
      <c r="P5" s="50"/>
      <c r="Q5" s="50"/>
    </row>
    <row r="6" spans="2:17">
      <c r="B6" s="45" t="s">
        <v>163</v>
      </c>
      <c r="C6" s="93">
        <v>2.4025146704474625E-23</v>
      </c>
      <c r="D6" s="93">
        <v>47.180265453412538</v>
      </c>
      <c r="E6" s="93">
        <v>0</v>
      </c>
      <c r="F6" s="93">
        <v>0</v>
      </c>
      <c r="G6" s="93">
        <v>52.819734546587462</v>
      </c>
      <c r="H6" s="97">
        <f>SUM($C$6:$G$6)</f>
        <v>100</v>
      </c>
      <c r="I6" s="49"/>
      <c r="J6" s="49"/>
      <c r="K6" s="49"/>
      <c r="L6" s="49"/>
      <c r="M6" s="49"/>
      <c r="N6" s="49"/>
      <c r="O6" s="50"/>
      <c r="P6" s="50"/>
      <c r="Q6" s="50"/>
    </row>
    <row r="7" spans="2:17">
      <c r="B7" s="45" t="s">
        <v>105</v>
      </c>
      <c r="C7" s="93">
        <v>3.5545395445398449</v>
      </c>
      <c r="D7" s="93">
        <v>0.67678515786050908</v>
      </c>
      <c r="E7" s="93">
        <v>7.3121497874820882</v>
      </c>
      <c r="F7" s="93">
        <v>88.456525510117558</v>
      </c>
      <c r="G7" s="93">
        <v>0</v>
      </c>
      <c r="H7" s="97">
        <f>SUM($C$7:$G$7)</f>
        <v>100</v>
      </c>
      <c r="I7" s="49"/>
      <c r="J7" s="49"/>
      <c r="K7" s="49"/>
      <c r="L7" s="49"/>
      <c r="M7" s="49"/>
      <c r="N7" s="49"/>
      <c r="O7" s="50"/>
      <c r="P7" s="50"/>
      <c r="Q7" s="50"/>
    </row>
    <row r="8" spans="2:17">
      <c r="B8" s="45" t="s">
        <v>106</v>
      </c>
      <c r="C8" s="93">
        <v>9.7898210904285625E-24</v>
      </c>
      <c r="D8" s="93">
        <v>3.7567049318359974E-23</v>
      </c>
      <c r="E8" s="93">
        <v>100</v>
      </c>
      <c r="F8" s="93">
        <v>0</v>
      </c>
      <c r="G8" s="93">
        <v>0</v>
      </c>
      <c r="H8" s="97">
        <f>SUM($C$8:$G$8)</f>
        <v>100</v>
      </c>
      <c r="I8" s="49"/>
      <c r="J8" s="49"/>
      <c r="K8" s="49"/>
      <c r="L8" s="49"/>
      <c r="M8" s="49"/>
      <c r="N8" s="49"/>
      <c r="O8" s="50"/>
      <c r="P8" s="50"/>
      <c r="Q8" s="50"/>
    </row>
    <row r="9" spans="2:17">
      <c r="B9" s="45" t="s">
        <v>107</v>
      </c>
      <c r="C9" s="93">
        <v>69.052808126266683</v>
      </c>
      <c r="D9" s="93">
        <v>1.1277777957292765E-23</v>
      </c>
      <c r="E9" s="93">
        <v>0</v>
      </c>
      <c r="F9" s="93">
        <v>30.947191873733313</v>
      </c>
      <c r="G9" s="93">
        <v>4.8948157371778109E-24</v>
      </c>
      <c r="H9" s="97">
        <f>SUM($C$9:$G$9)</f>
        <v>100</v>
      </c>
      <c r="I9" s="49"/>
      <c r="J9" s="49"/>
      <c r="K9" s="49"/>
      <c r="L9" s="49"/>
      <c r="M9" s="49"/>
      <c r="N9" s="49"/>
      <c r="O9" s="50"/>
      <c r="P9" s="50"/>
      <c r="Q9" s="50"/>
    </row>
    <row r="10" spans="2:17">
      <c r="B10" s="45" t="s">
        <v>108</v>
      </c>
      <c r="C10" s="93">
        <v>0.61020650835083956</v>
      </c>
      <c r="D10" s="93">
        <v>30.662571436469396</v>
      </c>
      <c r="E10" s="93">
        <v>0</v>
      </c>
      <c r="F10" s="93">
        <v>0</v>
      </c>
      <c r="G10" s="93">
        <v>68.727222055179752</v>
      </c>
      <c r="H10" s="97">
        <f>SUM($C$10:$G$10)</f>
        <v>99.999999999999986</v>
      </c>
      <c r="I10" s="49"/>
      <c r="J10" s="49"/>
      <c r="K10" s="49"/>
      <c r="L10" s="49"/>
      <c r="M10" s="49"/>
      <c r="N10" s="49"/>
      <c r="O10" s="50"/>
      <c r="P10" s="50"/>
      <c r="Q10" s="50"/>
    </row>
    <row r="11" spans="2:17">
      <c r="B11" s="45" t="s">
        <v>109</v>
      </c>
      <c r="C11" s="94">
        <v>11.022451023092222</v>
      </c>
      <c r="D11" s="94">
        <v>88.977546539476833</v>
      </c>
      <c r="E11" s="94">
        <v>0</v>
      </c>
      <c r="F11" s="94">
        <v>2.4374309572603941E-6</v>
      </c>
      <c r="G11" s="94">
        <v>0</v>
      </c>
      <c r="H11" s="96">
        <f>SUM($C$11:$G$11)</f>
        <v>100</v>
      </c>
      <c r="I11" s="49"/>
      <c r="J11" s="49"/>
      <c r="K11" s="49"/>
      <c r="L11" s="49"/>
      <c r="M11" s="49"/>
      <c r="N11" s="49"/>
      <c r="O11" s="50"/>
      <c r="P11" s="50"/>
      <c r="Q11" s="50"/>
    </row>
    <row r="12" spans="2:17">
      <c r="B12" s="51"/>
      <c r="C12" s="51"/>
      <c r="D12" s="51"/>
      <c r="E12" s="51"/>
      <c r="F12" s="51"/>
      <c r="G12" s="51"/>
      <c r="H12" s="51"/>
      <c r="I12" s="49"/>
      <c r="J12" s="49"/>
      <c r="K12" s="49"/>
      <c r="L12" s="49"/>
      <c r="M12" s="49"/>
      <c r="N12" s="49"/>
      <c r="O12" s="50"/>
      <c r="P12" s="50"/>
      <c r="Q12" s="50"/>
    </row>
    <row r="13" spans="2:17">
      <c r="C13" s="49"/>
      <c r="D13" s="49"/>
      <c r="E13" s="49"/>
      <c r="F13" s="49"/>
      <c r="G13" s="49"/>
      <c r="H13" s="49"/>
      <c r="I13" s="50"/>
      <c r="J13" s="50"/>
      <c r="K13" s="50"/>
    </row>
    <row r="14" spans="2:17">
      <c r="B14" s="52" t="s">
        <v>116</v>
      </c>
      <c r="C14" s="49"/>
      <c r="D14" s="49"/>
      <c r="E14" s="49"/>
      <c r="F14" s="49"/>
      <c r="G14" s="49"/>
      <c r="H14" s="49"/>
      <c r="I14" s="50"/>
      <c r="J14" s="50"/>
      <c r="K14" s="50"/>
    </row>
    <row r="15" spans="2:17">
      <c r="B15" s="53" t="s">
        <v>117</v>
      </c>
      <c r="C15" s="50"/>
      <c r="D15" s="50"/>
      <c r="E15" s="50"/>
      <c r="F15" s="50"/>
      <c r="G15" s="50"/>
      <c r="H15" s="50"/>
      <c r="I15" s="50"/>
      <c r="J15" s="50"/>
      <c r="K15" s="50"/>
    </row>
    <row r="16" spans="2:17">
      <c r="B16" s="31"/>
      <c r="C16" s="31"/>
      <c r="D16" s="31"/>
      <c r="E16" s="31"/>
      <c r="F16" s="31"/>
      <c r="G16" s="50"/>
      <c r="H16" s="50"/>
      <c r="I16" s="50"/>
      <c r="J16" s="50"/>
      <c r="M16" s="50"/>
      <c r="N16" s="50"/>
      <c r="O16" s="50"/>
    </row>
    <row r="17" spans="2:16">
      <c r="B17" s="45" t="s">
        <v>118</v>
      </c>
      <c r="C17" s="45" t="s">
        <v>10</v>
      </c>
      <c r="D17" s="45"/>
      <c r="E17" s="45" t="s">
        <v>12</v>
      </c>
      <c r="F17" s="45"/>
      <c r="G17" s="50"/>
      <c r="H17" s="50"/>
      <c r="I17" s="50"/>
      <c r="J17" s="50"/>
      <c r="M17" s="50"/>
      <c r="N17" s="50"/>
      <c r="O17" s="50"/>
    </row>
    <row r="18" spans="2:16">
      <c r="B18" s="45" t="s">
        <v>119</v>
      </c>
      <c r="C18" s="45" t="s">
        <v>133</v>
      </c>
      <c r="D18" s="45" t="s">
        <v>123</v>
      </c>
      <c r="E18" s="45" t="s">
        <v>133</v>
      </c>
      <c r="F18" s="45" t="s">
        <v>123</v>
      </c>
      <c r="G18" s="50"/>
      <c r="H18" s="50"/>
      <c r="I18" s="50"/>
      <c r="J18" s="50"/>
      <c r="K18" s="50"/>
      <c r="M18" s="50"/>
      <c r="N18" s="50"/>
      <c r="O18" s="50"/>
    </row>
    <row r="19" spans="2:16">
      <c r="B19" s="45" t="s">
        <v>120</v>
      </c>
      <c r="C19" s="94">
        <v>66.557357567110913</v>
      </c>
      <c r="D19" s="44">
        <f>100-$C$19</f>
        <v>33.442642432889087</v>
      </c>
      <c r="E19" s="94">
        <v>64.610043330821782</v>
      </c>
      <c r="F19" s="33">
        <f>100-$E$19</f>
        <v>35.389956669178218</v>
      </c>
      <c r="M19" s="50"/>
      <c r="N19" s="50"/>
      <c r="O19" s="50"/>
    </row>
    <row r="20" spans="2:16">
      <c r="B20" s="54"/>
      <c r="C20" s="54"/>
      <c r="D20" s="54"/>
      <c r="E20" s="54"/>
      <c r="F20" s="54"/>
      <c r="G20" s="50"/>
      <c r="H20" s="50"/>
      <c r="I20" s="50"/>
      <c r="J20" s="50"/>
      <c r="M20" s="50"/>
      <c r="N20" s="50"/>
      <c r="O20" s="50"/>
    </row>
    <row r="21" spans="2:16">
      <c r="I21" s="50"/>
      <c r="J21" s="50"/>
      <c r="K21" s="50"/>
    </row>
    <row r="22" spans="2:16">
      <c r="B22" s="52" t="s">
        <v>114</v>
      </c>
      <c r="I22" s="50"/>
      <c r="J22" s="50"/>
      <c r="K22" s="50"/>
    </row>
    <row r="23" spans="2:16">
      <c r="B23" s="55" t="s">
        <v>145</v>
      </c>
      <c r="I23" s="50"/>
      <c r="J23" s="50"/>
      <c r="K23" s="50"/>
    </row>
    <row r="24" spans="2:16">
      <c r="B24" s="31"/>
      <c r="C24" s="31"/>
      <c r="D24" s="31"/>
      <c r="E24" s="31"/>
      <c r="F24" s="31"/>
      <c r="G24" s="31"/>
      <c r="N24" s="50"/>
      <c r="O24" s="50"/>
      <c r="P24" s="50"/>
    </row>
    <row r="25" spans="2:16">
      <c r="B25" s="45" t="s">
        <v>121</v>
      </c>
      <c r="C25" s="45" t="s">
        <v>122</v>
      </c>
      <c r="D25" s="45" t="s">
        <v>10</v>
      </c>
      <c r="E25" s="45"/>
      <c r="F25" s="45" t="s">
        <v>12</v>
      </c>
      <c r="G25" s="45"/>
      <c r="N25" s="50"/>
      <c r="O25" s="50"/>
      <c r="P25" s="50"/>
    </row>
    <row r="26" spans="2:16">
      <c r="B26" s="45" t="s">
        <v>119</v>
      </c>
      <c r="C26" s="45" t="s">
        <v>123</v>
      </c>
      <c r="D26" s="45" t="s">
        <v>133</v>
      </c>
      <c r="E26" s="45" t="s">
        <v>123</v>
      </c>
      <c r="F26" s="45" t="s">
        <v>133</v>
      </c>
      <c r="G26" s="45" t="s">
        <v>123</v>
      </c>
      <c r="N26" s="50"/>
      <c r="O26" s="50"/>
      <c r="P26" s="50"/>
    </row>
    <row r="27" spans="2:16">
      <c r="B27" s="45" t="s">
        <v>22</v>
      </c>
      <c r="C27" s="93">
        <v>14.726261870213538</v>
      </c>
      <c r="D27" s="93">
        <v>52.815434385363645</v>
      </c>
      <c r="E27" s="93">
        <v>45.335181038398829</v>
      </c>
      <c r="F27" s="93">
        <v>0</v>
      </c>
      <c r="G27" s="95">
        <v>0</v>
      </c>
      <c r="N27" s="50"/>
      <c r="O27" s="50"/>
      <c r="P27" s="50"/>
    </row>
    <row r="28" spans="2:16">
      <c r="B28" s="45" t="s">
        <v>46</v>
      </c>
      <c r="C28" s="93">
        <v>17.756815362323412</v>
      </c>
      <c r="D28" s="93">
        <v>47.184565614636355</v>
      </c>
      <c r="E28" s="93">
        <v>54.664818961601178</v>
      </c>
      <c r="F28" s="93">
        <v>0</v>
      </c>
      <c r="G28" s="95">
        <v>0</v>
      </c>
      <c r="N28" s="50"/>
      <c r="O28" s="50"/>
      <c r="P28" s="50"/>
    </row>
    <row r="29" spans="2:16">
      <c r="B29" s="45" t="s">
        <v>59</v>
      </c>
      <c r="C29" s="93">
        <v>67.516922767463043</v>
      </c>
      <c r="D29" s="93">
        <v>0</v>
      </c>
      <c r="E29" s="93">
        <v>0</v>
      </c>
      <c r="F29" s="93">
        <v>100</v>
      </c>
      <c r="G29" s="95">
        <v>99.999999999999986</v>
      </c>
      <c r="N29" s="50"/>
      <c r="O29" s="50"/>
      <c r="P29" s="50"/>
    </row>
    <row r="30" spans="2:16">
      <c r="B30" s="45" t="s">
        <v>150</v>
      </c>
      <c r="C30" s="98">
        <f>SUM($C$27:$C$29)</f>
        <v>100</v>
      </c>
      <c r="D30" s="98">
        <f>SUM($D$27:$D$29)</f>
        <v>100</v>
      </c>
      <c r="E30" s="98">
        <f>SUM($E$27:$E$29)</f>
        <v>100</v>
      </c>
      <c r="F30" s="98">
        <f>SUM($F$27:$F$29)</f>
        <v>100</v>
      </c>
      <c r="G30" s="96">
        <f>SUM($G$27:$G$29)</f>
        <v>99.999999999999986</v>
      </c>
      <c r="N30" s="50"/>
      <c r="O30" s="50"/>
      <c r="P30" s="50"/>
    </row>
    <row r="31" spans="2:16">
      <c r="B31" s="54"/>
      <c r="C31" s="54"/>
      <c r="D31" s="54"/>
      <c r="E31" s="54"/>
      <c r="F31" s="54"/>
      <c r="G31" s="54"/>
      <c r="N31" s="50"/>
      <c r="O31" s="50"/>
      <c r="P31" s="50"/>
    </row>
    <row r="32" spans="2:16">
      <c r="I32" s="50"/>
      <c r="J32" s="50"/>
      <c r="K32" s="50"/>
    </row>
    <row r="33" spans="2:14">
      <c r="B33" s="52" t="s">
        <v>124</v>
      </c>
      <c r="C33" s="50"/>
      <c r="D33" s="50"/>
      <c r="E33" s="50"/>
      <c r="F33" s="50"/>
      <c r="G33" s="50"/>
      <c r="H33" s="50"/>
      <c r="I33" s="50"/>
      <c r="J33" s="50"/>
      <c r="K33" s="50"/>
    </row>
    <row r="34" spans="2:14">
      <c r="B34" s="53" t="s">
        <v>143</v>
      </c>
      <c r="C34" s="50"/>
      <c r="D34" s="50"/>
      <c r="E34" s="50"/>
      <c r="F34" s="50"/>
      <c r="G34" s="50"/>
      <c r="H34" s="50"/>
      <c r="I34" s="50"/>
      <c r="J34" s="50"/>
      <c r="K34" s="50"/>
    </row>
    <row r="35" spans="2:14">
      <c r="B35" s="32"/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</row>
    <row r="36" spans="2:14">
      <c r="B36" s="45" t="s">
        <v>147</v>
      </c>
      <c r="C36" s="45" t="s">
        <v>92</v>
      </c>
      <c r="D36" s="45" t="s">
        <v>93</v>
      </c>
      <c r="E36" s="45" t="s">
        <v>94</v>
      </c>
      <c r="F36" s="45" t="s">
        <v>95</v>
      </c>
      <c r="G36" s="45" t="s">
        <v>96</v>
      </c>
      <c r="H36" s="45" t="s">
        <v>97</v>
      </c>
      <c r="I36" s="45" t="s">
        <v>98</v>
      </c>
      <c r="J36" s="45" t="s">
        <v>99</v>
      </c>
      <c r="K36" s="45" t="s">
        <v>100</v>
      </c>
      <c r="L36" s="45" t="s">
        <v>101</v>
      </c>
      <c r="M36" s="45" t="s">
        <v>102</v>
      </c>
      <c r="N36" s="45" t="s">
        <v>103</v>
      </c>
    </row>
    <row r="37" spans="2:14">
      <c r="B37" s="45" t="s">
        <v>22</v>
      </c>
      <c r="C37" s="93">
        <v>39.924599892940755</v>
      </c>
      <c r="D37" s="93">
        <v>39.924599892940755</v>
      </c>
      <c r="E37" s="93">
        <v>39.924599892940755</v>
      </c>
      <c r="F37" s="93">
        <v>39.924599892940755</v>
      </c>
      <c r="G37" s="93">
        <v>39.924599892940755</v>
      </c>
      <c r="H37" s="93">
        <v>39.924599892940755</v>
      </c>
      <c r="I37" s="93">
        <v>39.924599892940755</v>
      </c>
      <c r="J37" s="93">
        <v>39.924599892940755</v>
      </c>
      <c r="K37" s="93">
        <v>39.924599892940755</v>
      </c>
      <c r="L37" s="93">
        <v>39.924599892940755</v>
      </c>
      <c r="M37" s="93">
        <v>39.924599892940755</v>
      </c>
      <c r="N37" s="95">
        <v>39.924599892940755</v>
      </c>
    </row>
    <row r="38" spans="2:14">
      <c r="B38" s="45" t="s">
        <v>46</v>
      </c>
      <c r="C38" s="93">
        <v>40.961410312442943</v>
      </c>
      <c r="D38" s="93">
        <v>40.961410312442943</v>
      </c>
      <c r="E38" s="93">
        <v>40.961410312442943</v>
      </c>
      <c r="F38" s="93">
        <v>40.961410312442943</v>
      </c>
      <c r="G38" s="93">
        <v>40.961410312442943</v>
      </c>
      <c r="H38" s="93">
        <v>40.961410312442943</v>
      </c>
      <c r="I38" s="93">
        <v>40.961410312442943</v>
      </c>
      <c r="J38" s="93">
        <v>40.961410312442943</v>
      </c>
      <c r="K38" s="93">
        <v>40.961410312442943</v>
      </c>
      <c r="L38" s="93">
        <v>40.961410312442943</v>
      </c>
      <c r="M38" s="93">
        <v>40.961410312442943</v>
      </c>
      <c r="N38" s="95">
        <v>40.961410312442943</v>
      </c>
    </row>
    <row r="39" spans="2:14">
      <c r="B39" s="45" t="s">
        <v>59</v>
      </c>
      <c r="C39" s="94">
        <v>43.743603791402627</v>
      </c>
      <c r="D39" s="94">
        <v>43.743603791402627</v>
      </c>
      <c r="E39" s="94">
        <v>43.743603791402627</v>
      </c>
      <c r="F39" s="94">
        <v>43.743603791402627</v>
      </c>
      <c r="G39" s="94">
        <v>43.743603791402627</v>
      </c>
      <c r="H39" s="94">
        <v>43.743603791402627</v>
      </c>
      <c r="I39" s="94">
        <v>43.743603791402627</v>
      </c>
      <c r="J39" s="94">
        <v>43.743603791402627</v>
      </c>
      <c r="K39" s="94">
        <v>43.743603791402627</v>
      </c>
      <c r="L39" s="94">
        <v>43.743603791402627</v>
      </c>
      <c r="M39" s="94">
        <v>43.743603791402627</v>
      </c>
      <c r="N39" s="89">
        <v>43.743603791402627</v>
      </c>
    </row>
    <row r="40" spans="2:14">
      <c r="B40" s="32"/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</row>
    <row r="41" spans="2:14">
      <c r="I41" s="50"/>
      <c r="J41" s="50"/>
      <c r="K41" s="50"/>
    </row>
    <row r="42" spans="2:14"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</row>
    <row r="43" spans="2:14">
      <c r="B43" s="50"/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</row>
    <row r="44" spans="2:14">
      <c r="B44" s="50"/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</row>
    <row r="45" spans="2:14">
      <c r="B45" s="56"/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</row>
    <row r="46" spans="2:14">
      <c r="B46" s="50"/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</row>
    <row r="47" spans="2:14">
      <c r="B47" s="50"/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</row>
    <row r="48" spans="2:14">
      <c r="B48" s="50"/>
      <c r="C48" s="50"/>
      <c r="D48" s="50"/>
      <c r="E48" s="50"/>
      <c r="F48" s="50"/>
      <c r="G48" s="50"/>
      <c r="H48" s="50"/>
      <c r="I48" s="50"/>
      <c r="J48" s="50"/>
      <c r="K48" s="50"/>
      <c r="L48" s="50"/>
      <c r="M48" s="50"/>
      <c r="N48" s="50"/>
    </row>
    <row r="49" spans="2:24">
      <c r="B49" s="50"/>
      <c r="C49" s="50"/>
      <c r="D49" s="50"/>
      <c r="E49" s="50"/>
      <c r="F49" s="50"/>
      <c r="G49" s="50"/>
      <c r="H49" s="50"/>
      <c r="I49" s="50"/>
      <c r="J49" s="50"/>
      <c r="K49" s="50"/>
      <c r="L49" s="50"/>
      <c r="M49" s="50"/>
      <c r="N49" s="50"/>
    </row>
    <row r="51" spans="2:24">
      <c r="P51" s="50"/>
      <c r="Q51" s="50"/>
      <c r="R51" s="50"/>
      <c r="S51" s="50"/>
      <c r="T51" s="50"/>
      <c r="U51" s="50"/>
      <c r="V51" s="50"/>
      <c r="W51" s="50"/>
      <c r="X51" s="50"/>
    </row>
    <row r="63" spans="2:24">
      <c r="I63" s="50"/>
      <c r="J63" s="50"/>
    </row>
    <row r="64" spans="2:24">
      <c r="I64" s="50"/>
      <c r="J64" s="50"/>
    </row>
    <row r="65" spans="9:10">
      <c r="I65" s="50"/>
      <c r="J65" s="50"/>
    </row>
  </sheetData>
  <phoneticPr fontId="0" type="noConversion"/>
  <dataValidations count="2">
    <dataValidation type="decimal" allowBlank="1" showInputMessage="1" showErrorMessage="1" errorTitle="Error" error="You must enter a number between 0 and 100 (inclusive)" promptTitle="Percentage" prompt="Enter a number between 0 and 100 (inclusive)" sqref="C6:G11 C19 E19 C27:G29">
      <formula1>0</formula1>
      <formula2>100</formula2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37:N39">
      <formula1>0</formula1>
      <formula2>100</formula2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B2:O41"/>
  <sheetViews>
    <sheetView showGridLines="0" workbookViewId="0"/>
  </sheetViews>
  <sheetFormatPr baseColWidth="10" defaultColWidth="8.83203125" defaultRowHeight="12" x14ac:dyDescent="0"/>
  <cols>
    <col min="1" max="2" width="4.6640625" style="29" customWidth="1" collapsed="1"/>
    <col min="3" max="3" width="12.6640625" style="29" customWidth="1" collapsed="1"/>
    <col min="4" max="15" width="8.6640625" style="29" customWidth="1" collapsed="1"/>
    <col min="16" max="16384" width="8.83203125" style="29" collapsed="1"/>
  </cols>
  <sheetData>
    <row r="2" spans="2:15">
      <c r="C2" s="28" t="s">
        <v>158</v>
      </c>
    </row>
    <row r="3" spans="2:15">
      <c r="C3" s="30" t="s">
        <v>138</v>
      </c>
    </row>
    <row r="4" spans="2:15">
      <c r="C4" s="57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</row>
    <row r="5" spans="2:15">
      <c r="B5" s="58" t="s">
        <v>125</v>
      </c>
      <c r="C5" s="59" t="s">
        <v>146</v>
      </c>
      <c r="D5" s="34" t="s">
        <v>92</v>
      </c>
      <c r="E5" s="34" t="s">
        <v>93</v>
      </c>
      <c r="F5" s="34" t="s">
        <v>94</v>
      </c>
      <c r="G5" s="34" t="s">
        <v>95</v>
      </c>
      <c r="H5" s="34" t="s">
        <v>96</v>
      </c>
      <c r="I5" s="34" t="s">
        <v>97</v>
      </c>
      <c r="J5" s="34" t="s">
        <v>98</v>
      </c>
      <c r="K5" s="34" t="s">
        <v>99</v>
      </c>
      <c r="L5" s="34" t="s">
        <v>100</v>
      </c>
      <c r="M5" s="34" t="s">
        <v>101</v>
      </c>
      <c r="N5" s="34" t="s">
        <v>102</v>
      </c>
      <c r="O5" s="35" t="s">
        <v>103</v>
      </c>
    </row>
    <row r="6" spans="2:15">
      <c r="C6" s="41" t="s">
        <v>126</v>
      </c>
      <c r="D6" s="89">
        <v>1.7</v>
      </c>
      <c r="E6" s="89">
        <v>1.7</v>
      </c>
      <c r="F6" s="89">
        <v>1.7</v>
      </c>
      <c r="G6" s="89">
        <v>1.7</v>
      </c>
      <c r="H6" s="89">
        <v>1.7</v>
      </c>
      <c r="I6" s="89">
        <v>1.7</v>
      </c>
      <c r="J6" s="89">
        <v>1.7</v>
      </c>
      <c r="K6" s="89">
        <v>1.7</v>
      </c>
      <c r="L6" s="89">
        <v>1.7</v>
      </c>
      <c r="M6" s="89">
        <v>1.7</v>
      </c>
      <c r="N6" s="89">
        <v>1.7</v>
      </c>
      <c r="O6" s="89">
        <v>1.7</v>
      </c>
    </row>
    <row r="7" spans="2:15">
      <c r="C7" s="36" t="s">
        <v>127</v>
      </c>
      <c r="D7" s="89">
        <v>2</v>
      </c>
      <c r="E7" s="89">
        <v>2</v>
      </c>
      <c r="F7" s="89">
        <v>2</v>
      </c>
      <c r="G7" s="89">
        <v>2</v>
      </c>
      <c r="H7" s="89">
        <v>2</v>
      </c>
      <c r="I7" s="89">
        <v>2</v>
      </c>
      <c r="J7" s="89">
        <v>2</v>
      </c>
      <c r="K7" s="89">
        <v>2</v>
      </c>
      <c r="L7" s="89">
        <v>2</v>
      </c>
      <c r="M7" s="89">
        <v>2</v>
      </c>
      <c r="N7" s="89">
        <v>2</v>
      </c>
      <c r="O7" s="89">
        <v>2</v>
      </c>
    </row>
    <row r="8" spans="2:15">
      <c r="C8" s="36" t="s">
        <v>128</v>
      </c>
      <c r="D8" s="89">
        <v>2.25</v>
      </c>
      <c r="E8" s="89">
        <v>2.25</v>
      </c>
      <c r="F8" s="89">
        <v>2.25</v>
      </c>
      <c r="G8" s="89">
        <v>2.25</v>
      </c>
      <c r="H8" s="89">
        <v>2.25</v>
      </c>
      <c r="I8" s="89">
        <v>2.25</v>
      </c>
      <c r="J8" s="89">
        <v>2.25</v>
      </c>
      <c r="K8" s="89">
        <v>2.25</v>
      </c>
      <c r="L8" s="89">
        <v>2.25</v>
      </c>
      <c r="M8" s="89">
        <v>2.25</v>
      </c>
      <c r="N8" s="89">
        <v>2.25</v>
      </c>
      <c r="O8" s="89">
        <v>2.25</v>
      </c>
    </row>
    <row r="9" spans="2:15">
      <c r="C9" s="36" t="s">
        <v>129</v>
      </c>
      <c r="D9" s="89">
        <v>2.25</v>
      </c>
      <c r="E9" s="89">
        <v>2.25</v>
      </c>
      <c r="F9" s="89">
        <v>2.25</v>
      </c>
      <c r="G9" s="89">
        <v>2.25</v>
      </c>
      <c r="H9" s="89">
        <v>2.25</v>
      </c>
      <c r="I9" s="89">
        <v>2.25</v>
      </c>
      <c r="J9" s="89">
        <v>2.25</v>
      </c>
      <c r="K9" s="89">
        <v>2.25</v>
      </c>
      <c r="L9" s="89">
        <v>2.25</v>
      </c>
      <c r="M9" s="89">
        <v>2.25</v>
      </c>
      <c r="N9" s="89">
        <v>2.25</v>
      </c>
      <c r="O9" s="89">
        <v>2.25</v>
      </c>
    </row>
    <row r="10" spans="2:15">
      <c r="C10" s="36" t="s">
        <v>130</v>
      </c>
      <c r="D10" s="89">
        <v>2.5</v>
      </c>
      <c r="E10" s="89">
        <v>2.5</v>
      </c>
      <c r="F10" s="89">
        <v>2.5</v>
      </c>
      <c r="G10" s="89">
        <v>2.5</v>
      </c>
      <c r="H10" s="89">
        <v>2.5</v>
      </c>
      <c r="I10" s="89">
        <v>2.5</v>
      </c>
      <c r="J10" s="89">
        <v>2.5</v>
      </c>
      <c r="K10" s="89">
        <v>2.5</v>
      </c>
      <c r="L10" s="89">
        <v>2.5</v>
      </c>
      <c r="M10" s="89">
        <v>2.5</v>
      </c>
      <c r="N10" s="89">
        <v>2.5</v>
      </c>
      <c r="O10" s="89">
        <v>2.5</v>
      </c>
    </row>
    <row r="11" spans="2:15">
      <c r="C11" s="36" t="s">
        <v>131</v>
      </c>
      <c r="D11" s="89">
        <v>2.6</v>
      </c>
      <c r="E11" s="89">
        <v>2.6</v>
      </c>
      <c r="F11" s="89">
        <v>2.6</v>
      </c>
      <c r="G11" s="89">
        <v>2.6</v>
      </c>
      <c r="H11" s="89">
        <v>2.6</v>
      </c>
      <c r="I11" s="89">
        <v>2.6</v>
      </c>
      <c r="J11" s="89">
        <v>2.6</v>
      </c>
      <c r="K11" s="89">
        <v>2.6</v>
      </c>
      <c r="L11" s="89">
        <v>2.6</v>
      </c>
      <c r="M11" s="89">
        <v>2.6</v>
      </c>
      <c r="N11" s="89">
        <v>2.6</v>
      </c>
      <c r="O11" s="89">
        <v>2.6</v>
      </c>
    </row>
    <row r="12" spans="2:15">
      <c r="C12" s="37" t="s">
        <v>132</v>
      </c>
      <c r="D12" s="89">
        <v>2.7</v>
      </c>
      <c r="E12" s="89">
        <v>2.7</v>
      </c>
      <c r="F12" s="89">
        <v>2.7</v>
      </c>
      <c r="G12" s="89">
        <v>2.7</v>
      </c>
      <c r="H12" s="89">
        <v>2.7</v>
      </c>
      <c r="I12" s="89">
        <v>2.7</v>
      </c>
      <c r="J12" s="89">
        <v>2.7</v>
      </c>
      <c r="K12" s="89">
        <v>2.7</v>
      </c>
      <c r="L12" s="89">
        <v>2.7</v>
      </c>
      <c r="M12" s="89">
        <v>2.7</v>
      </c>
      <c r="N12" s="89">
        <v>2.7</v>
      </c>
      <c r="O12" s="89">
        <v>2.7</v>
      </c>
    </row>
    <row r="13" spans="2:15">
      <c r="C13" s="57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</row>
    <row r="14" spans="2:15">
      <c r="B14" s="58" t="s">
        <v>133</v>
      </c>
      <c r="C14" s="59" t="s">
        <v>146</v>
      </c>
      <c r="D14" s="34" t="s">
        <v>92</v>
      </c>
      <c r="E14" s="34" t="s">
        <v>93</v>
      </c>
      <c r="F14" s="34" t="s">
        <v>94</v>
      </c>
      <c r="G14" s="34" t="s">
        <v>95</v>
      </c>
      <c r="H14" s="34" t="s">
        <v>96</v>
      </c>
      <c r="I14" s="34" t="s">
        <v>97</v>
      </c>
      <c r="J14" s="34" t="s">
        <v>98</v>
      </c>
      <c r="K14" s="34" t="s">
        <v>99</v>
      </c>
      <c r="L14" s="34" t="s">
        <v>100</v>
      </c>
      <c r="M14" s="34" t="s">
        <v>101</v>
      </c>
      <c r="N14" s="34" t="s">
        <v>102</v>
      </c>
      <c r="O14" s="35" t="s">
        <v>103</v>
      </c>
    </row>
    <row r="15" spans="2:15">
      <c r="C15" s="41" t="s">
        <v>126</v>
      </c>
      <c r="D15" s="89">
        <v>3.5</v>
      </c>
      <c r="E15" s="89">
        <v>3.5</v>
      </c>
      <c r="F15" s="89">
        <v>3.5</v>
      </c>
      <c r="G15" s="89">
        <v>3.5</v>
      </c>
      <c r="H15" s="89">
        <v>3.5</v>
      </c>
      <c r="I15" s="89">
        <v>3.5</v>
      </c>
      <c r="J15" s="89">
        <v>3.5</v>
      </c>
      <c r="K15" s="89">
        <v>3.5</v>
      </c>
      <c r="L15" s="89">
        <v>3.5</v>
      </c>
      <c r="M15" s="89">
        <v>3.5</v>
      </c>
      <c r="N15" s="89">
        <v>3.5</v>
      </c>
      <c r="O15" s="89">
        <v>3.5</v>
      </c>
    </row>
    <row r="16" spans="2:15">
      <c r="C16" s="36" t="s">
        <v>127</v>
      </c>
      <c r="D16" s="89">
        <v>3.5</v>
      </c>
      <c r="E16" s="89">
        <v>3.5</v>
      </c>
      <c r="F16" s="89">
        <v>3.5</v>
      </c>
      <c r="G16" s="89">
        <v>3.5</v>
      </c>
      <c r="H16" s="89">
        <v>3.5</v>
      </c>
      <c r="I16" s="89">
        <v>3.5</v>
      </c>
      <c r="J16" s="89">
        <v>3.5</v>
      </c>
      <c r="K16" s="89">
        <v>3.5</v>
      </c>
      <c r="L16" s="89">
        <v>3.5</v>
      </c>
      <c r="M16" s="89">
        <v>3.5</v>
      </c>
      <c r="N16" s="89">
        <v>3.5</v>
      </c>
      <c r="O16" s="89">
        <v>3.5</v>
      </c>
    </row>
    <row r="17" spans="2:15">
      <c r="C17" s="36" t="s">
        <v>128</v>
      </c>
      <c r="D17" s="89">
        <v>3.5</v>
      </c>
      <c r="E17" s="89">
        <v>3.5</v>
      </c>
      <c r="F17" s="89">
        <v>3.5</v>
      </c>
      <c r="G17" s="89">
        <v>3.5</v>
      </c>
      <c r="H17" s="89">
        <v>3.5</v>
      </c>
      <c r="I17" s="89">
        <v>3.5</v>
      </c>
      <c r="J17" s="89">
        <v>3.5</v>
      </c>
      <c r="K17" s="89">
        <v>3.5</v>
      </c>
      <c r="L17" s="89">
        <v>3.5</v>
      </c>
      <c r="M17" s="89">
        <v>3.5</v>
      </c>
      <c r="N17" s="89">
        <v>3.5</v>
      </c>
      <c r="O17" s="89">
        <v>3.5</v>
      </c>
    </row>
    <row r="18" spans="2:15">
      <c r="C18" s="36" t="s">
        <v>129</v>
      </c>
      <c r="D18" s="89">
        <v>3.5</v>
      </c>
      <c r="E18" s="89">
        <v>3.5</v>
      </c>
      <c r="F18" s="89">
        <v>3.5</v>
      </c>
      <c r="G18" s="89">
        <v>3.5</v>
      </c>
      <c r="H18" s="89">
        <v>3.5</v>
      </c>
      <c r="I18" s="89">
        <v>3.5</v>
      </c>
      <c r="J18" s="89">
        <v>3.5</v>
      </c>
      <c r="K18" s="89">
        <v>3.5</v>
      </c>
      <c r="L18" s="89">
        <v>3.5</v>
      </c>
      <c r="M18" s="89">
        <v>3.5</v>
      </c>
      <c r="N18" s="89">
        <v>3.5</v>
      </c>
      <c r="O18" s="89">
        <v>3.5</v>
      </c>
    </row>
    <row r="19" spans="2:15">
      <c r="C19" s="36" t="s">
        <v>130</v>
      </c>
      <c r="D19" s="89">
        <v>3.5</v>
      </c>
      <c r="E19" s="89">
        <v>3.5</v>
      </c>
      <c r="F19" s="89">
        <v>3.5</v>
      </c>
      <c r="G19" s="89">
        <v>3.5</v>
      </c>
      <c r="H19" s="89">
        <v>3.5</v>
      </c>
      <c r="I19" s="89">
        <v>3.5</v>
      </c>
      <c r="J19" s="89">
        <v>3.5</v>
      </c>
      <c r="K19" s="89">
        <v>3.5</v>
      </c>
      <c r="L19" s="89">
        <v>3.5</v>
      </c>
      <c r="M19" s="89">
        <v>3.5</v>
      </c>
      <c r="N19" s="89">
        <v>3.5</v>
      </c>
      <c r="O19" s="89">
        <v>3.5</v>
      </c>
    </row>
    <row r="20" spans="2:15">
      <c r="C20" s="36" t="s">
        <v>131</v>
      </c>
      <c r="D20" s="89">
        <v>3.5</v>
      </c>
      <c r="E20" s="89">
        <v>3.5</v>
      </c>
      <c r="F20" s="89">
        <v>3.5</v>
      </c>
      <c r="G20" s="89">
        <v>3.5</v>
      </c>
      <c r="H20" s="89">
        <v>3.5</v>
      </c>
      <c r="I20" s="89">
        <v>3.5</v>
      </c>
      <c r="J20" s="89">
        <v>3.5</v>
      </c>
      <c r="K20" s="89">
        <v>3.5</v>
      </c>
      <c r="L20" s="89">
        <v>3.5</v>
      </c>
      <c r="M20" s="89">
        <v>3.5</v>
      </c>
      <c r="N20" s="89">
        <v>3.5</v>
      </c>
      <c r="O20" s="89">
        <v>3.5</v>
      </c>
    </row>
    <row r="21" spans="2:15">
      <c r="C21" s="37" t="s">
        <v>132</v>
      </c>
      <c r="D21" s="89">
        <v>3.5</v>
      </c>
      <c r="E21" s="89">
        <v>3.5</v>
      </c>
      <c r="F21" s="89">
        <v>3.5</v>
      </c>
      <c r="G21" s="89">
        <v>3.5</v>
      </c>
      <c r="H21" s="89">
        <v>3.5</v>
      </c>
      <c r="I21" s="89">
        <v>3.5</v>
      </c>
      <c r="J21" s="89">
        <v>3.5</v>
      </c>
      <c r="K21" s="89">
        <v>3.5</v>
      </c>
      <c r="L21" s="89">
        <v>3.5</v>
      </c>
      <c r="M21" s="89">
        <v>3.5</v>
      </c>
      <c r="N21" s="89">
        <v>3.5</v>
      </c>
      <c r="O21" s="89">
        <v>3.5</v>
      </c>
    </row>
    <row r="22" spans="2:15">
      <c r="C22" s="57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</row>
    <row r="23" spans="2:15">
      <c r="B23" s="58" t="s">
        <v>134</v>
      </c>
      <c r="C23" s="59" t="s">
        <v>146</v>
      </c>
      <c r="D23" s="34" t="s">
        <v>92</v>
      </c>
      <c r="E23" s="34" t="s">
        <v>93</v>
      </c>
      <c r="F23" s="34" t="s">
        <v>94</v>
      </c>
      <c r="G23" s="34" t="s">
        <v>95</v>
      </c>
      <c r="H23" s="34" t="s">
        <v>96</v>
      </c>
      <c r="I23" s="34" t="s">
        <v>97</v>
      </c>
      <c r="J23" s="34" t="s">
        <v>98</v>
      </c>
      <c r="K23" s="34" t="s">
        <v>99</v>
      </c>
      <c r="L23" s="34" t="s">
        <v>100</v>
      </c>
      <c r="M23" s="34" t="s">
        <v>101</v>
      </c>
      <c r="N23" s="34" t="s">
        <v>102</v>
      </c>
      <c r="O23" s="35" t="s">
        <v>103</v>
      </c>
    </row>
    <row r="24" spans="2:15">
      <c r="C24" s="41" t="s">
        <v>126</v>
      </c>
      <c r="D24" s="89">
        <v>3.8</v>
      </c>
      <c r="E24" s="89">
        <v>3.8</v>
      </c>
      <c r="F24" s="89">
        <v>3.8</v>
      </c>
      <c r="G24" s="89">
        <v>3.8</v>
      </c>
      <c r="H24" s="89">
        <v>3.8</v>
      </c>
      <c r="I24" s="89">
        <v>3.8</v>
      </c>
      <c r="J24" s="89">
        <v>3.8</v>
      </c>
      <c r="K24" s="89">
        <v>3.8</v>
      </c>
      <c r="L24" s="89">
        <v>3.8</v>
      </c>
      <c r="M24" s="89">
        <v>3.8</v>
      </c>
      <c r="N24" s="89">
        <v>3.8</v>
      </c>
      <c r="O24" s="89">
        <v>3.8</v>
      </c>
    </row>
    <row r="25" spans="2:15">
      <c r="C25" s="36" t="s">
        <v>127</v>
      </c>
      <c r="D25" s="89">
        <v>3.8</v>
      </c>
      <c r="E25" s="89">
        <v>3.8</v>
      </c>
      <c r="F25" s="89">
        <v>3.8</v>
      </c>
      <c r="G25" s="89">
        <v>3.8</v>
      </c>
      <c r="H25" s="89">
        <v>3.8</v>
      </c>
      <c r="I25" s="89">
        <v>3.8</v>
      </c>
      <c r="J25" s="89">
        <v>3.8</v>
      </c>
      <c r="K25" s="89">
        <v>3.8</v>
      </c>
      <c r="L25" s="89">
        <v>3.8</v>
      </c>
      <c r="M25" s="89">
        <v>3.8</v>
      </c>
      <c r="N25" s="89">
        <v>3.8</v>
      </c>
      <c r="O25" s="89">
        <v>3.8</v>
      </c>
    </row>
    <row r="26" spans="2:15">
      <c r="C26" s="36" t="s">
        <v>128</v>
      </c>
      <c r="D26" s="89">
        <v>3.8</v>
      </c>
      <c r="E26" s="89">
        <v>3.8</v>
      </c>
      <c r="F26" s="89">
        <v>3.8</v>
      </c>
      <c r="G26" s="89">
        <v>3.8</v>
      </c>
      <c r="H26" s="89">
        <v>3.8</v>
      </c>
      <c r="I26" s="89">
        <v>3.8</v>
      </c>
      <c r="J26" s="89">
        <v>3.8</v>
      </c>
      <c r="K26" s="89">
        <v>3.8</v>
      </c>
      <c r="L26" s="89">
        <v>3.8</v>
      </c>
      <c r="M26" s="89">
        <v>3.8</v>
      </c>
      <c r="N26" s="89">
        <v>3.8</v>
      </c>
      <c r="O26" s="89">
        <v>3.8</v>
      </c>
    </row>
    <row r="27" spans="2:15">
      <c r="C27" s="36" t="s">
        <v>129</v>
      </c>
      <c r="D27" s="89">
        <v>3.8</v>
      </c>
      <c r="E27" s="89">
        <v>3.8</v>
      </c>
      <c r="F27" s="89">
        <v>3.8</v>
      </c>
      <c r="G27" s="89">
        <v>3.8</v>
      </c>
      <c r="H27" s="89">
        <v>3.8</v>
      </c>
      <c r="I27" s="89">
        <v>3.8</v>
      </c>
      <c r="J27" s="89">
        <v>3.8</v>
      </c>
      <c r="K27" s="89">
        <v>3.8</v>
      </c>
      <c r="L27" s="89">
        <v>3.8</v>
      </c>
      <c r="M27" s="89">
        <v>3.8</v>
      </c>
      <c r="N27" s="89">
        <v>3.8</v>
      </c>
      <c r="O27" s="89">
        <v>3.8</v>
      </c>
    </row>
    <row r="28" spans="2:15">
      <c r="C28" s="36" t="s">
        <v>130</v>
      </c>
      <c r="D28" s="89">
        <v>3.8</v>
      </c>
      <c r="E28" s="89">
        <v>3.8</v>
      </c>
      <c r="F28" s="89">
        <v>3.8</v>
      </c>
      <c r="G28" s="89">
        <v>3.8</v>
      </c>
      <c r="H28" s="89">
        <v>3.8</v>
      </c>
      <c r="I28" s="89">
        <v>3.8</v>
      </c>
      <c r="J28" s="89">
        <v>3.8</v>
      </c>
      <c r="K28" s="89">
        <v>3.8</v>
      </c>
      <c r="L28" s="89">
        <v>3.8</v>
      </c>
      <c r="M28" s="89">
        <v>3.8</v>
      </c>
      <c r="N28" s="89">
        <v>3.8</v>
      </c>
      <c r="O28" s="89">
        <v>3.8</v>
      </c>
    </row>
    <row r="29" spans="2:15">
      <c r="C29" s="36" t="s">
        <v>131</v>
      </c>
      <c r="D29" s="89">
        <v>3.8</v>
      </c>
      <c r="E29" s="89">
        <v>3.8</v>
      </c>
      <c r="F29" s="89">
        <v>3.8</v>
      </c>
      <c r="G29" s="89">
        <v>3.8</v>
      </c>
      <c r="H29" s="89">
        <v>3.8</v>
      </c>
      <c r="I29" s="89">
        <v>3.8</v>
      </c>
      <c r="J29" s="89">
        <v>3.8</v>
      </c>
      <c r="K29" s="89">
        <v>3.8</v>
      </c>
      <c r="L29" s="89">
        <v>3.8</v>
      </c>
      <c r="M29" s="89">
        <v>3.8</v>
      </c>
      <c r="N29" s="89">
        <v>3.8</v>
      </c>
      <c r="O29" s="89">
        <v>3.8</v>
      </c>
    </row>
    <row r="30" spans="2:15">
      <c r="C30" s="37" t="s">
        <v>132</v>
      </c>
      <c r="D30" s="89">
        <v>3.8</v>
      </c>
      <c r="E30" s="89">
        <v>3.8</v>
      </c>
      <c r="F30" s="89">
        <v>3.8</v>
      </c>
      <c r="G30" s="89">
        <v>3.8</v>
      </c>
      <c r="H30" s="89">
        <v>3.8</v>
      </c>
      <c r="I30" s="89">
        <v>3.8</v>
      </c>
      <c r="J30" s="89">
        <v>3.8</v>
      </c>
      <c r="K30" s="89">
        <v>3.8</v>
      </c>
      <c r="L30" s="89">
        <v>3.8</v>
      </c>
      <c r="M30" s="89">
        <v>3.8</v>
      </c>
      <c r="N30" s="89">
        <v>3.8</v>
      </c>
      <c r="O30" s="89">
        <v>3.8</v>
      </c>
    </row>
    <row r="31" spans="2:15">
      <c r="C31" s="57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</row>
    <row r="32" spans="2:15">
      <c r="B32" s="58" t="s">
        <v>123</v>
      </c>
      <c r="C32" s="59" t="s">
        <v>146</v>
      </c>
      <c r="D32" s="34" t="s">
        <v>92</v>
      </c>
      <c r="E32" s="34" t="s">
        <v>93</v>
      </c>
      <c r="F32" s="34" t="s">
        <v>94</v>
      </c>
      <c r="G32" s="34" t="s">
        <v>95</v>
      </c>
      <c r="H32" s="34" t="s">
        <v>96</v>
      </c>
      <c r="I32" s="34" t="s">
        <v>97</v>
      </c>
      <c r="J32" s="34" t="s">
        <v>98</v>
      </c>
      <c r="K32" s="34" t="s">
        <v>99</v>
      </c>
      <c r="L32" s="34" t="s">
        <v>100</v>
      </c>
      <c r="M32" s="34" t="s">
        <v>101</v>
      </c>
      <c r="N32" s="34" t="s">
        <v>102</v>
      </c>
      <c r="O32" s="35" t="s">
        <v>103</v>
      </c>
    </row>
    <row r="33" spans="3:15">
      <c r="C33" s="41" t="s">
        <v>126</v>
      </c>
      <c r="D33" s="89">
        <v>2.7</v>
      </c>
      <c r="E33" s="89">
        <v>2.7</v>
      </c>
      <c r="F33" s="89">
        <v>2.7</v>
      </c>
      <c r="G33" s="89">
        <v>2.7</v>
      </c>
      <c r="H33" s="89">
        <v>2.7</v>
      </c>
      <c r="I33" s="89">
        <v>2.7</v>
      </c>
      <c r="J33" s="89">
        <v>2.7</v>
      </c>
      <c r="K33" s="89">
        <v>2.7</v>
      </c>
      <c r="L33" s="89">
        <v>2.7</v>
      </c>
      <c r="M33" s="89">
        <v>2.7</v>
      </c>
      <c r="N33" s="89">
        <v>2.7</v>
      </c>
      <c r="O33" s="89">
        <v>2.7</v>
      </c>
    </row>
    <row r="34" spans="3:15">
      <c r="C34" s="36" t="s">
        <v>127</v>
      </c>
      <c r="D34" s="89">
        <v>2.4</v>
      </c>
      <c r="E34" s="89">
        <v>2.4</v>
      </c>
      <c r="F34" s="89">
        <v>2.4</v>
      </c>
      <c r="G34" s="89">
        <v>2.4</v>
      </c>
      <c r="H34" s="89">
        <v>2.4</v>
      </c>
      <c r="I34" s="89">
        <v>2.4</v>
      </c>
      <c r="J34" s="89">
        <v>2.4</v>
      </c>
      <c r="K34" s="89">
        <v>2.4</v>
      </c>
      <c r="L34" s="89">
        <v>2.4</v>
      </c>
      <c r="M34" s="89">
        <v>2.4</v>
      </c>
      <c r="N34" s="89">
        <v>2.4</v>
      </c>
      <c r="O34" s="89">
        <v>2.4</v>
      </c>
    </row>
    <row r="35" spans="3:15">
      <c r="C35" s="36" t="s">
        <v>128</v>
      </c>
      <c r="D35" s="89">
        <v>2.2999999999999998</v>
      </c>
      <c r="E35" s="89">
        <v>2.2999999999999998</v>
      </c>
      <c r="F35" s="89">
        <v>2.2999999999999998</v>
      </c>
      <c r="G35" s="89">
        <v>2.2999999999999998</v>
      </c>
      <c r="H35" s="89">
        <v>2.2999999999999998</v>
      </c>
      <c r="I35" s="89">
        <v>2.2999999999999998</v>
      </c>
      <c r="J35" s="89">
        <v>2.2999999999999998</v>
      </c>
      <c r="K35" s="89">
        <v>2.2999999999999998</v>
      </c>
      <c r="L35" s="89">
        <v>2.2999999999999998</v>
      </c>
      <c r="M35" s="89">
        <v>2.2999999999999998</v>
      </c>
      <c r="N35" s="89">
        <v>2.2999999999999998</v>
      </c>
      <c r="O35" s="89">
        <v>2.2999999999999998</v>
      </c>
    </row>
    <row r="36" spans="3:15">
      <c r="C36" s="36" t="s">
        <v>129</v>
      </c>
      <c r="D36" s="89">
        <v>2.5</v>
      </c>
      <c r="E36" s="89">
        <v>2.5</v>
      </c>
      <c r="F36" s="89">
        <v>2.5</v>
      </c>
      <c r="G36" s="89">
        <v>2.5</v>
      </c>
      <c r="H36" s="89">
        <v>2.5</v>
      </c>
      <c r="I36" s="89">
        <v>2.5</v>
      </c>
      <c r="J36" s="89">
        <v>2.5</v>
      </c>
      <c r="K36" s="89">
        <v>2.5</v>
      </c>
      <c r="L36" s="89">
        <v>2.5</v>
      </c>
      <c r="M36" s="89">
        <v>2.5</v>
      </c>
      <c r="N36" s="89">
        <v>2.5</v>
      </c>
      <c r="O36" s="89">
        <v>2.5</v>
      </c>
    </row>
    <row r="37" spans="3:15">
      <c r="C37" s="36" t="s">
        <v>130</v>
      </c>
      <c r="D37" s="89">
        <v>2.6</v>
      </c>
      <c r="E37" s="89">
        <v>2.6</v>
      </c>
      <c r="F37" s="89">
        <v>2.6</v>
      </c>
      <c r="G37" s="89">
        <v>2.6</v>
      </c>
      <c r="H37" s="89">
        <v>2.6</v>
      </c>
      <c r="I37" s="89">
        <v>2.6</v>
      </c>
      <c r="J37" s="89">
        <v>2.6</v>
      </c>
      <c r="K37" s="89">
        <v>2.6</v>
      </c>
      <c r="L37" s="89">
        <v>2.6</v>
      </c>
      <c r="M37" s="89">
        <v>2.6</v>
      </c>
      <c r="N37" s="89">
        <v>2.6</v>
      </c>
      <c r="O37" s="89">
        <v>2.6</v>
      </c>
    </row>
    <row r="38" spans="3:15">
      <c r="C38" s="36" t="s">
        <v>131</v>
      </c>
      <c r="D38" s="89">
        <v>2.8</v>
      </c>
      <c r="E38" s="89">
        <v>2.8</v>
      </c>
      <c r="F38" s="89">
        <v>2.8</v>
      </c>
      <c r="G38" s="89">
        <v>2.8</v>
      </c>
      <c r="H38" s="89">
        <v>2.8</v>
      </c>
      <c r="I38" s="89">
        <v>2.8</v>
      </c>
      <c r="J38" s="89">
        <v>2.8</v>
      </c>
      <c r="K38" s="89">
        <v>2.8</v>
      </c>
      <c r="L38" s="89">
        <v>2.8</v>
      </c>
      <c r="M38" s="89">
        <v>2.8</v>
      </c>
      <c r="N38" s="89">
        <v>2.8</v>
      </c>
      <c r="O38" s="89">
        <v>2.8</v>
      </c>
    </row>
    <row r="39" spans="3:15">
      <c r="C39" s="37" t="s">
        <v>132</v>
      </c>
      <c r="D39" s="89">
        <v>2.6</v>
      </c>
      <c r="E39" s="89">
        <v>2.6</v>
      </c>
      <c r="F39" s="89">
        <v>2.6</v>
      </c>
      <c r="G39" s="89">
        <v>2.6</v>
      </c>
      <c r="H39" s="89">
        <v>2.6</v>
      </c>
      <c r="I39" s="89">
        <v>2.6</v>
      </c>
      <c r="J39" s="89">
        <v>2.6</v>
      </c>
      <c r="K39" s="89">
        <v>2.6</v>
      </c>
      <c r="L39" s="89">
        <v>2.6</v>
      </c>
      <c r="M39" s="89">
        <v>2.6</v>
      </c>
      <c r="N39" s="89">
        <v>2.6</v>
      </c>
      <c r="O39" s="89">
        <v>2.6</v>
      </c>
    </row>
    <row r="40" spans="3:15"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</row>
    <row r="41" spans="3:15"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</row>
  </sheetData>
  <phoneticPr fontId="0" type="noConversion"/>
  <dataValidations count="1">
    <dataValidation type="decimal" allowBlank="1" showInputMessage="1" showErrorMessage="1" errorTitle="Error" error="You must enter a number between 0 and 4 (inclusive)" promptTitle="Pricing" prompt="Enter a number between 0 and 4 (inclusive)" sqref="D6:O12 D15:O21 D24:O30 D33:O39">
      <formula1>0</formula1>
      <formula2>4</formula2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350"/>
  <sheetViews>
    <sheetView showGridLines="0" tabSelected="1" workbookViewId="0"/>
  </sheetViews>
  <sheetFormatPr baseColWidth="10" defaultColWidth="8.83203125" defaultRowHeight="12" x14ac:dyDescent="0"/>
  <cols>
    <col min="1" max="1" width="4.6640625" style="100" customWidth="1"/>
    <col min="2" max="6" width="8.83203125" style="100"/>
    <col min="7" max="7" width="2.6640625" style="100" customWidth="1"/>
    <col min="8" max="8" width="11.1640625" style="100" customWidth="1"/>
    <col min="9" max="10" width="8.83203125" style="100"/>
    <col min="11" max="12" width="4.6640625" style="100" customWidth="1"/>
    <col min="13" max="17" width="8.83203125" style="100"/>
    <col min="18" max="18" width="2.6640625" style="100" customWidth="1"/>
    <col min="19" max="19" width="14.6640625" style="100" customWidth="1"/>
    <col min="20" max="20" width="16.6640625" style="100" customWidth="1"/>
    <col min="21" max="21" width="4.6640625" style="100" customWidth="1"/>
    <col min="22" max="16384" width="8.83203125" style="100"/>
  </cols>
  <sheetData>
    <row r="1" spans="1:20">
      <c r="A1" s="179"/>
    </row>
    <row r="2" spans="1:20" ht="15">
      <c r="C2" s="207" t="s">
        <v>165</v>
      </c>
      <c r="D2" s="207"/>
      <c r="E2" s="207"/>
      <c r="F2" s="207"/>
      <c r="G2" s="207"/>
      <c r="H2" s="207"/>
    </row>
    <row r="3" spans="1:20" ht="15">
      <c r="C3" s="180" t="s">
        <v>413</v>
      </c>
      <c r="D3" s="180"/>
      <c r="E3" s="180"/>
      <c r="F3" s="180"/>
      <c r="G3" s="180"/>
    </row>
    <row r="5" spans="1:20" ht="15">
      <c r="A5" s="181" t="s">
        <v>352</v>
      </c>
      <c r="B5" s="182"/>
      <c r="G5" s="183"/>
      <c r="L5" s="181" t="s">
        <v>353</v>
      </c>
      <c r="M5" s="182"/>
      <c r="R5" s="183"/>
    </row>
    <row r="6" spans="1:20">
      <c r="A6" s="184" t="s">
        <v>354</v>
      </c>
      <c r="B6" s="182"/>
      <c r="G6" s="185"/>
      <c r="H6" s="110"/>
      <c r="L6" s="184" t="s">
        <v>355</v>
      </c>
      <c r="M6" s="182"/>
      <c r="S6" s="125"/>
    </row>
    <row r="7" spans="1:20">
      <c r="A7" s="182"/>
      <c r="B7" s="182" t="s">
        <v>356</v>
      </c>
      <c r="G7" s="185"/>
      <c r="H7" s="186">
        <f>SUM(ORA!$D$116:$O$116)</f>
        <v>67432.490438252513</v>
      </c>
      <c r="L7" s="182"/>
      <c r="M7" s="182" t="s">
        <v>356</v>
      </c>
      <c r="S7" s="187">
        <f>SUM(ORA!$D$127:$O$127)</f>
        <v>287905168.25647855</v>
      </c>
    </row>
    <row r="8" spans="1:20">
      <c r="A8" s="182"/>
      <c r="B8" s="182" t="s">
        <v>357</v>
      </c>
      <c r="G8" s="185"/>
      <c r="H8" s="188">
        <f>SUM(POJ!$D$116:$O$116)</f>
        <v>42635.643045751967</v>
      </c>
      <c r="L8" s="182"/>
      <c r="M8" s="182" t="s">
        <v>357</v>
      </c>
      <c r="S8" s="189">
        <f>SUM(POJ!$D$127:$O$127)</f>
        <v>298449501.32026374</v>
      </c>
    </row>
    <row r="9" spans="1:20">
      <c r="A9" s="182"/>
      <c r="B9" s="182" t="s">
        <v>358</v>
      </c>
      <c r="G9" s="185"/>
      <c r="H9" s="188">
        <f>SUM(ROJ!$D$116:$O$116)</f>
        <v>25370.28379660994</v>
      </c>
      <c r="L9" s="182"/>
      <c r="M9" s="182" t="s">
        <v>358</v>
      </c>
      <c r="S9" s="189">
        <f>SUM(ROJ!$D$127:$O$127)</f>
        <v>192814156.8542355</v>
      </c>
    </row>
    <row r="10" spans="1:20">
      <c r="A10" s="182"/>
      <c r="B10" s="182" t="s">
        <v>359</v>
      </c>
      <c r="G10" s="185"/>
      <c r="H10" s="190">
        <f>SUM(FCOJ!$D$116:$O$116)</f>
        <v>33499.492442779476</v>
      </c>
      <c r="L10" s="182"/>
      <c r="M10" s="182" t="s">
        <v>359</v>
      </c>
      <c r="S10" s="191">
        <f>SUM(FCOJ!$D$127:$O$127)</f>
        <v>167991994.06318724</v>
      </c>
    </row>
    <row r="11" spans="1:20">
      <c r="A11" s="182"/>
      <c r="B11" s="182"/>
      <c r="G11" s="185"/>
      <c r="M11" s="182" t="s">
        <v>360</v>
      </c>
      <c r="T11" s="192">
        <f>SUM($S$7:$S$10)</f>
        <v>947160820.49416506</v>
      </c>
    </row>
    <row r="12" spans="1:20">
      <c r="A12" s="184" t="s">
        <v>361</v>
      </c>
      <c r="B12" s="182"/>
      <c r="G12" s="185"/>
    </row>
    <row r="13" spans="1:20">
      <c r="A13" s="182"/>
      <c r="B13" s="182" t="s">
        <v>362</v>
      </c>
      <c r="G13" s="185"/>
      <c r="H13" s="193">
        <f>SUM(grove!$C$48:$AX$53)</f>
        <v>136620.82153109915</v>
      </c>
      <c r="L13" s="184" t="s">
        <v>363</v>
      </c>
      <c r="M13" s="182"/>
    </row>
    <row r="14" spans="1:20">
      <c r="A14" s="182"/>
      <c r="B14" s="182" t="s">
        <v>364</v>
      </c>
      <c r="G14" s="185"/>
      <c r="H14" s="186">
        <f>raw_materials!$P$30</f>
        <v>3063.4759889293609</v>
      </c>
      <c r="L14" s="182"/>
      <c r="M14" s="182" t="s">
        <v>365</v>
      </c>
      <c r="S14" s="187">
        <f>SUM(grove!$C$58:$AX$63)</f>
        <v>181995700.25632682</v>
      </c>
    </row>
    <row r="15" spans="1:20">
      <c r="A15" s="182"/>
      <c r="B15" s="182" t="s">
        <v>366</v>
      </c>
      <c r="G15" s="185"/>
      <c r="H15" s="190">
        <f>raw_materials!$P$36</f>
        <v>36265.472381387954</v>
      </c>
      <c r="L15" s="182"/>
      <c r="M15" s="182" t="s">
        <v>367</v>
      </c>
      <c r="S15" s="189">
        <f>(raw_materials!D30*raw_materials!E30+raw_materials!F30*raw_materials!G30+raw_materials!H30*raw_materials!I30+raw_materials!J30*raw_materials!K30+raw_materials!L30*raw_materials!M30)*2000</f>
        <v>4447251.4805543572</v>
      </c>
    </row>
    <row r="16" spans="1:20">
      <c r="A16" s="182"/>
      <c r="B16" s="182" t="s">
        <v>368</v>
      </c>
      <c r="G16" s="185"/>
      <c r="H16" s="194">
        <v>43909.722420111022</v>
      </c>
      <c r="L16" s="182"/>
      <c r="M16" s="182" t="s">
        <v>369</v>
      </c>
      <c r="S16" s="189">
        <f>(raw_materials!D36*raw_materials!E36+raw_materials!F36*raw_materials!G36+raw_materials!H36*raw_materials!I36+raw_materials!J36*raw_materials!K36+raw_materials!L36*raw_materials!M36)*2000</f>
        <v>68004093.578712299</v>
      </c>
    </row>
    <row r="17" spans="1:21">
      <c r="A17" s="182"/>
      <c r="B17" s="182" t="s">
        <v>370</v>
      </c>
      <c r="G17" s="185"/>
      <c r="H17" s="195">
        <v>23385.052922671377</v>
      </c>
      <c r="L17" s="182"/>
      <c r="M17" s="182" t="s">
        <v>371</v>
      </c>
      <c r="S17" s="189">
        <v>25416135.908084415</v>
      </c>
    </row>
    <row r="18" spans="1:21">
      <c r="A18" s="182"/>
      <c r="B18" s="182" t="s">
        <v>372</v>
      </c>
      <c r="G18" s="185"/>
      <c r="H18" s="196">
        <v>25402.820927312161</v>
      </c>
      <c r="L18" s="182"/>
      <c r="M18" s="182" t="s">
        <v>373</v>
      </c>
      <c r="S18" s="191">
        <v>11553736.555374151</v>
      </c>
    </row>
    <row r="19" spans="1:21">
      <c r="A19" s="182"/>
      <c r="B19" s="182" t="s">
        <v>374</v>
      </c>
      <c r="G19" s="185"/>
      <c r="H19" s="195">
        <v>725.05877846309068</v>
      </c>
      <c r="L19" s="182"/>
      <c r="M19" s="182" t="s">
        <v>375</v>
      </c>
      <c r="S19" s="197" t="s">
        <v>376</v>
      </c>
      <c r="T19" s="198">
        <f>SUM($S$14:$S$18)</f>
        <v>291416917.77905202</v>
      </c>
      <c r="U19" s="100" t="s">
        <v>377</v>
      </c>
    </row>
    <row r="20" spans="1:21">
      <c r="A20" s="182"/>
      <c r="B20" s="182" t="s">
        <v>378</v>
      </c>
      <c r="G20" s="185"/>
      <c r="H20" s="190">
        <v>3499.4178713299175</v>
      </c>
      <c r="L20" s="182"/>
      <c r="M20" s="182"/>
    </row>
    <row r="21" spans="1:21">
      <c r="A21" s="182"/>
      <c r="B21" s="182"/>
      <c r="G21" s="185"/>
      <c r="L21" s="184" t="s">
        <v>379</v>
      </c>
      <c r="M21" s="182"/>
      <c r="S21" s="125"/>
    </row>
    <row r="22" spans="1:21">
      <c r="A22" s="184" t="s">
        <v>380</v>
      </c>
      <c r="B22" s="182"/>
      <c r="G22" s="185"/>
      <c r="L22" s="182"/>
      <c r="M22" s="182" t="s">
        <v>381</v>
      </c>
      <c r="S22" s="189">
        <v>87819444.840222016</v>
      </c>
    </row>
    <row r="23" spans="1:21">
      <c r="A23" s="182"/>
      <c r="B23" s="182" t="s">
        <v>382</v>
      </c>
      <c r="G23" s="185"/>
      <c r="H23" s="186">
        <f>SUM(raw_materials!$O$31:$O$35)</f>
        <v>4.3752977094977981</v>
      </c>
      <c r="L23" s="182"/>
      <c r="M23" s="182" t="s">
        <v>383</v>
      </c>
      <c r="S23" s="189">
        <v>23385052.92267137</v>
      </c>
    </row>
    <row r="24" spans="1:21">
      <c r="A24" s="182"/>
      <c r="B24" s="182" t="s">
        <v>384</v>
      </c>
      <c r="G24" s="185"/>
      <c r="H24" s="190">
        <f>SUM(raw_materials!$O$37:$O$41)</f>
        <v>4.9662768492572091</v>
      </c>
      <c r="L24" s="182"/>
      <c r="M24" s="182" t="s">
        <v>385</v>
      </c>
      <c r="S24" s="191">
        <v>16511833.602752905</v>
      </c>
    </row>
    <row r="25" spans="1:21">
      <c r="A25" s="182"/>
      <c r="B25" s="182"/>
      <c r="G25" s="185"/>
      <c r="L25" s="182"/>
      <c r="M25" s="182" t="s">
        <v>386</v>
      </c>
      <c r="S25" s="197" t="s">
        <v>376</v>
      </c>
      <c r="T25" s="198">
        <f>SUM($S$22:$S$24)</f>
        <v>127716331.36564629</v>
      </c>
      <c r="U25" s="100" t="s">
        <v>377</v>
      </c>
    </row>
    <row r="26" spans="1:21">
      <c r="A26" s="184" t="s">
        <v>387</v>
      </c>
      <c r="B26" s="182"/>
      <c r="G26" s="185"/>
      <c r="L26" s="182"/>
      <c r="M26" s="182"/>
    </row>
    <row r="27" spans="1:21">
      <c r="A27" s="182"/>
      <c r="B27" s="182" t="s">
        <v>388</v>
      </c>
      <c r="G27" s="185"/>
      <c r="H27" s="186">
        <f>SUMIF(facilities!$C$6:$C$15,"&gt;0",facilities!$C$6:$C$15)</f>
        <v>0</v>
      </c>
      <c r="L27" s="184" t="s">
        <v>389</v>
      </c>
      <c r="M27" s="182"/>
    </row>
    <row r="28" spans="1:21">
      <c r="A28" s="182"/>
      <c r="B28" s="182" t="s">
        <v>390</v>
      </c>
      <c r="G28" s="185"/>
      <c r="H28" s="188">
        <f>SUMIF(facilities!$C$36:$C$106,"&gt;0",facilities!$C$36:$C$106)</f>
        <v>0</v>
      </c>
      <c r="L28" s="182"/>
      <c r="M28" s="182" t="s">
        <v>391</v>
      </c>
      <c r="S28" s="187">
        <v>18876672</v>
      </c>
    </row>
    <row r="29" spans="1:21">
      <c r="A29" s="182"/>
      <c r="B29" s="182" t="s">
        <v>392</v>
      </c>
      <c r="G29" s="185"/>
      <c r="H29" s="188">
        <f>SUMIF(facilities!$C$6:$C$15,"&lt;0",facilities!$C$6:$C$15)</f>
        <v>0</v>
      </c>
      <c r="L29" s="182"/>
      <c r="M29" s="182" t="s">
        <v>393</v>
      </c>
      <c r="S29" s="189">
        <v>14281677.81471372</v>
      </c>
    </row>
    <row r="30" spans="1:21">
      <c r="A30" s="182"/>
      <c r="B30" s="182" t="s">
        <v>394</v>
      </c>
      <c r="G30" s="185"/>
      <c r="H30" s="190">
        <f>SUMIF(facilities!$C$36:$C$106,"&lt;0",facilities!$C$36:$C$106)</f>
        <v>-900</v>
      </c>
      <c r="L30" s="182"/>
      <c r="M30" s="182" t="s">
        <v>395</v>
      </c>
      <c r="S30" s="189">
        <v>5651132.2213324625</v>
      </c>
    </row>
    <row r="31" spans="1:21">
      <c r="L31" s="182"/>
      <c r="M31" s="182" t="s">
        <v>396</v>
      </c>
      <c r="S31" s="191">
        <f>SUM(ORA!D138:O138)+SUM(POJ!D138:O138)+SUM(ROJ!D138:O138)+SUM(FCOJ!D138:O138)</f>
        <v>114783589.68213004</v>
      </c>
    </row>
    <row r="32" spans="1:21">
      <c r="A32" s="184" t="s">
        <v>397</v>
      </c>
      <c r="B32" s="182"/>
      <c r="G32" s="185"/>
      <c r="L32" s="182"/>
      <c r="M32" s="182" t="s">
        <v>398</v>
      </c>
      <c r="S32" s="113" t="s">
        <v>376</v>
      </c>
      <c r="T32" s="198">
        <f>SUM($S$28:$S$31)</f>
        <v>153593071.71817622</v>
      </c>
      <c r="U32" s="100" t="s">
        <v>377</v>
      </c>
    </row>
    <row r="33" spans="1:21">
      <c r="A33" s="182"/>
      <c r="B33" s="182" t="s">
        <v>399</v>
      </c>
      <c r="G33" s="185"/>
      <c r="H33" s="186">
        <f>COUNTIF(facilities!$H$6:$H$15,"=new")</f>
        <v>0</v>
      </c>
      <c r="M33" s="182"/>
    </row>
    <row r="34" spans="1:21">
      <c r="A34" s="182"/>
      <c r="B34" s="182" t="s">
        <v>400</v>
      </c>
      <c r="G34" s="185"/>
      <c r="H34" s="188">
        <f>COUNTIF(facilities!$H$36:$H$106,"=new")</f>
        <v>0</v>
      </c>
      <c r="L34" s="184" t="s">
        <v>401</v>
      </c>
      <c r="M34" s="182"/>
    </row>
    <row r="35" spans="1:21">
      <c r="B35" s="182" t="s">
        <v>18</v>
      </c>
      <c r="H35" s="190">
        <f>SUMIF(facilities!$C$21:$C$30,"&gt;0",facilities!$C$21:$C$30)</f>
        <v>0</v>
      </c>
      <c r="L35" s="182"/>
      <c r="M35" s="182" t="s">
        <v>402</v>
      </c>
      <c r="S35" s="187">
        <v>26472500</v>
      </c>
    </row>
    <row r="36" spans="1:21">
      <c r="L36" s="182"/>
      <c r="M36" s="182" t="s">
        <v>403</v>
      </c>
      <c r="S36" s="189">
        <f>H33*12000000-H38*70/100*12000000</f>
        <v>0</v>
      </c>
    </row>
    <row r="37" spans="1:21">
      <c r="A37" s="184" t="s">
        <v>404</v>
      </c>
      <c r="L37" s="182"/>
      <c r="M37" s="182" t="s">
        <v>405</v>
      </c>
      <c r="S37" s="189">
        <f>H27*8000+H29*70/100*8000</f>
        <v>0</v>
      </c>
    </row>
    <row r="38" spans="1:21">
      <c r="B38" s="182" t="s">
        <v>399</v>
      </c>
      <c r="H38" s="186">
        <f>COUNTIF(facilities!$H$6:$H$15,"=sold")</f>
        <v>0</v>
      </c>
      <c r="L38" s="182"/>
      <c r="M38" s="182" t="s">
        <v>406</v>
      </c>
      <c r="S38" s="189">
        <v>29000000</v>
      </c>
    </row>
    <row r="39" spans="1:21">
      <c r="B39" s="182" t="s">
        <v>400</v>
      </c>
      <c r="H39" s="188">
        <f>COUNTIF(facilities!$H$36:$H$106,"=sold")</f>
        <v>0</v>
      </c>
      <c r="L39" s="182"/>
      <c r="M39" s="182" t="s">
        <v>407</v>
      </c>
      <c r="S39" s="189">
        <f>H34*9000000-H39*80/100*9000000</f>
        <v>0</v>
      </c>
    </row>
    <row r="40" spans="1:21">
      <c r="B40" s="182" t="s">
        <v>18</v>
      </c>
      <c r="H40" s="190">
        <f>-SUMIF(facilities!$C$21:$C$30,"&lt;0",facilities!$C$21:$C$30)</f>
        <v>0</v>
      </c>
      <c r="L40" s="182"/>
      <c r="M40" s="182" t="s">
        <v>408</v>
      </c>
      <c r="S40" s="189">
        <f>H28*6000+H30*80/100*6000</f>
        <v>-4320000</v>
      </c>
    </row>
    <row r="41" spans="1:21">
      <c r="L41" s="182"/>
      <c r="M41" s="182" t="s">
        <v>409</v>
      </c>
      <c r="S41" s="189">
        <v>9580</v>
      </c>
    </row>
    <row r="42" spans="1:21">
      <c r="L42" s="182"/>
      <c r="M42" s="182" t="s">
        <v>410</v>
      </c>
      <c r="S42" s="191">
        <f>H35*100000-H40*60/100*100000</f>
        <v>0</v>
      </c>
    </row>
    <row r="43" spans="1:21">
      <c r="L43" s="182"/>
      <c r="M43" s="182" t="s">
        <v>411</v>
      </c>
      <c r="S43" s="177" t="s">
        <v>376</v>
      </c>
      <c r="T43" s="198">
        <f>SUM($S$35:$S$42)</f>
        <v>51162080</v>
      </c>
      <c r="U43" s="100" t="s">
        <v>377</v>
      </c>
    </row>
    <row r="44" spans="1:21">
      <c r="L44" s="182"/>
      <c r="S44" s="110"/>
    </row>
    <row r="45" spans="1:21" ht="13" thickBot="1">
      <c r="L45" s="199" t="s">
        <v>412</v>
      </c>
      <c r="M45" s="182"/>
      <c r="T45" s="200">
        <f>$T$11-$T$19-$T$25-$T$32-$T$43</f>
        <v>323272419.63129056</v>
      </c>
    </row>
    <row r="46" spans="1:21" ht="13" thickTop="1">
      <c r="M46" s="182"/>
    </row>
    <row r="316" spans="1:1">
      <c r="A316" s="179"/>
    </row>
    <row r="317" spans="1:1">
      <c r="A317" s="179"/>
    </row>
    <row r="318" spans="1:1">
      <c r="A318" s="179"/>
    </row>
    <row r="319" spans="1:1">
      <c r="A319" s="179"/>
    </row>
    <row r="320" spans="1:1">
      <c r="A320" s="179"/>
    </row>
    <row r="321" spans="1:1">
      <c r="A321" s="179"/>
    </row>
    <row r="322" spans="1:1">
      <c r="A322" s="179"/>
    </row>
    <row r="323" spans="1:1">
      <c r="A323" s="179"/>
    </row>
    <row r="325" spans="1:1">
      <c r="A325" s="179"/>
    </row>
    <row r="326" spans="1:1">
      <c r="A326" s="179"/>
    </row>
    <row r="327" spans="1:1">
      <c r="A327" s="179"/>
    </row>
    <row r="328" spans="1:1">
      <c r="A328" s="179"/>
    </row>
    <row r="329" spans="1:1">
      <c r="A329" s="179"/>
    </row>
    <row r="330" spans="1:1">
      <c r="A330" s="179"/>
    </row>
    <row r="331" spans="1:1">
      <c r="A331" s="179"/>
    </row>
    <row r="332" spans="1:1">
      <c r="A332" s="179"/>
    </row>
    <row r="334" spans="1:1">
      <c r="A334" s="179"/>
    </row>
    <row r="335" spans="1:1">
      <c r="A335" s="179"/>
    </row>
    <row r="336" spans="1:1">
      <c r="A336" s="179"/>
    </row>
    <row r="337" spans="1:1">
      <c r="A337" s="179"/>
    </row>
    <row r="338" spans="1:1">
      <c r="A338" s="179"/>
    </row>
    <row r="339" spans="1:1">
      <c r="A339" s="179"/>
    </row>
    <row r="340" spans="1:1">
      <c r="A340" s="179"/>
    </row>
    <row r="341" spans="1:1">
      <c r="A341" s="179"/>
    </row>
    <row r="343" spans="1:1">
      <c r="A343" s="179"/>
    </row>
    <row r="344" spans="1:1">
      <c r="A344" s="179"/>
    </row>
    <row r="345" spans="1:1">
      <c r="A345" s="179"/>
    </row>
    <row r="346" spans="1:1">
      <c r="A346" s="179"/>
    </row>
    <row r="347" spans="1:1">
      <c r="A347" s="179"/>
    </row>
    <row r="348" spans="1:1">
      <c r="A348" s="179"/>
    </row>
    <row r="349" spans="1:1">
      <c r="A349" s="179"/>
    </row>
    <row r="350" spans="1:1">
      <c r="A350" s="179"/>
    </row>
  </sheetData>
  <mergeCells count="1">
    <mergeCell ref="C2:H2"/>
  </mergeCell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Y133"/>
  <sheetViews>
    <sheetView workbookViewId="0">
      <selection activeCell="C38" sqref="C38:AX43"/>
    </sheetView>
  </sheetViews>
  <sheetFormatPr baseColWidth="10" defaultColWidth="8.83203125" defaultRowHeight="12" x14ac:dyDescent="0"/>
  <cols>
    <col min="1" max="1" width="4.6640625" style="100" customWidth="1"/>
    <col min="2" max="2" width="15.6640625" style="100" customWidth="1"/>
    <col min="3" max="16384" width="8.83203125" style="100"/>
  </cols>
  <sheetData>
    <row r="2" spans="2:14">
      <c r="B2" s="102" t="s">
        <v>313</v>
      </c>
    </row>
    <row r="3" spans="2:14">
      <c r="B3" s="103" t="s">
        <v>314</v>
      </c>
    </row>
    <row r="4" spans="2:14">
      <c r="B4" s="170" t="s">
        <v>91</v>
      </c>
      <c r="C4" s="170" t="s">
        <v>92</v>
      </c>
      <c r="D4" s="170" t="s">
        <v>93</v>
      </c>
      <c r="E4" s="170" t="s">
        <v>94</v>
      </c>
      <c r="F4" s="170" t="s">
        <v>95</v>
      </c>
      <c r="G4" s="170" t="s">
        <v>96</v>
      </c>
      <c r="H4" s="170" t="s">
        <v>97</v>
      </c>
      <c r="I4" s="170" t="s">
        <v>98</v>
      </c>
      <c r="J4" s="170" t="s">
        <v>99</v>
      </c>
      <c r="K4" s="170" t="s">
        <v>100</v>
      </c>
      <c r="L4" s="170" t="s">
        <v>101</v>
      </c>
      <c r="M4" s="170" t="s">
        <v>102</v>
      </c>
      <c r="N4" s="170" t="s">
        <v>103</v>
      </c>
    </row>
    <row r="5" spans="2:14">
      <c r="B5" s="171" t="s">
        <v>104</v>
      </c>
      <c r="C5" s="100">
        <v>0.71382495168286086</v>
      </c>
      <c r="D5" s="100">
        <v>0.67625098408179196</v>
      </c>
      <c r="E5" s="100">
        <v>0.63837062286828361</v>
      </c>
      <c r="F5" s="100">
        <v>0.74466555219536679</v>
      </c>
      <c r="G5" s="100">
        <v>0.63964218853286714</v>
      </c>
      <c r="H5" s="100">
        <v>0.5560122395817112</v>
      </c>
      <c r="I5" s="100">
        <v>0.69702609698365126</v>
      </c>
      <c r="J5" s="100">
        <v>0.54884773425773514</v>
      </c>
      <c r="K5" s="100">
        <v>0.56530509393660666</v>
      </c>
      <c r="L5" s="100">
        <v>0.64801401041793139</v>
      </c>
      <c r="M5" s="100">
        <v>0.70288152758782318</v>
      </c>
      <c r="N5" s="100">
        <v>0.57997103281328466</v>
      </c>
    </row>
    <row r="6" spans="2:14">
      <c r="B6" s="171" t="s">
        <v>105</v>
      </c>
      <c r="C6" s="100">
        <v>0.7657448614790251</v>
      </c>
      <c r="D6" s="100">
        <v>0.74324478974005814</v>
      </c>
      <c r="E6" s="100">
        <v>0.73260004601217088</v>
      </c>
      <c r="F6" s="100">
        <v>0.67768516239360554</v>
      </c>
      <c r="G6" s="100">
        <v>0.67374962973333863</v>
      </c>
      <c r="H6" s="100">
        <v>0.71628539730953478</v>
      </c>
      <c r="I6" s="100">
        <v>0.65858196131996039</v>
      </c>
      <c r="J6" s="100">
        <v>0.6547415533461618</v>
      </c>
      <c r="K6" s="100">
        <v>0.72259966382826224</v>
      </c>
      <c r="L6" s="100">
        <v>0.65211543033854236</v>
      </c>
      <c r="M6" s="100">
        <v>0.69285801597006924</v>
      </c>
      <c r="N6" s="100">
        <v>0.66435752960164851</v>
      </c>
    </row>
    <row r="7" spans="2:14">
      <c r="B7" s="171" t="s">
        <v>106</v>
      </c>
      <c r="C7" s="100">
        <v>0.7317377071223321</v>
      </c>
      <c r="D7" s="100">
        <v>0.85767474651454445</v>
      </c>
      <c r="E7" s="100">
        <v>0.76140170433316201</v>
      </c>
      <c r="F7" s="100">
        <v>0.73935808624376054</v>
      </c>
      <c r="G7" s="100">
        <v>0.81915054562205158</v>
      </c>
      <c r="H7" s="100">
        <v>0.736843050121052</v>
      </c>
      <c r="I7" s="100">
        <v>0.67568974909225132</v>
      </c>
      <c r="J7" s="100">
        <v>0.68586119804689738</v>
      </c>
      <c r="K7" s="100">
        <v>0.66796549972277064</v>
      </c>
      <c r="L7" s="100">
        <v>0.67792686683760461</v>
      </c>
      <c r="M7" s="100">
        <v>0.71478227534055516</v>
      </c>
      <c r="N7" s="100">
        <v>1.0368323849961232</v>
      </c>
    </row>
    <row r="8" spans="2:14">
      <c r="B8" s="171" t="s">
        <v>107</v>
      </c>
      <c r="C8" s="100">
        <v>0.71269821496238794</v>
      </c>
      <c r="D8" s="100">
        <v>0.71707198741376799</v>
      </c>
      <c r="E8" s="100">
        <v>0.75500791401993361</v>
      </c>
      <c r="F8" s="100">
        <v>0.74518757633729016</v>
      </c>
      <c r="G8" s="100">
        <v>0.70550635912049053</v>
      </c>
      <c r="H8" s="100">
        <v>0.71928984952097352</v>
      </c>
      <c r="I8" s="100">
        <v>0.70109464686160738</v>
      </c>
      <c r="J8" s="100">
        <v>0.6883507670874276</v>
      </c>
      <c r="K8" s="100">
        <v>0.71697636561463485</v>
      </c>
      <c r="L8" s="100">
        <v>0.84673015367636872</v>
      </c>
      <c r="M8" s="100">
        <v>0.70188407318362278</v>
      </c>
      <c r="N8" s="100">
        <v>0.66696511225928656</v>
      </c>
    </row>
    <row r="9" spans="2:14">
      <c r="B9" s="171" t="s">
        <v>108</v>
      </c>
      <c r="C9" s="100">
        <v>2.0809730684757235</v>
      </c>
      <c r="D9" s="100">
        <v>2.099624071121216</v>
      </c>
      <c r="E9" s="100">
        <v>2.0839969909191134</v>
      </c>
      <c r="F9" s="100">
        <v>2.1036504483222962</v>
      </c>
      <c r="G9" s="100">
        <v>2.0451234257221222</v>
      </c>
      <c r="H9" s="100">
        <v>2.0631544446945189</v>
      </c>
      <c r="I9" s="100">
        <v>2.0504615342617036</v>
      </c>
      <c r="J9" s="100">
        <v>2.0580898261070253</v>
      </c>
      <c r="K9" s="100">
        <v>2.0453062689304353</v>
      </c>
      <c r="L9" s="100">
        <v>2.09710298538208</v>
      </c>
      <c r="M9" s="100">
        <v>2.0701247012615203</v>
      </c>
      <c r="N9" s="100">
        <v>2.0595739579200747</v>
      </c>
    </row>
    <row r="10" spans="2:14">
      <c r="B10" s="171" t="s">
        <v>109</v>
      </c>
      <c r="C10" s="100">
        <v>0.6744329750537873</v>
      </c>
      <c r="D10" s="100">
        <v>0.66398556232452399</v>
      </c>
      <c r="E10" s="100">
        <v>0.67168888449668884</v>
      </c>
      <c r="F10" s="100">
        <v>0.61324566602706909</v>
      </c>
      <c r="G10" s="100">
        <v>0.61332507729530339</v>
      </c>
      <c r="H10" s="100">
        <v>0.68258757591247565</v>
      </c>
      <c r="I10" s="100">
        <v>0.63504788279533386</v>
      </c>
      <c r="J10" s="100">
        <v>0.69067355394363406</v>
      </c>
      <c r="K10" s="100">
        <v>0.60352676510810854</v>
      </c>
      <c r="L10" s="100">
        <v>0.66952645778656006</v>
      </c>
      <c r="M10" s="100">
        <v>0.62659940123558044</v>
      </c>
      <c r="N10" s="100">
        <v>0.68391450643539431</v>
      </c>
    </row>
    <row r="11" spans="2:14">
      <c r="B11" s="172"/>
      <c r="C11" s="101"/>
      <c r="D11" s="101"/>
      <c r="E11" s="101"/>
      <c r="F11" s="101"/>
      <c r="G11" s="101"/>
    </row>
    <row r="12" spans="2:14">
      <c r="B12" s="104" t="s">
        <v>315</v>
      </c>
      <c r="C12" s="101"/>
      <c r="D12" s="101"/>
      <c r="E12" s="101"/>
      <c r="F12" s="101"/>
      <c r="G12" s="101"/>
    </row>
    <row r="13" spans="2:14">
      <c r="B13" s="171" t="s">
        <v>316</v>
      </c>
      <c r="C13" s="171" t="s">
        <v>92</v>
      </c>
      <c r="D13" s="171" t="s">
        <v>93</v>
      </c>
      <c r="E13" s="170" t="s">
        <v>94</v>
      </c>
      <c r="F13" s="170" t="s">
        <v>95</v>
      </c>
      <c r="G13" s="170" t="s">
        <v>96</v>
      </c>
      <c r="H13" s="170" t="s">
        <v>97</v>
      </c>
      <c r="I13" s="170" t="s">
        <v>98</v>
      </c>
      <c r="J13" s="170" t="s">
        <v>99</v>
      </c>
      <c r="K13" s="170" t="s">
        <v>100</v>
      </c>
      <c r="L13" s="170" t="s">
        <v>101</v>
      </c>
      <c r="M13" s="170" t="s">
        <v>102</v>
      </c>
      <c r="N13" s="170" t="s">
        <v>103</v>
      </c>
    </row>
    <row r="14" spans="2:14">
      <c r="B14" s="170" t="s">
        <v>317</v>
      </c>
      <c r="C14" s="101">
        <v>0.30637764412317725</v>
      </c>
      <c r="D14" s="101">
        <v>0.3075148792129187</v>
      </c>
      <c r="E14" s="101">
        <v>0.30864891433091496</v>
      </c>
      <c r="F14" s="101">
        <v>0.30977655850955671</v>
      </c>
      <c r="G14" s="101">
        <v>0.31089463876417012</v>
      </c>
      <c r="H14" s="100">
        <v>0.31200000902121605</v>
      </c>
      <c r="I14" s="100">
        <v>0.31308955897076618</v>
      </c>
      <c r="J14" s="100">
        <v>0.31416022281834677</v>
      </c>
      <c r="K14" s="100">
        <v>0.31520898791152419</v>
      </c>
      <c r="L14" s="100">
        <v>0.31623290321695791</v>
      </c>
      <c r="M14" s="100">
        <v>0.31722908762407015</v>
      </c>
      <c r="N14" s="100">
        <v>0.31819473805196358</v>
      </c>
    </row>
    <row r="15" spans="2:14">
      <c r="B15" s="170" t="s">
        <v>318</v>
      </c>
      <c r="C15" s="100">
        <v>1.0940462315150272</v>
      </c>
      <c r="D15" s="100">
        <v>1.0969469181772555</v>
      </c>
      <c r="E15" s="100">
        <v>1.0998394428372347</v>
      </c>
      <c r="F15" s="100">
        <v>1.1027156664590971</v>
      </c>
      <c r="G15" s="100">
        <v>1.10556749587512</v>
      </c>
      <c r="H15" s="100">
        <v>1.1083869065584171</v>
      </c>
      <c r="I15" s="100">
        <v>1.1111659652024926</v>
      </c>
      <c r="J15" s="100">
        <v>1.1138968520441157</v>
      </c>
      <c r="K15" s="100">
        <v>1.1165718828667064</v>
      </c>
      <c r="L15" s="100">
        <v>1.1191835306223159</v>
      </c>
      <c r="M15" s="100">
        <v>1.1217244466113636</v>
      </c>
      <c r="N15" s="100">
        <v>1.124187481160537</v>
      </c>
    </row>
    <row r="16" spans="2:14">
      <c r="B16" s="101"/>
    </row>
    <row r="17" spans="2:14">
      <c r="B17" s="103" t="s">
        <v>319</v>
      </c>
    </row>
    <row r="18" spans="2:14">
      <c r="B18" s="99" t="s">
        <v>91</v>
      </c>
      <c r="C18" s="99" t="s">
        <v>92</v>
      </c>
      <c r="D18" s="99" t="s">
        <v>93</v>
      </c>
      <c r="E18" s="99" t="s">
        <v>94</v>
      </c>
      <c r="F18" s="99" t="s">
        <v>95</v>
      </c>
      <c r="G18" s="99" t="s">
        <v>96</v>
      </c>
      <c r="H18" s="99" t="s">
        <v>97</v>
      </c>
      <c r="I18" s="99" t="s">
        <v>98</v>
      </c>
      <c r="J18" s="99" t="s">
        <v>99</v>
      </c>
      <c r="K18" s="99" t="s">
        <v>100</v>
      </c>
      <c r="L18" s="99" t="s">
        <v>101</v>
      </c>
      <c r="M18" s="99" t="s">
        <v>102</v>
      </c>
      <c r="N18" s="99" t="s">
        <v>103</v>
      </c>
    </row>
    <row r="19" spans="2:14">
      <c r="B19" s="173" t="s">
        <v>104</v>
      </c>
      <c r="C19" s="100">
        <f>C5</f>
        <v>0.71382495168286086</v>
      </c>
      <c r="D19" s="100">
        <f t="shared" ref="D19:N20" si="0">D5</f>
        <v>0.67625098408179196</v>
      </c>
      <c r="E19" s="100">
        <f t="shared" si="0"/>
        <v>0.63837062286828361</v>
      </c>
      <c r="F19" s="100">
        <f t="shared" si="0"/>
        <v>0.74466555219536679</v>
      </c>
      <c r="G19" s="100">
        <f t="shared" si="0"/>
        <v>0.63964218853286714</v>
      </c>
      <c r="H19" s="100">
        <f t="shared" si="0"/>
        <v>0.5560122395817112</v>
      </c>
      <c r="I19" s="100">
        <f t="shared" si="0"/>
        <v>0.69702609698365126</v>
      </c>
      <c r="J19" s="100">
        <f t="shared" si="0"/>
        <v>0.54884773425773514</v>
      </c>
      <c r="K19" s="100">
        <f t="shared" si="0"/>
        <v>0.56530509393660666</v>
      </c>
      <c r="L19" s="100">
        <f t="shared" si="0"/>
        <v>0.64801401041793139</v>
      </c>
      <c r="M19" s="100">
        <f t="shared" si="0"/>
        <v>0.70288152758782318</v>
      </c>
      <c r="N19" s="100">
        <f t="shared" si="0"/>
        <v>0.57997103281328466</v>
      </c>
    </row>
    <row r="20" spans="2:14">
      <c r="B20" s="173" t="s">
        <v>105</v>
      </c>
      <c r="C20" s="100">
        <f>C6</f>
        <v>0.7657448614790251</v>
      </c>
      <c r="D20" s="100">
        <f t="shared" si="0"/>
        <v>0.74324478974005814</v>
      </c>
      <c r="E20" s="100">
        <f t="shared" si="0"/>
        <v>0.73260004601217088</v>
      </c>
      <c r="F20" s="100">
        <f t="shared" si="0"/>
        <v>0.67768516239360554</v>
      </c>
      <c r="G20" s="100">
        <f t="shared" si="0"/>
        <v>0.67374962973333863</v>
      </c>
      <c r="H20" s="100">
        <f t="shared" si="0"/>
        <v>0.71628539730953478</v>
      </c>
      <c r="I20" s="100">
        <f t="shared" si="0"/>
        <v>0.65858196131996039</v>
      </c>
      <c r="J20" s="100">
        <f t="shared" si="0"/>
        <v>0.6547415533461618</v>
      </c>
      <c r="K20" s="100">
        <f t="shared" si="0"/>
        <v>0.72259966382826224</v>
      </c>
      <c r="L20" s="100">
        <f t="shared" si="0"/>
        <v>0.65211543033854236</v>
      </c>
      <c r="M20" s="100">
        <f t="shared" si="0"/>
        <v>0.69285801597006924</v>
      </c>
      <c r="N20" s="100">
        <f t="shared" si="0"/>
        <v>0.66435752960164851</v>
      </c>
    </row>
    <row r="21" spans="2:14">
      <c r="B21" s="173" t="s">
        <v>106</v>
      </c>
      <c r="C21" s="100">
        <f t="shared" ref="C21:N22" si="1">C7</f>
        <v>0.7317377071223321</v>
      </c>
      <c r="D21" s="100">
        <f t="shared" si="1"/>
        <v>0.85767474651454445</v>
      </c>
      <c r="E21" s="100">
        <f t="shared" si="1"/>
        <v>0.76140170433316201</v>
      </c>
      <c r="F21" s="100">
        <f t="shared" si="1"/>
        <v>0.73935808624376054</v>
      </c>
      <c r="G21" s="100">
        <f t="shared" si="1"/>
        <v>0.81915054562205158</v>
      </c>
      <c r="H21" s="100">
        <f t="shared" si="1"/>
        <v>0.736843050121052</v>
      </c>
      <c r="I21" s="100">
        <f t="shared" si="1"/>
        <v>0.67568974909225132</v>
      </c>
      <c r="J21" s="100">
        <f t="shared" si="1"/>
        <v>0.68586119804689738</v>
      </c>
      <c r="K21" s="100">
        <f t="shared" si="1"/>
        <v>0.66796549972277064</v>
      </c>
      <c r="L21" s="100">
        <f t="shared" si="1"/>
        <v>0.67792686683760461</v>
      </c>
      <c r="M21" s="100">
        <f t="shared" si="1"/>
        <v>0.71478227534055516</v>
      </c>
      <c r="N21" s="100">
        <f t="shared" si="1"/>
        <v>1.0368323849961232</v>
      </c>
    </row>
    <row r="22" spans="2:14">
      <c r="B22" s="173" t="s">
        <v>107</v>
      </c>
      <c r="C22" s="100">
        <f t="shared" si="1"/>
        <v>0.71269821496238794</v>
      </c>
      <c r="D22" s="100">
        <f t="shared" si="1"/>
        <v>0.71707198741376799</v>
      </c>
      <c r="E22" s="100">
        <f t="shared" si="1"/>
        <v>0.75500791401993361</v>
      </c>
      <c r="F22" s="100">
        <f t="shared" si="1"/>
        <v>0.74518757633729016</v>
      </c>
      <c r="G22" s="100">
        <f t="shared" si="1"/>
        <v>0.70550635912049053</v>
      </c>
      <c r="H22" s="100">
        <f t="shared" si="1"/>
        <v>0.71928984952097352</v>
      </c>
      <c r="I22" s="100">
        <f t="shared" si="1"/>
        <v>0.70109464686160738</v>
      </c>
      <c r="J22" s="100">
        <f t="shared" si="1"/>
        <v>0.6883507670874276</v>
      </c>
      <c r="K22" s="100">
        <f t="shared" si="1"/>
        <v>0.71697636561463485</v>
      </c>
      <c r="L22" s="100">
        <f t="shared" si="1"/>
        <v>0.84673015367636872</v>
      </c>
      <c r="M22" s="100">
        <f t="shared" si="1"/>
        <v>0.70188407318362278</v>
      </c>
      <c r="N22" s="100">
        <f t="shared" si="1"/>
        <v>0.66696511225928656</v>
      </c>
    </row>
    <row r="23" spans="2:14">
      <c r="B23" s="173" t="s">
        <v>108</v>
      </c>
      <c r="C23" s="100">
        <f>C9*C14</f>
        <v>0.63756362620337137</v>
      </c>
      <c r="D23" s="100">
        <f t="shared" ref="D23:N24" si="2">D9*D14</f>
        <v>0.64566564262337733</v>
      </c>
      <c r="E23" s="100">
        <f t="shared" si="2"/>
        <v>0.64322340871607797</v>
      </c>
      <c r="F23" s="100">
        <f t="shared" si="2"/>
        <v>0.65166159618836694</v>
      </c>
      <c r="G23" s="100">
        <f t="shared" si="2"/>
        <v>0.63581790866802124</v>
      </c>
      <c r="H23" s="100">
        <f t="shared" si="2"/>
        <v>0.64370420535685191</v>
      </c>
      <c r="I23" s="100">
        <f t="shared" si="2"/>
        <v>0.6419780974485173</v>
      </c>
      <c r="J23" s="100">
        <f t="shared" si="2"/>
        <v>0.64656995834995556</v>
      </c>
      <c r="K23" s="100">
        <f t="shared" si="2"/>
        <v>0.64469891899865828</v>
      </c>
      <c r="L23" s="100">
        <f t="shared" si="2"/>
        <v>0.66317296541232473</v>
      </c>
      <c r="M23" s="100">
        <f t="shared" si="2"/>
        <v>0.65670377024924287</v>
      </c>
      <c r="N23" s="100">
        <f t="shared" si="2"/>
        <v>0.65534559603902398</v>
      </c>
    </row>
    <row r="24" spans="2:14">
      <c r="B24" s="173" t="s">
        <v>109</v>
      </c>
      <c r="C24" s="100">
        <f>C10*C15</f>
        <v>0.73786085476706431</v>
      </c>
      <c r="D24" s="100">
        <f t="shared" si="2"/>
        <v>0.72835691630607857</v>
      </c>
      <c r="E24" s="100">
        <f t="shared" si="2"/>
        <v>0.73874992848480192</v>
      </c>
      <c r="F24" s="100">
        <f t="shared" si="2"/>
        <v>0.67623560331619237</v>
      </c>
      <c r="G24" s="100">
        <f t="shared" si="2"/>
        <v>0.67807226986278302</v>
      </c>
      <c r="H24" s="100">
        <f t="shared" si="2"/>
        <v>0.75657113172083756</v>
      </c>
      <c r="I24" s="100">
        <f t="shared" si="2"/>
        <v>0.70564359363607654</v>
      </c>
      <c r="J24" s="100">
        <f t="shared" si="2"/>
        <v>0.76933909752793572</v>
      </c>
      <c r="K24" s="100">
        <f t="shared" si="2"/>
        <v>0.67388101647721321</v>
      </c>
      <c r="L24" s="100">
        <f t="shared" si="2"/>
        <v>0.74932298487061522</v>
      </c>
      <c r="M24" s="100">
        <f t="shared" si="2"/>
        <v>0.70287186659799328</v>
      </c>
      <c r="N24" s="100">
        <f t="shared" si="2"/>
        <v>0.76884812631875776</v>
      </c>
    </row>
    <row r="25" spans="2:14">
      <c r="B25" s="172"/>
    </row>
    <row r="26" spans="2:14">
      <c r="B26" s="104" t="s">
        <v>320</v>
      </c>
    </row>
    <row r="27" spans="2:14">
      <c r="B27" s="99" t="s">
        <v>321</v>
      </c>
      <c r="C27" s="99" t="s">
        <v>92</v>
      </c>
      <c r="D27" s="99" t="s">
        <v>93</v>
      </c>
      <c r="E27" s="99" t="s">
        <v>94</v>
      </c>
      <c r="F27" s="99" t="s">
        <v>95</v>
      </c>
      <c r="G27" s="99" t="s">
        <v>96</v>
      </c>
      <c r="H27" s="99" t="s">
        <v>97</v>
      </c>
      <c r="I27" s="99" t="s">
        <v>98</v>
      </c>
      <c r="J27" s="99" t="s">
        <v>99</v>
      </c>
      <c r="K27" s="99" t="s">
        <v>100</v>
      </c>
      <c r="L27" s="99" t="s">
        <v>101</v>
      </c>
      <c r="M27" s="99" t="s">
        <v>102</v>
      </c>
      <c r="N27" s="99" t="s">
        <v>103</v>
      </c>
    </row>
    <row r="28" spans="2:14">
      <c r="B28" s="99" t="s">
        <v>104</v>
      </c>
      <c r="C28" s="100">
        <f>IF(C19&lt;=raw_materials!$D17,raw_materials!$C17,IF(C19&lt;=raw_materials!$F17,raw_materials!$E17,IF(C19&lt;=raw_materials!$H17,raw_materials!$G17,0)))</f>
        <v>1</v>
      </c>
      <c r="D28" s="100">
        <f>IF(D19&lt;=raw_materials!$D17,raw_materials!$C17,IF(D19&lt;=raw_materials!$F17,raw_materials!$E17,IF(D19&lt;=raw_materials!$H17,raw_materials!$G17,0)))</f>
        <v>1</v>
      </c>
      <c r="E28" s="100">
        <f>IF(E19&lt;=raw_materials!$D17,raw_materials!$C17,IF(E19&lt;=raw_materials!$F17,raw_materials!$E17,IF(E19&lt;=raw_materials!$H17,raw_materials!$G17,0)))</f>
        <v>1</v>
      </c>
      <c r="F28" s="100">
        <f>IF(F19&lt;=raw_materials!$D17,raw_materials!$C17,IF(F19&lt;=raw_materials!$F17,raw_materials!$E17,IF(F19&lt;=raw_materials!$H17,raw_materials!$G17,0)))</f>
        <v>1</v>
      </c>
      <c r="G28" s="100">
        <f>IF(G19&lt;=raw_materials!$D17,raw_materials!$C17,IF(G19&lt;=raw_materials!$F17,raw_materials!$E17,IF(G19&lt;=raw_materials!$H17,raw_materials!$G17,0)))</f>
        <v>1</v>
      </c>
      <c r="H28" s="100">
        <f>IF(H19&lt;=raw_materials!$D17,raw_materials!$C17,IF(H19&lt;=raw_materials!$F17,raw_materials!$E17,IF(H19&lt;=raw_materials!$H17,raw_materials!$G17,0)))</f>
        <v>1</v>
      </c>
      <c r="I28" s="100">
        <f>IF(I19&lt;=raw_materials!$D17,raw_materials!$C17,IF(I19&lt;=raw_materials!$F17,raw_materials!$E17,IF(I19&lt;=raw_materials!$H17,raw_materials!$G17,0)))</f>
        <v>1</v>
      </c>
      <c r="J28" s="100">
        <f>IF(J19&lt;=raw_materials!$D17,raw_materials!$C17,IF(J19&lt;=raw_materials!$F17,raw_materials!$E17,IF(J19&lt;=raw_materials!$H17,raw_materials!$G17,0)))</f>
        <v>1.2</v>
      </c>
      <c r="K28" s="100">
        <f>IF(K19&lt;=raw_materials!$D17,raw_materials!$C17,IF(K19&lt;=raw_materials!$F17,raw_materials!$E17,IF(K19&lt;=raw_materials!$H17,raw_materials!$G17,0)))</f>
        <v>1</v>
      </c>
      <c r="L28" s="100">
        <f>IF(L19&lt;=raw_materials!$D17,raw_materials!$C17,IF(L19&lt;=raw_materials!$F17,raw_materials!$E17,IF(L19&lt;=raw_materials!$H17,raw_materials!$G17,0)))</f>
        <v>1</v>
      </c>
      <c r="M28" s="100">
        <f>IF(M19&lt;=raw_materials!$D17,raw_materials!$C17,IF(M19&lt;=raw_materials!$F17,raw_materials!$E17,IF(M19&lt;=raw_materials!$H17,raw_materials!$G17,0)))</f>
        <v>1</v>
      </c>
      <c r="N28" s="100">
        <f>IF(N19&lt;=raw_materials!$D17,raw_materials!$C17,IF(N19&lt;=raw_materials!$F17,raw_materials!$E17,IF(N19&lt;=raw_materials!$H17,raw_materials!$G17,0)))</f>
        <v>1</v>
      </c>
    </row>
    <row r="29" spans="2:14">
      <c r="B29" s="99" t="s">
        <v>105</v>
      </c>
      <c r="C29" s="100">
        <f>IF(C20&lt;=raw_materials!$D18,raw_materials!$C18,IF(C20&lt;=raw_materials!$F18,raw_materials!$E18,IF(C20&lt;=raw_materials!$H18,raw_materials!$G18,0)))</f>
        <v>1</v>
      </c>
      <c r="D29" s="100">
        <f>IF(D20&lt;=raw_materials!$D18,raw_materials!$C18,IF(D20&lt;=raw_materials!$F18,raw_materials!$E18,IF(D20&lt;=raw_materials!$H18,raw_materials!$G18,0)))</f>
        <v>1</v>
      </c>
      <c r="E29" s="100">
        <f>IF(E20&lt;=raw_materials!$D18,raw_materials!$C18,IF(E20&lt;=raw_materials!$F18,raw_materials!$E18,IF(E20&lt;=raw_materials!$H18,raw_materials!$G18,0)))</f>
        <v>1</v>
      </c>
      <c r="F29" s="100">
        <f>IF(F20&lt;=raw_materials!$D18,raw_materials!$C18,IF(F20&lt;=raw_materials!$F18,raw_materials!$E18,IF(F20&lt;=raw_materials!$H18,raw_materials!$G18,0)))</f>
        <v>1</v>
      </c>
      <c r="G29" s="100">
        <f>IF(G20&lt;=raw_materials!$D18,raw_materials!$C18,IF(G20&lt;=raw_materials!$F18,raw_materials!$E18,IF(G20&lt;=raw_materials!$H18,raw_materials!$G18,0)))</f>
        <v>1</v>
      </c>
      <c r="H29" s="100">
        <f>IF(H20&lt;=raw_materials!$D18,raw_materials!$C18,IF(H20&lt;=raw_materials!$F18,raw_materials!$E18,IF(H20&lt;=raw_materials!$H18,raw_materials!$G18,0)))</f>
        <v>1</v>
      </c>
      <c r="I29" s="100">
        <f>IF(I20&lt;=raw_materials!$D18,raw_materials!$C18,IF(I20&lt;=raw_materials!$F18,raw_materials!$E18,IF(I20&lt;=raw_materials!$H18,raw_materials!$G18,0)))</f>
        <v>1</v>
      </c>
      <c r="J29" s="100">
        <f>IF(J20&lt;=raw_materials!$D18,raw_materials!$C18,IF(J20&lt;=raw_materials!$F18,raw_materials!$E18,IF(J20&lt;=raw_materials!$H18,raw_materials!$G18,0)))</f>
        <v>1</v>
      </c>
      <c r="K29" s="100">
        <f>IF(K20&lt;=raw_materials!$D18,raw_materials!$C18,IF(K20&lt;=raw_materials!$F18,raw_materials!$E18,IF(K20&lt;=raw_materials!$H18,raw_materials!$G18,0)))</f>
        <v>1</v>
      </c>
      <c r="L29" s="100">
        <f>IF(L20&lt;=raw_materials!$D18,raw_materials!$C18,IF(L20&lt;=raw_materials!$F18,raw_materials!$E18,IF(L20&lt;=raw_materials!$H18,raw_materials!$G18,0)))</f>
        <v>1</v>
      </c>
      <c r="M29" s="100">
        <f>IF(M20&lt;=raw_materials!$D18,raw_materials!$C18,IF(M20&lt;=raw_materials!$F18,raw_materials!$E18,IF(M20&lt;=raw_materials!$H18,raw_materials!$G18,0)))</f>
        <v>1</v>
      </c>
      <c r="N29" s="100">
        <f>IF(N20&lt;=raw_materials!$D18,raw_materials!$C18,IF(N20&lt;=raw_materials!$F18,raw_materials!$E18,IF(N20&lt;=raw_materials!$H18,raw_materials!$G18,0)))</f>
        <v>1</v>
      </c>
    </row>
    <row r="30" spans="2:14">
      <c r="B30" s="99" t="s">
        <v>106</v>
      </c>
      <c r="C30" s="100">
        <f>IF(C21&lt;=raw_materials!$D19,raw_materials!$C19,IF(C21&lt;=raw_materials!$F19,raw_materials!$E19,IF(C21&lt;=raw_materials!$H19,raw_materials!$G19,0)))</f>
        <v>1</v>
      </c>
      <c r="D30" s="100">
        <f>IF(D21&lt;=raw_materials!$D19,raw_materials!$C19,IF(D21&lt;=raw_materials!$F19,raw_materials!$E19,IF(D21&lt;=raw_materials!$H19,raw_materials!$G19,0)))</f>
        <v>0.8</v>
      </c>
      <c r="E30" s="100">
        <f>IF(E21&lt;=raw_materials!$D19,raw_materials!$C19,IF(E21&lt;=raw_materials!$F19,raw_materials!$E19,IF(E21&lt;=raw_materials!$H19,raw_materials!$G19,0)))</f>
        <v>1</v>
      </c>
      <c r="F30" s="100">
        <f>IF(F21&lt;=raw_materials!$D19,raw_materials!$C19,IF(F21&lt;=raw_materials!$F19,raw_materials!$E19,IF(F21&lt;=raw_materials!$H19,raw_materials!$G19,0)))</f>
        <v>1</v>
      </c>
      <c r="G30" s="100">
        <f>IF(G21&lt;=raw_materials!$D19,raw_materials!$C19,IF(G21&lt;=raw_materials!$F19,raw_materials!$E19,IF(G21&lt;=raw_materials!$H19,raw_materials!$G19,0)))</f>
        <v>1</v>
      </c>
      <c r="H30" s="100">
        <f>IF(H21&lt;=raw_materials!$D19,raw_materials!$C19,IF(H21&lt;=raw_materials!$F19,raw_materials!$E19,IF(H21&lt;=raw_materials!$H19,raw_materials!$G19,0)))</f>
        <v>1</v>
      </c>
      <c r="I30" s="100">
        <f>IF(I21&lt;=raw_materials!$D19,raw_materials!$C19,IF(I21&lt;=raw_materials!$F19,raw_materials!$E19,IF(I21&lt;=raw_materials!$H19,raw_materials!$G19,0)))</f>
        <v>1.2</v>
      </c>
      <c r="J30" s="100">
        <f>IF(J21&lt;=raw_materials!$D19,raw_materials!$C19,IF(J21&lt;=raw_materials!$F19,raw_materials!$E19,IF(J21&lt;=raw_materials!$H19,raw_materials!$G19,0)))</f>
        <v>1</v>
      </c>
      <c r="K30" s="100">
        <f>IF(K21&lt;=raw_materials!$D19,raw_materials!$C19,IF(K21&lt;=raw_materials!$F19,raw_materials!$E19,IF(K21&lt;=raw_materials!$H19,raw_materials!$G19,0)))</f>
        <v>1.2</v>
      </c>
      <c r="L30" s="100">
        <f>IF(L21&lt;=raw_materials!$D19,raw_materials!$C19,IF(L21&lt;=raw_materials!$F19,raw_materials!$E19,IF(L21&lt;=raw_materials!$H19,raw_materials!$G19,0)))</f>
        <v>1.2</v>
      </c>
      <c r="M30" s="100">
        <f>IF(M21&lt;=raw_materials!$D19,raw_materials!$C19,IF(M21&lt;=raw_materials!$F19,raw_materials!$E19,IF(M21&lt;=raw_materials!$H19,raw_materials!$G19,0)))</f>
        <v>1</v>
      </c>
      <c r="N30" s="100">
        <f>IF(N21&lt;=raw_materials!$D19,raw_materials!$C19,IF(N21&lt;=raw_materials!$F19,raw_materials!$E19,IF(N21&lt;=raw_materials!$H19,raw_materials!$G19,0)))</f>
        <v>0</v>
      </c>
    </row>
    <row r="31" spans="2:14">
      <c r="B31" s="99" t="s">
        <v>107</v>
      </c>
      <c r="C31" s="100">
        <f>IF(C22&lt;=raw_materials!$D20,raw_materials!$C20,IF(C22&lt;=raw_materials!$F20,raw_materials!$E20,IF(C22&lt;=raw_materials!$H20,raw_materials!$G20,0)))</f>
        <v>1</v>
      </c>
      <c r="D31" s="100">
        <f>IF(D22&lt;=raw_materials!$D20,raw_materials!$C20,IF(D22&lt;=raw_materials!$F20,raw_materials!$E20,IF(D22&lt;=raw_materials!$H20,raw_materials!$G20,0)))</f>
        <v>1</v>
      </c>
      <c r="E31" s="100">
        <f>IF(E22&lt;=raw_materials!$D20,raw_materials!$C20,IF(E22&lt;=raw_materials!$F20,raw_materials!$E20,IF(E22&lt;=raw_materials!$H20,raw_materials!$G20,0)))</f>
        <v>1</v>
      </c>
      <c r="F31" s="100">
        <f>IF(F22&lt;=raw_materials!$D20,raw_materials!$C20,IF(F22&lt;=raw_materials!$F20,raw_materials!$E20,IF(F22&lt;=raw_materials!$H20,raw_materials!$G20,0)))</f>
        <v>1</v>
      </c>
      <c r="G31" s="100">
        <f>IF(G22&lt;=raw_materials!$D20,raw_materials!$C20,IF(G22&lt;=raw_materials!$F20,raw_materials!$E20,IF(G22&lt;=raw_materials!$H20,raw_materials!$G20,0)))</f>
        <v>1</v>
      </c>
      <c r="H31" s="100">
        <f>IF(H22&lt;=raw_materials!$D20,raw_materials!$C20,IF(H22&lt;=raw_materials!$F20,raw_materials!$E20,IF(H22&lt;=raw_materials!$H20,raw_materials!$G20,0)))</f>
        <v>1</v>
      </c>
      <c r="I31" s="100">
        <f>IF(I22&lt;=raw_materials!$D20,raw_materials!$C20,IF(I22&lt;=raw_materials!$F20,raw_materials!$E20,IF(I22&lt;=raw_materials!$H20,raw_materials!$G20,0)))</f>
        <v>1</v>
      </c>
      <c r="J31" s="100">
        <f>IF(J22&lt;=raw_materials!$D20,raw_materials!$C20,IF(J22&lt;=raw_materials!$F20,raw_materials!$E20,IF(J22&lt;=raw_materials!$H20,raw_materials!$G20,0)))</f>
        <v>1</v>
      </c>
      <c r="K31" s="100">
        <f>IF(K22&lt;=raw_materials!$D20,raw_materials!$C20,IF(K22&lt;=raw_materials!$F20,raw_materials!$E20,IF(K22&lt;=raw_materials!$H20,raw_materials!$G20,0)))</f>
        <v>1</v>
      </c>
      <c r="L31" s="100">
        <f>IF(L22&lt;=raw_materials!$D20,raw_materials!$C20,IF(L22&lt;=raw_materials!$F20,raw_materials!$E20,IF(L22&lt;=raw_materials!$H20,raw_materials!$G20,0)))</f>
        <v>0.8</v>
      </c>
      <c r="M31" s="100">
        <f>IF(M22&lt;=raw_materials!$D20,raw_materials!$C20,IF(M22&lt;=raw_materials!$F20,raw_materials!$E20,IF(M22&lt;=raw_materials!$H20,raw_materials!$G20,0)))</f>
        <v>1</v>
      </c>
      <c r="N31" s="100">
        <f>IF(N22&lt;=raw_materials!$D20,raw_materials!$C20,IF(N22&lt;=raw_materials!$F20,raw_materials!$E20,IF(N22&lt;=raw_materials!$H20,raw_materials!$G20,0)))</f>
        <v>1</v>
      </c>
    </row>
    <row r="32" spans="2:14">
      <c r="B32" s="99" t="s">
        <v>108</v>
      </c>
      <c r="C32" s="100">
        <f>IF(C23&lt;=raw_materials!$D21,raw_materials!$C21,IF(C23&lt;=raw_materials!$F21,raw_materials!$E21,IF(C23&lt;=raw_materials!$H21,raw_materials!$G21,0)))</f>
        <v>1.2</v>
      </c>
      <c r="D32" s="100">
        <f>IF(D23&lt;=raw_materials!$D21,raw_materials!$C21,IF(D23&lt;=raw_materials!$F21,raw_materials!$E21,IF(D23&lt;=raw_materials!$H21,raw_materials!$G21,0)))</f>
        <v>1.2</v>
      </c>
      <c r="E32" s="100">
        <f>IF(E23&lt;=raw_materials!$D21,raw_materials!$C21,IF(E23&lt;=raw_materials!$F21,raw_materials!$E21,IF(E23&lt;=raw_materials!$H21,raw_materials!$G21,0)))</f>
        <v>1.2</v>
      </c>
      <c r="F32" s="100">
        <f>IF(F23&lt;=raw_materials!$D21,raw_materials!$C21,IF(F23&lt;=raw_materials!$F21,raw_materials!$E21,IF(F23&lt;=raw_materials!$H21,raw_materials!$G21,0)))</f>
        <v>1.2</v>
      </c>
      <c r="G32" s="100">
        <f>IF(G23&lt;=raw_materials!$D21,raw_materials!$C21,IF(G23&lt;=raw_materials!$F21,raw_materials!$E21,IF(G23&lt;=raw_materials!$H21,raw_materials!$G21,0)))</f>
        <v>1.2</v>
      </c>
      <c r="H32" s="100">
        <f>IF(H23&lt;=raw_materials!$D21,raw_materials!$C21,IF(H23&lt;=raw_materials!$F21,raw_materials!$E21,IF(H23&lt;=raw_materials!$H21,raw_materials!$G21,0)))</f>
        <v>1.2</v>
      </c>
      <c r="I32" s="100">
        <f>IF(I23&lt;=raw_materials!$D21,raw_materials!$C21,IF(I23&lt;=raw_materials!$F21,raw_materials!$E21,IF(I23&lt;=raw_materials!$H21,raw_materials!$G21,0)))</f>
        <v>1.2</v>
      </c>
      <c r="J32" s="100">
        <f>IF(J23&lt;=raw_materials!$D21,raw_materials!$C21,IF(J23&lt;=raw_materials!$F21,raw_materials!$E21,IF(J23&lt;=raw_materials!$H21,raw_materials!$G21,0)))</f>
        <v>1.2</v>
      </c>
      <c r="K32" s="100">
        <f>IF(K23&lt;=raw_materials!$D21,raw_materials!$C21,IF(K23&lt;=raw_materials!$F21,raw_materials!$E21,IF(K23&lt;=raw_materials!$H21,raw_materials!$G21,0)))</f>
        <v>1.2</v>
      </c>
      <c r="L32" s="100">
        <f>IF(L23&lt;=raw_materials!$D21,raw_materials!$C21,IF(L23&lt;=raw_materials!$F21,raw_materials!$E21,IF(L23&lt;=raw_materials!$H21,raw_materials!$G21,0)))</f>
        <v>1.2</v>
      </c>
      <c r="M32" s="100">
        <f>IF(M23&lt;=raw_materials!$D21,raw_materials!$C21,IF(M23&lt;=raw_materials!$F21,raw_materials!$E21,IF(M23&lt;=raw_materials!$H21,raw_materials!$G21,0)))</f>
        <v>1.2</v>
      </c>
      <c r="N32" s="100">
        <f>IF(N23&lt;=raw_materials!$D21,raw_materials!$C21,IF(N23&lt;=raw_materials!$F21,raw_materials!$E21,IF(N23&lt;=raw_materials!$H21,raw_materials!$G21,0)))</f>
        <v>1.2</v>
      </c>
    </row>
    <row r="33" spans="2:50">
      <c r="B33" s="99" t="s">
        <v>109</v>
      </c>
      <c r="C33" s="100">
        <f>IF(C24&lt;=raw_materials!$D22,raw_materials!$C22,IF(C24&lt;=raw_materials!$F22,raw_materials!$E22,IF(C24&lt;=raw_materials!$H22,raw_materials!$G22,0)))</f>
        <v>1</v>
      </c>
      <c r="D33" s="100">
        <f>IF(D24&lt;=raw_materials!$D22,raw_materials!$C22,IF(D24&lt;=raw_materials!$F22,raw_materials!$E22,IF(D24&lt;=raw_materials!$H22,raw_materials!$G22,0)))</f>
        <v>1</v>
      </c>
      <c r="E33" s="100">
        <f>IF(E24&lt;=raw_materials!$D22,raw_materials!$C22,IF(E24&lt;=raw_materials!$F22,raw_materials!$E22,IF(E24&lt;=raw_materials!$H22,raw_materials!$G22,0)))</f>
        <v>1</v>
      </c>
      <c r="F33" s="100">
        <f>IF(F24&lt;=raw_materials!$D22,raw_materials!$C22,IF(F24&lt;=raw_materials!$F22,raw_materials!$E22,IF(F24&lt;=raw_materials!$H22,raw_materials!$G22,0)))</f>
        <v>1.2</v>
      </c>
      <c r="G33" s="100">
        <f>IF(G24&lt;=raw_materials!$D22,raw_materials!$C22,IF(G24&lt;=raw_materials!$F22,raw_materials!$E22,IF(G24&lt;=raw_materials!$H22,raw_materials!$G22,0)))</f>
        <v>1.2</v>
      </c>
      <c r="H33" s="100">
        <f>IF(H24&lt;=raw_materials!$D22,raw_materials!$C22,IF(H24&lt;=raw_materials!$F22,raw_materials!$E22,IF(H24&lt;=raw_materials!$H22,raw_materials!$G22,0)))</f>
        <v>1</v>
      </c>
      <c r="I33" s="100">
        <f>IF(I24&lt;=raw_materials!$D22,raw_materials!$C22,IF(I24&lt;=raw_materials!$F22,raw_materials!$E22,IF(I24&lt;=raw_materials!$H22,raw_materials!$G22,0)))</f>
        <v>1</v>
      </c>
      <c r="J33" s="100">
        <f>IF(J24&lt;=raw_materials!$D22,raw_materials!$C22,IF(J24&lt;=raw_materials!$F22,raw_materials!$E22,IF(J24&lt;=raw_materials!$H22,raw_materials!$G22,0)))</f>
        <v>0.8</v>
      </c>
      <c r="K33" s="100">
        <f>IF(K24&lt;=raw_materials!$D22,raw_materials!$C22,IF(K24&lt;=raw_materials!$F22,raw_materials!$E22,IF(K24&lt;=raw_materials!$H22,raw_materials!$G22,0)))</f>
        <v>1.2</v>
      </c>
      <c r="L33" s="100">
        <f>IF(L24&lt;=raw_materials!$D22,raw_materials!$C22,IF(L24&lt;=raw_materials!$F22,raw_materials!$E22,IF(L24&lt;=raw_materials!$H22,raw_materials!$G22,0)))</f>
        <v>1</v>
      </c>
      <c r="M33" s="100">
        <f>IF(M24&lt;=raw_materials!$D22,raw_materials!$C22,IF(M24&lt;=raw_materials!$F22,raw_materials!$E22,IF(M24&lt;=raw_materials!$H22,raw_materials!$G22,0)))</f>
        <v>1</v>
      </c>
      <c r="N33" s="100">
        <f>IF(N24&lt;=raw_materials!$D22,raw_materials!$C22,IF(N24&lt;=raw_materials!$F22,raw_materials!$E22,IF(N24&lt;=raw_materials!$H22,raw_materials!$G22,0)))</f>
        <v>0.8</v>
      </c>
    </row>
    <row r="35" spans="2:50">
      <c r="B35" s="103" t="s">
        <v>322</v>
      </c>
    </row>
    <row r="36" spans="2:50">
      <c r="B36" s="170" t="s">
        <v>274</v>
      </c>
      <c r="C36" s="170" t="s">
        <v>92</v>
      </c>
      <c r="D36" s="101"/>
      <c r="E36" s="101"/>
      <c r="F36" s="101"/>
      <c r="G36" s="170" t="s">
        <v>93</v>
      </c>
      <c r="H36" s="101"/>
      <c r="I36" s="101"/>
      <c r="J36" s="101"/>
      <c r="K36" s="170" t="s">
        <v>94</v>
      </c>
      <c r="L36" s="101"/>
      <c r="M36" s="101"/>
      <c r="N36" s="101"/>
      <c r="O36" s="170" t="s">
        <v>95</v>
      </c>
      <c r="P36" s="101"/>
      <c r="Q36" s="101"/>
      <c r="R36" s="101"/>
      <c r="S36" s="170" t="s">
        <v>96</v>
      </c>
      <c r="T36" s="101"/>
      <c r="U36" s="101"/>
      <c r="V36" s="101"/>
      <c r="W36" s="170" t="s">
        <v>97</v>
      </c>
      <c r="X36" s="101"/>
      <c r="Y36" s="101"/>
      <c r="Z36" s="101"/>
      <c r="AA36" s="170" t="s">
        <v>98</v>
      </c>
      <c r="AB36" s="101"/>
      <c r="AC36" s="101"/>
      <c r="AD36" s="101"/>
      <c r="AE36" s="170" t="s">
        <v>99</v>
      </c>
      <c r="AF36" s="101"/>
      <c r="AG36" s="101"/>
      <c r="AH36" s="101"/>
      <c r="AI36" s="170" t="s">
        <v>100</v>
      </c>
      <c r="AJ36" s="101"/>
      <c r="AK36" s="101"/>
      <c r="AL36" s="101"/>
      <c r="AM36" s="170" t="s">
        <v>101</v>
      </c>
      <c r="AN36" s="101"/>
      <c r="AO36" s="101"/>
      <c r="AP36" s="101"/>
      <c r="AQ36" s="170" t="s">
        <v>102</v>
      </c>
      <c r="AR36" s="101"/>
      <c r="AS36" s="101"/>
      <c r="AT36" s="101"/>
      <c r="AU36" s="170" t="s">
        <v>103</v>
      </c>
      <c r="AV36" s="101"/>
      <c r="AW36" s="101"/>
      <c r="AX36" s="101"/>
    </row>
    <row r="37" spans="2:50">
      <c r="B37" s="170" t="s">
        <v>323</v>
      </c>
      <c r="C37" s="170">
        <v>1</v>
      </c>
      <c r="D37" s="170">
        <v>2</v>
      </c>
      <c r="E37" s="170">
        <v>3</v>
      </c>
      <c r="F37" s="170">
        <v>4</v>
      </c>
      <c r="G37" s="170">
        <v>1</v>
      </c>
      <c r="H37" s="170">
        <v>2</v>
      </c>
      <c r="I37" s="170">
        <v>3</v>
      </c>
      <c r="J37" s="170">
        <v>4</v>
      </c>
      <c r="K37" s="170">
        <v>1</v>
      </c>
      <c r="L37" s="170">
        <v>2</v>
      </c>
      <c r="M37" s="170">
        <v>3</v>
      </c>
      <c r="N37" s="170">
        <v>4</v>
      </c>
      <c r="O37" s="170">
        <v>1</v>
      </c>
      <c r="P37" s="170">
        <v>2</v>
      </c>
      <c r="Q37" s="170">
        <v>3</v>
      </c>
      <c r="R37" s="170">
        <v>4</v>
      </c>
      <c r="S37" s="170">
        <v>1</v>
      </c>
      <c r="T37" s="170">
        <v>2</v>
      </c>
      <c r="U37" s="170">
        <v>3</v>
      </c>
      <c r="V37" s="170">
        <v>4</v>
      </c>
      <c r="W37" s="170">
        <v>1</v>
      </c>
      <c r="X37" s="170">
        <v>2</v>
      </c>
      <c r="Y37" s="170">
        <v>3</v>
      </c>
      <c r="Z37" s="170">
        <v>4</v>
      </c>
      <c r="AA37" s="170">
        <v>1</v>
      </c>
      <c r="AB37" s="170">
        <v>2</v>
      </c>
      <c r="AC37" s="170">
        <v>3</v>
      </c>
      <c r="AD37" s="170">
        <v>4</v>
      </c>
      <c r="AE37" s="170">
        <v>1</v>
      </c>
      <c r="AF37" s="170">
        <v>2</v>
      </c>
      <c r="AG37" s="170">
        <v>3</v>
      </c>
      <c r="AH37" s="170">
        <v>4</v>
      </c>
      <c r="AI37" s="170">
        <v>1</v>
      </c>
      <c r="AJ37" s="170">
        <v>2</v>
      </c>
      <c r="AK37" s="170">
        <v>3</v>
      </c>
      <c r="AL37" s="170">
        <v>4</v>
      </c>
      <c r="AM37" s="170">
        <v>1</v>
      </c>
      <c r="AN37" s="170">
        <v>2</v>
      </c>
      <c r="AO37" s="170">
        <v>3</v>
      </c>
      <c r="AP37" s="170">
        <v>4</v>
      </c>
      <c r="AQ37" s="170">
        <v>1</v>
      </c>
      <c r="AR37" s="170">
        <v>2</v>
      </c>
      <c r="AS37" s="170">
        <v>3</v>
      </c>
      <c r="AT37" s="170">
        <v>4</v>
      </c>
      <c r="AU37" s="170">
        <v>1</v>
      </c>
      <c r="AV37" s="170">
        <v>2</v>
      </c>
      <c r="AW37" s="170">
        <v>3</v>
      </c>
      <c r="AX37" s="170">
        <v>4</v>
      </c>
    </row>
    <row r="38" spans="2:50">
      <c r="B38" s="170" t="s">
        <v>104</v>
      </c>
      <c r="C38" s="100">
        <v>25054.902514011505</v>
      </c>
      <c r="D38" s="100">
        <v>25109.81675262624</v>
      </c>
      <c r="E38" s="100">
        <v>25164.733912812586</v>
      </c>
      <c r="F38" s="100">
        <v>25219.64518704552</v>
      </c>
      <c r="G38" s="100">
        <v>25274.541764850626</v>
      </c>
      <c r="H38" s="100">
        <v>25329.41483434946</v>
      </c>
      <c r="I38" s="100">
        <v>25384.255583806131</v>
      </c>
      <c r="J38" s="100">
        <v>25439.055203174696</v>
      </c>
      <c r="K38" s="100">
        <v>25493.804885647136</v>
      </c>
      <c r="L38" s="100">
        <v>25548.495829201689</v>
      </c>
      <c r="M38" s="100">
        <v>25603.119238151201</v>
      </c>
      <c r="N38" s="100">
        <v>25657.666324691218</v>
      </c>
      <c r="O38" s="100">
        <v>25712.128310447646</v>
      </c>
      <c r="P38" s="100">
        <v>25766.496428023554</v>
      </c>
      <c r="Q38" s="100">
        <v>25820.761922544945</v>
      </c>
      <c r="R38" s="100">
        <v>25874.916053205223</v>
      </c>
      <c r="S38" s="100">
        <v>25928.950094808049</v>
      </c>
      <c r="T38" s="100">
        <v>25982.855339308269</v>
      </c>
      <c r="U38" s="100">
        <v>26036.623097350748</v>
      </c>
      <c r="V38" s="100">
        <v>26090.24469980675</v>
      </c>
      <c r="W38" s="100">
        <v>26143.711499307632</v>
      </c>
      <c r="X38" s="100">
        <v>26197.014871775551</v>
      </c>
      <c r="Y38" s="100">
        <v>26250.146217950878</v>
      </c>
      <c r="Z38" s="100">
        <v>26303.096964916222</v>
      </c>
      <c r="AA38" s="100">
        <v>26355.858567616488</v>
      </c>
      <c r="AB38" s="100">
        <v>26408.422510375025</v>
      </c>
      <c r="AC38" s="100">
        <v>26460.780308405316</v>
      </c>
      <c r="AD38" s="100">
        <v>26512.923509318131</v>
      </c>
      <c r="AE38" s="100">
        <v>26564.8436946238</v>
      </c>
      <c r="AF38" s="100">
        <v>26616.532481229282</v>
      </c>
      <c r="AG38" s="100">
        <v>26667.981522929855</v>
      </c>
      <c r="AH38" s="100">
        <v>26719.182511895149</v>
      </c>
      <c r="AI38" s="100">
        <v>26770.127180149142</v>
      </c>
      <c r="AJ38" s="100">
        <v>26820.807301044035</v>
      </c>
      <c r="AK38" s="100">
        <v>26871.21469072756</v>
      </c>
      <c r="AL38" s="100">
        <v>26921.341209603564</v>
      </c>
      <c r="AM38" s="100">
        <v>26971.178763785614</v>
      </c>
      <c r="AN38" s="100">
        <v>27020.719306543244</v>
      </c>
      <c r="AO38" s="100">
        <v>27069.954839740756</v>
      </c>
      <c r="AP38" s="100">
        <v>27118.877415268147</v>
      </c>
      <c r="AQ38" s="100">
        <v>27167.47913646403</v>
      </c>
      <c r="AR38" s="100">
        <v>27215.752159530173</v>
      </c>
      <c r="AS38" s="100">
        <v>27263.688694937566</v>
      </c>
      <c r="AT38" s="100">
        <v>27311.281008823513</v>
      </c>
      <c r="AU38" s="100">
        <v>27358.521424379818</v>
      </c>
      <c r="AV38" s="100">
        <v>27405.40232323145</v>
      </c>
      <c r="AW38" s="100">
        <v>27451.916146805794</v>
      </c>
      <c r="AX38" s="100">
        <v>27498.055397691911</v>
      </c>
    </row>
    <row r="39" spans="2:50">
      <c r="B39" s="170" t="s">
        <v>105</v>
      </c>
      <c r="C39" s="100">
        <v>10523.059055884833</v>
      </c>
      <c r="D39" s="100">
        <v>10546.123036103019</v>
      </c>
      <c r="E39" s="100">
        <v>15098.84034768755</v>
      </c>
      <c r="F39" s="100">
        <v>15131.787112227312</v>
      </c>
      <c r="G39" s="100">
        <v>15164.725058910377</v>
      </c>
      <c r="H39" s="100">
        <v>15197.648900609674</v>
      </c>
      <c r="I39" s="100">
        <v>15230.553350283679</v>
      </c>
      <c r="J39" s="100">
        <v>15263.433121904818</v>
      </c>
      <c r="K39" s="100">
        <v>15296.282931388283</v>
      </c>
      <c r="L39" s="100">
        <v>15329.097497521014</v>
      </c>
      <c r="M39" s="100">
        <v>15361.87154289072</v>
      </c>
      <c r="N39" s="100">
        <v>15394.599794814729</v>
      </c>
      <c r="O39" s="100">
        <v>15427.276986268587</v>
      </c>
      <c r="P39" s="100">
        <v>15459.897856814132</v>
      </c>
      <c r="Q39" s="100">
        <v>15492.457153526968</v>
      </c>
      <c r="R39" s="100">
        <v>15524.949631923135</v>
      </c>
      <c r="S39" s="100">
        <v>15557.370056884829</v>
      </c>
      <c r="T39" s="100">
        <v>15589.713203584963</v>
      </c>
      <c r="U39" s="100">
        <v>15621.973858410449</v>
      </c>
      <c r="V39" s="100">
        <v>15654.14681988405</v>
      </c>
      <c r="W39" s="100">
        <v>15686.226899584581</v>
      </c>
      <c r="X39" s="100">
        <v>15718.208923065331</v>
      </c>
      <c r="Y39" s="100">
        <v>11025.061411539367</v>
      </c>
      <c r="Z39" s="100">
        <v>15781.858178949733</v>
      </c>
      <c r="AA39" s="100">
        <v>15813.515140569893</v>
      </c>
      <c r="AB39" s="100">
        <v>15845.053506225015</v>
      </c>
      <c r="AC39" s="100">
        <v>15876.468185043188</v>
      </c>
      <c r="AD39" s="100">
        <v>15907.754105590879</v>
      </c>
      <c r="AE39" s="100">
        <v>15938.90621677428</v>
      </c>
      <c r="AF39" s="100">
        <v>15969.919488737569</v>
      </c>
      <c r="AG39" s="100">
        <v>16000.788913757913</v>
      </c>
      <c r="AH39" s="100">
        <v>16031.509507137089</v>
      </c>
      <c r="AI39" s="100">
        <v>16062.076308089485</v>
      </c>
      <c r="AJ39" s="100">
        <v>16092.48438062642</v>
      </c>
      <c r="AK39" s="100">
        <v>16122.728814436536</v>
      </c>
      <c r="AL39" s="100">
        <v>16152.80472576214</v>
      </c>
      <c r="AM39" s="100">
        <v>16182.707258271368</v>
      </c>
      <c r="AN39" s="100">
        <v>16212.431583925947</v>
      </c>
      <c r="AO39" s="100">
        <v>16241.972903844453</v>
      </c>
      <c r="AP39" s="100">
        <v>16271.326449160888</v>
      </c>
      <c r="AQ39" s="100">
        <v>16300.487481878417</v>
      </c>
      <c r="AR39" s="100">
        <v>16329.451295718105</v>
      </c>
      <c r="AS39" s="100">
        <v>16358.213216962538</v>
      </c>
      <c r="AT39" s="100">
        <v>16386.768605294106</v>
      </c>
      <c r="AU39" s="100">
        <v>16415.112854627889</v>
      </c>
      <c r="AV39" s="100">
        <v>11510.268975757208</v>
      </c>
      <c r="AW39" s="100">
        <v>16471.149688083475</v>
      </c>
      <c r="AX39" s="100">
        <v>16498.833238615145</v>
      </c>
    </row>
    <row r="40" spans="2:50">
      <c r="B40" s="170" t="s">
        <v>106</v>
      </c>
      <c r="C40" s="100">
        <v>5010.9805028023011</v>
      </c>
      <c r="D40" s="100">
        <v>5021.9633505252477</v>
      </c>
      <c r="E40" s="100">
        <v>5032.946782562517</v>
      </c>
      <c r="F40" s="100">
        <v>5043.9290374091042</v>
      </c>
      <c r="G40" s="100">
        <v>5054.9083529701256</v>
      </c>
      <c r="H40" s="100">
        <v>5065.8829668698918</v>
      </c>
      <c r="I40" s="100">
        <v>507.68511167612263</v>
      </c>
      <c r="J40" s="100">
        <v>5087.8110406349388</v>
      </c>
      <c r="K40" s="100">
        <v>3569.1326839905992</v>
      </c>
      <c r="L40" s="100">
        <v>3576.7894160882365</v>
      </c>
      <c r="M40" s="100">
        <v>5120.6238476302397</v>
      </c>
      <c r="N40" s="100">
        <v>5131.5332649382435</v>
      </c>
      <c r="O40" s="100">
        <v>5142.4256620895294</v>
      </c>
      <c r="P40" s="100">
        <v>5153.2992856047113</v>
      </c>
      <c r="Q40" s="100">
        <v>2065.6609538035959</v>
      </c>
      <c r="R40" s="100">
        <v>5174.9832106410449</v>
      </c>
      <c r="S40" s="100">
        <v>5185.7900189616103</v>
      </c>
      <c r="T40" s="100">
        <v>5196.5710678616542</v>
      </c>
      <c r="U40" s="100">
        <v>5207.3246194701496</v>
      </c>
      <c r="V40" s="100">
        <v>521.80489399613498</v>
      </c>
      <c r="W40" s="100">
        <v>5228.7422998615266</v>
      </c>
      <c r="X40" s="100">
        <v>5239.40297435511</v>
      </c>
      <c r="Y40" s="100">
        <v>5250.0292435901756</v>
      </c>
      <c r="Z40" s="100">
        <v>5260.6193929832443</v>
      </c>
      <c r="AA40" s="100">
        <v>5271.1717135232975</v>
      </c>
      <c r="AB40" s="100">
        <v>5281.6845020750052</v>
      </c>
      <c r="AC40" s="100">
        <v>5292.156061681063</v>
      </c>
      <c r="AD40" s="100">
        <v>5302.5847018636268</v>
      </c>
      <c r="AE40" s="100">
        <v>5312.9687389247601</v>
      </c>
      <c r="AF40" s="100">
        <v>5323.3064962458566</v>
      </c>
      <c r="AG40" s="100">
        <v>5333.5963045859717</v>
      </c>
      <c r="AH40" s="100">
        <v>5343.8365023790293</v>
      </c>
      <c r="AI40" s="100">
        <v>5354.0254360298286</v>
      </c>
      <c r="AJ40" s="100">
        <v>5364.1614602088066</v>
      </c>
      <c r="AK40" s="100">
        <v>5374.2429381455113</v>
      </c>
      <c r="AL40" s="100">
        <v>5384.2682419207131</v>
      </c>
      <c r="AM40" s="100">
        <v>5394.2357527571221</v>
      </c>
      <c r="AN40" s="100">
        <v>5404.1438613086484</v>
      </c>
      <c r="AO40" s="100">
        <v>5413.9909679481507</v>
      </c>
      <c r="AP40" s="100">
        <v>5423.7754830536296</v>
      </c>
      <c r="AQ40" s="100">
        <v>5433.4958272928061</v>
      </c>
      <c r="AR40" s="100">
        <v>5443.150431906035</v>
      </c>
      <c r="AS40" s="100">
        <v>5452.7377389875128</v>
      </c>
      <c r="AT40" s="100">
        <v>5462.2562017647024</v>
      </c>
      <c r="AU40" s="100">
        <v>3830.1929994131742</v>
      </c>
      <c r="AV40" s="100">
        <v>3836.7563252524028</v>
      </c>
      <c r="AW40" s="100">
        <v>2196.1532917444638</v>
      </c>
      <c r="AX40" s="100">
        <v>549.96110795383822</v>
      </c>
    </row>
    <row r="41" spans="2:50">
      <c r="B41" s="170" t="s">
        <v>107</v>
      </c>
      <c r="C41" s="100">
        <v>3006.5883016813805</v>
      </c>
      <c r="D41" s="100">
        <v>3013.1780103151486</v>
      </c>
      <c r="E41" s="100">
        <v>3019.7680695375102</v>
      </c>
      <c r="F41" s="100">
        <v>3026.3574224454624</v>
      </c>
      <c r="G41" s="100">
        <v>3032.9450117820752</v>
      </c>
      <c r="H41" s="100">
        <v>3039.5297801219349</v>
      </c>
      <c r="I41" s="100">
        <v>3046.1106700567357</v>
      </c>
      <c r="J41" s="100">
        <v>3052.6866243809636</v>
      </c>
      <c r="K41" s="100">
        <v>3059.2565862776564</v>
      </c>
      <c r="L41" s="100">
        <v>2146.0736496529416</v>
      </c>
      <c r="M41" s="100">
        <v>2150.6620160047005</v>
      </c>
      <c r="N41" s="100">
        <v>3078.9199589629461</v>
      </c>
      <c r="O41" s="100">
        <v>3085.4553972537178</v>
      </c>
      <c r="P41" s="100">
        <v>3091.9795713628264</v>
      </c>
      <c r="Q41" s="100">
        <v>2168.9440014937754</v>
      </c>
      <c r="R41" s="100">
        <v>2173.4929484692389</v>
      </c>
      <c r="S41" s="100">
        <v>2178.031807963876</v>
      </c>
      <c r="T41" s="100">
        <v>3117.9426407169926</v>
      </c>
      <c r="U41" s="100">
        <v>3124.3947716820899</v>
      </c>
      <c r="V41" s="100">
        <v>3130.8293639768099</v>
      </c>
      <c r="W41" s="100">
        <v>3137.2453799169161</v>
      </c>
      <c r="X41" s="100">
        <v>3143.6417846130662</v>
      </c>
      <c r="Y41" s="100">
        <v>3150.0175461541053</v>
      </c>
      <c r="Z41" s="100">
        <v>3156.3716357899466</v>
      </c>
      <c r="AA41" s="100">
        <v>3162.7030281139782</v>
      </c>
      <c r="AB41" s="100">
        <v>3169.010701245003</v>
      </c>
      <c r="AC41" s="100">
        <v>3175.2936370086377</v>
      </c>
      <c r="AD41" s="100">
        <v>3181.5508211181759</v>
      </c>
      <c r="AE41" s="100">
        <v>3187.7812433548561</v>
      </c>
      <c r="AF41" s="100">
        <v>3193.9838977475138</v>
      </c>
      <c r="AG41" s="100">
        <v>3200.1577827515825</v>
      </c>
      <c r="AH41" s="100">
        <v>3206.3019014274178</v>
      </c>
      <c r="AI41" s="100">
        <v>3212.4152616178967</v>
      </c>
      <c r="AJ41" s="100">
        <v>3218.496876125284</v>
      </c>
      <c r="AK41" s="100">
        <v>3224.5457628873069</v>
      </c>
      <c r="AL41" s="100">
        <v>3230.5609451524278</v>
      </c>
      <c r="AM41" s="100">
        <v>3236.5414516542737</v>
      </c>
      <c r="AN41" s="100">
        <v>3242.486316785189</v>
      </c>
      <c r="AO41" s="100">
        <v>1299.3578323075562</v>
      </c>
      <c r="AP41" s="100">
        <v>1301.7061159328712</v>
      </c>
      <c r="AQ41" s="100">
        <v>3260.0974963756835</v>
      </c>
      <c r="AR41" s="100">
        <v>3265.8902591436208</v>
      </c>
      <c r="AS41" s="100">
        <v>3271.6426433925076</v>
      </c>
      <c r="AT41" s="100">
        <v>3277.3537210588215</v>
      </c>
      <c r="AU41" s="100">
        <v>3283.0225709255783</v>
      </c>
      <c r="AV41" s="100">
        <v>3288.648278787774</v>
      </c>
      <c r="AW41" s="100">
        <v>3294.2299376166952</v>
      </c>
      <c r="AX41" s="100">
        <v>3299.7666477230291</v>
      </c>
    </row>
    <row r="42" spans="2:50">
      <c r="B42" s="170" t="s">
        <v>108</v>
      </c>
      <c r="C42" s="100">
        <v>10000000</v>
      </c>
      <c r="D42" s="100">
        <v>10000000</v>
      </c>
      <c r="E42" s="100">
        <v>10000000</v>
      </c>
      <c r="F42" s="100">
        <v>10000000</v>
      </c>
      <c r="G42" s="100">
        <v>10000000</v>
      </c>
      <c r="H42" s="100">
        <v>10000000</v>
      </c>
      <c r="I42" s="100">
        <v>10000000</v>
      </c>
      <c r="J42" s="100">
        <v>10000000</v>
      </c>
      <c r="K42" s="100">
        <v>10000000</v>
      </c>
      <c r="L42" s="100">
        <v>10000000</v>
      </c>
      <c r="M42" s="100">
        <v>10000000</v>
      </c>
      <c r="N42" s="100">
        <v>10000000</v>
      </c>
      <c r="O42" s="100">
        <v>10000000</v>
      </c>
      <c r="P42" s="100">
        <v>10000000</v>
      </c>
      <c r="Q42" s="100">
        <v>10000000</v>
      </c>
      <c r="R42" s="100">
        <v>10000000</v>
      </c>
      <c r="S42" s="100">
        <v>10000000</v>
      </c>
      <c r="T42" s="100">
        <v>10000000</v>
      </c>
      <c r="U42" s="100">
        <v>10000000</v>
      </c>
      <c r="V42" s="100">
        <v>10000000</v>
      </c>
      <c r="W42" s="100">
        <v>10000000</v>
      </c>
      <c r="X42" s="100">
        <v>10000000</v>
      </c>
      <c r="Y42" s="100">
        <v>10000000</v>
      </c>
      <c r="Z42" s="100">
        <v>10000000</v>
      </c>
      <c r="AA42" s="100">
        <v>10000000</v>
      </c>
      <c r="AB42" s="100">
        <v>10000000</v>
      </c>
      <c r="AC42" s="100">
        <v>10000000</v>
      </c>
      <c r="AD42" s="100">
        <v>10000000</v>
      </c>
      <c r="AE42" s="100">
        <v>10000000</v>
      </c>
      <c r="AF42" s="100">
        <v>10000000</v>
      </c>
      <c r="AG42" s="100">
        <v>10000000</v>
      </c>
      <c r="AH42" s="100">
        <v>10000000</v>
      </c>
      <c r="AI42" s="100">
        <v>10000000</v>
      </c>
      <c r="AJ42" s="100">
        <v>10000000</v>
      </c>
      <c r="AK42" s="100">
        <v>10000000</v>
      </c>
      <c r="AL42" s="100">
        <v>10000000</v>
      </c>
      <c r="AM42" s="100">
        <v>10000000</v>
      </c>
      <c r="AN42" s="100">
        <v>10000000</v>
      </c>
      <c r="AO42" s="100">
        <v>10000000</v>
      </c>
      <c r="AP42" s="100">
        <v>10000000</v>
      </c>
      <c r="AQ42" s="100">
        <v>10000000</v>
      </c>
      <c r="AR42" s="100">
        <v>10000000</v>
      </c>
      <c r="AS42" s="100">
        <v>10000000</v>
      </c>
      <c r="AT42" s="100">
        <v>10000000</v>
      </c>
      <c r="AU42" s="100">
        <v>10000000</v>
      </c>
      <c r="AV42" s="100">
        <v>10000000</v>
      </c>
      <c r="AW42" s="100">
        <v>10000000</v>
      </c>
      <c r="AX42" s="100">
        <v>10000000</v>
      </c>
    </row>
    <row r="43" spans="2:50">
      <c r="B43" s="170" t="s">
        <v>109</v>
      </c>
      <c r="C43" s="100">
        <v>10000000</v>
      </c>
      <c r="D43" s="100">
        <v>10000000</v>
      </c>
      <c r="E43" s="100">
        <v>10000000</v>
      </c>
      <c r="F43" s="100">
        <v>10000000</v>
      </c>
      <c r="G43" s="100">
        <v>10000000</v>
      </c>
      <c r="H43" s="100">
        <v>10000000</v>
      </c>
      <c r="I43" s="100">
        <v>10000000</v>
      </c>
      <c r="J43" s="100">
        <v>10000000</v>
      </c>
      <c r="K43" s="100">
        <v>10000000</v>
      </c>
      <c r="L43" s="100">
        <v>10000000</v>
      </c>
      <c r="M43" s="100">
        <v>10000000</v>
      </c>
      <c r="N43" s="100">
        <v>10000000</v>
      </c>
      <c r="O43" s="100">
        <v>10000000</v>
      </c>
      <c r="P43" s="100">
        <v>10000000</v>
      </c>
      <c r="Q43" s="100">
        <v>10000000</v>
      </c>
      <c r="R43" s="100">
        <v>10000000</v>
      </c>
      <c r="S43" s="100">
        <v>10000000</v>
      </c>
      <c r="T43" s="100">
        <v>10000000</v>
      </c>
      <c r="U43" s="100">
        <v>10000000</v>
      </c>
      <c r="V43" s="100">
        <v>10000000</v>
      </c>
      <c r="W43" s="100">
        <v>10000000</v>
      </c>
      <c r="X43" s="100">
        <v>10000000</v>
      </c>
      <c r="Y43" s="100">
        <v>10000000</v>
      </c>
      <c r="Z43" s="100">
        <v>10000000</v>
      </c>
      <c r="AA43" s="100">
        <v>10000000</v>
      </c>
      <c r="AB43" s="100">
        <v>10000000</v>
      </c>
      <c r="AC43" s="100">
        <v>10000000</v>
      </c>
      <c r="AD43" s="100">
        <v>10000000</v>
      </c>
      <c r="AE43" s="100">
        <v>10000000</v>
      </c>
      <c r="AF43" s="100">
        <v>10000000</v>
      </c>
      <c r="AG43" s="100">
        <v>10000000</v>
      </c>
      <c r="AH43" s="100">
        <v>10000000</v>
      </c>
      <c r="AI43" s="100">
        <v>10000000</v>
      </c>
      <c r="AJ43" s="100">
        <v>10000000</v>
      </c>
      <c r="AK43" s="100">
        <v>10000000</v>
      </c>
      <c r="AL43" s="100">
        <v>10000000</v>
      </c>
      <c r="AM43" s="100">
        <v>10000000</v>
      </c>
      <c r="AN43" s="100">
        <v>10000000</v>
      </c>
      <c r="AO43" s="100">
        <v>10000000</v>
      </c>
      <c r="AP43" s="100">
        <v>10000000</v>
      </c>
      <c r="AQ43" s="100">
        <v>10000000</v>
      </c>
      <c r="AR43" s="100">
        <v>10000000</v>
      </c>
      <c r="AS43" s="100">
        <v>10000000</v>
      </c>
      <c r="AT43" s="100">
        <v>10000000</v>
      </c>
      <c r="AU43" s="100">
        <v>10000000</v>
      </c>
      <c r="AV43" s="100">
        <v>10000000</v>
      </c>
      <c r="AW43" s="100">
        <v>10000000</v>
      </c>
      <c r="AX43" s="100">
        <v>10000000</v>
      </c>
    </row>
    <row r="45" spans="2:50">
      <c r="B45" s="103" t="s">
        <v>324</v>
      </c>
    </row>
    <row r="46" spans="2:50">
      <c r="B46" s="99" t="s">
        <v>274</v>
      </c>
      <c r="C46" s="99" t="s">
        <v>92</v>
      </c>
      <c r="D46" s="101"/>
      <c r="E46" s="101"/>
      <c r="F46" s="101"/>
      <c r="G46" s="99" t="s">
        <v>93</v>
      </c>
      <c r="H46" s="101"/>
      <c r="I46" s="101"/>
      <c r="J46" s="101"/>
      <c r="K46" s="99" t="s">
        <v>94</v>
      </c>
      <c r="L46" s="101"/>
      <c r="M46" s="101"/>
      <c r="N46" s="101"/>
      <c r="O46" s="99" t="s">
        <v>95</v>
      </c>
      <c r="P46" s="101"/>
      <c r="Q46" s="101"/>
      <c r="R46" s="101"/>
      <c r="S46" s="99" t="s">
        <v>96</v>
      </c>
      <c r="T46" s="101"/>
      <c r="U46" s="101"/>
      <c r="V46" s="101"/>
      <c r="W46" s="99" t="s">
        <v>97</v>
      </c>
      <c r="X46" s="101"/>
      <c r="Y46" s="101"/>
      <c r="Z46" s="101"/>
      <c r="AA46" s="99" t="s">
        <v>98</v>
      </c>
      <c r="AB46" s="101"/>
      <c r="AC46" s="101"/>
      <c r="AD46" s="101"/>
      <c r="AE46" s="99" t="s">
        <v>99</v>
      </c>
      <c r="AF46" s="101"/>
      <c r="AG46" s="101"/>
      <c r="AH46" s="101"/>
      <c r="AI46" s="99" t="s">
        <v>100</v>
      </c>
      <c r="AJ46" s="101"/>
      <c r="AK46" s="101"/>
      <c r="AL46" s="101"/>
      <c r="AM46" s="99" t="s">
        <v>101</v>
      </c>
      <c r="AN46" s="101"/>
      <c r="AO46" s="101"/>
      <c r="AP46" s="101"/>
      <c r="AQ46" s="99" t="s">
        <v>102</v>
      </c>
      <c r="AR46" s="101"/>
      <c r="AS46" s="101"/>
      <c r="AT46" s="101"/>
      <c r="AU46" s="99" t="s">
        <v>103</v>
      </c>
      <c r="AV46" s="101"/>
      <c r="AW46" s="101"/>
    </row>
    <row r="47" spans="2:50">
      <c r="B47" s="99" t="s">
        <v>325</v>
      </c>
      <c r="C47" s="99">
        <v>1</v>
      </c>
      <c r="D47" s="99">
        <v>2</v>
      </c>
      <c r="E47" s="99">
        <v>3</v>
      </c>
      <c r="F47" s="99">
        <v>4</v>
      </c>
      <c r="G47" s="99">
        <v>1</v>
      </c>
      <c r="H47" s="99">
        <v>2</v>
      </c>
      <c r="I47" s="99">
        <v>3</v>
      </c>
      <c r="J47" s="99">
        <v>4</v>
      </c>
      <c r="K47" s="99">
        <v>1</v>
      </c>
      <c r="L47" s="99">
        <v>2</v>
      </c>
      <c r="M47" s="99">
        <v>3</v>
      </c>
      <c r="N47" s="99">
        <v>4</v>
      </c>
      <c r="O47" s="99">
        <v>1</v>
      </c>
      <c r="P47" s="99">
        <v>2</v>
      </c>
      <c r="Q47" s="99">
        <v>3</v>
      </c>
      <c r="R47" s="99">
        <v>4</v>
      </c>
      <c r="S47" s="99">
        <v>1</v>
      </c>
      <c r="T47" s="99">
        <v>2</v>
      </c>
      <c r="U47" s="99">
        <v>3</v>
      </c>
      <c r="V47" s="99">
        <v>4</v>
      </c>
      <c r="W47" s="99">
        <v>1</v>
      </c>
      <c r="X47" s="99">
        <v>2</v>
      </c>
      <c r="Y47" s="99">
        <v>3</v>
      </c>
      <c r="Z47" s="99">
        <v>4</v>
      </c>
      <c r="AA47" s="99">
        <v>1</v>
      </c>
      <c r="AB47" s="99">
        <v>2</v>
      </c>
      <c r="AC47" s="99">
        <v>3</v>
      </c>
      <c r="AD47" s="99">
        <v>4</v>
      </c>
      <c r="AE47" s="99">
        <v>1</v>
      </c>
      <c r="AF47" s="99">
        <v>2</v>
      </c>
      <c r="AG47" s="99">
        <v>3</v>
      </c>
      <c r="AH47" s="99">
        <v>4</v>
      </c>
      <c r="AI47" s="99">
        <v>1</v>
      </c>
      <c r="AJ47" s="99">
        <v>2</v>
      </c>
      <c r="AK47" s="99">
        <v>3</v>
      </c>
      <c r="AL47" s="99">
        <v>4</v>
      </c>
      <c r="AM47" s="99">
        <v>1</v>
      </c>
      <c r="AN47" s="99">
        <v>2</v>
      </c>
      <c r="AO47" s="99">
        <v>3</v>
      </c>
      <c r="AP47" s="99">
        <v>4</v>
      </c>
      <c r="AQ47" s="99">
        <v>1</v>
      </c>
      <c r="AR47" s="99">
        <v>2</v>
      </c>
      <c r="AS47" s="99">
        <v>3</v>
      </c>
      <c r="AT47" s="99">
        <v>4</v>
      </c>
      <c r="AU47" s="99">
        <v>1</v>
      </c>
      <c r="AV47" s="99">
        <v>2</v>
      </c>
      <c r="AW47" s="99">
        <v>3</v>
      </c>
      <c r="AX47" s="99">
        <v>4</v>
      </c>
    </row>
    <row r="48" spans="2:50">
      <c r="B48" s="99" t="s">
        <v>104</v>
      </c>
      <c r="C48" s="100">
        <v>1939.7251294472078</v>
      </c>
      <c r="D48" s="100">
        <v>1939.7251294472078</v>
      </c>
      <c r="E48" s="100">
        <v>1939.7251294472078</v>
      </c>
      <c r="F48" s="100">
        <v>1939.7251294472078</v>
      </c>
      <c r="G48" s="100">
        <v>1939.7251294472078</v>
      </c>
      <c r="H48" s="100">
        <v>1939.7251294472078</v>
      </c>
      <c r="I48" s="100">
        <v>1939.7251294472078</v>
      </c>
      <c r="J48" s="100">
        <v>1939.7251294472078</v>
      </c>
      <c r="K48" s="100">
        <v>1939.7251294472078</v>
      </c>
      <c r="L48" s="100">
        <v>1939.7251294472078</v>
      </c>
      <c r="M48" s="100">
        <v>1939.7251294472078</v>
      </c>
      <c r="N48" s="100">
        <v>1939.7251294472078</v>
      </c>
      <c r="O48" s="100">
        <v>1939.7251294472078</v>
      </c>
      <c r="P48" s="100">
        <v>1939.7251294472078</v>
      </c>
      <c r="Q48" s="100">
        <v>1939.7251294472078</v>
      </c>
      <c r="R48" s="100">
        <v>1939.7251294472078</v>
      </c>
      <c r="S48" s="100">
        <v>1939.7251294472078</v>
      </c>
      <c r="T48" s="100">
        <v>1939.7251294472078</v>
      </c>
      <c r="U48" s="100">
        <v>1939.7251294472078</v>
      </c>
      <c r="V48" s="100">
        <v>1939.7251294472078</v>
      </c>
      <c r="W48" s="100">
        <v>1939.7251294472078</v>
      </c>
      <c r="X48" s="100">
        <v>1939.7251294472078</v>
      </c>
      <c r="Y48" s="100">
        <v>1939.7251294472078</v>
      </c>
      <c r="Z48" s="100">
        <v>1939.7251294472078</v>
      </c>
      <c r="AA48" s="100">
        <v>1939.7251294472078</v>
      </c>
      <c r="AB48" s="100">
        <v>1939.7251294472078</v>
      </c>
      <c r="AC48" s="100">
        <v>1939.7251294472078</v>
      </c>
      <c r="AD48" s="100">
        <v>1939.7251294472078</v>
      </c>
      <c r="AE48" s="100">
        <v>2327.6701553366493</v>
      </c>
      <c r="AF48" s="100">
        <v>2327.6701553366493</v>
      </c>
      <c r="AG48" s="100">
        <v>2327.6701553366493</v>
      </c>
      <c r="AH48" s="100">
        <v>2327.6701553366493</v>
      </c>
      <c r="AI48" s="100">
        <v>1939.7251294472078</v>
      </c>
      <c r="AJ48" s="100">
        <v>1939.7251294472078</v>
      </c>
      <c r="AK48" s="100">
        <v>1939.7251294472078</v>
      </c>
      <c r="AL48" s="100">
        <v>1939.7251294472078</v>
      </c>
      <c r="AM48" s="100">
        <v>1939.7251294472078</v>
      </c>
      <c r="AN48" s="100">
        <v>1939.7251294472078</v>
      </c>
      <c r="AO48" s="100">
        <v>1939.7251294472078</v>
      </c>
      <c r="AP48" s="100">
        <v>1939.7251294472078</v>
      </c>
      <c r="AQ48" s="100">
        <v>1939.7251294472078</v>
      </c>
      <c r="AR48" s="100">
        <v>1939.7251294472078</v>
      </c>
      <c r="AS48" s="100">
        <v>1939.7251294472078</v>
      </c>
      <c r="AT48" s="100">
        <v>1939.7251294472078</v>
      </c>
      <c r="AU48" s="100">
        <v>1939.7251294472078</v>
      </c>
      <c r="AV48" s="100">
        <v>1939.7251294472078</v>
      </c>
      <c r="AW48" s="100">
        <v>1939.7251294472078</v>
      </c>
      <c r="AX48" s="100">
        <v>1939.7251294472078</v>
      </c>
    </row>
    <row r="49" spans="2:51">
      <c r="B49" s="99" t="s">
        <v>105</v>
      </c>
      <c r="C49" s="100">
        <v>3.5405814086345522E-22</v>
      </c>
      <c r="D49" s="100">
        <v>3.5405814086345522E-22</v>
      </c>
      <c r="E49" s="100">
        <v>3.5405814086345522E-22</v>
      </c>
      <c r="F49" s="100">
        <v>3.5405814086345522E-22</v>
      </c>
      <c r="G49" s="100">
        <v>3.5405814086345522E-22</v>
      </c>
      <c r="H49" s="100">
        <v>3.5405814086345522E-22</v>
      </c>
      <c r="I49" s="100">
        <v>3.5405814086345522E-22</v>
      </c>
      <c r="J49" s="100">
        <v>3.5405814086345522E-22</v>
      </c>
      <c r="K49" s="100">
        <v>3.5405814086345522E-22</v>
      </c>
      <c r="L49" s="100">
        <v>3.5405814086345522E-22</v>
      </c>
      <c r="M49" s="100">
        <v>3.5405814086345522E-22</v>
      </c>
      <c r="N49" s="100">
        <v>3.5405814086345522E-22</v>
      </c>
      <c r="O49" s="100">
        <v>3.5405814086345522E-22</v>
      </c>
      <c r="P49" s="100">
        <v>3.5405814086345522E-22</v>
      </c>
      <c r="Q49" s="100">
        <v>3.5405814086345522E-22</v>
      </c>
      <c r="R49" s="100">
        <v>3.5405814086345522E-22</v>
      </c>
      <c r="S49" s="100">
        <v>3.5405814086345522E-22</v>
      </c>
      <c r="T49" s="100">
        <v>3.5405814086345522E-22</v>
      </c>
      <c r="U49" s="100">
        <v>3.5405814086345522E-22</v>
      </c>
      <c r="V49" s="100">
        <v>3.5405814086345522E-22</v>
      </c>
      <c r="W49" s="100">
        <v>3.5405814086345522E-22</v>
      </c>
      <c r="X49" s="100">
        <v>3.5405814086345522E-22</v>
      </c>
      <c r="Y49" s="100">
        <v>3.5405814086345522E-22</v>
      </c>
      <c r="Z49" s="100">
        <v>3.5405814086345522E-22</v>
      </c>
      <c r="AA49" s="100">
        <v>3.5405814086345522E-22</v>
      </c>
      <c r="AB49" s="100">
        <v>3.5405814086345522E-22</v>
      </c>
      <c r="AC49" s="100">
        <v>3.5405814086345522E-22</v>
      </c>
      <c r="AD49" s="100">
        <v>3.5405814086345522E-22</v>
      </c>
      <c r="AE49" s="100">
        <v>3.5405814086345522E-22</v>
      </c>
      <c r="AF49" s="100">
        <v>3.5405814086345522E-22</v>
      </c>
      <c r="AG49" s="100">
        <v>3.5405814086345522E-22</v>
      </c>
      <c r="AH49" s="100">
        <v>3.5405814086345522E-22</v>
      </c>
      <c r="AI49" s="100">
        <v>3.5405814086345522E-22</v>
      </c>
      <c r="AJ49" s="100">
        <v>3.5405814086345522E-22</v>
      </c>
      <c r="AK49" s="100">
        <v>3.5405814086345522E-22</v>
      </c>
      <c r="AL49" s="100">
        <v>3.5405814086345522E-22</v>
      </c>
      <c r="AM49" s="100">
        <v>3.5405814086345522E-22</v>
      </c>
      <c r="AN49" s="100">
        <v>3.5405814086345522E-22</v>
      </c>
      <c r="AO49" s="100">
        <v>3.5405814086345522E-22</v>
      </c>
      <c r="AP49" s="100">
        <v>3.5405814086345522E-22</v>
      </c>
      <c r="AQ49" s="100">
        <v>3.5405814086345522E-22</v>
      </c>
      <c r="AR49" s="100">
        <v>3.5405814086345522E-22</v>
      </c>
      <c r="AS49" s="100">
        <v>3.5405814086345522E-22</v>
      </c>
      <c r="AT49" s="100">
        <v>3.5405814086345522E-22</v>
      </c>
      <c r="AU49" s="100">
        <v>3.5405814086345522E-22</v>
      </c>
      <c r="AV49" s="100">
        <v>3.5405814086345522E-22</v>
      </c>
      <c r="AW49" s="100">
        <v>3.5405814086345522E-22</v>
      </c>
      <c r="AX49" s="100">
        <v>3.5405814086345522E-22</v>
      </c>
    </row>
    <row r="50" spans="2:51">
      <c r="B50" s="99" t="s">
        <v>106</v>
      </c>
      <c r="C50" s="100">
        <v>198.81834908592074</v>
      </c>
      <c r="D50" s="100">
        <v>198.81834908592074</v>
      </c>
      <c r="E50" s="100">
        <v>198.81834908592074</v>
      </c>
      <c r="F50" s="100">
        <v>198.81834908592074</v>
      </c>
      <c r="G50" s="100">
        <v>159.05467926873661</v>
      </c>
      <c r="H50" s="100">
        <v>159.05467926873661</v>
      </c>
      <c r="I50" s="100">
        <v>159.05467926873661</v>
      </c>
      <c r="J50" s="100">
        <v>159.05467926873661</v>
      </c>
      <c r="K50" s="100">
        <v>198.81834908592074</v>
      </c>
      <c r="L50" s="100">
        <v>198.81834908592074</v>
      </c>
      <c r="M50" s="100">
        <v>198.81834908592074</v>
      </c>
      <c r="N50" s="100">
        <v>198.81834908592074</v>
      </c>
      <c r="O50" s="100">
        <v>198.81834908592074</v>
      </c>
      <c r="P50" s="100">
        <v>198.81834908592074</v>
      </c>
      <c r="Q50" s="100">
        <v>198.81834908592074</v>
      </c>
      <c r="R50" s="100">
        <v>198.81834908592074</v>
      </c>
      <c r="S50" s="100">
        <v>198.81834908592074</v>
      </c>
      <c r="T50" s="100">
        <v>198.81834908592074</v>
      </c>
      <c r="U50" s="100">
        <v>198.81834908592074</v>
      </c>
      <c r="V50" s="100">
        <v>198.81834908592074</v>
      </c>
      <c r="W50" s="100">
        <v>198.81834908592074</v>
      </c>
      <c r="X50" s="100">
        <v>198.81834908592074</v>
      </c>
      <c r="Y50" s="100">
        <v>198.81834908592074</v>
      </c>
      <c r="Z50" s="100">
        <v>198.81834908592074</v>
      </c>
      <c r="AA50" s="100">
        <v>238.58201890310488</v>
      </c>
      <c r="AB50" s="100">
        <v>238.58201890310488</v>
      </c>
      <c r="AC50" s="100">
        <v>238.58201890310488</v>
      </c>
      <c r="AD50" s="100">
        <v>238.58201890310488</v>
      </c>
      <c r="AE50" s="100">
        <v>198.81834908592074</v>
      </c>
      <c r="AF50" s="100">
        <v>198.81834908592074</v>
      </c>
      <c r="AG50" s="100">
        <v>198.81834908592074</v>
      </c>
      <c r="AH50" s="100">
        <v>198.81834908592074</v>
      </c>
      <c r="AI50" s="100">
        <v>238.58201890310488</v>
      </c>
      <c r="AJ50" s="100">
        <v>238.58201890310488</v>
      </c>
      <c r="AK50" s="100">
        <v>238.58201890310488</v>
      </c>
      <c r="AL50" s="100">
        <v>238.58201890310488</v>
      </c>
      <c r="AM50" s="100">
        <v>238.58201890310488</v>
      </c>
      <c r="AN50" s="100">
        <v>238.58201890310488</v>
      </c>
      <c r="AO50" s="100">
        <v>238.58201890310488</v>
      </c>
      <c r="AP50" s="100">
        <v>238.58201890310488</v>
      </c>
      <c r="AQ50" s="100">
        <v>198.81834908592074</v>
      </c>
      <c r="AR50" s="100">
        <v>198.81834908592074</v>
      </c>
      <c r="AS50" s="100">
        <v>198.81834908592074</v>
      </c>
      <c r="AT50" s="100">
        <v>198.81834908592074</v>
      </c>
      <c r="AU50" s="100">
        <v>0</v>
      </c>
      <c r="AV50" s="100">
        <v>0</v>
      </c>
      <c r="AW50" s="100">
        <v>0</v>
      </c>
      <c r="AX50" s="100">
        <v>0</v>
      </c>
      <c r="AY50" s="112"/>
    </row>
    <row r="51" spans="2:51">
      <c r="B51" s="99" t="s">
        <v>107</v>
      </c>
      <c r="C51" s="100">
        <v>696.95166304570103</v>
      </c>
      <c r="D51" s="100">
        <v>696.95166304570103</v>
      </c>
      <c r="E51" s="100">
        <v>696.95166304570103</v>
      </c>
      <c r="F51" s="100">
        <v>696.95166304570103</v>
      </c>
      <c r="G51" s="100">
        <v>696.95166304570103</v>
      </c>
      <c r="H51" s="100">
        <v>696.95166304570103</v>
      </c>
      <c r="I51" s="100">
        <v>696.95166304570103</v>
      </c>
      <c r="J51" s="100">
        <v>696.95166304570103</v>
      </c>
      <c r="K51" s="100">
        <v>696.95166304570103</v>
      </c>
      <c r="L51" s="100">
        <v>696.95166304570103</v>
      </c>
      <c r="M51" s="100">
        <v>696.95166304570103</v>
      </c>
      <c r="N51" s="100">
        <v>696.95166304570103</v>
      </c>
      <c r="O51" s="100">
        <v>696.95166304570103</v>
      </c>
      <c r="P51" s="100">
        <v>696.95166304570103</v>
      </c>
      <c r="Q51" s="100">
        <v>696.95166304570103</v>
      </c>
      <c r="R51" s="100">
        <v>696.95166304570103</v>
      </c>
      <c r="S51" s="100">
        <v>696.95166304570103</v>
      </c>
      <c r="T51" s="100">
        <v>696.95166304570103</v>
      </c>
      <c r="U51" s="100">
        <v>696.95166304570103</v>
      </c>
      <c r="V51" s="100">
        <v>696.95166304570103</v>
      </c>
      <c r="W51" s="100">
        <v>696.95166304570103</v>
      </c>
      <c r="X51" s="100">
        <v>696.95166304570103</v>
      </c>
      <c r="Y51" s="100">
        <v>696.95166304570103</v>
      </c>
      <c r="Z51" s="100">
        <v>696.95166304570103</v>
      </c>
      <c r="AA51" s="100">
        <v>696.95166304570103</v>
      </c>
      <c r="AB51" s="100">
        <v>696.95166304570103</v>
      </c>
      <c r="AC51" s="100">
        <v>696.95166304570103</v>
      </c>
      <c r="AD51" s="100">
        <v>696.95166304570103</v>
      </c>
      <c r="AE51" s="100">
        <v>696.95166304570103</v>
      </c>
      <c r="AF51" s="100">
        <v>696.95166304570103</v>
      </c>
      <c r="AG51" s="100">
        <v>696.95166304570103</v>
      </c>
      <c r="AH51" s="100">
        <v>696.95166304570103</v>
      </c>
      <c r="AI51" s="100">
        <v>696.95166304570103</v>
      </c>
      <c r="AJ51" s="100">
        <v>696.95166304570103</v>
      </c>
      <c r="AK51" s="100">
        <v>696.95166304570103</v>
      </c>
      <c r="AL51" s="100">
        <v>696.95166304570103</v>
      </c>
      <c r="AM51" s="100">
        <v>557.56133043656087</v>
      </c>
      <c r="AN51" s="100">
        <v>557.56133043656087</v>
      </c>
      <c r="AO51" s="100">
        <v>557.56133043656087</v>
      </c>
      <c r="AP51" s="100">
        <v>557.56133043656087</v>
      </c>
      <c r="AQ51" s="100">
        <v>696.95166304570103</v>
      </c>
      <c r="AR51" s="100">
        <v>696.95166304570103</v>
      </c>
      <c r="AS51" s="100">
        <v>696.95166304570103</v>
      </c>
      <c r="AT51" s="100">
        <v>696.95166304570103</v>
      </c>
      <c r="AU51" s="100">
        <v>696.95166304570103</v>
      </c>
      <c r="AV51" s="100">
        <v>696.95166304570103</v>
      </c>
      <c r="AW51" s="100">
        <v>696.95166304570103</v>
      </c>
      <c r="AX51" s="100">
        <v>696.95166304570103</v>
      </c>
      <c r="AY51" s="111"/>
    </row>
    <row r="52" spans="2:51">
      <c r="B52" s="99" t="s">
        <v>108</v>
      </c>
      <c r="C52" s="100">
        <v>1.2940790679753441E-21</v>
      </c>
      <c r="D52" s="100">
        <v>1.2940790679753441E-21</v>
      </c>
      <c r="E52" s="100">
        <v>1.2940790679753441E-21</v>
      </c>
      <c r="F52" s="100">
        <v>1.2940790679753441E-21</v>
      </c>
      <c r="G52" s="100">
        <v>1.2940790679753441E-21</v>
      </c>
      <c r="H52" s="100">
        <v>1.2940790679753441E-21</v>
      </c>
      <c r="I52" s="100">
        <v>1.2940790679753441E-21</v>
      </c>
      <c r="J52" s="100">
        <v>1.2940790679753441E-21</v>
      </c>
      <c r="K52" s="100">
        <v>1.2940790679753441E-21</v>
      </c>
      <c r="L52" s="100">
        <v>1.2940790679753441E-21</v>
      </c>
      <c r="M52" s="100">
        <v>1.2940790679753441E-21</v>
      </c>
      <c r="N52" s="100">
        <v>1.2940790679753441E-21</v>
      </c>
      <c r="O52" s="100">
        <v>1.2940790679753441E-21</v>
      </c>
      <c r="P52" s="100">
        <v>1.2940790679753441E-21</v>
      </c>
      <c r="Q52" s="100">
        <v>1.2940790679753441E-21</v>
      </c>
      <c r="R52" s="100">
        <v>1.2940790679753441E-21</v>
      </c>
      <c r="S52" s="100">
        <v>1.2940790679753441E-21</v>
      </c>
      <c r="T52" s="100">
        <v>1.2940790679753441E-21</v>
      </c>
      <c r="U52" s="100">
        <v>1.2940790679753441E-21</v>
      </c>
      <c r="V52" s="100">
        <v>1.2940790679753441E-21</v>
      </c>
      <c r="W52" s="100">
        <v>1.2940790679753441E-21</v>
      </c>
      <c r="X52" s="100">
        <v>1.2940790679753441E-21</v>
      </c>
      <c r="Y52" s="100">
        <v>1.2940790679753441E-21</v>
      </c>
      <c r="Z52" s="100">
        <v>1.2940790679753441E-21</v>
      </c>
      <c r="AA52" s="100">
        <v>1.2940790679753441E-21</v>
      </c>
      <c r="AB52" s="100">
        <v>1.2940790679753441E-21</v>
      </c>
      <c r="AC52" s="100">
        <v>1.2940790679753441E-21</v>
      </c>
      <c r="AD52" s="100">
        <v>1.2940790679753441E-21</v>
      </c>
      <c r="AE52" s="100">
        <v>1.2940790679753441E-21</v>
      </c>
      <c r="AF52" s="100">
        <v>1.2940790679753441E-21</v>
      </c>
      <c r="AG52" s="100">
        <v>1.2940790679753441E-21</v>
      </c>
      <c r="AH52" s="100">
        <v>1.2940790679753441E-21</v>
      </c>
      <c r="AI52" s="100">
        <v>1.2940790679753441E-21</v>
      </c>
      <c r="AJ52" s="100">
        <v>1.2940790679753441E-21</v>
      </c>
      <c r="AK52" s="100">
        <v>1.2940790679753441E-21</v>
      </c>
      <c r="AL52" s="100">
        <v>1.2940790679753441E-21</v>
      </c>
      <c r="AM52" s="100">
        <v>1.2940790679753441E-21</v>
      </c>
      <c r="AN52" s="100">
        <v>1.2940790679753441E-21</v>
      </c>
      <c r="AO52" s="100">
        <v>1.2940790679753441E-21</v>
      </c>
      <c r="AP52" s="100">
        <v>1.2940790679753441E-21</v>
      </c>
      <c r="AQ52" s="100">
        <v>1.2940790679753441E-21</v>
      </c>
      <c r="AR52" s="100">
        <v>1.2940790679753441E-21</v>
      </c>
      <c r="AS52" s="100">
        <v>1.2940790679753441E-21</v>
      </c>
      <c r="AT52" s="100">
        <v>1.2940790679753441E-21</v>
      </c>
      <c r="AU52" s="100">
        <v>1.2940790679753441E-21</v>
      </c>
      <c r="AV52" s="100">
        <v>1.2940790679753441E-21</v>
      </c>
      <c r="AW52" s="100">
        <v>1.2940790679753441E-21</v>
      </c>
      <c r="AX52" s="100">
        <v>1.2940790679753441E-21</v>
      </c>
    </row>
    <row r="53" spans="2:51">
      <c r="B53" s="99" t="s">
        <v>109</v>
      </c>
      <c r="C53" s="100">
        <v>6.4728882093765631E-23</v>
      </c>
      <c r="D53" s="100">
        <v>6.4728882093765631E-23</v>
      </c>
      <c r="E53" s="100">
        <v>6.4728882093765631E-23</v>
      </c>
      <c r="F53" s="100">
        <v>6.4728882093765631E-23</v>
      </c>
      <c r="G53" s="100">
        <v>6.4728882093765631E-23</v>
      </c>
      <c r="H53" s="100">
        <v>6.4728882093765631E-23</v>
      </c>
      <c r="I53" s="100">
        <v>6.4728882093765631E-23</v>
      </c>
      <c r="J53" s="100">
        <v>6.4728882093765631E-23</v>
      </c>
      <c r="K53" s="100">
        <v>6.4728882093765631E-23</v>
      </c>
      <c r="L53" s="100">
        <v>6.4728882093765631E-23</v>
      </c>
      <c r="M53" s="100">
        <v>6.4728882093765631E-23</v>
      </c>
      <c r="N53" s="100">
        <v>6.4728882093765631E-23</v>
      </c>
      <c r="O53" s="100">
        <v>7.7674658512518757E-23</v>
      </c>
      <c r="P53" s="100">
        <v>7.7674658512518757E-23</v>
      </c>
      <c r="Q53" s="100">
        <v>7.7674658512518757E-23</v>
      </c>
      <c r="R53" s="100">
        <v>7.7674658512518757E-23</v>
      </c>
      <c r="S53" s="100">
        <v>7.7674658512518757E-23</v>
      </c>
      <c r="T53" s="100">
        <v>7.7674658512518757E-23</v>
      </c>
      <c r="U53" s="100">
        <v>7.7674658512518757E-23</v>
      </c>
      <c r="V53" s="100">
        <v>7.7674658512518757E-23</v>
      </c>
      <c r="W53" s="100">
        <v>6.4728882093765631E-23</v>
      </c>
      <c r="X53" s="100">
        <v>6.4728882093765631E-23</v>
      </c>
      <c r="Y53" s="100">
        <v>6.4728882093765631E-23</v>
      </c>
      <c r="Z53" s="100">
        <v>6.4728882093765631E-23</v>
      </c>
      <c r="AA53" s="100">
        <v>6.4728882093765631E-23</v>
      </c>
      <c r="AB53" s="100">
        <v>6.4728882093765631E-23</v>
      </c>
      <c r="AC53" s="100">
        <v>6.4728882093765631E-23</v>
      </c>
      <c r="AD53" s="100">
        <v>6.4728882093765631E-23</v>
      </c>
      <c r="AE53" s="100">
        <v>5.1783105675012505E-23</v>
      </c>
      <c r="AF53" s="100">
        <v>5.1783105675012505E-23</v>
      </c>
      <c r="AG53" s="100">
        <v>5.1783105675012505E-23</v>
      </c>
      <c r="AH53" s="100">
        <v>5.1783105675012505E-23</v>
      </c>
      <c r="AI53" s="100">
        <v>7.7674658512518757E-23</v>
      </c>
      <c r="AJ53" s="100">
        <v>7.7674658512518757E-23</v>
      </c>
      <c r="AK53" s="100">
        <v>7.7674658512518757E-23</v>
      </c>
      <c r="AL53" s="100">
        <v>7.7674658512518757E-23</v>
      </c>
      <c r="AM53" s="100">
        <v>6.4728882093765631E-23</v>
      </c>
      <c r="AN53" s="100">
        <v>6.4728882093765631E-23</v>
      </c>
      <c r="AO53" s="100">
        <v>6.4728882093765631E-23</v>
      </c>
      <c r="AP53" s="100">
        <v>6.4728882093765631E-23</v>
      </c>
      <c r="AQ53" s="100">
        <v>6.4728882093765631E-23</v>
      </c>
      <c r="AR53" s="100">
        <v>6.4728882093765631E-23</v>
      </c>
      <c r="AS53" s="100">
        <v>6.4728882093765631E-23</v>
      </c>
      <c r="AT53" s="100">
        <v>6.4728882093765631E-23</v>
      </c>
      <c r="AU53" s="100">
        <v>5.1783105675012505E-23</v>
      </c>
      <c r="AV53" s="100">
        <v>5.1783105675012505E-23</v>
      </c>
      <c r="AW53" s="100">
        <v>5.1783105675012505E-23</v>
      </c>
      <c r="AX53" s="100">
        <v>5.1783105675012505E-23</v>
      </c>
    </row>
    <row r="55" spans="2:51">
      <c r="B55" s="174" t="s">
        <v>326</v>
      </c>
      <c r="C55" s="175"/>
      <c r="D55" s="175"/>
      <c r="E55" s="175"/>
      <c r="F55" s="175"/>
      <c r="G55" s="175"/>
      <c r="H55" s="175"/>
      <c r="I55" s="175"/>
      <c r="J55" s="175"/>
      <c r="K55" s="175"/>
      <c r="L55" s="175"/>
      <c r="M55" s="175"/>
      <c r="N55" s="175"/>
      <c r="O55" s="175"/>
      <c r="P55" s="175"/>
      <c r="Q55" s="175"/>
      <c r="R55" s="175"/>
      <c r="S55" s="175"/>
      <c r="T55" s="175"/>
      <c r="U55" s="175"/>
      <c r="V55" s="175"/>
      <c r="W55" s="175"/>
      <c r="X55" s="175"/>
      <c r="Y55" s="175"/>
      <c r="Z55" s="175"/>
      <c r="AA55" s="175"/>
      <c r="AB55" s="175"/>
      <c r="AC55" s="175"/>
      <c r="AD55" s="175"/>
      <c r="AE55" s="175"/>
      <c r="AF55" s="175"/>
      <c r="AG55" s="175"/>
      <c r="AH55" s="175"/>
      <c r="AI55" s="175"/>
      <c r="AJ55" s="175"/>
      <c r="AK55" s="175"/>
      <c r="AL55" s="175"/>
      <c r="AM55" s="175"/>
      <c r="AN55" s="175"/>
      <c r="AO55" s="175"/>
      <c r="AP55" s="175"/>
      <c r="AQ55" s="175"/>
      <c r="AR55" s="175"/>
      <c r="AS55" s="175"/>
      <c r="AT55" s="175"/>
      <c r="AU55" s="175"/>
      <c r="AV55" s="175"/>
      <c r="AW55" s="175"/>
      <c r="AX55" s="175"/>
    </row>
    <row r="56" spans="2:51">
      <c r="B56" s="105" t="s">
        <v>274</v>
      </c>
      <c r="C56" s="105" t="s">
        <v>92</v>
      </c>
      <c r="D56" s="101"/>
      <c r="E56" s="101"/>
      <c r="F56" s="101"/>
      <c r="G56" s="105" t="s">
        <v>93</v>
      </c>
      <c r="H56" s="101"/>
      <c r="I56" s="101"/>
      <c r="J56" s="101"/>
      <c r="K56" s="105" t="s">
        <v>94</v>
      </c>
      <c r="L56" s="101"/>
      <c r="M56" s="101"/>
      <c r="N56" s="101"/>
      <c r="O56" s="105" t="s">
        <v>95</v>
      </c>
      <c r="P56" s="101"/>
      <c r="Q56" s="101"/>
      <c r="R56" s="101"/>
      <c r="S56" s="105" t="s">
        <v>96</v>
      </c>
      <c r="T56" s="101"/>
      <c r="U56" s="101"/>
      <c r="V56" s="101"/>
      <c r="W56" s="105" t="s">
        <v>97</v>
      </c>
      <c r="X56" s="101"/>
      <c r="Y56" s="101"/>
      <c r="Z56" s="101"/>
      <c r="AA56" s="105" t="s">
        <v>98</v>
      </c>
      <c r="AB56" s="101"/>
      <c r="AC56" s="101"/>
      <c r="AD56" s="101"/>
      <c r="AE56" s="105" t="s">
        <v>99</v>
      </c>
      <c r="AF56" s="101"/>
      <c r="AG56" s="101"/>
      <c r="AH56" s="101"/>
      <c r="AI56" s="105" t="s">
        <v>100</v>
      </c>
      <c r="AJ56" s="101"/>
      <c r="AK56" s="101"/>
      <c r="AL56" s="101"/>
      <c r="AM56" s="105" t="s">
        <v>101</v>
      </c>
      <c r="AN56" s="101"/>
      <c r="AO56" s="101"/>
      <c r="AP56" s="101"/>
      <c r="AQ56" s="105" t="s">
        <v>102</v>
      </c>
      <c r="AR56" s="101"/>
      <c r="AS56" s="101"/>
      <c r="AT56" s="101"/>
      <c r="AU56" s="105" t="s">
        <v>103</v>
      </c>
      <c r="AV56" s="101"/>
      <c r="AW56" s="101"/>
    </row>
    <row r="57" spans="2:51">
      <c r="B57" s="105" t="s">
        <v>325</v>
      </c>
      <c r="C57" s="105">
        <v>1</v>
      </c>
      <c r="D57" s="105">
        <v>2</v>
      </c>
      <c r="E57" s="105">
        <v>3</v>
      </c>
      <c r="F57" s="105">
        <v>4</v>
      </c>
      <c r="G57" s="105">
        <v>1</v>
      </c>
      <c r="H57" s="105">
        <v>2</v>
      </c>
      <c r="I57" s="105">
        <v>3</v>
      </c>
      <c r="J57" s="105">
        <v>4</v>
      </c>
      <c r="K57" s="105">
        <v>1</v>
      </c>
      <c r="L57" s="105">
        <v>2</v>
      </c>
      <c r="M57" s="105">
        <v>3</v>
      </c>
      <c r="N57" s="105">
        <v>4</v>
      </c>
      <c r="O57" s="105">
        <v>1</v>
      </c>
      <c r="P57" s="105">
        <v>2</v>
      </c>
      <c r="Q57" s="105">
        <v>3</v>
      </c>
      <c r="R57" s="105">
        <v>4</v>
      </c>
      <c r="S57" s="105">
        <v>1</v>
      </c>
      <c r="T57" s="105">
        <v>2</v>
      </c>
      <c r="U57" s="105">
        <v>3</v>
      </c>
      <c r="V57" s="105">
        <v>4</v>
      </c>
      <c r="W57" s="105">
        <v>1</v>
      </c>
      <c r="X57" s="105">
        <v>2</v>
      </c>
      <c r="Y57" s="105">
        <v>3</v>
      </c>
      <c r="Z57" s="105">
        <v>4</v>
      </c>
      <c r="AA57" s="105">
        <v>1</v>
      </c>
      <c r="AB57" s="105">
        <v>2</v>
      </c>
      <c r="AC57" s="105">
        <v>3</v>
      </c>
      <c r="AD57" s="105">
        <v>4</v>
      </c>
      <c r="AE57" s="105">
        <v>1</v>
      </c>
      <c r="AF57" s="105">
        <v>2</v>
      </c>
      <c r="AG57" s="105">
        <v>3</v>
      </c>
      <c r="AH57" s="105">
        <v>4</v>
      </c>
      <c r="AI57" s="105">
        <v>1</v>
      </c>
      <c r="AJ57" s="105">
        <v>2</v>
      </c>
      <c r="AK57" s="105">
        <v>3</v>
      </c>
      <c r="AL57" s="105">
        <v>4</v>
      </c>
      <c r="AM57" s="105">
        <v>1</v>
      </c>
      <c r="AN57" s="105">
        <v>2</v>
      </c>
      <c r="AO57" s="105">
        <v>3</v>
      </c>
      <c r="AP57" s="105">
        <v>4</v>
      </c>
      <c r="AQ57" s="105">
        <v>1</v>
      </c>
      <c r="AR57" s="105">
        <v>2</v>
      </c>
      <c r="AS57" s="105">
        <v>3</v>
      </c>
      <c r="AT57" s="105">
        <v>4</v>
      </c>
      <c r="AU57" s="105">
        <v>1</v>
      </c>
      <c r="AV57" s="105">
        <v>2</v>
      </c>
      <c r="AW57" s="105">
        <v>3</v>
      </c>
      <c r="AX57" s="105">
        <v>4</v>
      </c>
    </row>
    <row r="58" spans="2:51">
      <c r="B58" s="105" t="s">
        <v>104</v>
      </c>
      <c r="C58" s="100">
        <v>2769248.3936113683</v>
      </c>
      <c r="D58" s="100">
        <v>2769248.3936113683</v>
      </c>
      <c r="E58" s="100">
        <v>2769248.3936113683</v>
      </c>
      <c r="F58" s="100">
        <v>2769248.3936113683</v>
      </c>
      <c r="G58" s="100">
        <v>2623482.0552737112</v>
      </c>
      <c r="H58" s="100">
        <v>2623482.0552737112</v>
      </c>
      <c r="I58" s="100">
        <v>2623482.0552737112</v>
      </c>
      <c r="J58" s="100">
        <v>2623482.0552737112</v>
      </c>
      <c r="K58" s="100">
        <v>2476527.0781569518</v>
      </c>
      <c r="L58" s="100">
        <v>2476527.0781569518</v>
      </c>
      <c r="M58" s="100">
        <v>2476527.0781569518</v>
      </c>
      <c r="N58" s="100">
        <v>2476527.0781569518</v>
      </c>
      <c r="O58" s="100">
        <v>2888892.9692540686</v>
      </c>
      <c r="P58" s="100">
        <v>2888892.9692540686</v>
      </c>
      <c r="Q58" s="100">
        <v>2888892.9692540686</v>
      </c>
      <c r="R58" s="100">
        <v>2888892.9692540686</v>
      </c>
      <c r="S58" s="100">
        <v>2481460.0539036221</v>
      </c>
      <c r="T58" s="100">
        <v>2481460.0539036221</v>
      </c>
      <c r="U58" s="100">
        <v>2481460.0539036221</v>
      </c>
      <c r="V58" s="100">
        <v>2481460.0539036221</v>
      </c>
      <c r="W58" s="100">
        <v>2157021.8267937335</v>
      </c>
      <c r="X58" s="100">
        <v>2157021.8267937335</v>
      </c>
      <c r="Y58" s="100">
        <v>2157021.8267937335</v>
      </c>
      <c r="Z58" s="100">
        <v>2157021.8267937335</v>
      </c>
      <c r="AA58" s="100">
        <v>2704078.0723993899</v>
      </c>
      <c r="AB58" s="100">
        <v>2704078.0723993899</v>
      </c>
      <c r="AC58" s="100">
        <v>2704078.0723993899</v>
      </c>
      <c r="AD58" s="100">
        <v>2704078.0723993899</v>
      </c>
      <c r="AE58" s="100">
        <v>2555072.9817117406</v>
      </c>
      <c r="AF58" s="100">
        <v>2555072.9817117406</v>
      </c>
      <c r="AG58" s="100">
        <v>2555072.9817117406</v>
      </c>
      <c r="AH58" s="100">
        <v>2555072.9817117406</v>
      </c>
      <c r="AI58" s="100">
        <v>2193072.9930267008</v>
      </c>
      <c r="AJ58" s="100">
        <v>2193072.9930267008</v>
      </c>
      <c r="AK58" s="100">
        <v>2193072.9930267008</v>
      </c>
      <c r="AL58" s="100">
        <v>2193072.9930267008</v>
      </c>
      <c r="AM58" s="100">
        <v>2513938.1204830525</v>
      </c>
      <c r="AN58" s="100">
        <v>2513938.1204830525</v>
      </c>
      <c r="AO58" s="100">
        <v>2513938.1204830525</v>
      </c>
      <c r="AP58" s="100">
        <v>2513938.1204830525</v>
      </c>
      <c r="AQ58" s="100">
        <v>2726793.9241726832</v>
      </c>
      <c r="AR58" s="100">
        <v>2726793.9241726832</v>
      </c>
      <c r="AS58" s="100">
        <v>2726793.9241726832</v>
      </c>
      <c r="AT58" s="100">
        <v>2726793.9241726832</v>
      </c>
      <c r="AU58" s="100">
        <v>2249968.7733987588</v>
      </c>
      <c r="AV58" s="100">
        <v>2249968.7733987588</v>
      </c>
      <c r="AW58" s="100">
        <v>2249968.7733987588</v>
      </c>
      <c r="AX58" s="100">
        <v>2249968.7733987588</v>
      </c>
    </row>
    <row r="59" spans="2:51">
      <c r="B59" s="105" t="s">
        <v>105</v>
      </c>
      <c r="C59" s="100">
        <v>5.422364040620154E-19</v>
      </c>
      <c r="D59" s="100">
        <v>5.422364040620154E-19</v>
      </c>
      <c r="E59" s="100">
        <v>5.422364040620154E-19</v>
      </c>
      <c r="F59" s="100">
        <v>5.422364040620154E-19</v>
      </c>
      <c r="G59" s="100">
        <v>5.2630373692362925E-19</v>
      </c>
      <c r="H59" s="100">
        <v>5.2630373692362925E-19</v>
      </c>
      <c r="I59" s="100">
        <v>5.2630373692362925E-19</v>
      </c>
      <c r="J59" s="100">
        <v>5.2630373692362925E-19</v>
      </c>
      <c r="K59" s="100">
        <v>5.1876602057510193E-19</v>
      </c>
      <c r="L59" s="100">
        <v>5.1876602057510193E-19</v>
      </c>
      <c r="M59" s="100">
        <v>5.1876602057510193E-19</v>
      </c>
      <c r="N59" s="100">
        <v>5.1876602057510193E-19</v>
      </c>
      <c r="O59" s="100">
        <v>4.7987989737565742E-19</v>
      </c>
      <c r="P59" s="100">
        <v>4.7987989737565742E-19</v>
      </c>
      <c r="Q59" s="100">
        <v>4.7987989737565742E-19</v>
      </c>
      <c r="R59" s="100">
        <v>4.7987989737565742E-19</v>
      </c>
      <c r="S59" s="100">
        <v>4.7709308262165448E-19</v>
      </c>
      <c r="T59" s="100">
        <v>4.7709308262165448E-19</v>
      </c>
      <c r="U59" s="100">
        <v>4.7709308262165448E-19</v>
      </c>
      <c r="V59" s="100">
        <v>4.7709308262165448E-19</v>
      </c>
      <c r="W59" s="100">
        <v>5.0721335219811055E-19</v>
      </c>
      <c r="X59" s="100">
        <v>5.0721335219811055E-19</v>
      </c>
      <c r="Y59" s="100">
        <v>5.0721335219811055E-19</v>
      </c>
      <c r="Z59" s="100">
        <v>5.0721335219811055E-19</v>
      </c>
      <c r="AA59" s="100">
        <v>4.6635260966230636E-19</v>
      </c>
      <c r="AB59" s="100">
        <v>4.6635260966230636E-19</v>
      </c>
      <c r="AC59" s="100">
        <v>4.6635260966230636E-19</v>
      </c>
      <c r="AD59" s="100">
        <v>4.6635260966230636E-19</v>
      </c>
      <c r="AE59" s="100">
        <v>4.6363315424758562E-19</v>
      </c>
      <c r="AF59" s="100">
        <v>4.6363315424758562E-19</v>
      </c>
      <c r="AG59" s="100">
        <v>4.6363315424758562E-19</v>
      </c>
      <c r="AH59" s="100">
        <v>4.6363315424758562E-19</v>
      </c>
      <c r="AI59" s="100">
        <v>5.1168458712718452E-19</v>
      </c>
      <c r="AJ59" s="100">
        <v>5.1168458712718452E-19</v>
      </c>
      <c r="AK59" s="100">
        <v>5.1168458712718452E-19</v>
      </c>
      <c r="AL59" s="100">
        <v>5.1168458712718452E-19</v>
      </c>
      <c r="AM59" s="100">
        <v>4.6177355378807267E-19</v>
      </c>
      <c r="AN59" s="100">
        <v>4.6177355378807267E-19</v>
      </c>
      <c r="AO59" s="100">
        <v>4.6177355378807267E-19</v>
      </c>
      <c r="AP59" s="100">
        <v>4.6177355378807267E-19</v>
      </c>
      <c r="AQ59" s="100">
        <v>4.9062404203340981E-19</v>
      </c>
      <c r="AR59" s="100">
        <v>4.9062404203340981E-19</v>
      </c>
      <c r="AS59" s="100">
        <v>4.9062404203340981E-19</v>
      </c>
      <c r="AT59" s="100">
        <v>4.9062404203340981E-19</v>
      </c>
      <c r="AU59" s="100">
        <v>4.7044238359879517E-19</v>
      </c>
      <c r="AV59" s="100">
        <v>4.7044238359879517E-19</v>
      </c>
      <c r="AW59" s="100">
        <v>4.7044238359879517E-19</v>
      </c>
      <c r="AX59" s="100">
        <v>4.7044238359879517E-19</v>
      </c>
    </row>
    <row r="60" spans="2:51">
      <c r="B60" s="105" t="s">
        <v>106</v>
      </c>
      <c r="C60" s="100">
        <v>290965.76578795811</v>
      </c>
      <c r="D60" s="100">
        <v>290965.76578795811</v>
      </c>
      <c r="E60" s="100">
        <v>290965.76578795811</v>
      </c>
      <c r="F60" s="100">
        <v>290965.76578795811</v>
      </c>
      <c r="G60" s="100">
        <v>272834.36344753171</v>
      </c>
      <c r="H60" s="100">
        <v>272834.36344753171</v>
      </c>
      <c r="I60" s="100">
        <v>272834.36344753171</v>
      </c>
      <c r="J60" s="100">
        <v>272834.36344753171</v>
      </c>
      <c r="K60" s="100">
        <v>302761.25969345123</v>
      </c>
      <c r="L60" s="100">
        <v>302761.25969345123</v>
      </c>
      <c r="M60" s="100">
        <v>302761.25969345123</v>
      </c>
      <c r="N60" s="100">
        <v>302761.25969345123</v>
      </c>
      <c r="O60" s="100">
        <v>293995.90818062058</v>
      </c>
      <c r="P60" s="100">
        <v>293995.90818062058</v>
      </c>
      <c r="Q60" s="100">
        <v>293995.90818062058</v>
      </c>
      <c r="R60" s="100">
        <v>293995.90818062058</v>
      </c>
      <c r="S60" s="100">
        <v>325724.31826681498</v>
      </c>
      <c r="T60" s="100">
        <v>325724.31826681498</v>
      </c>
      <c r="U60" s="100">
        <v>325724.31826681498</v>
      </c>
      <c r="V60" s="100">
        <v>325724.31826681498</v>
      </c>
      <c r="W60" s="100">
        <v>292995.83752100379</v>
      </c>
      <c r="X60" s="100">
        <v>292995.83752100379</v>
      </c>
      <c r="Y60" s="100">
        <v>292995.83752100379</v>
      </c>
      <c r="Z60" s="100">
        <v>292995.83752100379</v>
      </c>
      <c r="AA60" s="100">
        <v>322414.84898112336</v>
      </c>
      <c r="AB60" s="100">
        <v>322414.84898112336</v>
      </c>
      <c r="AC60" s="100">
        <v>322414.84898112336</v>
      </c>
      <c r="AD60" s="100">
        <v>322414.84898112336</v>
      </c>
      <c r="AE60" s="100">
        <v>272723.58219555172</v>
      </c>
      <c r="AF60" s="100">
        <v>272723.58219555172</v>
      </c>
      <c r="AG60" s="100">
        <v>272723.58219555172</v>
      </c>
      <c r="AH60" s="100">
        <v>272723.58219555172</v>
      </c>
      <c r="AI60" s="100">
        <v>318729.11496295989</v>
      </c>
      <c r="AJ60" s="100">
        <v>318729.11496295989</v>
      </c>
      <c r="AK60" s="100">
        <v>318729.11496295989</v>
      </c>
      <c r="AL60" s="100">
        <v>318729.11496295989</v>
      </c>
      <c r="AM60" s="100">
        <v>323482.32111754408</v>
      </c>
      <c r="AN60" s="100">
        <v>323482.32111754408</v>
      </c>
      <c r="AO60" s="100">
        <v>323482.32111754408</v>
      </c>
      <c r="AP60" s="100">
        <v>323482.32111754408</v>
      </c>
      <c r="AQ60" s="100">
        <v>284223.66387817444</v>
      </c>
      <c r="AR60" s="100">
        <v>284223.66387817444</v>
      </c>
      <c r="AS60" s="100">
        <v>284223.66387817444</v>
      </c>
      <c r="AT60" s="100">
        <v>284223.66387817444</v>
      </c>
      <c r="AU60" s="100">
        <v>0</v>
      </c>
      <c r="AV60" s="100">
        <v>0</v>
      </c>
      <c r="AW60" s="100">
        <v>0</v>
      </c>
      <c r="AX60" s="100">
        <v>0</v>
      </c>
    </row>
    <row r="61" spans="2:51">
      <c r="B61" s="105" t="s">
        <v>107</v>
      </c>
      <c r="C61" s="100">
        <v>993432.41233547754</v>
      </c>
      <c r="D61" s="100">
        <v>993432.41233547754</v>
      </c>
      <c r="E61" s="100">
        <v>993432.41233547754</v>
      </c>
      <c r="F61" s="100">
        <v>993432.41233547754</v>
      </c>
      <c r="G61" s="100">
        <v>999529.02830302319</v>
      </c>
      <c r="H61" s="100">
        <v>999529.02830302319</v>
      </c>
      <c r="I61" s="100">
        <v>999529.02830302319</v>
      </c>
      <c r="J61" s="100">
        <v>999529.02830302319</v>
      </c>
      <c r="K61" s="100">
        <v>1052408.0425777168</v>
      </c>
      <c r="L61" s="100">
        <v>1052408.0425777168</v>
      </c>
      <c r="M61" s="100">
        <v>1052408.0425777168</v>
      </c>
      <c r="N61" s="100">
        <v>1052408.0425777168</v>
      </c>
      <c r="O61" s="100">
        <v>1038719.4412185393</v>
      </c>
      <c r="P61" s="100">
        <v>1038719.4412185393</v>
      </c>
      <c r="Q61" s="100">
        <v>1038719.4412185393</v>
      </c>
      <c r="R61" s="100">
        <v>1038719.4412185393</v>
      </c>
      <c r="S61" s="100">
        <v>983407.66055668693</v>
      </c>
      <c r="T61" s="100">
        <v>983407.66055668693</v>
      </c>
      <c r="U61" s="100">
        <v>983407.66055668693</v>
      </c>
      <c r="V61" s="100">
        <v>983407.66055668693</v>
      </c>
      <c r="W61" s="100">
        <v>1002620.5136710691</v>
      </c>
      <c r="X61" s="100">
        <v>1002620.5136710691</v>
      </c>
      <c r="Y61" s="100">
        <v>1002620.5136710691</v>
      </c>
      <c r="Z61" s="100">
        <v>1002620.5136710691</v>
      </c>
      <c r="AA61" s="100">
        <v>977258.16016527149</v>
      </c>
      <c r="AB61" s="100">
        <v>977258.16016527149</v>
      </c>
      <c r="AC61" s="100">
        <v>977258.16016527149</v>
      </c>
      <c r="AD61" s="100">
        <v>977258.16016527149</v>
      </c>
      <c r="AE61" s="100">
        <v>959494.42376073333</v>
      </c>
      <c r="AF61" s="100">
        <v>959494.42376073333</v>
      </c>
      <c r="AG61" s="100">
        <v>959494.42376073333</v>
      </c>
      <c r="AH61" s="100">
        <v>959494.42376073333</v>
      </c>
      <c r="AI61" s="100">
        <v>999395.74075916468</v>
      </c>
      <c r="AJ61" s="100">
        <v>999395.74075916468</v>
      </c>
      <c r="AK61" s="100">
        <v>999395.74075916468</v>
      </c>
      <c r="AL61" s="100">
        <v>999395.74075916468</v>
      </c>
      <c r="AM61" s="100">
        <v>944207.98200909968</v>
      </c>
      <c r="AN61" s="100">
        <v>944207.98200909968</v>
      </c>
      <c r="AO61" s="100">
        <v>944207.98200909968</v>
      </c>
      <c r="AP61" s="100">
        <v>944207.98200909968</v>
      </c>
      <c r="AQ61" s="100">
        <v>978358.54414123285</v>
      </c>
      <c r="AR61" s="100">
        <v>978358.54414123285</v>
      </c>
      <c r="AS61" s="100">
        <v>978358.54414123285</v>
      </c>
      <c r="AT61" s="100">
        <v>978358.54414123285</v>
      </c>
      <c r="AU61" s="100">
        <v>929684.88836514484</v>
      </c>
      <c r="AV61" s="100">
        <v>929684.88836514484</v>
      </c>
      <c r="AW61" s="100">
        <v>929684.88836514484</v>
      </c>
      <c r="AX61" s="100">
        <v>929684.88836514484</v>
      </c>
    </row>
    <row r="62" spans="2:51">
      <c r="B62" s="105" t="s">
        <v>108</v>
      </c>
      <c r="C62" s="100">
        <v>1.6501154863444789E-18</v>
      </c>
      <c r="D62" s="100">
        <v>1.6501154863444789E-18</v>
      </c>
      <c r="E62" s="100">
        <v>1.6501154863444789E-18</v>
      </c>
      <c r="F62" s="100">
        <v>1.6501154863444789E-18</v>
      </c>
      <c r="G62" s="100">
        <v>1.6710847860595234E-18</v>
      </c>
      <c r="H62" s="100">
        <v>1.6710847860595234E-18</v>
      </c>
      <c r="I62" s="100">
        <v>1.6710847860595234E-18</v>
      </c>
      <c r="J62" s="100">
        <v>1.6710847860595234E-18</v>
      </c>
      <c r="K62" s="100">
        <v>1.664763898502452E-18</v>
      </c>
      <c r="L62" s="100">
        <v>1.664763898502452E-18</v>
      </c>
      <c r="M62" s="100">
        <v>1.664763898502452E-18</v>
      </c>
      <c r="N62" s="100">
        <v>1.664763898502452E-18</v>
      </c>
      <c r="O62" s="100">
        <v>1.6866032620615337E-18</v>
      </c>
      <c r="P62" s="100">
        <v>1.6866032620615337E-18</v>
      </c>
      <c r="Q62" s="100">
        <v>1.6866032620615337E-18</v>
      </c>
      <c r="R62" s="100">
        <v>1.6866032620615337E-18</v>
      </c>
      <c r="S62" s="100">
        <v>1.6455972933022906E-18</v>
      </c>
      <c r="T62" s="100">
        <v>1.6455972933022906E-18</v>
      </c>
      <c r="U62" s="100">
        <v>1.6455972933022906E-18</v>
      </c>
      <c r="V62" s="100">
        <v>1.6455972933022906E-18</v>
      </c>
      <c r="W62" s="100">
        <v>1.6660082762400088E-18</v>
      </c>
      <c r="X62" s="100">
        <v>1.6660082762400088E-18</v>
      </c>
      <c r="Y62" s="100">
        <v>1.6660082762400088E-18</v>
      </c>
      <c r="Z62" s="100">
        <v>1.6660082762400088E-18</v>
      </c>
      <c r="AA62" s="100">
        <v>1.6615408360135238E-18</v>
      </c>
      <c r="AB62" s="100">
        <v>1.6615408360135238E-18</v>
      </c>
      <c r="AC62" s="100">
        <v>1.6615408360135238E-18</v>
      </c>
      <c r="AD62" s="100">
        <v>1.6615408360135238E-18</v>
      </c>
      <c r="AE62" s="100">
        <v>1.673425298164735E-18</v>
      </c>
      <c r="AF62" s="100">
        <v>1.673425298164735E-18</v>
      </c>
      <c r="AG62" s="100">
        <v>1.673425298164735E-18</v>
      </c>
      <c r="AH62" s="100">
        <v>1.673425298164735E-18</v>
      </c>
      <c r="AI62" s="100">
        <v>1.668582752444991E-18</v>
      </c>
      <c r="AJ62" s="100">
        <v>1.668582752444991E-18</v>
      </c>
      <c r="AK62" s="100">
        <v>1.668582752444991E-18</v>
      </c>
      <c r="AL62" s="100">
        <v>1.668582752444991E-18</v>
      </c>
      <c r="AM62" s="100">
        <v>1.7163965059744527E-18</v>
      </c>
      <c r="AN62" s="100">
        <v>1.7163965059744527E-18</v>
      </c>
      <c r="AO62" s="100">
        <v>1.7163965059744527E-18</v>
      </c>
      <c r="AP62" s="100">
        <v>1.7163965059744527E-18</v>
      </c>
      <c r="AQ62" s="100">
        <v>1.6996532058800692E-18</v>
      </c>
      <c r="AR62" s="100">
        <v>1.6996532058800692E-18</v>
      </c>
      <c r="AS62" s="100">
        <v>1.6996532058800692E-18</v>
      </c>
      <c r="AT62" s="100">
        <v>1.6996532058800692E-18</v>
      </c>
      <c r="AU62" s="100">
        <v>1.6961380362478529E-18</v>
      </c>
      <c r="AV62" s="100">
        <v>1.6961380362478529E-18</v>
      </c>
      <c r="AW62" s="100">
        <v>1.6961380362478529E-18</v>
      </c>
      <c r="AX62" s="100">
        <v>1.6961380362478529E-18</v>
      </c>
    </row>
    <row r="63" spans="2:51">
      <c r="B63" s="105" t="s">
        <v>109</v>
      </c>
      <c r="C63" s="100">
        <v>9.5521816539644868E-20</v>
      </c>
      <c r="D63" s="100">
        <v>9.5521816539644868E-20</v>
      </c>
      <c r="E63" s="100">
        <v>9.5521816539644868E-20</v>
      </c>
      <c r="F63" s="100">
        <v>9.5521816539644868E-20</v>
      </c>
      <c r="G63" s="100">
        <v>9.4291457915509763E-20</v>
      </c>
      <c r="H63" s="100">
        <v>9.4291457915509763E-20</v>
      </c>
      <c r="I63" s="100">
        <v>9.4291457915509763E-20</v>
      </c>
      <c r="J63" s="100">
        <v>9.4291457915509763E-20</v>
      </c>
      <c r="K63" s="100">
        <v>9.5636914035341072E-20</v>
      </c>
      <c r="L63" s="100">
        <v>9.5636914035341072E-20</v>
      </c>
      <c r="M63" s="100">
        <v>9.5636914035341072E-20</v>
      </c>
      <c r="N63" s="100">
        <v>9.5636914035341072E-20</v>
      </c>
      <c r="O63" s="100">
        <v>1.0505273912318467E-19</v>
      </c>
      <c r="P63" s="100">
        <v>1.0505273912318467E-19</v>
      </c>
      <c r="Q63" s="100">
        <v>1.0505273912318467E-19</v>
      </c>
      <c r="R63" s="100">
        <v>1.0505273912318467E-19</v>
      </c>
      <c r="S63" s="100">
        <v>1.0533806401680027E-19</v>
      </c>
      <c r="T63" s="100">
        <v>1.0533806401680027E-19</v>
      </c>
      <c r="U63" s="100">
        <v>1.0533806401680027E-19</v>
      </c>
      <c r="V63" s="100">
        <v>1.0533806401680027E-19</v>
      </c>
      <c r="W63" s="100">
        <v>9.7944007161409845E-20</v>
      </c>
      <c r="X63" s="100">
        <v>9.7944007161409845E-20</v>
      </c>
      <c r="Y63" s="100">
        <v>9.7944007161409845E-20</v>
      </c>
      <c r="Z63" s="100">
        <v>9.7944007161409845E-20</v>
      </c>
      <c r="AA63" s="100">
        <v>9.135104194538133E-20</v>
      </c>
      <c r="AB63" s="100">
        <v>9.135104194538133E-20</v>
      </c>
      <c r="AC63" s="100">
        <v>9.135104194538133E-20</v>
      </c>
      <c r="AD63" s="100">
        <v>9.135104194538133E-20</v>
      </c>
      <c r="AE63" s="100">
        <v>7.9677535574415691E-20</v>
      </c>
      <c r="AF63" s="100">
        <v>7.9677535574415691E-20</v>
      </c>
      <c r="AG63" s="100">
        <v>7.9677535574415691E-20</v>
      </c>
      <c r="AH63" s="100">
        <v>7.9677535574415691E-20</v>
      </c>
      <c r="AI63" s="100">
        <v>1.0468695566587313E-19</v>
      </c>
      <c r="AJ63" s="100">
        <v>1.0468695566587313E-19</v>
      </c>
      <c r="AK63" s="100">
        <v>1.0468695566587313E-19</v>
      </c>
      <c r="AL63" s="100">
        <v>1.0468695566587313E-19</v>
      </c>
      <c r="AM63" s="100">
        <v>9.7005678275677159E-20</v>
      </c>
      <c r="AN63" s="100">
        <v>9.7005678275677159E-20</v>
      </c>
      <c r="AO63" s="100">
        <v>9.7005678275677159E-20</v>
      </c>
      <c r="AP63" s="100">
        <v>9.7005678275677159E-20</v>
      </c>
      <c r="AQ63" s="100">
        <v>9.0992220360092944E-20</v>
      </c>
      <c r="AR63" s="100">
        <v>9.0992220360092944E-20</v>
      </c>
      <c r="AS63" s="100">
        <v>9.0992220360092944E-20</v>
      </c>
      <c r="AT63" s="100">
        <v>9.0992220360092944E-20</v>
      </c>
      <c r="AU63" s="100">
        <v>7.9626687546399193E-20</v>
      </c>
      <c r="AV63" s="100">
        <v>7.9626687546399193E-20</v>
      </c>
      <c r="AW63" s="100">
        <v>7.9626687546399193E-20</v>
      </c>
      <c r="AX63" s="100">
        <v>7.9626687546399193E-20</v>
      </c>
    </row>
    <row r="64" spans="2:51">
      <c r="B64" s="101"/>
    </row>
    <row r="65" spans="1:14">
      <c r="B65" s="104" t="s">
        <v>327</v>
      </c>
    </row>
    <row r="66" spans="1:14">
      <c r="B66" s="99" t="s">
        <v>328</v>
      </c>
      <c r="C66" s="99" t="s">
        <v>92</v>
      </c>
      <c r="D66" s="99" t="s">
        <v>93</v>
      </c>
      <c r="E66" s="99" t="s">
        <v>94</v>
      </c>
      <c r="F66" s="99" t="s">
        <v>95</v>
      </c>
      <c r="G66" s="99" t="s">
        <v>96</v>
      </c>
      <c r="H66" s="99" t="s">
        <v>97</v>
      </c>
      <c r="I66" s="99" t="s">
        <v>98</v>
      </c>
      <c r="J66" s="99" t="s">
        <v>99</v>
      </c>
      <c r="K66" s="99" t="s">
        <v>100</v>
      </c>
      <c r="L66" s="99" t="s">
        <v>101</v>
      </c>
      <c r="M66" s="99" t="s">
        <v>102</v>
      </c>
      <c r="N66" s="99" t="s">
        <v>103</v>
      </c>
    </row>
    <row r="67" spans="1:14">
      <c r="B67" s="99" t="s">
        <v>329</v>
      </c>
      <c r="C67" s="100">
        <v>255.28966574411345</v>
      </c>
      <c r="D67" s="100">
        <v>255.28966574411345</v>
      </c>
      <c r="E67" s="100">
        <v>255.28966574411345</v>
      </c>
      <c r="F67" s="100">
        <v>255.28966574411345</v>
      </c>
      <c r="G67" s="100">
        <v>255.28966574411345</v>
      </c>
      <c r="H67" s="100">
        <v>255.28966574411345</v>
      </c>
      <c r="I67" s="100">
        <v>255.28966574411345</v>
      </c>
      <c r="J67" s="100">
        <v>255.28966574411345</v>
      </c>
      <c r="K67" s="100">
        <v>255.28966574411345</v>
      </c>
      <c r="L67" s="100">
        <v>255.28966574411345</v>
      </c>
      <c r="M67" s="100">
        <v>255.28966574411345</v>
      </c>
      <c r="N67" s="100">
        <v>255.28966574411345</v>
      </c>
    </row>
    <row r="68" spans="1:14">
      <c r="B68" s="99" t="s">
        <v>330</v>
      </c>
      <c r="C68" s="100">
        <v>3022.1226984489958</v>
      </c>
      <c r="D68" s="100">
        <v>3022.1226984489958</v>
      </c>
      <c r="E68" s="100">
        <v>3022.1226984489958</v>
      </c>
      <c r="F68" s="100">
        <v>3022.1226984489958</v>
      </c>
      <c r="G68" s="100">
        <v>3022.1226984489958</v>
      </c>
      <c r="H68" s="100">
        <v>3022.1226984489958</v>
      </c>
      <c r="I68" s="100">
        <v>3022.1226984489958</v>
      </c>
      <c r="J68" s="100">
        <v>3022.1226984489958</v>
      </c>
      <c r="K68" s="100">
        <v>3022.1226984489958</v>
      </c>
      <c r="L68" s="100">
        <v>3022.1226984489958</v>
      </c>
      <c r="M68" s="100">
        <v>3022.1226984489958</v>
      </c>
      <c r="N68" s="100">
        <v>3022.1226984489958</v>
      </c>
    </row>
    <row r="70" spans="1:14">
      <c r="B70" s="104" t="s">
        <v>331</v>
      </c>
    </row>
    <row r="71" spans="1:14">
      <c r="A71" s="105" t="s">
        <v>121</v>
      </c>
      <c r="B71" s="105" t="s">
        <v>332</v>
      </c>
      <c r="C71" s="105" t="s">
        <v>22</v>
      </c>
      <c r="D71" s="105" t="s">
        <v>46</v>
      </c>
      <c r="E71" s="105" t="s">
        <v>59</v>
      </c>
    </row>
    <row r="72" spans="1:14">
      <c r="A72" s="105" t="s">
        <v>104</v>
      </c>
      <c r="B72" s="105" t="s">
        <v>92</v>
      </c>
      <c r="C72" s="100">
        <v>143829.87017039274</v>
      </c>
      <c r="D72" s="100">
        <v>305891.3987792306</v>
      </c>
      <c r="E72" s="100">
        <v>513090.11066488927</v>
      </c>
    </row>
    <row r="73" spans="1:14">
      <c r="B73" s="105" t="s">
        <v>93</v>
      </c>
      <c r="C73" s="100">
        <v>143829.87017039274</v>
      </c>
      <c r="D73" s="100">
        <v>305891.3987792306</v>
      </c>
      <c r="E73" s="100">
        <v>513090.11066488927</v>
      </c>
    </row>
    <row r="74" spans="1:14">
      <c r="B74" s="105" t="s">
        <v>94</v>
      </c>
      <c r="C74" s="100">
        <v>143829.87017039274</v>
      </c>
      <c r="D74" s="100">
        <v>305891.3987792306</v>
      </c>
      <c r="E74" s="100">
        <v>513090.11066488927</v>
      </c>
    </row>
    <row r="75" spans="1:14">
      <c r="B75" s="105" t="s">
        <v>95</v>
      </c>
      <c r="C75" s="100">
        <v>143829.87017039274</v>
      </c>
      <c r="D75" s="100">
        <v>305891.3987792306</v>
      </c>
      <c r="E75" s="100">
        <v>513090.11066488927</v>
      </c>
    </row>
    <row r="76" spans="1:14">
      <c r="B76" s="105" t="s">
        <v>96</v>
      </c>
      <c r="C76" s="100">
        <v>143829.87017039274</v>
      </c>
      <c r="D76" s="100">
        <v>305891.3987792306</v>
      </c>
      <c r="E76" s="100">
        <v>513090.11066488927</v>
      </c>
    </row>
    <row r="77" spans="1:14">
      <c r="B77" s="105" t="s">
        <v>97</v>
      </c>
      <c r="C77" s="100">
        <v>143829.87017039274</v>
      </c>
      <c r="D77" s="100">
        <v>305891.3987792306</v>
      </c>
      <c r="E77" s="100">
        <v>513090.11066488927</v>
      </c>
    </row>
    <row r="78" spans="1:14">
      <c r="B78" s="105" t="s">
        <v>98</v>
      </c>
      <c r="C78" s="100">
        <v>143829.87017039274</v>
      </c>
      <c r="D78" s="100">
        <v>305891.3987792306</v>
      </c>
      <c r="E78" s="100">
        <v>513090.11066488927</v>
      </c>
    </row>
    <row r="79" spans="1:14">
      <c r="B79" s="105" t="s">
        <v>99</v>
      </c>
      <c r="C79" s="100">
        <v>143829.87017039274</v>
      </c>
      <c r="D79" s="100">
        <v>305891.3987792306</v>
      </c>
      <c r="E79" s="100">
        <v>513090.11066488927</v>
      </c>
    </row>
    <row r="80" spans="1:14">
      <c r="B80" s="105" t="s">
        <v>100</v>
      </c>
      <c r="C80" s="100">
        <v>143829.87017039274</v>
      </c>
      <c r="D80" s="100">
        <v>305891.3987792306</v>
      </c>
      <c r="E80" s="100">
        <v>513090.11066488927</v>
      </c>
    </row>
    <row r="81" spans="2:50">
      <c r="B81" s="105" t="s">
        <v>101</v>
      </c>
      <c r="C81" s="100">
        <v>143829.87017039274</v>
      </c>
      <c r="D81" s="100">
        <v>305891.3987792306</v>
      </c>
      <c r="E81" s="100">
        <v>513090.11066488927</v>
      </c>
    </row>
    <row r="82" spans="2:50">
      <c r="B82" s="105" t="s">
        <v>102</v>
      </c>
      <c r="C82" s="100">
        <v>143829.87017039274</v>
      </c>
      <c r="D82" s="100">
        <v>305891.3987792306</v>
      </c>
      <c r="E82" s="100">
        <v>513090.11066488927</v>
      </c>
    </row>
    <row r="83" spans="2:50">
      <c r="B83" s="105" t="s">
        <v>103</v>
      </c>
      <c r="C83" s="100">
        <v>143829.87017039274</v>
      </c>
      <c r="D83" s="100">
        <v>305891.3987792306</v>
      </c>
      <c r="E83" s="100">
        <v>513090.11066488927</v>
      </c>
    </row>
    <row r="85" spans="2:50">
      <c r="B85" s="103" t="s">
        <v>333</v>
      </c>
    </row>
    <row r="86" spans="2:50">
      <c r="B86" s="99" t="s">
        <v>274</v>
      </c>
      <c r="C86" s="99" t="s">
        <v>92</v>
      </c>
      <c r="D86" s="101"/>
      <c r="E86" s="101"/>
      <c r="F86" s="101"/>
      <c r="G86" s="99" t="s">
        <v>93</v>
      </c>
      <c r="H86" s="101"/>
      <c r="I86" s="101"/>
      <c r="J86" s="101"/>
      <c r="K86" s="99" t="s">
        <v>94</v>
      </c>
      <c r="L86" s="101"/>
      <c r="M86" s="101"/>
      <c r="N86" s="101"/>
      <c r="O86" s="99" t="s">
        <v>95</v>
      </c>
      <c r="P86" s="101"/>
      <c r="Q86" s="101"/>
      <c r="R86" s="101"/>
      <c r="S86" s="99" t="s">
        <v>96</v>
      </c>
      <c r="T86" s="101"/>
      <c r="U86" s="101"/>
      <c r="V86" s="101"/>
      <c r="W86" s="99" t="s">
        <v>97</v>
      </c>
      <c r="X86" s="101"/>
      <c r="Y86" s="101"/>
      <c r="Z86" s="101"/>
      <c r="AA86" s="99" t="s">
        <v>98</v>
      </c>
      <c r="AB86" s="101"/>
      <c r="AC86" s="101"/>
      <c r="AD86" s="101"/>
      <c r="AE86" s="99" t="s">
        <v>99</v>
      </c>
      <c r="AF86" s="101"/>
      <c r="AG86" s="101"/>
      <c r="AH86" s="101"/>
      <c r="AI86" s="99" t="s">
        <v>100</v>
      </c>
      <c r="AJ86" s="101"/>
      <c r="AK86" s="101"/>
      <c r="AL86" s="101"/>
      <c r="AM86" s="99" t="s">
        <v>101</v>
      </c>
      <c r="AN86" s="101"/>
      <c r="AO86" s="101"/>
      <c r="AP86" s="101"/>
      <c r="AQ86" s="99" t="s">
        <v>102</v>
      </c>
      <c r="AR86" s="101"/>
      <c r="AS86" s="101"/>
      <c r="AT86" s="101"/>
      <c r="AU86" s="99" t="s">
        <v>103</v>
      </c>
      <c r="AV86" s="101"/>
      <c r="AW86" s="101"/>
    </row>
    <row r="87" spans="2:50">
      <c r="B87" s="99" t="s">
        <v>334</v>
      </c>
      <c r="C87" s="99">
        <v>1</v>
      </c>
      <c r="D87" s="99">
        <v>2</v>
      </c>
      <c r="E87" s="99">
        <v>3</v>
      </c>
      <c r="F87" s="99">
        <v>4</v>
      </c>
      <c r="G87" s="99">
        <v>1</v>
      </c>
      <c r="H87" s="99">
        <v>2</v>
      </c>
      <c r="I87" s="99">
        <v>3</v>
      </c>
      <c r="J87" s="99">
        <v>4</v>
      </c>
      <c r="K87" s="99">
        <v>1</v>
      </c>
      <c r="L87" s="99">
        <v>2</v>
      </c>
      <c r="M87" s="99">
        <v>3</v>
      </c>
      <c r="N87" s="99">
        <v>4</v>
      </c>
      <c r="O87" s="99">
        <v>1</v>
      </c>
      <c r="P87" s="99">
        <v>2</v>
      </c>
      <c r="Q87" s="99">
        <v>3</v>
      </c>
      <c r="R87" s="99">
        <v>4</v>
      </c>
      <c r="S87" s="99">
        <v>1</v>
      </c>
      <c r="T87" s="99">
        <v>2</v>
      </c>
      <c r="U87" s="99">
        <v>3</v>
      </c>
      <c r="V87" s="99">
        <v>4</v>
      </c>
      <c r="W87" s="99">
        <v>1</v>
      </c>
      <c r="X87" s="99">
        <v>2</v>
      </c>
      <c r="Y87" s="99">
        <v>3</v>
      </c>
      <c r="Z87" s="99">
        <v>4</v>
      </c>
      <c r="AA87" s="99">
        <v>1</v>
      </c>
      <c r="AB87" s="99">
        <v>2</v>
      </c>
      <c r="AC87" s="99">
        <v>3</v>
      </c>
      <c r="AD87" s="99">
        <v>4</v>
      </c>
      <c r="AE87" s="99">
        <v>1</v>
      </c>
      <c r="AF87" s="99">
        <v>2</v>
      </c>
      <c r="AG87" s="99">
        <v>3</v>
      </c>
      <c r="AH87" s="99">
        <v>4</v>
      </c>
      <c r="AI87" s="99">
        <v>1</v>
      </c>
      <c r="AJ87" s="99">
        <v>2</v>
      </c>
      <c r="AK87" s="99">
        <v>3</v>
      </c>
      <c r="AL87" s="99">
        <v>4</v>
      </c>
      <c r="AM87" s="99">
        <v>1</v>
      </c>
      <c r="AN87" s="99">
        <v>2</v>
      </c>
      <c r="AO87" s="99">
        <v>3</v>
      </c>
      <c r="AP87" s="99">
        <v>4</v>
      </c>
      <c r="AQ87" s="99">
        <v>1</v>
      </c>
      <c r="AR87" s="99">
        <v>2</v>
      </c>
      <c r="AS87" s="99">
        <v>3</v>
      </c>
      <c r="AT87" s="99">
        <v>4</v>
      </c>
      <c r="AU87" s="99">
        <v>1</v>
      </c>
      <c r="AV87" s="99">
        <v>2</v>
      </c>
      <c r="AW87" s="99">
        <v>3</v>
      </c>
      <c r="AX87" s="99">
        <v>4</v>
      </c>
    </row>
    <row r="88" spans="2:50">
      <c r="B88" s="99" t="s">
        <v>104</v>
      </c>
      <c r="C88" s="100">
        <f>C48+$C$67/4</f>
        <v>2003.5475458832361</v>
      </c>
      <c r="D88" s="100">
        <f>D48+$C$67/4</f>
        <v>2003.5475458832361</v>
      </c>
      <c r="E88" s="100">
        <f>E48+$C$67/4</f>
        <v>2003.5475458832361</v>
      </c>
      <c r="F88" s="100">
        <f>F48+$C$67/4</f>
        <v>2003.5475458832361</v>
      </c>
      <c r="G88" s="100">
        <f>G48+$D$67/4</f>
        <v>2003.5475458832361</v>
      </c>
      <c r="H88" s="100">
        <f>H48+$D$67/4</f>
        <v>2003.5475458832361</v>
      </c>
      <c r="I88" s="100">
        <f>I48+$D$67/4</f>
        <v>2003.5475458832361</v>
      </c>
      <c r="J88" s="100">
        <f>J48+$D$67/4</f>
        <v>2003.5475458832361</v>
      </c>
      <c r="K88" s="100">
        <f>K48+$E$67/4</f>
        <v>2003.5475458832361</v>
      </c>
      <c r="L88" s="100">
        <f>L48+$E$67/4</f>
        <v>2003.5475458832361</v>
      </c>
      <c r="M88" s="100">
        <f>M48+$E$67/4</f>
        <v>2003.5475458832361</v>
      </c>
      <c r="N88" s="100">
        <f>N48+$E$67/4</f>
        <v>2003.5475458832361</v>
      </c>
      <c r="O88" s="100">
        <f>O48+$F$67/4</f>
        <v>2003.5475458832361</v>
      </c>
      <c r="P88" s="100">
        <f>P48+$F$67/4</f>
        <v>2003.5475458832361</v>
      </c>
      <c r="Q88" s="100">
        <f>Q48+$F$67/4</f>
        <v>2003.5475458832361</v>
      </c>
      <c r="R88" s="100">
        <f>R48+$F$67/4</f>
        <v>2003.5475458832361</v>
      </c>
      <c r="S88" s="100">
        <f>S48+$G$67/4</f>
        <v>2003.5475458832361</v>
      </c>
      <c r="T88" s="100">
        <f>T48+$G$67/4</f>
        <v>2003.5475458832361</v>
      </c>
      <c r="U88" s="100">
        <f>U48+$G$67/4</f>
        <v>2003.5475458832361</v>
      </c>
      <c r="V88" s="100">
        <f>V48+$G$67/4</f>
        <v>2003.5475458832361</v>
      </c>
      <c r="W88" s="100">
        <f>W48+$H$67/4</f>
        <v>2003.5475458832361</v>
      </c>
      <c r="X88" s="100">
        <f>X48+$H$67/4</f>
        <v>2003.5475458832361</v>
      </c>
      <c r="Y88" s="100">
        <f>Y48+$H$67/4</f>
        <v>2003.5475458832361</v>
      </c>
      <c r="Z88" s="100">
        <f>Z48+$H$67/4</f>
        <v>2003.5475458832361</v>
      </c>
      <c r="AA88" s="100">
        <f>AA48+$I$67/4</f>
        <v>2003.5475458832361</v>
      </c>
      <c r="AB88" s="100">
        <f>AB48+$I$67/4</f>
        <v>2003.5475458832361</v>
      </c>
      <c r="AC88" s="100">
        <f>AC48+$I$67/4</f>
        <v>2003.5475458832361</v>
      </c>
      <c r="AD88" s="100">
        <f>AD48+$I$67/4</f>
        <v>2003.5475458832361</v>
      </c>
      <c r="AE88" s="100">
        <f>AE48+$J$67/4</f>
        <v>2391.4925717726778</v>
      </c>
      <c r="AF88" s="100">
        <f>AF48+$J$67/4</f>
        <v>2391.4925717726778</v>
      </c>
      <c r="AG88" s="100">
        <f>AG48+$J$67/4</f>
        <v>2391.4925717726778</v>
      </c>
      <c r="AH88" s="100">
        <f>AH48+$J$67/4</f>
        <v>2391.4925717726778</v>
      </c>
      <c r="AI88" s="100">
        <f>AI48+$K$67/4</f>
        <v>2003.5475458832361</v>
      </c>
      <c r="AJ88" s="100">
        <f>AJ48+$K$67/4</f>
        <v>2003.5475458832361</v>
      </c>
      <c r="AK88" s="100">
        <f>AK48+$K$67/4</f>
        <v>2003.5475458832361</v>
      </c>
      <c r="AL88" s="100">
        <f>AL48+$K$67/4</f>
        <v>2003.5475458832361</v>
      </c>
      <c r="AM88" s="100">
        <f>AM48+$L$67/4</f>
        <v>2003.5475458832361</v>
      </c>
      <c r="AN88" s="100">
        <f>AN48+$L$67/4</f>
        <v>2003.5475458832361</v>
      </c>
      <c r="AO88" s="100">
        <f>AO48+$L$67/4</f>
        <v>2003.5475458832361</v>
      </c>
      <c r="AP88" s="100">
        <f>AP48+$L$67/4</f>
        <v>2003.5475458832361</v>
      </c>
      <c r="AQ88" s="100">
        <f>AQ48+$M$67/4</f>
        <v>2003.5475458832361</v>
      </c>
      <c r="AR88" s="100">
        <f>AR48+$M$67/4</f>
        <v>2003.5475458832361</v>
      </c>
      <c r="AS88" s="100">
        <f>AS48+$M$67/4</f>
        <v>2003.5475458832361</v>
      </c>
      <c r="AT88" s="100">
        <f>AT48+$M$67/4</f>
        <v>2003.5475458832361</v>
      </c>
      <c r="AU88" s="100">
        <f>AU48+$N$67/4</f>
        <v>2003.5475458832361</v>
      </c>
      <c r="AV88" s="100">
        <f>AV48+$N$67/4</f>
        <v>2003.5475458832361</v>
      </c>
      <c r="AW88" s="100">
        <f>AW48+$N$67/4</f>
        <v>2003.5475458832361</v>
      </c>
      <c r="AX88" s="100">
        <f>AX48+$N$67/4</f>
        <v>2003.5475458832361</v>
      </c>
    </row>
    <row r="89" spans="2:50">
      <c r="B89" s="99" t="s">
        <v>105</v>
      </c>
      <c r="C89" s="100">
        <f>C49</f>
        <v>3.5405814086345522E-22</v>
      </c>
      <c r="D89" s="100">
        <f t="shared" ref="D89:AX93" si="3">D49</f>
        <v>3.5405814086345522E-22</v>
      </c>
      <c r="E89" s="100">
        <f t="shared" si="3"/>
        <v>3.5405814086345522E-22</v>
      </c>
      <c r="F89" s="100">
        <f t="shared" si="3"/>
        <v>3.5405814086345522E-22</v>
      </c>
      <c r="G89" s="100">
        <f t="shared" si="3"/>
        <v>3.5405814086345522E-22</v>
      </c>
      <c r="H89" s="100">
        <f t="shared" si="3"/>
        <v>3.5405814086345522E-22</v>
      </c>
      <c r="I89" s="100">
        <f t="shared" si="3"/>
        <v>3.5405814086345522E-22</v>
      </c>
      <c r="J89" s="100">
        <f t="shared" si="3"/>
        <v>3.5405814086345522E-22</v>
      </c>
      <c r="K89" s="100">
        <f t="shared" si="3"/>
        <v>3.5405814086345522E-22</v>
      </c>
      <c r="L89" s="100">
        <f t="shared" si="3"/>
        <v>3.5405814086345522E-22</v>
      </c>
      <c r="M89" s="100">
        <f t="shared" si="3"/>
        <v>3.5405814086345522E-22</v>
      </c>
      <c r="N89" s="100">
        <f t="shared" si="3"/>
        <v>3.5405814086345522E-22</v>
      </c>
      <c r="O89" s="100">
        <f t="shared" si="3"/>
        <v>3.5405814086345522E-22</v>
      </c>
      <c r="P89" s="100">
        <f t="shared" si="3"/>
        <v>3.5405814086345522E-22</v>
      </c>
      <c r="Q89" s="100">
        <f t="shared" si="3"/>
        <v>3.5405814086345522E-22</v>
      </c>
      <c r="R89" s="100">
        <f t="shared" si="3"/>
        <v>3.5405814086345522E-22</v>
      </c>
      <c r="S89" s="100">
        <f t="shared" si="3"/>
        <v>3.5405814086345522E-22</v>
      </c>
      <c r="T89" s="100">
        <f t="shared" si="3"/>
        <v>3.5405814086345522E-22</v>
      </c>
      <c r="U89" s="100">
        <f t="shared" si="3"/>
        <v>3.5405814086345522E-22</v>
      </c>
      <c r="V89" s="100">
        <f t="shared" si="3"/>
        <v>3.5405814086345522E-22</v>
      </c>
      <c r="W89" s="100">
        <f t="shared" si="3"/>
        <v>3.5405814086345522E-22</v>
      </c>
      <c r="X89" s="100">
        <f t="shared" si="3"/>
        <v>3.5405814086345522E-22</v>
      </c>
      <c r="Y89" s="100">
        <f t="shared" si="3"/>
        <v>3.5405814086345522E-22</v>
      </c>
      <c r="Z89" s="100">
        <f t="shared" si="3"/>
        <v>3.5405814086345522E-22</v>
      </c>
      <c r="AA89" s="100">
        <f t="shared" si="3"/>
        <v>3.5405814086345522E-22</v>
      </c>
      <c r="AB89" s="100">
        <f t="shared" si="3"/>
        <v>3.5405814086345522E-22</v>
      </c>
      <c r="AC89" s="100">
        <f t="shared" si="3"/>
        <v>3.5405814086345522E-22</v>
      </c>
      <c r="AD89" s="100">
        <f t="shared" si="3"/>
        <v>3.5405814086345522E-22</v>
      </c>
      <c r="AE89" s="100">
        <f t="shared" si="3"/>
        <v>3.5405814086345522E-22</v>
      </c>
      <c r="AF89" s="100">
        <f t="shared" si="3"/>
        <v>3.5405814086345522E-22</v>
      </c>
      <c r="AG89" s="100">
        <f t="shared" si="3"/>
        <v>3.5405814086345522E-22</v>
      </c>
      <c r="AH89" s="100">
        <f t="shared" si="3"/>
        <v>3.5405814086345522E-22</v>
      </c>
      <c r="AI89" s="100">
        <f t="shared" si="3"/>
        <v>3.5405814086345522E-22</v>
      </c>
      <c r="AJ89" s="100">
        <f t="shared" si="3"/>
        <v>3.5405814086345522E-22</v>
      </c>
      <c r="AK89" s="100">
        <f t="shared" si="3"/>
        <v>3.5405814086345522E-22</v>
      </c>
      <c r="AL89" s="100">
        <f t="shared" si="3"/>
        <v>3.5405814086345522E-22</v>
      </c>
      <c r="AM89" s="100">
        <f t="shared" si="3"/>
        <v>3.5405814086345522E-22</v>
      </c>
      <c r="AN89" s="100">
        <f t="shared" si="3"/>
        <v>3.5405814086345522E-22</v>
      </c>
      <c r="AO89" s="100">
        <f t="shared" si="3"/>
        <v>3.5405814086345522E-22</v>
      </c>
      <c r="AP89" s="100">
        <f t="shared" si="3"/>
        <v>3.5405814086345522E-22</v>
      </c>
      <c r="AQ89" s="100">
        <f t="shared" si="3"/>
        <v>3.5405814086345522E-22</v>
      </c>
      <c r="AR89" s="100">
        <f t="shared" si="3"/>
        <v>3.5405814086345522E-22</v>
      </c>
      <c r="AS89" s="100">
        <f t="shared" si="3"/>
        <v>3.5405814086345522E-22</v>
      </c>
      <c r="AT89" s="100">
        <f t="shared" si="3"/>
        <v>3.5405814086345522E-22</v>
      </c>
      <c r="AU89" s="100">
        <f t="shared" si="3"/>
        <v>3.5405814086345522E-22</v>
      </c>
      <c r="AV89" s="100">
        <f t="shared" si="3"/>
        <v>3.5405814086345522E-22</v>
      </c>
      <c r="AW89" s="100">
        <f t="shared" si="3"/>
        <v>3.5405814086345522E-22</v>
      </c>
      <c r="AX89" s="100">
        <f t="shared" si="3"/>
        <v>3.5405814086345522E-22</v>
      </c>
    </row>
    <row r="90" spans="2:50">
      <c r="B90" s="99" t="s">
        <v>106</v>
      </c>
      <c r="C90" s="100">
        <f t="shared" ref="C90:R93" si="4">C50</f>
        <v>198.81834908592074</v>
      </c>
      <c r="D90" s="100">
        <f t="shared" si="4"/>
        <v>198.81834908592074</v>
      </c>
      <c r="E90" s="100">
        <f t="shared" si="4"/>
        <v>198.81834908592074</v>
      </c>
      <c r="F90" s="100">
        <f t="shared" si="4"/>
        <v>198.81834908592074</v>
      </c>
      <c r="G90" s="100">
        <f t="shared" si="4"/>
        <v>159.05467926873661</v>
      </c>
      <c r="H90" s="100">
        <f t="shared" si="4"/>
        <v>159.05467926873661</v>
      </c>
      <c r="I90" s="100">
        <f t="shared" si="4"/>
        <v>159.05467926873661</v>
      </c>
      <c r="J90" s="100">
        <f t="shared" si="4"/>
        <v>159.05467926873661</v>
      </c>
      <c r="K90" s="100">
        <f t="shared" si="4"/>
        <v>198.81834908592074</v>
      </c>
      <c r="L90" s="100">
        <f t="shared" si="4"/>
        <v>198.81834908592074</v>
      </c>
      <c r="M90" s="100">
        <f t="shared" si="4"/>
        <v>198.81834908592074</v>
      </c>
      <c r="N90" s="100">
        <f t="shared" si="4"/>
        <v>198.81834908592074</v>
      </c>
      <c r="O90" s="100">
        <f t="shared" si="4"/>
        <v>198.81834908592074</v>
      </c>
      <c r="P90" s="100">
        <f t="shared" si="4"/>
        <v>198.81834908592074</v>
      </c>
      <c r="Q90" s="100">
        <f t="shared" si="4"/>
        <v>198.81834908592074</v>
      </c>
      <c r="R90" s="100">
        <f t="shared" si="4"/>
        <v>198.81834908592074</v>
      </c>
      <c r="S90" s="100">
        <f t="shared" si="3"/>
        <v>198.81834908592074</v>
      </c>
      <c r="T90" s="100">
        <f t="shared" si="3"/>
        <v>198.81834908592074</v>
      </c>
      <c r="U90" s="100">
        <f t="shared" si="3"/>
        <v>198.81834908592074</v>
      </c>
      <c r="V90" s="100">
        <f t="shared" si="3"/>
        <v>198.81834908592074</v>
      </c>
      <c r="W90" s="100">
        <f t="shared" si="3"/>
        <v>198.81834908592074</v>
      </c>
      <c r="X90" s="100">
        <f t="shared" si="3"/>
        <v>198.81834908592074</v>
      </c>
      <c r="Y90" s="100">
        <f t="shared" si="3"/>
        <v>198.81834908592074</v>
      </c>
      <c r="Z90" s="100">
        <f t="shared" si="3"/>
        <v>198.81834908592074</v>
      </c>
      <c r="AA90" s="100">
        <f t="shared" si="3"/>
        <v>238.58201890310488</v>
      </c>
      <c r="AB90" s="100">
        <f t="shared" si="3"/>
        <v>238.58201890310488</v>
      </c>
      <c r="AC90" s="100">
        <f t="shared" si="3"/>
        <v>238.58201890310488</v>
      </c>
      <c r="AD90" s="100">
        <f t="shared" si="3"/>
        <v>238.58201890310488</v>
      </c>
      <c r="AE90" s="100">
        <f t="shared" si="3"/>
        <v>198.81834908592074</v>
      </c>
      <c r="AF90" s="100">
        <f t="shared" si="3"/>
        <v>198.81834908592074</v>
      </c>
      <c r="AG90" s="100">
        <f t="shared" si="3"/>
        <v>198.81834908592074</v>
      </c>
      <c r="AH90" s="100">
        <f t="shared" si="3"/>
        <v>198.81834908592074</v>
      </c>
      <c r="AI90" s="100">
        <f t="shared" si="3"/>
        <v>238.58201890310488</v>
      </c>
      <c r="AJ90" s="100">
        <f t="shared" si="3"/>
        <v>238.58201890310488</v>
      </c>
      <c r="AK90" s="100">
        <f t="shared" si="3"/>
        <v>238.58201890310488</v>
      </c>
      <c r="AL90" s="100">
        <f t="shared" si="3"/>
        <v>238.58201890310488</v>
      </c>
      <c r="AM90" s="100">
        <f t="shared" si="3"/>
        <v>238.58201890310488</v>
      </c>
      <c r="AN90" s="100">
        <f t="shared" si="3"/>
        <v>238.58201890310488</v>
      </c>
      <c r="AO90" s="100">
        <f t="shared" si="3"/>
        <v>238.58201890310488</v>
      </c>
      <c r="AP90" s="100">
        <f t="shared" si="3"/>
        <v>238.58201890310488</v>
      </c>
      <c r="AQ90" s="100">
        <f t="shared" si="3"/>
        <v>198.81834908592074</v>
      </c>
      <c r="AR90" s="100">
        <f t="shared" si="3"/>
        <v>198.81834908592074</v>
      </c>
      <c r="AS90" s="100">
        <f t="shared" si="3"/>
        <v>198.81834908592074</v>
      </c>
      <c r="AT90" s="100">
        <f t="shared" si="3"/>
        <v>198.81834908592074</v>
      </c>
      <c r="AU90" s="100">
        <f t="shared" si="3"/>
        <v>0</v>
      </c>
      <c r="AV90" s="100">
        <f t="shared" si="3"/>
        <v>0</v>
      </c>
      <c r="AW90" s="100">
        <f t="shared" si="3"/>
        <v>0</v>
      </c>
      <c r="AX90" s="100">
        <f t="shared" si="3"/>
        <v>0</v>
      </c>
    </row>
    <row r="91" spans="2:50">
      <c r="B91" s="99" t="s">
        <v>107</v>
      </c>
      <c r="C91" s="100">
        <f t="shared" si="4"/>
        <v>696.95166304570103</v>
      </c>
      <c r="D91" s="100">
        <f t="shared" si="3"/>
        <v>696.95166304570103</v>
      </c>
      <c r="E91" s="100">
        <f t="shared" si="3"/>
        <v>696.95166304570103</v>
      </c>
      <c r="F91" s="100">
        <f t="shared" si="3"/>
        <v>696.95166304570103</v>
      </c>
      <c r="G91" s="100">
        <f t="shared" si="3"/>
        <v>696.95166304570103</v>
      </c>
      <c r="H91" s="100">
        <f t="shared" si="3"/>
        <v>696.95166304570103</v>
      </c>
      <c r="I91" s="100">
        <f t="shared" si="3"/>
        <v>696.95166304570103</v>
      </c>
      <c r="J91" s="100">
        <f t="shared" si="3"/>
        <v>696.95166304570103</v>
      </c>
      <c r="K91" s="100">
        <f t="shared" si="3"/>
        <v>696.95166304570103</v>
      </c>
      <c r="L91" s="100">
        <f t="shared" si="3"/>
        <v>696.95166304570103</v>
      </c>
      <c r="M91" s="100">
        <f t="shared" si="3"/>
        <v>696.95166304570103</v>
      </c>
      <c r="N91" s="100">
        <f t="shared" si="3"/>
        <v>696.95166304570103</v>
      </c>
      <c r="O91" s="100">
        <f t="shared" si="3"/>
        <v>696.95166304570103</v>
      </c>
      <c r="P91" s="100">
        <f t="shared" si="3"/>
        <v>696.95166304570103</v>
      </c>
      <c r="Q91" s="100">
        <f t="shared" si="3"/>
        <v>696.95166304570103</v>
      </c>
      <c r="R91" s="100">
        <f t="shared" si="3"/>
        <v>696.95166304570103</v>
      </c>
      <c r="S91" s="100">
        <f t="shared" si="3"/>
        <v>696.95166304570103</v>
      </c>
      <c r="T91" s="100">
        <f t="shared" si="3"/>
        <v>696.95166304570103</v>
      </c>
      <c r="U91" s="100">
        <f t="shared" si="3"/>
        <v>696.95166304570103</v>
      </c>
      <c r="V91" s="100">
        <f t="shared" si="3"/>
        <v>696.95166304570103</v>
      </c>
      <c r="W91" s="100">
        <f t="shared" si="3"/>
        <v>696.95166304570103</v>
      </c>
      <c r="X91" s="100">
        <f t="shared" si="3"/>
        <v>696.95166304570103</v>
      </c>
      <c r="Y91" s="100">
        <f t="shared" si="3"/>
        <v>696.95166304570103</v>
      </c>
      <c r="Z91" s="100">
        <f t="shared" si="3"/>
        <v>696.95166304570103</v>
      </c>
      <c r="AA91" s="100">
        <f t="shared" si="3"/>
        <v>696.95166304570103</v>
      </c>
      <c r="AB91" s="100">
        <f t="shared" si="3"/>
        <v>696.95166304570103</v>
      </c>
      <c r="AC91" s="100">
        <f t="shared" si="3"/>
        <v>696.95166304570103</v>
      </c>
      <c r="AD91" s="100">
        <f t="shared" si="3"/>
        <v>696.95166304570103</v>
      </c>
      <c r="AE91" s="100">
        <f t="shared" si="3"/>
        <v>696.95166304570103</v>
      </c>
      <c r="AF91" s="100">
        <f t="shared" si="3"/>
        <v>696.95166304570103</v>
      </c>
      <c r="AG91" s="100">
        <f t="shared" si="3"/>
        <v>696.95166304570103</v>
      </c>
      <c r="AH91" s="100">
        <f t="shared" si="3"/>
        <v>696.95166304570103</v>
      </c>
      <c r="AI91" s="100">
        <f t="shared" si="3"/>
        <v>696.95166304570103</v>
      </c>
      <c r="AJ91" s="100">
        <f t="shared" si="3"/>
        <v>696.95166304570103</v>
      </c>
      <c r="AK91" s="100">
        <f t="shared" si="3"/>
        <v>696.95166304570103</v>
      </c>
      <c r="AL91" s="100">
        <f t="shared" si="3"/>
        <v>696.95166304570103</v>
      </c>
      <c r="AM91" s="100">
        <f t="shared" si="3"/>
        <v>557.56133043656087</v>
      </c>
      <c r="AN91" s="100">
        <f t="shared" si="3"/>
        <v>557.56133043656087</v>
      </c>
      <c r="AO91" s="100">
        <f t="shared" si="3"/>
        <v>557.56133043656087</v>
      </c>
      <c r="AP91" s="100">
        <f t="shared" si="3"/>
        <v>557.56133043656087</v>
      </c>
      <c r="AQ91" s="100">
        <f t="shared" si="3"/>
        <v>696.95166304570103</v>
      </c>
      <c r="AR91" s="100">
        <f t="shared" si="3"/>
        <v>696.95166304570103</v>
      </c>
      <c r="AS91" s="100">
        <f t="shared" si="3"/>
        <v>696.95166304570103</v>
      </c>
      <c r="AT91" s="100">
        <f t="shared" si="3"/>
        <v>696.95166304570103</v>
      </c>
      <c r="AU91" s="100">
        <f t="shared" si="3"/>
        <v>696.95166304570103</v>
      </c>
      <c r="AV91" s="100">
        <f t="shared" si="3"/>
        <v>696.95166304570103</v>
      </c>
      <c r="AW91" s="100">
        <f t="shared" si="3"/>
        <v>696.95166304570103</v>
      </c>
      <c r="AX91" s="100">
        <f t="shared" si="3"/>
        <v>696.95166304570103</v>
      </c>
    </row>
    <row r="92" spans="2:50">
      <c r="B92" s="99" t="s">
        <v>108</v>
      </c>
      <c r="C92" s="100">
        <f t="shared" si="4"/>
        <v>1.2940790679753441E-21</v>
      </c>
      <c r="D92" s="100">
        <f t="shared" si="4"/>
        <v>1.2940790679753441E-21</v>
      </c>
      <c r="E92" s="100">
        <f t="shared" si="4"/>
        <v>1.2940790679753441E-21</v>
      </c>
      <c r="F92" s="100">
        <f t="shared" si="4"/>
        <v>1.2940790679753441E-21</v>
      </c>
      <c r="G92" s="100">
        <f t="shared" si="4"/>
        <v>1.2940790679753441E-21</v>
      </c>
      <c r="H92" s="100">
        <f t="shared" si="4"/>
        <v>1.2940790679753441E-21</v>
      </c>
      <c r="I92" s="100">
        <f t="shared" si="4"/>
        <v>1.2940790679753441E-21</v>
      </c>
      <c r="J92" s="100">
        <f t="shared" si="4"/>
        <v>1.2940790679753441E-21</v>
      </c>
      <c r="K92" s="100">
        <f t="shared" si="4"/>
        <v>1.2940790679753441E-21</v>
      </c>
      <c r="L92" s="100">
        <f t="shared" si="4"/>
        <v>1.2940790679753441E-21</v>
      </c>
      <c r="M92" s="100">
        <f t="shared" si="4"/>
        <v>1.2940790679753441E-21</v>
      </c>
      <c r="N92" s="100">
        <f t="shared" si="4"/>
        <v>1.2940790679753441E-21</v>
      </c>
      <c r="O92" s="100">
        <f t="shared" si="4"/>
        <v>1.2940790679753441E-21</v>
      </c>
      <c r="P92" s="100">
        <f t="shared" si="4"/>
        <v>1.2940790679753441E-21</v>
      </c>
      <c r="Q92" s="100">
        <f t="shared" si="4"/>
        <v>1.2940790679753441E-21</v>
      </c>
      <c r="R92" s="100">
        <f t="shared" si="4"/>
        <v>1.2940790679753441E-21</v>
      </c>
      <c r="S92" s="100">
        <f t="shared" si="3"/>
        <v>1.2940790679753441E-21</v>
      </c>
      <c r="T92" s="100">
        <f t="shared" si="3"/>
        <v>1.2940790679753441E-21</v>
      </c>
      <c r="U92" s="100">
        <f t="shared" si="3"/>
        <v>1.2940790679753441E-21</v>
      </c>
      <c r="V92" s="100">
        <f t="shared" si="3"/>
        <v>1.2940790679753441E-21</v>
      </c>
      <c r="W92" s="100">
        <f t="shared" si="3"/>
        <v>1.2940790679753441E-21</v>
      </c>
      <c r="X92" s="100">
        <f t="shared" si="3"/>
        <v>1.2940790679753441E-21</v>
      </c>
      <c r="Y92" s="100">
        <f t="shared" si="3"/>
        <v>1.2940790679753441E-21</v>
      </c>
      <c r="Z92" s="100">
        <f t="shared" si="3"/>
        <v>1.2940790679753441E-21</v>
      </c>
      <c r="AA92" s="100">
        <f t="shared" si="3"/>
        <v>1.2940790679753441E-21</v>
      </c>
      <c r="AB92" s="100">
        <f t="shared" si="3"/>
        <v>1.2940790679753441E-21</v>
      </c>
      <c r="AC92" s="100">
        <f t="shared" si="3"/>
        <v>1.2940790679753441E-21</v>
      </c>
      <c r="AD92" s="100">
        <f t="shared" si="3"/>
        <v>1.2940790679753441E-21</v>
      </c>
      <c r="AE92" s="100">
        <f t="shared" si="3"/>
        <v>1.2940790679753441E-21</v>
      </c>
      <c r="AF92" s="100">
        <f t="shared" si="3"/>
        <v>1.2940790679753441E-21</v>
      </c>
      <c r="AG92" s="100">
        <f t="shared" si="3"/>
        <v>1.2940790679753441E-21</v>
      </c>
      <c r="AH92" s="100">
        <f t="shared" si="3"/>
        <v>1.2940790679753441E-21</v>
      </c>
      <c r="AI92" s="100">
        <f t="shared" si="3"/>
        <v>1.2940790679753441E-21</v>
      </c>
      <c r="AJ92" s="100">
        <f t="shared" si="3"/>
        <v>1.2940790679753441E-21</v>
      </c>
      <c r="AK92" s="100">
        <f t="shared" si="3"/>
        <v>1.2940790679753441E-21</v>
      </c>
      <c r="AL92" s="100">
        <f t="shared" si="3"/>
        <v>1.2940790679753441E-21</v>
      </c>
      <c r="AM92" s="100">
        <f t="shared" si="3"/>
        <v>1.2940790679753441E-21</v>
      </c>
      <c r="AN92" s="100">
        <f t="shared" si="3"/>
        <v>1.2940790679753441E-21</v>
      </c>
      <c r="AO92" s="100">
        <f t="shared" si="3"/>
        <v>1.2940790679753441E-21</v>
      </c>
      <c r="AP92" s="100">
        <f t="shared" si="3"/>
        <v>1.2940790679753441E-21</v>
      </c>
      <c r="AQ92" s="100">
        <f t="shared" si="3"/>
        <v>1.2940790679753441E-21</v>
      </c>
      <c r="AR92" s="100">
        <f t="shared" si="3"/>
        <v>1.2940790679753441E-21</v>
      </c>
      <c r="AS92" s="100">
        <f t="shared" si="3"/>
        <v>1.2940790679753441E-21</v>
      </c>
      <c r="AT92" s="100">
        <f t="shared" si="3"/>
        <v>1.2940790679753441E-21</v>
      </c>
      <c r="AU92" s="100">
        <f t="shared" si="3"/>
        <v>1.2940790679753441E-21</v>
      </c>
      <c r="AV92" s="100">
        <f t="shared" si="3"/>
        <v>1.2940790679753441E-21</v>
      </c>
      <c r="AW92" s="100">
        <f t="shared" si="3"/>
        <v>1.2940790679753441E-21</v>
      </c>
      <c r="AX92" s="100">
        <f t="shared" si="3"/>
        <v>1.2940790679753441E-21</v>
      </c>
    </row>
    <row r="93" spans="2:50">
      <c r="B93" s="99" t="s">
        <v>109</v>
      </c>
      <c r="C93" s="100">
        <f t="shared" si="4"/>
        <v>6.4728882093765631E-23</v>
      </c>
      <c r="D93" s="100">
        <f t="shared" si="4"/>
        <v>6.4728882093765631E-23</v>
      </c>
      <c r="E93" s="100">
        <f t="shared" si="4"/>
        <v>6.4728882093765631E-23</v>
      </c>
      <c r="F93" s="100">
        <f t="shared" si="4"/>
        <v>6.4728882093765631E-23</v>
      </c>
      <c r="G93" s="100">
        <f t="shared" si="4"/>
        <v>6.4728882093765631E-23</v>
      </c>
      <c r="H93" s="100">
        <f t="shared" si="4"/>
        <v>6.4728882093765631E-23</v>
      </c>
      <c r="I93" s="100">
        <f t="shared" si="4"/>
        <v>6.4728882093765631E-23</v>
      </c>
      <c r="J93" s="100">
        <f t="shared" si="4"/>
        <v>6.4728882093765631E-23</v>
      </c>
      <c r="K93" s="100">
        <f t="shared" si="4"/>
        <v>6.4728882093765631E-23</v>
      </c>
      <c r="L93" s="100">
        <f t="shared" si="4"/>
        <v>6.4728882093765631E-23</v>
      </c>
      <c r="M93" s="100">
        <f t="shared" si="4"/>
        <v>6.4728882093765631E-23</v>
      </c>
      <c r="N93" s="100">
        <f t="shared" si="4"/>
        <v>6.4728882093765631E-23</v>
      </c>
      <c r="O93" s="100">
        <f t="shared" si="4"/>
        <v>7.7674658512518757E-23</v>
      </c>
      <c r="P93" s="100">
        <f t="shared" si="4"/>
        <v>7.7674658512518757E-23</v>
      </c>
      <c r="Q93" s="100">
        <f t="shared" si="4"/>
        <v>7.7674658512518757E-23</v>
      </c>
      <c r="R93" s="100">
        <f t="shared" si="4"/>
        <v>7.7674658512518757E-23</v>
      </c>
      <c r="S93" s="100">
        <f t="shared" si="3"/>
        <v>7.7674658512518757E-23</v>
      </c>
      <c r="T93" s="100">
        <f t="shared" si="3"/>
        <v>7.7674658512518757E-23</v>
      </c>
      <c r="U93" s="100">
        <f t="shared" si="3"/>
        <v>7.7674658512518757E-23</v>
      </c>
      <c r="V93" s="100">
        <f t="shared" si="3"/>
        <v>7.7674658512518757E-23</v>
      </c>
      <c r="W93" s="100">
        <f t="shared" si="3"/>
        <v>6.4728882093765631E-23</v>
      </c>
      <c r="X93" s="100">
        <f t="shared" si="3"/>
        <v>6.4728882093765631E-23</v>
      </c>
      <c r="Y93" s="100">
        <f t="shared" si="3"/>
        <v>6.4728882093765631E-23</v>
      </c>
      <c r="Z93" s="100">
        <f t="shared" si="3"/>
        <v>6.4728882093765631E-23</v>
      </c>
      <c r="AA93" s="100">
        <f t="shared" si="3"/>
        <v>6.4728882093765631E-23</v>
      </c>
      <c r="AB93" s="100">
        <f t="shared" si="3"/>
        <v>6.4728882093765631E-23</v>
      </c>
      <c r="AC93" s="100">
        <f t="shared" si="3"/>
        <v>6.4728882093765631E-23</v>
      </c>
      <c r="AD93" s="100">
        <f t="shared" si="3"/>
        <v>6.4728882093765631E-23</v>
      </c>
      <c r="AE93" s="100">
        <f t="shared" si="3"/>
        <v>5.1783105675012505E-23</v>
      </c>
      <c r="AF93" s="100">
        <f t="shared" si="3"/>
        <v>5.1783105675012505E-23</v>
      </c>
      <c r="AG93" s="100">
        <f t="shared" si="3"/>
        <v>5.1783105675012505E-23</v>
      </c>
      <c r="AH93" s="100">
        <f t="shared" si="3"/>
        <v>5.1783105675012505E-23</v>
      </c>
      <c r="AI93" s="100">
        <f t="shared" si="3"/>
        <v>7.7674658512518757E-23</v>
      </c>
      <c r="AJ93" s="100">
        <f t="shared" si="3"/>
        <v>7.7674658512518757E-23</v>
      </c>
      <c r="AK93" s="100">
        <f t="shared" si="3"/>
        <v>7.7674658512518757E-23</v>
      </c>
      <c r="AL93" s="100">
        <f t="shared" si="3"/>
        <v>7.7674658512518757E-23</v>
      </c>
      <c r="AM93" s="100">
        <f t="shared" si="3"/>
        <v>6.4728882093765631E-23</v>
      </c>
      <c r="AN93" s="100">
        <f t="shared" si="3"/>
        <v>6.4728882093765631E-23</v>
      </c>
      <c r="AO93" s="100">
        <f t="shared" si="3"/>
        <v>6.4728882093765631E-23</v>
      </c>
      <c r="AP93" s="100">
        <f t="shared" si="3"/>
        <v>6.4728882093765631E-23</v>
      </c>
      <c r="AQ93" s="100">
        <f t="shared" si="3"/>
        <v>6.4728882093765631E-23</v>
      </c>
      <c r="AR93" s="100">
        <f t="shared" si="3"/>
        <v>6.4728882093765631E-23</v>
      </c>
      <c r="AS93" s="100">
        <f t="shared" si="3"/>
        <v>6.4728882093765631E-23</v>
      </c>
      <c r="AT93" s="100">
        <f t="shared" si="3"/>
        <v>6.4728882093765631E-23</v>
      </c>
      <c r="AU93" s="100">
        <f t="shared" si="3"/>
        <v>5.1783105675012505E-23</v>
      </c>
      <c r="AV93" s="100">
        <f t="shared" si="3"/>
        <v>5.1783105675012505E-23</v>
      </c>
      <c r="AW93" s="100">
        <f t="shared" si="3"/>
        <v>5.1783105675012505E-23</v>
      </c>
      <c r="AX93" s="100">
        <f t="shared" si="3"/>
        <v>5.1783105675012505E-23</v>
      </c>
    </row>
    <row r="94" spans="2:50">
      <c r="B94" s="101"/>
    </row>
    <row r="95" spans="2:50">
      <c r="B95" s="174" t="s">
        <v>335</v>
      </c>
    </row>
    <row r="96" spans="2:50">
      <c r="B96" s="175"/>
      <c r="C96" s="105" t="s">
        <v>92</v>
      </c>
      <c r="D96" s="101"/>
      <c r="E96" s="101"/>
      <c r="F96" s="101"/>
      <c r="G96" s="105" t="s">
        <v>93</v>
      </c>
      <c r="H96" s="101"/>
      <c r="I96" s="101"/>
      <c r="J96" s="101"/>
      <c r="K96" s="105" t="s">
        <v>94</v>
      </c>
      <c r="L96" s="101"/>
      <c r="M96" s="101"/>
      <c r="N96" s="101"/>
      <c r="O96" s="105" t="s">
        <v>95</v>
      </c>
      <c r="P96" s="101"/>
      <c r="Q96" s="101"/>
      <c r="R96" s="101"/>
      <c r="S96" s="105" t="s">
        <v>96</v>
      </c>
      <c r="T96" s="101"/>
      <c r="U96" s="101"/>
      <c r="V96" s="101"/>
      <c r="W96" s="105" t="s">
        <v>97</v>
      </c>
      <c r="X96" s="101"/>
      <c r="Y96" s="101"/>
      <c r="Z96" s="101"/>
      <c r="AA96" s="105" t="s">
        <v>98</v>
      </c>
      <c r="AB96" s="101"/>
      <c r="AC96" s="101"/>
      <c r="AD96" s="101"/>
      <c r="AE96" s="105" t="s">
        <v>99</v>
      </c>
      <c r="AF96" s="101"/>
      <c r="AG96" s="101"/>
      <c r="AH96" s="101"/>
      <c r="AI96" s="105" t="s">
        <v>100</v>
      </c>
      <c r="AJ96" s="101"/>
      <c r="AK96" s="101"/>
      <c r="AL96" s="101"/>
      <c r="AM96" s="105" t="s">
        <v>101</v>
      </c>
      <c r="AN96" s="101"/>
      <c r="AO96" s="101"/>
      <c r="AP96" s="101"/>
      <c r="AQ96" s="105" t="s">
        <v>102</v>
      </c>
      <c r="AR96" s="101"/>
      <c r="AS96" s="101"/>
      <c r="AT96" s="101"/>
      <c r="AU96" s="105" t="s">
        <v>103</v>
      </c>
      <c r="AV96" s="101"/>
      <c r="AW96" s="101"/>
    </row>
    <row r="97" spans="1:50">
      <c r="A97" s="176" t="s">
        <v>121</v>
      </c>
      <c r="B97" s="176" t="s">
        <v>336</v>
      </c>
      <c r="C97" s="105">
        <v>1</v>
      </c>
      <c r="D97" s="105">
        <v>2</v>
      </c>
      <c r="E97" s="105">
        <v>3</v>
      </c>
      <c r="F97" s="105">
        <v>4</v>
      </c>
      <c r="G97" s="105">
        <v>1</v>
      </c>
      <c r="H97" s="105">
        <v>2</v>
      </c>
      <c r="I97" s="105">
        <v>3</v>
      </c>
      <c r="J97" s="105">
        <v>4</v>
      </c>
      <c r="K97" s="105">
        <v>1</v>
      </c>
      <c r="L97" s="105">
        <v>2</v>
      </c>
      <c r="M97" s="105">
        <v>3</v>
      </c>
      <c r="N97" s="105">
        <v>4</v>
      </c>
      <c r="O97" s="105">
        <v>1</v>
      </c>
      <c r="P97" s="105">
        <v>2</v>
      </c>
      <c r="Q97" s="105">
        <v>3</v>
      </c>
      <c r="R97" s="105">
        <v>4</v>
      </c>
      <c r="S97" s="105">
        <v>1</v>
      </c>
      <c r="T97" s="105">
        <v>2</v>
      </c>
      <c r="U97" s="105">
        <v>3</v>
      </c>
      <c r="V97" s="105">
        <v>4</v>
      </c>
      <c r="W97" s="105">
        <v>1</v>
      </c>
      <c r="X97" s="105">
        <v>2</v>
      </c>
      <c r="Y97" s="105">
        <v>3</v>
      </c>
      <c r="Z97" s="105">
        <v>4</v>
      </c>
      <c r="AA97" s="105">
        <v>1</v>
      </c>
      <c r="AB97" s="105">
        <v>2</v>
      </c>
      <c r="AC97" s="105">
        <v>3</v>
      </c>
      <c r="AD97" s="105">
        <v>4</v>
      </c>
      <c r="AE97" s="105">
        <v>1</v>
      </c>
      <c r="AF97" s="105">
        <v>2</v>
      </c>
      <c r="AG97" s="105">
        <v>3</v>
      </c>
      <c r="AH97" s="105">
        <v>4</v>
      </c>
      <c r="AI97" s="105">
        <v>1</v>
      </c>
      <c r="AJ97" s="105">
        <v>2</v>
      </c>
      <c r="AK97" s="105">
        <v>3</v>
      </c>
      <c r="AL97" s="105">
        <v>4</v>
      </c>
      <c r="AM97" s="105">
        <v>1</v>
      </c>
      <c r="AN97" s="105">
        <v>2</v>
      </c>
      <c r="AO97" s="105">
        <v>3</v>
      </c>
      <c r="AP97" s="105">
        <v>4</v>
      </c>
      <c r="AQ97" s="105">
        <v>1</v>
      </c>
      <c r="AR97" s="105">
        <v>2</v>
      </c>
      <c r="AS97" s="105">
        <v>3</v>
      </c>
      <c r="AT97" s="105">
        <v>4</v>
      </c>
      <c r="AU97" s="105">
        <v>1</v>
      </c>
      <c r="AV97" s="105">
        <v>2</v>
      </c>
      <c r="AW97" s="105">
        <v>3</v>
      </c>
      <c r="AX97" s="105">
        <v>4</v>
      </c>
    </row>
    <row r="98" spans="1:50">
      <c r="A98" s="105" t="s">
        <v>104</v>
      </c>
      <c r="B98" s="105" t="s">
        <v>10</v>
      </c>
      <c r="C98" s="100">
        <v>2.7417031600001787E-19</v>
      </c>
      <c r="D98" s="100">
        <v>2.7417031600001787E-19</v>
      </c>
      <c r="E98" s="100">
        <v>2.7417031600001787E-19</v>
      </c>
      <c r="F98" s="100">
        <v>2.7417031600001787E-19</v>
      </c>
      <c r="G98" s="100">
        <v>2.7417031600001787E-19</v>
      </c>
      <c r="H98" s="100">
        <v>2.7417031600001787E-19</v>
      </c>
      <c r="I98" s="100">
        <v>2.7417031600001787E-19</v>
      </c>
      <c r="J98" s="100">
        <v>2.7417031600001787E-19</v>
      </c>
      <c r="K98" s="100">
        <v>2.7417031600001787E-19</v>
      </c>
      <c r="L98" s="100">
        <v>2.7417031600001787E-19</v>
      </c>
      <c r="M98" s="100">
        <v>2.7417031600001787E-19</v>
      </c>
      <c r="N98" s="100">
        <v>2.7417031600001787E-19</v>
      </c>
      <c r="O98" s="100">
        <v>2.7417031600001787E-19</v>
      </c>
      <c r="P98" s="100">
        <v>2.7417031600001787E-19</v>
      </c>
      <c r="Q98" s="100">
        <v>2.7417031600001787E-19</v>
      </c>
      <c r="R98" s="100">
        <v>2.7417031600001787E-19</v>
      </c>
      <c r="S98" s="100">
        <v>2.7417031600001787E-19</v>
      </c>
      <c r="T98" s="100">
        <v>2.7417031600001787E-19</v>
      </c>
      <c r="U98" s="100">
        <v>2.7417031600001787E-19</v>
      </c>
      <c r="V98" s="100">
        <v>2.7417031600001787E-19</v>
      </c>
      <c r="W98" s="100">
        <v>2.7417031600001787E-19</v>
      </c>
      <c r="X98" s="100">
        <v>2.7417031600001787E-19</v>
      </c>
      <c r="Y98" s="100">
        <v>2.7417031600001787E-19</v>
      </c>
      <c r="Z98" s="100">
        <v>2.7417031600001787E-19</v>
      </c>
      <c r="AA98" s="100">
        <v>2.7417031600001787E-19</v>
      </c>
      <c r="AB98" s="100">
        <v>2.7417031600001787E-19</v>
      </c>
      <c r="AC98" s="100">
        <v>2.7417031600001787E-19</v>
      </c>
      <c r="AD98" s="100">
        <v>2.7417031600001787E-19</v>
      </c>
      <c r="AE98" s="100">
        <v>3.2725765628165545E-19</v>
      </c>
      <c r="AF98" s="100">
        <v>3.2725765628165545E-19</v>
      </c>
      <c r="AG98" s="100">
        <v>3.2725765628165545E-19</v>
      </c>
      <c r="AH98" s="100">
        <v>3.2725765628165545E-19</v>
      </c>
      <c r="AI98" s="100">
        <v>2.7417031600001787E-19</v>
      </c>
      <c r="AJ98" s="100">
        <v>2.7417031600001787E-19</v>
      </c>
      <c r="AK98" s="100">
        <v>2.7417031600001787E-19</v>
      </c>
      <c r="AL98" s="100">
        <v>2.7417031600001787E-19</v>
      </c>
      <c r="AM98" s="100">
        <v>2.7417031600001787E-19</v>
      </c>
      <c r="AN98" s="100">
        <v>2.7417031600001787E-19</v>
      </c>
      <c r="AO98" s="100">
        <v>2.7417031600001787E-19</v>
      </c>
      <c r="AP98" s="100">
        <v>2.7417031600001787E-19</v>
      </c>
      <c r="AQ98" s="100">
        <v>2.7417031600001787E-19</v>
      </c>
      <c r="AR98" s="100">
        <v>2.7417031600001787E-19</v>
      </c>
      <c r="AS98" s="100">
        <v>2.7417031600001787E-19</v>
      </c>
      <c r="AT98" s="100">
        <v>2.7417031600001787E-19</v>
      </c>
      <c r="AU98" s="100">
        <v>2.7417031600001787E-19</v>
      </c>
      <c r="AV98" s="100">
        <v>2.7417031600001787E-19</v>
      </c>
      <c r="AW98" s="100">
        <v>2.7417031600001787E-19</v>
      </c>
      <c r="AX98" s="100">
        <v>2.7417031600001787E-19</v>
      </c>
    </row>
    <row r="99" spans="1:50">
      <c r="B99" s="105" t="s">
        <v>12</v>
      </c>
      <c r="C99" s="100">
        <v>241443.17511269188</v>
      </c>
      <c r="D99" s="100">
        <v>241443.17511269188</v>
      </c>
      <c r="E99" s="100">
        <v>241443.17511269188</v>
      </c>
      <c r="F99" s="100">
        <v>241443.17511269188</v>
      </c>
      <c r="G99" s="100">
        <v>241443.17511269188</v>
      </c>
      <c r="H99" s="100">
        <v>241443.17511269188</v>
      </c>
      <c r="I99" s="100">
        <v>241443.17511269188</v>
      </c>
      <c r="J99" s="100">
        <v>241443.17511269188</v>
      </c>
      <c r="K99" s="100">
        <v>241443.17511269188</v>
      </c>
      <c r="L99" s="100">
        <v>241443.17511269188</v>
      </c>
      <c r="M99" s="100">
        <v>241443.17511269188</v>
      </c>
      <c r="N99" s="100">
        <v>241443.17511269188</v>
      </c>
      <c r="O99" s="100">
        <v>241443.17511269188</v>
      </c>
      <c r="P99" s="100">
        <v>241443.17511269188</v>
      </c>
      <c r="Q99" s="100">
        <v>241443.17511269188</v>
      </c>
      <c r="R99" s="100">
        <v>241443.17511269188</v>
      </c>
      <c r="S99" s="100">
        <v>241443.17511269188</v>
      </c>
      <c r="T99" s="100">
        <v>241443.17511269188</v>
      </c>
      <c r="U99" s="100">
        <v>241443.17511269188</v>
      </c>
      <c r="V99" s="100">
        <v>241443.17511269188</v>
      </c>
      <c r="W99" s="100">
        <v>241443.17511269188</v>
      </c>
      <c r="X99" s="100">
        <v>241443.17511269188</v>
      </c>
      <c r="Y99" s="100">
        <v>241443.17511269188</v>
      </c>
      <c r="Z99" s="100">
        <v>241443.17511269188</v>
      </c>
      <c r="AA99" s="100">
        <v>241443.17511269188</v>
      </c>
      <c r="AB99" s="100">
        <v>241443.17511269188</v>
      </c>
      <c r="AC99" s="100">
        <v>241443.17511269188</v>
      </c>
      <c r="AD99" s="100">
        <v>241443.17511269188</v>
      </c>
      <c r="AE99" s="100">
        <v>288193.58990189055</v>
      </c>
      <c r="AF99" s="100">
        <v>288193.58990189055</v>
      </c>
      <c r="AG99" s="100">
        <v>288193.58990189055</v>
      </c>
      <c r="AH99" s="100">
        <v>288193.58990189055</v>
      </c>
      <c r="AI99" s="100">
        <v>241443.17511269188</v>
      </c>
      <c r="AJ99" s="100">
        <v>241443.17511269188</v>
      </c>
      <c r="AK99" s="100">
        <v>241443.17511269188</v>
      </c>
      <c r="AL99" s="100">
        <v>241443.17511269188</v>
      </c>
      <c r="AM99" s="100">
        <v>241443.17511269188</v>
      </c>
      <c r="AN99" s="100">
        <v>241443.17511269188</v>
      </c>
      <c r="AO99" s="100">
        <v>241443.17511269188</v>
      </c>
      <c r="AP99" s="100">
        <v>241443.17511269188</v>
      </c>
      <c r="AQ99" s="100">
        <v>241443.17511269188</v>
      </c>
      <c r="AR99" s="100">
        <v>241443.17511269188</v>
      </c>
      <c r="AS99" s="100">
        <v>241443.17511269188</v>
      </c>
      <c r="AT99" s="100">
        <v>241443.17511269188</v>
      </c>
      <c r="AU99" s="100">
        <v>241443.17511269188</v>
      </c>
      <c r="AV99" s="100">
        <v>241443.17511269188</v>
      </c>
      <c r="AW99" s="100">
        <v>241443.17511269188</v>
      </c>
      <c r="AX99" s="100">
        <v>241443.17511269188</v>
      </c>
    </row>
    <row r="100" spans="1:50">
      <c r="B100" s="105" t="s">
        <v>22</v>
      </c>
      <c r="C100" s="100">
        <v>0</v>
      </c>
      <c r="D100" s="100">
        <v>0</v>
      </c>
      <c r="E100" s="100">
        <v>0</v>
      </c>
      <c r="F100" s="100">
        <v>0</v>
      </c>
      <c r="G100" s="100">
        <v>0</v>
      </c>
      <c r="H100" s="100">
        <v>0</v>
      </c>
      <c r="I100" s="100">
        <v>0</v>
      </c>
      <c r="J100" s="100">
        <v>0</v>
      </c>
      <c r="K100" s="100">
        <v>0</v>
      </c>
      <c r="L100" s="100">
        <v>0</v>
      </c>
      <c r="M100" s="100">
        <v>0</v>
      </c>
      <c r="N100" s="100">
        <v>0</v>
      </c>
      <c r="O100" s="100">
        <v>0</v>
      </c>
      <c r="P100" s="100">
        <v>0</v>
      </c>
      <c r="Q100" s="100">
        <v>0</v>
      </c>
      <c r="R100" s="100">
        <v>0</v>
      </c>
      <c r="S100" s="100">
        <v>0</v>
      </c>
      <c r="T100" s="100">
        <v>0</v>
      </c>
      <c r="U100" s="100">
        <v>0</v>
      </c>
      <c r="V100" s="100">
        <v>0</v>
      </c>
      <c r="W100" s="100">
        <v>0</v>
      </c>
      <c r="X100" s="100">
        <v>0</v>
      </c>
      <c r="Y100" s="100">
        <v>0</v>
      </c>
      <c r="Z100" s="100">
        <v>0</v>
      </c>
      <c r="AA100" s="100">
        <v>0</v>
      </c>
      <c r="AB100" s="100">
        <v>0</v>
      </c>
      <c r="AC100" s="100">
        <v>0</v>
      </c>
      <c r="AD100" s="100">
        <v>0</v>
      </c>
      <c r="AE100" s="100">
        <v>0</v>
      </c>
      <c r="AF100" s="100">
        <v>0</v>
      </c>
      <c r="AG100" s="100">
        <v>0</v>
      </c>
      <c r="AH100" s="100">
        <v>0</v>
      </c>
      <c r="AI100" s="100">
        <v>0</v>
      </c>
      <c r="AJ100" s="100">
        <v>0</v>
      </c>
      <c r="AK100" s="100">
        <v>0</v>
      </c>
      <c r="AL100" s="100">
        <v>0</v>
      </c>
      <c r="AM100" s="100">
        <v>0</v>
      </c>
      <c r="AN100" s="100">
        <v>0</v>
      </c>
      <c r="AO100" s="100">
        <v>0</v>
      </c>
      <c r="AP100" s="100">
        <v>0</v>
      </c>
      <c r="AQ100" s="100">
        <v>0</v>
      </c>
      <c r="AR100" s="100">
        <v>0</v>
      </c>
      <c r="AS100" s="100">
        <v>0</v>
      </c>
      <c r="AT100" s="100">
        <v>0</v>
      </c>
      <c r="AU100" s="100">
        <v>0</v>
      </c>
      <c r="AV100" s="100">
        <v>0</v>
      </c>
      <c r="AW100" s="100">
        <v>0</v>
      </c>
      <c r="AX100" s="100">
        <v>0</v>
      </c>
    </row>
    <row r="101" spans="1:50">
      <c r="B101" s="105" t="s">
        <v>46</v>
      </c>
      <c r="C101" s="100">
        <v>0</v>
      </c>
      <c r="D101" s="100">
        <v>0</v>
      </c>
      <c r="E101" s="100">
        <v>0</v>
      </c>
      <c r="F101" s="100">
        <v>0</v>
      </c>
      <c r="G101" s="100">
        <v>0</v>
      </c>
      <c r="H101" s="100">
        <v>0</v>
      </c>
      <c r="I101" s="100">
        <v>0</v>
      </c>
      <c r="J101" s="100">
        <v>0</v>
      </c>
      <c r="K101" s="100">
        <v>0</v>
      </c>
      <c r="L101" s="100">
        <v>0</v>
      </c>
      <c r="M101" s="100">
        <v>0</v>
      </c>
      <c r="N101" s="100">
        <v>0</v>
      </c>
      <c r="O101" s="100">
        <v>0</v>
      </c>
      <c r="P101" s="100">
        <v>0</v>
      </c>
      <c r="Q101" s="100">
        <v>0</v>
      </c>
      <c r="R101" s="100">
        <v>0</v>
      </c>
      <c r="S101" s="100">
        <v>0</v>
      </c>
      <c r="T101" s="100">
        <v>0</v>
      </c>
      <c r="U101" s="100">
        <v>0</v>
      </c>
      <c r="V101" s="100">
        <v>0</v>
      </c>
      <c r="W101" s="100">
        <v>0</v>
      </c>
      <c r="X101" s="100">
        <v>0</v>
      </c>
      <c r="Y101" s="100">
        <v>0</v>
      </c>
      <c r="Z101" s="100">
        <v>0</v>
      </c>
      <c r="AA101" s="100">
        <v>0</v>
      </c>
      <c r="AB101" s="100">
        <v>0</v>
      </c>
      <c r="AC101" s="100">
        <v>0</v>
      </c>
      <c r="AD101" s="100">
        <v>0</v>
      </c>
      <c r="AE101" s="100">
        <v>0</v>
      </c>
      <c r="AF101" s="100">
        <v>0</v>
      </c>
      <c r="AG101" s="100">
        <v>0</v>
      </c>
      <c r="AH101" s="100">
        <v>0</v>
      </c>
      <c r="AI101" s="100">
        <v>0</v>
      </c>
      <c r="AJ101" s="100">
        <v>0</v>
      </c>
      <c r="AK101" s="100">
        <v>0</v>
      </c>
      <c r="AL101" s="100">
        <v>0</v>
      </c>
      <c r="AM101" s="100">
        <v>0</v>
      </c>
      <c r="AN101" s="100">
        <v>0</v>
      </c>
      <c r="AO101" s="100">
        <v>0</v>
      </c>
      <c r="AP101" s="100">
        <v>0</v>
      </c>
      <c r="AQ101" s="100">
        <v>0</v>
      </c>
      <c r="AR101" s="100">
        <v>0</v>
      </c>
      <c r="AS101" s="100">
        <v>0</v>
      </c>
      <c r="AT101" s="100">
        <v>0</v>
      </c>
      <c r="AU101" s="100">
        <v>0</v>
      </c>
      <c r="AV101" s="100">
        <v>0</v>
      </c>
      <c r="AW101" s="100">
        <v>0</v>
      </c>
      <c r="AX101" s="100">
        <v>0</v>
      </c>
    </row>
    <row r="102" spans="1:50">
      <c r="B102" s="105" t="s">
        <v>59</v>
      </c>
      <c r="C102" s="100">
        <v>266112.19581561349</v>
      </c>
      <c r="D102" s="100">
        <v>266112.19581561349</v>
      </c>
      <c r="E102" s="100">
        <v>266112.19581561349</v>
      </c>
      <c r="F102" s="100">
        <v>266112.19581561349</v>
      </c>
      <c r="G102" s="100">
        <v>266112.19581561349</v>
      </c>
      <c r="H102" s="100">
        <v>266112.19581561349</v>
      </c>
      <c r="I102" s="100">
        <v>266112.19581561349</v>
      </c>
      <c r="J102" s="100">
        <v>266112.19581561349</v>
      </c>
      <c r="K102" s="100">
        <v>266112.19581561349</v>
      </c>
      <c r="L102" s="100">
        <v>266112.19581561349</v>
      </c>
      <c r="M102" s="100">
        <v>266112.19581561349</v>
      </c>
      <c r="N102" s="100">
        <v>266112.19581561349</v>
      </c>
      <c r="O102" s="100">
        <v>266112.19581561349</v>
      </c>
      <c r="P102" s="100">
        <v>266112.19581561349</v>
      </c>
      <c r="Q102" s="100">
        <v>266112.19581561349</v>
      </c>
      <c r="R102" s="100">
        <v>266112.19581561349</v>
      </c>
      <c r="S102" s="100">
        <v>266112.19581561349</v>
      </c>
      <c r="T102" s="100">
        <v>266112.19581561349</v>
      </c>
      <c r="U102" s="100">
        <v>266112.19581561349</v>
      </c>
      <c r="V102" s="100">
        <v>266112.19581561349</v>
      </c>
      <c r="W102" s="100">
        <v>266112.19581561349</v>
      </c>
      <c r="X102" s="100">
        <v>266112.19581561349</v>
      </c>
      <c r="Y102" s="100">
        <v>266112.19581561349</v>
      </c>
      <c r="Z102" s="100">
        <v>266112.19581561349</v>
      </c>
      <c r="AA102" s="100">
        <v>266112.19581561349</v>
      </c>
      <c r="AB102" s="100">
        <v>266112.19581561349</v>
      </c>
      <c r="AC102" s="100">
        <v>266112.19581561349</v>
      </c>
      <c r="AD102" s="100">
        <v>266112.19581561349</v>
      </c>
      <c r="AE102" s="100">
        <v>317639.24986896454</v>
      </c>
      <c r="AF102" s="100">
        <v>317639.24986896454</v>
      </c>
      <c r="AG102" s="100">
        <v>317639.24986896454</v>
      </c>
      <c r="AH102" s="100">
        <v>317639.24986896454</v>
      </c>
      <c r="AI102" s="100">
        <v>266112.19581561349</v>
      </c>
      <c r="AJ102" s="100">
        <v>266112.19581561349</v>
      </c>
      <c r="AK102" s="100">
        <v>266112.19581561349</v>
      </c>
      <c r="AL102" s="100">
        <v>266112.19581561349</v>
      </c>
      <c r="AM102" s="100">
        <v>266112.19581561349</v>
      </c>
      <c r="AN102" s="100">
        <v>266112.19581561349</v>
      </c>
      <c r="AO102" s="100">
        <v>266112.19581561349</v>
      </c>
      <c r="AP102" s="100">
        <v>266112.19581561349</v>
      </c>
      <c r="AQ102" s="100">
        <v>266112.19581561349</v>
      </c>
      <c r="AR102" s="100">
        <v>266112.19581561349</v>
      </c>
      <c r="AS102" s="100">
        <v>266112.19581561349</v>
      </c>
      <c r="AT102" s="100">
        <v>266112.19581561349</v>
      </c>
      <c r="AU102" s="100">
        <v>266112.19581561349</v>
      </c>
      <c r="AV102" s="100">
        <v>266112.19581561349</v>
      </c>
      <c r="AW102" s="100">
        <v>266112.19581561349</v>
      </c>
      <c r="AX102" s="100">
        <v>266112.19581561349</v>
      </c>
    </row>
    <row r="103" spans="1:50">
      <c r="B103" s="100" t="s">
        <v>278</v>
      </c>
      <c r="C103" s="105">
        <f>SUM(C$98:C$102)</f>
        <v>507555.37092830538</v>
      </c>
      <c r="D103" s="105">
        <f t="shared" ref="D103:AX103" si="5">SUM(D$98:D$102)</f>
        <v>507555.37092830538</v>
      </c>
      <c r="E103" s="105">
        <f t="shared" si="5"/>
        <v>507555.37092830538</v>
      </c>
      <c r="F103" s="105">
        <f t="shared" si="5"/>
        <v>507555.37092830538</v>
      </c>
      <c r="G103" s="105">
        <f t="shared" si="5"/>
        <v>507555.37092830538</v>
      </c>
      <c r="H103" s="105">
        <f t="shared" si="5"/>
        <v>507555.37092830538</v>
      </c>
      <c r="I103" s="105">
        <f t="shared" si="5"/>
        <v>507555.37092830538</v>
      </c>
      <c r="J103" s="105">
        <f t="shared" si="5"/>
        <v>507555.37092830538</v>
      </c>
      <c r="K103" s="105">
        <f t="shared" si="5"/>
        <v>507555.37092830538</v>
      </c>
      <c r="L103" s="105">
        <f t="shared" si="5"/>
        <v>507555.37092830538</v>
      </c>
      <c r="M103" s="105">
        <f t="shared" si="5"/>
        <v>507555.37092830538</v>
      </c>
      <c r="N103" s="105">
        <f t="shared" si="5"/>
        <v>507555.37092830538</v>
      </c>
      <c r="O103" s="105">
        <f t="shared" si="5"/>
        <v>507555.37092830538</v>
      </c>
      <c r="P103" s="105">
        <f t="shared" si="5"/>
        <v>507555.37092830538</v>
      </c>
      <c r="Q103" s="105">
        <f t="shared" si="5"/>
        <v>507555.37092830538</v>
      </c>
      <c r="R103" s="105">
        <f t="shared" si="5"/>
        <v>507555.37092830538</v>
      </c>
      <c r="S103" s="105">
        <f t="shared" si="5"/>
        <v>507555.37092830538</v>
      </c>
      <c r="T103" s="105">
        <f t="shared" si="5"/>
        <v>507555.37092830538</v>
      </c>
      <c r="U103" s="105">
        <f t="shared" si="5"/>
        <v>507555.37092830538</v>
      </c>
      <c r="V103" s="105">
        <f t="shared" si="5"/>
        <v>507555.37092830538</v>
      </c>
      <c r="W103" s="105">
        <f t="shared" si="5"/>
        <v>507555.37092830538</v>
      </c>
      <c r="X103" s="105">
        <f t="shared" si="5"/>
        <v>507555.37092830538</v>
      </c>
      <c r="Y103" s="105">
        <f t="shared" si="5"/>
        <v>507555.37092830538</v>
      </c>
      <c r="Z103" s="105">
        <f t="shared" si="5"/>
        <v>507555.37092830538</v>
      </c>
      <c r="AA103" s="105">
        <f t="shared" si="5"/>
        <v>507555.37092830538</v>
      </c>
      <c r="AB103" s="105">
        <f t="shared" si="5"/>
        <v>507555.37092830538</v>
      </c>
      <c r="AC103" s="105">
        <f t="shared" si="5"/>
        <v>507555.37092830538</v>
      </c>
      <c r="AD103" s="105">
        <f t="shared" si="5"/>
        <v>507555.37092830538</v>
      </c>
      <c r="AE103" s="105">
        <f t="shared" si="5"/>
        <v>605832.83977085515</v>
      </c>
      <c r="AF103" s="105">
        <f t="shared" si="5"/>
        <v>605832.83977085515</v>
      </c>
      <c r="AG103" s="105">
        <f t="shared" si="5"/>
        <v>605832.83977085515</v>
      </c>
      <c r="AH103" s="105">
        <f t="shared" si="5"/>
        <v>605832.83977085515</v>
      </c>
      <c r="AI103" s="105">
        <f t="shared" si="5"/>
        <v>507555.37092830538</v>
      </c>
      <c r="AJ103" s="105">
        <f t="shared" si="5"/>
        <v>507555.37092830538</v>
      </c>
      <c r="AK103" s="105">
        <f t="shared" si="5"/>
        <v>507555.37092830538</v>
      </c>
      <c r="AL103" s="105">
        <f t="shared" si="5"/>
        <v>507555.37092830538</v>
      </c>
      <c r="AM103" s="105">
        <f t="shared" si="5"/>
        <v>507555.37092830538</v>
      </c>
      <c r="AN103" s="105">
        <f t="shared" si="5"/>
        <v>507555.37092830538</v>
      </c>
      <c r="AO103" s="105">
        <f t="shared" si="5"/>
        <v>507555.37092830538</v>
      </c>
      <c r="AP103" s="105">
        <f t="shared" si="5"/>
        <v>507555.37092830538</v>
      </c>
      <c r="AQ103" s="105">
        <f t="shared" si="5"/>
        <v>507555.37092830538</v>
      </c>
      <c r="AR103" s="105">
        <f t="shared" si="5"/>
        <v>507555.37092830538</v>
      </c>
      <c r="AS103" s="105">
        <f t="shared" si="5"/>
        <v>507555.37092830538</v>
      </c>
      <c r="AT103" s="105">
        <f t="shared" si="5"/>
        <v>507555.37092830538</v>
      </c>
      <c r="AU103" s="105">
        <f t="shared" si="5"/>
        <v>507555.37092830538</v>
      </c>
      <c r="AV103" s="105">
        <f t="shared" si="5"/>
        <v>507555.37092830538</v>
      </c>
      <c r="AW103" s="105">
        <f t="shared" si="5"/>
        <v>507555.37092830538</v>
      </c>
      <c r="AX103" s="105">
        <f t="shared" si="5"/>
        <v>507555.37092830538</v>
      </c>
    </row>
    <row r="104" spans="1:50">
      <c r="A104" s="105" t="s">
        <v>105</v>
      </c>
      <c r="B104" s="105" t="s">
        <v>10</v>
      </c>
      <c r="C104" s="100">
        <v>9.7182425038744969E-22</v>
      </c>
      <c r="D104" s="100">
        <v>9.7182425038744969E-22</v>
      </c>
      <c r="E104" s="100">
        <v>9.7182425038744969E-22</v>
      </c>
      <c r="F104" s="100">
        <v>9.7182425038744969E-22</v>
      </c>
      <c r="G104" s="100">
        <v>9.7182425038744969E-22</v>
      </c>
      <c r="H104" s="100">
        <v>9.7182425038744969E-22</v>
      </c>
      <c r="I104" s="100">
        <v>9.7182425038744969E-22</v>
      </c>
      <c r="J104" s="100">
        <v>9.7182425038744969E-22</v>
      </c>
      <c r="K104" s="100">
        <v>9.7182425038744969E-22</v>
      </c>
      <c r="L104" s="100">
        <v>9.7182425038744969E-22</v>
      </c>
      <c r="M104" s="100">
        <v>9.7182425038744969E-22</v>
      </c>
      <c r="N104" s="100">
        <v>9.7182425038744969E-22</v>
      </c>
      <c r="O104" s="100">
        <v>9.7182425038744969E-22</v>
      </c>
      <c r="P104" s="100">
        <v>9.7182425038744969E-22</v>
      </c>
      <c r="Q104" s="100">
        <v>9.7182425038744969E-22</v>
      </c>
      <c r="R104" s="100">
        <v>9.7182425038744969E-22</v>
      </c>
      <c r="S104" s="100">
        <v>9.7182425038744969E-22</v>
      </c>
      <c r="T104" s="100">
        <v>9.7182425038744969E-22</v>
      </c>
      <c r="U104" s="100">
        <v>9.7182425038744969E-22</v>
      </c>
      <c r="V104" s="100">
        <v>9.7182425038744969E-22</v>
      </c>
      <c r="W104" s="100">
        <v>9.7182425038744969E-22</v>
      </c>
      <c r="X104" s="100">
        <v>9.7182425038744969E-22</v>
      </c>
      <c r="Y104" s="100">
        <v>9.7182425038744969E-22</v>
      </c>
      <c r="Z104" s="100">
        <v>9.7182425038744969E-22</v>
      </c>
      <c r="AA104" s="100">
        <v>9.7182425038744969E-22</v>
      </c>
      <c r="AB104" s="100">
        <v>9.7182425038744969E-22</v>
      </c>
      <c r="AC104" s="100">
        <v>9.7182425038744969E-22</v>
      </c>
      <c r="AD104" s="100">
        <v>9.7182425038744969E-22</v>
      </c>
      <c r="AE104" s="100">
        <v>9.7182425038744969E-22</v>
      </c>
      <c r="AF104" s="100">
        <v>9.7182425038744969E-22</v>
      </c>
      <c r="AG104" s="100">
        <v>9.7182425038744969E-22</v>
      </c>
      <c r="AH104" s="100">
        <v>9.7182425038744969E-22</v>
      </c>
      <c r="AI104" s="100">
        <v>9.7182425038744969E-22</v>
      </c>
      <c r="AJ104" s="100">
        <v>9.7182425038744969E-22</v>
      </c>
      <c r="AK104" s="100">
        <v>9.7182425038744969E-22</v>
      </c>
      <c r="AL104" s="100">
        <v>9.7182425038744969E-22</v>
      </c>
      <c r="AM104" s="100">
        <v>9.7182425038744969E-22</v>
      </c>
      <c r="AN104" s="100">
        <v>9.7182425038744969E-22</v>
      </c>
      <c r="AO104" s="100">
        <v>9.7182425038744969E-22</v>
      </c>
      <c r="AP104" s="100">
        <v>9.7182425038744969E-22</v>
      </c>
      <c r="AQ104" s="100">
        <v>9.7182425038744969E-22</v>
      </c>
      <c r="AR104" s="100">
        <v>9.7182425038744969E-22</v>
      </c>
      <c r="AS104" s="100">
        <v>9.7182425038744969E-22</v>
      </c>
      <c r="AT104" s="100">
        <v>9.7182425038744969E-22</v>
      </c>
      <c r="AU104" s="100">
        <v>9.7182425038744969E-22</v>
      </c>
      <c r="AV104" s="100">
        <v>9.7182425038744969E-22</v>
      </c>
      <c r="AW104" s="100">
        <v>9.7182425038744969E-22</v>
      </c>
      <c r="AX104" s="100">
        <v>9.7182425038744969E-22</v>
      </c>
    </row>
    <row r="105" spans="1:50">
      <c r="B105" s="105" t="s">
        <v>12</v>
      </c>
      <c r="C105" s="100">
        <v>1.1544953981347545E-21</v>
      </c>
      <c r="D105" s="100">
        <v>1.1544953981347545E-21</v>
      </c>
      <c r="E105" s="100">
        <v>1.1544953981347545E-21</v>
      </c>
      <c r="F105" s="100">
        <v>1.1544953981347545E-21</v>
      </c>
      <c r="G105" s="100">
        <v>1.1544953981347545E-21</v>
      </c>
      <c r="H105" s="100">
        <v>1.1544953981347545E-21</v>
      </c>
      <c r="I105" s="100">
        <v>1.1544953981347545E-21</v>
      </c>
      <c r="J105" s="100">
        <v>1.1544953981347545E-21</v>
      </c>
      <c r="K105" s="100">
        <v>1.1544953981347545E-21</v>
      </c>
      <c r="L105" s="100">
        <v>1.1544953981347545E-21</v>
      </c>
      <c r="M105" s="100">
        <v>1.1544953981347545E-21</v>
      </c>
      <c r="N105" s="100">
        <v>1.1544953981347545E-21</v>
      </c>
      <c r="O105" s="100">
        <v>1.1544953981347545E-21</v>
      </c>
      <c r="P105" s="100">
        <v>1.1544953981347545E-21</v>
      </c>
      <c r="Q105" s="100">
        <v>1.1544953981347545E-21</v>
      </c>
      <c r="R105" s="100">
        <v>1.1544953981347545E-21</v>
      </c>
      <c r="S105" s="100">
        <v>1.1544953981347545E-21</v>
      </c>
      <c r="T105" s="100">
        <v>1.1544953981347545E-21</v>
      </c>
      <c r="U105" s="100">
        <v>1.1544953981347545E-21</v>
      </c>
      <c r="V105" s="100">
        <v>1.1544953981347545E-21</v>
      </c>
      <c r="W105" s="100">
        <v>1.1544953981347545E-21</v>
      </c>
      <c r="X105" s="100">
        <v>1.1544953981347545E-21</v>
      </c>
      <c r="Y105" s="100">
        <v>1.1544953981347545E-21</v>
      </c>
      <c r="Z105" s="100">
        <v>1.1544953981347545E-21</v>
      </c>
      <c r="AA105" s="100">
        <v>1.1544953981347545E-21</v>
      </c>
      <c r="AB105" s="100">
        <v>1.1544953981347545E-21</v>
      </c>
      <c r="AC105" s="100">
        <v>1.1544953981347545E-21</v>
      </c>
      <c r="AD105" s="100">
        <v>1.1544953981347545E-21</v>
      </c>
      <c r="AE105" s="100">
        <v>1.1544953981347545E-21</v>
      </c>
      <c r="AF105" s="100">
        <v>1.1544953981347545E-21</v>
      </c>
      <c r="AG105" s="100">
        <v>1.1544953981347545E-21</v>
      </c>
      <c r="AH105" s="100">
        <v>1.1544953981347545E-21</v>
      </c>
      <c r="AI105" s="100">
        <v>1.1544953981347545E-21</v>
      </c>
      <c r="AJ105" s="100">
        <v>1.1544953981347545E-21</v>
      </c>
      <c r="AK105" s="100">
        <v>1.1544953981347545E-21</v>
      </c>
      <c r="AL105" s="100">
        <v>1.1544953981347545E-21</v>
      </c>
      <c r="AM105" s="100">
        <v>1.1544953981347545E-21</v>
      </c>
      <c r="AN105" s="100">
        <v>1.1544953981347545E-21</v>
      </c>
      <c r="AO105" s="100">
        <v>1.1544953981347545E-21</v>
      </c>
      <c r="AP105" s="100">
        <v>1.1544953981347545E-21</v>
      </c>
      <c r="AQ105" s="100">
        <v>1.1544953981347545E-21</v>
      </c>
      <c r="AR105" s="100">
        <v>1.1544953981347545E-21</v>
      </c>
      <c r="AS105" s="100">
        <v>1.1544953981347545E-21</v>
      </c>
      <c r="AT105" s="100">
        <v>1.1544953981347545E-21</v>
      </c>
      <c r="AU105" s="100">
        <v>1.1544953981347545E-21</v>
      </c>
      <c r="AV105" s="100">
        <v>1.1544953981347545E-21</v>
      </c>
      <c r="AW105" s="100">
        <v>1.1544953981347545E-21</v>
      </c>
      <c r="AX105" s="100">
        <v>1.1544953981347545E-21</v>
      </c>
    </row>
    <row r="106" spans="1:50">
      <c r="B106" s="105" t="s">
        <v>22</v>
      </c>
      <c r="C106" s="100">
        <v>8.8339338413470047E-21</v>
      </c>
      <c r="D106" s="100">
        <v>8.8339338413470047E-21</v>
      </c>
      <c r="E106" s="100">
        <v>8.8339338413470047E-21</v>
      </c>
      <c r="F106" s="100">
        <v>8.8339338413470047E-21</v>
      </c>
      <c r="G106" s="100">
        <v>8.8339338413470047E-21</v>
      </c>
      <c r="H106" s="100">
        <v>8.8339338413470047E-21</v>
      </c>
      <c r="I106" s="100">
        <v>8.8339338413470047E-21</v>
      </c>
      <c r="J106" s="100">
        <v>8.8339338413470047E-21</v>
      </c>
      <c r="K106" s="100">
        <v>8.8339338413470047E-21</v>
      </c>
      <c r="L106" s="100">
        <v>8.8339338413470047E-21</v>
      </c>
      <c r="M106" s="100">
        <v>8.8339338413470047E-21</v>
      </c>
      <c r="N106" s="100">
        <v>8.8339338413470047E-21</v>
      </c>
      <c r="O106" s="100">
        <v>8.8339338413470047E-21</v>
      </c>
      <c r="P106" s="100">
        <v>8.8339338413470047E-21</v>
      </c>
      <c r="Q106" s="100">
        <v>8.8339338413470047E-21</v>
      </c>
      <c r="R106" s="100">
        <v>8.8339338413470047E-21</v>
      </c>
      <c r="S106" s="100">
        <v>8.8339338413470047E-21</v>
      </c>
      <c r="T106" s="100">
        <v>8.8339338413470047E-21</v>
      </c>
      <c r="U106" s="100">
        <v>8.8339338413470047E-21</v>
      </c>
      <c r="V106" s="100">
        <v>8.8339338413470047E-21</v>
      </c>
      <c r="W106" s="100">
        <v>8.8339338413470047E-21</v>
      </c>
      <c r="X106" s="100">
        <v>8.8339338413470047E-21</v>
      </c>
      <c r="Y106" s="100">
        <v>8.8339338413470047E-21</v>
      </c>
      <c r="Z106" s="100">
        <v>8.8339338413470047E-21</v>
      </c>
      <c r="AA106" s="100">
        <v>8.8339338413470047E-21</v>
      </c>
      <c r="AB106" s="100">
        <v>8.8339338413470047E-21</v>
      </c>
      <c r="AC106" s="100">
        <v>8.8339338413470047E-21</v>
      </c>
      <c r="AD106" s="100">
        <v>8.8339338413470047E-21</v>
      </c>
      <c r="AE106" s="100">
        <v>8.8339338413470047E-21</v>
      </c>
      <c r="AF106" s="100">
        <v>8.8339338413470047E-21</v>
      </c>
      <c r="AG106" s="100">
        <v>8.8339338413470047E-21</v>
      </c>
      <c r="AH106" s="100">
        <v>8.8339338413470047E-21</v>
      </c>
      <c r="AI106" s="100">
        <v>8.8339338413470047E-21</v>
      </c>
      <c r="AJ106" s="100">
        <v>8.8339338413470047E-21</v>
      </c>
      <c r="AK106" s="100">
        <v>8.8339338413470047E-21</v>
      </c>
      <c r="AL106" s="100">
        <v>8.8339338413470047E-21</v>
      </c>
      <c r="AM106" s="100">
        <v>8.8339338413470047E-21</v>
      </c>
      <c r="AN106" s="100">
        <v>8.8339338413470047E-21</v>
      </c>
      <c r="AO106" s="100">
        <v>8.8339338413470047E-21</v>
      </c>
      <c r="AP106" s="100">
        <v>8.8339338413470047E-21</v>
      </c>
      <c r="AQ106" s="100">
        <v>8.8339338413470047E-21</v>
      </c>
      <c r="AR106" s="100">
        <v>8.8339338413470047E-21</v>
      </c>
      <c r="AS106" s="100">
        <v>8.8339338413470047E-21</v>
      </c>
      <c r="AT106" s="100">
        <v>8.8339338413470047E-21</v>
      </c>
      <c r="AU106" s="100">
        <v>8.8339338413470047E-21</v>
      </c>
      <c r="AV106" s="100">
        <v>8.8339338413470047E-21</v>
      </c>
      <c r="AW106" s="100">
        <v>8.8339338413470047E-21</v>
      </c>
      <c r="AX106" s="100">
        <v>8.8339338413470047E-21</v>
      </c>
    </row>
    <row r="107" spans="1:50">
      <c r="B107" s="105" t="s">
        <v>46</v>
      </c>
      <c r="C107" s="100">
        <v>2.4184341042934404E-20</v>
      </c>
      <c r="D107" s="100">
        <v>2.4184341042934404E-20</v>
      </c>
      <c r="E107" s="100">
        <v>2.4184341042934404E-20</v>
      </c>
      <c r="F107" s="100">
        <v>2.4184341042934404E-20</v>
      </c>
      <c r="G107" s="100">
        <v>2.4184341042934404E-20</v>
      </c>
      <c r="H107" s="100">
        <v>2.4184341042934404E-20</v>
      </c>
      <c r="I107" s="100">
        <v>2.4184341042934404E-20</v>
      </c>
      <c r="J107" s="100">
        <v>2.4184341042934404E-20</v>
      </c>
      <c r="K107" s="100">
        <v>2.4184341042934404E-20</v>
      </c>
      <c r="L107" s="100">
        <v>2.4184341042934404E-20</v>
      </c>
      <c r="M107" s="100">
        <v>2.4184341042934404E-20</v>
      </c>
      <c r="N107" s="100">
        <v>2.4184341042934404E-20</v>
      </c>
      <c r="O107" s="100">
        <v>2.4184341042934404E-20</v>
      </c>
      <c r="P107" s="100">
        <v>2.4184341042934404E-20</v>
      </c>
      <c r="Q107" s="100">
        <v>2.4184341042934404E-20</v>
      </c>
      <c r="R107" s="100">
        <v>2.4184341042934404E-20</v>
      </c>
      <c r="S107" s="100">
        <v>2.4184341042934404E-20</v>
      </c>
      <c r="T107" s="100">
        <v>2.4184341042934404E-20</v>
      </c>
      <c r="U107" s="100">
        <v>2.4184341042934404E-20</v>
      </c>
      <c r="V107" s="100">
        <v>2.4184341042934404E-20</v>
      </c>
      <c r="W107" s="100">
        <v>2.4184341042934404E-20</v>
      </c>
      <c r="X107" s="100">
        <v>2.4184341042934404E-20</v>
      </c>
      <c r="Y107" s="100">
        <v>2.4184341042934404E-20</v>
      </c>
      <c r="Z107" s="100">
        <v>2.4184341042934404E-20</v>
      </c>
      <c r="AA107" s="100">
        <v>2.4184341042934404E-20</v>
      </c>
      <c r="AB107" s="100">
        <v>2.4184341042934404E-20</v>
      </c>
      <c r="AC107" s="100">
        <v>2.4184341042934404E-20</v>
      </c>
      <c r="AD107" s="100">
        <v>2.4184341042934404E-20</v>
      </c>
      <c r="AE107" s="100">
        <v>2.4184341042934404E-20</v>
      </c>
      <c r="AF107" s="100">
        <v>2.4184341042934404E-20</v>
      </c>
      <c r="AG107" s="100">
        <v>2.4184341042934404E-20</v>
      </c>
      <c r="AH107" s="100">
        <v>2.4184341042934404E-20</v>
      </c>
      <c r="AI107" s="100">
        <v>2.4184341042934404E-20</v>
      </c>
      <c r="AJ107" s="100">
        <v>2.4184341042934404E-20</v>
      </c>
      <c r="AK107" s="100">
        <v>2.4184341042934404E-20</v>
      </c>
      <c r="AL107" s="100">
        <v>2.4184341042934404E-20</v>
      </c>
      <c r="AM107" s="100">
        <v>2.4184341042934404E-20</v>
      </c>
      <c r="AN107" s="100">
        <v>2.4184341042934404E-20</v>
      </c>
      <c r="AO107" s="100">
        <v>2.4184341042934404E-20</v>
      </c>
      <c r="AP107" s="100">
        <v>2.4184341042934404E-20</v>
      </c>
      <c r="AQ107" s="100">
        <v>2.4184341042934404E-20</v>
      </c>
      <c r="AR107" s="100">
        <v>2.4184341042934404E-20</v>
      </c>
      <c r="AS107" s="100">
        <v>2.4184341042934404E-20</v>
      </c>
      <c r="AT107" s="100">
        <v>2.4184341042934404E-20</v>
      </c>
      <c r="AU107" s="100">
        <v>2.4184341042934404E-20</v>
      </c>
      <c r="AV107" s="100">
        <v>2.4184341042934404E-20</v>
      </c>
      <c r="AW107" s="100">
        <v>2.4184341042934404E-20</v>
      </c>
      <c r="AX107" s="100">
        <v>2.4184341042934404E-20</v>
      </c>
    </row>
    <row r="108" spans="1:50">
      <c r="B108" s="105" t="s">
        <v>59</v>
      </c>
      <c r="C108" s="100">
        <v>0</v>
      </c>
      <c r="D108" s="100">
        <v>0</v>
      </c>
      <c r="E108" s="100">
        <v>0</v>
      </c>
      <c r="F108" s="100">
        <v>0</v>
      </c>
      <c r="G108" s="100">
        <v>0</v>
      </c>
      <c r="H108" s="100">
        <v>0</v>
      </c>
      <c r="I108" s="100">
        <v>0</v>
      </c>
      <c r="J108" s="100">
        <v>0</v>
      </c>
      <c r="K108" s="100">
        <v>0</v>
      </c>
      <c r="L108" s="100">
        <v>0</v>
      </c>
      <c r="M108" s="100">
        <v>0</v>
      </c>
      <c r="N108" s="100">
        <v>0</v>
      </c>
      <c r="O108" s="100">
        <v>0</v>
      </c>
      <c r="P108" s="100">
        <v>0</v>
      </c>
      <c r="Q108" s="100">
        <v>0</v>
      </c>
      <c r="R108" s="100">
        <v>0</v>
      </c>
      <c r="S108" s="100">
        <v>0</v>
      </c>
      <c r="T108" s="100">
        <v>0</v>
      </c>
      <c r="U108" s="100">
        <v>0</v>
      </c>
      <c r="V108" s="100">
        <v>0</v>
      </c>
      <c r="W108" s="100">
        <v>0</v>
      </c>
      <c r="X108" s="100">
        <v>0</v>
      </c>
      <c r="Y108" s="100">
        <v>0</v>
      </c>
      <c r="Z108" s="100">
        <v>0</v>
      </c>
      <c r="AA108" s="100">
        <v>0</v>
      </c>
      <c r="AB108" s="100">
        <v>0</v>
      </c>
      <c r="AC108" s="100">
        <v>0</v>
      </c>
      <c r="AD108" s="100">
        <v>0</v>
      </c>
      <c r="AE108" s="100">
        <v>0</v>
      </c>
      <c r="AF108" s="100">
        <v>0</v>
      </c>
      <c r="AG108" s="100">
        <v>0</v>
      </c>
      <c r="AH108" s="100">
        <v>0</v>
      </c>
      <c r="AI108" s="100">
        <v>0</v>
      </c>
      <c r="AJ108" s="100">
        <v>0</v>
      </c>
      <c r="AK108" s="100">
        <v>0</v>
      </c>
      <c r="AL108" s="100">
        <v>0</v>
      </c>
      <c r="AM108" s="100">
        <v>0</v>
      </c>
      <c r="AN108" s="100">
        <v>0</v>
      </c>
      <c r="AO108" s="100">
        <v>0</v>
      </c>
      <c r="AP108" s="100">
        <v>0</v>
      </c>
      <c r="AQ108" s="100">
        <v>0</v>
      </c>
      <c r="AR108" s="100">
        <v>0</v>
      </c>
      <c r="AS108" s="100">
        <v>0</v>
      </c>
      <c r="AT108" s="100">
        <v>0</v>
      </c>
      <c r="AU108" s="100">
        <v>0</v>
      </c>
      <c r="AV108" s="100">
        <v>0</v>
      </c>
      <c r="AW108" s="100">
        <v>0</v>
      </c>
      <c r="AX108" s="100">
        <v>0</v>
      </c>
    </row>
    <row r="109" spans="1:50">
      <c r="B109" s="101" t="s">
        <v>278</v>
      </c>
      <c r="C109" s="105">
        <f>SUM(C$104:C$108)</f>
        <v>3.5144594532803611E-20</v>
      </c>
      <c r="D109" s="105">
        <f t="shared" ref="D109:AX109" si="6">SUM(D$104:D$108)</f>
        <v>3.5144594532803611E-20</v>
      </c>
      <c r="E109" s="105">
        <f t="shared" si="6"/>
        <v>3.5144594532803611E-20</v>
      </c>
      <c r="F109" s="105">
        <f t="shared" si="6"/>
        <v>3.5144594532803611E-20</v>
      </c>
      <c r="G109" s="105">
        <f t="shared" si="6"/>
        <v>3.5144594532803611E-20</v>
      </c>
      <c r="H109" s="105">
        <f t="shared" si="6"/>
        <v>3.5144594532803611E-20</v>
      </c>
      <c r="I109" s="105">
        <f t="shared" si="6"/>
        <v>3.5144594532803611E-20</v>
      </c>
      <c r="J109" s="105">
        <f t="shared" si="6"/>
        <v>3.5144594532803611E-20</v>
      </c>
      <c r="K109" s="105">
        <f t="shared" si="6"/>
        <v>3.5144594532803611E-20</v>
      </c>
      <c r="L109" s="105">
        <f t="shared" si="6"/>
        <v>3.5144594532803611E-20</v>
      </c>
      <c r="M109" s="105">
        <f t="shared" si="6"/>
        <v>3.5144594532803611E-20</v>
      </c>
      <c r="N109" s="105">
        <f t="shared" si="6"/>
        <v>3.5144594532803611E-20</v>
      </c>
      <c r="O109" s="105">
        <f t="shared" si="6"/>
        <v>3.5144594532803611E-20</v>
      </c>
      <c r="P109" s="105">
        <f t="shared" si="6"/>
        <v>3.5144594532803611E-20</v>
      </c>
      <c r="Q109" s="105">
        <f t="shared" si="6"/>
        <v>3.5144594532803611E-20</v>
      </c>
      <c r="R109" s="105">
        <f t="shared" si="6"/>
        <v>3.5144594532803611E-20</v>
      </c>
      <c r="S109" s="105">
        <f t="shared" si="6"/>
        <v>3.5144594532803611E-20</v>
      </c>
      <c r="T109" s="105">
        <f t="shared" si="6"/>
        <v>3.5144594532803611E-20</v>
      </c>
      <c r="U109" s="105">
        <f t="shared" si="6"/>
        <v>3.5144594532803611E-20</v>
      </c>
      <c r="V109" s="105">
        <f t="shared" si="6"/>
        <v>3.5144594532803611E-20</v>
      </c>
      <c r="W109" s="105">
        <f t="shared" si="6"/>
        <v>3.5144594532803611E-20</v>
      </c>
      <c r="X109" s="105">
        <f t="shared" si="6"/>
        <v>3.5144594532803611E-20</v>
      </c>
      <c r="Y109" s="105">
        <f t="shared" si="6"/>
        <v>3.5144594532803611E-20</v>
      </c>
      <c r="Z109" s="105">
        <f t="shared" si="6"/>
        <v>3.5144594532803611E-20</v>
      </c>
      <c r="AA109" s="105">
        <f t="shared" si="6"/>
        <v>3.5144594532803611E-20</v>
      </c>
      <c r="AB109" s="105">
        <f t="shared" si="6"/>
        <v>3.5144594532803611E-20</v>
      </c>
      <c r="AC109" s="105">
        <f t="shared" si="6"/>
        <v>3.5144594532803611E-20</v>
      </c>
      <c r="AD109" s="105">
        <f t="shared" si="6"/>
        <v>3.5144594532803611E-20</v>
      </c>
      <c r="AE109" s="105">
        <f t="shared" si="6"/>
        <v>3.5144594532803611E-20</v>
      </c>
      <c r="AF109" s="105">
        <f t="shared" si="6"/>
        <v>3.5144594532803611E-20</v>
      </c>
      <c r="AG109" s="105">
        <f t="shared" si="6"/>
        <v>3.5144594532803611E-20</v>
      </c>
      <c r="AH109" s="105">
        <f t="shared" si="6"/>
        <v>3.5144594532803611E-20</v>
      </c>
      <c r="AI109" s="105">
        <f t="shared" si="6"/>
        <v>3.5144594532803611E-20</v>
      </c>
      <c r="AJ109" s="105">
        <f t="shared" si="6"/>
        <v>3.5144594532803611E-20</v>
      </c>
      <c r="AK109" s="105">
        <f t="shared" si="6"/>
        <v>3.5144594532803611E-20</v>
      </c>
      <c r="AL109" s="105">
        <f t="shared" si="6"/>
        <v>3.5144594532803611E-20</v>
      </c>
      <c r="AM109" s="105">
        <f t="shared" si="6"/>
        <v>3.5144594532803611E-20</v>
      </c>
      <c r="AN109" s="105">
        <f t="shared" si="6"/>
        <v>3.5144594532803611E-20</v>
      </c>
      <c r="AO109" s="105">
        <f t="shared" si="6"/>
        <v>3.5144594532803611E-20</v>
      </c>
      <c r="AP109" s="105">
        <f t="shared" si="6"/>
        <v>3.5144594532803611E-20</v>
      </c>
      <c r="AQ109" s="105">
        <f t="shared" si="6"/>
        <v>3.5144594532803611E-20</v>
      </c>
      <c r="AR109" s="105">
        <f t="shared" si="6"/>
        <v>3.5144594532803611E-20</v>
      </c>
      <c r="AS109" s="105">
        <f t="shared" si="6"/>
        <v>3.5144594532803611E-20</v>
      </c>
      <c r="AT109" s="105">
        <f t="shared" si="6"/>
        <v>3.5144594532803611E-20</v>
      </c>
      <c r="AU109" s="105">
        <f t="shared" si="6"/>
        <v>3.5144594532803611E-20</v>
      </c>
      <c r="AV109" s="105">
        <f t="shared" si="6"/>
        <v>3.5144594532803611E-20</v>
      </c>
      <c r="AW109" s="105">
        <f t="shared" si="6"/>
        <v>3.5144594532803611E-20</v>
      </c>
      <c r="AX109" s="105">
        <f t="shared" si="6"/>
        <v>3.5144594532803611E-20</v>
      </c>
    </row>
    <row r="110" spans="1:50">
      <c r="A110" s="105" t="s">
        <v>106</v>
      </c>
      <c r="B110" s="105" t="s">
        <v>10</v>
      </c>
      <c r="C110" s="100">
        <v>5.1855884018227147E-21</v>
      </c>
      <c r="D110" s="100">
        <v>5.1855884018227147E-21</v>
      </c>
      <c r="E110" s="100">
        <v>5.1855884018227147E-21</v>
      </c>
      <c r="F110" s="100">
        <v>5.1855884018227147E-21</v>
      </c>
      <c r="G110" s="100">
        <v>4.148470721458172E-21</v>
      </c>
      <c r="H110" s="100">
        <v>4.148470721458172E-21</v>
      </c>
      <c r="I110" s="100">
        <v>4.148470721458172E-21</v>
      </c>
      <c r="J110" s="100">
        <v>4.148470721458172E-21</v>
      </c>
      <c r="K110" s="100">
        <v>5.1855884018227147E-21</v>
      </c>
      <c r="L110" s="100">
        <v>5.1855884018227147E-21</v>
      </c>
      <c r="M110" s="100">
        <v>5.1855884018227147E-21</v>
      </c>
      <c r="N110" s="100">
        <v>5.1855884018227147E-21</v>
      </c>
      <c r="O110" s="100">
        <v>5.1855884018227147E-21</v>
      </c>
      <c r="P110" s="100">
        <v>5.1855884018227147E-21</v>
      </c>
      <c r="Q110" s="100">
        <v>5.1855884018227147E-21</v>
      </c>
      <c r="R110" s="100">
        <v>5.1855884018227147E-21</v>
      </c>
      <c r="S110" s="100">
        <v>5.1855884018227147E-21</v>
      </c>
      <c r="T110" s="100">
        <v>5.1855884018227147E-21</v>
      </c>
      <c r="U110" s="100">
        <v>5.1855884018227147E-21</v>
      </c>
      <c r="V110" s="100">
        <v>5.1855884018227147E-21</v>
      </c>
      <c r="W110" s="100">
        <v>5.1855884018227147E-21</v>
      </c>
      <c r="X110" s="100">
        <v>5.1855884018227147E-21</v>
      </c>
      <c r="Y110" s="100">
        <v>5.1855884018227147E-21</v>
      </c>
      <c r="Z110" s="100">
        <v>5.1855884018227147E-21</v>
      </c>
      <c r="AA110" s="100">
        <v>6.222706082187258E-21</v>
      </c>
      <c r="AB110" s="100">
        <v>6.222706082187258E-21</v>
      </c>
      <c r="AC110" s="100">
        <v>6.222706082187258E-21</v>
      </c>
      <c r="AD110" s="100">
        <v>6.222706082187258E-21</v>
      </c>
      <c r="AE110" s="100">
        <v>5.1855884018227147E-21</v>
      </c>
      <c r="AF110" s="100">
        <v>5.1855884018227147E-21</v>
      </c>
      <c r="AG110" s="100">
        <v>5.1855884018227147E-21</v>
      </c>
      <c r="AH110" s="100">
        <v>5.1855884018227147E-21</v>
      </c>
      <c r="AI110" s="100">
        <v>6.222706082187258E-21</v>
      </c>
      <c r="AJ110" s="100">
        <v>6.222706082187258E-21</v>
      </c>
      <c r="AK110" s="100">
        <v>6.222706082187258E-21</v>
      </c>
      <c r="AL110" s="100">
        <v>6.222706082187258E-21</v>
      </c>
      <c r="AM110" s="100">
        <v>6.222706082187258E-21</v>
      </c>
      <c r="AN110" s="100">
        <v>6.222706082187258E-21</v>
      </c>
      <c r="AO110" s="100">
        <v>6.222706082187258E-21</v>
      </c>
      <c r="AP110" s="100">
        <v>6.222706082187258E-21</v>
      </c>
      <c r="AQ110" s="100">
        <v>5.1855884018227147E-21</v>
      </c>
      <c r="AR110" s="100">
        <v>5.1855884018227147E-21</v>
      </c>
      <c r="AS110" s="100">
        <v>5.1855884018227147E-21</v>
      </c>
      <c r="AT110" s="100">
        <v>5.1855884018227147E-21</v>
      </c>
      <c r="AU110" s="100">
        <v>0</v>
      </c>
      <c r="AV110" s="100">
        <v>0</v>
      </c>
      <c r="AW110" s="100">
        <v>0</v>
      </c>
      <c r="AX110" s="100">
        <v>0</v>
      </c>
    </row>
    <row r="111" spans="1:50">
      <c r="B111" s="105" t="s">
        <v>12</v>
      </c>
      <c r="C111" s="100">
        <v>1.8962344740313856E-20</v>
      </c>
      <c r="D111" s="100">
        <v>1.8962344740313856E-20</v>
      </c>
      <c r="E111" s="100">
        <v>1.8962344740313856E-20</v>
      </c>
      <c r="F111" s="100">
        <v>1.8962344740313856E-20</v>
      </c>
      <c r="G111" s="100">
        <v>1.5169875792251086E-20</v>
      </c>
      <c r="H111" s="100">
        <v>1.5169875792251086E-20</v>
      </c>
      <c r="I111" s="100">
        <v>1.5169875792251086E-20</v>
      </c>
      <c r="J111" s="100">
        <v>1.5169875792251086E-20</v>
      </c>
      <c r="K111" s="100">
        <v>1.8962344740313856E-20</v>
      </c>
      <c r="L111" s="100">
        <v>1.8962344740313856E-20</v>
      </c>
      <c r="M111" s="100">
        <v>1.8962344740313856E-20</v>
      </c>
      <c r="N111" s="100">
        <v>1.8962344740313856E-20</v>
      </c>
      <c r="O111" s="100">
        <v>1.8962344740313856E-20</v>
      </c>
      <c r="P111" s="100">
        <v>1.8962344740313856E-20</v>
      </c>
      <c r="Q111" s="100">
        <v>1.8962344740313856E-20</v>
      </c>
      <c r="R111" s="100">
        <v>1.8962344740313856E-20</v>
      </c>
      <c r="S111" s="100">
        <v>1.8962344740313856E-20</v>
      </c>
      <c r="T111" s="100">
        <v>1.8962344740313856E-20</v>
      </c>
      <c r="U111" s="100">
        <v>1.8962344740313856E-20</v>
      </c>
      <c r="V111" s="100">
        <v>1.8962344740313856E-20</v>
      </c>
      <c r="W111" s="100">
        <v>1.8962344740313856E-20</v>
      </c>
      <c r="X111" s="100">
        <v>1.8962344740313856E-20</v>
      </c>
      <c r="Y111" s="100">
        <v>1.8962344740313856E-20</v>
      </c>
      <c r="Z111" s="100">
        <v>1.8962344740313856E-20</v>
      </c>
      <c r="AA111" s="100">
        <v>2.2754813688376626E-20</v>
      </c>
      <c r="AB111" s="100">
        <v>2.2754813688376626E-20</v>
      </c>
      <c r="AC111" s="100">
        <v>2.2754813688376626E-20</v>
      </c>
      <c r="AD111" s="100">
        <v>2.2754813688376626E-20</v>
      </c>
      <c r="AE111" s="100">
        <v>1.8962344740313856E-20</v>
      </c>
      <c r="AF111" s="100">
        <v>1.8962344740313856E-20</v>
      </c>
      <c r="AG111" s="100">
        <v>1.8962344740313856E-20</v>
      </c>
      <c r="AH111" s="100">
        <v>1.8962344740313856E-20</v>
      </c>
      <c r="AI111" s="100">
        <v>2.2754813688376626E-20</v>
      </c>
      <c r="AJ111" s="100">
        <v>2.2754813688376626E-20</v>
      </c>
      <c r="AK111" s="100">
        <v>2.2754813688376626E-20</v>
      </c>
      <c r="AL111" s="100">
        <v>2.2754813688376626E-20</v>
      </c>
      <c r="AM111" s="100">
        <v>2.2754813688376626E-20</v>
      </c>
      <c r="AN111" s="100">
        <v>2.2754813688376626E-20</v>
      </c>
      <c r="AO111" s="100">
        <v>2.2754813688376626E-20</v>
      </c>
      <c r="AP111" s="100">
        <v>2.2754813688376626E-20</v>
      </c>
      <c r="AQ111" s="100">
        <v>1.8962344740313856E-20</v>
      </c>
      <c r="AR111" s="100">
        <v>1.8962344740313856E-20</v>
      </c>
      <c r="AS111" s="100">
        <v>1.8962344740313856E-20</v>
      </c>
      <c r="AT111" s="100">
        <v>1.8962344740313856E-20</v>
      </c>
      <c r="AU111" s="100">
        <v>0</v>
      </c>
      <c r="AV111" s="100">
        <v>0</v>
      </c>
      <c r="AW111" s="100">
        <v>0</v>
      </c>
      <c r="AX111" s="100">
        <v>0</v>
      </c>
    </row>
    <row r="112" spans="1:50">
      <c r="B112" s="105" t="s">
        <v>22</v>
      </c>
      <c r="C112" s="100">
        <v>4199.0435326946463</v>
      </c>
      <c r="D112" s="100">
        <v>4199.0435326946463</v>
      </c>
      <c r="E112" s="100">
        <v>4199.0435326946463</v>
      </c>
      <c r="F112" s="100">
        <v>4199.0435326946463</v>
      </c>
      <c r="G112" s="100">
        <v>3359.2348261557172</v>
      </c>
      <c r="H112" s="100">
        <v>3359.2348261557172</v>
      </c>
      <c r="I112" s="100">
        <v>3359.2348261557172</v>
      </c>
      <c r="J112" s="100">
        <v>3359.2348261557172</v>
      </c>
      <c r="K112" s="100">
        <v>4199.0435326946463</v>
      </c>
      <c r="L112" s="100">
        <v>4199.0435326946463</v>
      </c>
      <c r="M112" s="100">
        <v>4199.0435326946463</v>
      </c>
      <c r="N112" s="100">
        <v>4199.0435326946463</v>
      </c>
      <c r="O112" s="100">
        <v>4199.0435326946463</v>
      </c>
      <c r="P112" s="100">
        <v>4199.0435326946463</v>
      </c>
      <c r="Q112" s="100">
        <v>4199.0435326946463</v>
      </c>
      <c r="R112" s="100">
        <v>4199.0435326946463</v>
      </c>
      <c r="S112" s="100">
        <v>4199.0435326946463</v>
      </c>
      <c r="T112" s="100">
        <v>4199.0435326946463</v>
      </c>
      <c r="U112" s="100">
        <v>4199.0435326946463</v>
      </c>
      <c r="V112" s="100">
        <v>4199.0435326946463</v>
      </c>
      <c r="W112" s="100">
        <v>4199.0435326946463</v>
      </c>
      <c r="X112" s="100">
        <v>4199.0435326946463</v>
      </c>
      <c r="Y112" s="100">
        <v>4199.0435326946463</v>
      </c>
      <c r="Z112" s="100">
        <v>4199.0435326946463</v>
      </c>
      <c r="AA112" s="100">
        <v>5038.8522392335753</v>
      </c>
      <c r="AB112" s="100">
        <v>5038.8522392335753</v>
      </c>
      <c r="AC112" s="100">
        <v>5038.8522392335753</v>
      </c>
      <c r="AD112" s="100">
        <v>5038.8522392335753</v>
      </c>
      <c r="AE112" s="100">
        <v>4199.0435326946463</v>
      </c>
      <c r="AF112" s="100">
        <v>4199.0435326946463</v>
      </c>
      <c r="AG112" s="100">
        <v>4199.0435326946463</v>
      </c>
      <c r="AH112" s="100">
        <v>4199.0435326946463</v>
      </c>
      <c r="AI112" s="100">
        <v>5038.8522392335753</v>
      </c>
      <c r="AJ112" s="100">
        <v>5038.8522392335753</v>
      </c>
      <c r="AK112" s="100">
        <v>5038.8522392335753</v>
      </c>
      <c r="AL112" s="100">
        <v>5038.8522392335753</v>
      </c>
      <c r="AM112" s="100">
        <v>5038.8522392335753</v>
      </c>
      <c r="AN112" s="100">
        <v>5038.8522392335753</v>
      </c>
      <c r="AO112" s="100">
        <v>5038.8522392335753</v>
      </c>
      <c r="AP112" s="100">
        <v>5038.8522392335753</v>
      </c>
      <c r="AQ112" s="100">
        <v>4199.0435326946463</v>
      </c>
      <c r="AR112" s="100">
        <v>4199.0435326946463</v>
      </c>
      <c r="AS112" s="100">
        <v>4199.0435326946463</v>
      </c>
      <c r="AT112" s="100">
        <v>4199.0435326946463</v>
      </c>
      <c r="AU112" s="100">
        <v>0</v>
      </c>
      <c r="AV112" s="100">
        <v>0</v>
      </c>
      <c r="AW112" s="100">
        <v>0</v>
      </c>
      <c r="AX112" s="100">
        <v>0</v>
      </c>
    </row>
    <row r="113" spans="1:50">
      <c r="B113" s="105" t="s">
        <v>46</v>
      </c>
      <c r="C113" s="100">
        <v>0</v>
      </c>
      <c r="D113" s="100">
        <v>0</v>
      </c>
      <c r="E113" s="100">
        <v>0</v>
      </c>
      <c r="F113" s="100">
        <v>0</v>
      </c>
      <c r="G113" s="100">
        <v>0</v>
      </c>
      <c r="H113" s="100">
        <v>0</v>
      </c>
      <c r="I113" s="100">
        <v>0</v>
      </c>
      <c r="J113" s="100">
        <v>0</v>
      </c>
      <c r="K113" s="100">
        <v>0</v>
      </c>
      <c r="L113" s="100">
        <v>0</v>
      </c>
      <c r="M113" s="100">
        <v>0</v>
      </c>
      <c r="N113" s="100">
        <v>0</v>
      </c>
      <c r="O113" s="100">
        <v>0</v>
      </c>
      <c r="P113" s="100">
        <v>0</v>
      </c>
      <c r="Q113" s="100">
        <v>0</v>
      </c>
      <c r="R113" s="100">
        <v>0</v>
      </c>
      <c r="S113" s="100">
        <v>0</v>
      </c>
      <c r="T113" s="100">
        <v>0</v>
      </c>
      <c r="U113" s="100">
        <v>0</v>
      </c>
      <c r="V113" s="100">
        <v>0</v>
      </c>
      <c r="W113" s="100">
        <v>0</v>
      </c>
      <c r="X113" s="100">
        <v>0</v>
      </c>
      <c r="Y113" s="100">
        <v>0</v>
      </c>
      <c r="Z113" s="100">
        <v>0</v>
      </c>
      <c r="AA113" s="100">
        <v>0</v>
      </c>
      <c r="AB113" s="100">
        <v>0</v>
      </c>
      <c r="AC113" s="100">
        <v>0</v>
      </c>
      <c r="AD113" s="100">
        <v>0</v>
      </c>
      <c r="AE113" s="100">
        <v>0</v>
      </c>
      <c r="AF113" s="100">
        <v>0</v>
      </c>
      <c r="AG113" s="100">
        <v>0</v>
      </c>
      <c r="AH113" s="100">
        <v>0</v>
      </c>
      <c r="AI113" s="100">
        <v>0</v>
      </c>
      <c r="AJ113" s="100">
        <v>0</v>
      </c>
      <c r="AK113" s="100">
        <v>0</v>
      </c>
      <c r="AL113" s="100">
        <v>0</v>
      </c>
      <c r="AM113" s="100">
        <v>0</v>
      </c>
      <c r="AN113" s="100">
        <v>0</v>
      </c>
      <c r="AO113" s="100">
        <v>0</v>
      </c>
      <c r="AP113" s="100">
        <v>0</v>
      </c>
      <c r="AQ113" s="100">
        <v>0</v>
      </c>
      <c r="AR113" s="100">
        <v>0</v>
      </c>
      <c r="AS113" s="100">
        <v>0</v>
      </c>
      <c r="AT113" s="100">
        <v>0</v>
      </c>
      <c r="AU113" s="100">
        <v>0</v>
      </c>
      <c r="AV113" s="100">
        <v>0</v>
      </c>
      <c r="AW113" s="100">
        <v>0</v>
      </c>
      <c r="AX113" s="100">
        <v>0</v>
      </c>
    </row>
    <row r="114" spans="1:50">
      <c r="B114" s="105" t="s">
        <v>59</v>
      </c>
      <c r="C114" s="100">
        <v>0</v>
      </c>
      <c r="D114" s="100">
        <v>0</v>
      </c>
      <c r="E114" s="100">
        <v>0</v>
      </c>
      <c r="F114" s="100">
        <v>0</v>
      </c>
      <c r="G114" s="100">
        <v>0</v>
      </c>
      <c r="H114" s="100">
        <v>0</v>
      </c>
      <c r="I114" s="100">
        <v>0</v>
      </c>
      <c r="J114" s="100">
        <v>0</v>
      </c>
      <c r="K114" s="100">
        <v>0</v>
      </c>
      <c r="L114" s="100">
        <v>0</v>
      </c>
      <c r="M114" s="100">
        <v>0</v>
      </c>
      <c r="N114" s="100">
        <v>0</v>
      </c>
      <c r="O114" s="100">
        <v>0</v>
      </c>
      <c r="P114" s="100">
        <v>0</v>
      </c>
      <c r="Q114" s="100">
        <v>0</v>
      </c>
      <c r="R114" s="100">
        <v>0</v>
      </c>
      <c r="S114" s="100">
        <v>0</v>
      </c>
      <c r="T114" s="100">
        <v>0</v>
      </c>
      <c r="U114" s="100">
        <v>0</v>
      </c>
      <c r="V114" s="100">
        <v>0</v>
      </c>
      <c r="W114" s="100">
        <v>0</v>
      </c>
      <c r="X114" s="100">
        <v>0</v>
      </c>
      <c r="Y114" s="100">
        <v>0</v>
      </c>
      <c r="Z114" s="100">
        <v>0</v>
      </c>
      <c r="AA114" s="100">
        <v>0</v>
      </c>
      <c r="AB114" s="100">
        <v>0</v>
      </c>
      <c r="AC114" s="100">
        <v>0</v>
      </c>
      <c r="AD114" s="100">
        <v>0</v>
      </c>
      <c r="AE114" s="100">
        <v>0</v>
      </c>
      <c r="AF114" s="100">
        <v>0</v>
      </c>
      <c r="AG114" s="100">
        <v>0</v>
      </c>
      <c r="AH114" s="100">
        <v>0</v>
      </c>
      <c r="AI114" s="100">
        <v>0</v>
      </c>
      <c r="AJ114" s="100">
        <v>0</v>
      </c>
      <c r="AK114" s="100">
        <v>0</v>
      </c>
      <c r="AL114" s="100">
        <v>0</v>
      </c>
      <c r="AM114" s="100">
        <v>0</v>
      </c>
      <c r="AN114" s="100">
        <v>0</v>
      </c>
      <c r="AO114" s="100">
        <v>0</v>
      </c>
      <c r="AP114" s="100">
        <v>0</v>
      </c>
      <c r="AQ114" s="100">
        <v>0</v>
      </c>
      <c r="AR114" s="100">
        <v>0</v>
      </c>
      <c r="AS114" s="100">
        <v>0</v>
      </c>
      <c r="AT114" s="100">
        <v>0</v>
      </c>
      <c r="AU114" s="100">
        <v>0</v>
      </c>
      <c r="AV114" s="100">
        <v>0</v>
      </c>
      <c r="AW114" s="100">
        <v>0</v>
      </c>
      <c r="AX114" s="100">
        <v>0</v>
      </c>
    </row>
    <row r="115" spans="1:50">
      <c r="B115" s="100" t="s">
        <v>278</v>
      </c>
      <c r="C115" s="105">
        <f>SUM(C$110:C$114)</f>
        <v>4199.0435326946463</v>
      </c>
      <c r="D115" s="105">
        <f t="shared" ref="D115:AX115" si="7">SUM(D$110:D$114)</f>
        <v>4199.0435326946463</v>
      </c>
      <c r="E115" s="105">
        <f t="shared" si="7"/>
        <v>4199.0435326946463</v>
      </c>
      <c r="F115" s="105">
        <f t="shared" si="7"/>
        <v>4199.0435326946463</v>
      </c>
      <c r="G115" s="105">
        <f t="shared" si="7"/>
        <v>3359.2348261557172</v>
      </c>
      <c r="H115" s="105">
        <f t="shared" si="7"/>
        <v>3359.2348261557172</v>
      </c>
      <c r="I115" s="105">
        <f t="shared" si="7"/>
        <v>3359.2348261557172</v>
      </c>
      <c r="J115" s="105">
        <f t="shared" si="7"/>
        <v>3359.2348261557172</v>
      </c>
      <c r="K115" s="105">
        <f t="shared" si="7"/>
        <v>4199.0435326946463</v>
      </c>
      <c r="L115" s="105">
        <f t="shared" si="7"/>
        <v>4199.0435326946463</v>
      </c>
      <c r="M115" s="105">
        <f t="shared" si="7"/>
        <v>4199.0435326946463</v>
      </c>
      <c r="N115" s="105">
        <f t="shared" si="7"/>
        <v>4199.0435326946463</v>
      </c>
      <c r="O115" s="105">
        <f t="shared" si="7"/>
        <v>4199.0435326946463</v>
      </c>
      <c r="P115" s="105">
        <f t="shared" si="7"/>
        <v>4199.0435326946463</v>
      </c>
      <c r="Q115" s="105">
        <f t="shared" si="7"/>
        <v>4199.0435326946463</v>
      </c>
      <c r="R115" s="105">
        <f t="shared" si="7"/>
        <v>4199.0435326946463</v>
      </c>
      <c r="S115" s="105">
        <f t="shared" si="7"/>
        <v>4199.0435326946463</v>
      </c>
      <c r="T115" s="105">
        <f t="shared" si="7"/>
        <v>4199.0435326946463</v>
      </c>
      <c r="U115" s="105">
        <f t="shared" si="7"/>
        <v>4199.0435326946463</v>
      </c>
      <c r="V115" s="105">
        <f t="shared" si="7"/>
        <v>4199.0435326946463</v>
      </c>
      <c r="W115" s="105">
        <f t="shared" si="7"/>
        <v>4199.0435326946463</v>
      </c>
      <c r="X115" s="105">
        <f t="shared" si="7"/>
        <v>4199.0435326946463</v>
      </c>
      <c r="Y115" s="105">
        <f t="shared" si="7"/>
        <v>4199.0435326946463</v>
      </c>
      <c r="Z115" s="105">
        <f t="shared" si="7"/>
        <v>4199.0435326946463</v>
      </c>
      <c r="AA115" s="105">
        <f t="shared" si="7"/>
        <v>5038.8522392335753</v>
      </c>
      <c r="AB115" s="105">
        <f t="shared" si="7"/>
        <v>5038.8522392335753</v>
      </c>
      <c r="AC115" s="105">
        <f t="shared" si="7"/>
        <v>5038.8522392335753</v>
      </c>
      <c r="AD115" s="105">
        <f t="shared" si="7"/>
        <v>5038.8522392335753</v>
      </c>
      <c r="AE115" s="105">
        <f t="shared" si="7"/>
        <v>4199.0435326946463</v>
      </c>
      <c r="AF115" s="105">
        <f t="shared" si="7"/>
        <v>4199.0435326946463</v>
      </c>
      <c r="AG115" s="105">
        <f t="shared" si="7"/>
        <v>4199.0435326946463</v>
      </c>
      <c r="AH115" s="105">
        <f t="shared" si="7"/>
        <v>4199.0435326946463</v>
      </c>
      <c r="AI115" s="105">
        <f t="shared" si="7"/>
        <v>5038.8522392335753</v>
      </c>
      <c r="AJ115" s="105">
        <f t="shared" si="7"/>
        <v>5038.8522392335753</v>
      </c>
      <c r="AK115" s="105">
        <f t="shared" si="7"/>
        <v>5038.8522392335753</v>
      </c>
      <c r="AL115" s="105">
        <f t="shared" si="7"/>
        <v>5038.8522392335753</v>
      </c>
      <c r="AM115" s="105">
        <f t="shared" si="7"/>
        <v>5038.8522392335753</v>
      </c>
      <c r="AN115" s="105">
        <f t="shared" si="7"/>
        <v>5038.8522392335753</v>
      </c>
      <c r="AO115" s="105">
        <f t="shared" si="7"/>
        <v>5038.8522392335753</v>
      </c>
      <c r="AP115" s="105">
        <f t="shared" si="7"/>
        <v>5038.8522392335753</v>
      </c>
      <c r="AQ115" s="105">
        <f t="shared" si="7"/>
        <v>4199.0435326946463</v>
      </c>
      <c r="AR115" s="105">
        <f t="shared" si="7"/>
        <v>4199.0435326946463</v>
      </c>
      <c r="AS115" s="105">
        <f t="shared" si="7"/>
        <v>4199.0435326946463</v>
      </c>
      <c r="AT115" s="105">
        <f t="shared" si="7"/>
        <v>4199.0435326946463</v>
      </c>
      <c r="AU115" s="105">
        <f t="shared" si="7"/>
        <v>0</v>
      </c>
      <c r="AV115" s="105">
        <f t="shared" si="7"/>
        <v>0</v>
      </c>
      <c r="AW115" s="105">
        <f t="shared" si="7"/>
        <v>0</v>
      </c>
      <c r="AX115" s="105">
        <f t="shared" si="7"/>
        <v>0</v>
      </c>
    </row>
    <row r="116" spans="1:50">
      <c r="A116" s="105" t="s">
        <v>107</v>
      </c>
      <c r="B116" s="105" t="s">
        <v>10</v>
      </c>
      <c r="C116" s="100">
        <v>9317.2844877613588</v>
      </c>
      <c r="D116" s="100">
        <v>9317.2844877613588</v>
      </c>
      <c r="E116" s="100">
        <v>9317.2844877613588</v>
      </c>
      <c r="F116" s="100">
        <v>9317.2844877613588</v>
      </c>
      <c r="G116" s="100">
        <v>9317.2844877613588</v>
      </c>
      <c r="H116" s="100">
        <v>9317.2844877613588</v>
      </c>
      <c r="I116" s="100">
        <v>9317.2844877613588</v>
      </c>
      <c r="J116" s="100">
        <v>9317.2844877613588</v>
      </c>
      <c r="K116" s="100">
        <v>9317.2844877613588</v>
      </c>
      <c r="L116" s="100">
        <v>9317.2844877613588</v>
      </c>
      <c r="M116" s="100">
        <v>9317.2844877613588</v>
      </c>
      <c r="N116" s="100">
        <v>9317.2844877613588</v>
      </c>
      <c r="O116" s="100">
        <v>9317.2844877613588</v>
      </c>
      <c r="P116" s="100">
        <v>9317.2844877613588</v>
      </c>
      <c r="Q116" s="100">
        <v>9317.2844877613588</v>
      </c>
      <c r="R116" s="100">
        <v>9317.2844877613588</v>
      </c>
      <c r="S116" s="100">
        <v>9317.2844877613588</v>
      </c>
      <c r="T116" s="100">
        <v>9317.2844877613588</v>
      </c>
      <c r="U116" s="100">
        <v>9317.2844877613588</v>
      </c>
      <c r="V116" s="100">
        <v>9317.2844877613588</v>
      </c>
      <c r="W116" s="100">
        <v>9317.2844877613588</v>
      </c>
      <c r="X116" s="100">
        <v>9317.2844877613588</v>
      </c>
      <c r="Y116" s="100">
        <v>9317.2844877613588</v>
      </c>
      <c r="Z116" s="100">
        <v>9317.2844877613588</v>
      </c>
      <c r="AA116" s="100">
        <v>9317.2844877613588</v>
      </c>
      <c r="AB116" s="100">
        <v>9317.2844877613588</v>
      </c>
      <c r="AC116" s="100">
        <v>9317.2844877613588</v>
      </c>
      <c r="AD116" s="100">
        <v>9317.2844877613588</v>
      </c>
      <c r="AE116" s="100">
        <v>9317.2844877613588</v>
      </c>
      <c r="AF116" s="100">
        <v>9317.2844877613588</v>
      </c>
      <c r="AG116" s="100">
        <v>9317.2844877613588</v>
      </c>
      <c r="AH116" s="100">
        <v>9317.2844877613588</v>
      </c>
      <c r="AI116" s="100">
        <v>9317.2844877613588</v>
      </c>
      <c r="AJ116" s="100">
        <v>9317.2844877613588</v>
      </c>
      <c r="AK116" s="100">
        <v>9317.2844877613588</v>
      </c>
      <c r="AL116" s="100">
        <v>9317.2844877613588</v>
      </c>
      <c r="AM116" s="100">
        <v>7453.8275902090872</v>
      </c>
      <c r="AN116" s="100">
        <v>7453.8275902090872</v>
      </c>
      <c r="AO116" s="100">
        <v>7453.8275902090872</v>
      </c>
      <c r="AP116" s="100">
        <v>7453.8275902090872</v>
      </c>
      <c r="AQ116" s="100">
        <v>9317.2844877613588</v>
      </c>
      <c r="AR116" s="100">
        <v>9317.2844877613588</v>
      </c>
      <c r="AS116" s="100">
        <v>9317.2844877613588</v>
      </c>
      <c r="AT116" s="100">
        <v>9317.2844877613588</v>
      </c>
      <c r="AU116" s="100">
        <v>9317.2844877613588</v>
      </c>
      <c r="AV116" s="100">
        <v>9317.2844877613588</v>
      </c>
      <c r="AW116" s="100">
        <v>9317.2844877613588</v>
      </c>
      <c r="AX116" s="100">
        <v>9317.2844877613588</v>
      </c>
    </row>
    <row r="117" spans="1:50">
      <c r="B117" s="105" t="s">
        <v>12</v>
      </c>
      <c r="C117" s="100">
        <v>3.2526525546587681E-20</v>
      </c>
      <c r="D117" s="100">
        <v>3.2526525546587681E-20</v>
      </c>
      <c r="E117" s="100">
        <v>3.2526525546587681E-20</v>
      </c>
      <c r="F117" s="100">
        <v>3.2526525546587681E-20</v>
      </c>
      <c r="G117" s="100">
        <v>3.2526525546587681E-20</v>
      </c>
      <c r="H117" s="100">
        <v>3.2526525546587681E-20</v>
      </c>
      <c r="I117" s="100">
        <v>3.2526525546587681E-20</v>
      </c>
      <c r="J117" s="100">
        <v>3.2526525546587681E-20</v>
      </c>
      <c r="K117" s="100">
        <v>3.2526525546587681E-20</v>
      </c>
      <c r="L117" s="100">
        <v>3.2526525546587681E-20</v>
      </c>
      <c r="M117" s="100">
        <v>3.2526525546587681E-20</v>
      </c>
      <c r="N117" s="100">
        <v>3.2526525546587681E-20</v>
      </c>
      <c r="O117" s="100">
        <v>3.2526525546587681E-20</v>
      </c>
      <c r="P117" s="100">
        <v>3.2526525546587681E-20</v>
      </c>
      <c r="Q117" s="100">
        <v>3.2526525546587681E-20</v>
      </c>
      <c r="R117" s="100">
        <v>3.2526525546587681E-20</v>
      </c>
      <c r="S117" s="100">
        <v>3.2526525546587681E-20</v>
      </c>
      <c r="T117" s="100">
        <v>3.2526525546587681E-20</v>
      </c>
      <c r="U117" s="100">
        <v>3.2526525546587681E-20</v>
      </c>
      <c r="V117" s="100">
        <v>3.2526525546587681E-20</v>
      </c>
      <c r="W117" s="100">
        <v>3.2526525546587681E-20</v>
      </c>
      <c r="X117" s="100">
        <v>3.2526525546587681E-20</v>
      </c>
      <c r="Y117" s="100">
        <v>3.2526525546587681E-20</v>
      </c>
      <c r="Z117" s="100">
        <v>3.2526525546587681E-20</v>
      </c>
      <c r="AA117" s="100">
        <v>3.2526525546587681E-20</v>
      </c>
      <c r="AB117" s="100">
        <v>3.2526525546587681E-20</v>
      </c>
      <c r="AC117" s="100">
        <v>3.2526525546587681E-20</v>
      </c>
      <c r="AD117" s="100">
        <v>3.2526525546587681E-20</v>
      </c>
      <c r="AE117" s="100">
        <v>3.2526525546587681E-20</v>
      </c>
      <c r="AF117" s="100">
        <v>3.2526525546587681E-20</v>
      </c>
      <c r="AG117" s="100">
        <v>3.2526525546587681E-20</v>
      </c>
      <c r="AH117" s="100">
        <v>3.2526525546587681E-20</v>
      </c>
      <c r="AI117" s="100">
        <v>3.2526525546587681E-20</v>
      </c>
      <c r="AJ117" s="100">
        <v>3.2526525546587681E-20</v>
      </c>
      <c r="AK117" s="100">
        <v>3.2526525546587681E-20</v>
      </c>
      <c r="AL117" s="100">
        <v>3.2526525546587681E-20</v>
      </c>
      <c r="AM117" s="100">
        <v>2.6021220437270146E-20</v>
      </c>
      <c r="AN117" s="100">
        <v>2.6021220437270146E-20</v>
      </c>
      <c r="AO117" s="100">
        <v>2.6021220437270146E-20</v>
      </c>
      <c r="AP117" s="100">
        <v>2.6021220437270146E-20</v>
      </c>
      <c r="AQ117" s="100">
        <v>3.2526525546587681E-20</v>
      </c>
      <c r="AR117" s="100">
        <v>3.2526525546587681E-20</v>
      </c>
      <c r="AS117" s="100">
        <v>3.2526525546587681E-20</v>
      </c>
      <c r="AT117" s="100">
        <v>3.2526525546587681E-20</v>
      </c>
      <c r="AU117" s="100">
        <v>3.2526525546587681E-20</v>
      </c>
      <c r="AV117" s="100">
        <v>3.2526525546587681E-20</v>
      </c>
      <c r="AW117" s="100">
        <v>3.2526525546587681E-20</v>
      </c>
      <c r="AX117" s="100">
        <v>3.2526525546587681E-20</v>
      </c>
    </row>
    <row r="118" spans="1:50">
      <c r="B118" s="105" t="s">
        <v>22</v>
      </c>
      <c r="C118" s="100">
        <v>0</v>
      </c>
      <c r="D118" s="100">
        <v>0</v>
      </c>
      <c r="E118" s="100">
        <v>0</v>
      </c>
      <c r="F118" s="100">
        <v>0</v>
      </c>
      <c r="G118" s="100">
        <v>0</v>
      </c>
      <c r="H118" s="100">
        <v>0</v>
      </c>
      <c r="I118" s="100">
        <v>0</v>
      </c>
      <c r="J118" s="100">
        <v>0</v>
      </c>
      <c r="K118" s="100">
        <v>0</v>
      </c>
      <c r="L118" s="100">
        <v>0</v>
      </c>
      <c r="M118" s="100">
        <v>0</v>
      </c>
      <c r="N118" s="100">
        <v>0</v>
      </c>
      <c r="O118" s="100">
        <v>0</v>
      </c>
      <c r="P118" s="100">
        <v>0</v>
      </c>
      <c r="Q118" s="100">
        <v>0</v>
      </c>
      <c r="R118" s="100">
        <v>0</v>
      </c>
      <c r="S118" s="100">
        <v>0</v>
      </c>
      <c r="T118" s="100">
        <v>0</v>
      </c>
      <c r="U118" s="100">
        <v>0</v>
      </c>
      <c r="V118" s="100">
        <v>0</v>
      </c>
      <c r="W118" s="100">
        <v>0</v>
      </c>
      <c r="X118" s="100">
        <v>0</v>
      </c>
      <c r="Y118" s="100">
        <v>0</v>
      </c>
      <c r="Z118" s="100">
        <v>0</v>
      </c>
      <c r="AA118" s="100">
        <v>0</v>
      </c>
      <c r="AB118" s="100">
        <v>0</v>
      </c>
      <c r="AC118" s="100">
        <v>0</v>
      </c>
      <c r="AD118" s="100">
        <v>0</v>
      </c>
      <c r="AE118" s="100">
        <v>0</v>
      </c>
      <c r="AF118" s="100">
        <v>0</v>
      </c>
      <c r="AG118" s="100">
        <v>0</v>
      </c>
      <c r="AH118" s="100">
        <v>0</v>
      </c>
      <c r="AI118" s="100">
        <v>0</v>
      </c>
      <c r="AJ118" s="100">
        <v>0</v>
      </c>
      <c r="AK118" s="100">
        <v>0</v>
      </c>
      <c r="AL118" s="100">
        <v>0</v>
      </c>
      <c r="AM118" s="100">
        <v>0</v>
      </c>
      <c r="AN118" s="100">
        <v>0</v>
      </c>
      <c r="AO118" s="100">
        <v>0</v>
      </c>
      <c r="AP118" s="100">
        <v>0</v>
      </c>
      <c r="AQ118" s="100">
        <v>0</v>
      </c>
      <c r="AR118" s="100">
        <v>0</v>
      </c>
      <c r="AS118" s="100">
        <v>0</v>
      </c>
      <c r="AT118" s="100">
        <v>0</v>
      </c>
      <c r="AU118" s="100">
        <v>0</v>
      </c>
      <c r="AV118" s="100">
        <v>0</v>
      </c>
      <c r="AW118" s="100">
        <v>0</v>
      </c>
      <c r="AX118" s="100">
        <v>0</v>
      </c>
    </row>
    <row r="119" spans="1:50">
      <c r="B119" s="105" t="s">
        <v>46</v>
      </c>
      <c r="C119" s="100">
        <v>616.86472970959517</v>
      </c>
      <c r="D119" s="100">
        <v>616.86472970959517</v>
      </c>
      <c r="E119" s="100">
        <v>616.86472970959517</v>
      </c>
      <c r="F119" s="100">
        <v>616.86472970959517</v>
      </c>
      <c r="G119" s="100">
        <v>616.86472970959517</v>
      </c>
      <c r="H119" s="100">
        <v>616.86472970959517</v>
      </c>
      <c r="I119" s="100">
        <v>616.86472970959517</v>
      </c>
      <c r="J119" s="100">
        <v>616.86472970959517</v>
      </c>
      <c r="K119" s="100">
        <v>616.86472970959517</v>
      </c>
      <c r="L119" s="100">
        <v>616.86472970959517</v>
      </c>
      <c r="M119" s="100">
        <v>616.86472970959517</v>
      </c>
      <c r="N119" s="100">
        <v>616.86472970959517</v>
      </c>
      <c r="O119" s="100">
        <v>616.86472970959517</v>
      </c>
      <c r="P119" s="100">
        <v>616.86472970959517</v>
      </c>
      <c r="Q119" s="100">
        <v>616.86472970959517</v>
      </c>
      <c r="R119" s="100">
        <v>616.86472970959517</v>
      </c>
      <c r="S119" s="100">
        <v>616.86472970959517</v>
      </c>
      <c r="T119" s="100">
        <v>616.86472970959517</v>
      </c>
      <c r="U119" s="100">
        <v>616.86472970959517</v>
      </c>
      <c r="V119" s="100">
        <v>616.86472970959517</v>
      </c>
      <c r="W119" s="100">
        <v>616.86472970959517</v>
      </c>
      <c r="X119" s="100">
        <v>616.86472970959517</v>
      </c>
      <c r="Y119" s="100">
        <v>616.86472970959517</v>
      </c>
      <c r="Z119" s="100">
        <v>616.86472970959517</v>
      </c>
      <c r="AA119" s="100">
        <v>616.86472970959517</v>
      </c>
      <c r="AB119" s="100">
        <v>616.86472970959517</v>
      </c>
      <c r="AC119" s="100">
        <v>616.86472970959517</v>
      </c>
      <c r="AD119" s="100">
        <v>616.86472970959517</v>
      </c>
      <c r="AE119" s="100">
        <v>616.86472970959517</v>
      </c>
      <c r="AF119" s="100">
        <v>616.86472970959517</v>
      </c>
      <c r="AG119" s="100">
        <v>616.86472970959517</v>
      </c>
      <c r="AH119" s="100">
        <v>616.86472970959517</v>
      </c>
      <c r="AI119" s="100">
        <v>616.86472970959517</v>
      </c>
      <c r="AJ119" s="100">
        <v>616.86472970959517</v>
      </c>
      <c r="AK119" s="100">
        <v>616.86472970959517</v>
      </c>
      <c r="AL119" s="100">
        <v>616.86472970959517</v>
      </c>
      <c r="AM119" s="100">
        <v>493.49178376767617</v>
      </c>
      <c r="AN119" s="100">
        <v>493.49178376767617</v>
      </c>
      <c r="AO119" s="100">
        <v>493.49178376767617</v>
      </c>
      <c r="AP119" s="100">
        <v>493.49178376767617</v>
      </c>
      <c r="AQ119" s="100">
        <v>616.86472970959517</v>
      </c>
      <c r="AR119" s="100">
        <v>616.86472970959517</v>
      </c>
      <c r="AS119" s="100">
        <v>616.86472970959517</v>
      </c>
      <c r="AT119" s="100">
        <v>616.86472970959517</v>
      </c>
      <c r="AU119" s="100">
        <v>616.86472970959517</v>
      </c>
      <c r="AV119" s="100">
        <v>616.86472970959517</v>
      </c>
      <c r="AW119" s="100">
        <v>616.86472970959517</v>
      </c>
      <c r="AX119" s="100">
        <v>616.86472970959517</v>
      </c>
    </row>
    <row r="120" spans="1:50">
      <c r="B120" s="105" t="s">
        <v>59</v>
      </c>
      <c r="C120" s="100">
        <v>1.7779794944933666E-20</v>
      </c>
      <c r="D120" s="100">
        <v>1.7779794944933666E-20</v>
      </c>
      <c r="E120" s="100">
        <v>1.7779794944933666E-20</v>
      </c>
      <c r="F120" s="100">
        <v>1.7779794944933666E-20</v>
      </c>
      <c r="G120" s="100">
        <v>1.7779794944933666E-20</v>
      </c>
      <c r="H120" s="100">
        <v>1.7779794944933666E-20</v>
      </c>
      <c r="I120" s="100">
        <v>1.7779794944933666E-20</v>
      </c>
      <c r="J120" s="100">
        <v>1.7779794944933666E-20</v>
      </c>
      <c r="K120" s="100">
        <v>1.7779794944933666E-20</v>
      </c>
      <c r="L120" s="100">
        <v>1.7779794944933666E-20</v>
      </c>
      <c r="M120" s="100">
        <v>1.7779794944933666E-20</v>
      </c>
      <c r="N120" s="100">
        <v>1.7779794944933666E-20</v>
      </c>
      <c r="O120" s="100">
        <v>1.7779794944933666E-20</v>
      </c>
      <c r="P120" s="100">
        <v>1.7779794944933666E-20</v>
      </c>
      <c r="Q120" s="100">
        <v>1.7779794944933666E-20</v>
      </c>
      <c r="R120" s="100">
        <v>1.7779794944933666E-20</v>
      </c>
      <c r="S120" s="100">
        <v>1.7779794944933666E-20</v>
      </c>
      <c r="T120" s="100">
        <v>1.7779794944933666E-20</v>
      </c>
      <c r="U120" s="100">
        <v>1.7779794944933666E-20</v>
      </c>
      <c r="V120" s="100">
        <v>1.7779794944933666E-20</v>
      </c>
      <c r="W120" s="100">
        <v>1.7779794944933666E-20</v>
      </c>
      <c r="X120" s="100">
        <v>1.7779794944933666E-20</v>
      </c>
      <c r="Y120" s="100">
        <v>1.7779794944933666E-20</v>
      </c>
      <c r="Z120" s="100">
        <v>1.7779794944933666E-20</v>
      </c>
      <c r="AA120" s="100">
        <v>1.7779794944933666E-20</v>
      </c>
      <c r="AB120" s="100">
        <v>1.7779794944933666E-20</v>
      </c>
      <c r="AC120" s="100">
        <v>1.7779794944933666E-20</v>
      </c>
      <c r="AD120" s="100">
        <v>1.7779794944933666E-20</v>
      </c>
      <c r="AE120" s="100">
        <v>1.7779794944933666E-20</v>
      </c>
      <c r="AF120" s="100">
        <v>1.7779794944933666E-20</v>
      </c>
      <c r="AG120" s="100">
        <v>1.7779794944933666E-20</v>
      </c>
      <c r="AH120" s="100">
        <v>1.7779794944933666E-20</v>
      </c>
      <c r="AI120" s="100">
        <v>1.7779794944933666E-20</v>
      </c>
      <c r="AJ120" s="100">
        <v>1.7779794944933666E-20</v>
      </c>
      <c r="AK120" s="100">
        <v>1.7779794944933666E-20</v>
      </c>
      <c r="AL120" s="100">
        <v>1.7779794944933666E-20</v>
      </c>
      <c r="AM120" s="100">
        <v>1.4223835955946935E-20</v>
      </c>
      <c r="AN120" s="100">
        <v>1.4223835955946935E-20</v>
      </c>
      <c r="AO120" s="100">
        <v>1.4223835955946935E-20</v>
      </c>
      <c r="AP120" s="100">
        <v>1.4223835955946935E-20</v>
      </c>
      <c r="AQ120" s="100">
        <v>1.7779794944933666E-20</v>
      </c>
      <c r="AR120" s="100">
        <v>1.7779794944933666E-20</v>
      </c>
      <c r="AS120" s="100">
        <v>1.7779794944933666E-20</v>
      </c>
      <c r="AT120" s="100">
        <v>1.7779794944933666E-20</v>
      </c>
      <c r="AU120" s="100">
        <v>1.7779794944933666E-20</v>
      </c>
      <c r="AV120" s="100">
        <v>1.7779794944933666E-20</v>
      </c>
      <c r="AW120" s="100">
        <v>1.7779794944933666E-20</v>
      </c>
      <c r="AX120" s="100">
        <v>1.7779794944933666E-20</v>
      </c>
    </row>
    <row r="121" spans="1:50">
      <c r="B121" s="100" t="s">
        <v>278</v>
      </c>
      <c r="C121" s="105">
        <f>SUM(C$116:C$120)</f>
        <v>9934.1492174709547</v>
      </c>
      <c r="D121" s="105">
        <f t="shared" ref="D121:AX121" si="8">SUM(D$116:D$120)</f>
        <v>9934.1492174709547</v>
      </c>
      <c r="E121" s="105">
        <f t="shared" si="8"/>
        <v>9934.1492174709547</v>
      </c>
      <c r="F121" s="105">
        <f t="shared" si="8"/>
        <v>9934.1492174709547</v>
      </c>
      <c r="G121" s="105">
        <f t="shared" si="8"/>
        <v>9934.1492174709547</v>
      </c>
      <c r="H121" s="105">
        <f t="shared" si="8"/>
        <v>9934.1492174709547</v>
      </c>
      <c r="I121" s="105">
        <f t="shared" si="8"/>
        <v>9934.1492174709547</v>
      </c>
      <c r="J121" s="105">
        <f t="shared" si="8"/>
        <v>9934.1492174709547</v>
      </c>
      <c r="K121" s="105">
        <f t="shared" si="8"/>
        <v>9934.1492174709547</v>
      </c>
      <c r="L121" s="105">
        <f t="shared" si="8"/>
        <v>9934.1492174709547</v>
      </c>
      <c r="M121" s="105">
        <f t="shared" si="8"/>
        <v>9934.1492174709547</v>
      </c>
      <c r="N121" s="105">
        <f t="shared" si="8"/>
        <v>9934.1492174709547</v>
      </c>
      <c r="O121" s="105">
        <f t="shared" si="8"/>
        <v>9934.1492174709547</v>
      </c>
      <c r="P121" s="105">
        <f t="shared" si="8"/>
        <v>9934.1492174709547</v>
      </c>
      <c r="Q121" s="105">
        <f t="shared" si="8"/>
        <v>9934.1492174709547</v>
      </c>
      <c r="R121" s="105">
        <f t="shared" si="8"/>
        <v>9934.1492174709547</v>
      </c>
      <c r="S121" s="105">
        <f t="shared" si="8"/>
        <v>9934.1492174709547</v>
      </c>
      <c r="T121" s="105">
        <f t="shared" si="8"/>
        <v>9934.1492174709547</v>
      </c>
      <c r="U121" s="105">
        <f t="shared" si="8"/>
        <v>9934.1492174709547</v>
      </c>
      <c r="V121" s="105">
        <f t="shared" si="8"/>
        <v>9934.1492174709547</v>
      </c>
      <c r="W121" s="105">
        <f t="shared" si="8"/>
        <v>9934.1492174709547</v>
      </c>
      <c r="X121" s="105">
        <f t="shared" si="8"/>
        <v>9934.1492174709547</v>
      </c>
      <c r="Y121" s="105">
        <f t="shared" si="8"/>
        <v>9934.1492174709547</v>
      </c>
      <c r="Z121" s="105">
        <f t="shared" si="8"/>
        <v>9934.1492174709547</v>
      </c>
      <c r="AA121" s="105">
        <f t="shared" si="8"/>
        <v>9934.1492174709547</v>
      </c>
      <c r="AB121" s="105">
        <f t="shared" si="8"/>
        <v>9934.1492174709547</v>
      </c>
      <c r="AC121" s="105">
        <f t="shared" si="8"/>
        <v>9934.1492174709547</v>
      </c>
      <c r="AD121" s="105">
        <f t="shared" si="8"/>
        <v>9934.1492174709547</v>
      </c>
      <c r="AE121" s="105">
        <f t="shared" si="8"/>
        <v>9934.1492174709547</v>
      </c>
      <c r="AF121" s="105">
        <f t="shared" si="8"/>
        <v>9934.1492174709547</v>
      </c>
      <c r="AG121" s="105">
        <f t="shared" si="8"/>
        <v>9934.1492174709547</v>
      </c>
      <c r="AH121" s="105">
        <f t="shared" si="8"/>
        <v>9934.1492174709547</v>
      </c>
      <c r="AI121" s="105">
        <f t="shared" si="8"/>
        <v>9934.1492174709547</v>
      </c>
      <c r="AJ121" s="105">
        <f t="shared" si="8"/>
        <v>9934.1492174709547</v>
      </c>
      <c r="AK121" s="105">
        <f t="shared" si="8"/>
        <v>9934.1492174709547</v>
      </c>
      <c r="AL121" s="105">
        <f t="shared" si="8"/>
        <v>9934.1492174709547</v>
      </c>
      <c r="AM121" s="105">
        <f t="shared" si="8"/>
        <v>7947.319373976763</v>
      </c>
      <c r="AN121" s="105">
        <f t="shared" si="8"/>
        <v>7947.319373976763</v>
      </c>
      <c r="AO121" s="105">
        <f t="shared" si="8"/>
        <v>7947.319373976763</v>
      </c>
      <c r="AP121" s="105">
        <f t="shared" si="8"/>
        <v>7947.319373976763</v>
      </c>
      <c r="AQ121" s="105">
        <f t="shared" si="8"/>
        <v>9934.1492174709547</v>
      </c>
      <c r="AR121" s="105">
        <f t="shared" si="8"/>
        <v>9934.1492174709547</v>
      </c>
      <c r="AS121" s="105">
        <f t="shared" si="8"/>
        <v>9934.1492174709547</v>
      </c>
      <c r="AT121" s="105">
        <f t="shared" si="8"/>
        <v>9934.1492174709547</v>
      </c>
      <c r="AU121" s="105">
        <f t="shared" si="8"/>
        <v>9934.1492174709547</v>
      </c>
      <c r="AV121" s="105">
        <f t="shared" si="8"/>
        <v>9934.1492174709547</v>
      </c>
      <c r="AW121" s="105">
        <f t="shared" si="8"/>
        <v>9934.1492174709547</v>
      </c>
      <c r="AX121" s="105">
        <f t="shared" si="8"/>
        <v>9934.1492174709547</v>
      </c>
    </row>
    <row r="122" spans="1:50">
      <c r="A122" s="105" t="s">
        <v>108</v>
      </c>
      <c r="B122" s="105" t="s">
        <v>10</v>
      </c>
      <c r="C122" s="100">
        <v>4.4977196237428015E-21</v>
      </c>
      <c r="D122" s="100">
        <v>4.4977196237428015E-21</v>
      </c>
      <c r="E122" s="100">
        <v>4.4977196237428015E-21</v>
      </c>
      <c r="F122" s="100">
        <v>4.4977196237428015E-21</v>
      </c>
      <c r="G122" s="100">
        <v>4.4977196237428015E-21</v>
      </c>
      <c r="H122" s="100">
        <v>4.4977196237428015E-21</v>
      </c>
      <c r="I122" s="100">
        <v>4.4977196237428015E-21</v>
      </c>
      <c r="J122" s="100">
        <v>4.4977196237428015E-21</v>
      </c>
      <c r="K122" s="100">
        <v>4.4977196237428015E-21</v>
      </c>
      <c r="L122" s="100">
        <v>4.4977196237428015E-21</v>
      </c>
      <c r="M122" s="100">
        <v>4.4977196237428015E-21</v>
      </c>
      <c r="N122" s="100">
        <v>4.4977196237428015E-21</v>
      </c>
      <c r="O122" s="100">
        <v>4.4977196237428015E-21</v>
      </c>
      <c r="P122" s="100">
        <v>4.4977196237428015E-21</v>
      </c>
      <c r="Q122" s="100">
        <v>4.4977196237428015E-21</v>
      </c>
      <c r="R122" s="100">
        <v>4.4977196237428015E-21</v>
      </c>
      <c r="S122" s="100">
        <v>4.4977196237428015E-21</v>
      </c>
      <c r="T122" s="100">
        <v>4.4977196237428015E-21</v>
      </c>
      <c r="U122" s="100">
        <v>4.4977196237428015E-21</v>
      </c>
      <c r="V122" s="100">
        <v>4.4977196237428015E-21</v>
      </c>
      <c r="W122" s="100">
        <v>4.4977196237428015E-21</v>
      </c>
      <c r="X122" s="100">
        <v>4.4977196237428015E-21</v>
      </c>
      <c r="Y122" s="100">
        <v>4.4977196237428015E-21</v>
      </c>
      <c r="Z122" s="100">
        <v>4.4977196237428015E-21</v>
      </c>
      <c r="AA122" s="100">
        <v>4.4977196237428015E-21</v>
      </c>
      <c r="AB122" s="100">
        <v>4.4977196237428015E-21</v>
      </c>
      <c r="AC122" s="100">
        <v>4.4977196237428015E-21</v>
      </c>
      <c r="AD122" s="100">
        <v>4.4977196237428015E-21</v>
      </c>
      <c r="AE122" s="100">
        <v>4.4977196237428015E-21</v>
      </c>
      <c r="AF122" s="100">
        <v>4.4977196237428015E-21</v>
      </c>
      <c r="AG122" s="100">
        <v>4.4977196237428015E-21</v>
      </c>
      <c r="AH122" s="100">
        <v>4.4977196237428015E-21</v>
      </c>
      <c r="AI122" s="100">
        <v>4.4977196237428015E-21</v>
      </c>
      <c r="AJ122" s="100">
        <v>4.4977196237428015E-21</v>
      </c>
      <c r="AK122" s="100">
        <v>4.4977196237428015E-21</v>
      </c>
      <c r="AL122" s="100">
        <v>4.4977196237428015E-21</v>
      </c>
      <c r="AM122" s="100">
        <v>4.4977196237428015E-21</v>
      </c>
      <c r="AN122" s="100">
        <v>4.4977196237428015E-21</v>
      </c>
      <c r="AO122" s="100">
        <v>4.4977196237428015E-21</v>
      </c>
      <c r="AP122" s="100">
        <v>4.4977196237428015E-21</v>
      </c>
      <c r="AQ122" s="100">
        <v>4.4977196237428015E-21</v>
      </c>
      <c r="AR122" s="100">
        <v>4.4977196237428015E-21</v>
      </c>
      <c r="AS122" s="100">
        <v>4.4977196237428015E-21</v>
      </c>
      <c r="AT122" s="100">
        <v>4.4977196237428015E-21</v>
      </c>
      <c r="AU122" s="100">
        <v>4.4977196237428015E-21</v>
      </c>
      <c r="AV122" s="100">
        <v>4.4977196237428015E-21</v>
      </c>
      <c r="AW122" s="100">
        <v>4.4977196237428015E-21</v>
      </c>
      <c r="AX122" s="100">
        <v>4.4977196237428015E-21</v>
      </c>
    </row>
    <row r="123" spans="1:50">
      <c r="B123" s="105" t="s">
        <v>12</v>
      </c>
      <c r="C123" s="100">
        <v>1.0135012438473417E-19</v>
      </c>
      <c r="D123" s="100">
        <v>1.0135012438473417E-19</v>
      </c>
      <c r="E123" s="100">
        <v>1.0135012438473417E-19</v>
      </c>
      <c r="F123" s="100">
        <v>1.0135012438473417E-19</v>
      </c>
      <c r="G123" s="100">
        <v>1.0135012438473417E-19</v>
      </c>
      <c r="H123" s="100">
        <v>1.0135012438473417E-19</v>
      </c>
      <c r="I123" s="100">
        <v>1.0135012438473417E-19</v>
      </c>
      <c r="J123" s="100">
        <v>1.0135012438473417E-19</v>
      </c>
      <c r="K123" s="100">
        <v>1.0135012438473417E-19</v>
      </c>
      <c r="L123" s="100">
        <v>1.0135012438473417E-19</v>
      </c>
      <c r="M123" s="100">
        <v>1.0135012438473417E-19</v>
      </c>
      <c r="N123" s="100">
        <v>1.0135012438473417E-19</v>
      </c>
      <c r="O123" s="100">
        <v>1.0135012438473417E-19</v>
      </c>
      <c r="P123" s="100">
        <v>1.0135012438473417E-19</v>
      </c>
      <c r="Q123" s="100">
        <v>1.0135012438473417E-19</v>
      </c>
      <c r="R123" s="100">
        <v>1.0135012438473417E-19</v>
      </c>
      <c r="S123" s="100">
        <v>1.0135012438473417E-19</v>
      </c>
      <c r="T123" s="100">
        <v>1.0135012438473417E-19</v>
      </c>
      <c r="U123" s="100">
        <v>1.0135012438473417E-19</v>
      </c>
      <c r="V123" s="100">
        <v>1.0135012438473417E-19</v>
      </c>
      <c r="W123" s="100">
        <v>1.0135012438473417E-19</v>
      </c>
      <c r="X123" s="100">
        <v>1.0135012438473417E-19</v>
      </c>
      <c r="Y123" s="100">
        <v>1.0135012438473417E-19</v>
      </c>
      <c r="Z123" s="100">
        <v>1.0135012438473417E-19</v>
      </c>
      <c r="AA123" s="100">
        <v>1.0135012438473417E-19</v>
      </c>
      <c r="AB123" s="100">
        <v>1.0135012438473417E-19</v>
      </c>
      <c r="AC123" s="100">
        <v>1.0135012438473417E-19</v>
      </c>
      <c r="AD123" s="100">
        <v>1.0135012438473417E-19</v>
      </c>
      <c r="AE123" s="100">
        <v>1.0135012438473417E-19</v>
      </c>
      <c r="AF123" s="100">
        <v>1.0135012438473417E-19</v>
      </c>
      <c r="AG123" s="100">
        <v>1.0135012438473417E-19</v>
      </c>
      <c r="AH123" s="100">
        <v>1.0135012438473417E-19</v>
      </c>
      <c r="AI123" s="100">
        <v>1.0135012438473417E-19</v>
      </c>
      <c r="AJ123" s="100">
        <v>1.0135012438473417E-19</v>
      </c>
      <c r="AK123" s="100">
        <v>1.0135012438473417E-19</v>
      </c>
      <c r="AL123" s="100">
        <v>1.0135012438473417E-19</v>
      </c>
      <c r="AM123" s="100">
        <v>1.0135012438473417E-19</v>
      </c>
      <c r="AN123" s="100">
        <v>1.0135012438473417E-19</v>
      </c>
      <c r="AO123" s="100">
        <v>1.0135012438473417E-19</v>
      </c>
      <c r="AP123" s="100">
        <v>1.0135012438473417E-19</v>
      </c>
      <c r="AQ123" s="100">
        <v>1.0135012438473417E-19</v>
      </c>
      <c r="AR123" s="100">
        <v>1.0135012438473417E-19</v>
      </c>
      <c r="AS123" s="100">
        <v>1.0135012438473417E-19</v>
      </c>
      <c r="AT123" s="100">
        <v>1.0135012438473417E-19</v>
      </c>
      <c r="AU123" s="100">
        <v>1.0135012438473417E-19</v>
      </c>
      <c r="AV123" s="100">
        <v>1.0135012438473417E-19</v>
      </c>
      <c r="AW123" s="100">
        <v>1.0135012438473417E-19</v>
      </c>
      <c r="AX123" s="100">
        <v>1.0135012438473417E-19</v>
      </c>
    </row>
    <row r="124" spans="1:50">
      <c r="B124" s="105" t="s">
        <v>22</v>
      </c>
      <c r="C124" s="100">
        <v>0</v>
      </c>
      <c r="D124" s="100">
        <v>0</v>
      </c>
      <c r="E124" s="100">
        <v>0</v>
      </c>
      <c r="F124" s="100">
        <v>0</v>
      </c>
      <c r="G124" s="100">
        <v>0</v>
      </c>
      <c r="H124" s="100">
        <v>0</v>
      </c>
      <c r="I124" s="100">
        <v>0</v>
      </c>
      <c r="J124" s="100">
        <v>0</v>
      </c>
      <c r="K124" s="100">
        <v>0</v>
      </c>
      <c r="L124" s="100">
        <v>0</v>
      </c>
      <c r="M124" s="100">
        <v>0</v>
      </c>
      <c r="N124" s="100">
        <v>0</v>
      </c>
      <c r="O124" s="100">
        <v>0</v>
      </c>
      <c r="P124" s="100">
        <v>0</v>
      </c>
      <c r="Q124" s="100">
        <v>0</v>
      </c>
      <c r="R124" s="100">
        <v>0</v>
      </c>
      <c r="S124" s="100">
        <v>0</v>
      </c>
      <c r="T124" s="100">
        <v>0</v>
      </c>
      <c r="U124" s="100">
        <v>0</v>
      </c>
      <c r="V124" s="100">
        <v>0</v>
      </c>
      <c r="W124" s="100">
        <v>0</v>
      </c>
      <c r="X124" s="100">
        <v>0</v>
      </c>
      <c r="Y124" s="100">
        <v>0</v>
      </c>
      <c r="Z124" s="100">
        <v>0</v>
      </c>
      <c r="AA124" s="100">
        <v>0</v>
      </c>
      <c r="AB124" s="100">
        <v>0</v>
      </c>
      <c r="AC124" s="100">
        <v>0</v>
      </c>
      <c r="AD124" s="100">
        <v>0</v>
      </c>
      <c r="AE124" s="100">
        <v>0</v>
      </c>
      <c r="AF124" s="100">
        <v>0</v>
      </c>
      <c r="AG124" s="100">
        <v>0</v>
      </c>
      <c r="AH124" s="100">
        <v>0</v>
      </c>
      <c r="AI124" s="100">
        <v>0</v>
      </c>
      <c r="AJ124" s="100">
        <v>0</v>
      </c>
      <c r="AK124" s="100">
        <v>0</v>
      </c>
      <c r="AL124" s="100">
        <v>0</v>
      </c>
      <c r="AM124" s="100">
        <v>0</v>
      </c>
      <c r="AN124" s="100">
        <v>0</v>
      </c>
      <c r="AO124" s="100">
        <v>0</v>
      </c>
      <c r="AP124" s="100">
        <v>0</v>
      </c>
      <c r="AQ124" s="100">
        <v>0</v>
      </c>
      <c r="AR124" s="100">
        <v>0</v>
      </c>
      <c r="AS124" s="100">
        <v>0</v>
      </c>
      <c r="AT124" s="100">
        <v>0</v>
      </c>
      <c r="AU124" s="100">
        <v>0</v>
      </c>
      <c r="AV124" s="100">
        <v>0</v>
      </c>
      <c r="AW124" s="100">
        <v>0</v>
      </c>
      <c r="AX124" s="100">
        <v>0</v>
      </c>
    </row>
    <row r="125" spans="1:50">
      <c r="B125" s="105" t="s">
        <v>46</v>
      </c>
      <c r="C125" s="100">
        <v>0</v>
      </c>
      <c r="D125" s="100">
        <v>0</v>
      </c>
      <c r="E125" s="100">
        <v>0</v>
      </c>
      <c r="F125" s="100">
        <v>0</v>
      </c>
      <c r="G125" s="100">
        <v>0</v>
      </c>
      <c r="H125" s="100">
        <v>0</v>
      </c>
      <c r="I125" s="100">
        <v>0</v>
      </c>
      <c r="J125" s="100">
        <v>0</v>
      </c>
      <c r="K125" s="100">
        <v>0</v>
      </c>
      <c r="L125" s="100">
        <v>0</v>
      </c>
      <c r="M125" s="100">
        <v>0</v>
      </c>
      <c r="N125" s="100">
        <v>0</v>
      </c>
      <c r="O125" s="100">
        <v>0</v>
      </c>
      <c r="P125" s="100">
        <v>0</v>
      </c>
      <c r="Q125" s="100">
        <v>0</v>
      </c>
      <c r="R125" s="100">
        <v>0</v>
      </c>
      <c r="S125" s="100">
        <v>0</v>
      </c>
      <c r="T125" s="100">
        <v>0</v>
      </c>
      <c r="U125" s="100">
        <v>0</v>
      </c>
      <c r="V125" s="100">
        <v>0</v>
      </c>
      <c r="W125" s="100">
        <v>0</v>
      </c>
      <c r="X125" s="100">
        <v>0</v>
      </c>
      <c r="Y125" s="100">
        <v>0</v>
      </c>
      <c r="Z125" s="100">
        <v>0</v>
      </c>
      <c r="AA125" s="100">
        <v>0</v>
      </c>
      <c r="AB125" s="100">
        <v>0</v>
      </c>
      <c r="AC125" s="100">
        <v>0</v>
      </c>
      <c r="AD125" s="100">
        <v>0</v>
      </c>
      <c r="AE125" s="100">
        <v>0</v>
      </c>
      <c r="AF125" s="100">
        <v>0</v>
      </c>
      <c r="AG125" s="100">
        <v>0</v>
      </c>
      <c r="AH125" s="100">
        <v>0</v>
      </c>
      <c r="AI125" s="100">
        <v>0</v>
      </c>
      <c r="AJ125" s="100">
        <v>0</v>
      </c>
      <c r="AK125" s="100">
        <v>0</v>
      </c>
      <c r="AL125" s="100">
        <v>0</v>
      </c>
      <c r="AM125" s="100">
        <v>0</v>
      </c>
      <c r="AN125" s="100">
        <v>0</v>
      </c>
      <c r="AO125" s="100">
        <v>0</v>
      </c>
      <c r="AP125" s="100">
        <v>0</v>
      </c>
      <c r="AQ125" s="100">
        <v>0</v>
      </c>
      <c r="AR125" s="100">
        <v>0</v>
      </c>
      <c r="AS125" s="100">
        <v>0</v>
      </c>
      <c r="AT125" s="100">
        <v>0</v>
      </c>
      <c r="AU125" s="100">
        <v>0</v>
      </c>
      <c r="AV125" s="100">
        <v>0</v>
      </c>
      <c r="AW125" s="100">
        <v>0</v>
      </c>
      <c r="AX125" s="100">
        <v>0</v>
      </c>
    </row>
    <row r="126" spans="1:50">
      <c r="B126" s="105" t="s">
        <v>59</v>
      </c>
      <c r="C126" s="100">
        <v>2.2364465016239465E-19</v>
      </c>
      <c r="D126" s="100">
        <v>2.2364465016239465E-19</v>
      </c>
      <c r="E126" s="100">
        <v>2.2364465016239465E-19</v>
      </c>
      <c r="F126" s="100">
        <v>2.2364465016239465E-19</v>
      </c>
      <c r="G126" s="100">
        <v>2.2364465016239465E-19</v>
      </c>
      <c r="H126" s="100">
        <v>2.2364465016239465E-19</v>
      </c>
      <c r="I126" s="100">
        <v>2.2364465016239465E-19</v>
      </c>
      <c r="J126" s="100">
        <v>2.2364465016239465E-19</v>
      </c>
      <c r="K126" s="100">
        <v>2.2364465016239465E-19</v>
      </c>
      <c r="L126" s="100">
        <v>2.2364465016239465E-19</v>
      </c>
      <c r="M126" s="100">
        <v>2.2364465016239465E-19</v>
      </c>
      <c r="N126" s="100">
        <v>2.2364465016239465E-19</v>
      </c>
      <c r="O126" s="100">
        <v>2.2364465016239465E-19</v>
      </c>
      <c r="P126" s="100">
        <v>2.2364465016239465E-19</v>
      </c>
      <c r="Q126" s="100">
        <v>2.2364465016239465E-19</v>
      </c>
      <c r="R126" s="100">
        <v>2.2364465016239465E-19</v>
      </c>
      <c r="S126" s="100">
        <v>2.2364465016239465E-19</v>
      </c>
      <c r="T126" s="100">
        <v>2.2364465016239465E-19</v>
      </c>
      <c r="U126" s="100">
        <v>2.2364465016239465E-19</v>
      </c>
      <c r="V126" s="100">
        <v>2.2364465016239465E-19</v>
      </c>
      <c r="W126" s="100">
        <v>2.2364465016239465E-19</v>
      </c>
      <c r="X126" s="100">
        <v>2.2364465016239465E-19</v>
      </c>
      <c r="Y126" s="100">
        <v>2.2364465016239465E-19</v>
      </c>
      <c r="Z126" s="100">
        <v>2.2364465016239465E-19</v>
      </c>
      <c r="AA126" s="100">
        <v>2.2364465016239465E-19</v>
      </c>
      <c r="AB126" s="100">
        <v>2.2364465016239465E-19</v>
      </c>
      <c r="AC126" s="100">
        <v>2.2364465016239465E-19</v>
      </c>
      <c r="AD126" s="100">
        <v>2.2364465016239465E-19</v>
      </c>
      <c r="AE126" s="100">
        <v>2.2364465016239465E-19</v>
      </c>
      <c r="AF126" s="100">
        <v>2.2364465016239465E-19</v>
      </c>
      <c r="AG126" s="100">
        <v>2.2364465016239465E-19</v>
      </c>
      <c r="AH126" s="100">
        <v>2.2364465016239465E-19</v>
      </c>
      <c r="AI126" s="100">
        <v>2.2364465016239465E-19</v>
      </c>
      <c r="AJ126" s="100">
        <v>2.2364465016239465E-19</v>
      </c>
      <c r="AK126" s="100">
        <v>2.2364465016239465E-19</v>
      </c>
      <c r="AL126" s="100">
        <v>2.2364465016239465E-19</v>
      </c>
      <c r="AM126" s="100">
        <v>2.2364465016239465E-19</v>
      </c>
      <c r="AN126" s="100">
        <v>2.2364465016239465E-19</v>
      </c>
      <c r="AO126" s="100">
        <v>2.2364465016239465E-19</v>
      </c>
      <c r="AP126" s="100">
        <v>2.2364465016239465E-19</v>
      </c>
      <c r="AQ126" s="100">
        <v>2.2364465016239465E-19</v>
      </c>
      <c r="AR126" s="100">
        <v>2.2364465016239465E-19</v>
      </c>
      <c r="AS126" s="100">
        <v>2.2364465016239465E-19</v>
      </c>
      <c r="AT126" s="100">
        <v>2.2364465016239465E-19</v>
      </c>
      <c r="AU126" s="100">
        <v>2.2364465016239465E-19</v>
      </c>
      <c r="AV126" s="100">
        <v>2.2364465016239465E-19</v>
      </c>
      <c r="AW126" s="100">
        <v>2.2364465016239465E-19</v>
      </c>
      <c r="AX126" s="100">
        <v>2.2364465016239465E-19</v>
      </c>
    </row>
    <row r="127" spans="1:50">
      <c r="B127" s="100" t="s">
        <v>278</v>
      </c>
      <c r="C127" s="105">
        <f>SUM(C$122:C$126)</f>
        <v>3.2949249417087163E-19</v>
      </c>
      <c r="D127" s="105">
        <f t="shared" ref="D127:AX127" si="9">SUM(D$122:D$126)</f>
        <v>3.2949249417087163E-19</v>
      </c>
      <c r="E127" s="105">
        <f t="shared" si="9"/>
        <v>3.2949249417087163E-19</v>
      </c>
      <c r="F127" s="105">
        <f t="shared" si="9"/>
        <v>3.2949249417087163E-19</v>
      </c>
      <c r="G127" s="105">
        <f t="shared" si="9"/>
        <v>3.2949249417087163E-19</v>
      </c>
      <c r="H127" s="105">
        <f t="shared" si="9"/>
        <v>3.2949249417087163E-19</v>
      </c>
      <c r="I127" s="105">
        <f t="shared" si="9"/>
        <v>3.2949249417087163E-19</v>
      </c>
      <c r="J127" s="105">
        <f t="shared" si="9"/>
        <v>3.2949249417087163E-19</v>
      </c>
      <c r="K127" s="105">
        <f t="shared" si="9"/>
        <v>3.2949249417087163E-19</v>
      </c>
      <c r="L127" s="105">
        <f t="shared" si="9"/>
        <v>3.2949249417087163E-19</v>
      </c>
      <c r="M127" s="105">
        <f t="shared" si="9"/>
        <v>3.2949249417087163E-19</v>
      </c>
      <c r="N127" s="105">
        <f t="shared" si="9"/>
        <v>3.2949249417087163E-19</v>
      </c>
      <c r="O127" s="105">
        <f t="shared" si="9"/>
        <v>3.2949249417087163E-19</v>
      </c>
      <c r="P127" s="105">
        <f t="shared" si="9"/>
        <v>3.2949249417087163E-19</v>
      </c>
      <c r="Q127" s="105">
        <f t="shared" si="9"/>
        <v>3.2949249417087163E-19</v>
      </c>
      <c r="R127" s="105">
        <f t="shared" si="9"/>
        <v>3.2949249417087163E-19</v>
      </c>
      <c r="S127" s="105">
        <f t="shared" si="9"/>
        <v>3.2949249417087163E-19</v>
      </c>
      <c r="T127" s="105">
        <f t="shared" si="9"/>
        <v>3.2949249417087163E-19</v>
      </c>
      <c r="U127" s="105">
        <f t="shared" si="9"/>
        <v>3.2949249417087163E-19</v>
      </c>
      <c r="V127" s="105">
        <f t="shared" si="9"/>
        <v>3.2949249417087163E-19</v>
      </c>
      <c r="W127" s="105">
        <f t="shared" si="9"/>
        <v>3.2949249417087163E-19</v>
      </c>
      <c r="X127" s="105">
        <f t="shared" si="9"/>
        <v>3.2949249417087163E-19</v>
      </c>
      <c r="Y127" s="105">
        <f t="shared" si="9"/>
        <v>3.2949249417087163E-19</v>
      </c>
      <c r="Z127" s="105">
        <f t="shared" si="9"/>
        <v>3.2949249417087163E-19</v>
      </c>
      <c r="AA127" s="105">
        <f t="shared" si="9"/>
        <v>3.2949249417087163E-19</v>
      </c>
      <c r="AB127" s="105">
        <f t="shared" si="9"/>
        <v>3.2949249417087163E-19</v>
      </c>
      <c r="AC127" s="105">
        <f t="shared" si="9"/>
        <v>3.2949249417087163E-19</v>
      </c>
      <c r="AD127" s="105">
        <f t="shared" si="9"/>
        <v>3.2949249417087163E-19</v>
      </c>
      <c r="AE127" s="105">
        <f t="shared" si="9"/>
        <v>3.2949249417087163E-19</v>
      </c>
      <c r="AF127" s="105">
        <f t="shared" si="9"/>
        <v>3.2949249417087163E-19</v>
      </c>
      <c r="AG127" s="105">
        <f t="shared" si="9"/>
        <v>3.2949249417087163E-19</v>
      </c>
      <c r="AH127" s="105">
        <f t="shared" si="9"/>
        <v>3.2949249417087163E-19</v>
      </c>
      <c r="AI127" s="105">
        <f t="shared" si="9"/>
        <v>3.2949249417087163E-19</v>
      </c>
      <c r="AJ127" s="105">
        <f t="shared" si="9"/>
        <v>3.2949249417087163E-19</v>
      </c>
      <c r="AK127" s="105">
        <f t="shared" si="9"/>
        <v>3.2949249417087163E-19</v>
      </c>
      <c r="AL127" s="105">
        <f t="shared" si="9"/>
        <v>3.2949249417087163E-19</v>
      </c>
      <c r="AM127" s="105">
        <f t="shared" si="9"/>
        <v>3.2949249417087163E-19</v>
      </c>
      <c r="AN127" s="105">
        <f t="shared" si="9"/>
        <v>3.2949249417087163E-19</v>
      </c>
      <c r="AO127" s="105">
        <f t="shared" si="9"/>
        <v>3.2949249417087163E-19</v>
      </c>
      <c r="AP127" s="105">
        <f t="shared" si="9"/>
        <v>3.2949249417087163E-19</v>
      </c>
      <c r="AQ127" s="105">
        <f t="shared" si="9"/>
        <v>3.2949249417087163E-19</v>
      </c>
      <c r="AR127" s="105">
        <f t="shared" si="9"/>
        <v>3.2949249417087163E-19</v>
      </c>
      <c r="AS127" s="105">
        <f t="shared" si="9"/>
        <v>3.2949249417087163E-19</v>
      </c>
      <c r="AT127" s="105">
        <f t="shared" si="9"/>
        <v>3.2949249417087163E-19</v>
      </c>
      <c r="AU127" s="105">
        <f t="shared" si="9"/>
        <v>3.2949249417087163E-19</v>
      </c>
      <c r="AV127" s="105">
        <f t="shared" si="9"/>
        <v>3.2949249417087163E-19</v>
      </c>
      <c r="AW127" s="105">
        <f t="shared" si="9"/>
        <v>3.2949249417087163E-19</v>
      </c>
      <c r="AX127" s="105">
        <f t="shared" si="9"/>
        <v>3.2949249417087163E-19</v>
      </c>
    </row>
    <row r="128" spans="1:50">
      <c r="A128" s="105" t="s">
        <v>109</v>
      </c>
      <c r="B128" s="105" t="s">
        <v>10</v>
      </c>
      <c r="C128" s="100">
        <v>4.0637877382336801E-21</v>
      </c>
      <c r="D128" s="100">
        <v>4.0637877382336801E-21</v>
      </c>
      <c r="E128" s="100">
        <v>4.0637877382336801E-21</v>
      </c>
      <c r="F128" s="100">
        <v>4.0637877382336801E-21</v>
      </c>
      <c r="G128" s="100">
        <v>4.0637877382336801E-21</v>
      </c>
      <c r="H128" s="100">
        <v>4.0637877382336801E-21</v>
      </c>
      <c r="I128" s="100">
        <v>4.0637877382336801E-21</v>
      </c>
      <c r="J128" s="100">
        <v>4.0637877382336801E-21</v>
      </c>
      <c r="K128" s="100">
        <v>4.0637877382336801E-21</v>
      </c>
      <c r="L128" s="100">
        <v>4.0637877382336801E-21</v>
      </c>
      <c r="M128" s="100">
        <v>4.0637877382336801E-21</v>
      </c>
      <c r="N128" s="100">
        <v>4.0637877382336801E-21</v>
      </c>
      <c r="O128" s="100">
        <v>4.876545285880416E-21</v>
      </c>
      <c r="P128" s="100">
        <v>4.876545285880416E-21</v>
      </c>
      <c r="Q128" s="100">
        <v>4.876545285880416E-21</v>
      </c>
      <c r="R128" s="100">
        <v>4.876545285880416E-21</v>
      </c>
      <c r="S128" s="100">
        <v>4.876545285880416E-21</v>
      </c>
      <c r="T128" s="100">
        <v>4.876545285880416E-21</v>
      </c>
      <c r="U128" s="100">
        <v>4.876545285880416E-21</v>
      </c>
      <c r="V128" s="100">
        <v>4.876545285880416E-21</v>
      </c>
      <c r="W128" s="100">
        <v>4.0637877382336801E-21</v>
      </c>
      <c r="X128" s="100">
        <v>4.0637877382336801E-21</v>
      </c>
      <c r="Y128" s="100">
        <v>4.0637877382336801E-21</v>
      </c>
      <c r="Z128" s="100">
        <v>4.0637877382336801E-21</v>
      </c>
      <c r="AA128" s="100">
        <v>4.0637877382336801E-21</v>
      </c>
      <c r="AB128" s="100">
        <v>4.0637877382336801E-21</v>
      </c>
      <c r="AC128" s="100">
        <v>4.0637877382336801E-21</v>
      </c>
      <c r="AD128" s="100">
        <v>4.0637877382336801E-21</v>
      </c>
      <c r="AE128" s="100">
        <v>3.2510301905869443E-21</v>
      </c>
      <c r="AF128" s="100">
        <v>3.2510301905869443E-21</v>
      </c>
      <c r="AG128" s="100">
        <v>3.2510301905869443E-21</v>
      </c>
      <c r="AH128" s="100">
        <v>3.2510301905869443E-21</v>
      </c>
      <c r="AI128" s="100">
        <v>4.876545285880416E-21</v>
      </c>
      <c r="AJ128" s="100">
        <v>4.876545285880416E-21</v>
      </c>
      <c r="AK128" s="100">
        <v>4.876545285880416E-21</v>
      </c>
      <c r="AL128" s="100">
        <v>4.876545285880416E-21</v>
      </c>
      <c r="AM128" s="100">
        <v>4.0637877382336801E-21</v>
      </c>
      <c r="AN128" s="100">
        <v>4.0637877382336801E-21</v>
      </c>
      <c r="AO128" s="100">
        <v>4.0637877382336801E-21</v>
      </c>
      <c r="AP128" s="100">
        <v>4.0637877382336801E-21</v>
      </c>
      <c r="AQ128" s="100">
        <v>4.0637877382336801E-21</v>
      </c>
      <c r="AR128" s="100">
        <v>4.0637877382336801E-21</v>
      </c>
      <c r="AS128" s="100">
        <v>4.0637877382336801E-21</v>
      </c>
      <c r="AT128" s="100">
        <v>4.0637877382336801E-21</v>
      </c>
      <c r="AU128" s="100">
        <v>3.2510301905869443E-21</v>
      </c>
      <c r="AV128" s="100">
        <v>3.2510301905869443E-21</v>
      </c>
      <c r="AW128" s="100">
        <v>3.2510301905869443E-21</v>
      </c>
      <c r="AX128" s="100">
        <v>3.2510301905869443E-21</v>
      </c>
    </row>
    <row r="129" spans="2:50">
      <c r="B129" s="105" t="s">
        <v>12</v>
      </c>
      <c r="C129" s="100">
        <v>1.4710703205212743E-20</v>
      </c>
      <c r="D129" s="100">
        <v>1.4710703205212743E-20</v>
      </c>
      <c r="E129" s="100">
        <v>1.4710703205212743E-20</v>
      </c>
      <c r="F129" s="100">
        <v>1.4710703205212743E-20</v>
      </c>
      <c r="G129" s="100">
        <v>1.4710703205212743E-20</v>
      </c>
      <c r="H129" s="100">
        <v>1.4710703205212743E-20</v>
      </c>
      <c r="I129" s="100">
        <v>1.4710703205212743E-20</v>
      </c>
      <c r="J129" s="100">
        <v>1.4710703205212743E-20</v>
      </c>
      <c r="K129" s="100">
        <v>1.4710703205212743E-20</v>
      </c>
      <c r="L129" s="100">
        <v>1.4710703205212743E-20</v>
      </c>
      <c r="M129" s="100">
        <v>1.4710703205212743E-20</v>
      </c>
      <c r="N129" s="100">
        <v>1.4710703205212743E-20</v>
      </c>
      <c r="O129" s="100">
        <v>1.7652843846255292E-20</v>
      </c>
      <c r="P129" s="100">
        <v>1.7652843846255292E-20</v>
      </c>
      <c r="Q129" s="100">
        <v>1.7652843846255292E-20</v>
      </c>
      <c r="R129" s="100">
        <v>1.7652843846255292E-20</v>
      </c>
      <c r="S129" s="100">
        <v>1.7652843846255292E-20</v>
      </c>
      <c r="T129" s="100">
        <v>1.7652843846255292E-20</v>
      </c>
      <c r="U129" s="100">
        <v>1.7652843846255292E-20</v>
      </c>
      <c r="V129" s="100">
        <v>1.7652843846255292E-20</v>
      </c>
      <c r="W129" s="100">
        <v>1.4710703205212743E-20</v>
      </c>
      <c r="X129" s="100">
        <v>1.4710703205212743E-20</v>
      </c>
      <c r="Y129" s="100">
        <v>1.4710703205212743E-20</v>
      </c>
      <c r="Z129" s="100">
        <v>1.4710703205212743E-20</v>
      </c>
      <c r="AA129" s="100">
        <v>1.4710703205212743E-20</v>
      </c>
      <c r="AB129" s="100">
        <v>1.4710703205212743E-20</v>
      </c>
      <c r="AC129" s="100">
        <v>1.4710703205212743E-20</v>
      </c>
      <c r="AD129" s="100">
        <v>1.4710703205212743E-20</v>
      </c>
      <c r="AE129" s="100">
        <v>1.1768562564170193E-20</v>
      </c>
      <c r="AF129" s="100">
        <v>1.1768562564170193E-20</v>
      </c>
      <c r="AG129" s="100">
        <v>1.1768562564170193E-20</v>
      </c>
      <c r="AH129" s="100">
        <v>1.1768562564170193E-20</v>
      </c>
      <c r="AI129" s="100">
        <v>1.7652843846255292E-20</v>
      </c>
      <c r="AJ129" s="100">
        <v>1.7652843846255292E-20</v>
      </c>
      <c r="AK129" s="100">
        <v>1.7652843846255292E-20</v>
      </c>
      <c r="AL129" s="100">
        <v>1.7652843846255292E-20</v>
      </c>
      <c r="AM129" s="100">
        <v>1.4710703205212743E-20</v>
      </c>
      <c r="AN129" s="100">
        <v>1.4710703205212743E-20</v>
      </c>
      <c r="AO129" s="100">
        <v>1.4710703205212743E-20</v>
      </c>
      <c r="AP129" s="100">
        <v>1.4710703205212743E-20</v>
      </c>
      <c r="AQ129" s="100">
        <v>1.4710703205212743E-20</v>
      </c>
      <c r="AR129" s="100">
        <v>1.4710703205212743E-20</v>
      </c>
      <c r="AS129" s="100">
        <v>1.4710703205212743E-20</v>
      </c>
      <c r="AT129" s="100">
        <v>1.4710703205212743E-20</v>
      </c>
      <c r="AU129" s="100">
        <v>1.1768562564170193E-20</v>
      </c>
      <c r="AV129" s="100">
        <v>1.1768562564170193E-20</v>
      </c>
      <c r="AW129" s="100">
        <v>1.1768562564170193E-20</v>
      </c>
      <c r="AX129" s="100">
        <v>1.1768562564170193E-20</v>
      </c>
    </row>
    <row r="130" spans="2:50">
      <c r="B130" s="105" t="s">
        <v>22</v>
      </c>
      <c r="C130" s="100">
        <v>0</v>
      </c>
      <c r="D130" s="100">
        <v>0</v>
      </c>
      <c r="E130" s="100">
        <v>0</v>
      </c>
      <c r="F130" s="100">
        <v>0</v>
      </c>
      <c r="G130" s="100">
        <v>0</v>
      </c>
      <c r="H130" s="100">
        <v>0</v>
      </c>
      <c r="I130" s="100">
        <v>0</v>
      </c>
      <c r="J130" s="100">
        <v>0</v>
      </c>
      <c r="K130" s="100">
        <v>0</v>
      </c>
      <c r="L130" s="100">
        <v>0</v>
      </c>
      <c r="M130" s="100">
        <v>0</v>
      </c>
      <c r="N130" s="100">
        <v>0</v>
      </c>
      <c r="O130" s="100">
        <v>0</v>
      </c>
      <c r="P130" s="100">
        <v>0</v>
      </c>
      <c r="Q130" s="100">
        <v>0</v>
      </c>
      <c r="R130" s="100">
        <v>0</v>
      </c>
      <c r="S130" s="100">
        <v>0</v>
      </c>
      <c r="T130" s="100">
        <v>0</v>
      </c>
      <c r="U130" s="100">
        <v>0</v>
      </c>
      <c r="V130" s="100">
        <v>0</v>
      </c>
      <c r="W130" s="100">
        <v>0</v>
      </c>
      <c r="X130" s="100">
        <v>0</v>
      </c>
      <c r="Y130" s="100">
        <v>0</v>
      </c>
      <c r="Z130" s="100">
        <v>0</v>
      </c>
      <c r="AA130" s="100">
        <v>0</v>
      </c>
      <c r="AB130" s="100">
        <v>0</v>
      </c>
      <c r="AC130" s="100">
        <v>0</v>
      </c>
      <c r="AD130" s="100">
        <v>0</v>
      </c>
      <c r="AE130" s="100">
        <v>0</v>
      </c>
      <c r="AF130" s="100">
        <v>0</v>
      </c>
      <c r="AG130" s="100">
        <v>0</v>
      </c>
      <c r="AH130" s="100">
        <v>0</v>
      </c>
      <c r="AI130" s="100">
        <v>0</v>
      </c>
      <c r="AJ130" s="100">
        <v>0</v>
      </c>
      <c r="AK130" s="100">
        <v>0</v>
      </c>
      <c r="AL130" s="100">
        <v>0</v>
      </c>
      <c r="AM130" s="100">
        <v>0</v>
      </c>
      <c r="AN130" s="100">
        <v>0</v>
      </c>
      <c r="AO130" s="100">
        <v>0</v>
      </c>
      <c r="AP130" s="100">
        <v>0</v>
      </c>
      <c r="AQ130" s="100">
        <v>0</v>
      </c>
      <c r="AR130" s="100">
        <v>0</v>
      </c>
      <c r="AS130" s="100">
        <v>0</v>
      </c>
      <c r="AT130" s="100">
        <v>0</v>
      </c>
      <c r="AU130" s="100">
        <v>0</v>
      </c>
      <c r="AV130" s="100">
        <v>0</v>
      </c>
      <c r="AW130" s="100">
        <v>0</v>
      </c>
      <c r="AX130" s="100">
        <v>0</v>
      </c>
    </row>
    <row r="131" spans="2:50">
      <c r="B131" s="105" t="s">
        <v>46</v>
      </c>
      <c r="C131" s="100">
        <v>8.9933298638816209E-28</v>
      </c>
      <c r="D131" s="100">
        <v>8.9933298638816209E-28</v>
      </c>
      <c r="E131" s="100">
        <v>8.9933298638816209E-28</v>
      </c>
      <c r="F131" s="100">
        <v>8.9933298638816209E-28</v>
      </c>
      <c r="G131" s="100">
        <v>8.9933298638816209E-28</v>
      </c>
      <c r="H131" s="100">
        <v>8.9933298638816209E-28</v>
      </c>
      <c r="I131" s="100">
        <v>8.9933298638816209E-28</v>
      </c>
      <c r="J131" s="100">
        <v>8.9933298638816209E-28</v>
      </c>
      <c r="K131" s="100">
        <v>8.9933298638816209E-28</v>
      </c>
      <c r="L131" s="100">
        <v>8.9933298638816209E-28</v>
      </c>
      <c r="M131" s="100">
        <v>8.9933298638816209E-28</v>
      </c>
      <c r="N131" s="100">
        <v>8.9933298638816209E-28</v>
      </c>
      <c r="O131" s="100">
        <v>1.0791995836657946E-27</v>
      </c>
      <c r="P131" s="100">
        <v>1.0791995836657946E-27</v>
      </c>
      <c r="Q131" s="100">
        <v>1.0791995836657946E-27</v>
      </c>
      <c r="R131" s="100">
        <v>1.0791995836657946E-27</v>
      </c>
      <c r="S131" s="100">
        <v>1.0791995836657946E-27</v>
      </c>
      <c r="T131" s="100">
        <v>1.0791995836657946E-27</v>
      </c>
      <c r="U131" s="100">
        <v>1.0791995836657946E-27</v>
      </c>
      <c r="V131" s="100">
        <v>1.0791995836657946E-27</v>
      </c>
      <c r="W131" s="100">
        <v>8.9933298638816209E-28</v>
      </c>
      <c r="X131" s="100">
        <v>8.9933298638816209E-28</v>
      </c>
      <c r="Y131" s="100">
        <v>8.9933298638816209E-28</v>
      </c>
      <c r="Z131" s="100">
        <v>8.9933298638816209E-28</v>
      </c>
      <c r="AA131" s="100">
        <v>8.9933298638816209E-28</v>
      </c>
      <c r="AB131" s="100">
        <v>8.9933298638816209E-28</v>
      </c>
      <c r="AC131" s="100">
        <v>8.9933298638816209E-28</v>
      </c>
      <c r="AD131" s="100">
        <v>8.9933298638816209E-28</v>
      </c>
      <c r="AE131" s="100">
        <v>7.1946638911052978E-28</v>
      </c>
      <c r="AF131" s="100">
        <v>7.1946638911052978E-28</v>
      </c>
      <c r="AG131" s="100">
        <v>7.1946638911052978E-28</v>
      </c>
      <c r="AH131" s="100">
        <v>7.1946638911052978E-28</v>
      </c>
      <c r="AI131" s="100">
        <v>1.0791995836657946E-27</v>
      </c>
      <c r="AJ131" s="100">
        <v>1.0791995836657946E-27</v>
      </c>
      <c r="AK131" s="100">
        <v>1.0791995836657946E-27</v>
      </c>
      <c r="AL131" s="100">
        <v>1.0791995836657946E-27</v>
      </c>
      <c r="AM131" s="100">
        <v>8.9933298638816209E-28</v>
      </c>
      <c r="AN131" s="100">
        <v>8.9933298638816209E-28</v>
      </c>
      <c r="AO131" s="100">
        <v>8.9933298638816209E-28</v>
      </c>
      <c r="AP131" s="100">
        <v>8.9933298638816209E-28</v>
      </c>
      <c r="AQ131" s="100">
        <v>8.9933298638816209E-28</v>
      </c>
      <c r="AR131" s="100">
        <v>8.9933298638816209E-28</v>
      </c>
      <c r="AS131" s="100">
        <v>8.9933298638816209E-28</v>
      </c>
      <c r="AT131" s="100">
        <v>8.9933298638816209E-28</v>
      </c>
      <c r="AU131" s="100">
        <v>7.1946638911052978E-28</v>
      </c>
      <c r="AV131" s="100">
        <v>7.1946638911052978E-28</v>
      </c>
      <c r="AW131" s="100">
        <v>7.1946638911052978E-28</v>
      </c>
      <c r="AX131" s="100">
        <v>7.1946638911052978E-28</v>
      </c>
    </row>
    <row r="132" spans="2:50">
      <c r="B132" s="105" t="s">
        <v>59</v>
      </c>
      <c r="C132" s="100">
        <v>0</v>
      </c>
      <c r="D132" s="100">
        <v>0</v>
      </c>
      <c r="E132" s="100">
        <v>0</v>
      </c>
      <c r="F132" s="100">
        <v>0</v>
      </c>
      <c r="G132" s="100">
        <v>0</v>
      </c>
      <c r="H132" s="100">
        <v>0</v>
      </c>
      <c r="I132" s="100">
        <v>0</v>
      </c>
      <c r="J132" s="100">
        <v>0</v>
      </c>
      <c r="K132" s="100">
        <v>0</v>
      </c>
      <c r="L132" s="100">
        <v>0</v>
      </c>
      <c r="M132" s="100">
        <v>0</v>
      </c>
      <c r="N132" s="100">
        <v>0</v>
      </c>
      <c r="O132" s="100">
        <v>0</v>
      </c>
      <c r="P132" s="100">
        <v>0</v>
      </c>
      <c r="Q132" s="100">
        <v>0</v>
      </c>
      <c r="R132" s="100">
        <v>0</v>
      </c>
      <c r="S132" s="100">
        <v>0</v>
      </c>
      <c r="T132" s="100">
        <v>0</v>
      </c>
      <c r="U132" s="100">
        <v>0</v>
      </c>
      <c r="V132" s="100">
        <v>0</v>
      </c>
      <c r="W132" s="100">
        <v>0</v>
      </c>
      <c r="X132" s="100">
        <v>0</v>
      </c>
      <c r="Y132" s="100">
        <v>0</v>
      </c>
      <c r="Z132" s="100">
        <v>0</v>
      </c>
      <c r="AA132" s="100">
        <v>0</v>
      </c>
      <c r="AB132" s="100">
        <v>0</v>
      </c>
      <c r="AC132" s="100">
        <v>0</v>
      </c>
      <c r="AD132" s="100">
        <v>0</v>
      </c>
      <c r="AE132" s="100">
        <v>0</v>
      </c>
      <c r="AF132" s="100">
        <v>0</v>
      </c>
      <c r="AG132" s="100">
        <v>0</v>
      </c>
      <c r="AH132" s="100">
        <v>0</v>
      </c>
      <c r="AI132" s="100">
        <v>0</v>
      </c>
      <c r="AJ132" s="100">
        <v>0</v>
      </c>
      <c r="AK132" s="100">
        <v>0</v>
      </c>
      <c r="AL132" s="100">
        <v>0</v>
      </c>
      <c r="AM132" s="100">
        <v>0</v>
      </c>
      <c r="AN132" s="100">
        <v>0</v>
      </c>
      <c r="AO132" s="100">
        <v>0</v>
      </c>
      <c r="AP132" s="100">
        <v>0</v>
      </c>
      <c r="AQ132" s="100">
        <v>0</v>
      </c>
      <c r="AR132" s="100">
        <v>0</v>
      </c>
      <c r="AS132" s="100">
        <v>0</v>
      </c>
      <c r="AT132" s="100">
        <v>0</v>
      </c>
      <c r="AU132" s="100">
        <v>0</v>
      </c>
      <c r="AV132" s="100">
        <v>0</v>
      </c>
      <c r="AW132" s="100">
        <v>0</v>
      </c>
      <c r="AX132" s="100">
        <v>0</v>
      </c>
    </row>
    <row r="133" spans="2:50">
      <c r="B133" s="100" t="s">
        <v>278</v>
      </c>
      <c r="C133" s="105">
        <f>SUM(C$128:C$132)</f>
        <v>1.8774491842779411E-20</v>
      </c>
      <c r="D133" s="105">
        <f t="shared" ref="D133:AX133" si="10">SUM(D$128:D$132)</f>
        <v>1.8774491842779411E-20</v>
      </c>
      <c r="E133" s="105">
        <f t="shared" si="10"/>
        <v>1.8774491842779411E-20</v>
      </c>
      <c r="F133" s="105">
        <f t="shared" si="10"/>
        <v>1.8774491842779411E-20</v>
      </c>
      <c r="G133" s="105">
        <f t="shared" si="10"/>
        <v>1.8774491842779411E-20</v>
      </c>
      <c r="H133" s="105">
        <f t="shared" si="10"/>
        <v>1.8774491842779411E-20</v>
      </c>
      <c r="I133" s="105">
        <f t="shared" si="10"/>
        <v>1.8774491842779411E-20</v>
      </c>
      <c r="J133" s="105">
        <f t="shared" si="10"/>
        <v>1.8774491842779411E-20</v>
      </c>
      <c r="K133" s="105">
        <f t="shared" si="10"/>
        <v>1.8774491842779411E-20</v>
      </c>
      <c r="L133" s="105">
        <f t="shared" si="10"/>
        <v>1.8774491842779411E-20</v>
      </c>
      <c r="M133" s="105">
        <f t="shared" si="10"/>
        <v>1.8774491842779411E-20</v>
      </c>
      <c r="N133" s="105">
        <f t="shared" si="10"/>
        <v>1.8774491842779411E-20</v>
      </c>
      <c r="O133" s="105">
        <f t="shared" si="10"/>
        <v>2.2529390211335292E-20</v>
      </c>
      <c r="P133" s="105">
        <f t="shared" si="10"/>
        <v>2.2529390211335292E-20</v>
      </c>
      <c r="Q133" s="105">
        <f t="shared" si="10"/>
        <v>2.2529390211335292E-20</v>
      </c>
      <c r="R133" s="105">
        <f t="shared" si="10"/>
        <v>2.2529390211335292E-20</v>
      </c>
      <c r="S133" s="105">
        <f t="shared" si="10"/>
        <v>2.2529390211335292E-20</v>
      </c>
      <c r="T133" s="105">
        <f t="shared" si="10"/>
        <v>2.2529390211335292E-20</v>
      </c>
      <c r="U133" s="105">
        <f t="shared" si="10"/>
        <v>2.2529390211335292E-20</v>
      </c>
      <c r="V133" s="105">
        <f t="shared" si="10"/>
        <v>2.2529390211335292E-20</v>
      </c>
      <c r="W133" s="105">
        <f t="shared" si="10"/>
        <v>1.8774491842779411E-20</v>
      </c>
      <c r="X133" s="105">
        <f t="shared" si="10"/>
        <v>1.8774491842779411E-20</v>
      </c>
      <c r="Y133" s="105">
        <f t="shared" si="10"/>
        <v>1.8774491842779411E-20</v>
      </c>
      <c r="Z133" s="105">
        <f t="shared" si="10"/>
        <v>1.8774491842779411E-20</v>
      </c>
      <c r="AA133" s="105">
        <f t="shared" si="10"/>
        <v>1.8774491842779411E-20</v>
      </c>
      <c r="AB133" s="105">
        <f t="shared" si="10"/>
        <v>1.8774491842779411E-20</v>
      </c>
      <c r="AC133" s="105">
        <f t="shared" si="10"/>
        <v>1.8774491842779411E-20</v>
      </c>
      <c r="AD133" s="105">
        <f t="shared" si="10"/>
        <v>1.8774491842779411E-20</v>
      </c>
      <c r="AE133" s="105">
        <f t="shared" si="10"/>
        <v>1.5019593474223527E-20</v>
      </c>
      <c r="AF133" s="105">
        <f t="shared" si="10"/>
        <v>1.5019593474223527E-20</v>
      </c>
      <c r="AG133" s="105">
        <f t="shared" si="10"/>
        <v>1.5019593474223527E-20</v>
      </c>
      <c r="AH133" s="105">
        <f t="shared" si="10"/>
        <v>1.5019593474223527E-20</v>
      </c>
      <c r="AI133" s="105">
        <f t="shared" si="10"/>
        <v>2.2529390211335292E-20</v>
      </c>
      <c r="AJ133" s="105">
        <f t="shared" si="10"/>
        <v>2.2529390211335292E-20</v>
      </c>
      <c r="AK133" s="105">
        <f t="shared" si="10"/>
        <v>2.2529390211335292E-20</v>
      </c>
      <c r="AL133" s="105">
        <f t="shared" si="10"/>
        <v>2.2529390211335292E-20</v>
      </c>
      <c r="AM133" s="105">
        <f t="shared" si="10"/>
        <v>1.8774491842779411E-20</v>
      </c>
      <c r="AN133" s="105">
        <f t="shared" si="10"/>
        <v>1.8774491842779411E-20</v>
      </c>
      <c r="AO133" s="105">
        <f t="shared" si="10"/>
        <v>1.8774491842779411E-20</v>
      </c>
      <c r="AP133" s="105">
        <f t="shared" si="10"/>
        <v>1.8774491842779411E-20</v>
      </c>
      <c r="AQ133" s="105">
        <f t="shared" si="10"/>
        <v>1.8774491842779411E-20</v>
      </c>
      <c r="AR133" s="105">
        <f t="shared" si="10"/>
        <v>1.8774491842779411E-20</v>
      </c>
      <c r="AS133" s="105">
        <f t="shared" si="10"/>
        <v>1.8774491842779411E-20</v>
      </c>
      <c r="AT133" s="105">
        <f t="shared" si="10"/>
        <v>1.8774491842779411E-20</v>
      </c>
      <c r="AU133" s="105">
        <f t="shared" si="10"/>
        <v>1.5019593474223527E-20</v>
      </c>
      <c r="AV133" s="105">
        <f t="shared" si="10"/>
        <v>1.5019593474223527E-20</v>
      </c>
      <c r="AW133" s="105">
        <f t="shared" si="10"/>
        <v>1.5019593474223527E-20</v>
      </c>
      <c r="AX133" s="105">
        <f t="shared" si="10"/>
        <v>1.5019593474223527E-20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Z65"/>
  <sheetViews>
    <sheetView workbookViewId="0">
      <pane xSplit="2" ySplit="6" topLeftCell="C7" activePane="bottomRight" state="frozen"/>
      <selection pane="topRight"/>
      <selection pane="bottomLeft"/>
      <selection pane="bottomRight" activeCell="C27" sqref="C27:C29"/>
    </sheetView>
  </sheetViews>
  <sheetFormatPr baseColWidth="10" defaultColWidth="8.83203125" defaultRowHeight="12" x14ac:dyDescent="0"/>
  <cols>
    <col min="1" max="1" width="14.6640625" style="100" customWidth="1"/>
    <col min="2" max="2" width="17.6640625" style="100" customWidth="1"/>
    <col min="3" max="51" width="8.83203125" style="100"/>
    <col min="52" max="52" width="10.6640625" style="100" customWidth="1"/>
    <col min="53" max="16384" width="8.83203125" style="100"/>
  </cols>
  <sheetData>
    <row r="1" spans="1:52">
      <c r="A1" s="102" t="s">
        <v>118</v>
      </c>
    </row>
    <row r="2" spans="1:52">
      <c r="A2" s="100" t="s">
        <v>303</v>
      </c>
      <c r="B2" s="107" t="s">
        <v>10</v>
      </c>
      <c r="E2" s="110"/>
    </row>
    <row r="3" spans="1:52">
      <c r="A3" s="100" t="s">
        <v>286</v>
      </c>
      <c r="B3" s="107">
        <v>600</v>
      </c>
      <c r="E3" s="110"/>
    </row>
    <row r="4" spans="1:52">
      <c r="A4" s="102"/>
      <c r="C4" s="111" t="s">
        <v>287</v>
      </c>
    </row>
    <row r="5" spans="1:52">
      <c r="B5" s="106"/>
      <c r="C5" s="112">
        <v>0</v>
      </c>
      <c r="D5" s="112">
        <v>1</v>
      </c>
      <c r="E5" s="112">
        <v>2</v>
      </c>
      <c r="F5" s="112">
        <v>3</v>
      </c>
      <c r="G5" s="112">
        <v>4</v>
      </c>
      <c r="H5" s="112">
        <v>5</v>
      </c>
      <c r="I5" s="112">
        <v>6</v>
      </c>
      <c r="J5" s="112">
        <v>7</v>
      </c>
      <c r="K5" s="112">
        <v>8</v>
      </c>
      <c r="L5" s="112">
        <v>9</v>
      </c>
      <c r="M5" s="112">
        <v>10</v>
      </c>
      <c r="N5" s="112">
        <v>11</v>
      </c>
      <c r="O5" s="112">
        <v>12</v>
      </c>
      <c r="P5" s="112">
        <v>13</v>
      </c>
      <c r="Q5" s="112">
        <v>14</v>
      </c>
      <c r="R5" s="112">
        <v>15</v>
      </c>
      <c r="S5" s="112">
        <v>16</v>
      </c>
      <c r="T5" s="112">
        <v>17</v>
      </c>
      <c r="U5" s="112">
        <v>18</v>
      </c>
      <c r="V5" s="112">
        <v>19</v>
      </c>
      <c r="W5" s="112">
        <v>20</v>
      </c>
      <c r="X5" s="112">
        <v>21</v>
      </c>
      <c r="Y5" s="112">
        <v>22</v>
      </c>
      <c r="Z5" s="112">
        <v>23</v>
      </c>
      <c r="AA5" s="112">
        <v>24</v>
      </c>
      <c r="AB5" s="112">
        <v>25</v>
      </c>
      <c r="AC5" s="112">
        <v>26</v>
      </c>
      <c r="AD5" s="112">
        <v>27</v>
      </c>
      <c r="AE5" s="112">
        <v>28</v>
      </c>
      <c r="AF5" s="112">
        <v>29</v>
      </c>
      <c r="AG5" s="112">
        <v>30</v>
      </c>
      <c r="AH5" s="112">
        <v>31</v>
      </c>
      <c r="AI5" s="112">
        <v>32</v>
      </c>
      <c r="AJ5" s="112">
        <v>33</v>
      </c>
      <c r="AK5" s="112">
        <v>34</v>
      </c>
      <c r="AL5" s="112">
        <v>35</v>
      </c>
      <c r="AM5" s="112">
        <v>36</v>
      </c>
      <c r="AN5" s="112">
        <v>37</v>
      </c>
      <c r="AO5" s="112">
        <v>38</v>
      </c>
      <c r="AP5" s="112">
        <v>39</v>
      </c>
      <c r="AQ5" s="112">
        <v>40</v>
      </c>
      <c r="AR5" s="112">
        <v>41</v>
      </c>
      <c r="AS5" s="112">
        <v>42</v>
      </c>
      <c r="AT5" s="112">
        <v>43</v>
      </c>
      <c r="AU5" s="112">
        <v>44</v>
      </c>
      <c r="AV5" s="112">
        <v>45</v>
      </c>
      <c r="AW5" s="112">
        <v>46</v>
      </c>
      <c r="AX5" s="112">
        <v>47</v>
      </c>
      <c r="AY5" s="112">
        <v>48</v>
      </c>
    </row>
    <row r="6" spans="1:52">
      <c r="A6" s="102" t="s">
        <v>304</v>
      </c>
      <c r="B6" s="114"/>
      <c r="C6" s="113" t="s">
        <v>288</v>
      </c>
      <c r="D6" s="112" t="s">
        <v>289</v>
      </c>
      <c r="E6" s="112" t="s">
        <v>289</v>
      </c>
      <c r="F6" s="112" t="s">
        <v>289</v>
      </c>
      <c r="G6" s="112" t="s">
        <v>289</v>
      </c>
      <c r="H6" s="112" t="s">
        <v>289</v>
      </c>
      <c r="I6" s="112" t="s">
        <v>289</v>
      </c>
      <c r="J6" s="112" t="s">
        <v>289</v>
      </c>
      <c r="K6" s="112" t="s">
        <v>289</v>
      </c>
      <c r="L6" s="112" t="s">
        <v>289</v>
      </c>
      <c r="M6" s="112" t="s">
        <v>289</v>
      </c>
      <c r="N6" s="112" t="s">
        <v>289</v>
      </c>
      <c r="O6" s="112" t="s">
        <v>289</v>
      </c>
      <c r="P6" s="112" t="s">
        <v>289</v>
      </c>
      <c r="Q6" s="112" t="s">
        <v>289</v>
      </c>
      <c r="R6" s="112" t="s">
        <v>289</v>
      </c>
      <c r="S6" s="112" t="s">
        <v>289</v>
      </c>
      <c r="T6" s="112" t="s">
        <v>289</v>
      </c>
      <c r="U6" s="112" t="s">
        <v>289</v>
      </c>
      <c r="V6" s="112" t="s">
        <v>289</v>
      </c>
      <c r="W6" s="112" t="s">
        <v>289</v>
      </c>
      <c r="X6" s="112" t="s">
        <v>289</v>
      </c>
      <c r="Y6" s="112" t="s">
        <v>289</v>
      </c>
      <c r="Z6" s="112" t="s">
        <v>289</v>
      </c>
      <c r="AA6" s="112" t="s">
        <v>289</v>
      </c>
      <c r="AB6" s="112" t="s">
        <v>289</v>
      </c>
      <c r="AC6" s="112" t="s">
        <v>289</v>
      </c>
      <c r="AD6" s="112" t="s">
        <v>289</v>
      </c>
      <c r="AE6" s="112" t="s">
        <v>289</v>
      </c>
      <c r="AF6" s="112" t="s">
        <v>289</v>
      </c>
      <c r="AG6" s="112" t="s">
        <v>289</v>
      </c>
      <c r="AH6" s="112" t="s">
        <v>289</v>
      </c>
      <c r="AI6" s="112" t="s">
        <v>289</v>
      </c>
      <c r="AJ6" s="112" t="s">
        <v>289</v>
      </c>
      <c r="AK6" s="112" t="s">
        <v>289</v>
      </c>
      <c r="AL6" s="112" t="s">
        <v>289</v>
      </c>
      <c r="AM6" s="112" t="s">
        <v>289</v>
      </c>
      <c r="AN6" s="112" t="s">
        <v>289</v>
      </c>
      <c r="AO6" s="112" t="s">
        <v>289</v>
      </c>
      <c r="AP6" s="112" t="s">
        <v>289</v>
      </c>
      <c r="AQ6" s="112" t="s">
        <v>289</v>
      </c>
      <c r="AR6" s="112" t="s">
        <v>289</v>
      </c>
      <c r="AS6" s="112" t="s">
        <v>289</v>
      </c>
      <c r="AT6" s="112" t="s">
        <v>289</v>
      </c>
      <c r="AU6" s="112" t="s">
        <v>289</v>
      </c>
      <c r="AV6" s="112" t="s">
        <v>289</v>
      </c>
      <c r="AW6" s="112" t="s">
        <v>289</v>
      </c>
      <c r="AX6" s="112" t="s">
        <v>289</v>
      </c>
      <c r="AY6" s="111" t="s">
        <v>290</v>
      </c>
      <c r="AZ6" s="142" t="s">
        <v>150</v>
      </c>
    </row>
    <row r="7" spans="1:52">
      <c r="A7" s="115" t="s">
        <v>125</v>
      </c>
      <c r="B7" s="143">
        <v>1</v>
      </c>
      <c r="C7" s="144" t="s">
        <v>293</v>
      </c>
      <c r="D7" s="144">
        <v>481.26469461577267</v>
      </c>
      <c r="E7" s="144">
        <v>481.26469461577267</v>
      </c>
      <c r="F7" s="144">
        <v>481.26469461577267</v>
      </c>
      <c r="G7" s="144">
        <v>481.26469461577267</v>
      </c>
      <c r="H7" s="144">
        <v>481.26469461577267</v>
      </c>
      <c r="I7" s="144">
        <v>481.26469461577267</v>
      </c>
      <c r="J7" s="144">
        <v>481.26469461577267</v>
      </c>
      <c r="K7" s="144">
        <v>481.26469461577267</v>
      </c>
      <c r="L7" s="144">
        <v>481.26469461577267</v>
      </c>
      <c r="M7" s="144">
        <v>481.26469461577267</v>
      </c>
      <c r="N7" s="144">
        <v>481.26469461577267</v>
      </c>
      <c r="O7" s="144">
        <v>481.26469461577267</v>
      </c>
      <c r="P7" s="144">
        <v>481.26469461577267</v>
      </c>
      <c r="Q7" s="144">
        <v>481.26469461577267</v>
      </c>
      <c r="R7" s="144">
        <v>481.26469461577267</v>
      </c>
      <c r="S7" s="144">
        <v>481.26469461577267</v>
      </c>
      <c r="T7" s="144">
        <v>481.26469461577267</v>
      </c>
      <c r="U7" s="144">
        <v>481.26469461577267</v>
      </c>
      <c r="V7" s="144">
        <v>481.26469461577267</v>
      </c>
      <c r="W7" s="144">
        <v>481.26469461577267</v>
      </c>
      <c r="X7" s="144">
        <v>481.26469461577267</v>
      </c>
      <c r="Y7" s="144">
        <v>481.26469461577267</v>
      </c>
      <c r="Z7" s="144">
        <v>481.26469461577267</v>
      </c>
      <c r="AA7" s="144">
        <v>481.26469461577267</v>
      </c>
      <c r="AB7" s="144">
        <v>481.26469461577267</v>
      </c>
      <c r="AC7" s="144">
        <v>481.26469461577267</v>
      </c>
      <c r="AD7" s="144">
        <v>481.26469461577267</v>
      </c>
      <c r="AE7" s="144">
        <v>481.26469461577267</v>
      </c>
      <c r="AF7" s="144">
        <v>481.26469461577267</v>
      </c>
      <c r="AG7" s="144">
        <v>481.26469461577267</v>
      </c>
      <c r="AH7" s="144">
        <v>481.26469461577267</v>
      </c>
      <c r="AI7" s="144">
        <v>481.26469461577267</v>
      </c>
      <c r="AJ7" s="144">
        <v>481.26469461577267</v>
      </c>
      <c r="AK7" s="144">
        <v>481.26469461577267</v>
      </c>
      <c r="AL7" s="144">
        <v>481.26469461577267</v>
      </c>
      <c r="AM7" s="144">
        <v>481.26469461577267</v>
      </c>
      <c r="AN7" s="144">
        <v>385.01175569261812</v>
      </c>
      <c r="AO7" s="144">
        <v>385.01175569261812</v>
      </c>
      <c r="AP7" s="144">
        <v>385.01175569261812</v>
      </c>
      <c r="AQ7" s="144">
        <v>385.01175569261812</v>
      </c>
      <c r="AR7" s="144">
        <v>481.26469461577267</v>
      </c>
      <c r="AS7" s="144">
        <v>481.26469461577267</v>
      </c>
      <c r="AT7" s="144">
        <v>481.26469461577267</v>
      </c>
      <c r="AU7" s="144">
        <v>481.26469461577267</v>
      </c>
      <c r="AV7" s="144">
        <v>481.26469461577267</v>
      </c>
      <c r="AW7" s="144">
        <v>481.26469461577267</v>
      </c>
      <c r="AX7" s="144">
        <v>481.26469461577267</v>
      </c>
      <c r="AY7" s="144">
        <v>481.26469461577267</v>
      </c>
      <c r="AZ7" s="106"/>
    </row>
    <row r="8" spans="1:52">
      <c r="A8" s="145"/>
      <c r="B8" s="146"/>
      <c r="C8" s="145"/>
      <c r="D8" s="145"/>
      <c r="E8" s="145"/>
      <c r="F8" s="145"/>
      <c r="G8" s="145"/>
      <c r="H8" s="145"/>
      <c r="I8" s="145"/>
      <c r="J8" s="145"/>
      <c r="K8" s="145"/>
      <c r="L8" s="145"/>
      <c r="M8" s="145"/>
      <c r="N8" s="145"/>
      <c r="O8" s="145"/>
      <c r="P8" s="145"/>
      <c r="Q8" s="145"/>
      <c r="R8" s="145"/>
      <c r="S8" s="145"/>
      <c r="T8" s="145"/>
      <c r="U8" s="145"/>
      <c r="V8" s="145"/>
      <c r="W8" s="145"/>
      <c r="X8" s="145"/>
      <c r="Y8" s="145"/>
      <c r="Z8" s="145"/>
      <c r="AA8" s="145"/>
      <c r="AB8" s="145"/>
      <c r="AC8" s="145"/>
      <c r="AD8" s="145"/>
      <c r="AE8" s="145"/>
      <c r="AF8" s="145"/>
      <c r="AG8" s="145"/>
      <c r="AH8" s="145"/>
      <c r="AI8" s="145"/>
      <c r="AJ8" s="145"/>
      <c r="AK8" s="145"/>
      <c r="AL8" s="145"/>
      <c r="AM8" s="145"/>
      <c r="AN8" s="145"/>
      <c r="AO8" s="145"/>
      <c r="AP8" s="145"/>
      <c r="AQ8" s="145"/>
      <c r="AR8" s="145"/>
      <c r="AS8" s="145"/>
      <c r="AT8" s="145"/>
      <c r="AU8" s="145"/>
      <c r="AV8" s="145"/>
      <c r="AW8" s="145"/>
      <c r="AX8" s="145"/>
      <c r="AY8" s="145"/>
      <c r="AZ8" s="147"/>
    </row>
    <row r="9" spans="1:52">
      <c r="A9" s="102" t="s">
        <v>294</v>
      </c>
      <c r="B9" s="148"/>
      <c r="C9" s="106"/>
      <c r="D9" s="106"/>
      <c r="E9" s="106"/>
      <c r="F9" s="106"/>
      <c r="G9" s="106"/>
      <c r="H9" s="106"/>
      <c r="I9" s="106"/>
      <c r="J9" s="106"/>
      <c r="K9" s="106"/>
      <c r="L9" s="106"/>
      <c r="M9" s="106"/>
      <c r="N9" s="106"/>
      <c r="O9" s="106"/>
      <c r="P9" s="106"/>
      <c r="Q9" s="106"/>
      <c r="R9" s="106"/>
      <c r="S9" s="106"/>
      <c r="T9" s="106"/>
      <c r="U9" s="106"/>
      <c r="V9" s="106"/>
      <c r="W9" s="106"/>
      <c r="X9" s="106"/>
      <c r="Y9" s="106"/>
      <c r="Z9" s="106"/>
      <c r="AA9" s="106"/>
      <c r="AB9" s="106"/>
      <c r="AC9" s="106"/>
      <c r="AD9" s="106"/>
      <c r="AE9" s="106"/>
      <c r="AF9" s="106"/>
      <c r="AG9" s="106"/>
      <c r="AH9" s="106"/>
      <c r="AI9" s="106"/>
      <c r="AJ9" s="106"/>
      <c r="AK9" s="106"/>
      <c r="AL9" s="106"/>
      <c r="AM9" s="106"/>
      <c r="AN9" s="106"/>
      <c r="AO9" s="106"/>
      <c r="AP9" s="106"/>
      <c r="AQ9" s="106"/>
      <c r="AR9" s="106"/>
      <c r="AS9" s="106"/>
      <c r="AT9" s="106"/>
      <c r="AU9" s="106"/>
      <c r="AV9" s="106"/>
      <c r="AW9" s="106"/>
      <c r="AX9" s="106"/>
      <c r="AY9" s="106"/>
      <c r="AZ9" s="106"/>
    </row>
    <row r="10" spans="1:52">
      <c r="A10" s="149" t="s">
        <v>125</v>
      </c>
      <c r="B10" s="150">
        <v>1</v>
      </c>
      <c r="C10" s="144" t="s">
        <v>293</v>
      </c>
      <c r="D10" s="144">
        <f t="shared" ref="D10:AY10" si="0">MAX(SUM(D$14:D$16)+D$7-$B$3,0)</f>
        <v>0</v>
      </c>
      <c r="E10" s="144">
        <f t="shared" si="0"/>
        <v>0</v>
      </c>
      <c r="F10" s="144">
        <f t="shared" si="0"/>
        <v>0</v>
      </c>
      <c r="G10" s="144">
        <f t="shared" si="0"/>
        <v>0</v>
      </c>
      <c r="H10" s="144">
        <f t="shared" si="0"/>
        <v>0</v>
      </c>
      <c r="I10" s="144">
        <f t="shared" si="0"/>
        <v>0</v>
      </c>
      <c r="J10" s="144">
        <f t="shared" si="0"/>
        <v>0</v>
      </c>
      <c r="K10" s="144">
        <f t="shared" si="0"/>
        <v>0</v>
      </c>
      <c r="L10" s="144">
        <f t="shared" si="0"/>
        <v>362.52938923154534</v>
      </c>
      <c r="M10" s="144">
        <f t="shared" si="0"/>
        <v>0</v>
      </c>
      <c r="N10" s="144">
        <f t="shared" si="0"/>
        <v>0</v>
      </c>
      <c r="O10" s="144">
        <f t="shared" si="0"/>
        <v>0</v>
      </c>
      <c r="P10" s="144">
        <f t="shared" si="0"/>
        <v>0</v>
      </c>
      <c r="Q10" s="144">
        <f t="shared" si="0"/>
        <v>0</v>
      </c>
      <c r="R10" s="144">
        <f t="shared" si="0"/>
        <v>0</v>
      </c>
      <c r="S10" s="144">
        <f t="shared" si="0"/>
        <v>0</v>
      </c>
      <c r="T10" s="144">
        <f t="shared" si="0"/>
        <v>0</v>
      </c>
      <c r="U10" s="144">
        <f t="shared" si="0"/>
        <v>0</v>
      </c>
      <c r="V10" s="144">
        <f t="shared" si="0"/>
        <v>0</v>
      </c>
      <c r="W10" s="144">
        <f t="shared" si="0"/>
        <v>0</v>
      </c>
      <c r="X10" s="144">
        <f t="shared" si="0"/>
        <v>0</v>
      </c>
      <c r="Y10" s="144">
        <f t="shared" si="0"/>
        <v>0</v>
      </c>
      <c r="Z10" s="144">
        <f t="shared" si="0"/>
        <v>0</v>
      </c>
      <c r="AA10" s="144">
        <f t="shared" si="0"/>
        <v>0</v>
      </c>
      <c r="AB10" s="144">
        <f t="shared" si="0"/>
        <v>0</v>
      </c>
      <c r="AC10" s="144">
        <f t="shared" si="0"/>
        <v>0</v>
      </c>
      <c r="AD10" s="144">
        <f t="shared" si="0"/>
        <v>0</v>
      </c>
      <c r="AE10" s="144">
        <f t="shared" si="0"/>
        <v>0</v>
      </c>
      <c r="AF10" s="144">
        <f t="shared" si="0"/>
        <v>0</v>
      </c>
      <c r="AG10" s="144">
        <f t="shared" si="0"/>
        <v>0</v>
      </c>
      <c r="AH10" s="144">
        <f t="shared" si="0"/>
        <v>0</v>
      </c>
      <c r="AI10" s="144">
        <f t="shared" si="0"/>
        <v>0</v>
      </c>
      <c r="AJ10" s="144">
        <f t="shared" si="0"/>
        <v>0</v>
      </c>
      <c r="AK10" s="144">
        <f t="shared" si="0"/>
        <v>0</v>
      </c>
      <c r="AL10" s="144">
        <f t="shared" si="0"/>
        <v>0</v>
      </c>
      <c r="AM10" s="144">
        <f t="shared" si="0"/>
        <v>0</v>
      </c>
      <c r="AN10" s="144">
        <f t="shared" si="0"/>
        <v>0</v>
      </c>
      <c r="AO10" s="144">
        <f t="shared" si="0"/>
        <v>0</v>
      </c>
      <c r="AP10" s="144">
        <f t="shared" si="0"/>
        <v>0</v>
      </c>
      <c r="AQ10" s="144">
        <f t="shared" si="0"/>
        <v>0</v>
      </c>
      <c r="AR10" s="144">
        <f t="shared" si="0"/>
        <v>0</v>
      </c>
      <c r="AS10" s="144">
        <f t="shared" si="0"/>
        <v>0</v>
      </c>
      <c r="AT10" s="144">
        <f t="shared" si="0"/>
        <v>0</v>
      </c>
      <c r="AU10" s="144">
        <f t="shared" si="0"/>
        <v>0</v>
      </c>
      <c r="AV10" s="144">
        <f t="shared" si="0"/>
        <v>362.52938923154534</v>
      </c>
      <c r="AW10" s="144">
        <f t="shared" si="0"/>
        <v>0</v>
      </c>
      <c r="AX10" s="144">
        <f t="shared" si="0"/>
        <v>0</v>
      </c>
      <c r="AY10" s="144">
        <f t="shared" si="0"/>
        <v>0</v>
      </c>
      <c r="AZ10" s="151">
        <f>SUM($D10:$AY10)</f>
        <v>725.05877846309068</v>
      </c>
    </row>
    <row r="11" spans="1:52">
      <c r="C11" s="110"/>
    </row>
    <row r="12" spans="1:52">
      <c r="A12" s="152" t="s">
        <v>295</v>
      </c>
      <c r="B12" s="146"/>
      <c r="C12" s="110"/>
    </row>
    <row r="13" spans="1:52">
      <c r="A13" s="122" t="s">
        <v>125</v>
      </c>
      <c r="B13" s="123">
        <v>1</v>
      </c>
      <c r="C13" s="124">
        <v>600</v>
      </c>
      <c r="D13" s="138">
        <f t="shared" ref="D13:AY13" si="1">D$7-D$10</f>
        <v>481.26469461577267</v>
      </c>
      <c r="E13" s="138">
        <f t="shared" si="1"/>
        <v>481.26469461577267</v>
      </c>
      <c r="F13" s="138">
        <f t="shared" si="1"/>
        <v>481.26469461577267</v>
      </c>
      <c r="G13" s="138">
        <f t="shared" si="1"/>
        <v>481.26469461577267</v>
      </c>
      <c r="H13" s="138">
        <f t="shared" si="1"/>
        <v>481.26469461577267</v>
      </c>
      <c r="I13" s="138">
        <f t="shared" si="1"/>
        <v>481.26469461577267</v>
      </c>
      <c r="J13" s="138">
        <f t="shared" si="1"/>
        <v>481.26469461577267</v>
      </c>
      <c r="K13" s="138">
        <f t="shared" si="1"/>
        <v>481.26469461577267</v>
      </c>
      <c r="L13" s="138">
        <f t="shared" si="1"/>
        <v>118.73530538422733</v>
      </c>
      <c r="M13" s="138">
        <f t="shared" si="1"/>
        <v>481.26469461577267</v>
      </c>
      <c r="N13" s="138">
        <f t="shared" si="1"/>
        <v>481.26469461577267</v>
      </c>
      <c r="O13" s="138">
        <f t="shared" si="1"/>
        <v>481.26469461577267</v>
      </c>
      <c r="P13" s="138">
        <f t="shared" si="1"/>
        <v>481.26469461577267</v>
      </c>
      <c r="Q13" s="138">
        <f t="shared" si="1"/>
        <v>481.26469461577267</v>
      </c>
      <c r="R13" s="138">
        <f t="shared" si="1"/>
        <v>481.26469461577267</v>
      </c>
      <c r="S13" s="138">
        <f t="shared" si="1"/>
        <v>481.26469461577267</v>
      </c>
      <c r="T13" s="138">
        <f t="shared" si="1"/>
        <v>481.26469461577267</v>
      </c>
      <c r="U13" s="138">
        <f t="shared" si="1"/>
        <v>481.26469461577267</v>
      </c>
      <c r="V13" s="138">
        <f t="shared" si="1"/>
        <v>481.26469461577267</v>
      </c>
      <c r="W13" s="138">
        <f t="shared" si="1"/>
        <v>481.26469461577267</v>
      </c>
      <c r="X13" s="138">
        <f t="shared" si="1"/>
        <v>481.26469461577267</v>
      </c>
      <c r="Y13" s="138">
        <f t="shared" si="1"/>
        <v>481.26469461577267</v>
      </c>
      <c r="Z13" s="138">
        <f t="shared" si="1"/>
        <v>481.26469461577267</v>
      </c>
      <c r="AA13" s="138">
        <f t="shared" si="1"/>
        <v>481.26469461577267</v>
      </c>
      <c r="AB13" s="138">
        <f t="shared" si="1"/>
        <v>481.26469461577267</v>
      </c>
      <c r="AC13" s="138">
        <f t="shared" si="1"/>
        <v>481.26469461577267</v>
      </c>
      <c r="AD13" s="138">
        <f t="shared" si="1"/>
        <v>481.26469461577267</v>
      </c>
      <c r="AE13" s="138">
        <f t="shared" si="1"/>
        <v>481.26469461577267</v>
      </c>
      <c r="AF13" s="138">
        <f t="shared" si="1"/>
        <v>481.26469461577267</v>
      </c>
      <c r="AG13" s="138">
        <f t="shared" si="1"/>
        <v>481.26469461577267</v>
      </c>
      <c r="AH13" s="138">
        <f t="shared" si="1"/>
        <v>481.26469461577267</v>
      </c>
      <c r="AI13" s="138">
        <f t="shared" si="1"/>
        <v>481.26469461577267</v>
      </c>
      <c r="AJ13" s="138">
        <f t="shared" si="1"/>
        <v>481.26469461577267</v>
      </c>
      <c r="AK13" s="138">
        <f t="shared" si="1"/>
        <v>481.26469461577267</v>
      </c>
      <c r="AL13" s="138">
        <f t="shared" si="1"/>
        <v>481.26469461577267</v>
      </c>
      <c r="AM13" s="138">
        <f t="shared" si="1"/>
        <v>481.26469461577267</v>
      </c>
      <c r="AN13" s="138">
        <f t="shared" si="1"/>
        <v>385.01175569261812</v>
      </c>
      <c r="AO13" s="138">
        <f t="shared" si="1"/>
        <v>385.01175569261812</v>
      </c>
      <c r="AP13" s="138">
        <f t="shared" si="1"/>
        <v>385.01175569261812</v>
      </c>
      <c r="AQ13" s="138">
        <f t="shared" si="1"/>
        <v>385.01175569261812</v>
      </c>
      <c r="AR13" s="138">
        <f t="shared" si="1"/>
        <v>481.26469461577267</v>
      </c>
      <c r="AS13" s="138">
        <f t="shared" si="1"/>
        <v>481.26469461577267</v>
      </c>
      <c r="AT13" s="138">
        <f t="shared" si="1"/>
        <v>481.26469461577267</v>
      </c>
      <c r="AU13" s="138">
        <f t="shared" si="1"/>
        <v>481.26469461577267</v>
      </c>
      <c r="AV13" s="138">
        <f t="shared" si="1"/>
        <v>118.73530538422733</v>
      </c>
      <c r="AW13" s="138">
        <f t="shared" si="1"/>
        <v>481.26469461577267</v>
      </c>
      <c r="AX13" s="138">
        <f t="shared" si="1"/>
        <v>481.26469461577267</v>
      </c>
      <c r="AY13" s="138">
        <f t="shared" si="1"/>
        <v>481.26469461577267</v>
      </c>
      <c r="AZ13" s="109"/>
    </row>
    <row r="14" spans="1:52">
      <c r="A14" s="110"/>
      <c r="B14" s="120">
        <v>2</v>
      </c>
      <c r="C14" s="110">
        <v>0</v>
      </c>
      <c r="D14" s="106">
        <f>IF(C$20="Yes",C13,0)</f>
        <v>0</v>
      </c>
      <c r="E14" s="106">
        <f t="shared" ref="E14:AY17" si="2">IF(D$20="Yes",D13,0)</f>
        <v>0</v>
      </c>
      <c r="F14" s="106">
        <f t="shared" si="2"/>
        <v>0</v>
      </c>
      <c r="G14" s="106">
        <f t="shared" si="2"/>
        <v>0</v>
      </c>
      <c r="H14" s="106">
        <f t="shared" si="2"/>
        <v>0</v>
      </c>
      <c r="I14" s="106">
        <f t="shared" si="2"/>
        <v>0</v>
      </c>
      <c r="J14" s="106">
        <f t="shared" si="2"/>
        <v>0</v>
      </c>
      <c r="K14" s="106">
        <f t="shared" si="2"/>
        <v>0</v>
      </c>
      <c r="L14" s="106">
        <f t="shared" si="2"/>
        <v>481.26469461577267</v>
      </c>
      <c r="M14" s="106">
        <f t="shared" si="2"/>
        <v>0</v>
      </c>
      <c r="N14" s="106">
        <f t="shared" si="2"/>
        <v>0</v>
      </c>
      <c r="O14" s="106">
        <f t="shared" si="2"/>
        <v>0</v>
      </c>
      <c r="P14" s="106">
        <f t="shared" si="2"/>
        <v>0</v>
      </c>
      <c r="Q14" s="106">
        <f t="shared" si="2"/>
        <v>0</v>
      </c>
      <c r="R14" s="106">
        <f t="shared" si="2"/>
        <v>0</v>
      </c>
      <c r="S14" s="106">
        <f t="shared" si="2"/>
        <v>0</v>
      </c>
      <c r="T14" s="106">
        <f t="shared" si="2"/>
        <v>0</v>
      </c>
      <c r="U14" s="106">
        <f t="shared" si="2"/>
        <v>0</v>
      </c>
      <c r="V14" s="106">
        <f t="shared" si="2"/>
        <v>0</v>
      </c>
      <c r="W14" s="106">
        <f t="shared" si="2"/>
        <v>0</v>
      </c>
      <c r="X14" s="106">
        <f t="shared" si="2"/>
        <v>0</v>
      </c>
      <c r="Y14" s="106">
        <f t="shared" si="2"/>
        <v>0</v>
      </c>
      <c r="Z14" s="106">
        <f t="shared" si="2"/>
        <v>0</v>
      </c>
      <c r="AA14" s="106">
        <f t="shared" si="2"/>
        <v>0</v>
      </c>
      <c r="AB14" s="106">
        <f t="shared" si="2"/>
        <v>0</v>
      </c>
      <c r="AC14" s="106">
        <f t="shared" si="2"/>
        <v>0</v>
      </c>
      <c r="AD14" s="106">
        <f t="shared" si="2"/>
        <v>0</v>
      </c>
      <c r="AE14" s="106">
        <f t="shared" si="2"/>
        <v>0</v>
      </c>
      <c r="AF14" s="106">
        <f t="shared" si="2"/>
        <v>0</v>
      </c>
      <c r="AG14" s="106">
        <f t="shared" si="2"/>
        <v>0</v>
      </c>
      <c r="AH14" s="106">
        <f t="shared" si="2"/>
        <v>0</v>
      </c>
      <c r="AI14" s="106">
        <f t="shared" si="2"/>
        <v>0</v>
      </c>
      <c r="AJ14" s="106">
        <f t="shared" si="2"/>
        <v>0</v>
      </c>
      <c r="AK14" s="106">
        <f t="shared" si="2"/>
        <v>0</v>
      </c>
      <c r="AL14" s="106">
        <f t="shared" si="2"/>
        <v>0</v>
      </c>
      <c r="AM14" s="106">
        <f t="shared" si="2"/>
        <v>0</v>
      </c>
      <c r="AN14" s="106">
        <f t="shared" si="2"/>
        <v>0</v>
      </c>
      <c r="AO14" s="106">
        <f t="shared" si="2"/>
        <v>0</v>
      </c>
      <c r="AP14" s="106">
        <f t="shared" si="2"/>
        <v>0</v>
      </c>
      <c r="AQ14" s="106">
        <f t="shared" si="2"/>
        <v>0</v>
      </c>
      <c r="AR14" s="106">
        <f t="shared" si="2"/>
        <v>0</v>
      </c>
      <c r="AS14" s="106">
        <f t="shared" si="2"/>
        <v>0</v>
      </c>
      <c r="AT14" s="106">
        <f t="shared" si="2"/>
        <v>0</v>
      </c>
      <c r="AU14" s="106">
        <f t="shared" si="2"/>
        <v>0</v>
      </c>
      <c r="AV14" s="106">
        <f t="shared" si="2"/>
        <v>481.26469461577267</v>
      </c>
      <c r="AW14" s="106">
        <f t="shared" si="2"/>
        <v>0</v>
      </c>
      <c r="AX14" s="106">
        <f t="shared" si="2"/>
        <v>0</v>
      </c>
      <c r="AY14" s="106">
        <f t="shared" si="2"/>
        <v>0</v>
      </c>
      <c r="AZ14" s="109"/>
    </row>
    <row r="15" spans="1:52">
      <c r="A15" s="110"/>
      <c r="B15" s="127">
        <v>3</v>
      </c>
      <c r="C15" s="110">
        <v>0</v>
      </c>
      <c r="D15" s="106">
        <f>IF(C$20="Yes",C14,0)</f>
        <v>0</v>
      </c>
      <c r="E15" s="106">
        <f t="shared" si="2"/>
        <v>0</v>
      </c>
      <c r="F15" s="106">
        <f t="shared" si="2"/>
        <v>0</v>
      </c>
      <c r="G15" s="106">
        <f t="shared" si="2"/>
        <v>0</v>
      </c>
      <c r="H15" s="106">
        <f t="shared" si="2"/>
        <v>0</v>
      </c>
      <c r="I15" s="106">
        <f t="shared" si="2"/>
        <v>0</v>
      </c>
      <c r="J15" s="106">
        <f t="shared" si="2"/>
        <v>0</v>
      </c>
      <c r="K15" s="106">
        <f t="shared" si="2"/>
        <v>0</v>
      </c>
      <c r="L15" s="106">
        <f t="shared" si="2"/>
        <v>0</v>
      </c>
      <c r="M15" s="106">
        <f t="shared" si="2"/>
        <v>0</v>
      </c>
      <c r="N15" s="106">
        <f t="shared" si="2"/>
        <v>0</v>
      </c>
      <c r="O15" s="106">
        <f t="shared" si="2"/>
        <v>0</v>
      </c>
      <c r="P15" s="106">
        <f t="shared" si="2"/>
        <v>0</v>
      </c>
      <c r="Q15" s="106">
        <f t="shared" si="2"/>
        <v>0</v>
      </c>
      <c r="R15" s="106">
        <f t="shared" si="2"/>
        <v>0</v>
      </c>
      <c r="S15" s="106">
        <f t="shared" si="2"/>
        <v>0</v>
      </c>
      <c r="T15" s="106">
        <f t="shared" si="2"/>
        <v>0</v>
      </c>
      <c r="U15" s="106">
        <f t="shared" si="2"/>
        <v>0</v>
      </c>
      <c r="V15" s="106">
        <f t="shared" si="2"/>
        <v>0</v>
      </c>
      <c r="W15" s="106">
        <f t="shared" si="2"/>
        <v>0</v>
      </c>
      <c r="X15" s="106">
        <f t="shared" si="2"/>
        <v>0</v>
      </c>
      <c r="Y15" s="106">
        <f t="shared" si="2"/>
        <v>0</v>
      </c>
      <c r="Z15" s="106">
        <f t="shared" si="2"/>
        <v>0</v>
      </c>
      <c r="AA15" s="106">
        <f t="shared" si="2"/>
        <v>0</v>
      </c>
      <c r="AB15" s="106">
        <f t="shared" si="2"/>
        <v>0</v>
      </c>
      <c r="AC15" s="106">
        <f t="shared" si="2"/>
        <v>0</v>
      </c>
      <c r="AD15" s="106">
        <f t="shared" si="2"/>
        <v>0</v>
      </c>
      <c r="AE15" s="106">
        <f t="shared" si="2"/>
        <v>0</v>
      </c>
      <c r="AF15" s="106">
        <f t="shared" si="2"/>
        <v>0</v>
      </c>
      <c r="AG15" s="106">
        <f t="shared" si="2"/>
        <v>0</v>
      </c>
      <c r="AH15" s="106">
        <f t="shared" si="2"/>
        <v>0</v>
      </c>
      <c r="AI15" s="106">
        <f t="shared" si="2"/>
        <v>0</v>
      </c>
      <c r="AJ15" s="106">
        <f t="shared" si="2"/>
        <v>0</v>
      </c>
      <c r="AK15" s="106">
        <f t="shared" si="2"/>
        <v>0</v>
      </c>
      <c r="AL15" s="106">
        <f t="shared" si="2"/>
        <v>0</v>
      </c>
      <c r="AM15" s="106">
        <f t="shared" si="2"/>
        <v>0</v>
      </c>
      <c r="AN15" s="106">
        <f t="shared" si="2"/>
        <v>0</v>
      </c>
      <c r="AO15" s="106">
        <f t="shared" si="2"/>
        <v>0</v>
      </c>
      <c r="AP15" s="106">
        <f t="shared" si="2"/>
        <v>0</v>
      </c>
      <c r="AQ15" s="106">
        <f t="shared" si="2"/>
        <v>0</v>
      </c>
      <c r="AR15" s="106">
        <f t="shared" si="2"/>
        <v>0</v>
      </c>
      <c r="AS15" s="106">
        <f t="shared" si="2"/>
        <v>0</v>
      </c>
      <c r="AT15" s="106">
        <f t="shared" si="2"/>
        <v>0</v>
      </c>
      <c r="AU15" s="106">
        <f t="shared" si="2"/>
        <v>0</v>
      </c>
      <c r="AV15" s="106">
        <f t="shared" si="2"/>
        <v>0</v>
      </c>
      <c r="AW15" s="106">
        <f t="shared" si="2"/>
        <v>0</v>
      </c>
      <c r="AX15" s="106">
        <f t="shared" si="2"/>
        <v>0</v>
      </c>
      <c r="AY15" s="106">
        <f t="shared" si="2"/>
        <v>0</v>
      </c>
      <c r="AZ15" s="109"/>
    </row>
    <row r="16" spans="1:52">
      <c r="A16" s="110"/>
      <c r="B16" s="130">
        <v>4</v>
      </c>
      <c r="C16" s="110">
        <v>0</v>
      </c>
      <c r="D16" s="106">
        <f>IF(C$20="Yes",C15,0)</f>
        <v>0</v>
      </c>
      <c r="E16" s="106">
        <f t="shared" si="2"/>
        <v>0</v>
      </c>
      <c r="F16" s="106">
        <f t="shared" si="2"/>
        <v>0</v>
      </c>
      <c r="G16" s="106">
        <f t="shared" si="2"/>
        <v>0</v>
      </c>
      <c r="H16" s="106">
        <f t="shared" si="2"/>
        <v>0</v>
      </c>
      <c r="I16" s="106">
        <f t="shared" si="2"/>
        <v>0</v>
      </c>
      <c r="J16" s="106">
        <f t="shared" si="2"/>
        <v>0</v>
      </c>
      <c r="K16" s="106">
        <f t="shared" si="2"/>
        <v>0</v>
      </c>
      <c r="L16" s="106">
        <f t="shared" si="2"/>
        <v>0</v>
      </c>
      <c r="M16" s="106">
        <f t="shared" si="2"/>
        <v>0</v>
      </c>
      <c r="N16" s="106">
        <f t="shared" si="2"/>
        <v>0</v>
      </c>
      <c r="O16" s="106">
        <f t="shared" si="2"/>
        <v>0</v>
      </c>
      <c r="P16" s="106">
        <f t="shared" si="2"/>
        <v>0</v>
      </c>
      <c r="Q16" s="106">
        <f t="shared" si="2"/>
        <v>0</v>
      </c>
      <c r="R16" s="106">
        <f t="shared" si="2"/>
        <v>0</v>
      </c>
      <c r="S16" s="106">
        <f t="shared" si="2"/>
        <v>0</v>
      </c>
      <c r="T16" s="106">
        <f t="shared" si="2"/>
        <v>0</v>
      </c>
      <c r="U16" s="106">
        <f t="shared" si="2"/>
        <v>0</v>
      </c>
      <c r="V16" s="106">
        <f t="shared" si="2"/>
        <v>0</v>
      </c>
      <c r="W16" s="106">
        <f t="shared" si="2"/>
        <v>0</v>
      </c>
      <c r="X16" s="106">
        <f t="shared" si="2"/>
        <v>0</v>
      </c>
      <c r="Y16" s="106">
        <f t="shared" si="2"/>
        <v>0</v>
      </c>
      <c r="Z16" s="106">
        <f t="shared" si="2"/>
        <v>0</v>
      </c>
      <c r="AA16" s="106">
        <f t="shared" si="2"/>
        <v>0</v>
      </c>
      <c r="AB16" s="106">
        <f t="shared" si="2"/>
        <v>0</v>
      </c>
      <c r="AC16" s="106">
        <f t="shared" si="2"/>
        <v>0</v>
      </c>
      <c r="AD16" s="106">
        <f t="shared" si="2"/>
        <v>0</v>
      </c>
      <c r="AE16" s="106">
        <f t="shared" si="2"/>
        <v>0</v>
      </c>
      <c r="AF16" s="106">
        <f t="shared" si="2"/>
        <v>0</v>
      </c>
      <c r="AG16" s="106">
        <f t="shared" si="2"/>
        <v>0</v>
      </c>
      <c r="AH16" s="106">
        <f t="shared" si="2"/>
        <v>0</v>
      </c>
      <c r="AI16" s="106">
        <f t="shared" si="2"/>
        <v>0</v>
      </c>
      <c r="AJ16" s="106">
        <f t="shared" si="2"/>
        <v>0</v>
      </c>
      <c r="AK16" s="106">
        <f t="shared" si="2"/>
        <v>0</v>
      </c>
      <c r="AL16" s="106">
        <f t="shared" si="2"/>
        <v>0</v>
      </c>
      <c r="AM16" s="106">
        <f t="shared" si="2"/>
        <v>0</v>
      </c>
      <c r="AN16" s="106">
        <f t="shared" si="2"/>
        <v>0</v>
      </c>
      <c r="AO16" s="106">
        <f t="shared" si="2"/>
        <v>0</v>
      </c>
      <c r="AP16" s="106">
        <f t="shared" si="2"/>
        <v>0</v>
      </c>
      <c r="AQ16" s="106">
        <f t="shared" si="2"/>
        <v>0</v>
      </c>
      <c r="AR16" s="106">
        <f t="shared" si="2"/>
        <v>0</v>
      </c>
      <c r="AS16" s="106">
        <f t="shared" si="2"/>
        <v>0</v>
      </c>
      <c r="AT16" s="106">
        <f t="shared" si="2"/>
        <v>0</v>
      </c>
      <c r="AU16" s="106">
        <f t="shared" si="2"/>
        <v>0</v>
      </c>
      <c r="AV16" s="106">
        <f t="shared" si="2"/>
        <v>0</v>
      </c>
      <c r="AW16" s="106">
        <f t="shared" si="2"/>
        <v>0</v>
      </c>
      <c r="AX16" s="106">
        <f t="shared" si="2"/>
        <v>0</v>
      </c>
      <c r="AY16" s="106">
        <f t="shared" si="2"/>
        <v>0</v>
      </c>
      <c r="AZ16" s="128"/>
    </row>
    <row r="17" spans="1:52">
      <c r="A17" s="125"/>
      <c r="B17" s="132" t="s">
        <v>296</v>
      </c>
      <c r="C17" s="125">
        <v>0</v>
      </c>
      <c r="D17" s="114">
        <f>IF(C$20="Yes",C16,0)</f>
        <v>0</v>
      </c>
      <c r="E17" s="114">
        <f t="shared" si="2"/>
        <v>0</v>
      </c>
      <c r="F17" s="114">
        <f t="shared" si="2"/>
        <v>0</v>
      </c>
      <c r="G17" s="114">
        <f t="shared" si="2"/>
        <v>0</v>
      </c>
      <c r="H17" s="114">
        <f t="shared" si="2"/>
        <v>0</v>
      </c>
      <c r="I17" s="114">
        <f t="shared" si="2"/>
        <v>0</v>
      </c>
      <c r="J17" s="114">
        <f t="shared" si="2"/>
        <v>0</v>
      </c>
      <c r="K17" s="114">
        <f t="shared" si="2"/>
        <v>0</v>
      </c>
      <c r="L17" s="114">
        <f t="shared" si="2"/>
        <v>0</v>
      </c>
      <c r="M17" s="114">
        <f t="shared" si="2"/>
        <v>0</v>
      </c>
      <c r="N17" s="114">
        <f t="shared" si="2"/>
        <v>0</v>
      </c>
      <c r="O17" s="114">
        <f t="shared" si="2"/>
        <v>0</v>
      </c>
      <c r="P17" s="114">
        <f t="shared" si="2"/>
        <v>0</v>
      </c>
      <c r="Q17" s="114">
        <f t="shared" si="2"/>
        <v>0</v>
      </c>
      <c r="R17" s="114">
        <f t="shared" si="2"/>
        <v>0</v>
      </c>
      <c r="S17" s="114">
        <f t="shared" si="2"/>
        <v>0</v>
      </c>
      <c r="T17" s="114">
        <f t="shared" si="2"/>
        <v>0</v>
      </c>
      <c r="U17" s="114">
        <f t="shared" si="2"/>
        <v>0</v>
      </c>
      <c r="V17" s="114">
        <f t="shared" si="2"/>
        <v>0</v>
      </c>
      <c r="W17" s="114">
        <f t="shared" si="2"/>
        <v>0</v>
      </c>
      <c r="X17" s="114">
        <f t="shared" si="2"/>
        <v>0</v>
      </c>
      <c r="Y17" s="114">
        <f t="shared" si="2"/>
        <v>0</v>
      </c>
      <c r="Z17" s="114">
        <f t="shared" si="2"/>
        <v>0</v>
      </c>
      <c r="AA17" s="114">
        <f t="shared" si="2"/>
        <v>0</v>
      </c>
      <c r="AB17" s="114">
        <f t="shared" si="2"/>
        <v>0</v>
      </c>
      <c r="AC17" s="114">
        <f t="shared" si="2"/>
        <v>0</v>
      </c>
      <c r="AD17" s="114">
        <f t="shared" si="2"/>
        <v>0</v>
      </c>
      <c r="AE17" s="114">
        <f t="shared" si="2"/>
        <v>0</v>
      </c>
      <c r="AF17" s="114">
        <f t="shared" si="2"/>
        <v>0</v>
      </c>
      <c r="AG17" s="114">
        <f t="shared" si="2"/>
        <v>0</v>
      </c>
      <c r="AH17" s="114">
        <f t="shared" si="2"/>
        <v>0</v>
      </c>
      <c r="AI17" s="114">
        <f t="shared" si="2"/>
        <v>0</v>
      </c>
      <c r="AJ17" s="114">
        <f t="shared" si="2"/>
        <v>0</v>
      </c>
      <c r="AK17" s="114">
        <f t="shared" si="2"/>
        <v>0</v>
      </c>
      <c r="AL17" s="114">
        <f t="shared" si="2"/>
        <v>0</v>
      </c>
      <c r="AM17" s="114">
        <f t="shared" si="2"/>
        <v>0</v>
      </c>
      <c r="AN17" s="114">
        <f t="shared" si="2"/>
        <v>0</v>
      </c>
      <c r="AO17" s="114">
        <f t="shared" si="2"/>
        <v>0</v>
      </c>
      <c r="AP17" s="114">
        <f t="shared" si="2"/>
        <v>0</v>
      </c>
      <c r="AQ17" s="114">
        <f t="shared" si="2"/>
        <v>0</v>
      </c>
      <c r="AR17" s="114">
        <f t="shared" si="2"/>
        <v>0</v>
      </c>
      <c r="AS17" s="114">
        <f t="shared" si="2"/>
        <v>0</v>
      </c>
      <c r="AT17" s="114">
        <f t="shared" si="2"/>
        <v>0</v>
      </c>
      <c r="AU17" s="114">
        <f t="shared" si="2"/>
        <v>0</v>
      </c>
      <c r="AV17" s="114">
        <f t="shared" si="2"/>
        <v>0</v>
      </c>
      <c r="AW17" s="114">
        <f t="shared" si="2"/>
        <v>0</v>
      </c>
      <c r="AX17" s="114">
        <f t="shared" si="2"/>
        <v>0</v>
      </c>
      <c r="AY17" s="114">
        <f t="shared" si="2"/>
        <v>0</v>
      </c>
      <c r="AZ17" s="151">
        <f>SUM($D$17:$AY$17)</f>
        <v>0</v>
      </c>
    </row>
    <row r="18" spans="1:52">
      <c r="A18" s="106"/>
      <c r="B18" s="153"/>
      <c r="C18" s="138"/>
      <c r="D18" s="138"/>
      <c r="E18" s="138"/>
      <c r="F18" s="138"/>
      <c r="G18" s="138"/>
      <c r="H18" s="138"/>
      <c r="I18" s="138"/>
      <c r="J18" s="138"/>
      <c r="K18" s="138"/>
      <c r="L18" s="138"/>
      <c r="M18" s="138"/>
      <c r="N18" s="138"/>
      <c r="O18" s="138"/>
      <c r="P18" s="138"/>
      <c r="Q18" s="138"/>
      <c r="R18" s="138"/>
      <c r="S18" s="138"/>
      <c r="T18" s="138"/>
      <c r="U18" s="138"/>
      <c r="V18" s="138"/>
      <c r="W18" s="138"/>
      <c r="X18" s="138"/>
      <c r="Y18" s="138"/>
      <c r="Z18" s="138"/>
      <c r="AA18" s="138"/>
      <c r="AB18" s="138"/>
      <c r="AC18" s="138"/>
      <c r="AD18" s="138"/>
      <c r="AE18" s="138"/>
      <c r="AF18" s="138"/>
      <c r="AG18" s="138"/>
      <c r="AH18" s="138"/>
      <c r="AI18" s="138"/>
      <c r="AJ18" s="138"/>
      <c r="AK18" s="138"/>
      <c r="AL18" s="138"/>
      <c r="AM18" s="138"/>
      <c r="AN18" s="138"/>
      <c r="AO18" s="138"/>
      <c r="AP18" s="138"/>
      <c r="AQ18" s="138"/>
      <c r="AR18" s="138"/>
      <c r="AS18" s="138"/>
      <c r="AT18" s="138"/>
      <c r="AU18" s="138"/>
      <c r="AV18" s="138"/>
      <c r="AW18" s="138"/>
      <c r="AX18" s="138"/>
      <c r="AY18" s="138"/>
      <c r="AZ18" s="106"/>
    </row>
    <row r="19" spans="1:52">
      <c r="A19" s="102" t="s">
        <v>116</v>
      </c>
      <c r="B19" s="106"/>
      <c r="C19" s="106"/>
      <c r="D19" s="106"/>
      <c r="E19" s="106"/>
      <c r="F19" s="106"/>
      <c r="G19" s="106"/>
      <c r="H19" s="106"/>
      <c r="I19" s="106"/>
      <c r="J19" s="106"/>
      <c r="K19" s="106"/>
      <c r="L19" s="106"/>
      <c r="M19" s="106"/>
      <c r="N19" s="106"/>
      <c r="O19" s="106"/>
      <c r="P19" s="106"/>
      <c r="Q19" s="106"/>
      <c r="R19" s="106"/>
      <c r="S19" s="106"/>
      <c r="T19" s="106"/>
      <c r="U19" s="106"/>
      <c r="V19" s="106"/>
      <c r="W19" s="106"/>
      <c r="X19" s="106"/>
      <c r="Y19" s="106"/>
      <c r="Z19" s="106"/>
      <c r="AA19" s="106"/>
      <c r="AB19" s="106"/>
      <c r="AC19" s="106"/>
      <c r="AD19" s="106"/>
      <c r="AE19" s="106"/>
      <c r="AF19" s="106"/>
      <c r="AG19" s="106"/>
      <c r="AH19" s="106"/>
      <c r="AI19" s="106"/>
      <c r="AJ19" s="106"/>
      <c r="AK19" s="106"/>
      <c r="AL19" s="106"/>
      <c r="AM19" s="106"/>
      <c r="AN19" s="106"/>
      <c r="AO19" s="106"/>
      <c r="AP19" s="106"/>
      <c r="AQ19" s="106"/>
      <c r="AR19" s="106"/>
      <c r="AS19" s="106"/>
      <c r="AT19" s="106"/>
      <c r="AU19" s="106"/>
      <c r="AV19" s="106"/>
      <c r="AW19" s="106"/>
      <c r="AX19" s="106"/>
      <c r="AY19" s="106"/>
    </row>
    <row r="20" spans="1:52" s="110" customFormat="1">
      <c r="A20" s="115" t="s">
        <v>305</v>
      </c>
      <c r="B20" s="154" t="s">
        <v>306</v>
      </c>
      <c r="C20" s="117"/>
      <c r="D20" s="117"/>
      <c r="E20" s="117"/>
      <c r="F20" s="117"/>
      <c r="G20" s="117"/>
      <c r="H20" s="117"/>
      <c r="I20" s="117"/>
      <c r="J20" s="117"/>
      <c r="K20" s="117" t="s">
        <v>339</v>
      </c>
      <c r="L20" s="117"/>
      <c r="M20" s="117"/>
      <c r="N20" s="117"/>
      <c r="O20" s="117"/>
      <c r="P20" s="117"/>
      <c r="Q20" s="117"/>
      <c r="R20" s="117"/>
      <c r="S20" s="117"/>
      <c r="T20" s="117"/>
      <c r="U20" s="117"/>
      <c r="V20" s="117"/>
      <c r="W20" s="117"/>
      <c r="X20" s="117"/>
      <c r="Y20" s="117"/>
      <c r="Z20" s="117"/>
      <c r="AA20" s="117"/>
      <c r="AB20" s="117"/>
      <c r="AC20" s="117"/>
      <c r="AD20" s="117"/>
      <c r="AE20" s="117"/>
      <c r="AF20" s="117"/>
      <c r="AG20" s="117"/>
      <c r="AH20" s="117"/>
      <c r="AI20" s="117"/>
      <c r="AJ20" s="117"/>
      <c r="AK20" s="117"/>
      <c r="AL20" s="117"/>
      <c r="AM20" s="117"/>
      <c r="AN20" s="117"/>
      <c r="AO20" s="117"/>
      <c r="AP20" s="117"/>
      <c r="AQ20" s="117"/>
      <c r="AR20" s="117"/>
      <c r="AS20" s="117"/>
      <c r="AT20" s="117"/>
      <c r="AU20" s="117" t="s">
        <v>339</v>
      </c>
      <c r="AV20" s="117"/>
      <c r="AW20" s="117"/>
      <c r="AX20" s="117"/>
      <c r="AY20" s="117"/>
      <c r="AZ20" s="107"/>
    </row>
    <row r="21" spans="1:52" s="110" customFormat="1">
      <c r="A21" s="155" t="s">
        <v>133</v>
      </c>
      <c r="B21" s="156">
        <f>shipping_manufacturing!$C$19/100</f>
        <v>0.66557357567110909</v>
      </c>
      <c r="C21" s="156" t="s">
        <v>293</v>
      </c>
      <c r="D21" s="106">
        <f>IF(C$20="Yes",0,SUM(C$13:C$16)*$B$21)</f>
        <v>399.34414540266545</v>
      </c>
      <c r="E21" s="106">
        <f t="shared" ref="E21:AY21" si="3">IF(D$20="Yes",0,SUM(D$13:D$16)*$B$21)</f>
        <v>320.31706363968419</v>
      </c>
      <c r="F21" s="106">
        <f t="shared" si="3"/>
        <v>320.31706363968419</v>
      </c>
      <c r="G21" s="106">
        <f t="shared" si="3"/>
        <v>320.31706363968419</v>
      </c>
      <c r="H21" s="106">
        <f t="shared" si="3"/>
        <v>320.31706363968419</v>
      </c>
      <c r="I21" s="106">
        <f t="shared" si="3"/>
        <v>320.31706363968419</v>
      </c>
      <c r="J21" s="106">
        <f t="shared" si="3"/>
        <v>320.31706363968419</v>
      </c>
      <c r="K21" s="106">
        <f t="shared" si="3"/>
        <v>320.31706363968419</v>
      </c>
      <c r="L21" s="106">
        <f t="shared" si="3"/>
        <v>0</v>
      </c>
      <c r="M21" s="106">
        <f t="shared" si="3"/>
        <v>399.34414540266545</v>
      </c>
      <c r="N21" s="106">
        <f t="shared" si="3"/>
        <v>320.31706363968419</v>
      </c>
      <c r="O21" s="106">
        <f t="shared" si="3"/>
        <v>320.31706363968419</v>
      </c>
      <c r="P21" s="106">
        <f t="shared" si="3"/>
        <v>320.31706363968419</v>
      </c>
      <c r="Q21" s="106">
        <f t="shared" si="3"/>
        <v>320.31706363968419</v>
      </c>
      <c r="R21" s="106">
        <f t="shared" si="3"/>
        <v>320.31706363968419</v>
      </c>
      <c r="S21" s="106">
        <f t="shared" si="3"/>
        <v>320.31706363968419</v>
      </c>
      <c r="T21" s="106">
        <f t="shared" si="3"/>
        <v>320.31706363968419</v>
      </c>
      <c r="U21" s="106">
        <f t="shared" si="3"/>
        <v>320.31706363968419</v>
      </c>
      <c r="V21" s="106">
        <f t="shared" si="3"/>
        <v>320.31706363968419</v>
      </c>
      <c r="W21" s="106">
        <f t="shared" si="3"/>
        <v>320.31706363968419</v>
      </c>
      <c r="X21" s="106">
        <f t="shared" si="3"/>
        <v>320.31706363968419</v>
      </c>
      <c r="Y21" s="106">
        <f t="shared" si="3"/>
        <v>320.31706363968419</v>
      </c>
      <c r="Z21" s="106">
        <f t="shared" si="3"/>
        <v>320.31706363968419</v>
      </c>
      <c r="AA21" s="106">
        <f t="shared" si="3"/>
        <v>320.31706363968419</v>
      </c>
      <c r="AB21" s="106">
        <f t="shared" si="3"/>
        <v>320.31706363968419</v>
      </c>
      <c r="AC21" s="106">
        <f t="shared" si="3"/>
        <v>320.31706363968419</v>
      </c>
      <c r="AD21" s="106">
        <f t="shared" si="3"/>
        <v>320.31706363968419</v>
      </c>
      <c r="AE21" s="106">
        <f t="shared" si="3"/>
        <v>320.31706363968419</v>
      </c>
      <c r="AF21" s="106">
        <f t="shared" si="3"/>
        <v>320.31706363968419</v>
      </c>
      <c r="AG21" s="106">
        <f t="shared" si="3"/>
        <v>320.31706363968419</v>
      </c>
      <c r="AH21" s="106">
        <f t="shared" si="3"/>
        <v>320.31706363968419</v>
      </c>
      <c r="AI21" s="106">
        <f t="shared" si="3"/>
        <v>320.31706363968419</v>
      </c>
      <c r="AJ21" s="106">
        <f t="shared" si="3"/>
        <v>320.31706363968419</v>
      </c>
      <c r="AK21" s="106">
        <f t="shared" si="3"/>
        <v>320.31706363968419</v>
      </c>
      <c r="AL21" s="106">
        <f t="shared" si="3"/>
        <v>320.31706363968419</v>
      </c>
      <c r="AM21" s="106">
        <f t="shared" si="3"/>
        <v>320.31706363968419</v>
      </c>
      <c r="AN21" s="106">
        <f t="shared" si="3"/>
        <v>320.31706363968419</v>
      </c>
      <c r="AO21" s="106">
        <f t="shared" si="3"/>
        <v>256.25365091174734</v>
      </c>
      <c r="AP21" s="106">
        <f t="shared" si="3"/>
        <v>256.25365091174734</v>
      </c>
      <c r="AQ21" s="106">
        <f t="shared" si="3"/>
        <v>256.25365091174734</v>
      </c>
      <c r="AR21" s="106">
        <f t="shared" si="3"/>
        <v>256.25365091174734</v>
      </c>
      <c r="AS21" s="106">
        <f t="shared" si="3"/>
        <v>320.31706363968419</v>
      </c>
      <c r="AT21" s="106">
        <f t="shared" si="3"/>
        <v>320.31706363968419</v>
      </c>
      <c r="AU21" s="106">
        <f t="shared" si="3"/>
        <v>320.31706363968419</v>
      </c>
      <c r="AV21" s="106">
        <f t="shared" si="3"/>
        <v>0</v>
      </c>
      <c r="AW21" s="106">
        <f t="shared" si="3"/>
        <v>399.34414540266545</v>
      </c>
      <c r="AX21" s="106">
        <f t="shared" si="3"/>
        <v>320.31706363968419</v>
      </c>
      <c r="AY21" s="106">
        <f t="shared" si="3"/>
        <v>320.31706363968419</v>
      </c>
      <c r="AZ21" s="157">
        <f>SUM($D21:$AY21)</f>
        <v>14715.412521802675</v>
      </c>
    </row>
    <row r="22" spans="1:52" s="110" customFormat="1">
      <c r="A22" s="158" t="s">
        <v>123</v>
      </c>
      <c r="B22" s="159">
        <f>1-$B$21</f>
        <v>0.33442642432889091</v>
      </c>
      <c r="C22" s="159" t="s">
        <v>293</v>
      </c>
      <c r="D22" s="114">
        <f>IF(C$20="Yes",0,SUM(C$13:C$16)*$B$22)</f>
        <v>200.65585459733455</v>
      </c>
      <c r="E22" s="114">
        <f t="shared" ref="E22:AY22" si="4">IF(D$20="Yes",0,SUM(D$13:D$16)*$B$22)</f>
        <v>160.9476309760885</v>
      </c>
      <c r="F22" s="114">
        <f t="shared" si="4"/>
        <v>160.9476309760885</v>
      </c>
      <c r="G22" s="114">
        <f t="shared" si="4"/>
        <v>160.9476309760885</v>
      </c>
      <c r="H22" s="114">
        <f t="shared" si="4"/>
        <v>160.9476309760885</v>
      </c>
      <c r="I22" s="114">
        <f t="shared" si="4"/>
        <v>160.9476309760885</v>
      </c>
      <c r="J22" s="114">
        <f t="shared" si="4"/>
        <v>160.9476309760885</v>
      </c>
      <c r="K22" s="114">
        <f t="shared" si="4"/>
        <v>160.9476309760885</v>
      </c>
      <c r="L22" s="114">
        <f t="shared" si="4"/>
        <v>0</v>
      </c>
      <c r="M22" s="114">
        <f t="shared" si="4"/>
        <v>200.65585459733455</v>
      </c>
      <c r="N22" s="114">
        <f t="shared" si="4"/>
        <v>160.9476309760885</v>
      </c>
      <c r="O22" s="114">
        <f t="shared" si="4"/>
        <v>160.9476309760885</v>
      </c>
      <c r="P22" s="114">
        <f t="shared" si="4"/>
        <v>160.9476309760885</v>
      </c>
      <c r="Q22" s="114">
        <f t="shared" si="4"/>
        <v>160.9476309760885</v>
      </c>
      <c r="R22" s="114">
        <f t="shared" si="4"/>
        <v>160.9476309760885</v>
      </c>
      <c r="S22" s="114">
        <f t="shared" si="4"/>
        <v>160.9476309760885</v>
      </c>
      <c r="T22" s="114">
        <f t="shared" si="4"/>
        <v>160.9476309760885</v>
      </c>
      <c r="U22" s="114">
        <f t="shared" si="4"/>
        <v>160.9476309760885</v>
      </c>
      <c r="V22" s="114">
        <f t="shared" si="4"/>
        <v>160.9476309760885</v>
      </c>
      <c r="W22" s="114">
        <f t="shared" si="4"/>
        <v>160.9476309760885</v>
      </c>
      <c r="X22" s="114">
        <f t="shared" si="4"/>
        <v>160.9476309760885</v>
      </c>
      <c r="Y22" s="114">
        <f t="shared" si="4"/>
        <v>160.9476309760885</v>
      </c>
      <c r="Z22" s="114">
        <f t="shared" si="4"/>
        <v>160.9476309760885</v>
      </c>
      <c r="AA22" s="114">
        <f t="shared" si="4"/>
        <v>160.9476309760885</v>
      </c>
      <c r="AB22" s="114">
        <f t="shared" si="4"/>
        <v>160.9476309760885</v>
      </c>
      <c r="AC22" s="114">
        <f t="shared" si="4"/>
        <v>160.9476309760885</v>
      </c>
      <c r="AD22" s="114">
        <f t="shared" si="4"/>
        <v>160.9476309760885</v>
      </c>
      <c r="AE22" s="114">
        <f t="shared" si="4"/>
        <v>160.9476309760885</v>
      </c>
      <c r="AF22" s="114">
        <f t="shared" si="4"/>
        <v>160.9476309760885</v>
      </c>
      <c r="AG22" s="114">
        <f t="shared" si="4"/>
        <v>160.9476309760885</v>
      </c>
      <c r="AH22" s="114">
        <f t="shared" si="4"/>
        <v>160.9476309760885</v>
      </c>
      <c r="AI22" s="114">
        <f t="shared" si="4"/>
        <v>160.9476309760885</v>
      </c>
      <c r="AJ22" s="114">
        <f t="shared" si="4"/>
        <v>160.9476309760885</v>
      </c>
      <c r="AK22" s="114">
        <f t="shared" si="4"/>
        <v>160.9476309760885</v>
      </c>
      <c r="AL22" s="114">
        <f t="shared" si="4"/>
        <v>160.9476309760885</v>
      </c>
      <c r="AM22" s="114">
        <f t="shared" si="4"/>
        <v>160.9476309760885</v>
      </c>
      <c r="AN22" s="114">
        <f t="shared" si="4"/>
        <v>160.9476309760885</v>
      </c>
      <c r="AO22" s="114">
        <f t="shared" si="4"/>
        <v>128.75810478087078</v>
      </c>
      <c r="AP22" s="114">
        <f t="shared" si="4"/>
        <v>128.75810478087078</v>
      </c>
      <c r="AQ22" s="114">
        <f t="shared" si="4"/>
        <v>128.75810478087078</v>
      </c>
      <c r="AR22" s="114">
        <f t="shared" si="4"/>
        <v>128.75810478087078</v>
      </c>
      <c r="AS22" s="114">
        <f t="shared" si="4"/>
        <v>160.9476309760885</v>
      </c>
      <c r="AT22" s="114">
        <f t="shared" si="4"/>
        <v>160.9476309760885</v>
      </c>
      <c r="AU22" s="114">
        <f t="shared" si="4"/>
        <v>160.9476309760885</v>
      </c>
      <c r="AV22" s="114">
        <f t="shared" si="4"/>
        <v>0</v>
      </c>
      <c r="AW22" s="114">
        <f t="shared" si="4"/>
        <v>200.65585459733455</v>
      </c>
      <c r="AX22" s="114">
        <f t="shared" si="4"/>
        <v>160.9476309760885</v>
      </c>
      <c r="AY22" s="114">
        <f t="shared" si="4"/>
        <v>160.9476309760885</v>
      </c>
      <c r="AZ22" s="141">
        <f t="shared" ref="AZ22:AZ30" si="5">SUM($D22:$AY22)</f>
        <v>7393.9575909829382</v>
      </c>
    </row>
    <row r="23" spans="1:52">
      <c r="A23" s="160" t="s">
        <v>307</v>
      </c>
      <c r="B23" s="124">
        <v>2000</v>
      </c>
      <c r="C23" s="100" t="s">
        <v>293</v>
      </c>
      <c r="D23" s="100">
        <f>D$21*$B$23</f>
        <v>798688.29080533085</v>
      </c>
      <c r="E23" s="100">
        <f t="shared" ref="E23:AY23" si="6">E$21*$B$23</f>
        <v>640634.12727936835</v>
      </c>
      <c r="F23" s="100">
        <f t="shared" si="6"/>
        <v>640634.12727936835</v>
      </c>
      <c r="G23" s="100">
        <f t="shared" si="6"/>
        <v>640634.12727936835</v>
      </c>
      <c r="H23" s="100">
        <f t="shared" si="6"/>
        <v>640634.12727936835</v>
      </c>
      <c r="I23" s="100">
        <f t="shared" si="6"/>
        <v>640634.12727936835</v>
      </c>
      <c r="J23" s="100">
        <f t="shared" si="6"/>
        <v>640634.12727936835</v>
      </c>
      <c r="K23" s="100">
        <f t="shared" si="6"/>
        <v>640634.12727936835</v>
      </c>
      <c r="L23" s="100">
        <f t="shared" si="6"/>
        <v>0</v>
      </c>
      <c r="M23" s="100">
        <f t="shared" si="6"/>
        <v>798688.29080533085</v>
      </c>
      <c r="N23" s="100">
        <f t="shared" si="6"/>
        <v>640634.12727936835</v>
      </c>
      <c r="O23" s="100">
        <f t="shared" si="6"/>
        <v>640634.12727936835</v>
      </c>
      <c r="P23" s="100">
        <f t="shared" si="6"/>
        <v>640634.12727936835</v>
      </c>
      <c r="Q23" s="100">
        <f t="shared" si="6"/>
        <v>640634.12727936835</v>
      </c>
      <c r="R23" s="100">
        <f t="shared" si="6"/>
        <v>640634.12727936835</v>
      </c>
      <c r="S23" s="100">
        <f t="shared" si="6"/>
        <v>640634.12727936835</v>
      </c>
      <c r="T23" s="100">
        <f t="shared" si="6"/>
        <v>640634.12727936835</v>
      </c>
      <c r="U23" s="100">
        <f t="shared" si="6"/>
        <v>640634.12727936835</v>
      </c>
      <c r="V23" s="100">
        <f t="shared" si="6"/>
        <v>640634.12727936835</v>
      </c>
      <c r="W23" s="100">
        <f t="shared" si="6"/>
        <v>640634.12727936835</v>
      </c>
      <c r="X23" s="100">
        <f t="shared" si="6"/>
        <v>640634.12727936835</v>
      </c>
      <c r="Y23" s="100">
        <f t="shared" si="6"/>
        <v>640634.12727936835</v>
      </c>
      <c r="Z23" s="100">
        <f t="shared" si="6"/>
        <v>640634.12727936835</v>
      </c>
      <c r="AA23" s="100">
        <f t="shared" si="6"/>
        <v>640634.12727936835</v>
      </c>
      <c r="AB23" s="100">
        <f t="shared" si="6"/>
        <v>640634.12727936835</v>
      </c>
      <c r="AC23" s="100">
        <f t="shared" si="6"/>
        <v>640634.12727936835</v>
      </c>
      <c r="AD23" s="100">
        <f t="shared" si="6"/>
        <v>640634.12727936835</v>
      </c>
      <c r="AE23" s="100">
        <f t="shared" si="6"/>
        <v>640634.12727936835</v>
      </c>
      <c r="AF23" s="100">
        <f t="shared" si="6"/>
        <v>640634.12727936835</v>
      </c>
      <c r="AG23" s="100">
        <f t="shared" si="6"/>
        <v>640634.12727936835</v>
      </c>
      <c r="AH23" s="100">
        <f t="shared" si="6"/>
        <v>640634.12727936835</v>
      </c>
      <c r="AI23" s="100">
        <f t="shared" si="6"/>
        <v>640634.12727936835</v>
      </c>
      <c r="AJ23" s="100">
        <f t="shared" si="6"/>
        <v>640634.12727936835</v>
      </c>
      <c r="AK23" s="100">
        <f t="shared" si="6"/>
        <v>640634.12727936835</v>
      </c>
      <c r="AL23" s="100">
        <f t="shared" si="6"/>
        <v>640634.12727936835</v>
      </c>
      <c r="AM23" s="100">
        <f t="shared" si="6"/>
        <v>640634.12727936835</v>
      </c>
      <c r="AN23" s="100">
        <f t="shared" si="6"/>
        <v>640634.12727936835</v>
      </c>
      <c r="AO23" s="100">
        <f t="shared" si="6"/>
        <v>512507.30182349466</v>
      </c>
      <c r="AP23" s="100">
        <f t="shared" si="6"/>
        <v>512507.30182349466</v>
      </c>
      <c r="AQ23" s="100">
        <f t="shared" si="6"/>
        <v>512507.30182349466</v>
      </c>
      <c r="AR23" s="100">
        <f t="shared" si="6"/>
        <v>512507.30182349466</v>
      </c>
      <c r="AS23" s="100">
        <f t="shared" si="6"/>
        <v>640634.12727936835</v>
      </c>
      <c r="AT23" s="100">
        <f t="shared" si="6"/>
        <v>640634.12727936835</v>
      </c>
      <c r="AU23" s="100">
        <f t="shared" si="6"/>
        <v>640634.12727936835</v>
      </c>
      <c r="AV23" s="100">
        <f t="shared" si="6"/>
        <v>0</v>
      </c>
      <c r="AW23" s="100">
        <f t="shared" si="6"/>
        <v>798688.29080533085</v>
      </c>
      <c r="AX23" s="100">
        <f t="shared" si="6"/>
        <v>640634.12727936835</v>
      </c>
      <c r="AY23" s="100">
        <f t="shared" si="6"/>
        <v>640634.12727936835</v>
      </c>
      <c r="AZ23" s="139">
        <f t="shared" si="5"/>
        <v>29430825.043605324</v>
      </c>
    </row>
    <row r="24" spans="1:52" s="110" customFormat="1">
      <c r="A24" s="161" t="s">
        <v>308</v>
      </c>
      <c r="B24" s="162">
        <v>1000</v>
      </c>
      <c r="C24" s="156" t="s">
        <v>293</v>
      </c>
      <c r="D24" s="106">
        <f>D$22*$B$24</f>
        <v>200655.85459733455</v>
      </c>
      <c r="E24" s="106">
        <f t="shared" ref="E24:AY24" si="7">E$22*$B$24</f>
        <v>160947.63097608849</v>
      </c>
      <c r="F24" s="106">
        <f t="shared" si="7"/>
        <v>160947.63097608849</v>
      </c>
      <c r="G24" s="106">
        <f t="shared" si="7"/>
        <v>160947.63097608849</v>
      </c>
      <c r="H24" s="106">
        <f t="shared" si="7"/>
        <v>160947.63097608849</v>
      </c>
      <c r="I24" s="106">
        <f t="shared" si="7"/>
        <v>160947.63097608849</v>
      </c>
      <c r="J24" s="106">
        <f t="shared" si="7"/>
        <v>160947.63097608849</v>
      </c>
      <c r="K24" s="106">
        <f t="shared" si="7"/>
        <v>160947.63097608849</v>
      </c>
      <c r="L24" s="106">
        <f t="shared" si="7"/>
        <v>0</v>
      </c>
      <c r="M24" s="106">
        <f t="shared" si="7"/>
        <v>200655.85459733455</v>
      </c>
      <c r="N24" s="106">
        <f t="shared" si="7"/>
        <v>160947.63097608849</v>
      </c>
      <c r="O24" s="106">
        <f t="shared" si="7"/>
        <v>160947.63097608849</v>
      </c>
      <c r="P24" s="106">
        <f t="shared" si="7"/>
        <v>160947.63097608849</v>
      </c>
      <c r="Q24" s="106">
        <f t="shared" si="7"/>
        <v>160947.63097608849</v>
      </c>
      <c r="R24" s="106">
        <f t="shared" si="7"/>
        <v>160947.63097608849</v>
      </c>
      <c r="S24" s="106">
        <f t="shared" si="7"/>
        <v>160947.63097608849</v>
      </c>
      <c r="T24" s="106">
        <f t="shared" si="7"/>
        <v>160947.63097608849</v>
      </c>
      <c r="U24" s="106">
        <f t="shared" si="7"/>
        <v>160947.63097608849</v>
      </c>
      <c r="V24" s="106">
        <f t="shared" si="7"/>
        <v>160947.63097608849</v>
      </c>
      <c r="W24" s="106">
        <f t="shared" si="7"/>
        <v>160947.63097608849</v>
      </c>
      <c r="X24" s="106">
        <f t="shared" si="7"/>
        <v>160947.63097608849</v>
      </c>
      <c r="Y24" s="106">
        <f t="shared" si="7"/>
        <v>160947.63097608849</v>
      </c>
      <c r="Z24" s="106">
        <f t="shared" si="7"/>
        <v>160947.63097608849</v>
      </c>
      <c r="AA24" s="106">
        <f t="shared" si="7"/>
        <v>160947.63097608849</v>
      </c>
      <c r="AB24" s="106">
        <f t="shared" si="7"/>
        <v>160947.63097608849</v>
      </c>
      <c r="AC24" s="106">
        <f t="shared" si="7"/>
        <v>160947.63097608849</v>
      </c>
      <c r="AD24" s="106">
        <f t="shared" si="7"/>
        <v>160947.63097608849</v>
      </c>
      <c r="AE24" s="106">
        <f t="shared" si="7"/>
        <v>160947.63097608849</v>
      </c>
      <c r="AF24" s="106">
        <f t="shared" si="7"/>
        <v>160947.63097608849</v>
      </c>
      <c r="AG24" s="106">
        <f t="shared" si="7"/>
        <v>160947.63097608849</v>
      </c>
      <c r="AH24" s="106">
        <f t="shared" si="7"/>
        <v>160947.63097608849</v>
      </c>
      <c r="AI24" s="106">
        <f t="shared" si="7"/>
        <v>160947.63097608849</v>
      </c>
      <c r="AJ24" s="106">
        <f t="shared" si="7"/>
        <v>160947.63097608849</v>
      </c>
      <c r="AK24" s="106">
        <f t="shared" si="7"/>
        <v>160947.63097608849</v>
      </c>
      <c r="AL24" s="106">
        <f t="shared" si="7"/>
        <v>160947.63097608849</v>
      </c>
      <c r="AM24" s="106">
        <f t="shared" si="7"/>
        <v>160947.63097608849</v>
      </c>
      <c r="AN24" s="106">
        <f t="shared" si="7"/>
        <v>160947.63097608849</v>
      </c>
      <c r="AO24" s="106">
        <f t="shared" si="7"/>
        <v>128758.10478087078</v>
      </c>
      <c r="AP24" s="106">
        <f t="shared" si="7"/>
        <v>128758.10478087078</v>
      </c>
      <c r="AQ24" s="106">
        <f t="shared" si="7"/>
        <v>128758.10478087078</v>
      </c>
      <c r="AR24" s="106">
        <f t="shared" si="7"/>
        <v>128758.10478087078</v>
      </c>
      <c r="AS24" s="106">
        <f t="shared" si="7"/>
        <v>160947.63097608849</v>
      </c>
      <c r="AT24" s="106">
        <f t="shared" si="7"/>
        <v>160947.63097608849</v>
      </c>
      <c r="AU24" s="106">
        <f t="shared" si="7"/>
        <v>160947.63097608849</v>
      </c>
      <c r="AV24" s="106">
        <f t="shared" si="7"/>
        <v>0</v>
      </c>
      <c r="AW24" s="106">
        <f t="shared" si="7"/>
        <v>200655.85459733455</v>
      </c>
      <c r="AX24" s="106">
        <f t="shared" si="7"/>
        <v>160947.63097608849</v>
      </c>
      <c r="AY24" s="106">
        <f t="shared" si="7"/>
        <v>160947.63097608849</v>
      </c>
      <c r="AZ24" s="141">
        <f t="shared" si="5"/>
        <v>7393957.5909829335</v>
      </c>
    </row>
    <row r="25" spans="1:52">
      <c r="C25" s="138"/>
      <c r="D25" s="138"/>
      <c r="E25" s="138"/>
      <c r="F25" s="138"/>
      <c r="G25" s="138"/>
      <c r="H25" s="138"/>
      <c r="I25" s="138"/>
      <c r="J25" s="138"/>
      <c r="K25" s="138"/>
      <c r="L25" s="138"/>
      <c r="M25" s="138"/>
      <c r="N25" s="138"/>
      <c r="O25" s="138"/>
      <c r="P25" s="138"/>
      <c r="Q25" s="138"/>
      <c r="R25" s="138"/>
      <c r="S25" s="138"/>
      <c r="T25" s="138"/>
      <c r="U25" s="138"/>
      <c r="V25" s="138"/>
      <c r="W25" s="138"/>
      <c r="X25" s="138"/>
      <c r="Y25" s="138"/>
      <c r="Z25" s="138"/>
      <c r="AA25" s="138"/>
      <c r="AB25" s="138"/>
      <c r="AC25" s="138"/>
      <c r="AD25" s="138"/>
      <c r="AE25" s="138"/>
      <c r="AF25" s="138"/>
      <c r="AG25" s="138"/>
      <c r="AH25" s="138"/>
      <c r="AI25" s="138"/>
      <c r="AJ25" s="138"/>
      <c r="AK25" s="138"/>
      <c r="AL25" s="138"/>
      <c r="AM25" s="138"/>
      <c r="AN25" s="138"/>
      <c r="AO25" s="138"/>
      <c r="AP25" s="138"/>
      <c r="AQ25" s="138"/>
      <c r="AR25" s="138"/>
      <c r="AS25" s="138"/>
      <c r="AT25" s="138"/>
      <c r="AU25" s="138"/>
      <c r="AV25" s="138"/>
      <c r="AW25" s="138"/>
      <c r="AX25" s="138"/>
      <c r="AY25" s="138"/>
      <c r="AZ25" s="106"/>
    </row>
    <row r="26" spans="1:52">
      <c r="A26" s="163" t="s">
        <v>18</v>
      </c>
      <c r="C26" s="106"/>
      <c r="D26" s="106"/>
      <c r="E26" s="106"/>
      <c r="F26" s="106"/>
      <c r="G26" s="106"/>
      <c r="H26" s="106"/>
      <c r="I26" s="106"/>
      <c r="J26" s="106"/>
      <c r="K26" s="106"/>
      <c r="L26" s="106"/>
      <c r="M26" s="106"/>
      <c r="N26" s="106"/>
      <c r="O26" s="106"/>
      <c r="P26" s="106"/>
      <c r="Q26" s="106"/>
      <c r="R26" s="106"/>
      <c r="S26" s="106"/>
      <c r="T26" s="106"/>
      <c r="U26" s="106"/>
      <c r="V26" s="106"/>
      <c r="W26" s="106"/>
      <c r="X26" s="106"/>
      <c r="Y26" s="106"/>
      <c r="Z26" s="106"/>
      <c r="AA26" s="106"/>
      <c r="AB26" s="106"/>
      <c r="AC26" s="106"/>
      <c r="AD26" s="106"/>
      <c r="AE26" s="106"/>
      <c r="AF26" s="106"/>
      <c r="AG26" s="106"/>
      <c r="AH26" s="106"/>
      <c r="AI26" s="106"/>
      <c r="AJ26" s="106"/>
      <c r="AK26" s="106"/>
      <c r="AL26" s="106"/>
      <c r="AM26" s="106"/>
      <c r="AN26" s="106"/>
      <c r="AO26" s="106"/>
      <c r="AP26" s="106"/>
      <c r="AQ26" s="106"/>
      <c r="AR26" s="106"/>
      <c r="AS26" s="106"/>
      <c r="AT26" s="106"/>
      <c r="AU26" s="106"/>
      <c r="AV26" s="106"/>
      <c r="AW26" s="106"/>
      <c r="AX26" s="106"/>
      <c r="AY26" s="106"/>
      <c r="AZ26" s="106"/>
    </row>
    <row r="27" spans="1:52">
      <c r="B27" s="135" t="s">
        <v>309</v>
      </c>
      <c r="C27" s="124">
        <v>1</v>
      </c>
      <c r="D27" s="124">
        <f>C$27-C$28+C$29</f>
        <v>21</v>
      </c>
      <c r="E27" s="124">
        <f t="shared" ref="E27:AY27" si="8">D27-D28+D29</f>
        <v>1</v>
      </c>
      <c r="F27" s="124">
        <f t="shared" si="8"/>
        <v>21</v>
      </c>
      <c r="G27" s="124">
        <f t="shared" si="8"/>
        <v>5</v>
      </c>
      <c r="H27" s="124">
        <f t="shared" si="8"/>
        <v>17</v>
      </c>
      <c r="I27" s="124">
        <f t="shared" si="8"/>
        <v>5</v>
      </c>
      <c r="J27" s="124">
        <f t="shared" si="8"/>
        <v>17</v>
      </c>
      <c r="K27" s="124">
        <f t="shared" si="8"/>
        <v>5</v>
      </c>
      <c r="L27" s="124">
        <f t="shared" si="8"/>
        <v>17</v>
      </c>
      <c r="M27" s="124">
        <f t="shared" si="8"/>
        <v>22</v>
      </c>
      <c r="N27" s="124">
        <f t="shared" si="8"/>
        <v>1</v>
      </c>
      <c r="O27" s="124">
        <f t="shared" si="8"/>
        <v>21</v>
      </c>
      <c r="P27" s="124">
        <f t="shared" si="8"/>
        <v>5</v>
      </c>
      <c r="Q27" s="124">
        <f t="shared" si="8"/>
        <v>17</v>
      </c>
      <c r="R27" s="124">
        <f t="shared" si="8"/>
        <v>5</v>
      </c>
      <c r="S27" s="124">
        <f t="shared" si="8"/>
        <v>17</v>
      </c>
      <c r="T27" s="124">
        <f t="shared" si="8"/>
        <v>5</v>
      </c>
      <c r="U27" s="124">
        <f t="shared" si="8"/>
        <v>17</v>
      </c>
      <c r="V27" s="124">
        <f t="shared" si="8"/>
        <v>5</v>
      </c>
      <c r="W27" s="124">
        <f t="shared" si="8"/>
        <v>17</v>
      </c>
      <c r="X27" s="124">
        <f t="shared" si="8"/>
        <v>5</v>
      </c>
      <c r="Y27" s="124">
        <f t="shared" si="8"/>
        <v>17</v>
      </c>
      <c r="Z27" s="124">
        <f t="shared" si="8"/>
        <v>5</v>
      </c>
      <c r="AA27" s="124">
        <f t="shared" si="8"/>
        <v>17</v>
      </c>
      <c r="AB27" s="124">
        <f t="shared" si="8"/>
        <v>5</v>
      </c>
      <c r="AC27" s="124">
        <f t="shared" si="8"/>
        <v>17</v>
      </c>
      <c r="AD27" s="124">
        <f t="shared" si="8"/>
        <v>5</v>
      </c>
      <c r="AE27" s="124">
        <f t="shared" si="8"/>
        <v>17</v>
      </c>
      <c r="AF27" s="124">
        <f t="shared" si="8"/>
        <v>5</v>
      </c>
      <c r="AG27" s="124">
        <f t="shared" si="8"/>
        <v>17</v>
      </c>
      <c r="AH27" s="124">
        <f t="shared" si="8"/>
        <v>5</v>
      </c>
      <c r="AI27" s="124">
        <f t="shared" si="8"/>
        <v>17</v>
      </c>
      <c r="AJ27" s="124">
        <f t="shared" si="8"/>
        <v>5</v>
      </c>
      <c r="AK27" s="124">
        <f t="shared" si="8"/>
        <v>17</v>
      </c>
      <c r="AL27" s="124">
        <f t="shared" si="8"/>
        <v>5</v>
      </c>
      <c r="AM27" s="124">
        <f t="shared" si="8"/>
        <v>17</v>
      </c>
      <c r="AN27" s="124">
        <f t="shared" si="8"/>
        <v>5</v>
      </c>
      <c r="AO27" s="124">
        <f t="shared" si="8"/>
        <v>17</v>
      </c>
      <c r="AP27" s="124">
        <f t="shared" si="8"/>
        <v>8</v>
      </c>
      <c r="AQ27" s="124">
        <f t="shared" si="8"/>
        <v>14</v>
      </c>
      <c r="AR27" s="124">
        <f t="shared" si="8"/>
        <v>8</v>
      </c>
      <c r="AS27" s="124">
        <f t="shared" si="8"/>
        <v>14</v>
      </c>
      <c r="AT27" s="124">
        <f t="shared" si="8"/>
        <v>8</v>
      </c>
      <c r="AU27" s="124">
        <f t="shared" si="8"/>
        <v>14</v>
      </c>
      <c r="AV27" s="124">
        <f t="shared" si="8"/>
        <v>8</v>
      </c>
      <c r="AW27" s="124">
        <f t="shared" si="8"/>
        <v>22</v>
      </c>
      <c r="AX27" s="124">
        <f t="shared" si="8"/>
        <v>1</v>
      </c>
      <c r="AY27" s="164">
        <f t="shared" si="8"/>
        <v>21</v>
      </c>
      <c r="AZ27" s="106"/>
    </row>
    <row r="28" spans="1:52">
      <c r="B28" s="165" t="s">
        <v>310</v>
      </c>
      <c r="C28" s="110">
        <v>1</v>
      </c>
      <c r="D28" s="110">
        <v>21</v>
      </c>
      <c r="E28" s="110">
        <v>1</v>
      </c>
      <c r="F28" s="110">
        <v>17</v>
      </c>
      <c r="G28" s="110">
        <v>5</v>
      </c>
      <c r="H28" s="110">
        <v>17</v>
      </c>
      <c r="I28" s="110">
        <v>5</v>
      </c>
      <c r="J28" s="110">
        <v>17</v>
      </c>
      <c r="K28" s="110">
        <v>5</v>
      </c>
      <c r="L28" s="110">
        <v>0</v>
      </c>
      <c r="M28" s="110">
        <v>21</v>
      </c>
      <c r="N28" s="110">
        <v>1</v>
      </c>
      <c r="O28" s="110">
        <v>17</v>
      </c>
      <c r="P28" s="110">
        <v>5</v>
      </c>
      <c r="Q28" s="110">
        <v>17</v>
      </c>
      <c r="R28" s="110">
        <v>5</v>
      </c>
      <c r="S28" s="110">
        <v>17</v>
      </c>
      <c r="T28" s="110">
        <v>5</v>
      </c>
      <c r="U28" s="110">
        <v>17</v>
      </c>
      <c r="V28" s="110">
        <v>5</v>
      </c>
      <c r="W28" s="110">
        <v>17</v>
      </c>
      <c r="X28" s="110">
        <v>5</v>
      </c>
      <c r="Y28" s="110">
        <v>17</v>
      </c>
      <c r="Z28" s="110">
        <v>5</v>
      </c>
      <c r="AA28" s="110">
        <v>17</v>
      </c>
      <c r="AB28" s="110">
        <v>5</v>
      </c>
      <c r="AC28" s="110">
        <v>17</v>
      </c>
      <c r="AD28" s="110">
        <v>5</v>
      </c>
      <c r="AE28" s="110">
        <v>17</v>
      </c>
      <c r="AF28" s="110">
        <v>5</v>
      </c>
      <c r="AG28" s="110">
        <v>17</v>
      </c>
      <c r="AH28" s="110">
        <v>5</v>
      </c>
      <c r="AI28" s="110">
        <v>17</v>
      </c>
      <c r="AJ28" s="110">
        <v>5</v>
      </c>
      <c r="AK28" s="110">
        <v>17</v>
      </c>
      <c r="AL28" s="110">
        <v>5</v>
      </c>
      <c r="AM28" s="110">
        <v>17</v>
      </c>
      <c r="AN28" s="110">
        <v>5</v>
      </c>
      <c r="AO28" s="110">
        <v>14</v>
      </c>
      <c r="AP28" s="110">
        <v>8</v>
      </c>
      <c r="AQ28" s="110">
        <v>14</v>
      </c>
      <c r="AR28" s="110">
        <v>8</v>
      </c>
      <c r="AS28" s="110">
        <v>14</v>
      </c>
      <c r="AT28" s="110">
        <v>8</v>
      </c>
      <c r="AU28" s="110">
        <v>14</v>
      </c>
      <c r="AV28" s="110">
        <v>0</v>
      </c>
      <c r="AW28" s="110">
        <v>21</v>
      </c>
      <c r="AX28" s="110">
        <v>1</v>
      </c>
      <c r="AY28" s="166">
        <v>17</v>
      </c>
      <c r="AZ28" s="106"/>
    </row>
    <row r="29" spans="1:52">
      <c r="B29" s="136" t="s">
        <v>311</v>
      </c>
      <c r="C29" s="125">
        <v>21</v>
      </c>
      <c r="D29" s="125">
        <f>C$28</f>
        <v>1</v>
      </c>
      <c r="E29" s="125">
        <f t="shared" ref="E29:AY29" si="9">D$28</f>
        <v>21</v>
      </c>
      <c r="F29" s="125">
        <f t="shared" si="9"/>
        <v>1</v>
      </c>
      <c r="G29" s="125">
        <f t="shared" si="9"/>
        <v>17</v>
      </c>
      <c r="H29" s="125">
        <f t="shared" si="9"/>
        <v>5</v>
      </c>
      <c r="I29" s="125">
        <f t="shared" si="9"/>
        <v>17</v>
      </c>
      <c r="J29" s="125">
        <f t="shared" si="9"/>
        <v>5</v>
      </c>
      <c r="K29" s="125">
        <f t="shared" si="9"/>
        <v>17</v>
      </c>
      <c r="L29" s="125">
        <f t="shared" si="9"/>
        <v>5</v>
      </c>
      <c r="M29" s="125">
        <f t="shared" si="9"/>
        <v>0</v>
      </c>
      <c r="N29" s="125">
        <f t="shared" si="9"/>
        <v>21</v>
      </c>
      <c r="O29" s="125">
        <f t="shared" si="9"/>
        <v>1</v>
      </c>
      <c r="P29" s="125">
        <f t="shared" si="9"/>
        <v>17</v>
      </c>
      <c r="Q29" s="125">
        <f t="shared" si="9"/>
        <v>5</v>
      </c>
      <c r="R29" s="125">
        <f t="shared" si="9"/>
        <v>17</v>
      </c>
      <c r="S29" s="125">
        <f t="shared" si="9"/>
        <v>5</v>
      </c>
      <c r="T29" s="125">
        <f t="shared" si="9"/>
        <v>17</v>
      </c>
      <c r="U29" s="125">
        <f t="shared" si="9"/>
        <v>5</v>
      </c>
      <c r="V29" s="125">
        <f t="shared" si="9"/>
        <v>17</v>
      </c>
      <c r="W29" s="125">
        <f t="shared" si="9"/>
        <v>5</v>
      </c>
      <c r="X29" s="125">
        <f t="shared" si="9"/>
        <v>17</v>
      </c>
      <c r="Y29" s="125">
        <f t="shared" si="9"/>
        <v>5</v>
      </c>
      <c r="Z29" s="125">
        <f t="shared" si="9"/>
        <v>17</v>
      </c>
      <c r="AA29" s="125">
        <f t="shared" si="9"/>
        <v>5</v>
      </c>
      <c r="AB29" s="125">
        <f t="shared" si="9"/>
        <v>17</v>
      </c>
      <c r="AC29" s="125">
        <f t="shared" si="9"/>
        <v>5</v>
      </c>
      <c r="AD29" s="125">
        <f t="shared" si="9"/>
        <v>17</v>
      </c>
      <c r="AE29" s="125">
        <f t="shared" si="9"/>
        <v>5</v>
      </c>
      <c r="AF29" s="125">
        <f t="shared" si="9"/>
        <v>17</v>
      </c>
      <c r="AG29" s="125">
        <f t="shared" si="9"/>
        <v>5</v>
      </c>
      <c r="AH29" s="125">
        <f t="shared" si="9"/>
        <v>17</v>
      </c>
      <c r="AI29" s="125">
        <f t="shared" si="9"/>
        <v>5</v>
      </c>
      <c r="AJ29" s="125">
        <f t="shared" si="9"/>
        <v>17</v>
      </c>
      <c r="AK29" s="125">
        <f t="shared" si="9"/>
        <v>5</v>
      </c>
      <c r="AL29" s="125">
        <f t="shared" si="9"/>
        <v>17</v>
      </c>
      <c r="AM29" s="125">
        <f t="shared" si="9"/>
        <v>5</v>
      </c>
      <c r="AN29" s="125">
        <f t="shared" si="9"/>
        <v>17</v>
      </c>
      <c r="AO29" s="125">
        <f t="shared" si="9"/>
        <v>5</v>
      </c>
      <c r="AP29" s="125">
        <f t="shared" si="9"/>
        <v>14</v>
      </c>
      <c r="AQ29" s="125">
        <f t="shared" si="9"/>
        <v>8</v>
      </c>
      <c r="AR29" s="125">
        <f t="shared" si="9"/>
        <v>14</v>
      </c>
      <c r="AS29" s="125">
        <f t="shared" si="9"/>
        <v>8</v>
      </c>
      <c r="AT29" s="125">
        <f t="shared" si="9"/>
        <v>14</v>
      </c>
      <c r="AU29" s="125">
        <f t="shared" si="9"/>
        <v>8</v>
      </c>
      <c r="AV29" s="125">
        <f t="shared" si="9"/>
        <v>14</v>
      </c>
      <c r="AW29" s="125">
        <f t="shared" si="9"/>
        <v>0</v>
      </c>
      <c r="AX29" s="125">
        <f t="shared" si="9"/>
        <v>21</v>
      </c>
      <c r="AY29" s="167">
        <f t="shared" si="9"/>
        <v>1</v>
      </c>
      <c r="AZ29" s="168"/>
    </row>
    <row r="30" spans="1:52">
      <c r="A30" s="169" t="s">
        <v>312</v>
      </c>
      <c r="B30" s="144">
        <v>10</v>
      </c>
      <c r="C30" s="117" t="s">
        <v>293</v>
      </c>
      <c r="D30" s="117">
        <f>D$27*$B$30</f>
        <v>210</v>
      </c>
      <c r="E30" s="117">
        <f t="shared" ref="E30:AY30" si="10">E$27*$B$30</f>
        <v>10</v>
      </c>
      <c r="F30" s="117">
        <f t="shared" si="10"/>
        <v>210</v>
      </c>
      <c r="G30" s="117">
        <f t="shared" si="10"/>
        <v>50</v>
      </c>
      <c r="H30" s="117">
        <f t="shared" si="10"/>
        <v>170</v>
      </c>
      <c r="I30" s="117">
        <f t="shared" si="10"/>
        <v>50</v>
      </c>
      <c r="J30" s="117">
        <f t="shared" si="10"/>
        <v>170</v>
      </c>
      <c r="K30" s="117">
        <f t="shared" si="10"/>
        <v>50</v>
      </c>
      <c r="L30" s="117">
        <f t="shared" si="10"/>
        <v>170</v>
      </c>
      <c r="M30" s="117">
        <f t="shared" si="10"/>
        <v>220</v>
      </c>
      <c r="N30" s="117">
        <f t="shared" si="10"/>
        <v>10</v>
      </c>
      <c r="O30" s="117">
        <f t="shared" si="10"/>
        <v>210</v>
      </c>
      <c r="P30" s="117">
        <f t="shared" si="10"/>
        <v>50</v>
      </c>
      <c r="Q30" s="117">
        <f t="shared" si="10"/>
        <v>170</v>
      </c>
      <c r="R30" s="117">
        <f>R$27*$B$30</f>
        <v>50</v>
      </c>
      <c r="S30" s="117">
        <f t="shared" si="10"/>
        <v>170</v>
      </c>
      <c r="T30" s="117">
        <f t="shared" si="10"/>
        <v>50</v>
      </c>
      <c r="U30" s="117">
        <f t="shared" si="10"/>
        <v>170</v>
      </c>
      <c r="V30" s="117">
        <f t="shared" si="10"/>
        <v>50</v>
      </c>
      <c r="W30" s="117">
        <f t="shared" si="10"/>
        <v>170</v>
      </c>
      <c r="X30" s="117">
        <f t="shared" si="10"/>
        <v>50</v>
      </c>
      <c r="Y30" s="117">
        <f t="shared" si="10"/>
        <v>170</v>
      </c>
      <c r="Z30" s="117">
        <f t="shared" si="10"/>
        <v>50</v>
      </c>
      <c r="AA30" s="117">
        <f t="shared" si="10"/>
        <v>170</v>
      </c>
      <c r="AB30" s="117">
        <f t="shared" si="10"/>
        <v>50</v>
      </c>
      <c r="AC30" s="117">
        <f t="shared" si="10"/>
        <v>170</v>
      </c>
      <c r="AD30" s="117">
        <f t="shared" si="10"/>
        <v>50</v>
      </c>
      <c r="AE30" s="117">
        <f>AE$27*$B$30</f>
        <v>170</v>
      </c>
      <c r="AF30" s="117">
        <f t="shared" si="10"/>
        <v>50</v>
      </c>
      <c r="AG30" s="117">
        <f t="shared" si="10"/>
        <v>170</v>
      </c>
      <c r="AH30" s="117">
        <f t="shared" si="10"/>
        <v>50</v>
      </c>
      <c r="AI30" s="117">
        <f t="shared" si="10"/>
        <v>170</v>
      </c>
      <c r="AJ30" s="117">
        <f t="shared" si="10"/>
        <v>50</v>
      </c>
      <c r="AK30" s="117">
        <f t="shared" si="10"/>
        <v>170</v>
      </c>
      <c r="AL30" s="117">
        <f t="shared" si="10"/>
        <v>50</v>
      </c>
      <c r="AM30" s="117">
        <f t="shared" si="10"/>
        <v>170</v>
      </c>
      <c r="AN30" s="117">
        <f t="shared" si="10"/>
        <v>50</v>
      </c>
      <c r="AO30" s="117">
        <f t="shared" si="10"/>
        <v>170</v>
      </c>
      <c r="AP30" s="117">
        <f t="shared" si="10"/>
        <v>80</v>
      </c>
      <c r="AQ30" s="117">
        <f t="shared" si="10"/>
        <v>140</v>
      </c>
      <c r="AR30" s="117">
        <f t="shared" si="10"/>
        <v>80</v>
      </c>
      <c r="AS30" s="117">
        <f t="shared" si="10"/>
        <v>140</v>
      </c>
      <c r="AT30" s="117">
        <f t="shared" si="10"/>
        <v>80</v>
      </c>
      <c r="AU30" s="117">
        <f t="shared" si="10"/>
        <v>140</v>
      </c>
      <c r="AV30" s="117">
        <f t="shared" si="10"/>
        <v>80</v>
      </c>
      <c r="AW30" s="117">
        <f t="shared" si="10"/>
        <v>220</v>
      </c>
      <c r="AX30" s="117">
        <f t="shared" si="10"/>
        <v>10</v>
      </c>
      <c r="AY30" s="117">
        <f t="shared" si="10"/>
        <v>210</v>
      </c>
      <c r="AZ30" s="141">
        <f t="shared" si="5"/>
        <v>5570</v>
      </c>
    </row>
    <row r="32" spans="1:52">
      <c r="A32" s="102" t="s">
        <v>300</v>
      </c>
    </row>
    <row r="33" spans="1:52">
      <c r="A33" s="135" t="s">
        <v>22</v>
      </c>
      <c r="B33" s="135" t="s">
        <v>341</v>
      </c>
      <c r="C33" s="124"/>
      <c r="D33" s="124">
        <f>D$21*shipping_manufacturing!$D$27/100</f>
        <v>210.91534508693596</v>
      </c>
      <c r="E33" s="124">
        <f>E$21*shipping_manufacturing!$D$27/100</f>
        <v>169.17684857174092</v>
      </c>
      <c r="F33" s="124">
        <f>F$21*shipping_manufacturing!$D$27/100</f>
        <v>169.17684857174092</v>
      </c>
      <c r="G33" s="124">
        <f>G$21*shipping_manufacturing!$D$27/100</f>
        <v>169.17684857174092</v>
      </c>
      <c r="H33" s="124">
        <f>H$21*shipping_manufacturing!$D$27/100</f>
        <v>169.17684857174092</v>
      </c>
      <c r="I33" s="124">
        <f>I$21*shipping_manufacturing!$D$27/100</f>
        <v>169.17684857174092</v>
      </c>
      <c r="J33" s="124">
        <f>J$21*shipping_manufacturing!$D$27/100</f>
        <v>169.17684857174092</v>
      </c>
      <c r="K33" s="124">
        <f>K$21*shipping_manufacturing!$D$27/100</f>
        <v>169.17684857174092</v>
      </c>
      <c r="L33" s="124">
        <f>L$21*shipping_manufacturing!$D$27/100</f>
        <v>0</v>
      </c>
      <c r="M33" s="124">
        <f>M$21*shipping_manufacturing!$D$27/100</f>
        <v>210.91534508693596</v>
      </c>
      <c r="N33" s="124">
        <f>N$21*shipping_manufacturing!$D$27/100</f>
        <v>169.17684857174092</v>
      </c>
      <c r="O33" s="124">
        <f>O$21*shipping_manufacturing!$D$27/100</f>
        <v>169.17684857174092</v>
      </c>
      <c r="P33" s="124">
        <f>P$21*shipping_manufacturing!$D$27/100</f>
        <v>169.17684857174092</v>
      </c>
      <c r="Q33" s="124">
        <f>Q$21*shipping_manufacturing!$D$27/100</f>
        <v>169.17684857174092</v>
      </c>
      <c r="R33" s="124">
        <f>R$21*shipping_manufacturing!$D$27/100</f>
        <v>169.17684857174092</v>
      </c>
      <c r="S33" s="124">
        <f>S$21*shipping_manufacturing!$D$27/100</f>
        <v>169.17684857174092</v>
      </c>
      <c r="T33" s="124">
        <f>T$21*shipping_manufacturing!$D$27/100</f>
        <v>169.17684857174092</v>
      </c>
      <c r="U33" s="124">
        <f>U$21*shipping_manufacturing!$D$27/100</f>
        <v>169.17684857174092</v>
      </c>
      <c r="V33" s="124">
        <f>V$21*shipping_manufacturing!$D$27/100</f>
        <v>169.17684857174092</v>
      </c>
      <c r="W33" s="124">
        <f>W$21*shipping_manufacturing!$D$27/100</f>
        <v>169.17684857174092</v>
      </c>
      <c r="X33" s="124">
        <f>X$21*shipping_manufacturing!$D$27/100</f>
        <v>169.17684857174092</v>
      </c>
      <c r="Y33" s="124">
        <f>Y$21*shipping_manufacturing!$D$27/100</f>
        <v>169.17684857174092</v>
      </c>
      <c r="Z33" s="124">
        <f>Z$21*shipping_manufacturing!$D$27/100</f>
        <v>169.17684857174092</v>
      </c>
      <c r="AA33" s="124">
        <f>AA$21*shipping_manufacturing!$D$27/100</f>
        <v>169.17684857174092</v>
      </c>
      <c r="AB33" s="124">
        <f>AB$21*shipping_manufacturing!$D$27/100</f>
        <v>169.17684857174092</v>
      </c>
      <c r="AC33" s="124">
        <f>AC$21*shipping_manufacturing!$D$27/100</f>
        <v>169.17684857174092</v>
      </c>
      <c r="AD33" s="124">
        <f>AD$21*shipping_manufacturing!$D$27/100</f>
        <v>169.17684857174092</v>
      </c>
      <c r="AE33" s="124">
        <f>AE$21*shipping_manufacturing!$D$27/100</f>
        <v>169.17684857174092</v>
      </c>
      <c r="AF33" s="124">
        <f>AF$21*shipping_manufacturing!$D$27/100</f>
        <v>169.17684857174092</v>
      </c>
      <c r="AG33" s="124">
        <f>AG$21*shipping_manufacturing!$D$27/100</f>
        <v>169.17684857174092</v>
      </c>
      <c r="AH33" s="124">
        <f>AH$21*shipping_manufacturing!$D$27/100</f>
        <v>169.17684857174092</v>
      </c>
      <c r="AI33" s="124">
        <f>AI$21*shipping_manufacturing!$D$27/100</f>
        <v>169.17684857174092</v>
      </c>
      <c r="AJ33" s="124">
        <f>AJ$21*shipping_manufacturing!$D$27/100</f>
        <v>169.17684857174092</v>
      </c>
      <c r="AK33" s="124">
        <f>AK$21*shipping_manufacturing!$D$27/100</f>
        <v>169.17684857174092</v>
      </c>
      <c r="AL33" s="124">
        <f>AL$21*shipping_manufacturing!$D$27/100</f>
        <v>169.17684857174092</v>
      </c>
      <c r="AM33" s="124">
        <f>AM$21*shipping_manufacturing!$D$27/100</f>
        <v>169.17684857174092</v>
      </c>
      <c r="AN33" s="124">
        <f>AN$21*shipping_manufacturing!$D$27/100</f>
        <v>169.17684857174092</v>
      </c>
      <c r="AO33" s="124">
        <f>AO$21*shipping_manufacturing!$D$27/100</f>
        <v>135.34147885739273</v>
      </c>
      <c r="AP33" s="124">
        <f>AP$21*shipping_manufacturing!$D$27/100</f>
        <v>135.34147885739273</v>
      </c>
      <c r="AQ33" s="124">
        <f>AQ$21*shipping_manufacturing!$D$27/100</f>
        <v>135.34147885739273</v>
      </c>
      <c r="AR33" s="124">
        <f>AR$21*shipping_manufacturing!$D$27/100</f>
        <v>135.34147885739273</v>
      </c>
      <c r="AS33" s="124">
        <f>AS$21*shipping_manufacturing!$D$27/100</f>
        <v>169.17684857174092</v>
      </c>
      <c r="AT33" s="124">
        <f>AT$21*shipping_manufacturing!$D$27/100</f>
        <v>169.17684857174092</v>
      </c>
      <c r="AU33" s="124">
        <f>AU$21*shipping_manufacturing!$D$27/100</f>
        <v>169.17684857174092</v>
      </c>
      <c r="AV33" s="124">
        <f>AV$21*shipping_manufacturing!$D$27/100</f>
        <v>0</v>
      </c>
      <c r="AW33" s="124">
        <f>AW$21*shipping_manufacturing!$D$27/100</f>
        <v>210.91534508693596</v>
      </c>
      <c r="AX33" s="124">
        <f>AX$21*shipping_manufacturing!$D$27/100</f>
        <v>169.17684857174092</v>
      </c>
      <c r="AY33" s="124">
        <f>AY$21*shipping_manufacturing!$D$27/100</f>
        <v>169.17684857174092</v>
      </c>
    </row>
    <row r="34" spans="1:52">
      <c r="A34" s="113" t="s">
        <v>340</v>
      </c>
      <c r="B34" s="165" t="s">
        <v>342</v>
      </c>
      <c r="C34" s="110"/>
      <c r="D34" s="110">
        <f>D$22*shipping_manufacturing!$E$27/100</f>
        <v>90.967694945847938</v>
      </c>
      <c r="E34" s="110">
        <f>E$22*shipping_manufacturing!$E$27/100</f>
        <v>72.965899880023798</v>
      </c>
      <c r="F34" s="110">
        <f>F$22*shipping_manufacturing!$E$27/100</f>
        <v>72.965899880023798</v>
      </c>
      <c r="G34" s="110">
        <f>G$22*shipping_manufacturing!$E$27/100</f>
        <v>72.965899880023798</v>
      </c>
      <c r="H34" s="110">
        <f>H$22*shipping_manufacturing!$E$27/100</f>
        <v>72.965899880023798</v>
      </c>
      <c r="I34" s="110">
        <f>I$22*shipping_manufacturing!$E$27/100</f>
        <v>72.965899880023798</v>
      </c>
      <c r="J34" s="110">
        <f>J$22*shipping_manufacturing!$E$27/100</f>
        <v>72.965899880023798</v>
      </c>
      <c r="K34" s="110">
        <f>K$22*shipping_manufacturing!$E$27/100</f>
        <v>72.965899880023798</v>
      </c>
      <c r="L34" s="110">
        <f>L$22*shipping_manufacturing!$E$27/100</f>
        <v>0</v>
      </c>
      <c r="M34" s="110">
        <f>M$22*shipping_manufacturing!$E$27/100</f>
        <v>90.967694945847938</v>
      </c>
      <c r="N34" s="110">
        <f>N$22*shipping_manufacturing!$E$27/100</f>
        <v>72.965899880023798</v>
      </c>
      <c r="O34" s="110">
        <f>O$22*shipping_manufacturing!$E$27/100</f>
        <v>72.965899880023798</v>
      </c>
      <c r="P34" s="110">
        <f>P$22*shipping_manufacturing!$E$27/100</f>
        <v>72.965899880023798</v>
      </c>
      <c r="Q34" s="110">
        <f>Q$22*shipping_manufacturing!$E$27/100</f>
        <v>72.965899880023798</v>
      </c>
      <c r="R34" s="110">
        <f>R$22*shipping_manufacturing!$E$27/100</f>
        <v>72.965899880023798</v>
      </c>
      <c r="S34" s="110">
        <f>S$22*shipping_manufacturing!$E$27/100</f>
        <v>72.965899880023798</v>
      </c>
      <c r="T34" s="110">
        <f>T$22*shipping_manufacturing!$E$27/100</f>
        <v>72.965899880023798</v>
      </c>
      <c r="U34" s="110">
        <f>U$22*shipping_manufacturing!$E$27/100</f>
        <v>72.965899880023798</v>
      </c>
      <c r="V34" s="110">
        <f>V$22*shipping_manufacturing!$E$27/100</f>
        <v>72.965899880023798</v>
      </c>
      <c r="W34" s="110">
        <f>W$22*shipping_manufacturing!$E$27/100</f>
        <v>72.965899880023798</v>
      </c>
      <c r="X34" s="110">
        <f>X$22*shipping_manufacturing!$E$27/100</f>
        <v>72.965899880023798</v>
      </c>
      <c r="Y34" s="110">
        <f>Y$22*shipping_manufacturing!$E$27/100</f>
        <v>72.965899880023798</v>
      </c>
      <c r="Z34" s="110">
        <f>Z$22*shipping_manufacturing!$E$27/100</f>
        <v>72.965899880023798</v>
      </c>
      <c r="AA34" s="110">
        <f>AA$22*shipping_manufacturing!$E$27/100</f>
        <v>72.965899880023798</v>
      </c>
      <c r="AB34" s="110">
        <f>AB$22*shipping_manufacturing!$E$27/100</f>
        <v>72.965899880023798</v>
      </c>
      <c r="AC34" s="110">
        <f>AC$22*shipping_manufacturing!$E$27/100</f>
        <v>72.965899880023798</v>
      </c>
      <c r="AD34" s="110">
        <f>AD$22*shipping_manufacturing!$E$27/100</f>
        <v>72.965899880023798</v>
      </c>
      <c r="AE34" s="110">
        <f>AE$22*shipping_manufacturing!$E$27/100</f>
        <v>72.965899880023798</v>
      </c>
      <c r="AF34" s="110">
        <f>AF$22*shipping_manufacturing!$E$27/100</f>
        <v>72.965899880023798</v>
      </c>
      <c r="AG34" s="110">
        <f>AG$22*shipping_manufacturing!$E$27/100</f>
        <v>72.965899880023798</v>
      </c>
      <c r="AH34" s="110">
        <f>AH$22*shipping_manufacturing!$E$27/100</f>
        <v>72.965899880023798</v>
      </c>
      <c r="AI34" s="110">
        <f>AI$22*shipping_manufacturing!$E$27/100</f>
        <v>72.965899880023798</v>
      </c>
      <c r="AJ34" s="110">
        <f>AJ$22*shipping_manufacturing!$E$27/100</f>
        <v>72.965899880023798</v>
      </c>
      <c r="AK34" s="110">
        <f>AK$22*shipping_manufacturing!$E$27/100</f>
        <v>72.965899880023798</v>
      </c>
      <c r="AL34" s="110">
        <f>AL$22*shipping_manufacturing!$E$27/100</f>
        <v>72.965899880023798</v>
      </c>
      <c r="AM34" s="110">
        <f>AM$22*shipping_manufacturing!$E$27/100</f>
        <v>72.965899880023798</v>
      </c>
      <c r="AN34" s="110">
        <f>AN$22*shipping_manufacturing!$E$27/100</f>
        <v>72.965899880023798</v>
      </c>
      <c r="AO34" s="110">
        <f>AO$22*shipping_manufacturing!$E$27/100</f>
        <v>58.372719904019021</v>
      </c>
      <c r="AP34" s="110">
        <f>AP$22*shipping_manufacturing!$E$27/100</f>
        <v>58.372719904019021</v>
      </c>
      <c r="AQ34" s="110">
        <f>AQ$22*shipping_manufacturing!$E$27/100</f>
        <v>58.372719904019021</v>
      </c>
      <c r="AR34" s="110">
        <f>AR$22*shipping_manufacturing!$E$27/100</f>
        <v>58.372719904019021</v>
      </c>
      <c r="AS34" s="110">
        <f>AS$22*shipping_manufacturing!$E$27/100</f>
        <v>72.965899880023798</v>
      </c>
      <c r="AT34" s="110">
        <f>AT$22*shipping_manufacturing!$E$27/100</f>
        <v>72.965899880023798</v>
      </c>
      <c r="AU34" s="110">
        <f>AU$22*shipping_manufacturing!$E$27/100</f>
        <v>72.965899880023798</v>
      </c>
      <c r="AV34" s="110">
        <f>AV$22*shipping_manufacturing!$E$27/100</f>
        <v>0</v>
      </c>
      <c r="AW34" s="110">
        <f>AW$22*shipping_manufacturing!$E$27/100</f>
        <v>90.967694945847938</v>
      </c>
      <c r="AX34" s="110">
        <f>AX$22*shipping_manufacturing!$E$27/100</f>
        <v>72.965899880023798</v>
      </c>
      <c r="AY34" s="110">
        <f>AY$22*shipping_manufacturing!$E$27/100</f>
        <v>72.965899880023798</v>
      </c>
    </row>
    <row r="35" spans="1:52">
      <c r="A35" s="110">
        <v>1225</v>
      </c>
      <c r="B35" s="165" t="s">
        <v>343</v>
      </c>
      <c r="C35" s="110"/>
      <c r="D35" s="110">
        <f>SUM(D33:D34)</f>
        <v>301.88304003278392</v>
      </c>
      <c r="E35" s="110">
        <f t="shared" ref="E35:AY35" si="11">SUM(E33:E34)</f>
        <v>242.1427484517647</v>
      </c>
      <c r="F35" s="110">
        <f t="shared" si="11"/>
        <v>242.1427484517647</v>
      </c>
      <c r="G35" s="110">
        <f t="shared" si="11"/>
        <v>242.1427484517647</v>
      </c>
      <c r="H35" s="110">
        <f t="shared" si="11"/>
        <v>242.1427484517647</v>
      </c>
      <c r="I35" s="110">
        <f t="shared" si="11"/>
        <v>242.1427484517647</v>
      </c>
      <c r="J35" s="110">
        <f t="shared" si="11"/>
        <v>242.1427484517647</v>
      </c>
      <c r="K35" s="110">
        <f t="shared" si="11"/>
        <v>242.1427484517647</v>
      </c>
      <c r="L35" s="110">
        <f t="shared" si="11"/>
        <v>0</v>
      </c>
      <c r="M35" s="110">
        <f t="shared" si="11"/>
        <v>301.88304003278392</v>
      </c>
      <c r="N35" s="110">
        <f t="shared" si="11"/>
        <v>242.1427484517647</v>
      </c>
      <c r="O35" s="110">
        <f t="shared" si="11"/>
        <v>242.1427484517647</v>
      </c>
      <c r="P35" s="110">
        <f t="shared" si="11"/>
        <v>242.1427484517647</v>
      </c>
      <c r="Q35" s="110">
        <f t="shared" si="11"/>
        <v>242.1427484517647</v>
      </c>
      <c r="R35" s="110">
        <f t="shared" si="11"/>
        <v>242.1427484517647</v>
      </c>
      <c r="S35" s="110">
        <f t="shared" si="11"/>
        <v>242.1427484517647</v>
      </c>
      <c r="T35" s="110">
        <f t="shared" si="11"/>
        <v>242.1427484517647</v>
      </c>
      <c r="U35" s="110">
        <f t="shared" si="11"/>
        <v>242.1427484517647</v>
      </c>
      <c r="V35" s="110">
        <f t="shared" si="11"/>
        <v>242.1427484517647</v>
      </c>
      <c r="W35" s="110">
        <f t="shared" si="11"/>
        <v>242.1427484517647</v>
      </c>
      <c r="X35" s="110">
        <f t="shared" si="11"/>
        <v>242.1427484517647</v>
      </c>
      <c r="Y35" s="110">
        <f t="shared" si="11"/>
        <v>242.1427484517647</v>
      </c>
      <c r="Z35" s="110">
        <f t="shared" si="11"/>
        <v>242.1427484517647</v>
      </c>
      <c r="AA35" s="110">
        <f t="shared" si="11"/>
        <v>242.1427484517647</v>
      </c>
      <c r="AB35" s="110">
        <f t="shared" si="11"/>
        <v>242.1427484517647</v>
      </c>
      <c r="AC35" s="110">
        <f t="shared" si="11"/>
        <v>242.1427484517647</v>
      </c>
      <c r="AD35" s="110">
        <f t="shared" si="11"/>
        <v>242.1427484517647</v>
      </c>
      <c r="AE35" s="110">
        <f t="shared" si="11"/>
        <v>242.1427484517647</v>
      </c>
      <c r="AF35" s="110">
        <f t="shared" si="11"/>
        <v>242.1427484517647</v>
      </c>
      <c r="AG35" s="110">
        <f t="shared" si="11"/>
        <v>242.1427484517647</v>
      </c>
      <c r="AH35" s="110">
        <f t="shared" si="11"/>
        <v>242.1427484517647</v>
      </c>
      <c r="AI35" s="110">
        <f t="shared" si="11"/>
        <v>242.1427484517647</v>
      </c>
      <c r="AJ35" s="110">
        <f t="shared" si="11"/>
        <v>242.1427484517647</v>
      </c>
      <c r="AK35" s="110">
        <f t="shared" si="11"/>
        <v>242.1427484517647</v>
      </c>
      <c r="AL35" s="110">
        <f t="shared" si="11"/>
        <v>242.1427484517647</v>
      </c>
      <c r="AM35" s="110">
        <f t="shared" si="11"/>
        <v>242.1427484517647</v>
      </c>
      <c r="AN35" s="110">
        <f t="shared" si="11"/>
        <v>242.1427484517647</v>
      </c>
      <c r="AO35" s="110">
        <f t="shared" si="11"/>
        <v>193.71419876141175</v>
      </c>
      <c r="AP35" s="110">
        <f t="shared" si="11"/>
        <v>193.71419876141175</v>
      </c>
      <c r="AQ35" s="110">
        <f t="shared" si="11"/>
        <v>193.71419876141175</v>
      </c>
      <c r="AR35" s="110">
        <f t="shared" si="11"/>
        <v>193.71419876141175</v>
      </c>
      <c r="AS35" s="110">
        <f t="shared" si="11"/>
        <v>242.1427484517647</v>
      </c>
      <c r="AT35" s="110">
        <f t="shared" si="11"/>
        <v>242.1427484517647</v>
      </c>
      <c r="AU35" s="110">
        <f t="shared" si="11"/>
        <v>242.1427484517647</v>
      </c>
      <c r="AV35" s="110">
        <f t="shared" si="11"/>
        <v>0</v>
      </c>
      <c r="AW35" s="110">
        <f t="shared" si="11"/>
        <v>301.88304003278392</v>
      </c>
      <c r="AX35" s="110">
        <f t="shared" si="11"/>
        <v>242.1427484517647</v>
      </c>
      <c r="AY35" s="110">
        <f t="shared" si="11"/>
        <v>242.1427484517647</v>
      </c>
    </row>
    <row r="36" spans="1:52">
      <c r="A36" s="110"/>
      <c r="B36" s="165" t="s">
        <v>344</v>
      </c>
      <c r="C36" s="110"/>
      <c r="D36" s="110">
        <v>210.91534508693596</v>
      </c>
      <c r="E36" s="110">
        <v>20.959972948201827</v>
      </c>
      <c r="F36" s="110">
        <v>169.17684857174092</v>
      </c>
      <c r="G36" s="110">
        <v>62.879918844605484</v>
      </c>
      <c r="H36" s="110">
        <v>169.17684857174092</v>
      </c>
      <c r="I36" s="110">
        <v>62.879918844605484</v>
      </c>
      <c r="J36" s="110">
        <v>169.17684857174092</v>
      </c>
      <c r="K36" s="110">
        <v>62.879918844605484</v>
      </c>
      <c r="L36" s="110"/>
      <c r="M36" s="110">
        <v>210.91534508693596</v>
      </c>
      <c r="N36" s="110">
        <v>20.959972948201827</v>
      </c>
      <c r="O36" s="110">
        <v>169.17684857174092</v>
      </c>
      <c r="P36" s="110">
        <v>62.879918844605484</v>
      </c>
      <c r="Q36" s="110">
        <v>169.17684857174092</v>
      </c>
      <c r="R36" s="110">
        <v>62.879918844605484</v>
      </c>
      <c r="S36" s="110">
        <v>169.17684857174092</v>
      </c>
      <c r="T36" s="110">
        <v>62.879918844605484</v>
      </c>
      <c r="U36" s="110">
        <v>169.17684857174092</v>
      </c>
      <c r="V36" s="110">
        <v>62.879918844605484</v>
      </c>
      <c r="W36" s="110">
        <v>169.17684857174092</v>
      </c>
      <c r="X36" s="110">
        <v>62.879918844605484</v>
      </c>
      <c r="Y36" s="110">
        <v>169.17684857174092</v>
      </c>
      <c r="Z36" s="110">
        <v>62.879918844605484</v>
      </c>
      <c r="AA36" s="110">
        <v>169.17684857174092</v>
      </c>
      <c r="AB36" s="110">
        <v>62.879918844605484</v>
      </c>
      <c r="AC36" s="110">
        <v>169.17684857174092</v>
      </c>
      <c r="AD36" s="110">
        <v>62.879918844605484</v>
      </c>
      <c r="AE36" s="110">
        <v>169.17684857174092</v>
      </c>
      <c r="AF36" s="110">
        <v>62.879918844605484</v>
      </c>
      <c r="AG36" s="110">
        <v>169.17684857174092</v>
      </c>
      <c r="AH36" s="110">
        <v>62.879918844605484</v>
      </c>
      <c r="AI36" s="110">
        <v>169.17684857174092</v>
      </c>
      <c r="AJ36" s="110">
        <v>62.879918844605484</v>
      </c>
      <c r="AK36" s="110">
        <v>169.17684857174092</v>
      </c>
      <c r="AL36" s="110">
        <v>62.879918844605484</v>
      </c>
      <c r="AM36" s="110">
        <v>169.17684857174092</v>
      </c>
      <c r="AN36" s="110">
        <v>62.879918844605484</v>
      </c>
      <c r="AO36" s="110">
        <v>135.34147885739273</v>
      </c>
      <c r="AP36" s="110">
        <v>83.839891792807308</v>
      </c>
      <c r="AQ36" s="110">
        <v>135.34147885739273</v>
      </c>
      <c r="AR36" s="110">
        <v>83.839891792807308</v>
      </c>
      <c r="AS36" s="110">
        <v>146.71981063741279</v>
      </c>
      <c r="AT36" s="110">
        <v>83.839891792807308</v>
      </c>
      <c r="AU36" s="110">
        <v>146.71981063741279</v>
      </c>
      <c r="AV36" s="110"/>
      <c r="AW36" s="110">
        <v>210.91534508693596</v>
      </c>
      <c r="AX36" s="110">
        <v>20.959972948201827</v>
      </c>
      <c r="AY36" s="110">
        <v>169.17684857174092</v>
      </c>
    </row>
    <row r="37" spans="1:52">
      <c r="A37" s="110"/>
      <c r="B37" s="165" t="s">
        <v>345</v>
      </c>
      <c r="C37" s="110"/>
      <c r="D37" s="110">
        <v>90.967694945847938</v>
      </c>
      <c r="E37" s="110">
        <v>9.0400270517981767</v>
      </c>
      <c r="F37" s="110">
        <v>72.965899880023798</v>
      </c>
      <c r="G37" s="110">
        <v>27.12008115539453</v>
      </c>
      <c r="H37" s="110">
        <v>72.965899880023798</v>
      </c>
      <c r="I37" s="110">
        <v>27.12008115539453</v>
      </c>
      <c r="J37" s="110">
        <v>72.965899880023798</v>
      </c>
      <c r="K37" s="110">
        <v>27.12008115539453</v>
      </c>
      <c r="L37" s="110"/>
      <c r="M37" s="110">
        <v>90.967694945847938</v>
      </c>
      <c r="N37" s="110">
        <v>9.0400270517981767</v>
      </c>
      <c r="O37" s="110">
        <v>72.965899880023798</v>
      </c>
      <c r="P37" s="110">
        <v>27.12008115539453</v>
      </c>
      <c r="Q37" s="110">
        <v>72.965899880023798</v>
      </c>
      <c r="R37" s="110">
        <v>27.12008115539453</v>
      </c>
      <c r="S37" s="110">
        <v>72.965899880023798</v>
      </c>
      <c r="T37" s="110">
        <v>27.12008115539453</v>
      </c>
      <c r="U37" s="110">
        <v>72.965899880023798</v>
      </c>
      <c r="V37" s="110">
        <v>27.12008115539453</v>
      </c>
      <c r="W37" s="110">
        <v>72.965899880023798</v>
      </c>
      <c r="X37" s="110">
        <v>27.12008115539453</v>
      </c>
      <c r="Y37" s="110">
        <v>72.965899880023798</v>
      </c>
      <c r="Z37" s="110">
        <v>27.12008115539453</v>
      </c>
      <c r="AA37" s="110">
        <v>72.965899880023798</v>
      </c>
      <c r="AB37" s="110">
        <v>27.12008115539453</v>
      </c>
      <c r="AC37" s="110">
        <v>72.965899880023798</v>
      </c>
      <c r="AD37" s="110">
        <v>27.12008115539453</v>
      </c>
      <c r="AE37" s="110">
        <v>72.965899880023798</v>
      </c>
      <c r="AF37" s="110">
        <v>27.12008115539453</v>
      </c>
      <c r="AG37" s="110">
        <v>72.965899880023798</v>
      </c>
      <c r="AH37" s="110">
        <v>27.12008115539453</v>
      </c>
      <c r="AI37" s="110">
        <v>72.965899880023798</v>
      </c>
      <c r="AJ37" s="110">
        <v>27.12008115539453</v>
      </c>
      <c r="AK37" s="110">
        <v>72.965899880023798</v>
      </c>
      <c r="AL37" s="110">
        <v>27.12008115539453</v>
      </c>
      <c r="AM37" s="110">
        <v>72.965899880023798</v>
      </c>
      <c r="AN37" s="110">
        <v>27.12008115539453</v>
      </c>
      <c r="AO37" s="110">
        <v>58.372719904019021</v>
      </c>
      <c r="AP37" s="110">
        <v>36.160108207192692</v>
      </c>
      <c r="AQ37" s="110">
        <v>58.372719904019021</v>
      </c>
      <c r="AR37" s="110">
        <v>36.160108207192692</v>
      </c>
      <c r="AS37" s="110">
        <v>63.280189362587237</v>
      </c>
      <c r="AT37" s="110">
        <v>36.160108207192707</v>
      </c>
      <c r="AU37" s="110">
        <v>63.280189362587237</v>
      </c>
      <c r="AV37" s="110"/>
      <c r="AW37" s="110">
        <v>90.967694945847938</v>
      </c>
      <c r="AX37" s="110">
        <v>9.0400270517981767</v>
      </c>
      <c r="AY37" s="110">
        <v>72.965899880023798</v>
      </c>
    </row>
    <row r="38" spans="1:52">
      <c r="A38" s="110"/>
      <c r="B38" s="165" t="s">
        <v>346</v>
      </c>
      <c r="C38" s="110"/>
      <c r="D38" s="110">
        <v>11</v>
      </c>
      <c r="E38" s="110">
        <v>1</v>
      </c>
      <c r="F38" s="110">
        <v>9</v>
      </c>
      <c r="G38" s="110">
        <v>3</v>
      </c>
      <c r="H38" s="110">
        <v>9</v>
      </c>
      <c r="I38" s="110">
        <v>3</v>
      </c>
      <c r="J38" s="110">
        <v>9</v>
      </c>
      <c r="K38" s="110">
        <v>3</v>
      </c>
      <c r="L38" s="110"/>
      <c r="M38" s="110">
        <v>11</v>
      </c>
      <c r="N38" s="110">
        <v>1</v>
      </c>
      <c r="O38" s="110">
        <v>9</v>
      </c>
      <c r="P38" s="110">
        <v>3</v>
      </c>
      <c r="Q38" s="110">
        <v>9</v>
      </c>
      <c r="R38" s="110">
        <v>3</v>
      </c>
      <c r="S38" s="110">
        <v>9</v>
      </c>
      <c r="T38" s="110">
        <v>3</v>
      </c>
      <c r="U38" s="110">
        <v>9</v>
      </c>
      <c r="V38" s="110">
        <v>3</v>
      </c>
      <c r="W38" s="110">
        <v>9</v>
      </c>
      <c r="X38" s="110">
        <v>3</v>
      </c>
      <c r="Y38" s="110">
        <v>9</v>
      </c>
      <c r="Z38" s="110">
        <v>3</v>
      </c>
      <c r="AA38" s="110">
        <v>9</v>
      </c>
      <c r="AB38" s="110">
        <v>3</v>
      </c>
      <c r="AC38" s="110">
        <v>9</v>
      </c>
      <c r="AD38" s="110">
        <v>3</v>
      </c>
      <c r="AE38" s="110">
        <v>9</v>
      </c>
      <c r="AF38" s="110">
        <v>3</v>
      </c>
      <c r="AG38" s="110">
        <v>9</v>
      </c>
      <c r="AH38" s="110">
        <v>3</v>
      </c>
      <c r="AI38" s="110">
        <v>9</v>
      </c>
      <c r="AJ38" s="110">
        <v>3</v>
      </c>
      <c r="AK38" s="110">
        <v>9</v>
      </c>
      <c r="AL38" s="110">
        <v>3</v>
      </c>
      <c r="AM38" s="110">
        <v>9</v>
      </c>
      <c r="AN38" s="110">
        <v>3</v>
      </c>
      <c r="AO38" s="110">
        <v>7</v>
      </c>
      <c r="AP38" s="110">
        <v>4</v>
      </c>
      <c r="AQ38" s="110">
        <v>7</v>
      </c>
      <c r="AR38" s="110">
        <v>4</v>
      </c>
      <c r="AS38" s="110">
        <v>7</v>
      </c>
      <c r="AT38" s="110">
        <v>4</v>
      </c>
      <c r="AU38" s="110">
        <v>7</v>
      </c>
      <c r="AV38" s="110"/>
      <c r="AW38" s="110">
        <v>11</v>
      </c>
      <c r="AX38" s="110">
        <v>1</v>
      </c>
      <c r="AY38" s="110">
        <v>9</v>
      </c>
    </row>
    <row r="39" spans="1:52">
      <c r="A39" s="110"/>
      <c r="B39" s="165" t="s">
        <v>347</v>
      </c>
      <c r="C39" s="110"/>
      <c r="D39" s="110">
        <f>D33-D36</f>
        <v>0</v>
      </c>
      <c r="E39" s="110">
        <f t="shared" ref="E39:AY39" si="12">E33-E36</f>
        <v>148.2168756235391</v>
      </c>
      <c r="F39" s="110">
        <f t="shared" si="12"/>
        <v>0</v>
      </c>
      <c r="G39" s="110">
        <f t="shared" si="12"/>
        <v>106.29692972713543</v>
      </c>
      <c r="H39" s="110">
        <f t="shared" si="12"/>
        <v>0</v>
      </c>
      <c r="I39" s="110">
        <f t="shared" si="12"/>
        <v>106.29692972713543</v>
      </c>
      <c r="J39" s="110">
        <f t="shared" si="12"/>
        <v>0</v>
      </c>
      <c r="K39" s="110">
        <f t="shared" si="12"/>
        <v>106.29692972713543</v>
      </c>
      <c r="L39" s="110">
        <f t="shared" si="12"/>
        <v>0</v>
      </c>
      <c r="M39" s="110">
        <f t="shared" si="12"/>
        <v>0</v>
      </c>
      <c r="N39" s="110">
        <f t="shared" si="12"/>
        <v>148.2168756235391</v>
      </c>
      <c r="O39" s="110">
        <f t="shared" si="12"/>
        <v>0</v>
      </c>
      <c r="P39" s="110">
        <f t="shared" si="12"/>
        <v>106.29692972713543</v>
      </c>
      <c r="Q39" s="110">
        <f t="shared" si="12"/>
        <v>0</v>
      </c>
      <c r="R39" s="110">
        <f t="shared" si="12"/>
        <v>106.29692972713543</v>
      </c>
      <c r="S39" s="110">
        <f t="shared" si="12"/>
        <v>0</v>
      </c>
      <c r="T39" s="110">
        <f t="shared" si="12"/>
        <v>106.29692972713543</v>
      </c>
      <c r="U39" s="110">
        <f t="shared" si="12"/>
        <v>0</v>
      </c>
      <c r="V39" s="110">
        <f t="shared" si="12"/>
        <v>106.29692972713543</v>
      </c>
      <c r="W39" s="110">
        <f t="shared" si="12"/>
        <v>0</v>
      </c>
      <c r="X39" s="110">
        <f t="shared" si="12"/>
        <v>106.29692972713543</v>
      </c>
      <c r="Y39" s="110">
        <f t="shared" si="12"/>
        <v>0</v>
      </c>
      <c r="Z39" s="110">
        <f t="shared" si="12"/>
        <v>106.29692972713543</v>
      </c>
      <c r="AA39" s="110">
        <f t="shared" si="12"/>
        <v>0</v>
      </c>
      <c r="AB39" s="110">
        <f t="shared" si="12"/>
        <v>106.29692972713543</v>
      </c>
      <c r="AC39" s="110">
        <f t="shared" si="12"/>
        <v>0</v>
      </c>
      <c r="AD39" s="110">
        <f t="shared" si="12"/>
        <v>106.29692972713543</v>
      </c>
      <c r="AE39" s="110">
        <f t="shared" si="12"/>
        <v>0</v>
      </c>
      <c r="AF39" s="110">
        <f t="shared" si="12"/>
        <v>106.29692972713543</v>
      </c>
      <c r="AG39" s="110">
        <f t="shared" si="12"/>
        <v>0</v>
      </c>
      <c r="AH39" s="110">
        <f t="shared" si="12"/>
        <v>106.29692972713543</v>
      </c>
      <c r="AI39" s="110">
        <f t="shared" si="12"/>
        <v>0</v>
      </c>
      <c r="AJ39" s="110">
        <f t="shared" si="12"/>
        <v>106.29692972713543</v>
      </c>
      <c r="AK39" s="110">
        <f t="shared" si="12"/>
        <v>0</v>
      </c>
      <c r="AL39" s="110">
        <f t="shared" si="12"/>
        <v>106.29692972713543</v>
      </c>
      <c r="AM39" s="110">
        <f t="shared" si="12"/>
        <v>0</v>
      </c>
      <c r="AN39" s="110">
        <f t="shared" si="12"/>
        <v>106.29692972713543</v>
      </c>
      <c r="AO39" s="110">
        <f t="shared" si="12"/>
        <v>0</v>
      </c>
      <c r="AP39" s="110">
        <f t="shared" si="12"/>
        <v>51.501587064585422</v>
      </c>
      <c r="AQ39" s="110">
        <f t="shared" si="12"/>
        <v>0</v>
      </c>
      <c r="AR39" s="110">
        <f t="shared" si="12"/>
        <v>51.501587064585422</v>
      </c>
      <c r="AS39" s="110">
        <f t="shared" si="12"/>
        <v>22.457037934328127</v>
      </c>
      <c r="AT39" s="110">
        <f t="shared" si="12"/>
        <v>85.336956778933612</v>
      </c>
      <c r="AU39" s="110">
        <f t="shared" si="12"/>
        <v>22.457037934328127</v>
      </c>
      <c r="AV39" s="110">
        <f t="shared" si="12"/>
        <v>0</v>
      </c>
      <c r="AW39" s="110">
        <f t="shared" si="12"/>
        <v>0</v>
      </c>
      <c r="AX39" s="110">
        <f t="shared" si="12"/>
        <v>148.2168756235391</v>
      </c>
      <c r="AY39" s="110">
        <f t="shared" si="12"/>
        <v>0</v>
      </c>
    </row>
    <row r="40" spans="1:52">
      <c r="A40" s="110"/>
      <c r="B40" s="165" t="s">
        <v>348</v>
      </c>
      <c r="C40" s="110"/>
      <c r="D40" s="110">
        <f>D34-D37</f>
        <v>0</v>
      </c>
      <c r="E40" s="110">
        <f t="shared" ref="E40:AY40" si="13">E34-E37</f>
        <v>63.925872828225621</v>
      </c>
      <c r="F40" s="110">
        <f t="shared" si="13"/>
        <v>0</v>
      </c>
      <c r="G40" s="110">
        <f t="shared" si="13"/>
        <v>45.845818724629268</v>
      </c>
      <c r="H40" s="110">
        <f t="shared" si="13"/>
        <v>0</v>
      </c>
      <c r="I40" s="110">
        <f t="shared" si="13"/>
        <v>45.845818724629268</v>
      </c>
      <c r="J40" s="110">
        <f t="shared" si="13"/>
        <v>0</v>
      </c>
      <c r="K40" s="110">
        <f t="shared" si="13"/>
        <v>45.845818724629268</v>
      </c>
      <c r="L40" s="110">
        <f t="shared" si="13"/>
        <v>0</v>
      </c>
      <c r="M40" s="110">
        <f t="shared" si="13"/>
        <v>0</v>
      </c>
      <c r="N40" s="110">
        <f t="shared" si="13"/>
        <v>63.925872828225621</v>
      </c>
      <c r="O40" s="110">
        <f t="shared" si="13"/>
        <v>0</v>
      </c>
      <c r="P40" s="110">
        <f t="shared" si="13"/>
        <v>45.845818724629268</v>
      </c>
      <c r="Q40" s="110">
        <f t="shared" si="13"/>
        <v>0</v>
      </c>
      <c r="R40" s="110">
        <f t="shared" si="13"/>
        <v>45.845818724629268</v>
      </c>
      <c r="S40" s="110">
        <f t="shared" si="13"/>
        <v>0</v>
      </c>
      <c r="T40" s="110">
        <f t="shared" si="13"/>
        <v>45.845818724629268</v>
      </c>
      <c r="U40" s="110">
        <f t="shared" si="13"/>
        <v>0</v>
      </c>
      <c r="V40" s="110">
        <f t="shared" si="13"/>
        <v>45.845818724629268</v>
      </c>
      <c r="W40" s="110">
        <f t="shared" si="13"/>
        <v>0</v>
      </c>
      <c r="X40" s="110">
        <f t="shared" si="13"/>
        <v>45.845818724629268</v>
      </c>
      <c r="Y40" s="110">
        <f t="shared" si="13"/>
        <v>0</v>
      </c>
      <c r="Z40" s="110">
        <f t="shared" si="13"/>
        <v>45.845818724629268</v>
      </c>
      <c r="AA40" s="110">
        <f t="shared" si="13"/>
        <v>0</v>
      </c>
      <c r="AB40" s="110">
        <f t="shared" si="13"/>
        <v>45.845818724629268</v>
      </c>
      <c r="AC40" s="110">
        <f t="shared" si="13"/>
        <v>0</v>
      </c>
      <c r="AD40" s="110">
        <f t="shared" si="13"/>
        <v>45.845818724629268</v>
      </c>
      <c r="AE40" s="110">
        <f t="shared" si="13"/>
        <v>0</v>
      </c>
      <c r="AF40" s="110">
        <f t="shared" si="13"/>
        <v>45.845818724629268</v>
      </c>
      <c r="AG40" s="110">
        <f t="shared" si="13"/>
        <v>0</v>
      </c>
      <c r="AH40" s="110">
        <f t="shared" si="13"/>
        <v>45.845818724629268</v>
      </c>
      <c r="AI40" s="110">
        <f t="shared" si="13"/>
        <v>0</v>
      </c>
      <c r="AJ40" s="110">
        <f t="shared" si="13"/>
        <v>45.845818724629268</v>
      </c>
      <c r="AK40" s="110">
        <f t="shared" si="13"/>
        <v>0</v>
      </c>
      <c r="AL40" s="110">
        <f t="shared" si="13"/>
        <v>45.845818724629268</v>
      </c>
      <c r="AM40" s="110">
        <f t="shared" si="13"/>
        <v>0</v>
      </c>
      <c r="AN40" s="110">
        <f t="shared" si="13"/>
        <v>45.845818724629268</v>
      </c>
      <c r="AO40" s="110">
        <f t="shared" si="13"/>
        <v>0</v>
      </c>
      <c r="AP40" s="110">
        <f t="shared" si="13"/>
        <v>22.212611696826329</v>
      </c>
      <c r="AQ40" s="110">
        <f t="shared" si="13"/>
        <v>0</v>
      </c>
      <c r="AR40" s="110">
        <f t="shared" si="13"/>
        <v>22.212611696826329</v>
      </c>
      <c r="AS40" s="110">
        <f t="shared" si="13"/>
        <v>9.6857105174365614</v>
      </c>
      <c r="AT40" s="110">
        <f t="shared" si="13"/>
        <v>36.805791672831091</v>
      </c>
      <c r="AU40" s="110">
        <f t="shared" si="13"/>
        <v>9.6857105174365614</v>
      </c>
      <c r="AV40" s="110">
        <f t="shared" si="13"/>
        <v>0</v>
      </c>
      <c r="AW40" s="110">
        <f t="shared" si="13"/>
        <v>0</v>
      </c>
      <c r="AX40" s="110">
        <f t="shared" si="13"/>
        <v>63.925872828225621</v>
      </c>
      <c r="AY40" s="110">
        <f t="shared" si="13"/>
        <v>0</v>
      </c>
    </row>
    <row r="41" spans="1:52">
      <c r="A41" s="110"/>
      <c r="B41" s="165" t="s">
        <v>349</v>
      </c>
      <c r="C41" s="110"/>
      <c r="D41" s="110">
        <v>1</v>
      </c>
      <c r="E41" s="110">
        <v>2</v>
      </c>
      <c r="F41" s="110">
        <v>1</v>
      </c>
      <c r="G41" s="110">
        <v>2</v>
      </c>
      <c r="H41" s="110">
        <v>1</v>
      </c>
      <c r="I41" s="110">
        <v>2</v>
      </c>
      <c r="J41" s="110">
        <v>3</v>
      </c>
      <c r="K41" s="110">
        <v>2</v>
      </c>
      <c r="L41" s="110">
        <v>2</v>
      </c>
      <c r="M41" s="110">
        <v>2</v>
      </c>
      <c r="N41" s="110">
        <v>1</v>
      </c>
      <c r="O41" s="110">
        <v>2</v>
      </c>
      <c r="P41" s="110">
        <v>2</v>
      </c>
      <c r="Q41" s="110">
        <v>1</v>
      </c>
      <c r="R41" s="110">
        <v>1</v>
      </c>
      <c r="S41" s="110">
        <v>2</v>
      </c>
      <c r="T41" s="110">
        <v>3</v>
      </c>
      <c r="U41" s="110">
        <v>1</v>
      </c>
      <c r="V41" s="110">
        <v>1</v>
      </c>
      <c r="W41" s="110">
        <v>2</v>
      </c>
      <c r="X41" s="110">
        <v>1</v>
      </c>
      <c r="Y41" s="110">
        <v>1</v>
      </c>
      <c r="Z41" s="110">
        <v>1</v>
      </c>
      <c r="AA41" s="110">
        <v>1</v>
      </c>
      <c r="AB41" s="110">
        <v>1</v>
      </c>
      <c r="AC41" s="110">
        <v>1</v>
      </c>
      <c r="AD41" s="110">
        <v>1</v>
      </c>
      <c r="AE41" s="110">
        <v>1</v>
      </c>
      <c r="AF41" s="110">
        <v>1</v>
      </c>
      <c r="AG41" s="110">
        <v>1</v>
      </c>
      <c r="AH41" s="110">
        <v>1</v>
      </c>
      <c r="AI41" s="110">
        <v>2</v>
      </c>
      <c r="AJ41" s="110">
        <v>1</v>
      </c>
      <c r="AK41" s="110">
        <v>1</v>
      </c>
      <c r="AL41" s="110">
        <v>1</v>
      </c>
      <c r="AM41" s="110">
        <v>1</v>
      </c>
      <c r="AN41" s="110">
        <v>2</v>
      </c>
      <c r="AO41" s="110">
        <v>1</v>
      </c>
      <c r="AP41" s="110">
        <v>1</v>
      </c>
      <c r="AQ41" s="110">
        <v>2</v>
      </c>
      <c r="AR41" s="110">
        <v>1</v>
      </c>
      <c r="AS41" s="110">
        <v>2</v>
      </c>
      <c r="AT41" s="110">
        <v>1</v>
      </c>
      <c r="AU41" s="110">
        <v>2</v>
      </c>
      <c r="AV41" s="110">
        <v>1</v>
      </c>
      <c r="AW41" s="110">
        <v>3</v>
      </c>
      <c r="AX41" s="110">
        <v>1</v>
      </c>
      <c r="AY41" s="110">
        <v>3</v>
      </c>
    </row>
    <row r="42" spans="1:52">
      <c r="A42" s="110"/>
      <c r="B42" s="178" t="s">
        <v>350</v>
      </c>
      <c r="C42" s="110"/>
      <c r="D42" s="110">
        <v>485100</v>
      </c>
      <c r="E42" s="110">
        <v>44100</v>
      </c>
      <c r="F42" s="110">
        <v>396900</v>
      </c>
      <c r="G42" s="110">
        <v>132300</v>
      </c>
      <c r="H42" s="110">
        <v>396900</v>
      </c>
      <c r="I42" s="110">
        <v>132300</v>
      </c>
      <c r="J42" s="110">
        <v>396900</v>
      </c>
      <c r="K42" s="110">
        <v>132300</v>
      </c>
      <c r="L42" s="110">
        <v>0</v>
      </c>
      <c r="M42" s="110">
        <v>485100</v>
      </c>
      <c r="N42" s="110">
        <v>44100</v>
      </c>
      <c r="O42" s="110">
        <v>396900</v>
      </c>
      <c r="P42" s="110">
        <v>132300</v>
      </c>
      <c r="Q42" s="110">
        <v>396900</v>
      </c>
      <c r="R42" s="110">
        <v>132300</v>
      </c>
      <c r="S42" s="110">
        <v>396900</v>
      </c>
      <c r="T42" s="110">
        <v>132300</v>
      </c>
      <c r="U42" s="110">
        <v>396900</v>
      </c>
      <c r="V42" s="110">
        <v>132300</v>
      </c>
      <c r="W42" s="110">
        <v>396900</v>
      </c>
      <c r="X42" s="110">
        <v>132300</v>
      </c>
      <c r="Y42" s="110">
        <v>396900</v>
      </c>
      <c r="Z42" s="110">
        <v>132300</v>
      </c>
      <c r="AA42" s="110">
        <v>396900</v>
      </c>
      <c r="AB42" s="110">
        <v>132300</v>
      </c>
      <c r="AC42" s="110">
        <v>396900</v>
      </c>
      <c r="AD42" s="110">
        <v>132300</v>
      </c>
      <c r="AE42" s="110">
        <v>396900</v>
      </c>
      <c r="AF42" s="110">
        <v>132300</v>
      </c>
      <c r="AG42" s="110">
        <v>396900</v>
      </c>
      <c r="AH42" s="110">
        <v>132300</v>
      </c>
      <c r="AI42" s="110">
        <v>396900</v>
      </c>
      <c r="AJ42" s="110">
        <v>132300</v>
      </c>
      <c r="AK42" s="110">
        <v>396900</v>
      </c>
      <c r="AL42" s="110">
        <v>132300</v>
      </c>
      <c r="AM42" s="110">
        <v>396900</v>
      </c>
      <c r="AN42" s="110">
        <v>132300</v>
      </c>
      <c r="AO42" s="110">
        <v>308700</v>
      </c>
      <c r="AP42" s="110">
        <v>176400</v>
      </c>
      <c r="AQ42" s="110">
        <v>308700</v>
      </c>
      <c r="AR42" s="110">
        <v>176400</v>
      </c>
      <c r="AS42" s="110">
        <v>308700</v>
      </c>
      <c r="AT42" s="110">
        <v>176400</v>
      </c>
      <c r="AU42" s="110">
        <v>308700</v>
      </c>
      <c r="AV42" s="110">
        <v>0</v>
      </c>
      <c r="AW42" s="110">
        <v>485100</v>
      </c>
      <c r="AX42" s="110">
        <v>44100</v>
      </c>
      <c r="AY42" s="110">
        <v>396900</v>
      </c>
      <c r="AZ42" s="100">
        <f>SUM($D$42:$AY$42)</f>
        <v>12215700</v>
      </c>
    </row>
    <row r="43" spans="1:52">
      <c r="A43" s="110"/>
      <c r="B43" s="178" t="s">
        <v>351</v>
      </c>
      <c r="C43" s="110"/>
      <c r="D43" s="110">
        <v>0</v>
      </c>
      <c r="E43" s="110">
        <v>168918.66345471767</v>
      </c>
      <c r="F43" s="110">
        <v>0</v>
      </c>
      <c r="G43" s="110">
        <v>121143.66345471765</v>
      </c>
      <c r="H43" s="110">
        <v>0</v>
      </c>
      <c r="I43" s="110">
        <v>121143.66345471765</v>
      </c>
      <c r="J43" s="110">
        <v>0</v>
      </c>
      <c r="K43" s="110">
        <v>121143.66345471765</v>
      </c>
      <c r="L43" s="110">
        <v>0</v>
      </c>
      <c r="M43" s="110">
        <v>0</v>
      </c>
      <c r="N43" s="110">
        <v>168918.66345471767</v>
      </c>
      <c r="O43" s="110">
        <v>0</v>
      </c>
      <c r="P43" s="110">
        <v>121143.66345471765</v>
      </c>
      <c r="Q43" s="110">
        <v>0</v>
      </c>
      <c r="R43" s="110">
        <v>121143.66345471765</v>
      </c>
      <c r="S43" s="110">
        <v>0</v>
      </c>
      <c r="T43" s="110">
        <v>121143.66345471765</v>
      </c>
      <c r="U43" s="110">
        <v>0</v>
      </c>
      <c r="V43" s="110">
        <v>121143.66345471765</v>
      </c>
      <c r="W43" s="110">
        <v>0</v>
      </c>
      <c r="X43" s="110">
        <v>121143.66345471765</v>
      </c>
      <c r="Y43" s="110">
        <v>0</v>
      </c>
      <c r="Z43" s="110">
        <v>121143.66345471765</v>
      </c>
      <c r="AA43" s="110">
        <v>0</v>
      </c>
      <c r="AB43" s="110">
        <v>121143.66345471765</v>
      </c>
      <c r="AC43" s="110">
        <v>0</v>
      </c>
      <c r="AD43" s="110">
        <v>121143.66345471765</v>
      </c>
      <c r="AE43" s="110">
        <v>0</v>
      </c>
      <c r="AF43" s="110">
        <v>121143.66345471765</v>
      </c>
      <c r="AG43" s="110">
        <v>0</v>
      </c>
      <c r="AH43" s="110">
        <v>121143.66345471765</v>
      </c>
      <c r="AI43" s="110">
        <v>0</v>
      </c>
      <c r="AJ43" s="110">
        <v>121143.66345471765</v>
      </c>
      <c r="AK43" s="110">
        <v>0</v>
      </c>
      <c r="AL43" s="110">
        <v>121143.66345471765</v>
      </c>
      <c r="AM43" s="110">
        <v>0</v>
      </c>
      <c r="AN43" s="110">
        <v>121143.66345471765</v>
      </c>
      <c r="AO43" s="110">
        <v>0</v>
      </c>
      <c r="AP43" s="110">
        <v>58694.930763774115</v>
      </c>
      <c r="AQ43" s="110">
        <v>0</v>
      </c>
      <c r="AR43" s="110">
        <v>58694.930763774115</v>
      </c>
      <c r="AS43" s="110">
        <v>25593.663454717636</v>
      </c>
      <c r="AT43" s="110">
        <v>97256.163454717651</v>
      </c>
      <c r="AU43" s="110">
        <v>25593.663454717636</v>
      </c>
      <c r="AV43" s="110">
        <v>0</v>
      </c>
      <c r="AW43" s="110">
        <v>0</v>
      </c>
      <c r="AX43" s="110">
        <v>168918.66345471767</v>
      </c>
      <c r="AY43" s="110">
        <v>0</v>
      </c>
      <c r="AZ43" s="100">
        <f>SUM($D$43:$AY$43)</f>
        <v>2710887.9575313362</v>
      </c>
    </row>
    <row r="44" spans="1:52">
      <c r="A44" s="135" t="s">
        <v>46</v>
      </c>
      <c r="B44" s="135" t="s">
        <v>341</v>
      </c>
      <c r="C44" s="124"/>
      <c r="D44" s="124">
        <f>D$21*shipping_manufacturing!$D$28/100</f>
        <v>188.42880031572949</v>
      </c>
      <c r="E44" s="124">
        <f>E$21*shipping_manufacturing!$D$28/100</f>
        <v>151.14021506794327</v>
      </c>
      <c r="F44" s="124">
        <f>F$21*shipping_manufacturing!$D$28/100</f>
        <v>151.14021506794327</v>
      </c>
      <c r="G44" s="124">
        <f>G$21*shipping_manufacturing!$D$28/100</f>
        <v>151.14021506794327</v>
      </c>
      <c r="H44" s="124">
        <f>H$21*shipping_manufacturing!$D$28/100</f>
        <v>151.14021506794327</v>
      </c>
      <c r="I44" s="124">
        <f>I$21*shipping_manufacturing!$D$28/100</f>
        <v>151.14021506794327</v>
      </c>
      <c r="J44" s="124">
        <f>J$21*shipping_manufacturing!$D$28/100</f>
        <v>151.14021506794327</v>
      </c>
      <c r="K44" s="124">
        <f>K$21*shipping_manufacturing!$D$28/100</f>
        <v>151.14021506794327</v>
      </c>
      <c r="L44" s="124">
        <f>L$21*shipping_manufacturing!$D$28/100</f>
        <v>0</v>
      </c>
      <c r="M44" s="124">
        <f>M$21*shipping_manufacturing!$D$28/100</f>
        <v>188.42880031572949</v>
      </c>
      <c r="N44" s="124">
        <f>N$21*shipping_manufacturing!$D$28/100</f>
        <v>151.14021506794327</v>
      </c>
      <c r="O44" s="124">
        <f>O$21*shipping_manufacturing!$D$28/100</f>
        <v>151.14021506794327</v>
      </c>
      <c r="P44" s="124">
        <f>P$21*shipping_manufacturing!$D$28/100</f>
        <v>151.14021506794327</v>
      </c>
      <c r="Q44" s="124">
        <f>Q$21*shipping_manufacturing!$D$28/100</f>
        <v>151.14021506794327</v>
      </c>
      <c r="R44" s="124">
        <f>R$21*shipping_manufacturing!$D$28/100</f>
        <v>151.14021506794327</v>
      </c>
      <c r="S44" s="124">
        <f>S$21*shipping_manufacturing!$D$28/100</f>
        <v>151.14021506794327</v>
      </c>
      <c r="T44" s="124">
        <f>T$21*shipping_manufacturing!$D$28/100</f>
        <v>151.14021506794327</v>
      </c>
      <c r="U44" s="124">
        <f>U$21*shipping_manufacturing!$D$28/100</f>
        <v>151.14021506794327</v>
      </c>
      <c r="V44" s="124">
        <f>V$21*shipping_manufacturing!$D$28/100</f>
        <v>151.14021506794327</v>
      </c>
      <c r="W44" s="124">
        <f>W$21*shipping_manufacturing!$D$28/100</f>
        <v>151.14021506794327</v>
      </c>
      <c r="X44" s="124">
        <f>X$21*shipping_manufacturing!$D$28/100</f>
        <v>151.14021506794327</v>
      </c>
      <c r="Y44" s="124">
        <f>Y$21*shipping_manufacturing!$D$28/100</f>
        <v>151.14021506794327</v>
      </c>
      <c r="Z44" s="124">
        <f>Z$21*shipping_manufacturing!$D$28/100</f>
        <v>151.14021506794327</v>
      </c>
      <c r="AA44" s="124">
        <f>AA$21*shipping_manufacturing!$D$28/100</f>
        <v>151.14021506794327</v>
      </c>
      <c r="AB44" s="124">
        <f>AB$21*shipping_manufacturing!$D$28/100</f>
        <v>151.14021506794327</v>
      </c>
      <c r="AC44" s="124">
        <f>AC$21*shipping_manufacturing!$D$28/100</f>
        <v>151.14021506794327</v>
      </c>
      <c r="AD44" s="124">
        <f>AD$21*shipping_manufacturing!$D$28/100</f>
        <v>151.14021506794327</v>
      </c>
      <c r="AE44" s="124">
        <f>AE$21*shipping_manufacturing!$D$28/100</f>
        <v>151.14021506794327</v>
      </c>
      <c r="AF44" s="124">
        <f>AF$21*shipping_manufacturing!$D$28/100</f>
        <v>151.14021506794327</v>
      </c>
      <c r="AG44" s="124">
        <f>AG$21*shipping_manufacturing!$D$28/100</f>
        <v>151.14021506794327</v>
      </c>
      <c r="AH44" s="124">
        <f>AH$21*shipping_manufacturing!$D$28/100</f>
        <v>151.14021506794327</v>
      </c>
      <c r="AI44" s="124">
        <f>AI$21*shipping_manufacturing!$D$28/100</f>
        <v>151.14021506794327</v>
      </c>
      <c r="AJ44" s="124">
        <f>AJ$21*shipping_manufacturing!$D$28/100</f>
        <v>151.14021506794327</v>
      </c>
      <c r="AK44" s="124">
        <f>AK$21*shipping_manufacturing!$D$28/100</f>
        <v>151.14021506794327</v>
      </c>
      <c r="AL44" s="124">
        <f>AL$21*shipping_manufacturing!$D$28/100</f>
        <v>151.14021506794327</v>
      </c>
      <c r="AM44" s="124">
        <f>AM$21*shipping_manufacturing!$D$28/100</f>
        <v>151.14021506794327</v>
      </c>
      <c r="AN44" s="124">
        <f>AN$21*shipping_manufacturing!$D$28/100</f>
        <v>151.14021506794327</v>
      </c>
      <c r="AO44" s="124">
        <f>AO$21*shipping_manufacturing!$D$28/100</f>
        <v>120.91217205435461</v>
      </c>
      <c r="AP44" s="124">
        <f>AP$21*shipping_manufacturing!$D$28/100</f>
        <v>120.91217205435461</v>
      </c>
      <c r="AQ44" s="124">
        <f>AQ$21*shipping_manufacturing!$D$28/100</f>
        <v>120.91217205435461</v>
      </c>
      <c r="AR44" s="124">
        <f>AR$21*shipping_manufacturing!$D$28/100</f>
        <v>120.91217205435461</v>
      </c>
      <c r="AS44" s="124">
        <f>AS$21*shipping_manufacturing!$D$28/100</f>
        <v>151.14021506794327</v>
      </c>
      <c r="AT44" s="124">
        <f>AT$21*shipping_manufacturing!$D$28/100</f>
        <v>151.14021506794327</v>
      </c>
      <c r="AU44" s="124">
        <f>AU$21*shipping_manufacturing!$D$28/100</f>
        <v>151.14021506794327</v>
      </c>
      <c r="AV44" s="124">
        <f>AV$21*shipping_manufacturing!$D$28/100</f>
        <v>0</v>
      </c>
      <c r="AW44" s="124">
        <f>AW$21*shipping_manufacturing!$D$28/100</f>
        <v>188.42880031572949</v>
      </c>
      <c r="AX44" s="124">
        <f>AX$21*shipping_manufacturing!$D$28/100</f>
        <v>151.14021506794327</v>
      </c>
      <c r="AY44" s="124">
        <f>AY$21*shipping_manufacturing!$D$28/100</f>
        <v>151.14021506794327</v>
      </c>
    </row>
    <row r="45" spans="1:52">
      <c r="A45" s="113" t="s">
        <v>340</v>
      </c>
      <c r="B45" s="165" t="s">
        <v>342</v>
      </c>
      <c r="C45" s="110"/>
      <c r="D45" s="110">
        <f>D$22*shipping_manufacturing!$E$28/100</f>
        <v>109.68815965148661</v>
      </c>
      <c r="E45" s="110">
        <f>E$22*shipping_manufacturing!$E$28/100</f>
        <v>87.981731096064721</v>
      </c>
      <c r="F45" s="110">
        <f>F$22*shipping_manufacturing!$E$28/100</f>
        <v>87.981731096064721</v>
      </c>
      <c r="G45" s="110">
        <f>G$22*shipping_manufacturing!$E$28/100</f>
        <v>87.981731096064721</v>
      </c>
      <c r="H45" s="110">
        <f>H$22*shipping_manufacturing!$E$28/100</f>
        <v>87.981731096064721</v>
      </c>
      <c r="I45" s="110">
        <f>I$22*shipping_manufacturing!$E$28/100</f>
        <v>87.981731096064721</v>
      </c>
      <c r="J45" s="110">
        <f>J$22*shipping_manufacturing!$E$28/100</f>
        <v>87.981731096064721</v>
      </c>
      <c r="K45" s="110">
        <f>K$22*shipping_manufacturing!$E$28/100</f>
        <v>87.981731096064721</v>
      </c>
      <c r="L45" s="110">
        <f>L$22*shipping_manufacturing!$E$28/100</f>
        <v>0</v>
      </c>
      <c r="M45" s="110">
        <f>M$22*shipping_manufacturing!$E$28/100</f>
        <v>109.68815965148661</v>
      </c>
      <c r="N45" s="110">
        <f>N$22*shipping_manufacturing!$E$28/100</f>
        <v>87.981731096064721</v>
      </c>
      <c r="O45" s="110">
        <f>O$22*shipping_manufacturing!$E$28/100</f>
        <v>87.981731096064721</v>
      </c>
      <c r="P45" s="110">
        <f>P$22*shipping_manufacturing!$E$28/100</f>
        <v>87.981731096064721</v>
      </c>
      <c r="Q45" s="110">
        <f>Q$22*shipping_manufacturing!$E$28/100</f>
        <v>87.981731096064721</v>
      </c>
      <c r="R45" s="110">
        <f>R$22*shipping_manufacturing!$E$28/100</f>
        <v>87.981731096064721</v>
      </c>
      <c r="S45" s="110">
        <f>S$22*shipping_manufacturing!$E$28/100</f>
        <v>87.981731096064721</v>
      </c>
      <c r="T45" s="110">
        <f>T$22*shipping_manufacturing!$E$28/100</f>
        <v>87.981731096064721</v>
      </c>
      <c r="U45" s="110">
        <f>U$22*shipping_manufacturing!$E$28/100</f>
        <v>87.981731096064721</v>
      </c>
      <c r="V45" s="110">
        <f>V$22*shipping_manufacturing!$E$28/100</f>
        <v>87.981731096064721</v>
      </c>
      <c r="W45" s="110">
        <f>W$22*shipping_manufacturing!$E$28/100</f>
        <v>87.981731096064721</v>
      </c>
      <c r="X45" s="110">
        <f>X$22*shipping_manufacturing!$E$28/100</f>
        <v>87.981731096064721</v>
      </c>
      <c r="Y45" s="110">
        <f>Y$22*shipping_manufacturing!$E$28/100</f>
        <v>87.981731096064721</v>
      </c>
      <c r="Z45" s="110">
        <f>Z$22*shipping_manufacturing!$E$28/100</f>
        <v>87.981731096064721</v>
      </c>
      <c r="AA45" s="110">
        <f>AA$22*shipping_manufacturing!$E$28/100</f>
        <v>87.981731096064721</v>
      </c>
      <c r="AB45" s="110">
        <f>AB$22*shipping_manufacturing!$E$28/100</f>
        <v>87.981731096064721</v>
      </c>
      <c r="AC45" s="110">
        <f>AC$22*shipping_manufacturing!$E$28/100</f>
        <v>87.981731096064721</v>
      </c>
      <c r="AD45" s="110">
        <f>AD$22*shipping_manufacturing!$E$28/100</f>
        <v>87.981731096064721</v>
      </c>
      <c r="AE45" s="110">
        <f>AE$22*shipping_manufacturing!$E$28/100</f>
        <v>87.981731096064721</v>
      </c>
      <c r="AF45" s="110">
        <f>AF$22*shipping_manufacturing!$E$28/100</f>
        <v>87.981731096064721</v>
      </c>
      <c r="AG45" s="110">
        <f>AG$22*shipping_manufacturing!$E$28/100</f>
        <v>87.981731096064721</v>
      </c>
      <c r="AH45" s="110">
        <f>AH$22*shipping_manufacturing!$E$28/100</f>
        <v>87.981731096064721</v>
      </c>
      <c r="AI45" s="110">
        <f>AI$22*shipping_manufacturing!$E$28/100</f>
        <v>87.981731096064721</v>
      </c>
      <c r="AJ45" s="110">
        <f>AJ$22*shipping_manufacturing!$E$28/100</f>
        <v>87.981731096064721</v>
      </c>
      <c r="AK45" s="110">
        <f>AK$22*shipping_manufacturing!$E$28/100</f>
        <v>87.981731096064721</v>
      </c>
      <c r="AL45" s="110">
        <f>AL$22*shipping_manufacturing!$E$28/100</f>
        <v>87.981731096064721</v>
      </c>
      <c r="AM45" s="110">
        <f>AM$22*shipping_manufacturing!$E$28/100</f>
        <v>87.981731096064721</v>
      </c>
      <c r="AN45" s="110">
        <f>AN$22*shipping_manufacturing!$E$28/100</f>
        <v>87.981731096064721</v>
      </c>
      <c r="AO45" s="110">
        <f>AO$22*shipping_manufacturing!$E$28/100</f>
        <v>70.385384876851774</v>
      </c>
      <c r="AP45" s="110">
        <f>AP$22*shipping_manufacturing!$E$28/100</f>
        <v>70.385384876851774</v>
      </c>
      <c r="AQ45" s="110">
        <f>AQ$22*shipping_manufacturing!$E$28/100</f>
        <v>70.385384876851774</v>
      </c>
      <c r="AR45" s="110">
        <f>AR$22*shipping_manufacturing!$E$28/100</f>
        <v>70.385384876851774</v>
      </c>
      <c r="AS45" s="110">
        <f>AS$22*shipping_manufacturing!$E$28/100</f>
        <v>87.981731096064721</v>
      </c>
      <c r="AT45" s="110">
        <f>AT$22*shipping_manufacturing!$E$28/100</f>
        <v>87.981731096064721</v>
      </c>
      <c r="AU45" s="110">
        <f>AU$22*shipping_manufacturing!$E$28/100</f>
        <v>87.981731096064721</v>
      </c>
      <c r="AV45" s="110">
        <f>AV$22*shipping_manufacturing!$E$28/100</f>
        <v>0</v>
      </c>
      <c r="AW45" s="110">
        <f>AW$22*shipping_manufacturing!$E$28/100</f>
        <v>109.68815965148661</v>
      </c>
      <c r="AX45" s="110">
        <f>AX$22*shipping_manufacturing!$E$28/100</f>
        <v>87.981731096064721</v>
      </c>
      <c r="AY45" s="110">
        <f>AY$22*shipping_manufacturing!$E$28/100</f>
        <v>87.981731096064721</v>
      </c>
    </row>
    <row r="46" spans="1:52">
      <c r="A46" s="110">
        <v>89</v>
      </c>
      <c r="B46" s="165" t="s">
        <v>343</v>
      </c>
      <c r="C46" s="110"/>
      <c r="D46" s="110">
        <f>SUM(D44:D45)</f>
        <v>298.11695996721608</v>
      </c>
      <c r="E46" s="110">
        <f t="shared" ref="E46:AY46" si="14">SUM(E44:E45)</f>
        <v>239.12194616400799</v>
      </c>
      <c r="F46" s="110">
        <f t="shared" si="14"/>
        <v>239.12194616400799</v>
      </c>
      <c r="G46" s="110">
        <f t="shared" si="14"/>
        <v>239.12194616400799</v>
      </c>
      <c r="H46" s="110">
        <f t="shared" si="14"/>
        <v>239.12194616400799</v>
      </c>
      <c r="I46" s="110">
        <f t="shared" si="14"/>
        <v>239.12194616400799</v>
      </c>
      <c r="J46" s="110">
        <f t="shared" si="14"/>
        <v>239.12194616400799</v>
      </c>
      <c r="K46" s="110">
        <f t="shared" si="14"/>
        <v>239.12194616400799</v>
      </c>
      <c r="L46" s="110">
        <f t="shared" si="14"/>
        <v>0</v>
      </c>
      <c r="M46" s="110">
        <f t="shared" si="14"/>
        <v>298.11695996721608</v>
      </c>
      <c r="N46" s="110">
        <f t="shared" si="14"/>
        <v>239.12194616400799</v>
      </c>
      <c r="O46" s="110">
        <f t="shared" si="14"/>
        <v>239.12194616400799</v>
      </c>
      <c r="P46" s="110">
        <f t="shared" si="14"/>
        <v>239.12194616400799</v>
      </c>
      <c r="Q46" s="110">
        <f t="shared" si="14"/>
        <v>239.12194616400799</v>
      </c>
      <c r="R46" s="110">
        <f t="shared" si="14"/>
        <v>239.12194616400799</v>
      </c>
      <c r="S46" s="110">
        <f t="shared" si="14"/>
        <v>239.12194616400799</v>
      </c>
      <c r="T46" s="110">
        <f t="shared" si="14"/>
        <v>239.12194616400799</v>
      </c>
      <c r="U46" s="110">
        <f t="shared" si="14"/>
        <v>239.12194616400799</v>
      </c>
      <c r="V46" s="110">
        <f t="shared" si="14"/>
        <v>239.12194616400799</v>
      </c>
      <c r="W46" s="110">
        <f t="shared" si="14"/>
        <v>239.12194616400799</v>
      </c>
      <c r="X46" s="110">
        <f t="shared" si="14"/>
        <v>239.12194616400799</v>
      </c>
      <c r="Y46" s="110">
        <f t="shared" si="14"/>
        <v>239.12194616400799</v>
      </c>
      <c r="Z46" s="110">
        <f t="shared" si="14"/>
        <v>239.12194616400799</v>
      </c>
      <c r="AA46" s="110">
        <f t="shared" si="14"/>
        <v>239.12194616400799</v>
      </c>
      <c r="AB46" s="110">
        <f t="shared" si="14"/>
        <v>239.12194616400799</v>
      </c>
      <c r="AC46" s="110">
        <f t="shared" si="14"/>
        <v>239.12194616400799</v>
      </c>
      <c r="AD46" s="110">
        <f t="shared" si="14"/>
        <v>239.12194616400799</v>
      </c>
      <c r="AE46" s="110">
        <f t="shared" si="14"/>
        <v>239.12194616400799</v>
      </c>
      <c r="AF46" s="110">
        <f t="shared" si="14"/>
        <v>239.12194616400799</v>
      </c>
      <c r="AG46" s="110">
        <f t="shared" si="14"/>
        <v>239.12194616400799</v>
      </c>
      <c r="AH46" s="110">
        <f t="shared" si="14"/>
        <v>239.12194616400799</v>
      </c>
      <c r="AI46" s="110">
        <f t="shared" si="14"/>
        <v>239.12194616400799</v>
      </c>
      <c r="AJ46" s="110">
        <f t="shared" si="14"/>
        <v>239.12194616400799</v>
      </c>
      <c r="AK46" s="110">
        <f t="shared" si="14"/>
        <v>239.12194616400799</v>
      </c>
      <c r="AL46" s="110">
        <f t="shared" si="14"/>
        <v>239.12194616400799</v>
      </c>
      <c r="AM46" s="110">
        <f t="shared" si="14"/>
        <v>239.12194616400799</v>
      </c>
      <c r="AN46" s="110">
        <f t="shared" si="14"/>
        <v>239.12194616400799</v>
      </c>
      <c r="AO46" s="110">
        <f t="shared" si="14"/>
        <v>191.29755693120637</v>
      </c>
      <c r="AP46" s="110">
        <f t="shared" si="14"/>
        <v>191.29755693120637</v>
      </c>
      <c r="AQ46" s="110">
        <f t="shared" si="14"/>
        <v>191.29755693120637</v>
      </c>
      <c r="AR46" s="110">
        <f t="shared" si="14"/>
        <v>191.29755693120637</v>
      </c>
      <c r="AS46" s="110">
        <f t="shared" si="14"/>
        <v>239.12194616400799</v>
      </c>
      <c r="AT46" s="110">
        <f t="shared" si="14"/>
        <v>239.12194616400799</v>
      </c>
      <c r="AU46" s="110">
        <f t="shared" si="14"/>
        <v>239.12194616400799</v>
      </c>
      <c r="AV46" s="110">
        <f t="shared" si="14"/>
        <v>0</v>
      </c>
      <c r="AW46" s="110">
        <f t="shared" si="14"/>
        <v>298.11695996721608</v>
      </c>
      <c r="AX46" s="110">
        <f t="shared" si="14"/>
        <v>239.12194616400799</v>
      </c>
      <c r="AY46" s="110">
        <f t="shared" si="14"/>
        <v>239.12194616400799</v>
      </c>
    </row>
    <row r="47" spans="1:52">
      <c r="A47" s="110"/>
      <c r="B47" s="165" t="s">
        <v>344</v>
      </c>
      <c r="C47" s="110"/>
      <c r="D47" s="110">
        <v>188.42880031572949</v>
      </c>
      <c r="E47" s="110"/>
      <c r="F47" s="110">
        <v>151.14021506794327</v>
      </c>
      <c r="G47" s="110">
        <v>37.923800176236398</v>
      </c>
      <c r="H47" s="110">
        <v>151.14021506794327</v>
      </c>
      <c r="I47" s="110">
        <v>37.923800176236398</v>
      </c>
      <c r="J47" s="110">
        <v>151.14021506794327</v>
      </c>
      <c r="K47" s="110">
        <v>37.923800176236398</v>
      </c>
      <c r="L47" s="110"/>
      <c r="M47" s="110">
        <v>188.42880031572949</v>
      </c>
      <c r="N47" s="110"/>
      <c r="O47" s="110">
        <v>151.14021506794327</v>
      </c>
      <c r="P47" s="110">
        <v>37.923800176236398</v>
      </c>
      <c r="Q47" s="110">
        <v>151.14021506794327</v>
      </c>
      <c r="R47" s="110">
        <v>37.923800176236398</v>
      </c>
      <c r="S47" s="110">
        <v>151.14021506794327</v>
      </c>
      <c r="T47" s="110">
        <v>37.923800176236398</v>
      </c>
      <c r="U47" s="110">
        <v>151.14021506794327</v>
      </c>
      <c r="V47" s="110">
        <v>37.923800176236398</v>
      </c>
      <c r="W47" s="110">
        <v>151.14021506794327</v>
      </c>
      <c r="X47" s="110">
        <v>37.923800176236398</v>
      </c>
      <c r="Y47" s="110">
        <v>151.14021506794327</v>
      </c>
      <c r="Z47" s="110">
        <v>37.923800176236398</v>
      </c>
      <c r="AA47" s="110">
        <v>151.14021506794327</v>
      </c>
      <c r="AB47" s="110">
        <v>37.923800176236398</v>
      </c>
      <c r="AC47" s="110">
        <v>151.14021506794327</v>
      </c>
      <c r="AD47" s="110">
        <v>37.923800176236398</v>
      </c>
      <c r="AE47" s="110">
        <v>151.14021506794327</v>
      </c>
      <c r="AF47" s="110">
        <v>37.923800176236398</v>
      </c>
      <c r="AG47" s="110">
        <v>151.14021506794327</v>
      </c>
      <c r="AH47" s="110">
        <v>37.923800176236398</v>
      </c>
      <c r="AI47" s="110">
        <v>151.14021506794327</v>
      </c>
      <c r="AJ47" s="110">
        <v>37.923800176236398</v>
      </c>
      <c r="AK47" s="110">
        <v>151.14021506794327</v>
      </c>
      <c r="AL47" s="110">
        <v>37.923800176236398</v>
      </c>
      <c r="AM47" s="110">
        <v>151.14021506794327</v>
      </c>
      <c r="AN47" s="110">
        <v>37.923800176236398</v>
      </c>
      <c r="AO47" s="110">
        <v>120.91217205435461</v>
      </c>
      <c r="AP47" s="110">
        <v>75.847600352472796</v>
      </c>
      <c r="AQ47" s="110">
        <v>120.91217205435461</v>
      </c>
      <c r="AR47" s="110">
        <v>75.847600352472796</v>
      </c>
      <c r="AS47" s="110">
        <v>132.73330061682739</v>
      </c>
      <c r="AT47" s="110">
        <v>75.847600352472796</v>
      </c>
      <c r="AU47" s="110">
        <v>132.73330061682739</v>
      </c>
      <c r="AV47" s="110"/>
      <c r="AW47" s="110">
        <v>188.42880031572949</v>
      </c>
      <c r="AX47" s="110"/>
      <c r="AY47" s="110">
        <v>151.14021506794327</v>
      </c>
    </row>
    <row r="48" spans="1:52">
      <c r="A48" s="110"/>
      <c r="B48" s="165" t="s">
        <v>345</v>
      </c>
      <c r="C48" s="110"/>
      <c r="D48" s="110">
        <v>109.68815965148661</v>
      </c>
      <c r="E48" s="110"/>
      <c r="F48" s="110">
        <v>87.981731096064721</v>
      </c>
      <c r="G48" s="110">
        <v>22.076199823763602</v>
      </c>
      <c r="H48" s="110">
        <v>87.981731096064721</v>
      </c>
      <c r="I48" s="110">
        <v>22.076199823763602</v>
      </c>
      <c r="J48" s="110">
        <v>87.981731096064721</v>
      </c>
      <c r="K48" s="110">
        <v>22.076199823763602</v>
      </c>
      <c r="L48" s="110"/>
      <c r="M48" s="110">
        <v>109.68815965148661</v>
      </c>
      <c r="N48" s="110"/>
      <c r="O48" s="110">
        <v>87.981731096064721</v>
      </c>
      <c r="P48" s="110">
        <v>22.076199823763602</v>
      </c>
      <c r="Q48" s="110">
        <v>87.981731096064721</v>
      </c>
      <c r="R48" s="110">
        <v>22.076199823763602</v>
      </c>
      <c r="S48" s="110">
        <v>87.981731096064721</v>
      </c>
      <c r="T48" s="110">
        <v>22.076199823763602</v>
      </c>
      <c r="U48" s="110">
        <v>87.981731096064721</v>
      </c>
      <c r="V48" s="110">
        <v>22.076199823763602</v>
      </c>
      <c r="W48" s="110">
        <v>87.981731096064721</v>
      </c>
      <c r="X48" s="110">
        <v>22.076199823763602</v>
      </c>
      <c r="Y48" s="110">
        <v>87.981731096064721</v>
      </c>
      <c r="Z48" s="110">
        <v>22.076199823763602</v>
      </c>
      <c r="AA48" s="110">
        <v>87.981731096064721</v>
      </c>
      <c r="AB48" s="110">
        <v>22.076199823763602</v>
      </c>
      <c r="AC48" s="110">
        <v>87.981731096064721</v>
      </c>
      <c r="AD48" s="110">
        <v>22.076199823763602</v>
      </c>
      <c r="AE48" s="110">
        <v>87.981731096064721</v>
      </c>
      <c r="AF48" s="110">
        <v>22.076199823763602</v>
      </c>
      <c r="AG48" s="110">
        <v>87.981731096064721</v>
      </c>
      <c r="AH48" s="110">
        <v>22.076199823763602</v>
      </c>
      <c r="AI48" s="110">
        <v>87.981731096064721</v>
      </c>
      <c r="AJ48" s="110">
        <v>22.076199823763602</v>
      </c>
      <c r="AK48" s="110">
        <v>87.981731096064721</v>
      </c>
      <c r="AL48" s="110">
        <v>22.076199823763602</v>
      </c>
      <c r="AM48" s="110">
        <v>87.981731096064721</v>
      </c>
      <c r="AN48" s="110">
        <v>22.076199823763602</v>
      </c>
      <c r="AO48" s="110">
        <v>70.385384876851774</v>
      </c>
      <c r="AP48" s="110">
        <v>44.152399647527218</v>
      </c>
      <c r="AQ48" s="110">
        <v>70.385384876851774</v>
      </c>
      <c r="AR48" s="110">
        <v>44.152399647527218</v>
      </c>
      <c r="AS48" s="110">
        <v>77.266699383172607</v>
      </c>
      <c r="AT48" s="110">
        <v>44.152399647527204</v>
      </c>
      <c r="AU48" s="110">
        <v>77.266699383172607</v>
      </c>
      <c r="AV48" s="110"/>
      <c r="AW48" s="110">
        <v>109.68815965148661</v>
      </c>
      <c r="AX48" s="110"/>
      <c r="AY48" s="110">
        <v>87.981731096064721</v>
      </c>
    </row>
    <row r="49" spans="1:52">
      <c r="A49" s="110"/>
      <c r="B49" s="165" t="s">
        <v>346</v>
      </c>
      <c r="C49" s="110"/>
      <c r="D49" s="110">
        <v>10</v>
      </c>
      <c r="E49" s="110"/>
      <c r="F49" s="110">
        <v>8</v>
      </c>
      <c r="G49" s="110">
        <v>2</v>
      </c>
      <c r="H49" s="110">
        <v>8</v>
      </c>
      <c r="I49" s="110">
        <v>2</v>
      </c>
      <c r="J49" s="110">
        <v>8</v>
      </c>
      <c r="K49" s="110">
        <v>2</v>
      </c>
      <c r="L49" s="110"/>
      <c r="M49" s="110">
        <v>10</v>
      </c>
      <c r="N49" s="110"/>
      <c r="O49" s="110">
        <v>8</v>
      </c>
      <c r="P49" s="110">
        <v>2</v>
      </c>
      <c r="Q49" s="110">
        <v>8</v>
      </c>
      <c r="R49" s="110">
        <v>2</v>
      </c>
      <c r="S49" s="110">
        <v>8</v>
      </c>
      <c r="T49" s="110">
        <v>2</v>
      </c>
      <c r="U49" s="110">
        <v>8</v>
      </c>
      <c r="V49" s="110">
        <v>2</v>
      </c>
      <c r="W49" s="110">
        <v>8</v>
      </c>
      <c r="X49" s="110">
        <v>2</v>
      </c>
      <c r="Y49" s="110">
        <v>8</v>
      </c>
      <c r="Z49" s="110">
        <v>2</v>
      </c>
      <c r="AA49" s="110">
        <v>8</v>
      </c>
      <c r="AB49" s="110">
        <v>2</v>
      </c>
      <c r="AC49" s="110">
        <v>8</v>
      </c>
      <c r="AD49" s="110">
        <v>2</v>
      </c>
      <c r="AE49" s="110">
        <v>8</v>
      </c>
      <c r="AF49" s="110">
        <v>2</v>
      </c>
      <c r="AG49" s="110">
        <v>8</v>
      </c>
      <c r="AH49" s="110">
        <v>2</v>
      </c>
      <c r="AI49" s="110">
        <v>8</v>
      </c>
      <c r="AJ49" s="110">
        <v>2</v>
      </c>
      <c r="AK49" s="110">
        <v>8</v>
      </c>
      <c r="AL49" s="110">
        <v>2</v>
      </c>
      <c r="AM49" s="110">
        <v>8</v>
      </c>
      <c r="AN49" s="110">
        <v>2</v>
      </c>
      <c r="AO49" s="110">
        <v>7</v>
      </c>
      <c r="AP49" s="110">
        <v>4</v>
      </c>
      <c r="AQ49" s="110">
        <v>7</v>
      </c>
      <c r="AR49" s="110">
        <v>4</v>
      </c>
      <c r="AS49" s="110">
        <v>7</v>
      </c>
      <c r="AT49" s="110">
        <v>4</v>
      </c>
      <c r="AU49" s="110">
        <v>7</v>
      </c>
      <c r="AV49" s="110"/>
      <c r="AW49" s="110">
        <v>10</v>
      </c>
      <c r="AX49" s="110"/>
      <c r="AY49" s="110">
        <v>8</v>
      </c>
    </row>
    <row r="50" spans="1:52">
      <c r="A50" s="110"/>
      <c r="B50" s="165" t="s">
        <v>347</v>
      </c>
      <c r="C50" s="110"/>
      <c r="D50" s="110">
        <f>D44-D47</f>
        <v>0</v>
      </c>
      <c r="E50" s="110">
        <f t="shared" ref="E50:AY50" si="15">E44-E47</f>
        <v>151.14021506794327</v>
      </c>
      <c r="F50" s="110">
        <f t="shared" si="15"/>
        <v>0</v>
      </c>
      <c r="G50" s="110">
        <f t="shared" si="15"/>
        <v>113.21641489170688</v>
      </c>
      <c r="H50" s="110">
        <f t="shared" si="15"/>
        <v>0</v>
      </c>
      <c r="I50" s="110">
        <f t="shared" si="15"/>
        <v>113.21641489170688</v>
      </c>
      <c r="J50" s="110">
        <f t="shared" si="15"/>
        <v>0</v>
      </c>
      <c r="K50" s="110">
        <f t="shared" si="15"/>
        <v>113.21641489170688</v>
      </c>
      <c r="L50" s="110">
        <f t="shared" si="15"/>
        <v>0</v>
      </c>
      <c r="M50" s="110">
        <f t="shared" si="15"/>
        <v>0</v>
      </c>
      <c r="N50" s="110">
        <f t="shared" si="15"/>
        <v>151.14021506794327</v>
      </c>
      <c r="O50" s="110">
        <f t="shared" si="15"/>
        <v>0</v>
      </c>
      <c r="P50" s="110">
        <f t="shared" si="15"/>
        <v>113.21641489170688</v>
      </c>
      <c r="Q50" s="110">
        <f t="shared" si="15"/>
        <v>0</v>
      </c>
      <c r="R50" s="110">
        <f t="shared" si="15"/>
        <v>113.21641489170688</v>
      </c>
      <c r="S50" s="110">
        <f t="shared" si="15"/>
        <v>0</v>
      </c>
      <c r="T50" s="110">
        <f t="shared" si="15"/>
        <v>113.21641489170688</v>
      </c>
      <c r="U50" s="110">
        <f t="shared" si="15"/>
        <v>0</v>
      </c>
      <c r="V50" s="110">
        <f t="shared" si="15"/>
        <v>113.21641489170688</v>
      </c>
      <c r="W50" s="110">
        <f t="shared" si="15"/>
        <v>0</v>
      </c>
      <c r="X50" s="110">
        <f t="shared" si="15"/>
        <v>113.21641489170688</v>
      </c>
      <c r="Y50" s="110">
        <f t="shared" si="15"/>
        <v>0</v>
      </c>
      <c r="Z50" s="110">
        <f t="shared" si="15"/>
        <v>113.21641489170688</v>
      </c>
      <c r="AA50" s="110">
        <f t="shared" si="15"/>
        <v>0</v>
      </c>
      <c r="AB50" s="110">
        <f t="shared" si="15"/>
        <v>113.21641489170688</v>
      </c>
      <c r="AC50" s="110">
        <f t="shared" si="15"/>
        <v>0</v>
      </c>
      <c r="AD50" s="110">
        <f t="shared" si="15"/>
        <v>113.21641489170688</v>
      </c>
      <c r="AE50" s="110">
        <f t="shared" si="15"/>
        <v>0</v>
      </c>
      <c r="AF50" s="110">
        <f t="shared" si="15"/>
        <v>113.21641489170688</v>
      </c>
      <c r="AG50" s="110">
        <f t="shared" si="15"/>
        <v>0</v>
      </c>
      <c r="AH50" s="110">
        <f t="shared" si="15"/>
        <v>113.21641489170688</v>
      </c>
      <c r="AI50" s="110">
        <f t="shared" si="15"/>
        <v>0</v>
      </c>
      <c r="AJ50" s="110">
        <f t="shared" si="15"/>
        <v>113.21641489170688</v>
      </c>
      <c r="AK50" s="110">
        <f t="shared" si="15"/>
        <v>0</v>
      </c>
      <c r="AL50" s="110">
        <f t="shared" si="15"/>
        <v>113.21641489170688</v>
      </c>
      <c r="AM50" s="110">
        <f t="shared" si="15"/>
        <v>0</v>
      </c>
      <c r="AN50" s="110">
        <f t="shared" si="15"/>
        <v>113.21641489170688</v>
      </c>
      <c r="AO50" s="110">
        <f t="shared" si="15"/>
        <v>0</v>
      </c>
      <c r="AP50" s="110">
        <f t="shared" si="15"/>
        <v>45.064571701881817</v>
      </c>
      <c r="AQ50" s="110">
        <f t="shared" si="15"/>
        <v>0</v>
      </c>
      <c r="AR50" s="110">
        <f t="shared" si="15"/>
        <v>45.064571701881817</v>
      </c>
      <c r="AS50" s="110">
        <f t="shared" si="15"/>
        <v>18.406914451115881</v>
      </c>
      <c r="AT50" s="110">
        <f t="shared" si="15"/>
        <v>75.292614715470478</v>
      </c>
      <c r="AU50" s="110">
        <f t="shared" si="15"/>
        <v>18.406914451115881</v>
      </c>
      <c r="AV50" s="110">
        <f t="shared" si="15"/>
        <v>0</v>
      </c>
      <c r="AW50" s="110">
        <f t="shared" si="15"/>
        <v>0</v>
      </c>
      <c r="AX50" s="110">
        <f t="shared" si="15"/>
        <v>151.14021506794327</v>
      </c>
      <c r="AY50" s="110">
        <f t="shared" si="15"/>
        <v>0</v>
      </c>
    </row>
    <row r="51" spans="1:52">
      <c r="A51" s="110"/>
      <c r="B51" s="165" t="s">
        <v>348</v>
      </c>
      <c r="C51" s="110"/>
      <c r="D51" s="110">
        <f>D45-D48</f>
        <v>0</v>
      </c>
      <c r="E51" s="110">
        <f t="shared" ref="E51:AY51" si="16">E45-E48</f>
        <v>87.981731096064721</v>
      </c>
      <c r="F51" s="110">
        <f t="shared" si="16"/>
        <v>0</v>
      </c>
      <c r="G51" s="110">
        <f t="shared" si="16"/>
        <v>65.905531272301118</v>
      </c>
      <c r="H51" s="110">
        <f t="shared" si="16"/>
        <v>0</v>
      </c>
      <c r="I51" s="110">
        <f t="shared" si="16"/>
        <v>65.905531272301118</v>
      </c>
      <c r="J51" s="110">
        <f t="shared" si="16"/>
        <v>0</v>
      </c>
      <c r="K51" s="110">
        <f t="shared" si="16"/>
        <v>65.905531272301118</v>
      </c>
      <c r="L51" s="110">
        <f t="shared" si="16"/>
        <v>0</v>
      </c>
      <c r="M51" s="110">
        <f t="shared" si="16"/>
        <v>0</v>
      </c>
      <c r="N51" s="110">
        <f t="shared" si="16"/>
        <v>87.981731096064721</v>
      </c>
      <c r="O51" s="110">
        <f t="shared" si="16"/>
        <v>0</v>
      </c>
      <c r="P51" s="110">
        <f t="shared" si="16"/>
        <v>65.905531272301118</v>
      </c>
      <c r="Q51" s="110">
        <f t="shared" si="16"/>
        <v>0</v>
      </c>
      <c r="R51" s="110">
        <f t="shared" si="16"/>
        <v>65.905531272301118</v>
      </c>
      <c r="S51" s="110">
        <f t="shared" si="16"/>
        <v>0</v>
      </c>
      <c r="T51" s="110">
        <f t="shared" si="16"/>
        <v>65.905531272301118</v>
      </c>
      <c r="U51" s="110">
        <f t="shared" si="16"/>
        <v>0</v>
      </c>
      <c r="V51" s="110">
        <f t="shared" si="16"/>
        <v>65.905531272301118</v>
      </c>
      <c r="W51" s="110">
        <f t="shared" si="16"/>
        <v>0</v>
      </c>
      <c r="X51" s="110">
        <f t="shared" si="16"/>
        <v>65.905531272301118</v>
      </c>
      <c r="Y51" s="110">
        <f t="shared" si="16"/>
        <v>0</v>
      </c>
      <c r="Z51" s="110">
        <f t="shared" si="16"/>
        <v>65.905531272301118</v>
      </c>
      <c r="AA51" s="110">
        <f t="shared" si="16"/>
        <v>0</v>
      </c>
      <c r="AB51" s="110">
        <f t="shared" si="16"/>
        <v>65.905531272301118</v>
      </c>
      <c r="AC51" s="110">
        <f t="shared" si="16"/>
        <v>0</v>
      </c>
      <c r="AD51" s="110">
        <f t="shared" si="16"/>
        <v>65.905531272301118</v>
      </c>
      <c r="AE51" s="110">
        <f t="shared" si="16"/>
        <v>0</v>
      </c>
      <c r="AF51" s="110">
        <f t="shared" si="16"/>
        <v>65.905531272301118</v>
      </c>
      <c r="AG51" s="110">
        <f t="shared" si="16"/>
        <v>0</v>
      </c>
      <c r="AH51" s="110">
        <f t="shared" si="16"/>
        <v>65.905531272301118</v>
      </c>
      <c r="AI51" s="110">
        <f t="shared" si="16"/>
        <v>0</v>
      </c>
      <c r="AJ51" s="110">
        <f t="shared" si="16"/>
        <v>65.905531272301118</v>
      </c>
      <c r="AK51" s="110">
        <f t="shared" si="16"/>
        <v>0</v>
      </c>
      <c r="AL51" s="110">
        <f t="shared" si="16"/>
        <v>65.905531272301118</v>
      </c>
      <c r="AM51" s="110">
        <f t="shared" si="16"/>
        <v>0</v>
      </c>
      <c r="AN51" s="110">
        <f t="shared" si="16"/>
        <v>65.905531272301118</v>
      </c>
      <c r="AO51" s="110">
        <f t="shared" si="16"/>
        <v>0</v>
      </c>
      <c r="AP51" s="110">
        <f t="shared" si="16"/>
        <v>26.232985229324555</v>
      </c>
      <c r="AQ51" s="110">
        <f t="shared" si="16"/>
        <v>0</v>
      </c>
      <c r="AR51" s="110">
        <f t="shared" si="16"/>
        <v>26.232985229324555</v>
      </c>
      <c r="AS51" s="110">
        <f t="shared" si="16"/>
        <v>10.715031712892113</v>
      </c>
      <c r="AT51" s="110">
        <f t="shared" si="16"/>
        <v>43.829331448537516</v>
      </c>
      <c r="AU51" s="110">
        <f t="shared" si="16"/>
        <v>10.715031712892113</v>
      </c>
      <c r="AV51" s="110">
        <f t="shared" si="16"/>
        <v>0</v>
      </c>
      <c r="AW51" s="110">
        <f t="shared" si="16"/>
        <v>0</v>
      </c>
      <c r="AX51" s="110">
        <f t="shared" si="16"/>
        <v>87.981731096064721</v>
      </c>
      <c r="AY51" s="110">
        <f t="shared" si="16"/>
        <v>0</v>
      </c>
    </row>
    <row r="52" spans="1:52">
      <c r="A52" s="110"/>
      <c r="B52" s="165" t="s">
        <v>349</v>
      </c>
      <c r="C52" s="110"/>
      <c r="D52" s="110">
        <v>1</v>
      </c>
      <c r="E52" s="110">
        <v>2</v>
      </c>
      <c r="F52" s="110">
        <v>1</v>
      </c>
      <c r="G52" s="110">
        <v>1</v>
      </c>
      <c r="H52" s="110">
        <v>3</v>
      </c>
      <c r="I52" s="110">
        <v>2</v>
      </c>
      <c r="J52" s="110">
        <v>2</v>
      </c>
      <c r="K52" s="110">
        <v>1</v>
      </c>
      <c r="L52" s="110">
        <v>3</v>
      </c>
      <c r="M52" s="110">
        <v>1</v>
      </c>
      <c r="N52" s="110">
        <v>1</v>
      </c>
      <c r="O52" s="110">
        <v>1</v>
      </c>
      <c r="P52" s="110">
        <v>1</v>
      </c>
      <c r="Q52" s="110">
        <v>2</v>
      </c>
      <c r="R52" s="110">
        <v>1</v>
      </c>
      <c r="S52" s="110">
        <v>1</v>
      </c>
      <c r="T52" s="110">
        <v>1</v>
      </c>
      <c r="U52" s="110">
        <v>2</v>
      </c>
      <c r="V52" s="110">
        <v>1</v>
      </c>
      <c r="W52" s="110">
        <v>2</v>
      </c>
      <c r="X52" s="110">
        <v>1</v>
      </c>
      <c r="Y52" s="110">
        <v>1</v>
      </c>
      <c r="Z52" s="110">
        <v>1</v>
      </c>
      <c r="AA52" s="110">
        <v>2</v>
      </c>
      <c r="AB52" s="110">
        <v>3</v>
      </c>
      <c r="AC52" s="110">
        <v>1</v>
      </c>
      <c r="AD52" s="110">
        <v>2</v>
      </c>
      <c r="AE52" s="110">
        <v>1</v>
      </c>
      <c r="AF52" s="110">
        <v>2</v>
      </c>
      <c r="AG52" s="110">
        <v>2</v>
      </c>
      <c r="AH52" s="110">
        <v>1</v>
      </c>
      <c r="AI52" s="110">
        <v>1</v>
      </c>
      <c r="AJ52" s="110">
        <v>2</v>
      </c>
      <c r="AK52" s="110">
        <v>1</v>
      </c>
      <c r="AL52" s="110">
        <v>1</v>
      </c>
      <c r="AM52" s="110">
        <v>1</v>
      </c>
      <c r="AN52" s="110">
        <v>1</v>
      </c>
      <c r="AO52" s="110">
        <v>1</v>
      </c>
      <c r="AP52" s="110">
        <v>1</v>
      </c>
      <c r="AQ52" s="110">
        <v>2</v>
      </c>
      <c r="AR52" s="110">
        <v>1</v>
      </c>
      <c r="AS52" s="110">
        <v>1</v>
      </c>
      <c r="AT52" s="110">
        <v>2</v>
      </c>
      <c r="AU52" s="110">
        <v>2</v>
      </c>
      <c r="AV52" s="110">
        <v>1</v>
      </c>
      <c r="AW52" s="110">
        <v>1</v>
      </c>
      <c r="AX52" s="110">
        <v>2</v>
      </c>
      <c r="AY52" s="110">
        <v>1</v>
      </c>
    </row>
    <row r="53" spans="1:52">
      <c r="A53" s="110"/>
      <c r="B53" s="178" t="s">
        <v>350</v>
      </c>
      <c r="C53" s="110"/>
      <c r="D53" s="110">
        <v>32040</v>
      </c>
      <c r="E53" s="110">
        <v>0</v>
      </c>
      <c r="F53" s="110">
        <v>25632</v>
      </c>
      <c r="G53" s="110">
        <v>6408</v>
      </c>
      <c r="H53" s="110">
        <v>25632</v>
      </c>
      <c r="I53" s="110">
        <v>6408</v>
      </c>
      <c r="J53" s="110">
        <v>25632</v>
      </c>
      <c r="K53" s="110">
        <v>6408</v>
      </c>
      <c r="L53" s="110">
        <v>0</v>
      </c>
      <c r="M53" s="110">
        <v>32040</v>
      </c>
      <c r="N53" s="110">
        <v>0</v>
      </c>
      <c r="O53" s="110">
        <v>25632</v>
      </c>
      <c r="P53" s="110">
        <v>6408</v>
      </c>
      <c r="Q53" s="110">
        <v>25632</v>
      </c>
      <c r="R53" s="110">
        <v>6408</v>
      </c>
      <c r="S53" s="110">
        <v>25632</v>
      </c>
      <c r="T53" s="110">
        <v>6408</v>
      </c>
      <c r="U53" s="110">
        <v>25632</v>
      </c>
      <c r="V53" s="110">
        <v>6408</v>
      </c>
      <c r="W53" s="110">
        <v>25632</v>
      </c>
      <c r="X53" s="110">
        <v>6408</v>
      </c>
      <c r="Y53" s="110">
        <v>25632</v>
      </c>
      <c r="Z53" s="110">
        <v>6408</v>
      </c>
      <c r="AA53" s="110">
        <v>25632</v>
      </c>
      <c r="AB53" s="110">
        <v>6408</v>
      </c>
      <c r="AC53" s="110">
        <v>25632</v>
      </c>
      <c r="AD53" s="110">
        <v>6408</v>
      </c>
      <c r="AE53" s="110">
        <v>25632</v>
      </c>
      <c r="AF53" s="110">
        <v>6408</v>
      </c>
      <c r="AG53" s="110">
        <v>25632</v>
      </c>
      <c r="AH53" s="110">
        <v>6408</v>
      </c>
      <c r="AI53" s="110">
        <v>25632</v>
      </c>
      <c r="AJ53" s="110">
        <v>6408</v>
      </c>
      <c r="AK53" s="110">
        <v>25632</v>
      </c>
      <c r="AL53" s="110">
        <v>6408</v>
      </c>
      <c r="AM53" s="110">
        <v>25632</v>
      </c>
      <c r="AN53" s="110">
        <v>6408</v>
      </c>
      <c r="AO53" s="110">
        <v>22428</v>
      </c>
      <c r="AP53" s="110">
        <v>12816</v>
      </c>
      <c r="AQ53" s="110">
        <v>22428</v>
      </c>
      <c r="AR53" s="110">
        <v>12816</v>
      </c>
      <c r="AS53" s="110">
        <v>22428</v>
      </c>
      <c r="AT53" s="110">
        <v>12816</v>
      </c>
      <c r="AU53" s="110">
        <v>22428</v>
      </c>
      <c r="AV53" s="110">
        <v>0</v>
      </c>
      <c r="AW53" s="110">
        <v>32040</v>
      </c>
      <c r="AX53" s="110">
        <v>0</v>
      </c>
      <c r="AY53" s="110">
        <v>25632</v>
      </c>
      <c r="AZ53" s="100">
        <f>SUM($D$53:$AY$53)</f>
        <v>762552</v>
      </c>
    </row>
    <row r="54" spans="1:52">
      <c r="A54" s="110"/>
      <c r="B54" s="178" t="s">
        <v>351</v>
      </c>
      <c r="C54" s="110"/>
      <c r="D54" s="110">
        <v>0</v>
      </c>
      <c r="E54" s="110">
        <v>13833.204585587864</v>
      </c>
      <c r="F54" s="110">
        <v>0</v>
      </c>
      <c r="G54" s="110">
        <v>10362.204585587862</v>
      </c>
      <c r="H54" s="110">
        <v>0</v>
      </c>
      <c r="I54" s="110">
        <v>10362.204585587862</v>
      </c>
      <c r="J54" s="110">
        <v>0</v>
      </c>
      <c r="K54" s="110">
        <v>10362.204585587862</v>
      </c>
      <c r="L54" s="110">
        <v>0</v>
      </c>
      <c r="M54" s="110">
        <v>0</v>
      </c>
      <c r="N54" s="110">
        <v>13833.204585587864</v>
      </c>
      <c r="O54" s="110">
        <v>0</v>
      </c>
      <c r="P54" s="110">
        <v>10362.204585587862</v>
      </c>
      <c r="Q54" s="110">
        <v>0</v>
      </c>
      <c r="R54" s="110">
        <v>10362.204585587862</v>
      </c>
      <c r="S54" s="110">
        <v>0</v>
      </c>
      <c r="T54" s="110">
        <v>10362.204585587862</v>
      </c>
      <c r="U54" s="110">
        <v>0</v>
      </c>
      <c r="V54" s="110">
        <v>10362.204585587862</v>
      </c>
      <c r="W54" s="110">
        <v>0</v>
      </c>
      <c r="X54" s="110">
        <v>10362.204585587862</v>
      </c>
      <c r="Y54" s="110">
        <v>0</v>
      </c>
      <c r="Z54" s="110">
        <v>10362.204585587862</v>
      </c>
      <c r="AA54" s="110">
        <v>0</v>
      </c>
      <c r="AB54" s="110">
        <v>10362.204585587862</v>
      </c>
      <c r="AC54" s="110">
        <v>0</v>
      </c>
      <c r="AD54" s="110">
        <v>10362.204585587862</v>
      </c>
      <c r="AE54" s="110">
        <v>0</v>
      </c>
      <c r="AF54" s="110">
        <v>10362.204585587862</v>
      </c>
      <c r="AG54" s="110">
        <v>0</v>
      </c>
      <c r="AH54" s="110">
        <v>10362.204585587862</v>
      </c>
      <c r="AI54" s="110">
        <v>0</v>
      </c>
      <c r="AJ54" s="110">
        <v>10362.204585587862</v>
      </c>
      <c r="AK54" s="110">
        <v>0</v>
      </c>
      <c r="AL54" s="110">
        <v>10362.204585587862</v>
      </c>
      <c r="AM54" s="110">
        <v>0</v>
      </c>
      <c r="AN54" s="110">
        <v>10362.204585587862</v>
      </c>
      <c r="AO54" s="110">
        <v>0</v>
      </c>
      <c r="AP54" s="110">
        <v>4124.5636684702886</v>
      </c>
      <c r="AQ54" s="110">
        <v>0</v>
      </c>
      <c r="AR54" s="110">
        <v>4124.5636684702886</v>
      </c>
      <c r="AS54" s="110">
        <v>1684.7045855878623</v>
      </c>
      <c r="AT54" s="110">
        <v>6891.2045855878623</v>
      </c>
      <c r="AU54" s="110">
        <v>1684.7045855878623</v>
      </c>
      <c r="AV54" s="110">
        <v>0</v>
      </c>
      <c r="AW54" s="110">
        <v>0</v>
      </c>
      <c r="AX54" s="110">
        <v>13833.204585587864</v>
      </c>
      <c r="AY54" s="110">
        <v>0</v>
      </c>
      <c r="AZ54" s="100">
        <f>SUM($D$54:$AY$54)</f>
        <v>225804.62821987362</v>
      </c>
    </row>
    <row r="55" spans="1:52">
      <c r="A55" s="135" t="s">
        <v>59</v>
      </c>
      <c r="B55" s="135" t="s">
        <v>341</v>
      </c>
      <c r="C55" s="124"/>
      <c r="D55" s="124">
        <f>D$21*shipping_manufacturing!$D$29/100</f>
        <v>0</v>
      </c>
      <c r="E55" s="124">
        <f>E$21*shipping_manufacturing!$D$29/100</f>
        <v>0</v>
      </c>
      <c r="F55" s="124">
        <f>F$21*shipping_manufacturing!$D$29/100</f>
        <v>0</v>
      </c>
      <c r="G55" s="124">
        <f>G$21*shipping_manufacturing!$D$29/100</f>
        <v>0</v>
      </c>
      <c r="H55" s="124">
        <f>H$21*shipping_manufacturing!$D$29/100</f>
        <v>0</v>
      </c>
      <c r="I55" s="124">
        <f>I$21*shipping_manufacturing!$D$29/100</f>
        <v>0</v>
      </c>
      <c r="J55" s="124">
        <f>J$21*shipping_manufacturing!$D$29/100</f>
        <v>0</v>
      </c>
      <c r="K55" s="124">
        <f>K$21*shipping_manufacturing!$D$29/100</f>
        <v>0</v>
      </c>
      <c r="L55" s="124">
        <f>L$21*shipping_manufacturing!$D$29/100</f>
        <v>0</v>
      </c>
      <c r="M55" s="124">
        <f>M$21*shipping_manufacturing!$D$29/100</f>
        <v>0</v>
      </c>
      <c r="N55" s="124">
        <f>N$21*shipping_manufacturing!$D$29/100</f>
        <v>0</v>
      </c>
      <c r="O55" s="124">
        <f>O$21*shipping_manufacturing!$D$29/100</f>
        <v>0</v>
      </c>
      <c r="P55" s="124">
        <f>P$21*shipping_manufacturing!$D$29/100</f>
        <v>0</v>
      </c>
      <c r="Q55" s="124">
        <f>Q$21*shipping_manufacturing!$D$29/100</f>
        <v>0</v>
      </c>
      <c r="R55" s="124">
        <f>R$21*shipping_manufacturing!$D$29/100</f>
        <v>0</v>
      </c>
      <c r="S55" s="124">
        <f>S$21*shipping_manufacturing!$D$29/100</f>
        <v>0</v>
      </c>
      <c r="T55" s="124">
        <f>T$21*shipping_manufacturing!$D$29/100</f>
        <v>0</v>
      </c>
      <c r="U55" s="124">
        <f>U$21*shipping_manufacturing!$D$29/100</f>
        <v>0</v>
      </c>
      <c r="V55" s="124">
        <f>V$21*shipping_manufacturing!$D$29/100</f>
        <v>0</v>
      </c>
      <c r="W55" s="124">
        <f>W$21*shipping_manufacturing!$D$29/100</f>
        <v>0</v>
      </c>
      <c r="X55" s="124">
        <f>X$21*shipping_manufacturing!$D$29/100</f>
        <v>0</v>
      </c>
      <c r="Y55" s="124">
        <f>Y$21*shipping_manufacturing!$D$29/100</f>
        <v>0</v>
      </c>
      <c r="Z55" s="124">
        <f>Z$21*shipping_manufacturing!$D$29/100</f>
        <v>0</v>
      </c>
      <c r="AA55" s="124">
        <f>AA$21*shipping_manufacturing!$D$29/100</f>
        <v>0</v>
      </c>
      <c r="AB55" s="124">
        <f>AB$21*shipping_manufacturing!$D$29/100</f>
        <v>0</v>
      </c>
      <c r="AC55" s="124">
        <f>AC$21*shipping_manufacturing!$D$29/100</f>
        <v>0</v>
      </c>
      <c r="AD55" s="124">
        <f>AD$21*shipping_manufacturing!$D$29/100</f>
        <v>0</v>
      </c>
      <c r="AE55" s="124">
        <f>AE$21*shipping_manufacturing!$D$29/100</f>
        <v>0</v>
      </c>
      <c r="AF55" s="124">
        <f>AF$21*shipping_manufacturing!$D$29/100</f>
        <v>0</v>
      </c>
      <c r="AG55" s="124">
        <f>AG$21*shipping_manufacturing!$D$29/100</f>
        <v>0</v>
      </c>
      <c r="AH55" s="124">
        <f>AH$21*shipping_manufacturing!$D$29/100</f>
        <v>0</v>
      </c>
      <c r="AI55" s="124">
        <f>AI$21*shipping_manufacturing!$D$29/100</f>
        <v>0</v>
      </c>
      <c r="AJ55" s="124">
        <f>AJ$21*shipping_manufacturing!$D$29/100</f>
        <v>0</v>
      </c>
      <c r="AK55" s="124">
        <f>AK$21*shipping_manufacturing!$D$29/100</f>
        <v>0</v>
      </c>
      <c r="AL55" s="124">
        <f>AL$21*shipping_manufacturing!$D$29/100</f>
        <v>0</v>
      </c>
      <c r="AM55" s="124">
        <f>AM$21*shipping_manufacturing!$D$29/100</f>
        <v>0</v>
      </c>
      <c r="AN55" s="124">
        <f>AN$21*shipping_manufacturing!$D$29/100</f>
        <v>0</v>
      </c>
      <c r="AO55" s="124">
        <f>AO$21*shipping_manufacturing!$D$29/100</f>
        <v>0</v>
      </c>
      <c r="AP55" s="124">
        <f>AP$21*shipping_manufacturing!$D$29/100</f>
        <v>0</v>
      </c>
      <c r="AQ55" s="124">
        <f>AQ$21*shipping_manufacturing!$D$29/100</f>
        <v>0</v>
      </c>
      <c r="AR55" s="124">
        <f>AR$21*shipping_manufacturing!$D$29/100</f>
        <v>0</v>
      </c>
      <c r="AS55" s="124">
        <f>AS$21*shipping_manufacturing!$D$29/100</f>
        <v>0</v>
      </c>
      <c r="AT55" s="124">
        <f>AT$21*shipping_manufacturing!$D$29/100</f>
        <v>0</v>
      </c>
      <c r="AU55" s="124">
        <f>AU$21*shipping_manufacturing!$D$29/100</f>
        <v>0</v>
      </c>
      <c r="AV55" s="124">
        <f>AV$21*shipping_manufacturing!$D$29/100</f>
        <v>0</v>
      </c>
      <c r="AW55" s="124">
        <f>AW$21*shipping_manufacturing!$D$29/100</f>
        <v>0</v>
      </c>
      <c r="AX55" s="124">
        <f>AX$21*shipping_manufacturing!$D$29/100</f>
        <v>0</v>
      </c>
      <c r="AY55" s="124">
        <f>AY$21*shipping_manufacturing!$D$29/100</f>
        <v>0</v>
      </c>
    </row>
    <row r="56" spans="1:52">
      <c r="A56" s="113" t="s">
        <v>340</v>
      </c>
      <c r="B56" s="165" t="s">
        <v>342</v>
      </c>
      <c r="C56" s="110"/>
      <c r="D56" s="110">
        <f>D$22*shipping_manufacturing!$E$29/100</f>
        <v>0</v>
      </c>
      <c r="E56" s="110">
        <f>E$22*shipping_manufacturing!$E$29/100</f>
        <v>0</v>
      </c>
      <c r="F56" s="110">
        <f>F$22*shipping_manufacturing!$E$29/100</f>
        <v>0</v>
      </c>
      <c r="G56" s="110">
        <f>G$22*shipping_manufacturing!$E$29/100</f>
        <v>0</v>
      </c>
      <c r="H56" s="110">
        <f>H$22*shipping_manufacturing!$E$29/100</f>
        <v>0</v>
      </c>
      <c r="I56" s="110">
        <f>I$22*shipping_manufacturing!$E$29/100</f>
        <v>0</v>
      </c>
      <c r="J56" s="110">
        <f>J$22*shipping_manufacturing!$E$29/100</f>
        <v>0</v>
      </c>
      <c r="K56" s="110">
        <f>K$22*shipping_manufacturing!$E$29/100</f>
        <v>0</v>
      </c>
      <c r="L56" s="110">
        <f>L$22*shipping_manufacturing!$E$29/100</f>
        <v>0</v>
      </c>
      <c r="M56" s="110">
        <f>M$22*shipping_manufacturing!$E$29/100</f>
        <v>0</v>
      </c>
      <c r="N56" s="110">
        <f>N$22*shipping_manufacturing!$E$29/100</f>
        <v>0</v>
      </c>
      <c r="O56" s="110">
        <f>O$22*shipping_manufacturing!$E$29/100</f>
        <v>0</v>
      </c>
      <c r="P56" s="110">
        <f>P$22*shipping_manufacturing!$E$29/100</f>
        <v>0</v>
      </c>
      <c r="Q56" s="110">
        <f>Q$22*shipping_manufacturing!$E$29/100</f>
        <v>0</v>
      </c>
      <c r="R56" s="110">
        <f>R$22*shipping_manufacturing!$E$29/100</f>
        <v>0</v>
      </c>
      <c r="S56" s="110">
        <f>S$22*shipping_manufacturing!$E$29/100</f>
        <v>0</v>
      </c>
      <c r="T56" s="110">
        <f>T$22*shipping_manufacturing!$E$29/100</f>
        <v>0</v>
      </c>
      <c r="U56" s="110">
        <f>U$22*shipping_manufacturing!$E$29/100</f>
        <v>0</v>
      </c>
      <c r="V56" s="110">
        <f>V$22*shipping_manufacturing!$E$29/100</f>
        <v>0</v>
      </c>
      <c r="W56" s="110">
        <f>W$22*shipping_manufacturing!$E$29/100</f>
        <v>0</v>
      </c>
      <c r="X56" s="110">
        <f>X$22*shipping_manufacturing!$E$29/100</f>
        <v>0</v>
      </c>
      <c r="Y56" s="110">
        <f>Y$22*shipping_manufacturing!$E$29/100</f>
        <v>0</v>
      </c>
      <c r="Z56" s="110">
        <f>Z$22*shipping_manufacturing!$E$29/100</f>
        <v>0</v>
      </c>
      <c r="AA56" s="110">
        <f>AA$22*shipping_manufacturing!$E$29/100</f>
        <v>0</v>
      </c>
      <c r="AB56" s="110">
        <f>AB$22*shipping_manufacturing!$E$29/100</f>
        <v>0</v>
      </c>
      <c r="AC56" s="110">
        <f>AC$22*shipping_manufacturing!$E$29/100</f>
        <v>0</v>
      </c>
      <c r="AD56" s="110">
        <f>AD$22*shipping_manufacturing!$E$29/100</f>
        <v>0</v>
      </c>
      <c r="AE56" s="110">
        <f>AE$22*shipping_manufacturing!$E$29/100</f>
        <v>0</v>
      </c>
      <c r="AF56" s="110">
        <f>AF$22*shipping_manufacturing!$E$29/100</f>
        <v>0</v>
      </c>
      <c r="AG56" s="110">
        <f>AG$22*shipping_manufacturing!$E$29/100</f>
        <v>0</v>
      </c>
      <c r="AH56" s="110">
        <f>AH$22*shipping_manufacturing!$E$29/100</f>
        <v>0</v>
      </c>
      <c r="AI56" s="110">
        <f>AI$22*shipping_manufacturing!$E$29/100</f>
        <v>0</v>
      </c>
      <c r="AJ56" s="110">
        <f>AJ$22*shipping_manufacturing!$E$29/100</f>
        <v>0</v>
      </c>
      <c r="AK56" s="110">
        <f>AK$22*shipping_manufacturing!$E$29/100</f>
        <v>0</v>
      </c>
      <c r="AL56" s="110">
        <f>AL$22*shipping_manufacturing!$E$29/100</f>
        <v>0</v>
      </c>
      <c r="AM56" s="110">
        <f>AM$22*shipping_manufacturing!$E$29/100</f>
        <v>0</v>
      </c>
      <c r="AN56" s="110">
        <f>AN$22*shipping_manufacturing!$E$29/100</f>
        <v>0</v>
      </c>
      <c r="AO56" s="110">
        <f>AO$22*shipping_manufacturing!$E$29/100</f>
        <v>0</v>
      </c>
      <c r="AP56" s="110">
        <f>AP$22*shipping_manufacturing!$E$29/100</f>
        <v>0</v>
      </c>
      <c r="AQ56" s="110">
        <f>AQ$22*shipping_manufacturing!$E$29/100</f>
        <v>0</v>
      </c>
      <c r="AR56" s="110">
        <f>AR$22*shipping_manufacturing!$E$29/100</f>
        <v>0</v>
      </c>
      <c r="AS56" s="110">
        <f>AS$22*shipping_manufacturing!$E$29/100</f>
        <v>0</v>
      </c>
      <c r="AT56" s="110">
        <f>AT$22*shipping_manufacturing!$E$29/100</f>
        <v>0</v>
      </c>
      <c r="AU56" s="110">
        <f>AU$22*shipping_manufacturing!$E$29/100</f>
        <v>0</v>
      </c>
      <c r="AV56" s="110">
        <f>AV$22*shipping_manufacturing!$E$29/100</f>
        <v>0</v>
      </c>
      <c r="AW56" s="110">
        <f>AW$22*shipping_manufacturing!$E$29/100</f>
        <v>0</v>
      </c>
      <c r="AX56" s="110">
        <f>AX$22*shipping_manufacturing!$E$29/100</f>
        <v>0</v>
      </c>
      <c r="AY56" s="110">
        <f>AY$22*shipping_manufacturing!$E$29/100</f>
        <v>0</v>
      </c>
    </row>
    <row r="57" spans="1:52">
      <c r="A57" s="110">
        <v>2339</v>
      </c>
      <c r="B57" s="165" t="s">
        <v>343</v>
      </c>
      <c r="C57" s="110"/>
      <c r="D57" s="110">
        <f>SUM(D55:D56)</f>
        <v>0</v>
      </c>
      <c r="E57" s="110">
        <f t="shared" ref="E57:AY57" si="17">SUM(E55:E56)</f>
        <v>0</v>
      </c>
      <c r="F57" s="110">
        <f t="shared" si="17"/>
        <v>0</v>
      </c>
      <c r="G57" s="110">
        <f t="shared" si="17"/>
        <v>0</v>
      </c>
      <c r="H57" s="110">
        <f t="shared" si="17"/>
        <v>0</v>
      </c>
      <c r="I57" s="110">
        <f t="shared" si="17"/>
        <v>0</v>
      </c>
      <c r="J57" s="110">
        <f t="shared" si="17"/>
        <v>0</v>
      </c>
      <c r="K57" s="110">
        <f t="shared" si="17"/>
        <v>0</v>
      </c>
      <c r="L57" s="110">
        <f t="shared" si="17"/>
        <v>0</v>
      </c>
      <c r="M57" s="110">
        <f t="shared" si="17"/>
        <v>0</v>
      </c>
      <c r="N57" s="110">
        <f t="shared" si="17"/>
        <v>0</v>
      </c>
      <c r="O57" s="110">
        <f t="shared" si="17"/>
        <v>0</v>
      </c>
      <c r="P57" s="110">
        <f t="shared" si="17"/>
        <v>0</v>
      </c>
      <c r="Q57" s="110">
        <f t="shared" si="17"/>
        <v>0</v>
      </c>
      <c r="R57" s="110">
        <f t="shared" si="17"/>
        <v>0</v>
      </c>
      <c r="S57" s="110">
        <f t="shared" si="17"/>
        <v>0</v>
      </c>
      <c r="T57" s="110">
        <f t="shared" si="17"/>
        <v>0</v>
      </c>
      <c r="U57" s="110">
        <f t="shared" si="17"/>
        <v>0</v>
      </c>
      <c r="V57" s="110">
        <f t="shared" si="17"/>
        <v>0</v>
      </c>
      <c r="W57" s="110">
        <f t="shared" si="17"/>
        <v>0</v>
      </c>
      <c r="X57" s="110">
        <f t="shared" si="17"/>
        <v>0</v>
      </c>
      <c r="Y57" s="110">
        <f t="shared" si="17"/>
        <v>0</v>
      </c>
      <c r="Z57" s="110">
        <f t="shared" si="17"/>
        <v>0</v>
      </c>
      <c r="AA57" s="110">
        <f t="shared" si="17"/>
        <v>0</v>
      </c>
      <c r="AB57" s="110">
        <f t="shared" si="17"/>
        <v>0</v>
      </c>
      <c r="AC57" s="110">
        <f t="shared" si="17"/>
        <v>0</v>
      </c>
      <c r="AD57" s="110">
        <f t="shared" si="17"/>
        <v>0</v>
      </c>
      <c r="AE57" s="110">
        <f t="shared" si="17"/>
        <v>0</v>
      </c>
      <c r="AF57" s="110">
        <f t="shared" si="17"/>
        <v>0</v>
      </c>
      <c r="AG57" s="110">
        <f t="shared" si="17"/>
        <v>0</v>
      </c>
      <c r="AH57" s="110">
        <f t="shared" si="17"/>
        <v>0</v>
      </c>
      <c r="AI57" s="110">
        <f t="shared" si="17"/>
        <v>0</v>
      </c>
      <c r="AJ57" s="110">
        <f t="shared" si="17"/>
        <v>0</v>
      </c>
      <c r="AK57" s="110">
        <f t="shared" si="17"/>
        <v>0</v>
      </c>
      <c r="AL57" s="110">
        <f t="shared" si="17"/>
        <v>0</v>
      </c>
      <c r="AM57" s="110">
        <f t="shared" si="17"/>
        <v>0</v>
      </c>
      <c r="AN57" s="110">
        <f t="shared" si="17"/>
        <v>0</v>
      </c>
      <c r="AO57" s="110">
        <f t="shared" si="17"/>
        <v>0</v>
      </c>
      <c r="AP57" s="110">
        <f t="shared" si="17"/>
        <v>0</v>
      </c>
      <c r="AQ57" s="110">
        <f t="shared" si="17"/>
        <v>0</v>
      </c>
      <c r="AR57" s="110">
        <f t="shared" si="17"/>
        <v>0</v>
      </c>
      <c r="AS57" s="110">
        <f t="shared" si="17"/>
        <v>0</v>
      </c>
      <c r="AT57" s="110">
        <f t="shared" si="17"/>
        <v>0</v>
      </c>
      <c r="AU57" s="110">
        <f t="shared" si="17"/>
        <v>0</v>
      </c>
      <c r="AV57" s="110">
        <f t="shared" si="17"/>
        <v>0</v>
      </c>
      <c r="AW57" s="110">
        <f t="shared" si="17"/>
        <v>0</v>
      </c>
      <c r="AX57" s="110">
        <f t="shared" si="17"/>
        <v>0</v>
      </c>
      <c r="AY57" s="110">
        <f t="shared" si="17"/>
        <v>0</v>
      </c>
    </row>
    <row r="58" spans="1:52">
      <c r="A58" s="110"/>
      <c r="B58" s="165" t="s">
        <v>344</v>
      </c>
      <c r="C58" s="110"/>
      <c r="D58" s="110"/>
      <c r="E58" s="110"/>
      <c r="F58" s="110"/>
      <c r="G58" s="110"/>
      <c r="H58" s="110"/>
      <c r="I58" s="110"/>
      <c r="J58" s="110"/>
      <c r="K58" s="110"/>
      <c r="L58" s="110"/>
      <c r="M58" s="110"/>
      <c r="N58" s="110"/>
      <c r="O58" s="110"/>
      <c r="P58" s="110"/>
      <c r="Q58" s="110"/>
      <c r="R58" s="110"/>
      <c r="S58" s="110"/>
      <c r="T58" s="110"/>
      <c r="U58" s="110"/>
      <c r="V58" s="110"/>
      <c r="W58" s="110"/>
      <c r="X58" s="110"/>
      <c r="Y58" s="110"/>
      <c r="Z58" s="110"/>
      <c r="AA58" s="110"/>
      <c r="AB58" s="110"/>
      <c r="AC58" s="110"/>
      <c r="AD58" s="110"/>
      <c r="AE58" s="110"/>
      <c r="AF58" s="110"/>
      <c r="AG58" s="110"/>
      <c r="AH58" s="110"/>
      <c r="AI58" s="110"/>
      <c r="AJ58" s="110"/>
      <c r="AK58" s="110"/>
      <c r="AL58" s="110"/>
      <c r="AM58" s="110"/>
      <c r="AN58" s="110"/>
      <c r="AO58" s="110"/>
      <c r="AP58" s="110"/>
      <c r="AQ58" s="110"/>
      <c r="AR58" s="110"/>
      <c r="AS58" s="110"/>
      <c r="AT58" s="110"/>
      <c r="AU58" s="110"/>
      <c r="AV58" s="110"/>
      <c r="AW58" s="110"/>
      <c r="AX58" s="110"/>
      <c r="AY58" s="110"/>
    </row>
    <row r="59" spans="1:52">
      <c r="A59" s="110"/>
      <c r="B59" s="165" t="s">
        <v>345</v>
      </c>
      <c r="C59" s="110"/>
      <c r="D59" s="110"/>
      <c r="E59" s="110"/>
      <c r="F59" s="110"/>
      <c r="G59" s="110"/>
      <c r="H59" s="110"/>
      <c r="I59" s="110"/>
      <c r="J59" s="110"/>
      <c r="K59" s="110"/>
      <c r="L59" s="110"/>
      <c r="M59" s="110"/>
      <c r="N59" s="110"/>
      <c r="O59" s="110"/>
      <c r="P59" s="110"/>
      <c r="Q59" s="110"/>
      <c r="R59" s="110"/>
      <c r="S59" s="110"/>
      <c r="T59" s="110"/>
      <c r="U59" s="110"/>
      <c r="V59" s="110"/>
      <c r="W59" s="110"/>
      <c r="X59" s="110"/>
      <c r="Y59" s="110"/>
      <c r="Z59" s="110"/>
      <c r="AA59" s="110"/>
      <c r="AB59" s="110"/>
      <c r="AC59" s="110"/>
      <c r="AD59" s="110"/>
      <c r="AE59" s="110"/>
      <c r="AF59" s="110"/>
      <c r="AG59" s="110"/>
      <c r="AH59" s="110"/>
      <c r="AI59" s="110"/>
      <c r="AJ59" s="110"/>
      <c r="AK59" s="110"/>
      <c r="AL59" s="110"/>
      <c r="AM59" s="110"/>
      <c r="AN59" s="110"/>
      <c r="AO59" s="110"/>
      <c r="AP59" s="110"/>
      <c r="AQ59" s="110"/>
      <c r="AR59" s="110"/>
      <c r="AS59" s="110"/>
      <c r="AT59" s="110"/>
      <c r="AU59" s="110"/>
      <c r="AV59" s="110"/>
      <c r="AW59" s="110"/>
      <c r="AX59" s="110"/>
      <c r="AY59" s="110"/>
    </row>
    <row r="60" spans="1:52">
      <c r="A60" s="110"/>
      <c r="B60" s="165" t="s">
        <v>346</v>
      </c>
      <c r="C60" s="110"/>
      <c r="D60" s="110"/>
      <c r="E60" s="110"/>
      <c r="F60" s="110"/>
      <c r="G60" s="110"/>
      <c r="H60" s="110"/>
      <c r="I60" s="110"/>
      <c r="J60" s="110"/>
      <c r="K60" s="110"/>
      <c r="L60" s="110"/>
      <c r="M60" s="110"/>
      <c r="N60" s="110"/>
      <c r="O60" s="110"/>
      <c r="P60" s="110"/>
      <c r="Q60" s="110"/>
      <c r="R60" s="110"/>
      <c r="S60" s="110"/>
      <c r="T60" s="110"/>
      <c r="U60" s="110"/>
      <c r="V60" s="110"/>
      <c r="W60" s="110"/>
      <c r="X60" s="110"/>
      <c r="Y60" s="110"/>
      <c r="Z60" s="110"/>
      <c r="AA60" s="110"/>
      <c r="AB60" s="110"/>
      <c r="AC60" s="110"/>
      <c r="AD60" s="110"/>
      <c r="AE60" s="110"/>
      <c r="AF60" s="110"/>
      <c r="AG60" s="110"/>
      <c r="AH60" s="110"/>
      <c r="AI60" s="110"/>
      <c r="AJ60" s="110"/>
      <c r="AK60" s="110"/>
      <c r="AL60" s="110"/>
      <c r="AM60" s="110"/>
      <c r="AN60" s="110"/>
      <c r="AO60" s="110"/>
      <c r="AP60" s="110"/>
      <c r="AQ60" s="110"/>
      <c r="AR60" s="110"/>
      <c r="AS60" s="110"/>
      <c r="AT60" s="110"/>
      <c r="AU60" s="110"/>
      <c r="AV60" s="110"/>
      <c r="AW60" s="110"/>
      <c r="AX60" s="110"/>
      <c r="AY60" s="110"/>
    </row>
    <row r="61" spans="1:52">
      <c r="A61" s="110"/>
      <c r="B61" s="165" t="s">
        <v>347</v>
      </c>
      <c r="C61" s="110"/>
      <c r="D61" s="110">
        <f>D55-D58</f>
        <v>0</v>
      </c>
      <c r="E61" s="110">
        <f t="shared" ref="E61:AY61" si="18">E55-E58</f>
        <v>0</v>
      </c>
      <c r="F61" s="110">
        <f t="shared" si="18"/>
        <v>0</v>
      </c>
      <c r="G61" s="110">
        <f t="shared" si="18"/>
        <v>0</v>
      </c>
      <c r="H61" s="110">
        <f t="shared" si="18"/>
        <v>0</v>
      </c>
      <c r="I61" s="110">
        <f t="shared" si="18"/>
        <v>0</v>
      </c>
      <c r="J61" s="110">
        <f t="shared" si="18"/>
        <v>0</v>
      </c>
      <c r="K61" s="110">
        <f t="shared" si="18"/>
        <v>0</v>
      </c>
      <c r="L61" s="110">
        <f t="shared" si="18"/>
        <v>0</v>
      </c>
      <c r="M61" s="110">
        <f t="shared" si="18"/>
        <v>0</v>
      </c>
      <c r="N61" s="110">
        <f t="shared" si="18"/>
        <v>0</v>
      </c>
      <c r="O61" s="110">
        <f t="shared" si="18"/>
        <v>0</v>
      </c>
      <c r="P61" s="110">
        <f t="shared" si="18"/>
        <v>0</v>
      </c>
      <c r="Q61" s="110">
        <f t="shared" si="18"/>
        <v>0</v>
      </c>
      <c r="R61" s="110">
        <f t="shared" si="18"/>
        <v>0</v>
      </c>
      <c r="S61" s="110">
        <f t="shared" si="18"/>
        <v>0</v>
      </c>
      <c r="T61" s="110">
        <f t="shared" si="18"/>
        <v>0</v>
      </c>
      <c r="U61" s="110">
        <f t="shared" si="18"/>
        <v>0</v>
      </c>
      <c r="V61" s="110">
        <f t="shared" si="18"/>
        <v>0</v>
      </c>
      <c r="W61" s="110">
        <f t="shared" si="18"/>
        <v>0</v>
      </c>
      <c r="X61" s="110">
        <f t="shared" si="18"/>
        <v>0</v>
      </c>
      <c r="Y61" s="110">
        <f t="shared" si="18"/>
        <v>0</v>
      </c>
      <c r="Z61" s="110">
        <f t="shared" si="18"/>
        <v>0</v>
      </c>
      <c r="AA61" s="110">
        <f t="shared" si="18"/>
        <v>0</v>
      </c>
      <c r="AB61" s="110">
        <f t="shared" si="18"/>
        <v>0</v>
      </c>
      <c r="AC61" s="110">
        <f t="shared" si="18"/>
        <v>0</v>
      </c>
      <c r="AD61" s="110">
        <f t="shared" si="18"/>
        <v>0</v>
      </c>
      <c r="AE61" s="110">
        <f t="shared" si="18"/>
        <v>0</v>
      </c>
      <c r="AF61" s="110">
        <f t="shared" si="18"/>
        <v>0</v>
      </c>
      <c r="AG61" s="110">
        <f t="shared" si="18"/>
        <v>0</v>
      </c>
      <c r="AH61" s="110">
        <f t="shared" si="18"/>
        <v>0</v>
      </c>
      <c r="AI61" s="110">
        <f t="shared" si="18"/>
        <v>0</v>
      </c>
      <c r="AJ61" s="110">
        <f t="shared" si="18"/>
        <v>0</v>
      </c>
      <c r="AK61" s="110">
        <f t="shared" si="18"/>
        <v>0</v>
      </c>
      <c r="AL61" s="110">
        <f t="shared" si="18"/>
        <v>0</v>
      </c>
      <c r="AM61" s="110">
        <f t="shared" si="18"/>
        <v>0</v>
      </c>
      <c r="AN61" s="110">
        <f t="shared" si="18"/>
        <v>0</v>
      </c>
      <c r="AO61" s="110">
        <f t="shared" si="18"/>
        <v>0</v>
      </c>
      <c r="AP61" s="110">
        <f t="shared" si="18"/>
        <v>0</v>
      </c>
      <c r="AQ61" s="110">
        <f t="shared" si="18"/>
        <v>0</v>
      </c>
      <c r="AR61" s="110">
        <f t="shared" si="18"/>
        <v>0</v>
      </c>
      <c r="AS61" s="110">
        <f t="shared" si="18"/>
        <v>0</v>
      </c>
      <c r="AT61" s="110">
        <f t="shared" si="18"/>
        <v>0</v>
      </c>
      <c r="AU61" s="110">
        <f t="shared" si="18"/>
        <v>0</v>
      </c>
      <c r="AV61" s="110">
        <f t="shared" si="18"/>
        <v>0</v>
      </c>
      <c r="AW61" s="110">
        <f t="shared" si="18"/>
        <v>0</v>
      </c>
      <c r="AX61" s="110">
        <f t="shared" si="18"/>
        <v>0</v>
      </c>
      <c r="AY61" s="110">
        <f t="shared" si="18"/>
        <v>0</v>
      </c>
    </row>
    <row r="62" spans="1:52">
      <c r="A62" s="110"/>
      <c r="B62" s="165" t="s">
        <v>348</v>
      </c>
      <c r="C62" s="110"/>
      <c r="D62" s="110">
        <f>D56-D59</f>
        <v>0</v>
      </c>
      <c r="E62" s="110">
        <f t="shared" ref="E62:AY62" si="19">E56-E59</f>
        <v>0</v>
      </c>
      <c r="F62" s="110">
        <f t="shared" si="19"/>
        <v>0</v>
      </c>
      <c r="G62" s="110">
        <f t="shared" si="19"/>
        <v>0</v>
      </c>
      <c r="H62" s="110">
        <f t="shared" si="19"/>
        <v>0</v>
      </c>
      <c r="I62" s="110">
        <f t="shared" si="19"/>
        <v>0</v>
      </c>
      <c r="J62" s="110">
        <f t="shared" si="19"/>
        <v>0</v>
      </c>
      <c r="K62" s="110">
        <f t="shared" si="19"/>
        <v>0</v>
      </c>
      <c r="L62" s="110">
        <f t="shared" si="19"/>
        <v>0</v>
      </c>
      <c r="M62" s="110">
        <f t="shared" si="19"/>
        <v>0</v>
      </c>
      <c r="N62" s="110">
        <f t="shared" si="19"/>
        <v>0</v>
      </c>
      <c r="O62" s="110">
        <f t="shared" si="19"/>
        <v>0</v>
      </c>
      <c r="P62" s="110">
        <f t="shared" si="19"/>
        <v>0</v>
      </c>
      <c r="Q62" s="110">
        <f t="shared" si="19"/>
        <v>0</v>
      </c>
      <c r="R62" s="110">
        <f t="shared" si="19"/>
        <v>0</v>
      </c>
      <c r="S62" s="110">
        <f t="shared" si="19"/>
        <v>0</v>
      </c>
      <c r="T62" s="110">
        <f t="shared" si="19"/>
        <v>0</v>
      </c>
      <c r="U62" s="110">
        <f t="shared" si="19"/>
        <v>0</v>
      </c>
      <c r="V62" s="110">
        <f t="shared" si="19"/>
        <v>0</v>
      </c>
      <c r="W62" s="110">
        <f t="shared" si="19"/>
        <v>0</v>
      </c>
      <c r="X62" s="110">
        <f t="shared" si="19"/>
        <v>0</v>
      </c>
      <c r="Y62" s="110">
        <f t="shared" si="19"/>
        <v>0</v>
      </c>
      <c r="Z62" s="110">
        <f t="shared" si="19"/>
        <v>0</v>
      </c>
      <c r="AA62" s="110">
        <f t="shared" si="19"/>
        <v>0</v>
      </c>
      <c r="AB62" s="110">
        <f t="shared" si="19"/>
        <v>0</v>
      </c>
      <c r="AC62" s="110">
        <f t="shared" si="19"/>
        <v>0</v>
      </c>
      <c r="AD62" s="110">
        <f t="shared" si="19"/>
        <v>0</v>
      </c>
      <c r="AE62" s="110">
        <f t="shared" si="19"/>
        <v>0</v>
      </c>
      <c r="AF62" s="110">
        <f t="shared" si="19"/>
        <v>0</v>
      </c>
      <c r="AG62" s="110">
        <f t="shared" si="19"/>
        <v>0</v>
      </c>
      <c r="AH62" s="110">
        <f t="shared" si="19"/>
        <v>0</v>
      </c>
      <c r="AI62" s="110">
        <f t="shared" si="19"/>
        <v>0</v>
      </c>
      <c r="AJ62" s="110">
        <f t="shared" si="19"/>
        <v>0</v>
      </c>
      <c r="AK62" s="110">
        <f t="shared" si="19"/>
        <v>0</v>
      </c>
      <c r="AL62" s="110">
        <f t="shared" si="19"/>
        <v>0</v>
      </c>
      <c r="AM62" s="110">
        <f t="shared" si="19"/>
        <v>0</v>
      </c>
      <c r="AN62" s="110">
        <f t="shared" si="19"/>
        <v>0</v>
      </c>
      <c r="AO62" s="110">
        <f t="shared" si="19"/>
        <v>0</v>
      </c>
      <c r="AP62" s="110">
        <f t="shared" si="19"/>
        <v>0</v>
      </c>
      <c r="AQ62" s="110">
        <f t="shared" si="19"/>
        <v>0</v>
      </c>
      <c r="AR62" s="110">
        <f t="shared" si="19"/>
        <v>0</v>
      </c>
      <c r="AS62" s="110">
        <f t="shared" si="19"/>
        <v>0</v>
      </c>
      <c r="AT62" s="110">
        <f t="shared" si="19"/>
        <v>0</v>
      </c>
      <c r="AU62" s="110">
        <f t="shared" si="19"/>
        <v>0</v>
      </c>
      <c r="AV62" s="110">
        <f t="shared" si="19"/>
        <v>0</v>
      </c>
      <c r="AW62" s="110">
        <f t="shared" si="19"/>
        <v>0</v>
      </c>
      <c r="AX62" s="110">
        <f t="shared" si="19"/>
        <v>0</v>
      </c>
      <c r="AY62" s="110">
        <f t="shared" si="19"/>
        <v>0</v>
      </c>
    </row>
    <row r="63" spans="1:52">
      <c r="A63" s="110"/>
      <c r="B63" s="165" t="s">
        <v>349</v>
      </c>
      <c r="C63" s="110"/>
      <c r="D63" s="110">
        <v>4</v>
      </c>
      <c r="E63" s="110">
        <v>4</v>
      </c>
      <c r="F63" s="110">
        <v>3</v>
      </c>
      <c r="G63" s="110">
        <v>2</v>
      </c>
      <c r="H63" s="110">
        <v>3</v>
      </c>
      <c r="I63" s="110">
        <v>3</v>
      </c>
      <c r="J63" s="110">
        <v>2</v>
      </c>
      <c r="K63" s="110">
        <v>2</v>
      </c>
      <c r="L63" s="110">
        <v>2</v>
      </c>
      <c r="M63" s="110">
        <v>2</v>
      </c>
      <c r="N63" s="110">
        <v>2</v>
      </c>
      <c r="O63" s="110">
        <v>2</v>
      </c>
      <c r="P63" s="110">
        <v>3</v>
      </c>
      <c r="Q63" s="110">
        <v>2</v>
      </c>
      <c r="R63" s="110">
        <v>3</v>
      </c>
      <c r="S63" s="110">
        <v>3</v>
      </c>
      <c r="T63" s="110">
        <v>3</v>
      </c>
      <c r="U63" s="110">
        <v>2</v>
      </c>
      <c r="V63" s="110">
        <v>2</v>
      </c>
      <c r="W63" s="110">
        <v>3</v>
      </c>
      <c r="X63" s="110">
        <v>2</v>
      </c>
      <c r="Y63" s="110">
        <v>2</v>
      </c>
      <c r="Z63" s="110">
        <v>2</v>
      </c>
      <c r="AA63" s="110">
        <v>2</v>
      </c>
      <c r="AB63" s="110">
        <v>2</v>
      </c>
      <c r="AC63" s="110">
        <v>2</v>
      </c>
      <c r="AD63" s="110">
        <v>4</v>
      </c>
      <c r="AE63" s="110">
        <v>3</v>
      </c>
      <c r="AF63" s="110">
        <v>3</v>
      </c>
      <c r="AG63" s="110">
        <v>3</v>
      </c>
      <c r="AH63" s="110">
        <v>2</v>
      </c>
      <c r="AI63" s="110">
        <v>2</v>
      </c>
      <c r="AJ63" s="110">
        <v>2</v>
      </c>
      <c r="AK63" s="110">
        <v>2</v>
      </c>
      <c r="AL63" s="110">
        <v>2</v>
      </c>
      <c r="AM63" s="110">
        <v>4</v>
      </c>
      <c r="AN63" s="110">
        <v>3</v>
      </c>
      <c r="AO63" s="110">
        <v>2</v>
      </c>
      <c r="AP63" s="110">
        <v>3</v>
      </c>
      <c r="AQ63" s="110">
        <v>2</v>
      </c>
      <c r="AR63" s="110">
        <v>2</v>
      </c>
      <c r="AS63" s="110">
        <v>2</v>
      </c>
      <c r="AT63" s="110">
        <v>2</v>
      </c>
      <c r="AU63" s="110">
        <v>2</v>
      </c>
      <c r="AV63" s="110">
        <v>2</v>
      </c>
      <c r="AW63" s="110">
        <v>2</v>
      </c>
      <c r="AX63" s="110">
        <v>3</v>
      </c>
      <c r="AY63" s="110">
        <v>2</v>
      </c>
    </row>
    <row r="64" spans="1:52">
      <c r="A64" s="110"/>
      <c r="B64" s="178" t="s">
        <v>350</v>
      </c>
      <c r="C64" s="110"/>
      <c r="D64" s="110">
        <v>0</v>
      </c>
      <c r="E64" s="110">
        <v>0</v>
      </c>
      <c r="F64" s="110">
        <v>0</v>
      </c>
      <c r="G64" s="110">
        <v>0</v>
      </c>
      <c r="H64" s="110">
        <v>0</v>
      </c>
      <c r="I64" s="110">
        <v>0</v>
      </c>
      <c r="J64" s="110">
        <v>0</v>
      </c>
      <c r="K64" s="110">
        <v>0</v>
      </c>
      <c r="L64" s="110">
        <v>0</v>
      </c>
      <c r="M64" s="110">
        <v>0</v>
      </c>
      <c r="N64" s="110">
        <v>0</v>
      </c>
      <c r="O64" s="110">
        <v>0</v>
      </c>
      <c r="P64" s="110">
        <v>0</v>
      </c>
      <c r="Q64" s="110">
        <v>0</v>
      </c>
      <c r="R64" s="110">
        <v>0</v>
      </c>
      <c r="S64" s="110">
        <v>0</v>
      </c>
      <c r="T64" s="110">
        <v>0</v>
      </c>
      <c r="U64" s="110">
        <v>0</v>
      </c>
      <c r="V64" s="110">
        <v>0</v>
      </c>
      <c r="W64" s="110">
        <v>0</v>
      </c>
      <c r="X64" s="110">
        <v>0</v>
      </c>
      <c r="Y64" s="110">
        <v>0</v>
      </c>
      <c r="Z64" s="110">
        <v>0</v>
      </c>
      <c r="AA64" s="110">
        <v>0</v>
      </c>
      <c r="AB64" s="110">
        <v>0</v>
      </c>
      <c r="AC64" s="110">
        <v>0</v>
      </c>
      <c r="AD64" s="110">
        <v>0</v>
      </c>
      <c r="AE64" s="110">
        <v>0</v>
      </c>
      <c r="AF64" s="110">
        <v>0</v>
      </c>
      <c r="AG64" s="110">
        <v>0</v>
      </c>
      <c r="AH64" s="110">
        <v>0</v>
      </c>
      <c r="AI64" s="110">
        <v>0</v>
      </c>
      <c r="AJ64" s="110">
        <v>0</v>
      </c>
      <c r="AK64" s="110">
        <v>0</v>
      </c>
      <c r="AL64" s="110">
        <v>0</v>
      </c>
      <c r="AM64" s="110">
        <v>0</v>
      </c>
      <c r="AN64" s="110">
        <v>0</v>
      </c>
      <c r="AO64" s="110">
        <v>0</v>
      </c>
      <c r="AP64" s="110">
        <v>0</v>
      </c>
      <c r="AQ64" s="110">
        <v>0</v>
      </c>
      <c r="AR64" s="110">
        <v>0</v>
      </c>
      <c r="AS64" s="110">
        <v>0</v>
      </c>
      <c r="AT64" s="110">
        <v>0</v>
      </c>
      <c r="AU64" s="110">
        <v>0</v>
      </c>
      <c r="AV64" s="110">
        <v>0</v>
      </c>
      <c r="AW64" s="110">
        <v>0</v>
      </c>
      <c r="AX64" s="110">
        <v>0</v>
      </c>
      <c r="AY64" s="110">
        <v>0</v>
      </c>
      <c r="AZ64" s="100">
        <f>SUM($D$64:$AY$64)</f>
        <v>0</v>
      </c>
    </row>
    <row r="65" spans="1:52">
      <c r="A65" s="125"/>
      <c r="B65" s="140" t="s">
        <v>351</v>
      </c>
      <c r="C65" s="125"/>
      <c r="D65" s="125">
        <v>0</v>
      </c>
      <c r="E65" s="125">
        <v>0</v>
      </c>
      <c r="F65" s="125">
        <v>0</v>
      </c>
      <c r="G65" s="125">
        <v>0</v>
      </c>
      <c r="H65" s="125">
        <v>0</v>
      </c>
      <c r="I65" s="125">
        <v>0</v>
      </c>
      <c r="J65" s="125">
        <v>0</v>
      </c>
      <c r="K65" s="125">
        <v>0</v>
      </c>
      <c r="L65" s="125">
        <v>0</v>
      </c>
      <c r="M65" s="125">
        <v>0</v>
      </c>
      <c r="N65" s="125">
        <v>0</v>
      </c>
      <c r="O65" s="125">
        <v>0</v>
      </c>
      <c r="P65" s="125">
        <v>0</v>
      </c>
      <c r="Q65" s="125">
        <v>0</v>
      </c>
      <c r="R65" s="125">
        <v>0</v>
      </c>
      <c r="S65" s="125">
        <v>0</v>
      </c>
      <c r="T65" s="125">
        <v>0</v>
      </c>
      <c r="U65" s="125">
        <v>0</v>
      </c>
      <c r="V65" s="125">
        <v>0</v>
      </c>
      <c r="W65" s="125">
        <v>0</v>
      </c>
      <c r="X65" s="125">
        <v>0</v>
      </c>
      <c r="Y65" s="125">
        <v>0</v>
      </c>
      <c r="Z65" s="125">
        <v>0</v>
      </c>
      <c r="AA65" s="125">
        <v>0</v>
      </c>
      <c r="AB65" s="125">
        <v>0</v>
      </c>
      <c r="AC65" s="125">
        <v>0</v>
      </c>
      <c r="AD65" s="125">
        <v>0</v>
      </c>
      <c r="AE65" s="125">
        <v>0</v>
      </c>
      <c r="AF65" s="125">
        <v>0</v>
      </c>
      <c r="AG65" s="125">
        <v>0</v>
      </c>
      <c r="AH65" s="125">
        <v>0</v>
      </c>
      <c r="AI65" s="125">
        <v>0</v>
      </c>
      <c r="AJ65" s="125">
        <v>0</v>
      </c>
      <c r="AK65" s="125">
        <v>0</v>
      </c>
      <c r="AL65" s="125">
        <v>0</v>
      </c>
      <c r="AM65" s="125">
        <v>0</v>
      </c>
      <c r="AN65" s="125">
        <v>0</v>
      </c>
      <c r="AO65" s="125">
        <v>0</v>
      </c>
      <c r="AP65" s="125">
        <v>0</v>
      </c>
      <c r="AQ65" s="125">
        <v>0</v>
      </c>
      <c r="AR65" s="125">
        <v>0</v>
      </c>
      <c r="AS65" s="125">
        <v>0</v>
      </c>
      <c r="AT65" s="125">
        <v>0</v>
      </c>
      <c r="AU65" s="125">
        <v>0</v>
      </c>
      <c r="AV65" s="125">
        <v>0</v>
      </c>
      <c r="AW65" s="125">
        <v>0</v>
      </c>
      <c r="AX65" s="125">
        <v>0</v>
      </c>
      <c r="AY65" s="125">
        <v>0</v>
      </c>
      <c r="AZ65" s="100">
        <f>SUM($D$65:$AY$65)</f>
        <v>0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Z65"/>
  <sheetViews>
    <sheetView workbookViewId="0">
      <pane xSplit="2" ySplit="6" topLeftCell="C7" activePane="bottomRight" state="frozen"/>
      <selection pane="topRight"/>
      <selection pane="bottomLeft"/>
      <selection pane="bottomRight" activeCell="C27" sqref="C27:C29"/>
    </sheetView>
  </sheetViews>
  <sheetFormatPr baseColWidth="10" defaultColWidth="8.83203125" defaultRowHeight="12" x14ac:dyDescent="0"/>
  <cols>
    <col min="1" max="1" width="14.6640625" style="100" customWidth="1"/>
    <col min="2" max="2" width="17.6640625" style="100" customWidth="1"/>
    <col min="3" max="51" width="8.83203125" style="100"/>
    <col min="52" max="52" width="10.6640625" style="100" customWidth="1"/>
    <col min="53" max="16384" width="8.83203125" style="100"/>
  </cols>
  <sheetData>
    <row r="1" spans="1:52">
      <c r="A1" s="102" t="s">
        <v>118</v>
      </c>
    </row>
    <row r="2" spans="1:52">
      <c r="A2" s="100" t="s">
        <v>303</v>
      </c>
      <c r="B2" s="107" t="s">
        <v>12</v>
      </c>
      <c r="E2" s="110"/>
    </row>
    <row r="3" spans="1:52">
      <c r="A3" s="100" t="s">
        <v>286</v>
      </c>
      <c r="B3" s="107">
        <v>3589</v>
      </c>
      <c r="E3" s="110"/>
    </row>
    <row r="4" spans="1:52">
      <c r="A4" s="102"/>
      <c r="C4" s="111" t="s">
        <v>287</v>
      </c>
    </row>
    <row r="5" spans="1:52">
      <c r="B5" s="106"/>
      <c r="C5" s="112">
        <v>0</v>
      </c>
      <c r="D5" s="112">
        <v>1</v>
      </c>
      <c r="E5" s="112">
        <v>2</v>
      </c>
      <c r="F5" s="112">
        <v>3</v>
      </c>
      <c r="G5" s="112">
        <v>4</v>
      </c>
      <c r="H5" s="112">
        <v>5</v>
      </c>
      <c r="I5" s="112">
        <v>6</v>
      </c>
      <c r="J5" s="112">
        <v>7</v>
      </c>
      <c r="K5" s="112">
        <v>8</v>
      </c>
      <c r="L5" s="112">
        <v>9</v>
      </c>
      <c r="M5" s="112">
        <v>10</v>
      </c>
      <c r="N5" s="112">
        <v>11</v>
      </c>
      <c r="O5" s="112">
        <v>12</v>
      </c>
      <c r="P5" s="112">
        <v>13</v>
      </c>
      <c r="Q5" s="112">
        <v>14</v>
      </c>
      <c r="R5" s="112">
        <v>15</v>
      </c>
      <c r="S5" s="112">
        <v>16</v>
      </c>
      <c r="T5" s="112">
        <v>17</v>
      </c>
      <c r="U5" s="112">
        <v>18</v>
      </c>
      <c r="V5" s="112">
        <v>19</v>
      </c>
      <c r="W5" s="112">
        <v>20</v>
      </c>
      <c r="X5" s="112">
        <v>21</v>
      </c>
      <c r="Y5" s="112">
        <v>22</v>
      </c>
      <c r="Z5" s="112">
        <v>23</v>
      </c>
      <c r="AA5" s="112">
        <v>24</v>
      </c>
      <c r="AB5" s="112">
        <v>25</v>
      </c>
      <c r="AC5" s="112">
        <v>26</v>
      </c>
      <c r="AD5" s="112">
        <v>27</v>
      </c>
      <c r="AE5" s="112">
        <v>28</v>
      </c>
      <c r="AF5" s="112">
        <v>29</v>
      </c>
      <c r="AG5" s="112">
        <v>30</v>
      </c>
      <c r="AH5" s="112">
        <v>31</v>
      </c>
      <c r="AI5" s="112">
        <v>32</v>
      </c>
      <c r="AJ5" s="112">
        <v>33</v>
      </c>
      <c r="AK5" s="112">
        <v>34</v>
      </c>
      <c r="AL5" s="112">
        <v>35</v>
      </c>
      <c r="AM5" s="112">
        <v>36</v>
      </c>
      <c r="AN5" s="112">
        <v>37</v>
      </c>
      <c r="AO5" s="112">
        <v>38</v>
      </c>
      <c r="AP5" s="112">
        <v>39</v>
      </c>
      <c r="AQ5" s="112">
        <v>40</v>
      </c>
      <c r="AR5" s="112">
        <v>41</v>
      </c>
      <c r="AS5" s="112">
        <v>42</v>
      </c>
      <c r="AT5" s="112">
        <v>43</v>
      </c>
      <c r="AU5" s="112">
        <v>44</v>
      </c>
      <c r="AV5" s="112">
        <v>45</v>
      </c>
      <c r="AW5" s="112">
        <v>46</v>
      </c>
      <c r="AX5" s="112">
        <v>47</v>
      </c>
      <c r="AY5" s="112">
        <v>48</v>
      </c>
    </row>
    <row r="6" spans="1:52">
      <c r="A6" s="102" t="s">
        <v>304</v>
      </c>
      <c r="B6" s="114"/>
      <c r="C6" s="113" t="s">
        <v>288</v>
      </c>
      <c r="D6" s="112" t="s">
        <v>289</v>
      </c>
      <c r="E6" s="112" t="s">
        <v>289</v>
      </c>
      <c r="F6" s="112" t="s">
        <v>289</v>
      </c>
      <c r="G6" s="112" t="s">
        <v>289</v>
      </c>
      <c r="H6" s="112" t="s">
        <v>289</v>
      </c>
      <c r="I6" s="112" t="s">
        <v>289</v>
      </c>
      <c r="J6" s="112" t="s">
        <v>289</v>
      </c>
      <c r="K6" s="112" t="s">
        <v>289</v>
      </c>
      <c r="L6" s="112" t="s">
        <v>289</v>
      </c>
      <c r="M6" s="112" t="s">
        <v>289</v>
      </c>
      <c r="N6" s="112" t="s">
        <v>289</v>
      </c>
      <c r="O6" s="112" t="s">
        <v>289</v>
      </c>
      <c r="P6" s="112" t="s">
        <v>289</v>
      </c>
      <c r="Q6" s="112" t="s">
        <v>289</v>
      </c>
      <c r="R6" s="112" t="s">
        <v>289</v>
      </c>
      <c r="S6" s="112" t="s">
        <v>289</v>
      </c>
      <c r="T6" s="112" t="s">
        <v>289</v>
      </c>
      <c r="U6" s="112" t="s">
        <v>289</v>
      </c>
      <c r="V6" s="112" t="s">
        <v>289</v>
      </c>
      <c r="W6" s="112" t="s">
        <v>289</v>
      </c>
      <c r="X6" s="112" t="s">
        <v>289</v>
      </c>
      <c r="Y6" s="112" t="s">
        <v>289</v>
      </c>
      <c r="Z6" s="112" t="s">
        <v>289</v>
      </c>
      <c r="AA6" s="112" t="s">
        <v>289</v>
      </c>
      <c r="AB6" s="112" t="s">
        <v>289</v>
      </c>
      <c r="AC6" s="112" t="s">
        <v>289</v>
      </c>
      <c r="AD6" s="112" t="s">
        <v>289</v>
      </c>
      <c r="AE6" s="112" t="s">
        <v>289</v>
      </c>
      <c r="AF6" s="112" t="s">
        <v>289</v>
      </c>
      <c r="AG6" s="112" t="s">
        <v>289</v>
      </c>
      <c r="AH6" s="112" t="s">
        <v>289</v>
      </c>
      <c r="AI6" s="112" t="s">
        <v>289</v>
      </c>
      <c r="AJ6" s="112" t="s">
        <v>289</v>
      </c>
      <c r="AK6" s="112" t="s">
        <v>289</v>
      </c>
      <c r="AL6" s="112" t="s">
        <v>289</v>
      </c>
      <c r="AM6" s="112" t="s">
        <v>289</v>
      </c>
      <c r="AN6" s="112" t="s">
        <v>289</v>
      </c>
      <c r="AO6" s="112" t="s">
        <v>289</v>
      </c>
      <c r="AP6" s="112" t="s">
        <v>289</v>
      </c>
      <c r="AQ6" s="112" t="s">
        <v>289</v>
      </c>
      <c r="AR6" s="112" t="s">
        <v>289</v>
      </c>
      <c r="AS6" s="112" t="s">
        <v>289</v>
      </c>
      <c r="AT6" s="112" t="s">
        <v>289</v>
      </c>
      <c r="AU6" s="112" t="s">
        <v>289</v>
      </c>
      <c r="AV6" s="112" t="s">
        <v>289</v>
      </c>
      <c r="AW6" s="112" t="s">
        <v>289</v>
      </c>
      <c r="AX6" s="112" t="s">
        <v>289</v>
      </c>
      <c r="AY6" s="111" t="s">
        <v>290</v>
      </c>
      <c r="AZ6" s="142" t="s">
        <v>150</v>
      </c>
    </row>
    <row r="7" spans="1:52">
      <c r="A7" s="115" t="s">
        <v>125</v>
      </c>
      <c r="B7" s="143">
        <v>1</v>
      </c>
      <c r="C7" s="144" t="s">
        <v>293</v>
      </c>
      <c r="D7" s="144">
        <v>945.2790506330432</v>
      </c>
      <c r="E7" s="144">
        <v>945.2790506330432</v>
      </c>
      <c r="F7" s="144">
        <v>945.2790506330432</v>
      </c>
      <c r="G7" s="144">
        <v>945.2790506330432</v>
      </c>
      <c r="H7" s="144">
        <v>945.2790506330432</v>
      </c>
      <c r="I7" s="144">
        <v>945.2790506330432</v>
      </c>
      <c r="J7" s="144">
        <v>945.2790506330432</v>
      </c>
      <c r="K7" s="144">
        <v>945.2790506330432</v>
      </c>
      <c r="L7" s="144">
        <v>945.2790506330432</v>
      </c>
      <c r="M7" s="144">
        <v>945.2790506330432</v>
      </c>
      <c r="N7" s="144">
        <v>945.2790506330432</v>
      </c>
      <c r="O7" s="144">
        <v>945.2790506330432</v>
      </c>
      <c r="P7" s="144">
        <v>945.2790506330432</v>
      </c>
      <c r="Q7" s="144">
        <v>945.2790506330432</v>
      </c>
      <c r="R7" s="144">
        <v>945.2790506330432</v>
      </c>
      <c r="S7" s="144">
        <v>945.2790506330432</v>
      </c>
      <c r="T7" s="144">
        <v>945.2790506330432</v>
      </c>
      <c r="U7" s="144">
        <v>945.2790506330432</v>
      </c>
      <c r="V7" s="144">
        <v>945.2790506330432</v>
      </c>
      <c r="W7" s="144">
        <v>945.2790506330432</v>
      </c>
      <c r="X7" s="144">
        <v>945.2790506330432</v>
      </c>
      <c r="Y7" s="144">
        <v>945.2790506330432</v>
      </c>
      <c r="Z7" s="144">
        <v>945.2790506330432</v>
      </c>
      <c r="AA7" s="144">
        <v>945.2790506330432</v>
      </c>
      <c r="AB7" s="144">
        <v>945.2790506330432</v>
      </c>
      <c r="AC7" s="144">
        <v>945.2790506330432</v>
      </c>
      <c r="AD7" s="144">
        <v>945.2790506330432</v>
      </c>
      <c r="AE7" s="144">
        <v>945.2790506330432</v>
      </c>
      <c r="AF7" s="144">
        <v>1128.3125436609919</v>
      </c>
      <c r="AG7" s="144">
        <v>1128.3125436609919</v>
      </c>
      <c r="AH7" s="144">
        <v>1128.3125436609919</v>
      </c>
      <c r="AI7" s="144">
        <v>1128.3125436609919</v>
      </c>
      <c r="AJ7" s="144">
        <v>945.2790506330432</v>
      </c>
      <c r="AK7" s="144">
        <v>945.2790506330432</v>
      </c>
      <c r="AL7" s="144">
        <v>945.2790506330432</v>
      </c>
      <c r="AM7" s="144">
        <v>945.2790506330432</v>
      </c>
      <c r="AN7" s="144">
        <v>945.2790506330432</v>
      </c>
      <c r="AO7" s="144">
        <v>945.2790506330432</v>
      </c>
      <c r="AP7" s="144">
        <v>945.2790506330432</v>
      </c>
      <c r="AQ7" s="144">
        <v>945.2790506330432</v>
      </c>
      <c r="AR7" s="144">
        <v>945.2790506330432</v>
      </c>
      <c r="AS7" s="144">
        <v>945.2790506330432</v>
      </c>
      <c r="AT7" s="144">
        <v>945.2790506330432</v>
      </c>
      <c r="AU7" s="144">
        <v>945.2790506330432</v>
      </c>
      <c r="AV7" s="144">
        <v>945.2790506330432</v>
      </c>
      <c r="AW7" s="144">
        <v>945.2790506330432</v>
      </c>
      <c r="AX7" s="144">
        <v>945.2790506330432</v>
      </c>
      <c r="AY7" s="144">
        <v>945.2790506330432</v>
      </c>
      <c r="AZ7" s="106"/>
    </row>
    <row r="8" spans="1:52">
      <c r="A8" s="145"/>
      <c r="B8" s="146"/>
      <c r="C8" s="145"/>
      <c r="D8" s="145"/>
      <c r="E8" s="145"/>
      <c r="F8" s="145"/>
      <c r="G8" s="145"/>
      <c r="H8" s="145"/>
      <c r="I8" s="145"/>
      <c r="J8" s="145"/>
      <c r="K8" s="145"/>
      <c r="L8" s="145"/>
      <c r="M8" s="145"/>
      <c r="N8" s="145"/>
      <c r="O8" s="145"/>
      <c r="P8" s="145"/>
      <c r="Q8" s="145"/>
      <c r="R8" s="145"/>
      <c r="S8" s="145"/>
      <c r="T8" s="145"/>
      <c r="U8" s="145"/>
      <c r="V8" s="145"/>
      <c r="W8" s="145"/>
      <c r="X8" s="145"/>
      <c r="Y8" s="145"/>
      <c r="Z8" s="145"/>
      <c r="AA8" s="145"/>
      <c r="AB8" s="145"/>
      <c r="AC8" s="145"/>
      <c r="AD8" s="145"/>
      <c r="AE8" s="145"/>
      <c r="AF8" s="145"/>
      <c r="AG8" s="145"/>
      <c r="AH8" s="145"/>
      <c r="AI8" s="145"/>
      <c r="AJ8" s="145"/>
      <c r="AK8" s="145"/>
      <c r="AL8" s="145"/>
      <c r="AM8" s="145"/>
      <c r="AN8" s="145"/>
      <c r="AO8" s="145"/>
      <c r="AP8" s="145"/>
      <c r="AQ8" s="145"/>
      <c r="AR8" s="145"/>
      <c r="AS8" s="145"/>
      <c r="AT8" s="145"/>
      <c r="AU8" s="145"/>
      <c r="AV8" s="145"/>
      <c r="AW8" s="145"/>
      <c r="AX8" s="145"/>
      <c r="AY8" s="145"/>
      <c r="AZ8" s="147"/>
    </row>
    <row r="9" spans="1:52">
      <c r="A9" s="102" t="s">
        <v>294</v>
      </c>
      <c r="B9" s="148"/>
      <c r="C9" s="106"/>
      <c r="D9" s="106"/>
      <c r="E9" s="106"/>
      <c r="F9" s="106"/>
      <c r="G9" s="106"/>
      <c r="H9" s="106"/>
      <c r="I9" s="106"/>
      <c r="J9" s="106"/>
      <c r="K9" s="106"/>
      <c r="L9" s="106"/>
      <c r="M9" s="106"/>
      <c r="N9" s="106"/>
      <c r="O9" s="106"/>
      <c r="P9" s="106"/>
      <c r="Q9" s="106"/>
      <c r="R9" s="106"/>
      <c r="S9" s="106"/>
      <c r="T9" s="106"/>
      <c r="U9" s="106"/>
      <c r="V9" s="106"/>
      <c r="W9" s="106"/>
      <c r="X9" s="106"/>
      <c r="Y9" s="106"/>
      <c r="Z9" s="106"/>
      <c r="AA9" s="106"/>
      <c r="AB9" s="106"/>
      <c r="AC9" s="106"/>
      <c r="AD9" s="106"/>
      <c r="AE9" s="106"/>
      <c r="AF9" s="106"/>
      <c r="AG9" s="106"/>
      <c r="AH9" s="106"/>
      <c r="AI9" s="106"/>
      <c r="AJ9" s="106"/>
      <c r="AK9" s="106"/>
      <c r="AL9" s="106"/>
      <c r="AM9" s="106"/>
      <c r="AN9" s="106"/>
      <c r="AO9" s="106"/>
      <c r="AP9" s="106"/>
      <c r="AQ9" s="106"/>
      <c r="AR9" s="106"/>
      <c r="AS9" s="106"/>
      <c r="AT9" s="106"/>
      <c r="AU9" s="106"/>
      <c r="AV9" s="106"/>
      <c r="AW9" s="106"/>
      <c r="AX9" s="106"/>
      <c r="AY9" s="106"/>
      <c r="AZ9" s="106"/>
    </row>
    <row r="10" spans="1:52">
      <c r="A10" s="149" t="s">
        <v>125</v>
      </c>
      <c r="B10" s="150">
        <v>1</v>
      </c>
      <c r="C10" s="144" t="s">
        <v>293</v>
      </c>
      <c r="D10" s="144">
        <f t="shared" ref="D10:AY10" si="0">MAX(SUM(D$14:D$16)+D$7-$B$3,0)</f>
        <v>0</v>
      </c>
      <c r="E10" s="144">
        <f t="shared" si="0"/>
        <v>0</v>
      </c>
      <c r="F10" s="144">
        <f t="shared" si="0"/>
        <v>0</v>
      </c>
      <c r="G10" s="144">
        <f t="shared" si="0"/>
        <v>0</v>
      </c>
      <c r="H10" s="144">
        <f t="shared" si="0"/>
        <v>0</v>
      </c>
      <c r="I10" s="144">
        <f t="shared" si="0"/>
        <v>0</v>
      </c>
      <c r="J10" s="144">
        <f t="shared" si="0"/>
        <v>0</v>
      </c>
      <c r="K10" s="144">
        <f t="shared" si="0"/>
        <v>0</v>
      </c>
      <c r="L10" s="144">
        <f t="shared" si="0"/>
        <v>0</v>
      </c>
      <c r="M10" s="144">
        <f t="shared" si="0"/>
        <v>0</v>
      </c>
      <c r="N10" s="144">
        <f t="shared" si="0"/>
        <v>0</v>
      </c>
      <c r="O10" s="144">
        <f t="shared" si="0"/>
        <v>0</v>
      </c>
      <c r="P10" s="144">
        <f t="shared" si="0"/>
        <v>0</v>
      </c>
      <c r="Q10" s="144">
        <f t="shared" si="0"/>
        <v>0</v>
      </c>
      <c r="R10" s="144">
        <f t="shared" si="0"/>
        <v>0</v>
      </c>
      <c r="S10" s="144">
        <f t="shared" si="0"/>
        <v>0</v>
      </c>
      <c r="T10" s="144">
        <f t="shared" si="0"/>
        <v>0</v>
      </c>
      <c r="U10" s="144">
        <f t="shared" si="0"/>
        <v>0</v>
      </c>
      <c r="V10" s="144">
        <f t="shared" si="0"/>
        <v>0</v>
      </c>
      <c r="W10" s="144">
        <f t="shared" si="0"/>
        <v>0</v>
      </c>
      <c r="X10" s="144">
        <f t="shared" si="0"/>
        <v>0</v>
      </c>
      <c r="Y10" s="144">
        <f t="shared" si="0"/>
        <v>0</v>
      </c>
      <c r="Z10" s="144">
        <f t="shared" si="0"/>
        <v>0</v>
      </c>
      <c r="AA10" s="144">
        <f t="shared" si="0"/>
        <v>0</v>
      </c>
      <c r="AB10" s="144">
        <f t="shared" si="0"/>
        <v>0</v>
      </c>
      <c r="AC10" s="144">
        <f t="shared" si="0"/>
        <v>0</v>
      </c>
      <c r="AD10" s="144">
        <f t="shared" si="0"/>
        <v>0</v>
      </c>
      <c r="AE10" s="144">
        <f t="shared" si="0"/>
        <v>0</v>
      </c>
      <c r="AF10" s="144">
        <f t="shared" si="0"/>
        <v>0</v>
      </c>
      <c r="AG10" s="144">
        <f t="shared" si="0"/>
        <v>0</v>
      </c>
      <c r="AH10" s="144">
        <f t="shared" si="0"/>
        <v>0</v>
      </c>
      <c r="AI10" s="144">
        <f t="shared" si="0"/>
        <v>0</v>
      </c>
      <c r="AJ10" s="144">
        <f t="shared" si="0"/>
        <v>0</v>
      </c>
      <c r="AK10" s="144">
        <f t="shared" si="0"/>
        <v>0</v>
      </c>
      <c r="AL10" s="144">
        <f t="shared" si="0"/>
        <v>0</v>
      </c>
      <c r="AM10" s="144">
        <f t="shared" si="0"/>
        <v>0</v>
      </c>
      <c r="AN10" s="144">
        <f t="shared" si="0"/>
        <v>0</v>
      </c>
      <c r="AO10" s="144">
        <f t="shared" si="0"/>
        <v>0</v>
      </c>
      <c r="AP10" s="144">
        <f t="shared" si="0"/>
        <v>0</v>
      </c>
      <c r="AQ10" s="144">
        <f t="shared" si="0"/>
        <v>0</v>
      </c>
      <c r="AR10" s="144">
        <f t="shared" si="0"/>
        <v>0</v>
      </c>
      <c r="AS10" s="144">
        <f t="shared" si="0"/>
        <v>0</v>
      </c>
      <c r="AT10" s="144">
        <f t="shared" si="0"/>
        <v>0</v>
      </c>
      <c r="AU10" s="144">
        <f t="shared" si="0"/>
        <v>0</v>
      </c>
      <c r="AV10" s="144">
        <f t="shared" si="0"/>
        <v>0</v>
      </c>
      <c r="AW10" s="144">
        <f t="shared" si="0"/>
        <v>0</v>
      </c>
      <c r="AX10" s="144">
        <f t="shared" si="0"/>
        <v>0</v>
      </c>
      <c r="AY10" s="144">
        <f t="shared" si="0"/>
        <v>0</v>
      </c>
      <c r="AZ10" s="151">
        <f>SUM($D10:$AY10)</f>
        <v>0</v>
      </c>
    </row>
    <row r="11" spans="1:52">
      <c r="C11" s="110"/>
    </row>
    <row r="12" spans="1:52">
      <c r="A12" s="152" t="s">
        <v>295</v>
      </c>
      <c r="B12" s="146"/>
      <c r="C12" s="110"/>
    </row>
    <row r="13" spans="1:52">
      <c r="A13" s="122" t="s">
        <v>125</v>
      </c>
      <c r="B13" s="123">
        <v>1</v>
      </c>
      <c r="C13" s="124">
        <v>25.155878131954278</v>
      </c>
      <c r="D13" s="138">
        <f t="shared" ref="D13:AY13" si="1">D$7-D$10</f>
        <v>945.2790506330432</v>
      </c>
      <c r="E13" s="138">
        <f t="shared" si="1"/>
        <v>945.2790506330432</v>
      </c>
      <c r="F13" s="138">
        <f t="shared" si="1"/>
        <v>945.2790506330432</v>
      </c>
      <c r="G13" s="138">
        <f t="shared" si="1"/>
        <v>945.2790506330432</v>
      </c>
      <c r="H13" s="138">
        <f t="shared" si="1"/>
        <v>945.2790506330432</v>
      </c>
      <c r="I13" s="138">
        <f t="shared" si="1"/>
        <v>945.2790506330432</v>
      </c>
      <c r="J13" s="138">
        <f t="shared" si="1"/>
        <v>945.2790506330432</v>
      </c>
      <c r="K13" s="138">
        <f t="shared" si="1"/>
        <v>945.2790506330432</v>
      </c>
      <c r="L13" s="138">
        <f t="shared" si="1"/>
        <v>945.2790506330432</v>
      </c>
      <c r="M13" s="138">
        <f t="shared" si="1"/>
        <v>945.2790506330432</v>
      </c>
      <c r="N13" s="138">
        <f t="shared" si="1"/>
        <v>945.2790506330432</v>
      </c>
      <c r="O13" s="138">
        <f t="shared" si="1"/>
        <v>945.2790506330432</v>
      </c>
      <c r="P13" s="138">
        <f t="shared" si="1"/>
        <v>945.2790506330432</v>
      </c>
      <c r="Q13" s="138">
        <f t="shared" si="1"/>
        <v>945.2790506330432</v>
      </c>
      <c r="R13" s="138">
        <f t="shared" si="1"/>
        <v>945.2790506330432</v>
      </c>
      <c r="S13" s="138">
        <f t="shared" si="1"/>
        <v>945.2790506330432</v>
      </c>
      <c r="T13" s="138">
        <f t="shared" si="1"/>
        <v>945.2790506330432</v>
      </c>
      <c r="U13" s="138">
        <f t="shared" si="1"/>
        <v>945.2790506330432</v>
      </c>
      <c r="V13" s="138">
        <f t="shared" si="1"/>
        <v>945.2790506330432</v>
      </c>
      <c r="W13" s="138">
        <f t="shared" si="1"/>
        <v>945.2790506330432</v>
      </c>
      <c r="X13" s="138">
        <f t="shared" si="1"/>
        <v>945.2790506330432</v>
      </c>
      <c r="Y13" s="138">
        <f t="shared" si="1"/>
        <v>945.2790506330432</v>
      </c>
      <c r="Z13" s="138">
        <f t="shared" si="1"/>
        <v>945.2790506330432</v>
      </c>
      <c r="AA13" s="138">
        <f t="shared" si="1"/>
        <v>945.2790506330432</v>
      </c>
      <c r="AB13" s="138">
        <f t="shared" si="1"/>
        <v>945.2790506330432</v>
      </c>
      <c r="AC13" s="138">
        <f t="shared" si="1"/>
        <v>945.2790506330432</v>
      </c>
      <c r="AD13" s="138">
        <f t="shared" si="1"/>
        <v>945.2790506330432</v>
      </c>
      <c r="AE13" s="138">
        <f t="shared" si="1"/>
        <v>945.2790506330432</v>
      </c>
      <c r="AF13" s="138">
        <f t="shared" si="1"/>
        <v>1128.3125436609919</v>
      </c>
      <c r="AG13" s="138">
        <f t="shared" si="1"/>
        <v>1128.3125436609919</v>
      </c>
      <c r="AH13" s="138">
        <f t="shared" si="1"/>
        <v>1128.3125436609919</v>
      </c>
      <c r="AI13" s="138">
        <f t="shared" si="1"/>
        <v>1128.3125436609919</v>
      </c>
      <c r="AJ13" s="138">
        <f t="shared" si="1"/>
        <v>945.2790506330432</v>
      </c>
      <c r="AK13" s="138">
        <f t="shared" si="1"/>
        <v>945.2790506330432</v>
      </c>
      <c r="AL13" s="138">
        <f t="shared" si="1"/>
        <v>945.2790506330432</v>
      </c>
      <c r="AM13" s="138">
        <f t="shared" si="1"/>
        <v>945.2790506330432</v>
      </c>
      <c r="AN13" s="138">
        <f t="shared" si="1"/>
        <v>945.2790506330432</v>
      </c>
      <c r="AO13" s="138">
        <f t="shared" si="1"/>
        <v>945.2790506330432</v>
      </c>
      <c r="AP13" s="138">
        <f t="shared" si="1"/>
        <v>945.2790506330432</v>
      </c>
      <c r="AQ13" s="138">
        <f t="shared" si="1"/>
        <v>945.2790506330432</v>
      </c>
      <c r="AR13" s="138">
        <f t="shared" si="1"/>
        <v>945.2790506330432</v>
      </c>
      <c r="AS13" s="138">
        <f t="shared" si="1"/>
        <v>945.2790506330432</v>
      </c>
      <c r="AT13" s="138">
        <f t="shared" si="1"/>
        <v>945.2790506330432</v>
      </c>
      <c r="AU13" s="138">
        <f t="shared" si="1"/>
        <v>945.2790506330432</v>
      </c>
      <c r="AV13" s="138">
        <f t="shared" si="1"/>
        <v>945.2790506330432</v>
      </c>
      <c r="AW13" s="138">
        <f t="shared" si="1"/>
        <v>945.2790506330432</v>
      </c>
      <c r="AX13" s="138">
        <f t="shared" si="1"/>
        <v>945.2790506330432</v>
      </c>
      <c r="AY13" s="138">
        <f t="shared" si="1"/>
        <v>945.2790506330432</v>
      </c>
      <c r="AZ13" s="109"/>
    </row>
    <row r="14" spans="1:52">
      <c r="A14" s="110"/>
      <c r="B14" s="120">
        <v>2</v>
      </c>
      <c r="C14" s="110">
        <v>0</v>
      </c>
      <c r="D14" s="106">
        <f>IF(C$20="Yes",C13,0)</f>
        <v>0</v>
      </c>
      <c r="E14" s="106">
        <f t="shared" ref="E14:AY17" si="2">IF(D$20="Yes",D13,0)</f>
        <v>0</v>
      </c>
      <c r="F14" s="106">
        <f t="shared" si="2"/>
        <v>0</v>
      </c>
      <c r="G14" s="106">
        <f t="shared" si="2"/>
        <v>0</v>
      </c>
      <c r="H14" s="106">
        <f t="shared" si="2"/>
        <v>0</v>
      </c>
      <c r="I14" s="106">
        <f t="shared" si="2"/>
        <v>0</v>
      </c>
      <c r="J14" s="106">
        <f t="shared" si="2"/>
        <v>0</v>
      </c>
      <c r="K14" s="106">
        <f t="shared" si="2"/>
        <v>945.2790506330432</v>
      </c>
      <c r="L14" s="106">
        <f t="shared" si="2"/>
        <v>0</v>
      </c>
      <c r="M14" s="106">
        <f t="shared" si="2"/>
        <v>0</v>
      </c>
      <c r="N14" s="106">
        <f t="shared" si="2"/>
        <v>0</v>
      </c>
      <c r="O14" s="106">
        <f t="shared" si="2"/>
        <v>0</v>
      </c>
      <c r="P14" s="106">
        <f t="shared" si="2"/>
        <v>0</v>
      </c>
      <c r="Q14" s="106">
        <f t="shared" si="2"/>
        <v>0</v>
      </c>
      <c r="R14" s="106">
        <f t="shared" si="2"/>
        <v>0</v>
      </c>
      <c r="S14" s="106">
        <f t="shared" si="2"/>
        <v>945.2790506330432</v>
      </c>
      <c r="T14" s="106">
        <f t="shared" si="2"/>
        <v>0</v>
      </c>
      <c r="U14" s="106">
        <f t="shared" si="2"/>
        <v>0</v>
      </c>
      <c r="V14" s="106">
        <f t="shared" si="2"/>
        <v>0</v>
      </c>
      <c r="W14" s="106">
        <f t="shared" si="2"/>
        <v>0</v>
      </c>
      <c r="X14" s="106">
        <f t="shared" si="2"/>
        <v>945.2790506330432</v>
      </c>
      <c r="Y14" s="106">
        <f t="shared" si="2"/>
        <v>0</v>
      </c>
      <c r="Z14" s="106">
        <f t="shared" si="2"/>
        <v>0</v>
      </c>
      <c r="AA14" s="106">
        <f t="shared" si="2"/>
        <v>0</v>
      </c>
      <c r="AB14" s="106">
        <f t="shared" si="2"/>
        <v>0</v>
      </c>
      <c r="AC14" s="106">
        <f t="shared" si="2"/>
        <v>0</v>
      </c>
      <c r="AD14" s="106">
        <f t="shared" si="2"/>
        <v>0</v>
      </c>
      <c r="AE14" s="106">
        <f t="shared" si="2"/>
        <v>0</v>
      </c>
      <c r="AF14" s="106">
        <f t="shared" si="2"/>
        <v>0</v>
      </c>
      <c r="AG14" s="106">
        <f t="shared" si="2"/>
        <v>0</v>
      </c>
      <c r="AH14" s="106">
        <f t="shared" si="2"/>
        <v>0</v>
      </c>
      <c r="AI14" s="106">
        <f t="shared" si="2"/>
        <v>1128.3125436609919</v>
      </c>
      <c r="AJ14" s="106">
        <f t="shared" si="2"/>
        <v>0</v>
      </c>
      <c r="AK14" s="106">
        <f t="shared" si="2"/>
        <v>0</v>
      </c>
      <c r="AL14" s="106">
        <f t="shared" si="2"/>
        <v>0</v>
      </c>
      <c r="AM14" s="106">
        <f t="shared" si="2"/>
        <v>0</v>
      </c>
      <c r="AN14" s="106">
        <f t="shared" si="2"/>
        <v>945.2790506330432</v>
      </c>
      <c r="AO14" s="106">
        <f t="shared" si="2"/>
        <v>0</v>
      </c>
      <c r="AP14" s="106">
        <f t="shared" si="2"/>
        <v>0</v>
      </c>
      <c r="AQ14" s="106">
        <f t="shared" si="2"/>
        <v>0</v>
      </c>
      <c r="AR14" s="106">
        <f t="shared" si="2"/>
        <v>0</v>
      </c>
      <c r="AS14" s="106">
        <f t="shared" si="2"/>
        <v>0</v>
      </c>
      <c r="AT14" s="106">
        <f t="shared" si="2"/>
        <v>0</v>
      </c>
      <c r="AU14" s="106">
        <f t="shared" si="2"/>
        <v>0</v>
      </c>
      <c r="AV14" s="106">
        <f t="shared" si="2"/>
        <v>0</v>
      </c>
      <c r="AW14" s="106">
        <f t="shared" si="2"/>
        <v>0</v>
      </c>
      <c r="AX14" s="106">
        <f t="shared" si="2"/>
        <v>0</v>
      </c>
      <c r="AY14" s="106">
        <f t="shared" si="2"/>
        <v>0</v>
      </c>
      <c r="AZ14" s="109"/>
    </row>
    <row r="15" spans="1:52">
      <c r="A15" s="110"/>
      <c r="B15" s="127">
        <v>3</v>
      </c>
      <c r="C15" s="110">
        <v>0</v>
      </c>
      <c r="D15" s="106">
        <f>IF(C$20="Yes",C14,0)</f>
        <v>0</v>
      </c>
      <c r="E15" s="106">
        <f t="shared" si="2"/>
        <v>0</v>
      </c>
      <c r="F15" s="106">
        <f t="shared" si="2"/>
        <v>0</v>
      </c>
      <c r="G15" s="106">
        <f t="shared" si="2"/>
        <v>0</v>
      </c>
      <c r="H15" s="106">
        <f t="shared" si="2"/>
        <v>0</v>
      </c>
      <c r="I15" s="106">
        <f t="shared" si="2"/>
        <v>0</v>
      </c>
      <c r="J15" s="106">
        <f t="shared" si="2"/>
        <v>0</v>
      </c>
      <c r="K15" s="106">
        <f t="shared" si="2"/>
        <v>0</v>
      </c>
      <c r="L15" s="106">
        <f t="shared" si="2"/>
        <v>0</v>
      </c>
      <c r="M15" s="106">
        <f t="shared" si="2"/>
        <v>0</v>
      </c>
      <c r="N15" s="106">
        <f t="shared" si="2"/>
        <v>0</v>
      </c>
      <c r="O15" s="106">
        <f t="shared" si="2"/>
        <v>0</v>
      </c>
      <c r="P15" s="106">
        <f t="shared" si="2"/>
        <v>0</v>
      </c>
      <c r="Q15" s="106">
        <f t="shared" si="2"/>
        <v>0</v>
      </c>
      <c r="R15" s="106">
        <f t="shared" si="2"/>
        <v>0</v>
      </c>
      <c r="S15" s="106">
        <f t="shared" si="2"/>
        <v>0</v>
      </c>
      <c r="T15" s="106">
        <f t="shared" si="2"/>
        <v>0</v>
      </c>
      <c r="U15" s="106">
        <f t="shared" si="2"/>
        <v>0</v>
      </c>
      <c r="V15" s="106">
        <f t="shared" si="2"/>
        <v>0</v>
      </c>
      <c r="W15" s="106">
        <f t="shared" si="2"/>
        <v>0</v>
      </c>
      <c r="X15" s="106">
        <f t="shared" si="2"/>
        <v>0</v>
      </c>
      <c r="Y15" s="106">
        <f t="shared" si="2"/>
        <v>0</v>
      </c>
      <c r="Z15" s="106">
        <f t="shared" si="2"/>
        <v>0</v>
      </c>
      <c r="AA15" s="106">
        <f t="shared" si="2"/>
        <v>0</v>
      </c>
      <c r="AB15" s="106">
        <f t="shared" si="2"/>
        <v>0</v>
      </c>
      <c r="AC15" s="106">
        <f t="shared" si="2"/>
        <v>0</v>
      </c>
      <c r="AD15" s="106">
        <f t="shared" si="2"/>
        <v>0</v>
      </c>
      <c r="AE15" s="106">
        <f t="shared" si="2"/>
        <v>0</v>
      </c>
      <c r="AF15" s="106">
        <f t="shared" si="2"/>
        <v>0</v>
      </c>
      <c r="AG15" s="106">
        <f t="shared" si="2"/>
        <v>0</v>
      </c>
      <c r="AH15" s="106">
        <f t="shared" si="2"/>
        <v>0</v>
      </c>
      <c r="AI15" s="106">
        <f t="shared" si="2"/>
        <v>0</v>
      </c>
      <c r="AJ15" s="106">
        <f t="shared" si="2"/>
        <v>0</v>
      </c>
      <c r="AK15" s="106">
        <f t="shared" si="2"/>
        <v>0</v>
      </c>
      <c r="AL15" s="106">
        <f t="shared" si="2"/>
        <v>0</v>
      </c>
      <c r="AM15" s="106">
        <f t="shared" si="2"/>
        <v>0</v>
      </c>
      <c r="AN15" s="106">
        <f t="shared" si="2"/>
        <v>0</v>
      </c>
      <c r="AO15" s="106">
        <f t="shared" si="2"/>
        <v>0</v>
      </c>
      <c r="AP15" s="106">
        <f t="shared" si="2"/>
        <v>0</v>
      </c>
      <c r="AQ15" s="106">
        <f t="shared" si="2"/>
        <v>0</v>
      </c>
      <c r="AR15" s="106">
        <f t="shared" si="2"/>
        <v>0</v>
      </c>
      <c r="AS15" s="106">
        <f t="shared" si="2"/>
        <v>0</v>
      </c>
      <c r="AT15" s="106">
        <f t="shared" si="2"/>
        <v>0</v>
      </c>
      <c r="AU15" s="106">
        <f t="shared" si="2"/>
        <v>0</v>
      </c>
      <c r="AV15" s="106">
        <f t="shared" si="2"/>
        <v>0</v>
      </c>
      <c r="AW15" s="106">
        <f t="shared" si="2"/>
        <v>0</v>
      </c>
      <c r="AX15" s="106">
        <f t="shared" si="2"/>
        <v>0</v>
      </c>
      <c r="AY15" s="106">
        <f t="shared" si="2"/>
        <v>0</v>
      </c>
      <c r="AZ15" s="109"/>
    </row>
    <row r="16" spans="1:52">
      <c r="A16" s="110"/>
      <c r="B16" s="130">
        <v>4</v>
      </c>
      <c r="C16" s="110">
        <v>0</v>
      </c>
      <c r="D16" s="106">
        <f>IF(C$20="Yes",C15,0)</f>
        <v>0</v>
      </c>
      <c r="E16" s="106">
        <f t="shared" si="2"/>
        <v>0</v>
      </c>
      <c r="F16" s="106">
        <f t="shared" si="2"/>
        <v>0</v>
      </c>
      <c r="G16" s="106">
        <f t="shared" si="2"/>
        <v>0</v>
      </c>
      <c r="H16" s="106">
        <f t="shared" si="2"/>
        <v>0</v>
      </c>
      <c r="I16" s="106">
        <f t="shared" si="2"/>
        <v>0</v>
      </c>
      <c r="J16" s="106">
        <f t="shared" si="2"/>
        <v>0</v>
      </c>
      <c r="K16" s="106">
        <f t="shared" si="2"/>
        <v>0</v>
      </c>
      <c r="L16" s="106">
        <f t="shared" si="2"/>
        <v>0</v>
      </c>
      <c r="M16" s="106">
        <f t="shared" si="2"/>
        <v>0</v>
      </c>
      <c r="N16" s="106">
        <f t="shared" si="2"/>
        <v>0</v>
      </c>
      <c r="O16" s="106">
        <f t="shared" si="2"/>
        <v>0</v>
      </c>
      <c r="P16" s="106">
        <f t="shared" si="2"/>
        <v>0</v>
      </c>
      <c r="Q16" s="106">
        <f t="shared" si="2"/>
        <v>0</v>
      </c>
      <c r="R16" s="106">
        <f t="shared" si="2"/>
        <v>0</v>
      </c>
      <c r="S16" s="106">
        <f t="shared" si="2"/>
        <v>0</v>
      </c>
      <c r="T16" s="106">
        <f t="shared" si="2"/>
        <v>0</v>
      </c>
      <c r="U16" s="106">
        <f t="shared" si="2"/>
        <v>0</v>
      </c>
      <c r="V16" s="106">
        <f t="shared" si="2"/>
        <v>0</v>
      </c>
      <c r="W16" s="106">
        <f t="shared" si="2"/>
        <v>0</v>
      </c>
      <c r="X16" s="106">
        <f t="shared" si="2"/>
        <v>0</v>
      </c>
      <c r="Y16" s="106">
        <f t="shared" si="2"/>
        <v>0</v>
      </c>
      <c r="Z16" s="106">
        <f t="shared" si="2"/>
        <v>0</v>
      </c>
      <c r="AA16" s="106">
        <f t="shared" si="2"/>
        <v>0</v>
      </c>
      <c r="AB16" s="106">
        <f t="shared" si="2"/>
        <v>0</v>
      </c>
      <c r="AC16" s="106">
        <f t="shared" si="2"/>
        <v>0</v>
      </c>
      <c r="AD16" s="106">
        <f t="shared" si="2"/>
        <v>0</v>
      </c>
      <c r="AE16" s="106">
        <f t="shared" si="2"/>
        <v>0</v>
      </c>
      <c r="AF16" s="106">
        <f t="shared" si="2"/>
        <v>0</v>
      </c>
      <c r="AG16" s="106">
        <f t="shared" si="2"/>
        <v>0</v>
      </c>
      <c r="AH16" s="106">
        <f t="shared" si="2"/>
        <v>0</v>
      </c>
      <c r="AI16" s="106">
        <f t="shared" si="2"/>
        <v>0</v>
      </c>
      <c r="AJ16" s="106">
        <f t="shared" si="2"/>
        <v>0</v>
      </c>
      <c r="AK16" s="106">
        <f t="shared" si="2"/>
        <v>0</v>
      </c>
      <c r="AL16" s="106">
        <f t="shared" si="2"/>
        <v>0</v>
      </c>
      <c r="AM16" s="106">
        <f t="shared" si="2"/>
        <v>0</v>
      </c>
      <c r="AN16" s="106">
        <f t="shared" si="2"/>
        <v>0</v>
      </c>
      <c r="AO16" s="106">
        <f t="shared" si="2"/>
        <v>0</v>
      </c>
      <c r="AP16" s="106">
        <f t="shared" si="2"/>
        <v>0</v>
      </c>
      <c r="AQ16" s="106">
        <f t="shared" si="2"/>
        <v>0</v>
      </c>
      <c r="AR16" s="106">
        <f t="shared" si="2"/>
        <v>0</v>
      </c>
      <c r="AS16" s="106">
        <f t="shared" si="2"/>
        <v>0</v>
      </c>
      <c r="AT16" s="106">
        <f t="shared" si="2"/>
        <v>0</v>
      </c>
      <c r="AU16" s="106">
        <f t="shared" si="2"/>
        <v>0</v>
      </c>
      <c r="AV16" s="106">
        <f t="shared" si="2"/>
        <v>0</v>
      </c>
      <c r="AW16" s="106">
        <f t="shared" si="2"/>
        <v>0</v>
      </c>
      <c r="AX16" s="106">
        <f t="shared" si="2"/>
        <v>0</v>
      </c>
      <c r="AY16" s="106">
        <f t="shared" si="2"/>
        <v>0</v>
      </c>
      <c r="AZ16" s="128"/>
    </row>
    <row r="17" spans="1:52">
      <c r="A17" s="125"/>
      <c r="B17" s="132" t="s">
        <v>296</v>
      </c>
      <c r="C17" s="125">
        <v>0</v>
      </c>
      <c r="D17" s="114">
        <f>IF(C$20="Yes",C16,0)</f>
        <v>0</v>
      </c>
      <c r="E17" s="114">
        <f t="shared" si="2"/>
        <v>0</v>
      </c>
      <c r="F17" s="114">
        <f t="shared" si="2"/>
        <v>0</v>
      </c>
      <c r="G17" s="114">
        <f t="shared" si="2"/>
        <v>0</v>
      </c>
      <c r="H17" s="114">
        <f t="shared" si="2"/>
        <v>0</v>
      </c>
      <c r="I17" s="114">
        <f t="shared" si="2"/>
        <v>0</v>
      </c>
      <c r="J17" s="114">
        <f t="shared" si="2"/>
        <v>0</v>
      </c>
      <c r="K17" s="114">
        <f t="shared" si="2"/>
        <v>0</v>
      </c>
      <c r="L17" s="114">
        <f t="shared" si="2"/>
        <v>0</v>
      </c>
      <c r="M17" s="114">
        <f t="shared" si="2"/>
        <v>0</v>
      </c>
      <c r="N17" s="114">
        <f t="shared" si="2"/>
        <v>0</v>
      </c>
      <c r="O17" s="114">
        <f t="shared" si="2"/>
        <v>0</v>
      </c>
      <c r="P17" s="114">
        <f t="shared" si="2"/>
        <v>0</v>
      </c>
      <c r="Q17" s="114">
        <f t="shared" si="2"/>
        <v>0</v>
      </c>
      <c r="R17" s="114">
        <f t="shared" si="2"/>
        <v>0</v>
      </c>
      <c r="S17" s="114">
        <f t="shared" si="2"/>
        <v>0</v>
      </c>
      <c r="T17" s="114">
        <f t="shared" si="2"/>
        <v>0</v>
      </c>
      <c r="U17" s="114">
        <f t="shared" si="2"/>
        <v>0</v>
      </c>
      <c r="V17" s="114">
        <f t="shared" si="2"/>
        <v>0</v>
      </c>
      <c r="W17" s="114">
        <f t="shared" si="2"/>
        <v>0</v>
      </c>
      <c r="X17" s="114">
        <f t="shared" si="2"/>
        <v>0</v>
      </c>
      <c r="Y17" s="114">
        <f t="shared" si="2"/>
        <v>0</v>
      </c>
      <c r="Z17" s="114">
        <f t="shared" si="2"/>
        <v>0</v>
      </c>
      <c r="AA17" s="114">
        <f t="shared" si="2"/>
        <v>0</v>
      </c>
      <c r="AB17" s="114">
        <f t="shared" si="2"/>
        <v>0</v>
      </c>
      <c r="AC17" s="114">
        <f t="shared" si="2"/>
        <v>0</v>
      </c>
      <c r="AD17" s="114">
        <f t="shared" si="2"/>
        <v>0</v>
      </c>
      <c r="AE17" s="114">
        <f t="shared" si="2"/>
        <v>0</v>
      </c>
      <c r="AF17" s="114">
        <f t="shared" si="2"/>
        <v>0</v>
      </c>
      <c r="AG17" s="114">
        <f t="shared" si="2"/>
        <v>0</v>
      </c>
      <c r="AH17" s="114">
        <f t="shared" si="2"/>
        <v>0</v>
      </c>
      <c r="AI17" s="114">
        <f t="shared" si="2"/>
        <v>0</v>
      </c>
      <c r="AJ17" s="114">
        <f t="shared" si="2"/>
        <v>0</v>
      </c>
      <c r="AK17" s="114">
        <f t="shared" si="2"/>
        <v>0</v>
      </c>
      <c r="AL17" s="114">
        <f t="shared" si="2"/>
        <v>0</v>
      </c>
      <c r="AM17" s="114">
        <f t="shared" si="2"/>
        <v>0</v>
      </c>
      <c r="AN17" s="114">
        <f t="shared" si="2"/>
        <v>0</v>
      </c>
      <c r="AO17" s="114">
        <f t="shared" si="2"/>
        <v>0</v>
      </c>
      <c r="AP17" s="114">
        <f t="shared" si="2"/>
        <v>0</v>
      </c>
      <c r="AQ17" s="114">
        <f t="shared" si="2"/>
        <v>0</v>
      </c>
      <c r="AR17" s="114">
        <f t="shared" si="2"/>
        <v>0</v>
      </c>
      <c r="AS17" s="114">
        <f t="shared" si="2"/>
        <v>0</v>
      </c>
      <c r="AT17" s="114">
        <f t="shared" si="2"/>
        <v>0</v>
      </c>
      <c r="AU17" s="114">
        <f t="shared" si="2"/>
        <v>0</v>
      </c>
      <c r="AV17" s="114">
        <f t="shared" si="2"/>
        <v>0</v>
      </c>
      <c r="AW17" s="114">
        <f t="shared" si="2"/>
        <v>0</v>
      </c>
      <c r="AX17" s="114">
        <f t="shared" si="2"/>
        <v>0</v>
      </c>
      <c r="AY17" s="114">
        <f t="shared" si="2"/>
        <v>0</v>
      </c>
      <c r="AZ17" s="151">
        <f>SUM($D$17:$AY$17)</f>
        <v>0</v>
      </c>
    </row>
    <row r="18" spans="1:52">
      <c r="A18" s="106"/>
      <c r="B18" s="153"/>
      <c r="C18" s="138"/>
      <c r="D18" s="138"/>
      <c r="E18" s="138"/>
      <c r="F18" s="138"/>
      <c r="G18" s="138"/>
      <c r="H18" s="138"/>
      <c r="I18" s="138"/>
      <c r="J18" s="138"/>
      <c r="K18" s="138"/>
      <c r="L18" s="138"/>
      <c r="M18" s="138"/>
      <c r="N18" s="138"/>
      <c r="O18" s="138"/>
      <c r="P18" s="138"/>
      <c r="Q18" s="138"/>
      <c r="R18" s="138"/>
      <c r="S18" s="138"/>
      <c r="T18" s="138"/>
      <c r="U18" s="138"/>
      <c r="V18" s="138"/>
      <c r="W18" s="138"/>
      <c r="X18" s="138"/>
      <c r="Y18" s="138"/>
      <c r="Z18" s="138"/>
      <c r="AA18" s="138"/>
      <c r="AB18" s="138"/>
      <c r="AC18" s="138"/>
      <c r="AD18" s="138"/>
      <c r="AE18" s="138"/>
      <c r="AF18" s="138"/>
      <c r="AG18" s="138"/>
      <c r="AH18" s="138"/>
      <c r="AI18" s="138"/>
      <c r="AJ18" s="138"/>
      <c r="AK18" s="138"/>
      <c r="AL18" s="138"/>
      <c r="AM18" s="138"/>
      <c r="AN18" s="138"/>
      <c r="AO18" s="138"/>
      <c r="AP18" s="138"/>
      <c r="AQ18" s="138"/>
      <c r="AR18" s="138"/>
      <c r="AS18" s="138"/>
      <c r="AT18" s="138"/>
      <c r="AU18" s="138"/>
      <c r="AV18" s="138"/>
      <c r="AW18" s="138"/>
      <c r="AX18" s="138"/>
      <c r="AY18" s="138"/>
      <c r="AZ18" s="106"/>
    </row>
    <row r="19" spans="1:52">
      <c r="A19" s="102" t="s">
        <v>116</v>
      </c>
      <c r="B19" s="106"/>
      <c r="C19" s="106"/>
      <c r="D19" s="106"/>
      <c r="E19" s="106"/>
      <c r="F19" s="106"/>
      <c r="G19" s="106"/>
      <c r="H19" s="106"/>
      <c r="I19" s="106"/>
      <c r="J19" s="106"/>
      <c r="K19" s="106"/>
      <c r="L19" s="106"/>
      <c r="M19" s="106"/>
      <c r="N19" s="106"/>
      <c r="O19" s="106"/>
      <c r="P19" s="106"/>
      <c r="Q19" s="106"/>
      <c r="R19" s="106"/>
      <c r="S19" s="106"/>
      <c r="T19" s="106"/>
      <c r="U19" s="106"/>
      <c r="V19" s="106"/>
      <c r="W19" s="106"/>
      <c r="X19" s="106"/>
      <c r="Y19" s="106"/>
      <c r="Z19" s="106"/>
      <c r="AA19" s="106"/>
      <c r="AB19" s="106"/>
      <c r="AC19" s="106"/>
      <c r="AD19" s="106"/>
      <c r="AE19" s="106"/>
      <c r="AF19" s="106"/>
      <c r="AG19" s="106"/>
      <c r="AH19" s="106"/>
      <c r="AI19" s="106"/>
      <c r="AJ19" s="106"/>
      <c r="AK19" s="106"/>
      <c r="AL19" s="106"/>
      <c r="AM19" s="106"/>
      <c r="AN19" s="106"/>
      <c r="AO19" s="106"/>
      <c r="AP19" s="106"/>
      <c r="AQ19" s="106"/>
      <c r="AR19" s="106"/>
      <c r="AS19" s="106"/>
      <c r="AT19" s="106"/>
      <c r="AU19" s="106"/>
      <c r="AV19" s="106"/>
      <c r="AW19" s="106"/>
      <c r="AX19" s="106"/>
      <c r="AY19" s="106"/>
    </row>
    <row r="20" spans="1:52" s="110" customFormat="1">
      <c r="A20" s="115" t="s">
        <v>305</v>
      </c>
      <c r="B20" s="154" t="s">
        <v>306</v>
      </c>
      <c r="C20" s="117"/>
      <c r="D20" s="117"/>
      <c r="E20" s="117"/>
      <c r="F20" s="117"/>
      <c r="G20" s="117"/>
      <c r="H20" s="117"/>
      <c r="I20" s="117"/>
      <c r="J20" s="117" t="s">
        <v>339</v>
      </c>
      <c r="K20" s="117"/>
      <c r="L20" s="117"/>
      <c r="M20" s="117"/>
      <c r="N20" s="117"/>
      <c r="O20" s="117"/>
      <c r="P20" s="117"/>
      <c r="Q20" s="117"/>
      <c r="R20" s="117" t="s">
        <v>339</v>
      </c>
      <c r="S20" s="117"/>
      <c r="T20" s="117"/>
      <c r="U20" s="117"/>
      <c r="V20" s="117"/>
      <c r="W20" s="117" t="s">
        <v>339</v>
      </c>
      <c r="X20" s="117"/>
      <c r="Y20" s="117"/>
      <c r="Z20" s="117"/>
      <c r="AA20" s="117"/>
      <c r="AB20" s="117"/>
      <c r="AC20" s="117"/>
      <c r="AD20" s="117"/>
      <c r="AE20" s="117"/>
      <c r="AF20" s="117"/>
      <c r="AG20" s="117"/>
      <c r="AH20" s="117" t="s">
        <v>339</v>
      </c>
      <c r="AI20" s="117"/>
      <c r="AJ20" s="117"/>
      <c r="AK20" s="117"/>
      <c r="AL20" s="117"/>
      <c r="AM20" s="117" t="s">
        <v>339</v>
      </c>
      <c r="AN20" s="117"/>
      <c r="AO20" s="117"/>
      <c r="AP20" s="117"/>
      <c r="AQ20" s="117"/>
      <c r="AR20" s="117"/>
      <c r="AS20" s="117"/>
      <c r="AT20" s="117"/>
      <c r="AU20" s="117"/>
      <c r="AV20" s="117"/>
      <c r="AW20" s="117"/>
      <c r="AX20" s="117"/>
      <c r="AY20" s="117"/>
      <c r="AZ20" s="107"/>
    </row>
    <row r="21" spans="1:52" s="110" customFormat="1">
      <c r="A21" s="155" t="s">
        <v>133</v>
      </c>
      <c r="B21" s="156">
        <f>shipping_manufacturing!$E$19/100</f>
        <v>0.64610043330821787</v>
      </c>
      <c r="C21" s="156" t="s">
        <v>293</v>
      </c>
      <c r="D21" s="106">
        <f>IF(C$20="Yes",0,SUM(C$13:C$16)*$B$21)</f>
        <v>16.25322376130438</v>
      </c>
      <c r="E21" s="106">
        <f t="shared" ref="E21:AY21" si="3">IF(D$20="Yes",0,SUM(D$13:D$16)*$B$21)</f>
        <v>610.74520421119007</v>
      </c>
      <c r="F21" s="106">
        <f t="shared" si="3"/>
        <v>610.74520421119007</v>
      </c>
      <c r="G21" s="106">
        <f t="shared" si="3"/>
        <v>610.74520421119007</v>
      </c>
      <c r="H21" s="106">
        <f t="shared" si="3"/>
        <v>610.74520421119007</v>
      </c>
      <c r="I21" s="106">
        <f t="shared" si="3"/>
        <v>610.74520421119007</v>
      </c>
      <c r="J21" s="106">
        <f t="shared" si="3"/>
        <v>610.74520421119007</v>
      </c>
      <c r="K21" s="106">
        <f t="shared" si="3"/>
        <v>0</v>
      </c>
      <c r="L21" s="106">
        <f t="shared" si="3"/>
        <v>1221.4904084223801</v>
      </c>
      <c r="M21" s="106">
        <f t="shared" si="3"/>
        <v>610.74520421119007</v>
      </c>
      <c r="N21" s="106">
        <f t="shared" si="3"/>
        <v>610.74520421119007</v>
      </c>
      <c r="O21" s="106">
        <f t="shared" si="3"/>
        <v>610.74520421119007</v>
      </c>
      <c r="P21" s="106">
        <f t="shared" si="3"/>
        <v>610.74520421119007</v>
      </c>
      <c r="Q21" s="106">
        <f t="shared" si="3"/>
        <v>610.74520421119007</v>
      </c>
      <c r="R21" s="106">
        <f t="shared" si="3"/>
        <v>610.74520421119007</v>
      </c>
      <c r="S21" s="106">
        <f t="shared" si="3"/>
        <v>0</v>
      </c>
      <c r="T21" s="106">
        <f t="shared" si="3"/>
        <v>1221.4904084223801</v>
      </c>
      <c r="U21" s="106">
        <f t="shared" si="3"/>
        <v>610.74520421119007</v>
      </c>
      <c r="V21" s="106">
        <f t="shared" si="3"/>
        <v>610.74520421119007</v>
      </c>
      <c r="W21" s="106">
        <f t="shared" si="3"/>
        <v>610.74520421119007</v>
      </c>
      <c r="X21" s="106">
        <f t="shared" si="3"/>
        <v>0</v>
      </c>
      <c r="Y21" s="106">
        <f t="shared" si="3"/>
        <v>1221.4904084223801</v>
      </c>
      <c r="Z21" s="106">
        <f t="shared" si="3"/>
        <v>610.74520421119007</v>
      </c>
      <c r="AA21" s="106">
        <f t="shared" si="3"/>
        <v>610.74520421119007</v>
      </c>
      <c r="AB21" s="106">
        <f t="shared" si="3"/>
        <v>610.74520421119007</v>
      </c>
      <c r="AC21" s="106">
        <f t="shared" si="3"/>
        <v>610.74520421119007</v>
      </c>
      <c r="AD21" s="106">
        <f t="shared" si="3"/>
        <v>610.74520421119007</v>
      </c>
      <c r="AE21" s="106">
        <f t="shared" si="3"/>
        <v>610.74520421119007</v>
      </c>
      <c r="AF21" s="106">
        <f t="shared" si="3"/>
        <v>610.74520421119007</v>
      </c>
      <c r="AG21" s="106">
        <f t="shared" si="3"/>
        <v>729.00322336646434</v>
      </c>
      <c r="AH21" s="106">
        <f t="shared" si="3"/>
        <v>729.00322336646434</v>
      </c>
      <c r="AI21" s="106">
        <f t="shared" si="3"/>
        <v>0</v>
      </c>
      <c r="AJ21" s="106">
        <f t="shared" si="3"/>
        <v>1458.0064467329287</v>
      </c>
      <c r="AK21" s="106">
        <f t="shared" si="3"/>
        <v>610.74520421119007</v>
      </c>
      <c r="AL21" s="106">
        <f t="shared" si="3"/>
        <v>610.74520421119007</v>
      </c>
      <c r="AM21" s="106">
        <f t="shared" si="3"/>
        <v>610.74520421119007</v>
      </c>
      <c r="AN21" s="106">
        <f t="shared" si="3"/>
        <v>0</v>
      </c>
      <c r="AO21" s="106">
        <f t="shared" si="3"/>
        <v>1221.4904084223801</v>
      </c>
      <c r="AP21" s="106">
        <f t="shared" si="3"/>
        <v>610.74520421119007</v>
      </c>
      <c r="AQ21" s="106">
        <f t="shared" si="3"/>
        <v>610.74520421119007</v>
      </c>
      <c r="AR21" s="106">
        <f t="shared" si="3"/>
        <v>610.74520421119007</v>
      </c>
      <c r="AS21" s="106">
        <f t="shared" si="3"/>
        <v>610.74520421119007</v>
      </c>
      <c r="AT21" s="106">
        <f t="shared" si="3"/>
        <v>610.74520421119007</v>
      </c>
      <c r="AU21" s="106">
        <f t="shared" si="3"/>
        <v>610.74520421119007</v>
      </c>
      <c r="AV21" s="106">
        <f t="shared" si="3"/>
        <v>610.74520421119007</v>
      </c>
      <c r="AW21" s="106">
        <f t="shared" si="3"/>
        <v>610.74520421119007</v>
      </c>
      <c r="AX21" s="106">
        <f t="shared" si="3"/>
        <v>610.74520421119007</v>
      </c>
      <c r="AY21" s="106">
        <f t="shared" si="3"/>
        <v>610.74520421119007</v>
      </c>
      <c r="AZ21" s="157">
        <f>SUM($D21:$AY21)</f>
        <v>29194.309898308351</v>
      </c>
    </row>
    <row r="22" spans="1:52" s="110" customFormat="1">
      <c r="A22" s="158" t="s">
        <v>123</v>
      </c>
      <c r="B22" s="159">
        <f>1-$B$21</f>
        <v>0.35389956669178213</v>
      </c>
      <c r="C22" s="159" t="s">
        <v>293</v>
      </c>
      <c r="D22" s="114">
        <f>IF(C$20="Yes",0,SUM(C$13:C$16)*$B$22)</f>
        <v>8.9026543706498966</v>
      </c>
      <c r="E22" s="114">
        <f t="shared" ref="E22:AY22" si="4">IF(D$20="Yes",0,SUM(D$13:D$16)*$B$22)</f>
        <v>334.53384642185318</v>
      </c>
      <c r="F22" s="114">
        <f t="shared" si="4"/>
        <v>334.53384642185318</v>
      </c>
      <c r="G22" s="114">
        <f t="shared" si="4"/>
        <v>334.53384642185318</v>
      </c>
      <c r="H22" s="114">
        <f t="shared" si="4"/>
        <v>334.53384642185318</v>
      </c>
      <c r="I22" s="114">
        <f t="shared" si="4"/>
        <v>334.53384642185318</v>
      </c>
      <c r="J22" s="114">
        <f t="shared" si="4"/>
        <v>334.53384642185318</v>
      </c>
      <c r="K22" s="114">
        <f t="shared" si="4"/>
        <v>0</v>
      </c>
      <c r="L22" s="114">
        <f t="shared" si="4"/>
        <v>669.06769284370637</v>
      </c>
      <c r="M22" s="114">
        <f t="shared" si="4"/>
        <v>334.53384642185318</v>
      </c>
      <c r="N22" s="114">
        <f t="shared" si="4"/>
        <v>334.53384642185318</v>
      </c>
      <c r="O22" s="114">
        <f t="shared" si="4"/>
        <v>334.53384642185318</v>
      </c>
      <c r="P22" s="114">
        <f t="shared" si="4"/>
        <v>334.53384642185318</v>
      </c>
      <c r="Q22" s="114">
        <f t="shared" si="4"/>
        <v>334.53384642185318</v>
      </c>
      <c r="R22" s="114">
        <f t="shared" si="4"/>
        <v>334.53384642185318</v>
      </c>
      <c r="S22" s="114">
        <f t="shared" si="4"/>
        <v>0</v>
      </c>
      <c r="T22" s="114">
        <f t="shared" si="4"/>
        <v>669.06769284370637</v>
      </c>
      <c r="U22" s="114">
        <f t="shared" si="4"/>
        <v>334.53384642185318</v>
      </c>
      <c r="V22" s="114">
        <f t="shared" si="4"/>
        <v>334.53384642185318</v>
      </c>
      <c r="W22" s="114">
        <f t="shared" si="4"/>
        <v>334.53384642185318</v>
      </c>
      <c r="X22" s="114">
        <f t="shared" si="4"/>
        <v>0</v>
      </c>
      <c r="Y22" s="114">
        <f t="shared" si="4"/>
        <v>669.06769284370637</v>
      </c>
      <c r="Z22" s="114">
        <f t="shared" si="4"/>
        <v>334.53384642185318</v>
      </c>
      <c r="AA22" s="114">
        <f t="shared" si="4"/>
        <v>334.53384642185318</v>
      </c>
      <c r="AB22" s="114">
        <f t="shared" si="4"/>
        <v>334.53384642185318</v>
      </c>
      <c r="AC22" s="114">
        <f t="shared" si="4"/>
        <v>334.53384642185318</v>
      </c>
      <c r="AD22" s="114">
        <f t="shared" si="4"/>
        <v>334.53384642185318</v>
      </c>
      <c r="AE22" s="114">
        <f t="shared" si="4"/>
        <v>334.53384642185318</v>
      </c>
      <c r="AF22" s="114">
        <f t="shared" si="4"/>
        <v>334.53384642185318</v>
      </c>
      <c r="AG22" s="114">
        <f t="shared" si="4"/>
        <v>399.30932029452754</v>
      </c>
      <c r="AH22" s="114">
        <f t="shared" si="4"/>
        <v>399.30932029452754</v>
      </c>
      <c r="AI22" s="114">
        <f t="shared" si="4"/>
        <v>0</v>
      </c>
      <c r="AJ22" s="114">
        <f t="shared" si="4"/>
        <v>798.61864058905508</v>
      </c>
      <c r="AK22" s="114">
        <f t="shared" si="4"/>
        <v>334.53384642185318</v>
      </c>
      <c r="AL22" s="114">
        <f t="shared" si="4"/>
        <v>334.53384642185318</v>
      </c>
      <c r="AM22" s="114">
        <f t="shared" si="4"/>
        <v>334.53384642185318</v>
      </c>
      <c r="AN22" s="114">
        <f t="shared" si="4"/>
        <v>0</v>
      </c>
      <c r="AO22" s="114">
        <f t="shared" si="4"/>
        <v>669.06769284370637</v>
      </c>
      <c r="AP22" s="114">
        <f t="shared" si="4"/>
        <v>334.53384642185318</v>
      </c>
      <c r="AQ22" s="114">
        <f t="shared" si="4"/>
        <v>334.53384642185318</v>
      </c>
      <c r="AR22" s="114">
        <f t="shared" si="4"/>
        <v>334.53384642185318</v>
      </c>
      <c r="AS22" s="114">
        <f t="shared" si="4"/>
        <v>334.53384642185318</v>
      </c>
      <c r="AT22" s="114">
        <f t="shared" si="4"/>
        <v>334.53384642185318</v>
      </c>
      <c r="AU22" s="114">
        <f t="shared" si="4"/>
        <v>334.53384642185318</v>
      </c>
      <c r="AV22" s="114">
        <f t="shared" si="4"/>
        <v>334.53384642185318</v>
      </c>
      <c r="AW22" s="114">
        <f t="shared" si="4"/>
        <v>334.53384642185318</v>
      </c>
      <c r="AX22" s="114">
        <f t="shared" si="4"/>
        <v>334.53384642185318</v>
      </c>
      <c r="AY22" s="114">
        <f t="shared" si="4"/>
        <v>334.53384642185318</v>
      </c>
      <c r="AZ22" s="141">
        <f t="shared" ref="AZ22:AZ30" si="5">SUM($D22:$AY22)</f>
        <v>15991.095331688441</v>
      </c>
    </row>
    <row r="23" spans="1:52">
      <c r="A23" s="160" t="s">
        <v>307</v>
      </c>
      <c r="B23" s="124">
        <v>2000</v>
      </c>
      <c r="C23" s="100" t="s">
        <v>293</v>
      </c>
      <c r="D23" s="100">
        <f>D$21*$B$23</f>
        <v>32506.44752260876</v>
      </c>
      <c r="E23" s="100">
        <f t="shared" ref="E23:AY23" si="6">E$21*$B$23</f>
        <v>1221490.4084223802</v>
      </c>
      <c r="F23" s="100">
        <f t="shared" si="6"/>
        <v>1221490.4084223802</v>
      </c>
      <c r="G23" s="100">
        <f t="shared" si="6"/>
        <v>1221490.4084223802</v>
      </c>
      <c r="H23" s="100">
        <f t="shared" si="6"/>
        <v>1221490.4084223802</v>
      </c>
      <c r="I23" s="100">
        <f t="shared" si="6"/>
        <v>1221490.4084223802</v>
      </c>
      <c r="J23" s="100">
        <f t="shared" si="6"/>
        <v>1221490.4084223802</v>
      </c>
      <c r="K23" s="100">
        <f t="shared" si="6"/>
        <v>0</v>
      </c>
      <c r="L23" s="100">
        <f t="shared" si="6"/>
        <v>2442980.8168447604</v>
      </c>
      <c r="M23" s="100">
        <f t="shared" si="6"/>
        <v>1221490.4084223802</v>
      </c>
      <c r="N23" s="100">
        <f t="shared" si="6"/>
        <v>1221490.4084223802</v>
      </c>
      <c r="O23" s="100">
        <f t="shared" si="6"/>
        <v>1221490.4084223802</v>
      </c>
      <c r="P23" s="100">
        <f t="shared" si="6"/>
        <v>1221490.4084223802</v>
      </c>
      <c r="Q23" s="100">
        <f t="shared" si="6"/>
        <v>1221490.4084223802</v>
      </c>
      <c r="R23" s="100">
        <f t="shared" si="6"/>
        <v>1221490.4084223802</v>
      </c>
      <c r="S23" s="100">
        <f t="shared" si="6"/>
        <v>0</v>
      </c>
      <c r="T23" s="100">
        <f t="shared" si="6"/>
        <v>2442980.8168447604</v>
      </c>
      <c r="U23" s="100">
        <f t="shared" si="6"/>
        <v>1221490.4084223802</v>
      </c>
      <c r="V23" s="100">
        <f t="shared" si="6"/>
        <v>1221490.4084223802</v>
      </c>
      <c r="W23" s="100">
        <f t="shared" si="6"/>
        <v>1221490.4084223802</v>
      </c>
      <c r="X23" s="100">
        <f t="shared" si="6"/>
        <v>0</v>
      </c>
      <c r="Y23" s="100">
        <f t="shared" si="6"/>
        <v>2442980.8168447604</v>
      </c>
      <c r="Z23" s="100">
        <f t="shared" si="6"/>
        <v>1221490.4084223802</v>
      </c>
      <c r="AA23" s="100">
        <f t="shared" si="6"/>
        <v>1221490.4084223802</v>
      </c>
      <c r="AB23" s="100">
        <f t="shared" si="6"/>
        <v>1221490.4084223802</v>
      </c>
      <c r="AC23" s="100">
        <f t="shared" si="6"/>
        <v>1221490.4084223802</v>
      </c>
      <c r="AD23" s="100">
        <f t="shared" si="6"/>
        <v>1221490.4084223802</v>
      </c>
      <c r="AE23" s="100">
        <f t="shared" si="6"/>
        <v>1221490.4084223802</v>
      </c>
      <c r="AF23" s="100">
        <f t="shared" si="6"/>
        <v>1221490.4084223802</v>
      </c>
      <c r="AG23" s="100">
        <f t="shared" si="6"/>
        <v>1458006.4467329287</v>
      </c>
      <c r="AH23" s="100">
        <f t="shared" si="6"/>
        <v>1458006.4467329287</v>
      </c>
      <c r="AI23" s="100">
        <f t="shared" si="6"/>
        <v>0</v>
      </c>
      <c r="AJ23" s="100">
        <f t="shared" si="6"/>
        <v>2916012.8934658575</v>
      </c>
      <c r="AK23" s="100">
        <f t="shared" si="6"/>
        <v>1221490.4084223802</v>
      </c>
      <c r="AL23" s="100">
        <f t="shared" si="6"/>
        <v>1221490.4084223802</v>
      </c>
      <c r="AM23" s="100">
        <f t="shared" si="6"/>
        <v>1221490.4084223802</v>
      </c>
      <c r="AN23" s="100">
        <f t="shared" si="6"/>
        <v>0</v>
      </c>
      <c r="AO23" s="100">
        <f t="shared" si="6"/>
        <v>2442980.8168447604</v>
      </c>
      <c r="AP23" s="100">
        <f t="shared" si="6"/>
        <v>1221490.4084223802</v>
      </c>
      <c r="AQ23" s="100">
        <f t="shared" si="6"/>
        <v>1221490.4084223802</v>
      </c>
      <c r="AR23" s="100">
        <f t="shared" si="6"/>
        <v>1221490.4084223802</v>
      </c>
      <c r="AS23" s="100">
        <f t="shared" si="6"/>
        <v>1221490.4084223802</v>
      </c>
      <c r="AT23" s="100">
        <f t="shared" si="6"/>
        <v>1221490.4084223802</v>
      </c>
      <c r="AU23" s="100">
        <f t="shared" si="6"/>
        <v>1221490.4084223802</v>
      </c>
      <c r="AV23" s="100">
        <f t="shared" si="6"/>
        <v>1221490.4084223802</v>
      </c>
      <c r="AW23" s="100">
        <f t="shared" si="6"/>
        <v>1221490.4084223802</v>
      </c>
      <c r="AX23" s="100">
        <f t="shared" si="6"/>
        <v>1221490.4084223802</v>
      </c>
      <c r="AY23" s="100">
        <f t="shared" si="6"/>
        <v>1221490.4084223802</v>
      </c>
      <c r="AZ23" s="139">
        <f t="shared" si="5"/>
        <v>58388619.796616688</v>
      </c>
    </row>
    <row r="24" spans="1:52" s="110" customFormat="1">
      <c r="A24" s="161" t="s">
        <v>308</v>
      </c>
      <c r="B24" s="162">
        <v>1000</v>
      </c>
      <c r="C24" s="156" t="s">
        <v>293</v>
      </c>
      <c r="D24" s="106">
        <f>D$22*$B$24</f>
        <v>8902.654370649896</v>
      </c>
      <c r="E24" s="106">
        <f t="shared" ref="E24:AY24" si="7">E$22*$B$24</f>
        <v>334533.84642185317</v>
      </c>
      <c r="F24" s="106">
        <f t="shared" si="7"/>
        <v>334533.84642185317</v>
      </c>
      <c r="G24" s="106">
        <f t="shared" si="7"/>
        <v>334533.84642185317</v>
      </c>
      <c r="H24" s="106">
        <f t="shared" si="7"/>
        <v>334533.84642185317</v>
      </c>
      <c r="I24" s="106">
        <f t="shared" si="7"/>
        <v>334533.84642185317</v>
      </c>
      <c r="J24" s="106">
        <f t="shared" si="7"/>
        <v>334533.84642185317</v>
      </c>
      <c r="K24" s="106">
        <f t="shared" si="7"/>
        <v>0</v>
      </c>
      <c r="L24" s="106">
        <f t="shared" si="7"/>
        <v>669067.69284370635</v>
      </c>
      <c r="M24" s="106">
        <f t="shared" si="7"/>
        <v>334533.84642185317</v>
      </c>
      <c r="N24" s="106">
        <f t="shared" si="7"/>
        <v>334533.84642185317</v>
      </c>
      <c r="O24" s="106">
        <f t="shared" si="7"/>
        <v>334533.84642185317</v>
      </c>
      <c r="P24" s="106">
        <f t="shared" si="7"/>
        <v>334533.84642185317</v>
      </c>
      <c r="Q24" s="106">
        <f t="shared" si="7"/>
        <v>334533.84642185317</v>
      </c>
      <c r="R24" s="106">
        <f t="shared" si="7"/>
        <v>334533.84642185317</v>
      </c>
      <c r="S24" s="106">
        <f t="shared" si="7"/>
        <v>0</v>
      </c>
      <c r="T24" s="106">
        <f t="shared" si="7"/>
        <v>669067.69284370635</v>
      </c>
      <c r="U24" s="106">
        <f t="shared" si="7"/>
        <v>334533.84642185317</v>
      </c>
      <c r="V24" s="106">
        <f t="shared" si="7"/>
        <v>334533.84642185317</v>
      </c>
      <c r="W24" s="106">
        <f t="shared" si="7"/>
        <v>334533.84642185317</v>
      </c>
      <c r="X24" s="106">
        <f t="shared" si="7"/>
        <v>0</v>
      </c>
      <c r="Y24" s="106">
        <f t="shared" si="7"/>
        <v>669067.69284370635</v>
      </c>
      <c r="Z24" s="106">
        <f t="shared" si="7"/>
        <v>334533.84642185317</v>
      </c>
      <c r="AA24" s="106">
        <f t="shared" si="7"/>
        <v>334533.84642185317</v>
      </c>
      <c r="AB24" s="106">
        <f t="shared" si="7"/>
        <v>334533.84642185317</v>
      </c>
      <c r="AC24" s="106">
        <f t="shared" si="7"/>
        <v>334533.84642185317</v>
      </c>
      <c r="AD24" s="106">
        <f t="shared" si="7"/>
        <v>334533.84642185317</v>
      </c>
      <c r="AE24" s="106">
        <f t="shared" si="7"/>
        <v>334533.84642185317</v>
      </c>
      <c r="AF24" s="106">
        <f t="shared" si="7"/>
        <v>334533.84642185317</v>
      </c>
      <c r="AG24" s="106">
        <f t="shared" si="7"/>
        <v>399309.32029452751</v>
      </c>
      <c r="AH24" s="106">
        <f t="shared" si="7"/>
        <v>399309.32029452751</v>
      </c>
      <c r="AI24" s="106">
        <f t="shared" si="7"/>
        <v>0</v>
      </c>
      <c r="AJ24" s="106">
        <f t="shared" si="7"/>
        <v>798618.64058905502</v>
      </c>
      <c r="AK24" s="106">
        <f t="shared" si="7"/>
        <v>334533.84642185317</v>
      </c>
      <c r="AL24" s="106">
        <f t="shared" si="7"/>
        <v>334533.84642185317</v>
      </c>
      <c r="AM24" s="106">
        <f t="shared" si="7"/>
        <v>334533.84642185317</v>
      </c>
      <c r="AN24" s="106">
        <f t="shared" si="7"/>
        <v>0</v>
      </c>
      <c r="AO24" s="106">
        <f t="shared" si="7"/>
        <v>669067.69284370635</v>
      </c>
      <c r="AP24" s="106">
        <f t="shared" si="7"/>
        <v>334533.84642185317</v>
      </c>
      <c r="AQ24" s="106">
        <f t="shared" si="7"/>
        <v>334533.84642185317</v>
      </c>
      <c r="AR24" s="106">
        <f t="shared" si="7"/>
        <v>334533.84642185317</v>
      </c>
      <c r="AS24" s="106">
        <f t="shared" si="7"/>
        <v>334533.84642185317</v>
      </c>
      <c r="AT24" s="106">
        <f t="shared" si="7"/>
        <v>334533.84642185317</v>
      </c>
      <c r="AU24" s="106">
        <f t="shared" si="7"/>
        <v>334533.84642185317</v>
      </c>
      <c r="AV24" s="106">
        <f t="shared" si="7"/>
        <v>334533.84642185317</v>
      </c>
      <c r="AW24" s="106">
        <f t="shared" si="7"/>
        <v>334533.84642185317</v>
      </c>
      <c r="AX24" s="106">
        <f t="shared" si="7"/>
        <v>334533.84642185317</v>
      </c>
      <c r="AY24" s="106">
        <f t="shared" si="7"/>
        <v>334533.84642185317</v>
      </c>
      <c r="AZ24" s="141">
        <f t="shared" si="5"/>
        <v>15991095.331688438</v>
      </c>
    </row>
    <row r="25" spans="1:52">
      <c r="C25" s="138"/>
      <c r="D25" s="138"/>
      <c r="E25" s="138"/>
      <c r="F25" s="138"/>
      <c r="G25" s="138"/>
      <c r="H25" s="138"/>
      <c r="I25" s="138"/>
      <c r="J25" s="138"/>
      <c r="K25" s="138"/>
      <c r="L25" s="138"/>
      <c r="M25" s="138"/>
      <c r="N25" s="138"/>
      <c r="O25" s="138"/>
      <c r="P25" s="138"/>
      <c r="Q25" s="138"/>
      <c r="R25" s="138"/>
      <c r="S25" s="138"/>
      <c r="T25" s="138"/>
      <c r="U25" s="138"/>
      <c r="V25" s="138"/>
      <c r="W25" s="138"/>
      <c r="X25" s="138"/>
      <c r="Y25" s="138"/>
      <c r="Z25" s="138"/>
      <c r="AA25" s="138"/>
      <c r="AB25" s="138"/>
      <c r="AC25" s="138"/>
      <c r="AD25" s="138"/>
      <c r="AE25" s="138"/>
      <c r="AF25" s="138"/>
      <c r="AG25" s="138"/>
      <c r="AH25" s="138"/>
      <c r="AI25" s="138"/>
      <c r="AJ25" s="138"/>
      <c r="AK25" s="138"/>
      <c r="AL25" s="138"/>
      <c r="AM25" s="138"/>
      <c r="AN25" s="138"/>
      <c r="AO25" s="138"/>
      <c r="AP25" s="138"/>
      <c r="AQ25" s="138"/>
      <c r="AR25" s="138"/>
      <c r="AS25" s="138"/>
      <c r="AT25" s="138"/>
      <c r="AU25" s="138"/>
      <c r="AV25" s="138"/>
      <c r="AW25" s="138"/>
      <c r="AX25" s="138"/>
      <c r="AY25" s="138"/>
      <c r="AZ25" s="106"/>
    </row>
    <row r="26" spans="1:52">
      <c r="A26" s="163" t="s">
        <v>18</v>
      </c>
      <c r="C26" s="106"/>
      <c r="D26" s="106"/>
      <c r="E26" s="106"/>
      <c r="F26" s="106"/>
      <c r="G26" s="106"/>
      <c r="H26" s="106"/>
      <c r="I26" s="106"/>
      <c r="J26" s="106"/>
      <c r="K26" s="106"/>
      <c r="L26" s="106"/>
      <c r="M26" s="106"/>
      <c r="N26" s="106"/>
      <c r="O26" s="106"/>
      <c r="P26" s="106"/>
      <c r="Q26" s="106"/>
      <c r="R26" s="106"/>
      <c r="S26" s="106"/>
      <c r="T26" s="106"/>
      <c r="U26" s="106"/>
      <c r="V26" s="106"/>
      <c r="W26" s="106"/>
      <c r="X26" s="106"/>
      <c r="Y26" s="106"/>
      <c r="Z26" s="106"/>
      <c r="AA26" s="106"/>
      <c r="AB26" s="106"/>
      <c r="AC26" s="106"/>
      <c r="AD26" s="106"/>
      <c r="AE26" s="106"/>
      <c r="AF26" s="106"/>
      <c r="AG26" s="106"/>
      <c r="AH26" s="106"/>
      <c r="AI26" s="106"/>
      <c r="AJ26" s="106"/>
      <c r="AK26" s="106"/>
      <c r="AL26" s="106"/>
      <c r="AM26" s="106"/>
      <c r="AN26" s="106"/>
      <c r="AO26" s="106"/>
      <c r="AP26" s="106"/>
      <c r="AQ26" s="106"/>
      <c r="AR26" s="106"/>
      <c r="AS26" s="106"/>
      <c r="AT26" s="106"/>
      <c r="AU26" s="106"/>
      <c r="AV26" s="106"/>
      <c r="AW26" s="106"/>
      <c r="AX26" s="106"/>
      <c r="AY26" s="106"/>
      <c r="AZ26" s="106"/>
    </row>
    <row r="27" spans="1:52">
      <c r="B27" s="135" t="s">
        <v>309</v>
      </c>
      <c r="C27" s="124">
        <v>15</v>
      </c>
      <c r="D27" s="124">
        <f>C$27-C$28+C$29</f>
        <v>12</v>
      </c>
      <c r="E27" s="124">
        <f t="shared" ref="E27:AY27" si="8">D27-D28+D29</f>
        <v>14</v>
      </c>
      <c r="F27" s="124">
        <f t="shared" si="8"/>
        <v>1</v>
      </c>
      <c r="G27" s="124">
        <f t="shared" si="8"/>
        <v>14</v>
      </c>
      <c r="H27" s="124">
        <f t="shared" si="8"/>
        <v>1</v>
      </c>
      <c r="I27" s="124">
        <f t="shared" si="8"/>
        <v>14</v>
      </c>
      <c r="J27" s="124">
        <f t="shared" si="8"/>
        <v>1</v>
      </c>
      <c r="K27" s="124">
        <f t="shared" si="8"/>
        <v>14</v>
      </c>
      <c r="L27" s="124">
        <f t="shared" si="8"/>
        <v>15</v>
      </c>
      <c r="M27" s="124">
        <f t="shared" si="8"/>
        <v>0</v>
      </c>
      <c r="N27" s="124">
        <f t="shared" si="8"/>
        <v>15</v>
      </c>
      <c r="O27" s="124">
        <f t="shared" si="8"/>
        <v>0</v>
      </c>
      <c r="P27" s="124">
        <f t="shared" si="8"/>
        <v>15</v>
      </c>
      <c r="Q27" s="124">
        <f t="shared" si="8"/>
        <v>0</v>
      </c>
      <c r="R27" s="124">
        <f t="shared" si="8"/>
        <v>15</v>
      </c>
      <c r="S27" s="124">
        <f t="shared" si="8"/>
        <v>0</v>
      </c>
      <c r="T27" s="124">
        <f t="shared" si="8"/>
        <v>15</v>
      </c>
      <c r="U27" s="124">
        <f t="shared" si="8"/>
        <v>0</v>
      </c>
      <c r="V27" s="124">
        <f t="shared" si="8"/>
        <v>15</v>
      </c>
      <c r="W27" s="124">
        <f t="shared" si="8"/>
        <v>0</v>
      </c>
      <c r="X27" s="124">
        <f t="shared" si="8"/>
        <v>15</v>
      </c>
      <c r="Y27" s="124">
        <f t="shared" si="8"/>
        <v>15</v>
      </c>
      <c r="Z27" s="124">
        <f t="shared" si="8"/>
        <v>0</v>
      </c>
      <c r="AA27" s="124">
        <f t="shared" si="8"/>
        <v>15</v>
      </c>
      <c r="AB27" s="124">
        <f t="shared" si="8"/>
        <v>0</v>
      </c>
      <c r="AC27" s="124">
        <f t="shared" si="8"/>
        <v>15</v>
      </c>
      <c r="AD27" s="124">
        <f t="shared" si="8"/>
        <v>0</v>
      </c>
      <c r="AE27" s="124">
        <f t="shared" si="8"/>
        <v>15</v>
      </c>
      <c r="AF27" s="124">
        <f t="shared" si="8"/>
        <v>0</v>
      </c>
      <c r="AG27" s="124">
        <f t="shared" si="8"/>
        <v>15</v>
      </c>
      <c r="AH27" s="124">
        <f t="shared" si="8"/>
        <v>0</v>
      </c>
      <c r="AI27" s="124">
        <f t="shared" si="8"/>
        <v>15</v>
      </c>
      <c r="AJ27" s="124">
        <f t="shared" si="8"/>
        <v>15</v>
      </c>
      <c r="AK27" s="124">
        <f t="shared" si="8"/>
        <v>0</v>
      </c>
      <c r="AL27" s="124">
        <f t="shared" si="8"/>
        <v>15</v>
      </c>
      <c r="AM27" s="124">
        <f t="shared" si="8"/>
        <v>0</v>
      </c>
      <c r="AN27" s="124">
        <f t="shared" si="8"/>
        <v>15</v>
      </c>
      <c r="AO27" s="124">
        <f t="shared" si="8"/>
        <v>15</v>
      </c>
      <c r="AP27" s="124">
        <f t="shared" si="8"/>
        <v>0</v>
      </c>
      <c r="AQ27" s="124">
        <f t="shared" si="8"/>
        <v>15</v>
      </c>
      <c r="AR27" s="124">
        <f t="shared" si="8"/>
        <v>0</v>
      </c>
      <c r="AS27" s="124">
        <f t="shared" si="8"/>
        <v>15</v>
      </c>
      <c r="AT27" s="124">
        <f t="shared" si="8"/>
        <v>0</v>
      </c>
      <c r="AU27" s="124">
        <f t="shared" si="8"/>
        <v>15</v>
      </c>
      <c r="AV27" s="124">
        <f t="shared" si="8"/>
        <v>0</v>
      </c>
      <c r="AW27" s="124">
        <f t="shared" si="8"/>
        <v>15</v>
      </c>
      <c r="AX27" s="124">
        <f t="shared" si="8"/>
        <v>0</v>
      </c>
      <c r="AY27" s="164">
        <f t="shared" si="8"/>
        <v>15</v>
      </c>
      <c r="AZ27" s="106"/>
    </row>
    <row r="28" spans="1:52">
      <c r="B28" s="165" t="s">
        <v>310</v>
      </c>
      <c r="C28" s="110">
        <v>3</v>
      </c>
      <c r="D28" s="110">
        <v>1</v>
      </c>
      <c r="E28" s="110">
        <v>14</v>
      </c>
      <c r="F28" s="110">
        <v>1</v>
      </c>
      <c r="G28" s="110">
        <v>14</v>
      </c>
      <c r="H28" s="110">
        <v>1</v>
      </c>
      <c r="I28" s="110">
        <v>14</v>
      </c>
      <c r="J28" s="110">
        <v>1</v>
      </c>
      <c r="K28" s="110">
        <v>0</v>
      </c>
      <c r="L28" s="110">
        <v>15</v>
      </c>
      <c r="M28" s="110">
        <v>0</v>
      </c>
      <c r="N28" s="110">
        <v>15</v>
      </c>
      <c r="O28" s="110">
        <v>0</v>
      </c>
      <c r="P28" s="110">
        <v>15</v>
      </c>
      <c r="Q28" s="110">
        <v>0</v>
      </c>
      <c r="R28" s="110">
        <v>15</v>
      </c>
      <c r="S28" s="110">
        <v>0</v>
      </c>
      <c r="T28" s="110">
        <v>15</v>
      </c>
      <c r="U28" s="110">
        <v>0</v>
      </c>
      <c r="V28" s="110">
        <v>15</v>
      </c>
      <c r="W28" s="110">
        <v>0</v>
      </c>
      <c r="X28" s="110">
        <v>0</v>
      </c>
      <c r="Y28" s="110">
        <v>15</v>
      </c>
      <c r="Z28" s="110">
        <v>0</v>
      </c>
      <c r="AA28" s="110">
        <v>15</v>
      </c>
      <c r="AB28" s="110">
        <v>0</v>
      </c>
      <c r="AC28" s="110">
        <v>15</v>
      </c>
      <c r="AD28" s="110">
        <v>0</v>
      </c>
      <c r="AE28" s="110">
        <v>15</v>
      </c>
      <c r="AF28" s="110">
        <v>0</v>
      </c>
      <c r="AG28" s="110">
        <v>15</v>
      </c>
      <c r="AH28" s="110">
        <v>0</v>
      </c>
      <c r="AI28" s="110">
        <v>0</v>
      </c>
      <c r="AJ28" s="110">
        <v>15</v>
      </c>
      <c r="AK28" s="110">
        <v>0</v>
      </c>
      <c r="AL28" s="110">
        <v>15</v>
      </c>
      <c r="AM28" s="110">
        <v>0</v>
      </c>
      <c r="AN28" s="110">
        <v>0</v>
      </c>
      <c r="AO28" s="110">
        <v>15</v>
      </c>
      <c r="AP28" s="110">
        <v>0</v>
      </c>
      <c r="AQ28" s="110">
        <v>15</v>
      </c>
      <c r="AR28" s="110">
        <v>0</v>
      </c>
      <c r="AS28" s="110">
        <v>15</v>
      </c>
      <c r="AT28" s="110">
        <v>0</v>
      </c>
      <c r="AU28" s="110">
        <v>15</v>
      </c>
      <c r="AV28" s="110">
        <v>0</v>
      </c>
      <c r="AW28" s="110">
        <v>15</v>
      </c>
      <c r="AX28" s="110">
        <v>0</v>
      </c>
      <c r="AY28" s="166">
        <v>15</v>
      </c>
      <c r="AZ28" s="106"/>
    </row>
    <row r="29" spans="1:52">
      <c r="B29" s="136" t="s">
        <v>311</v>
      </c>
      <c r="C29" s="125">
        <v>0</v>
      </c>
      <c r="D29" s="125">
        <f>C$28</f>
        <v>3</v>
      </c>
      <c r="E29" s="125">
        <f t="shared" ref="E29:AY29" si="9">D$28</f>
        <v>1</v>
      </c>
      <c r="F29" s="125">
        <f t="shared" si="9"/>
        <v>14</v>
      </c>
      <c r="G29" s="125">
        <f t="shared" si="9"/>
        <v>1</v>
      </c>
      <c r="H29" s="125">
        <f t="shared" si="9"/>
        <v>14</v>
      </c>
      <c r="I29" s="125">
        <f t="shared" si="9"/>
        <v>1</v>
      </c>
      <c r="J29" s="125">
        <f t="shared" si="9"/>
        <v>14</v>
      </c>
      <c r="K29" s="125">
        <f t="shared" si="9"/>
        <v>1</v>
      </c>
      <c r="L29" s="125">
        <f t="shared" si="9"/>
        <v>0</v>
      </c>
      <c r="M29" s="125">
        <f t="shared" si="9"/>
        <v>15</v>
      </c>
      <c r="N29" s="125">
        <f t="shared" si="9"/>
        <v>0</v>
      </c>
      <c r="O29" s="125">
        <f t="shared" si="9"/>
        <v>15</v>
      </c>
      <c r="P29" s="125">
        <f t="shared" si="9"/>
        <v>0</v>
      </c>
      <c r="Q29" s="125">
        <f t="shared" si="9"/>
        <v>15</v>
      </c>
      <c r="R29" s="125">
        <f t="shared" si="9"/>
        <v>0</v>
      </c>
      <c r="S29" s="125">
        <f t="shared" si="9"/>
        <v>15</v>
      </c>
      <c r="T29" s="125">
        <f t="shared" si="9"/>
        <v>0</v>
      </c>
      <c r="U29" s="125">
        <f t="shared" si="9"/>
        <v>15</v>
      </c>
      <c r="V29" s="125">
        <f t="shared" si="9"/>
        <v>0</v>
      </c>
      <c r="W29" s="125">
        <f t="shared" si="9"/>
        <v>15</v>
      </c>
      <c r="X29" s="125">
        <f t="shared" si="9"/>
        <v>0</v>
      </c>
      <c r="Y29" s="125">
        <f t="shared" si="9"/>
        <v>0</v>
      </c>
      <c r="Z29" s="125">
        <f t="shared" si="9"/>
        <v>15</v>
      </c>
      <c r="AA29" s="125">
        <f t="shared" si="9"/>
        <v>0</v>
      </c>
      <c r="AB29" s="125">
        <f t="shared" si="9"/>
        <v>15</v>
      </c>
      <c r="AC29" s="125">
        <f t="shared" si="9"/>
        <v>0</v>
      </c>
      <c r="AD29" s="125">
        <f t="shared" si="9"/>
        <v>15</v>
      </c>
      <c r="AE29" s="125">
        <f t="shared" si="9"/>
        <v>0</v>
      </c>
      <c r="AF29" s="125">
        <f t="shared" si="9"/>
        <v>15</v>
      </c>
      <c r="AG29" s="125">
        <f t="shared" si="9"/>
        <v>0</v>
      </c>
      <c r="AH29" s="125">
        <f t="shared" si="9"/>
        <v>15</v>
      </c>
      <c r="AI29" s="125">
        <f t="shared" si="9"/>
        <v>0</v>
      </c>
      <c r="AJ29" s="125">
        <f t="shared" si="9"/>
        <v>0</v>
      </c>
      <c r="AK29" s="125">
        <f t="shared" si="9"/>
        <v>15</v>
      </c>
      <c r="AL29" s="125">
        <f t="shared" si="9"/>
        <v>0</v>
      </c>
      <c r="AM29" s="125">
        <f t="shared" si="9"/>
        <v>15</v>
      </c>
      <c r="AN29" s="125">
        <f t="shared" si="9"/>
        <v>0</v>
      </c>
      <c r="AO29" s="125">
        <f t="shared" si="9"/>
        <v>0</v>
      </c>
      <c r="AP29" s="125">
        <f t="shared" si="9"/>
        <v>15</v>
      </c>
      <c r="AQ29" s="125">
        <f t="shared" si="9"/>
        <v>0</v>
      </c>
      <c r="AR29" s="125">
        <f t="shared" si="9"/>
        <v>15</v>
      </c>
      <c r="AS29" s="125">
        <f t="shared" si="9"/>
        <v>0</v>
      </c>
      <c r="AT29" s="125">
        <f t="shared" si="9"/>
        <v>15</v>
      </c>
      <c r="AU29" s="125">
        <f t="shared" si="9"/>
        <v>0</v>
      </c>
      <c r="AV29" s="125">
        <f t="shared" si="9"/>
        <v>15</v>
      </c>
      <c r="AW29" s="125">
        <f t="shared" si="9"/>
        <v>0</v>
      </c>
      <c r="AX29" s="125">
        <f t="shared" si="9"/>
        <v>15</v>
      </c>
      <c r="AY29" s="167">
        <f t="shared" si="9"/>
        <v>0</v>
      </c>
      <c r="AZ29" s="168"/>
    </row>
    <row r="30" spans="1:52">
      <c r="A30" s="169" t="s">
        <v>312</v>
      </c>
      <c r="B30" s="144">
        <v>10</v>
      </c>
      <c r="C30" s="117" t="s">
        <v>293</v>
      </c>
      <c r="D30" s="117">
        <f>D$27*$B$30</f>
        <v>120</v>
      </c>
      <c r="E30" s="117">
        <f t="shared" ref="E30:AY30" si="10">E$27*$B$30</f>
        <v>140</v>
      </c>
      <c r="F30" s="117">
        <f t="shared" si="10"/>
        <v>10</v>
      </c>
      <c r="G30" s="117">
        <f t="shared" si="10"/>
        <v>140</v>
      </c>
      <c r="H30" s="117">
        <f t="shared" si="10"/>
        <v>10</v>
      </c>
      <c r="I30" s="117">
        <f t="shared" si="10"/>
        <v>140</v>
      </c>
      <c r="J30" s="117">
        <f t="shared" si="10"/>
        <v>10</v>
      </c>
      <c r="K30" s="117">
        <f t="shared" si="10"/>
        <v>140</v>
      </c>
      <c r="L30" s="117">
        <f t="shared" si="10"/>
        <v>150</v>
      </c>
      <c r="M30" s="117">
        <f t="shared" si="10"/>
        <v>0</v>
      </c>
      <c r="N30" s="117">
        <f t="shared" si="10"/>
        <v>150</v>
      </c>
      <c r="O30" s="117">
        <f t="shared" si="10"/>
        <v>0</v>
      </c>
      <c r="P30" s="117">
        <f t="shared" si="10"/>
        <v>150</v>
      </c>
      <c r="Q30" s="117">
        <f t="shared" si="10"/>
        <v>0</v>
      </c>
      <c r="R30" s="117">
        <f>R$27*$B$30</f>
        <v>150</v>
      </c>
      <c r="S30" s="117">
        <f t="shared" si="10"/>
        <v>0</v>
      </c>
      <c r="T30" s="117">
        <f t="shared" si="10"/>
        <v>150</v>
      </c>
      <c r="U30" s="117">
        <f t="shared" si="10"/>
        <v>0</v>
      </c>
      <c r="V30" s="117">
        <f t="shared" si="10"/>
        <v>150</v>
      </c>
      <c r="W30" s="117">
        <f t="shared" si="10"/>
        <v>0</v>
      </c>
      <c r="X30" s="117">
        <f t="shared" si="10"/>
        <v>150</v>
      </c>
      <c r="Y30" s="117">
        <f t="shared" si="10"/>
        <v>150</v>
      </c>
      <c r="Z30" s="117">
        <f t="shared" si="10"/>
        <v>0</v>
      </c>
      <c r="AA30" s="117">
        <f t="shared" si="10"/>
        <v>150</v>
      </c>
      <c r="AB30" s="117">
        <f t="shared" si="10"/>
        <v>0</v>
      </c>
      <c r="AC30" s="117">
        <f t="shared" si="10"/>
        <v>150</v>
      </c>
      <c r="AD30" s="117">
        <f t="shared" si="10"/>
        <v>0</v>
      </c>
      <c r="AE30" s="117">
        <f>AE$27*$B$30</f>
        <v>150</v>
      </c>
      <c r="AF30" s="117">
        <f t="shared" si="10"/>
        <v>0</v>
      </c>
      <c r="AG30" s="117">
        <f t="shared" si="10"/>
        <v>150</v>
      </c>
      <c r="AH30" s="117">
        <f t="shared" si="10"/>
        <v>0</v>
      </c>
      <c r="AI30" s="117">
        <f t="shared" si="10"/>
        <v>150</v>
      </c>
      <c r="AJ30" s="117">
        <f t="shared" si="10"/>
        <v>150</v>
      </c>
      <c r="AK30" s="117">
        <f t="shared" si="10"/>
        <v>0</v>
      </c>
      <c r="AL30" s="117">
        <f t="shared" si="10"/>
        <v>150</v>
      </c>
      <c r="AM30" s="117">
        <f t="shared" si="10"/>
        <v>0</v>
      </c>
      <c r="AN30" s="117">
        <f t="shared" si="10"/>
        <v>150</v>
      </c>
      <c r="AO30" s="117">
        <f t="shared" si="10"/>
        <v>150</v>
      </c>
      <c r="AP30" s="117">
        <f t="shared" si="10"/>
        <v>0</v>
      </c>
      <c r="AQ30" s="117">
        <f t="shared" si="10"/>
        <v>150</v>
      </c>
      <c r="AR30" s="117">
        <f t="shared" si="10"/>
        <v>0</v>
      </c>
      <c r="AS30" s="117">
        <f t="shared" si="10"/>
        <v>150</v>
      </c>
      <c r="AT30" s="117">
        <f t="shared" si="10"/>
        <v>0</v>
      </c>
      <c r="AU30" s="117">
        <f t="shared" si="10"/>
        <v>150</v>
      </c>
      <c r="AV30" s="117">
        <f t="shared" si="10"/>
        <v>0</v>
      </c>
      <c r="AW30" s="117">
        <f t="shared" si="10"/>
        <v>150</v>
      </c>
      <c r="AX30" s="117">
        <f t="shared" si="10"/>
        <v>0</v>
      </c>
      <c r="AY30" s="117">
        <f t="shared" si="10"/>
        <v>150</v>
      </c>
      <c r="AZ30" s="141">
        <f t="shared" si="5"/>
        <v>4010</v>
      </c>
    </row>
    <row r="32" spans="1:52">
      <c r="A32" s="102" t="s">
        <v>300</v>
      </c>
    </row>
    <row r="33" spans="1:52">
      <c r="A33" s="135" t="s">
        <v>22</v>
      </c>
      <c r="B33" s="135" t="s">
        <v>341</v>
      </c>
      <c r="C33" s="124"/>
      <c r="D33" s="124">
        <f>D$21*shipping_manufacturing!$F$27/100</f>
        <v>0</v>
      </c>
      <c r="E33" s="124">
        <f>E$21*shipping_manufacturing!$F$27/100</f>
        <v>0</v>
      </c>
      <c r="F33" s="124">
        <f>F$21*shipping_manufacturing!$F$27/100</f>
        <v>0</v>
      </c>
      <c r="G33" s="124">
        <f>G$21*shipping_manufacturing!$F$27/100</f>
        <v>0</v>
      </c>
      <c r="H33" s="124">
        <f>H$21*shipping_manufacturing!$F$27/100</f>
        <v>0</v>
      </c>
      <c r="I33" s="124">
        <f>I$21*shipping_manufacturing!$F$27/100</f>
        <v>0</v>
      </c>
      <c r="J33" s="124">
        <f>J$21*shipping_manufacturing!$F$27/100</f>
        <v>0</v>
      </c>
      <c r="K33" s="124">
        <f>K$21*shipping_manufacturing!$F$27/100</f>
        <v>0</v>
      </c>
      <c r="L33" s="124">
        <f>L$21*shipping_manufacturing!$F$27/100</f>
        <v>0</v>
      </c>
      <c r="M33" s="124">
        <f>M$21*shipping_manufacturing!$F$27/100</f>
        <v>0</v>
      </c>
      <c r="N33" s="124">
        <f>N$21*shipping_manufacturing!$F$27/100</f>
        <v>0</v>
      </c>
      <c r="O33" s="124">
        <f>O$21*shipping_manufacturing!$F$27/100</f>
        <v>0</v>
      </c>
      <c r="P33" s="124">
        <f>P$21*shipping_manufacturing!$F$27/100</f>
        <v>0</v>
      </c>
      <c r="Q33" s="124">
        <f>Q$21*shipping_manufacturing!$F$27/100</f>
        <v>0</v>
      </c>
      <c r="R33" s="124">
        <f>R$21*shipping_manufacturing!$F$27/100</f>
        <v>0</v>
      </c>
      <c r="S33" s="124">
        <f>S$21*shipping_manufacturing!$F$27/100</f>
        <v>0</v>
      </c>
      <c r="T33" s="124">
        <f>T$21*shipping_manufacturing!$F$27/100</f>
        <v>0</v>
      </c>
      <c r="U33" s="124">
        <f>U$21*shipping_manufacturing!$F$27/100</f>
        <v>0</v>
      </c>
      <c r="V33" s="124">
        <f>V$21*shipping_manufacturing!$F$27/100</f>
        <v>0</v>
      </c>
      <c r="W33" s="124">
        <f>W$21*shipping_manufacturing!$F$27/100</f>
        <v>0</v>
      </c>
      <c r="X33" s="124">
        <f>X$21*shipping_manufacturing!$F$27/100</f>
        <v>0</v>
      </c>
      <c r="Y33" s="124">
        <f>Y$21*shipping_manufacturing!$F$27/100</f>
        <v>0</v>
      </c>
      <c r="Z33" s="124">
        <f>Z$21*shipping_manufacturing!$F$27/100</f>
        <v>0</v>
      </c>
      <c r="AA33" s="124">
        <f>AA$21*shipping_manufacturing!$F$27/100</f>
        <v>0</v>
      </c>
      <c r="AB33" s="124">
        <f>AB$21*shipping_manufacturing!$F$27/100</f>
        <v>0</v>
      </c>
      <c r="AC33" s="124">
        <f>AC$21*shipping_manufacturing!$F$27/100</f>
        <v>0</v>
      </c>
      <c r="AD33" s="124">
        <f>AD$21*shipping_manufacturing!$F$27/100</f>
        <v>0</v>
      </c>
      <c r="AE33" s="124">
        <f>AE$21*shipping_manufacturing!$F$27/100</f>
        <v>0</v>
      </c>
      <c r="AF33" s="124">
        <f>AF$21*shipping_manufacturing!$F$27/100</f>
        <v>0</v>
      </c>
      <c r="AG33" s="124">
        <f>AG$21*shipping_manufacturing!$F$27/100</f>
        <v>0</v>
      </c>
      <c r="AH33" s="124">
        <f>AH$21*shipping_manufacturing!$F$27/100</f>
        <v>0</v>
      </c>
      <c r="AI33" s="124">
        <f>AI$21*shipping_manufacturing!$F$27/100</f>
        <v>0</v>
      </c>
      <c r="AJ33" s="124">
        <f>AJ$21*shipping_manufacturing!$F$27/100</f>
        <v>0</v>
      </c>
      <c r="AK33" s="124">
        <f>AK$21*shipping_manufacturing!$F$27/100</f>
        <v>0</v>
      </c>
      <c r="AL33" s="124">
        <f>AL$21*shipping_manufacturing!$F$27/100</f>
        <v>0</v>
      </c>
      <c r="AM33" s="124">
        <f>AM$21*shipping_manufacturing!$F$27/100</f>
        <v>0</v>
      </c>
      <c r="AN33" s="124">
        <f>AN$21*shipping_manufacturing!$F$27/100</f>
        <v>0</v>
      </c>
      <c r="AO33" s="124">
        <f>AO$21*shipping_manufacturing!$F$27/100</f>
        <v>0</v>
      </c>
      <c r="AP33" s="124">
        <f>AP$21*shipping_manufacturing!$F$27/100</f>
        <v>0</v>
      </c>
      <c r="AQ33" s="124">
        <f>AQ$21*shipping_manufacturing!$F$27/100</f>
        <v>0</v>
      </c>
      <c r="AR33" s="124">
        <f>AR$21*shipping_manufacturing!$F$27/100</f>
        <v>0</v>
      </c>
      <c r="AS33" s="124">
        <f>AS$21*shipping_manufacturing!$F$27/100</f>
        <v>0</v>
      </c>
      <c r="AT33" s="124">
        <f>AT$21*shipping_manufacturing!$F$27/100</f>
        <v>0</v>
      </c>
      <c r="AU33" s="124">
        <f>AU$21*shipping_manufacturing!$F$27/100</f>
        <v>0</v>
      </c>
      <c r="AV33" s="124">
        <f>AV$21*shipping_manufacturing!$F$27/100</f>
        <v>0</v>
      </c>
      <c r="AW33" s="124">
        <f>AW$21*shipping_manufacturing!$F$27/100</f>
        <v>0</v>
      </c>
      <c r="AX33" s="124">
        <f>AX$21*shipping_manufacturing!$F$27/100</f>
        <v>0</v>
      </c>
      <c r="AY33" s="124">
        <f>AY$21*shipping_manufacturing!$F$27/100</f>
        <v>0</v>
      </c>
    </row>
    <row r="34" spans="1:52">
      <c r="A34" s="113" t="s">
        <v>340</v>
      </c>
      <c r="B34" s="165" t="s">
        <v>342</v>
      </c>
      <c r="C34" s="110"/>
      <c r="D34" s="110">
        <f>D$22*shipping_manufacturing!$G$27/100</f>
        <v>0</v>
      </c>
      <c r="E34" s="110">
        <f>E$22*shipping_manufacturing!$G$27/100</f>
        <v>0</v>
      </c>
      <c r="F34" s="110">
        <f>F$22*shipping_manufacturing!$G$27/100</f>
        <v>0</v>
      </c>
      <c r="G34" s="110">
        <f>G$22*shipping_manufacturing!$G$27/100</f>
        <v>0</v>
      </c>
      <c r="H34" s="110">
        <f>H$22*shipping_manufacturing!$G$27/100</f>
        <v>0</v>
      </c>
      <c r="I34" s="110">
        <f>I$22*shipping_manufacturing!$G$27/100</f>
        <v>0</v>
      </c>
      <c r="J34" s="110">
        <f>J$22*shipping_manufacturing!$G$27/100</f>
        <v>0</v>
      </c>
      <c r="K34" s="110">
        <f>K$22*shipping_manufacturing!$G$27/100</f>
        <v>0</v>
      </c>
      <c r="L34" s="110">
        <f>L$22*shipping_manufacturing!$G$27/100</f>
        <v>0</v>
      </c>
      <c r="M34" s="110">
        <f>M$22*shipping_manufacturing!$G$27/100</f>
        <v>0</v>
      </c>
      <c r="N34" s="110">
        <f>N$22*shipping_manufacturing!$G$27/100</f>
        <v>0</v>
      </c>
      <c r="O34" s="110">
        <f>O$22*shipping_manufacturing!$G$27/100</f>
        <v>0</v>
      </c>
      <c r="P34" s="110">
        <f>P$22*shipping_manufacturing!$G$27/100</f>
        <v>0</v>
      </c>
      <c r="Q34" s="110">
        <f>Q$22*shipping_manufacturing!$G$27/100</f>
        <v>0</v>
      </c>
      <c r="R34" s="110">
        <f>R$22*shipping_manufacturing!$G$27/100</f>
        <v>0</v>
      </c>
      <c r="S34" s="110">
        <f>S$22*shipping_manufacturing!$G$27/100</f>
        <v>0</v>
      </c>
      <c r="T34" s="110">
        <f>T$22*shipping_manufacturing!$G$27/100</f>
        <v>0</v>
      </c>
      <c r="U34" s="110">
        <f>U$22*shipping_manufacturing!$G$27/100</f>
        <v>0</v>
      </c>
      <c r="V34" s="110">
        <f>V$22*shipping_manufacturing!$G$27/100</f>
        <v>0</v>
      </c>
      <c r="W34" s="110">
        <f>W$22*shipping_manufacturing!$G$27/100</f>
        <v>0</v>
      </c>
      <c r="X34" s="110">
        <f>X$22*shipping_manufacturing!$G$27/100</f>
        <v>0</v>
      </c>
      <c r="Y34" s="110">
        <f>Y$22*shipping_manufacturing!$G$27/100</f>
        <v>0</v>
      </c>
      <c r="Z34" s="110">
        <f>Z$22*shipping_manufacturing!$G$27/100</f>
        <v>0</v>
      </c>
      <c r="AA34" s="110">
        <f>AA$22*shipping_manufacturing!$G$27/100</f>
        <v>0</v>
      </c>
      <c r="AB34" s="110">
        <f>AB$22*shipping_manufacturing!$G$27/100</f>
        <v>0</v>
      </c>
      <c r="AC34" s="110">
        <f>AC$22*shipping_manufacturing!$G$27/100</f>
        <v>0</v>
      </c>
      <c r="AD34" s="110">
        <f>AD$22*shipping_manufacturing!$G$27/100</f>
        <v>0</v>
      </c>
      <c r="AE34" s="110">
        <f>AE$22*shipping_manufacturing!$G$27/100</f>
        <v>0</v>
      </c>
      <c r="AF34" s="110">
        <f>AF$22*shipping_manufacturing!$G$27/100</f>
        <v>0</v>
      </c>
      <c r="AG34" s="110">
        <f>AG$22*shipping_manufacturing!$G$27/100</f>
        <v>0</v>
      </c>
      <c r="AH34" s="110">
        <f>AH$22*shipping_manufacturing!$G$27/100</f>
        <v>0</v>
      </c>
      <c r="AI34" s="110">
        <f>AI$22*shipping_manufacturing!$G$27/100</f>
        <v>0</v>
      </c>
      <c r="AJ34" s="110">
        <f>AJ$22*shipping_manufacturing!$G$27/100</f>
        <v>0</v>
      </c>
      <c r="AK34" s="110">
        <f>AK$22*shipping_manufacturing!$G$27/100</f>
        <v>0</v>
      </c>
      <c r="AL34" s="110">
        <f>AL$22*shipping_manufacturing!$G$27/100</f>
        <v>0</v>
      </c>
      <c r="AM34" s="110">
        <f>AM$22*shipping_manufacturing!$G$27/100</f>
        <v>0</v>
      </c>
      <c r="AN34" s="110">
        <f>AN$22*shipping_manufacturing!$G$27/100</f>
        <v>0</v>
      </c>
      <c r="AO34" s="110">
        <f>AO$22*shipping_manufacturing!$G$27/100</f>
        <v>0</v>
      </c>
      <c r="AP34" s="110">
        <f>AP$22*shipping_manufacturing!$G$27/100</f>
        <v>0</v>
      </c>
      <c r="AQ34" s="110">
        <f>AQ$22*shipping_manufacturing!$G$27/100</f>
        <v>0</v>
      </c>
      <c r="AR34" s="110">
        <f>AR$22*shipping_manufacturing!$G$27/100</f>
        <v>0</v>
      </c>
      <c r="AS34" s="110">
        <f>AS$22*shipping_manufacturing!$G$27/100</f>
        <v>0</v>
      </c>
      <c r="AT34" s="110">
        <f>AT$22*shipping_manufacturing!$G$27/100</f>
        <v>0</v>
      </c>
      <c r="AU34" s="110">
        <f>AU$22*shipping_manufacturing!$G$27/100</f>
        <v>0</v>
      </c>
      <c r="AV34" s="110">
        <f>AV$22*shipping_manufacturing!$G$27/100</f>
        <v>0</v>
      </c>
      <c r="AW34" s="110">
        <f>AW$22*shipping_manufacturing!$G$27/100</f>
        <v>0</v>
      </c>
      <c r="AX34" s="110">
        <f>AX$22*shipping_manufacturing!$G$27/100</f>
        <v>0</v>
      </c>
      <c r="AY34" s="110">
        <f>AY$22*shipping_manufacturing!$G$27/100</f>
        <v>0</v>
      </c>
    </row>
    <row r="35" spans="1:52">
      <c r="A35" s="110">
        <v>1245</v>
      </c>
      <c r="B35" s="165" t="s">
        <v>343</v>
      </c>
      <c r="C35" s="110"/>
      <c r="D35" s="110">
        <f>SUM(D33:D34)</f>
        <v>0</v>
      </c>
      <c r="E35" s="110">
        <f t="shared" ref="E35:AY35" si="11">SUM(E33:E34)</f>
        <v>0</v>
      </c>
      <c r="F35" s="110">
        <f t="shared" si="11"/>
        <v>0</v>
      </c>
      <c r="G35" s="110">
        <f t="shared" si="11"/>
        <v>0</v>
      </c>
      <c r="H35" s="110">
        <f t="shared" si="11"/>
        <v>0</v>
      </c>
      <c r="I35" s="110">
        <f t="shared" si="11"/>
        <v>0</v>
      </c>
      <c r="J35" s="110">
        <f t="shared" si="11"/>
        <v>0</v>
      </c>
      <c r="K35" s="110">
        <f t="shared" si="11"/>
        <v>0</v>
      </c>
      <c r="L35" s="110">
        <f t="shared" si="11"/>
        <v>0</v>
      </c>
      <c r="M35" s="110">
        <f t="shared" si="11"/>
        <v>0</v>
      </c>
      <c r="N35" s="110">
        <f t="shared" si="11"/>
        <v>0</v>
      </c>
      <c r="O35" s="110">
        <f t="shared" si="11"/>
        <v>0</v>
      </c>
      <c r="P35" s="110">
        <f t="shared" si="11"/>
        <v>0</v>
      </c>
      <c r="Q35" s="110">
        <f t="shared" si="11"/>
        <v>0</v>
      </c>
      <c r="R35" s="110">
        <f t="shared" si="11"/>
        <v>0</v>
      </c>
      <c r="S35" s="110">
        <f t="shared" si="11"/>
        <v>0</v>
      </c>
      <c r="T35" s="110">
        <f t="shared" si="11"/>
        <v>0</v>
      </c>
      <c r="U35" s="110">
        <f t="shared" si="11"/>
        <v>0</v>
      </c>
      <c r="V35" s="110">
        <f t="shared" si="11"/>
        <v>0</v>
      </c>
      <c r="W35" s="110">
        <f t="shared" si="11"/>
        <v>0</v>
      </c>
      <c r="X35" s="110">
        <f t="shared" si="11"/>
        <v>0</v>
      </c>
      <c r="Y35" s="110">
        <f t="shared" si="11"/>
        <v>0</v>
      </c>
      <c r="Z35" s="110">
        <f t="shared" si="11"/>
        <v>0</v>
      </c>
      <c r="AA35" s="110">
        <f t="shared" si="11"/>
        <v>0</v>
      </c>
      <c r="AB35" s="110">
        <f t="shared" si="11"/>
        <v>0</v>
      </c>
      <c r="AC35" s="110">
        <f t="shared" si="11"/>
        <v>0</v>
      </c>
      <c r="AD35" s="110">
        <f t="shared" si="11"/>
        <v>0</v>
      </c>
      <c r="AE35" s="110">
        <f t="shared" si="11"/>
        <v>0</v>
      </c>
      <c r="AF35" s="110">
        <f t="shared" si="11"/>
        <v>0</v>
      </c>
      <c r="AG35" s="110">
        <f t="shared" si="11"/>
        <v>0</v>
      </c>
      <c r="AH35" s="110">
        <f t="shared" si="11"/>
        <v>0</v>
      </c>
      <c r="AI35" s="110">
        <f t="shared" si="11"/>
        <v>0</v>
      </c>
      <c r="AJ35" s="110">
        <f t="shared" si="11"/>
        <v>0</v>
      </c>
      <c r="AK35" s="110">
        <f t="shared" si="11"/>
        <v>0</v>
      </c>
      <c r="AL35" s="110">
        <f t="shared" si="11"/>
        <v>0</v>
      </c>
      <c r="AM35" s="110">
        <f t="shared" si="11"/>
        <v>0</v>
      </c>
      <c r="AN35" s="110">
        <f t="shared" si="11"/>
        <v>0</v>
      </c>
      <c r="AO35" s="110">
        <f t="shared" si="11"/>
        <v>0</v>
      </c>
      <c r="AP35" s="110">
        <f t="shared" si="11"/>
        <v>0</v>
      </c>
      <c r="AQ35" s="110">
        <f t="shared" si="11"/>
        <v>0</v>
      </c>
      <c r="AR35" s="110">
        <f t="shared" si="11"/>
        <v>0</v>
      </c>
      <c r="AS35" s="110">
        <f t="shared" si="11"/>
        <v>0</v>
      </c>
      <c r="AT35" s="110">
        <f t="shared" si="11"/>
        <v>0</v>
      </c>
      <c r="AU35" s="110">
        <f t="shared" si="11"/>
        <v>0</v>
      </c>
      <c r="AV35" s="110">
        <f t="shared" si="11"/>
        <v>0</v>
      </c>
      <c r="AW35" s="110">
        <f t="shared" si="11"/>
        <v>0</v>
      </c>
      <c r="AX35" s="110">
        <f t="shared" si="11"/>
        <v>0</v>
      </c>
      <c r="AY35" s="110">
        <f t="shared" si="11"/>
        <v>0</v>
      </c>
    </row>
    <row r="36" spans="1:52">
      <c r="A36" s="110"/>
      <c r="B36" s="165" t="s">
        <v>344</v>
      </c>
      <c r="C36" s="110"/>
      <c r="D36" s="110"/>
      <c r="E36" s="110"/>
      <c r="F36" s="110"/>
      <c r="G36" s="110"/>
      <c r="H36" s="110"/>
      <c r="I36" s="110"/>
      <c r="J36" s="110"/>
      <c r="K36" s="110"/>
      <c r="L36" s="110"/>
      <c r="M36" s="110"/>
      <c r="N36" s="110"/>
      <c r="O36" s="110"/>
      <c r="P36" s="110"/>
      <c r="Q36" s="110"/>
      <c r="R36" s="110"/>
      <c r="S36" s="110"/>
      <c r="T36" s="110"/>
      <c r="U36" s="110"/>
      <c r="V36" s="110"/>
      <c r="W36" s="110"/>
      <c r="X36" s="110"/>
      <c r="Y36" s="110"/>
      <c r="Z36" s="110"/>
      <c r="AA36" s="110"/>
      <c r="AB36" s="110"/>
      <c r="AC36" s="110"/>
      <c r="AD36" s="110"/>
      <c r="AE36" s="110"/>
      <c r="AF36" s="110"/>
      <c r="AG36" s="110"/>
      <c r="AH36" s="110"/>
      <c r="AI36" s="110"/>
      <c r="AJ36" s="110"/>
      <c r="AK36" s="110"/>
      <c r="AL36" s="110"/>
      <c r="AM36" s="110"/>
      <c r="AN36" s="110"/>
      <c r="AO36" s="110"/>
      <c r="AP36" s="110"/>
      <c r="AQ36" s="110"/>
      <c r="AR36" s="110"/>
      <c r="AS36" s="110"/>
      <c r="AT36" s="110"/>
      <c r="AU36" s="110"/>
      <c r="AV36" s="110"/>
      <c r="AW36" s="110"/>
      <c r="AX36" s="110"/>
      <c r="AY36" s="110"/>
    </row>
    <row r="37" spans="1:52">
      <c r="A37" s="110"/>
      <c r="B37" s="165" t="s">
        <v>345</v>
      </c>
      <c r="C37" s="110"/>
      <c r="D37" s="110"/>
      <c r="E37" s="110"/>
      <c r="F37" s="110"/>
      <c r="G37" s="110"/>
      <c r="H37" s="110"/>
      <c r="I37" s="110"/>
      <c r="J37" s="110"/>
      <c r="K37" s="110"/>
      <c r="L37" s="110"/>
      <c r="M37" s="110"/>
      <c r="N37" s="110"/>
      <c r="O37" s="110"/>
      <c r="P37" s="110"/>
      <c r="Q37" s="110"/>
      <c r="R37" s="110"/>
      <c r="S37" s="110"/>
      <c r="T37" s="110"/>
      <c r="U37" s="110"/>
      <c r="V37" s="110"/>
      <c r="W37" s="110"/>
      <c r="X37" s="110"/>
      <c r="Y37" s="110"/>
      <c r="Z37" s="110"/>
      <c r="AA37" s="110"/>
      <c r="AB37" s="110"/>
      <c r="AC37" s="110"/>
      <c r="AD37" s="110"/>
      <c r="AE37" s="110"/>
      <c r="AF37" s="110"/>
      <c r="AG37" s="110"/>
      <c r="AH37" s="110"/>
      <c r="AI37" s="110"/>
      <c r="AJ37" s="110"/>
      <c r="AK37" s="110"/>
      <c r="AL37" s="110"/>
      <c r="AM37" s="110"/>
      <c r="AN37" s="110"/>
      <c r="AO37" s="110"/>
      <c r="AP37" s="110"/>
      <c r="AQ37" s="110"/>
      <c r="AR37" s="110"/>
      <c r="AS37" s="110"/>
      <c r="AT37" s="110"/>
      <c r="AU37" s="110"/>
      <c r="AV37" s="110"/>
      <c r="AW37" s="110"/>
      <c r="AX37" s="110"/>
      <c r="AY37" s="110"/>
    </row>
    <row r="38" spans="1:52">
      <c r="A38" s="110"/>
      <c r="B38" s="165" t="s">
        <v>346</v>
      </c>
      <c r="C38" s="110"/>
      <c r="D38" s="110"/>
      <c r="E38" s="110"/>
      <c r="F38" s="110"/>
      <c r="G38" s="110"/>
      <c r="H38" s="110"/>
      <c r="I38" s="110"/>
      <c r="J38" s="110"/>
      <c r="K38" s="110"/>
      <c r="L38" s="110"/>
      <c r="M38" s="110"/>
      <c r="N38" s="110"/>
      <c r="O38" s="110"/>
      <c r="P38" s="110"/>
      <c r="Q38" s="110"/>
      <c r="R38" s="110"/>
      <c r="S38" s="110"/>
      <c r="T38" s="110"/>
      <c r="U38" s="110"/>
      <c r="V38" s="110"/>
      <c r="W38" s="110"/>
      <c r="X38" s="110"/>
      <c r="Y38" s="110"/>
      <c r="Z38" s="110"/>
      <c r="AA38" s="110"/>
      <c r="AB38" s="110"/>
      <c r="AC38" s="110"/>
      <c r="AD38" s="110"/>
      <c r="AE38" s="110"/>
      <c r="AF38" s="110"/>
      <c r="AG38" s="110"/>
      <c r="AH38" s="110"/>
      <c r="AI38" s="110"/>
      <c r="AJ38" s="110"/>
      <c r="AK38" s="110"/>
      <c r="AL38" s="110"/>
      <c r="AM38" s="110"/>
      <c r="AN38" s="110"/>
      <c r="AO38" s="110"/>
      <c r="AP38" s="110"/>
      <c r="AQ38" s="110"/>
      <c r="AR38" s="110"/>
      <c r="AS38" s="110"/>
      <c r="AT38" s="110"/>
      <c r="AU38" s="110"/>
      <c r="AV38" s="110"/>
      <c r="AW38" s="110"/>
      <c r="AX38" s="110"/>
      <c r="AY38" s="110"/>
    </row>
    <row r="39" spans="1:52">
      <c r="A39" s="110"/>
      <c r="B39" s="165" t="s">
        <v>347</v>
      </c>
      <c r="C39" s="110"/>
      <c r="D39" s="110">
        <f>D33-D36</f>
        <v>0</v>
      </c>
      <c r="E39" s="110">
        <f t="shared" ref="E39:AY39" si="12">E33-E36</f>
        <v>0</v>
      </c>
      <c r="F39" s="110">
        <f t="shared" si="12"/>
        <v>0</v>
      </c>
      <c r="G39" s="110">
        <f t="shared" si="12"/>
        <v>0</v>
      </c>
      <c r="H39" s="110">
        <f t="shared" si="12"/>
        <v>0</v>
      </c>
      <c r="I39" s="110">
        <f t="shared" si="12"/>
        <v>0</v>
      </c>
      <c r="J39" s="110">
        <f t="shared" si="12"/>
        <v>0</v>
      </c>
      <c r="K39" s="110">
        <f t="shared" si="12"/>
        <v>0</v>
      </c>
      <c r="L39" s="110">
        <f t="shared" si="12"/>
        <v>0</v>
      </c>
      <c r="M39" s="110">
        <f t="shared" si="12"/>
        <v>0</v>
      </c>
      <c r="N39" s="110">
        <f t="shared" si="12"/>
        <v>0</v>
      </c>
      <c r="O39" s="110">
        <f t="shared" si="12"/>
        <v>0</v>
      </c>
      <c r="P39" s="110">
        <f t="shared" si="12"/>
        <v>0</v>
      </c>
      <c r="Q39" s="110">
        <f t="shared" si="12"/>
        <v>0</v>
      </c>
      <c r="R39" s="110">
        <f t="shared" si="12"/>
        <v>0</v>
      </c>
      <c r="S39" s="110">
        <f t="shared" si="12"/>
        <v>0</v>
      </c>
      <c r="T39" s="110">
        <f t="shared" si="12"/>
        <v>0</v>
      </c>
      <c r="U39" s="110">
        <f t="shared" si="12"/>
        <v>0</v>
      </c>
      <c r="V39" s="110">
        <f t="shared" si="12"/>
        <v>0</v>
      </c>
      <c r="W39" s="110">
        <f t="shared" si="12"/>
        <v>0</v>
      </c>
      <c r="X39" s="110">
        <f t="shared" si="12"/>
        <v>0</v>
      </c>
      <c r="Y39" s="110">
        <f t="shared" si="12"/>
        <v>0</v>
      </c>
      <c r="Z39" s="110">
        <f t="shared" si="12"/>
        <v>0</v>
      </c>
      <c r="AA39" s="110">
        <f t="shared" si="12"/>
        <v>0</v>
      </c>
      <c r="AB39" s="110">
        <f t="shared" si="12"/>
        <v>0</v>
      </c>
      <c r="AC39" s="110">
        <f t="shared" si="12"/>
        <v>0</v>
      </c>
      <c r="AD39" s="110">
        <f t="shared" si="12"/>
        <v>0</v>
      </c>
      <c r="AE39" s="110">
        <f t="shared" si="12"/>
        <v>0</v>
      </c>
      <c r="AF39" s="110">
        <f t="shared" si="12"/>
        <v>0</v>
      </c>
      <c r="AG39" s="110">
        <f t="shared" si="12"/>
        <v>0</v>
      </c>
      <c r="AH39" s="110">
        <f t="shared" si="12"/>
        <v>0</v>
      </c>
      <c r="AI39" s="110">
        <f t="shared" si="12"/>
        <v>0</v>
      </c>
      <c r="AJ39" s="110">
        <f t="shared" si="12"/>
        <v>0</v>
      </c>
      <c r="AK39" s="110">
        <f t="shared" si="12"/>
        <v>0</v>
      </c>
      <c r="AL39" s="110">
        <f t="shared" si="12"/>
        <v>0</v>
      </c>
      <c r="AM39" s="110">
        <f t="shared" si="12"/>
        <v>0</v>
      </c>
      <c r="AN39" s="110">
        <f t="shared" si="12"/>
        <v>0</v>
      </c>
      <c r="AO39" s="110">
        <f t="shared" si="12"/>
        <v>0</v>
      </c>
      <c r="AP39" s="110">
        <f t="shared" si="12"/>
        <v>0</v>
      </c>
      <c r="AQ39" s="110">
        <f t="shared" si="12"/>
        <v>0</v>
      </c>
      <c r="AR39" s="110">
        <f t="shared" si="12"/>
        <v>0</v>
      </c>
      <c r="AS39" s="110">
        <f t="shared" si="12"/>
        <v>0</v>
      </c>
      <c r="AT39" s="110">
        <f t="shared" si="12"/>
        <v>0</v>
      </c>
      <c r="AU39" s="110">
        <f t="shared" si="12"/>
        <v>0</v>
      </c>
      <c r="AV39" s="110">
        <f t="shared" si="12"/>
        <v>0</v>
      </c>
      <c r="AW39" s="110">
        <f t="shared" si="12"/>
        <v>0</v>
      </c>
      <c r="AX39" s="110">
        <f t="shared" si="12"/>
        <v>0</v>
      </c>
      <c r="AY39" s="110">
        <f t="shared" si="12"/>
        <v>0</v>
      </c>
    </row>
    <row r="40" spans="1:52">
      <c r="A40" s="110"/>
      <c r="B40" s="165" t="s">
        <v>348</v>
      </c>
      <c r="C40" s="110"/>
      <c r="D40" s="110">
        <f>D34-D37</f>
        <v>0</v>
      </c>
      <c r="E40" s="110">
        <f t="shared" ref="E40:AY40" si="13">E34-E37</f>
        <v>0</v>
      </c>
      <c r="F40" s="110">
        <f t="shared" si="13"/>
        <v>0</v>
      </c>
      <c r="G40" s="110">
        <f t="shared" si="13"/>
        <v>0</v>
      </c>
      <c r="H40" s="110">
        <f t="shared" si="13"/>
        <v>0</v>
      </c>
      <c r="I40" s="110">
        <f t="shared" si="13"/>
        <v>0</v>
      </c>
      <c r="J40" s="110">
        <f t="shared" si="13"/>
        <v>0</v>
      </c>
      <c r="K40" s="110">
        <f t="shared" si="13"/>
        <v>0</v>
      </c>
      <c r="L40" s="110">
        <f t="shared" si="13"/>
        <v>0</v>
      </c>
      <c r="M40" s="110">
        <f t="shared" si="13"/>
        <v>0</v>
      </c>
      <c r="N40" s="110">
        <f t="shared" si="13"/>
        <v>0</v>
      </c>
      <c r="O40" s="110">
        <f t="shared" si="13"/>
        <v>0</v>
      </c>
      <c r="P40" s="110">
        <f t="shared" si="13"/>
        <v>0</v>
      </c>
      <c r="Q40" s="110">
        <f t="shared" si="13"/>
        <v>0</v>
      </c>
      <c r="R40" s="110">
        <f t="shared" si="13"/>
        <v>0</v>
      </c>
      <c r="S40" s="110">
        <f t="shared" si="13"/>
        <v>0</v>
      </c>
      <c r="T40" s="110">
        <f t="shared" si="13"/>
        <v>0</v>
      </c>
      <c r="U40" s="110">
        <f t="shared" si="13"/>
        <v>0</v>
      </c>
      <c r="V40" s="110">
        <f t="shared" si="13"/>
        <v>0</v>
      </c>
      <c r="W40" s="110">
        <f t="shared" si="13"/>
        <v>0</v>
      </c>
      <c r="X40" s="110">
        <f t="shared" si="13"/>
        <v>0</v>
      </c>
      <c r="Y40" s="110">
        <f t="shared" si="13"/>
        <v>0</v>
      </c>
      <c r="Z40" s="110">
        <f t="shared" si="13"/>
        <v>0</v>
      </c>
      <c r="AA40" s="110">
        <f t="shared" si="13"/>
        <v>0</v>
      </c>
      <c r="AB40" s="110">
        <f t="shared" si="13"/>
        <v>0</v>
      </c>
      <c r="AC40" s="110">
        <f t="shared" si="13"/>
        <v>0</v>
      </c>
      <c r="AD40" s="110">
        <f t="shared" si="13"/>
        <v>0</v>
      </c>
      <c r="AE40" s="110">
        <f t="shared" si="13"/>
        <v>0</v>
      </c>
      <c r="AF40" s="110">
        <f t="shared" si="13"/>
        <v>0</v>
      </c>
      <c r="AG40" s="110">
        <f t="shared" si="13"/>
        <v>0</v>
      </c>
      <c r="AH40" s="110">
        <f t="shared" si="13"/>
        <v>0</v>
      </c>
      <c r="AI40" s="110">
        <f t="shared" si="13"/>
        <v>0</v>
      </c>
      <c r="AJ40" s="110">
        <f t="shared" si="13"/>
        <v>0</v>
      </c>
      <c r="AK40" s="110">
        <f t="shared" si="13"/>
        <v>0</v>
      </c>
      <c r="AL40" s="110">
        <f t="shared" si="13"/>
        <v>0</v>
      </c>
      <c r="AM40" s="110">
        <f t="shared" si="13"/>
        <v>0</v>
      </c>
      <c r="AN40" s="110">
        <f t="shared" si="13"/>
        <v>0</v>
      </c>
      <c r="AO40" s="110">
        <f t="shared" si="13"/>
        <v>0</v>
      </c>
      <c r="AP40" s="110">
        <f t="shared" si="13"/>
        <v>0</v>
      </c>
      <c r="AQ40" s="110">
        <f t="shared" si="13"/>
        <v>0</v>
      </c>
      <c r="AR40" s="110">
        <f t="shared" si="13"/>
        <v>0</v>
      </c>
      <c r="AS40" s="110">
        <f t="shared" si="13"/>
        <v>0</v>
      </c>
      <c r="AT40" s="110">
        <f t="shared" si="13"/>
        <v>0</v>
      </c>
      <c r="AU40" s="110">
        <f t="shared" si="13"/>
        <v>0</v>
      </c>
      <c r="AV40" s="110">
        <f t="shared" si="13"/>
        <v>0</v>
      </c>
      <c r="AW40" s="110">
        <f t="shared" si="13"/>
        <v>0</v>
      </c>
      <c r="AX40" s="110">
        <f t="shared" si="13"/>
        <v>0</v>
      </c>
      <c r="AY40" s="110">
        <f t="shared" si="13"/>
        <v>0</v>
      </c>
    </row>
    <row r="41" spans="1:52">
      <c r="A41" s="110"/>
      <c r="B41" s="165" t="s">
        <v>349</v>
      </c>
      <c r="C41" s="110"/>
      <c r="D41" s="110">
        <v>2</v>
      </c>
      <c r="E41" s="110">
        <v>1</v>
      </c>
      <c r="F41" s="110">
        <v>1</v>
      </c>
      <c r="G41" s="110">
        <v>3</v>
      </c>
      <c r="H41" s="110">
        <v>1</v>
      </c>
      <c r="I41" s="110">
        <v>2</v>
      </c>
      <c r="J41" s="110">
        <v>1</v>
      </c>
      <c r="K41" s="110">
        <v>2</v>
      </c>
      <c r="L41" s="110">
        <v>1</v>
      </c>
      <c r="M41" s="110">
        <v>1</v>
      </c>
      <c r="N41" s="110">
        <v>2</v>
      </c>
      <c r="O41" s="110">
        <v>1</v>
      </c>
      <c r="P41" s="110">
        <v>1</v>
      </c>
      <c r="Q41" s="110">
        <v>2</v>
      </c>
      <c r="R41" s="110">
        <v>3</v>
      </c>
      <c r="S41" s="110">
        <v>1</v>
      </c>
      <c r="T41" s="110">
        <v>1</v>
      </c>
      <c r="U41" s="110">
        <v>2</v>
      </c>
      <c r="V41" s="110">
        <v>1</v>
      </c>
      <c r="W41" s="110">
        <v>2</v>
      </c>
      <c r="X41" s="110">
        <v>1</v>
      </c>
      <c r="Y41" s="110">
        <v>3</v>
      </c>
      <c r="Z41" s="110">
        <v>3</v>
      </c>
      <c r="AA41" s="110">
        <v>2</v>
      </c>
      <c r="AB41" s="110">
        <v>2</v>
      </c>
      <c r="AC41" s="110">
        <v>3</v>
      </c>
      <c r="AD41" s="110">
        <v>1</v>
      </c>
      <c r="AE41" s="110">
        <v>1</v>
      </c>
      <c r="AF41" s="110">
        <v>1</v>
      </c>
      <c r="AG41" s="110">
        <v>3</v>
      </c>
      <c r="AH41" s="110">
        <v>1</v>
      </c>
      <c r="AI41" s="110">
        <v>3</v>
      </c>
      <c r="AJ41" s="110">
        <v>1</v>
      </c>
      <c r="AK41" s="110">
        <v>1</v>
      </c>
      <c r="AL41" s="110">
        <v>3</v>
      </c>
      <c r="AM41" s="110">
        <v>3</v>
      </c>
      <c r="AN41" s="110">
        <v>2</v>
      </c>
      <c r="AO41" s="110">
        <v>1</v>
      </c>
      <c r="AP41" s="110">
        <v>1</v>
      </c>
      <c r="AQ41" s="110">
        <v>1</v>
      </c>
      <c r="AR41" s="110">
        <v>1</v>
      </c>
      <c r="AS41" s="110">
        <v>1</v>
      </c>
      <c r="AT41" s="110">
        <v>2</v>
      </c>
      <c r="AU41" s="110">
        <v>1</v>
      </c>
      <c r="AV41" s="110">
        <v>1</v>
      </c>
      <c r="AW41" s="110">
        <v>2</v>
      </c>
      <c r="AX41" s="110">
        <v>3</v>
      </c>
      <c r="AY41" s="110">
        <v>1</v>
      </c>
    </row>
    <row r="42" spans="1:52">
      <c r="A42" s="110"/>
      <c r="B42" s="178" t="s">
        <v>350</v>
      </c>
      <c r="C42" s="110"/>
      <c r="D42" s="110">
        <v>0</v>
      </c>
      <c r="E42" s="110">
        <v>0</v>
      </c>
      <c r="F42" s="110">
        <v>0</v>
      </c>
      <c r="G42" s="110">
        <v>0</v>
      </c>
      <c r="H42" s="110">
        <v>0</v>
      </c>
      <c r="I42" s="110">
        <v>0</v>
      </c>
      <c r="J42" s="110">
        <v>0</v>
      </c>
      <c r="K42" s="110">
        <v>0</v>
      </c>
      <c r="L42" s="110">
        <v>0</v>
      </c>
      <c r="M42" s="110">
        <v>0</v>
      </c>
      <c r="N42" s="110">
        <v>0</v>
      </c>
      <c r="O42" s="110">
        <v>0</v>
      </c>
      <c r="P42" s="110">
        <v>0</v>
      </c>
      <c r="Q42" s="110">
        <v>0</v>
      </c>
      <c r="R42" s="110">
        <v>0</v>
      </c>
      <c r="S42" s="110">
        <v>0</v>
      </c>
      <c r="T42" s="110">
        <v>0</v>
      </c>
      <c r="U42" s="110">
        <v>0</v>
      </c>
      <c r="V42" s="110">
        <v>0</v>
      </c>
      <c r="W42" s="110">
        <v>0</v>
      </c>
      <c r="X42" s="110">
        <v>0</v>
      </c>
      <c r="Y42" s="110">
        <v>0</v>
      </c>
      <c r="Z42" s="110">
        <v>0</v>
      </c>
      <c r="AA42" s="110">
        <v>0</v>
      </c>
      <c r="AB42" s="110">
        <v>0</v>
      </c>
      <c r="AC42" s="110">
        <v>0</v>
      </c>
      <c r="AD42" s="110">
        <v>0</v>
      </c>
      <c r="AE42" s="110">
        <v>0</v>
      </c>
      <c r="AF42" s="110">
        <v>0</v>
      </c>
      <c r="AG42" s="110">
        <v>0</v>
      </c>
      <c r="AH42" s="110">
        <v>0</v>
      </c>
      <c r="AI42" s="110">
        <v>0</v>
      </c>
      <c r="AJ42" s="110">
        <v>0</v>
      </c>
      <c r="AK42" s="110">
        <v>0</v>
      </c>
      <c r="AL42" s="110">
        <v>0</v>
      </c>
      <c r="AM42" s="110">
        <v>0</v>
      </c>
      <c r="AN42" s="110">
        <v>0</v>
      </c>
      <c r="AO42" s="110">
        <v>0</v>
      </c>
      <c r="AP42" s="110">
        <v>0</v>
      </c>
      <c r="AQ42" s="110">
        <v>0</v>
      </c>
      <c r="AR42" s="110">
        <v>0</v>
      </c>
      <c r="AS42" s="110">
        <v>0</v>
      </c>
      <c r="AT42" s="110">
        <v>0</v>
      </c>
      <c r="AU42" s="110">
        <v>0</v>
      </c>
      <c r="AV42" s="110">
        <v>0</v>
      </c>
      <c r="AW42" s="110">
        <v>0</v>
      </c>
      <c r="AX42" s="110">
        <v>0</v>
      </c>
      <c r="AY42" s="110">
        <v>0</v>
      </c>
      <c r="AZ42" s="100">
        <f>SUM($D$42:$AY$42)</f>
        <v>0</v>
      </c>
    </row>
    <row r="43" spans="1:52">
      <c r="A43" s="110"/>
      <c r="B43" s="178" t="s">
        <v>351</v>
      </c>
      <c r="C43" s="110"/>
      <c r="D43" s="110">
        <v>0</v>
      </c>
      <c r="E43" s="110">
        <v>0</v>
      </c>
      <c r="F43" s="110">
        <v>0</v>
      </c>
      <c r="G43" s="110">
        <v>0</v>
      </c>
      <c r="H43" s="110">
        <v>0</v>
      </c>
      <c r="I43" s="110">
        <v>0</v>
      </c>
      <c r="J43" s="110">
        <v>0</v>
      </c>
      <c r="K43" s="110">
        <v>0</v>
      </c>
      <c r="L43" s="110">
        <v>0</v>
      </c>
      <c r="M43" s="110">
        <v>0</v>
      </c>
      <c r="N43" s="110">
        <v>0</v>
      </c>
      <c r="O43" s="110">
        <v>0</v>
      </c>
      <c r="P43" s="110">
        <v>0</v>
      </c>
      <c r="Q43" s="110">
        <v>0</v>
      </c>
      <c r="R43" s="110">
        <v>0</v>
      </c>
      <c r="S43" s="110">
        <v>0</v>
      </c>
      <c r="T43" s="110">
        <v>0</v>
      </c>
      <c r="U43" s="110">
        <v>0</v>
      </c>
      <c r="V43" s="110">
        <v>0</v>
      </c>
      <c r="W43" s="110">
        <v>0</v>
      </c>
      <c r="X43" s="110">
        <v>0</v>
      </c>
      <c r="Y43" s="110">
        <v>0</v>
      </c>
      <c r="Z43" s="110">
        <v>0</v>
      </c>
      <c r="AA43" s="110">
        <v>0</v>
      </c>
      <c r="AB43" s="110">
        <v>0</v>
      </c>
      <c r="AC43" s="110">
        <v>0</v>
      </c>
      <c r="AD43" s="110">
        <v>0</v>
      </c>
      <c r="AE43" s="110">
        <v>0</v>
      </c>
      <c r="AF43" s="110">
        <v>0</v>
      </c>
      <c r="AG43" s="110">
        <v>0</v>
      </c>
      <c r="AH43" s="110">
        <v>0</v>
      </c>
      <c r="AI43" s="110">
        <v>0</v>
      </c>
      <c r="AJ43" s="110">
        <v>0</v>
      </c>
      <c r="AK43" s="110">
        <v>0</v>
      </c>
      <c r="AL43" s="110">
        <v>0</v>
      </c>
      <c r="AM43" s="110">
        <v>0</v>
      </c>
      <c r="AN43" s="110">
        <v>0</v>
      </c>
      <c r="AO43" s="110">
        <v>0</v>
      </c>
      <c r="AP43" s="110">
        <v>0</v>
      </c>
      <c r="AQ43" s="110">
        <v>0</v>
      </c>
      <c r="AR43" s="110">
        <v>0</v>
      </c>
      <c r="AS43" s="110">
        <v>0</v>
      </c>
      <c r="AT43" s="110">
        <v>0</v>
      </c>
      <c r="AU43" s="110">
        <v>0</v>
      </c>
      <c r="AV43" s="110">
        <v>0</v>
      </c>
      <c r="AW43" s="110">
        <v>0</v>
      </c>
      <c r="AX43" s="110">
        <v>0</v>
      </c>
      <c r="AY43" s="110">
        <v>0</v>
      </c>
      <c r="AZ43" s="100">
        <f>SUM($D$43:$AY$43)</f>
        <v>0</v>
      </c>
    </row>
    <row r="44" spans="1:52">
      <c r="A44" s="135" t="s">
        <v>46</v>
      </c>
      <c r="B44" s="135" t="s">
        <v>341</v>
      </c>
      <c r="C44" s="124"/>
      <c r="D44" s="124">
        <f>D$21*shipping_manufacturing!$F$28/100</f>
        <v>0</v>
      </c>
      <c r="E44" s="124">
        <f>E$21*shipping_manufacturing!$F$28/100</f>
        <v>0</v>
      </c>
      <c r="F44" s="124">
        <f>F$21*shipping_manufacturing!$F$28/100</f>
        <v>0</v>
      </c>
      <c r="G44" s="124">
        <f>G$21*shipping_manufacturing!$F$28/100</f>
        <v>0</v>
      </c>
      <c r="H44" s="124">
        <f>H$21*shipping_manufacturing!$F$28/100</f>
        <v>0</v>
      </c>
      <c r="I44" s="124">
        <f>I$21*shipping_manufacturing!$F$28/100</f>
        <v>0</v>
      </c>
      <c r="J44" s="124">
        <f>J$21*shipping_manufacturing!$F$28/100</f>
        <v>0</v>
      </c>
      <c r="K44" s="124">
        <f>K$21*shipping_manufacturing!$F$28/100</f>
        <v>0</v>
      </c>
      <c r="L44" s="124">
        <f>L$21*shipping_manufacturing!$F$28/100</f>
        <v>0</v>
      </c>
      <c r="M44" s="124">
        <f>M$21*shipping_manufacturing!$F$28/100</f>
        <v>0</v>
      </c>
      <c r="N44" s="124">
        <f>N$21*shipping_manufacturing!$F$28/100</f>
        <v>0</v>
      </c>
      <c r="O44" s="124">
        <f>O$21*shipping_manufacturing!$F$28/100</f>
        <v>0</v>
      </c>
      <c r="P44" s="124">
        <f>P$21*shipping_manufacturing!$F$28/100</f>
        <v>0</v>
      </c>
      <c r="Q44" s="124">
        <f>Q$21*shipping_manufacturing!$F$28/100</f>
        <v>0</v>
      </c>
      <c r="R44" s="124">
        <f>R$21*shipping_manufacturing!$F$28/100</f>
        <v>0</v>
      </c>
      <c r="S44" s="124">
        <f>S$21*shipping_manufacturing!$F$28/100</f>
        <v>0</v>
      </c>
      <c r="T44" s="124">
        <f>T$21*shipping_manufacturing!$F$28/100</f>
        <v>0</v>
      </c>
      <c r="U44" s="124">
        <f>U$21*shipping_manufacturing!$F$28/100</f>
        <v>0</v>
      </c>
      <c r="V44" s="124">
        <f>V$21*shipping_manufacturing!$F$28/100</f>
        <v>0</v>
      </c>
      <c r="W44" s="124">
        <f>W$21*shipping_manufacturing!$F$28/100</f>
        <v>0</v>
      </c>
      <c r="X44" s="124">
        <f>X$21*shipping_manufacturing!$F$28/100</f>
        <v>0</v>
      </c>
      <c r="Y44" s="124">
        <f>Y$21*shipping_manufacturing!$F$28/100</f>
        <v>0</v>
      </c>
      <c r="Z44" s="124">
        <f>Z$21*shipping_manufacturing!$F$28/100</f>
        <v>0</v>
      </c>
      <c r="AA44" s="124">
        <f>AA$21*shipping_manufacturing!$F$28/100</f>
        <v>0</v>
      </c>
      <c r="AB44" s="124">
        <f>AB$21*shipping_manufacturing!$F$28/100</f>
        <v>0</v>
      </c>
      <c r="AC44" s="124">
        <f>AC$21*shipping_manufacturing!$F$28/100</f>
        <v>0</v>
      </c>
      <c r="AD44" s="124">
        <f>AD$21*shipping_manufacturing!$F$28/100</f>
        <v>0</v>
      </c>
      <c r="AE44" s="124">
        <f>AE$21*shipping_manufacturing!$F$28/100</f>
        <v>0</v>
      </c>
      <c r="AF44" s="124">
        <f>AF$21*shipping_manufacturing!$F$28/100</f>
        <v>0</v>
      </c>
      <c r="AG44" s="124">
        <f>AG$21*shipping_manufacturing!$F$28/100</f>
        <v>0</v>
      </c>
      <c r="AH44" s="124">
        <f>AH$21*shipping_manufacturing!$F$28/100</f>
        <v>0</v>
      </c>
      <c r="AI44" s="124">
        <f>AI$21*shipping_manufacturing!$F$28/100</f>
        <v>0</v>
      </c>
      <c r="AJ44" s="124">
        <f>AJ$21*shipping_manufacturing!$F$28/100</f>
        <v>0</v>
      </c>
      <c r="AK44" s="124">
        <f>AK$21*shipping_manufacturing!$F$28/100</f>
        <v>0</v>
      </c>
      <c r="AL44" s="124">
        <f>AL$21*shipping_manufacturing!$F$28/100</f>
        <v>0</v>
      </c>
      <c r="AM44" s="124">
        <f>AM$21*shipping_manufacturing!$F$28/100</f>
        <v>0</v>
      </c>
      <c r="AN44" s="124">
        <f>AN$21*shipping_manufacturing!$F$28/100</f>
        <v>0</v>
      </c>
      <c r="AO44" s="124">
        <f>AO$21*shipping_manufacturing!$F$28/100</f>
        <v>0</v>
      </c>
      <c r="AP44" s="124">
        <f>AP$21*shipping_manufacturing!$F$28/100</f>
        <v>0</v>
      </c>
      <c r="AQ44" s="124">
        <f>AQ$21*shipping_manufacturing!$F$28/100</f>
        <v>0</v>
      </c>
      <c r="AR44" s="124">
        <f>AR$21*shipping_manufacturing!$F$28/100</f>
        <v>0</v>
      </c>
      <c r="AS44" s="124">
        <f>AS$21*shipping_manufacturing!$F$28/100</f>
        <v>0</v>
      </c>
      <c r="AT44" s="124">
        <f>AT$21*shipping_manufacturing!$F$28/100</f>
        <v>0</v>
      </c>
      <c r="AU44" s="124">
        <f>AU$21*shipping_manufacturing!$F$28/100</f>
        <v>0</v>
      </c>
      <c r="AV44" s="124">
        <f>AV$21*shipping_manufacturing!$F$28/100</f>
        <v>0</v>
      </c>
      <c r="AW44" s="124">
        <f>AW$21*shipping_manufacturing!$F$28/100</f>
        <v>0</v>
      </c>
      <c r="AX44" s="124">
        <f>AX$21*shipping_manufacturing!$F$28/100</f>
        <v>0</v>
      </c>
      <c r="AY44" s="124">
        <f>AY$21*shipping_manufacturing!$F$28/100</f>
        <v>0</v>
      </c>
    </row>
    <row r="45" spans="1:52">
      <c r="A45" s="113" t="s">
        <v>340</v>
      </c>
      <c r="B45" s="165" t="s">
        <v>342</v>
      </c>
      <c r="C45" s="110"/>
      <c r="D45" s="110">
        <f>D$22*shipping_manufacturing!$G$28/100</f>
        <v>0</v>
      </c>
      <c r="E45" s="110">
        <f>E$22*shipping_manufacturing!$G$28/100</f>
        <v>0</v>
      </c>
      <c r="F45" s="110">
        <f>F$22*shipping_manufacturing!$G$28/100</f>
        <v>0</v>
      </c>
      <c r="G45" s="110">
        <f>G$22*shipping_manufacturing!$G$28/100</f>
        <v>0</v>
      </c>
      <c r="H45" s="110">
        <f>H$22*shipping_manufacturing!$G$28/100</f>
        <v>0</v>
      </c>
      <c r="I45" s="110">
        <f>I$22*shipping_manufacturing!$G$28/100</f>
        <v>0</v>
      </c>
      <c r="J45" s="110">
        <f>J$22*shipping_manufacturing!$G$28/100</f>
        <v>0</v>
      </c>
      <c r="K45" s="110">
        <f>K$22*shipping_manufacturing!$G$28/100</f>
        <v>0</v>
      </c>
      <c r="L45" s="110">
        <f>L$22*shipping_manufacturing!$G$28/100</f>
        <v>0</v>
      </c>
      <c r="M45" s="110">
        <f>M$22*shipping_manufacturing!$G$28/100</f>
        <v>0</v>
      </c>
      <c r="N45" s="110">
        <f>N$22*shipping_manufacturing!$G$28/100</f>
        <v>0</v>
      </c>
      <c r="O45" s="110">
        <f>O$22*shipping_manufacturing!$G$28/100</f>
        <v>0</v>
      </c>
      <c r="P45" s="110">
        <f>P$22*shipping_manufacturing!$G$28/100</f>
        <v>0</v>
      </c>
      <c r="Q45" s="110">
        <f>Q$22*shipping_manufacturing!$G$28/100</f>
        <v>0</v>
      </c>
      <c r="R45" s="110">
        <f>R$22*shipping_manufacturing!$G$28/100</f>
        <v>0</v>
      </c>
      <c r="S45" s="110">
        <f>S$22*shipping_manufacturing!$G$28/100</f>
        <v>0</v>
      </c>
      <c r="T45" s="110">
        <f>T$22*shipping_manufacturing!$G$28/100</f>
        <v>0</v>
      </c>
      <c r="U45" s="110">
        <f>U$22*shipping_manufacturing!$G$28/100</f>
        <v>0</v>
      </c>
      <c r="V45" s="110">
        <f>V$22*shipping_manufacturing!$G$28/100</f>
        <v>0</v>
      </c>
      <c r="W45" s="110">
        <f>W$22*shipping_manufacturing!$G$28/100</f>
        <v>0</v>
      </c>
      <c r="X45" s="110">
        <f>X$22*shipping_manufacturing!$G$28/100</f>
        <v>0</v>
      </c>
      <c r="Y45" s="110">
        <f>Y$22*shipping_manufacturing!$G$28/100</f>
        <v>0</v>
      </c>
      <c r="Z45" s="110">
        <f>Z$22*shipping_manufacturing!$G$28/100</f>
        <v>0</v>
      </c>
      <c r="AA45" s="110">
        <f>AA$22*shipping_manufacturing!$G$28/100</f>
        <v>0</v>
      </c>
      <c r="AB45" s="110">
        <f>AB$22*shipping_manufacturing!$G$28/100</f>
        <v>0</v>
      </c>
      <c r="AC45" s="110">
        <f>AC$22*shipping_manufacturing!$G$28/100</f>
        <v>0</v>
      </c>
      <c r="AD45" s="110">
        <f>AD$22*shipping_manufacturing!$G$28/100</f>
        <v>0</v>
      </c>
      <c r="AE45" s="110">
        <f>AE$22*shipping_manufacturing!$G$28/100</f>
        <v>0</v>
      </c>
      <c r="AF45" s="110">
        <f>AF$22*shipping_manufacturing!$G$28/100</f>
        <v>0</v>
      </c>
      <c r="AG45" s="110">
        <f>AG$22*shipping_manufacturing!$G$28/100</f>
        <v>0</v>
      </c>
      <c r="AH45" s="110">
        <f>AH$22*shipping_manufacturing!$G$28/100</f>
        <v>0</v>
      </c>
      <c r="AI45" s="110">
        <f>AI$22*shipping_manufacturing!$G$28/100</f>
        <v>0</v>
      </c>
      <c r="AJ45" s="110">
        <f>AJ$22*shipping_manufacturing!$G$28/100</f>
        <v>0</v>
      </c>
      <c r="AK45" s="110">
        <f>AK$22*shipping_manufacturing!$G$28/100</f>
        <v>0</v>
      </c>
      <c r="AL45" s="110">
        <f>AL$22*shipping_manufacturing!$G$28/100</f>
        <v>0</v>
      </c>
      <c r="AM45" s="110">
        <f>AM$22*shipping_manufacturing!$G$28/100</f>
        <v>0</v>
      </c>
      <c r="AN45" s="110">
        <f>AN$22*shipping_manufacturing!$G$28/100</f>
        <v>0</v>
      </c>
      <c r="AO45" s="110">
        <f>AO$22*shipping_manufacturing!$G$28/100</f>
        <v>0</v>
      </c>
      <c r="AP45" s="110">
        <f>AP$22*shipping_manufacturing!$G$28/100</f>
        <v>0</v>
      </c>
      <c r="AQ45" s="110">
        <f>AQ$22*shipping_manufacturing!$G$28/100</f>
        <v>0</v>
      </c>
      <c r="AR45" s="110">
        <f>AR$22*shipping_manufacturing!$G$28/100</f>
        <v>0</v>
      </c>
      <c r="AS45" s="110">
        <f>AS$22*shipping_manufacturing!$G$28/100</f>
        <v>0</v>
      </c>
      <c r="AT45" s="110">
        <f>AT$22*shipping_manufacturing!$G$28/100</f>
        <v>0</v>
      </c>
      <c r="AU45" s="110">
        <f>AU$22*shipping_manufacturing!$G$28/100</f>
        <v>0</v>
      </c>
      <c r="AV45" s="110">
        <f>AV$22*shipping_manufacturing!$G$28/100</f>
        <v>0</v>
      </c>
      <c r="AW45" s="110">
        <f>AW$22*shipping_manufacturing!$G$28/100</f>
        <v>0</v>
      </c>
      <c r="AX45" s="110">
        <f>AX$22*shipping_manufacturing!$G$28/100</f>
        <v>0</v>
      </c>
      <c r="AY45" s="110">
        <f>AY$22*shipping_manufacturing!$G$28/100</f>
        <v>0</v>
      </c>
    </row>
    <row r="46" spans="1:52">
      <c r="A46" s="110">
        <v>1893</v>
      </c>
      <c r="B46" s="165" t="s">
        <v>343</v>
      </c>
      <c r="C46" s="110"/>
      <c r="D46" s="110">
        <f>SUM(D44:D45)</f>
        <v>0</v>
      </c>
      <c r="E46" s="110">
        <f t="shared" ref="E46:AY46" si="14">SUM(E44:E45)</f>
        <v>0</v>
      </c>
      <c r="F46" s="110">
        <f t="shared" si="14"/>
        <v>0</v>
      </c>
      <c r="G46" s="110">
        <f t="shared" si="14"/>
        <v>0</v>
      </c>
      <c r="H46" s="110">
        <f t="shared" si="14"/>
        <v>0</v>
      </c>
      <c r="I46" s="110">
        <f t="shared" si="14"/>
        <v>0</v>
      </c>
      <c r="J46" s="110">
        <f t="shared" si="14"/>
        <v>0</v>
      </c>
      <c r="K46" s="110">
        <f t="shared" si="14"/>
        <v>0</v>
      </c>
      <c r="L46" s="110">
        <f t="shared" si="14"/>
        <v>0</v>
      </c>
      <c r="M46" s="110">
        <f t="shared" si="14"/>
        <v>0</v>
      </c>
      <c r="N46" s="110">
        <f t="shared" si="14"/>
        <v>0</v>
      </c>
      <c r="O46" s="110">
        <f t="shared" si="14"/>
        <v>0</v>
      </c>
      <c r="P46" s="110">
        <f t="shared" si="14"/>
        <v>0</v>
      </c>
      <c r="Q46" s="110">
        <f t="shared" si="14"/>
        <v>0</v>
      </c>
      <c r="R46" s="110">
        <f t="shared" si="14"/>
        <v>0</v>
      </c>
      <c r="S46" s="110">
        <f t="shared" si="14"/>
        <v>0</v>
      </c>
      <c r="T46" s="110">
        <f t="shared" si="14"/>
        <v>0</v>
      </c>
      <c r="U46" s="110">
        <f t="shared" si="14"/>
        <v>0</v>
      </c>
      <c r="V46" s="110">
        <f t="shared" si="14"/>
        <v>0</v>
      </c>
      <c r="W46" s="110">
        <f t="shared" si="14"/>
        <v>0</v>
      </c>
      <c r="X46" s="110">
        <f t="shared" si="14"/>
        <v>0</v>
      </c>
      <c r="Y46" s="110">
        <f t="shared" si="14"/>
        <v>0</v>
      </c>
      <c r="Z46" s="110">
        <f t="shared" si="14"/>
        <v>0</v>
      </c>
      <c r="AA46" s="110">
        <f t="shared" si="14"/>
        <v>0</v>
      </c>
      <c r="AB46" s="110">
        <f t="shared" si="14"/>
        <v>0</v>
      </c>
      <c r="AC46" s="110">
        <f t="shared" si="14"/>
        <v>0</v>
      </c>
      <c r="AD46" s="110">
        <f t="shared" si="14"/>
        <v>0</v>
      </c>
      <c r="AE46" s="110">
        <f t="shared" si="14"/>
        <v>0</v>
      </c>
      <c r="AF46" s="110">
        <f t="shared" si="14"/>
        <v>0</v>
      </c>
      <c r="AG46" s="110">
        <f t="shared" si="14"/>
        <v>0</v>
      </c>
      <c r="AH46" s="110">
        <f t="shared" si="14"/>
        <v>0</v>
      </c>
      <c r="AI46" s="110">
        <f t="shared" si="14"/>
        <v>0</v>
      </c>
      <c r="AJ46" s="110">
        <f t="shared" si="14"/>
        <v>0</v>
      </c>
      <c r="AK46" s="110">
        <f t="shared" si="14"/>
        <v>0</v>
      </c>
      <c r="AL46" s="110">
        <f t="shared" si="14"/>
        <v>0</v>
      </c>
      <c r="AM46" s="110">
        <f t="shared" si="14"/>
        <v>0</v>
      </c>
      <c r="AN46" s="110">
        <f t="shared" si="14"/>
        <v>0</v>
      </c>
      <c r="AO46" s="110">
        <f t="shared" si="14"/>
        <v>0</v>
      </c>
      <c r="AP46" s="110">
        <f t="shared" si="14"/>
        <v>0</v>
      </c>
      <c r="AQ46" s="110">
        <f t="shared" si="14"/>
        <v>0</v>
      </c>
      <c r="AR46" s="110">
        <f t="shared" si="14"/>
        <v>0</v>
      </c>
      <c r="AS46" s="110">
        <f t="shared" si="14"/>
        <v>0</v>
      </c>
      <c r="AT46" s="110">
        <f t="shared" si="14"/>
        <v>0</v>
      </c>
      <c r="AU46" s="110">
        <f t="shared" si="14"/>
        <v>0</v>
      </c>
      <c r="AV46" s="110">
        <f t="shared" si="14"/>
        <v>0</v>
      </c>
      <c r="AW46" s="110">
        <f t="shared" si="14"/>
        <v>0</v>
      </c>
      <c r="AX46" s="110">
        <f t="shared" si="14"/>
        <v>0</v>
      </c>
      <c r="AY46" s="110">
        <f t="shared" si="14"/>
        <v>0</v>
      </c>
    </row>
    <row r="47" spans="1:52">
      <c r="A47" s="110"/>
      <c r="B47" s="165" t="s">
        <v>344</v>
      </c>
      <c r="C47" s="110"/>
      <c r="D47" s="110"/>
      <c r="E47" s="110"/>
      <c r="F47" s="110"/>
      <c r="G47" s="110"/>
      <c r="H47" s="110"/>
      <c r="I47" s="110"/>
      <c r="J47" s="110"/>
      <c r="K47" s="110"/>
      <c r="L47" s="110"/>
      <c r="M47" s="110"/>
      <c r="N47" s="110"/>
      <c r="O47" s="110"/>
      <c r="P47" s="110"/>
      <c r="Q47" s="110"/>
      <c r="R47" s="110"/>
      <c r="S47" s="110"/>
      <c r="T47" s="110"/>
      <c r="U47" s="110"/>
      <c r="V47" s="110"/>
      <c r="W47" s="110"/>
      <c r="X47" s="110"/>
      <c r="Y47" s="110"/>
      <c r="Z47" s="110"/>
      <c r="AA47" s="110"/>
      <c r="AB47" s="110"/>
      <c r="AC47" s="110"/>
      <c r="AD47" s="110"/>
      <c r="AE47" s="110"/>
      <c r="AF47" s="110"/>
      <c r="AG47" s="110"/>
      <c r="AH47" s="110"/>
      <c r="AI47" s="110"/>
      <c r="AJ47" s="110"/>
      <c r="AK47" s="110"/>
      <c r="AL47" s="110"/>
      <c r="AM47" s="110"/>
      <c r="AN47" s="110"/>
      <c r="AO47" s="110"/>
      <c r="AP47" s="110"/>
      <c r="AQ47" s="110"/>
      <c r="AR47" s="110"/>
      <c r="AS47" s="110"/>
      <c r="AT47" s="110"/>
      <c r="AU47" s="110"/>
      <c r="AV47" s="110"/>
      <c r="AW47" s="110"/>
      <c r="AX47" s="110"/>
      <c r="AY47" s="110"/>
    </row>
    <row r="48" spans="1:52">
      <c r="A48" s="110"/>
      <c r="B48" s="165" t="s">
        <v>345</v>
      </c>
      <c r="C48" s="110"/>
      <c r="D48" s="110"/>
      <c r="E48" s="110"/>
      <c r="F48" s="110"/>
      <c r="G48" s="110"/>
      <c r="H48" s="110"/>
      <c r="I48" s="110"/>
      <c r="J48" s="110"/>
      <c r="K48" s="110"/>
      <c r="L48" s="110"/>
      <c r="M48" s="110"/>
      <c r="N48" s="110"/>
      <c r="O48" s="110"/>
      <c r="P48" s="110"/>
      <c r="Q48" s="110"/>
      <c r="R48" s="110"/>
      <c r="S48" s="110"/>
      <c r="T48" s="110"/>
      <c r="U48" s="110"/>
      <c r="V48" s="110"/>
      <c r="W48" s="110"/>
      <c r="X48" s="110"/>
      <c r="Y48" s="110"/>
      <c r="Z48" s="110"/>
      <c r="AA48" s="110"/>
      <c r="AB48" s="110"/>
      <c r="AC48" s="110"/>
      <c r="AD48" s="110"/>
      <c r="AE48" s="110"/>
      <c r="AF48" s="110"/>
      <c r="AG48" s="110"/>
      <c r="AH48" s="110"/>
      <c r="AI48" s="110"/>
      <c r="AJ48" s="110"/>
      <c r="AK48" s="110"/>
      <c r="AL48" s="110"/>
      <c r="AM48" s="110"/>
      <c r="AN48" s="110"/>
      <c r="AO48" s="110"/>
      <c r="AP48" s="110"/>
      <c r="AQ48" s="110"/>
      <c r="AR48" s="110"/>
      <c r="AS48" s="110"/>
      <c r="AT48" s="110"/>
      <c r="AU48" s="110"/>
      <c r="AV48" s="110"/>
      <c r="AW48" s="110"/>
      <c r="AX48" s="110"/>
      <c r="AY48" s="110"/>
    </row>
    <row r="49" spans="1:52">
      <c r="A49" s="110"/>
      <c r="B49" s="165" t="s">
        <v>346</v>
      </c>
      <c r="C49" s="110"/>
      <c r="D49" s="110"/>
      <c r="E49" s="110"/>
      <c r="F49" s="110"/>
      <c r="G49" s="110"/>
      <c r="H49" s="110"/>
      <c r="I49" s="110"/>
      <c r="J49" s="110"/>
      <c r="K49" s="110"/>
      <c r="L49" s="110"/>
      <c r="M49" s="110"/>
      <c r="N49" s="110"/>
      <c r="O49" s="110"/>
      <c r="P49" s="110"/>
      <c r="Q49" s="110"/>
      <c r="R49" s="110"/>
      <c r="S49" s="110"/>
      <c r="T49" s="110"/>
      <c r="U49" s="110"/>
      <c r="V49" s="110"/>
      <c r="W49" s="110"/>
      <c r="X49" s="110"/>
      <c r="Y49" s="110"/>
      <c r="Z49" s="110"/>
      <c r="AA49" s="110"/>
      <c r="AB49" s="110"/>
      <c r="AC49" s="110"/>
      <c r="AD49" s="110"/>
      <c r="AE49" s="110"/>
      <c r="AF49" s="110"/>
      <c r="AG49" s="110"/>
      <c r="AH49" s="110"/>
      <c r="AI49" s="110"/>
      <c r="AJ49" s="110"/>
      <c r="AK49" s="110"/>
      <c r="AL49" s="110"/>
      <c r="AM49" s="110"/>
      <c r="AN49" s="110"/>
      <c r="AO49" s="110"/>
      <c r="AP49" s="110"/>
      <c r="AQ49" s="110"/>
      <c r="AR49" s="110"/>
      <c r="AS49" s="110"/>
      <c r="AT49" s="110"/>
      <c r="AU49" s="110"/>
      <c r="AV49" s="110"/>
      <c r="AW49" s="110"/>
      <c r="AX49" s="110"/>
      <c r="AY49" s="110"/>
    </row>
    <row r="50" spans="1:52">
      <c r="A50" s="110"/>
      <c r="B50" s="165" t="s">
        <v>347</v>
      </c>
      <c r="C50" s="110"/>
      <c r="D50" s="110">
        <f>D44-D47</f>
        <v>0</v>
      </c>
      <c r="E50" s="110">
        <f t="shared" ref="E50:AY50" si="15">E44-E47</f>
        <v>0</v>
      </c>
      <c r="F50" s="110">
        <f t="shared" si="15"/>
        <v>0</v>
      </c>
      <c r="G50" s="110">
        <f t="shared" si="15"/>
        <v>0</v>
      </c>
      <c r="H50" s="110">
        <f t="shared" si="15"/>
        <v>0</v>
      </c>
      <c r="I50" s="110">
        <f t="shared" si="15"/>
        <v>0</v>
      </c>
      <c r="J50" s="110">
        <f t="shared" si="15"/>
        <v>0</v>
      </c>
      <c r="K50" s="110">
        <f t="shared" si="15"/>
        <v>0</v>
      </c>
      <c r="L50" s="110">
        <f t="shared" si="15"/>
        <v>0</v>
      </c>
      <c r="M50" s="110">
        <f t="shared" si="15"/>
        <v>0</v>
      </c>
      <c r="N50" s="110">
        <f t="shared" si="15"/>
        <v>0</v>
      </c>
      <c r="O50" s="110">
        <f t="shared" si="15"/>
        <v>0</v>
      </c>
      <c r="P50" s="110">
        <f t="shared" si="15"/>
        <v>0</v>
      </c>
      <c r="Q50" s="110">
        <f t="shared" si="15"/>
        <v>0</v>
      </c>
      <c r="R50" s="110">
        <f t="shared" si="15"/>
        <v>0</v>
      </c>
      <c r="S50" s="110">
        <f t="shared" si="15"/>
        <v>0</v>
      </c>
      <c r="T50" s="110">
        <f t="shared" si="15"/>
        <v>0</v>
      </c>
      <c r="U50" s="110">
        <f t="shared" si="15"/>
        <v>0</v>
      </c>
      <c r="V50" s="110">
        <f t="shared" si="15"/>
        <v>0</v>
      </c>
      <c r="W50" s="110">
        <f t="shared" si="15"/>
        <v>0</v>
      </c>
      <c r="X50" s="110">
        <f t="shared" si="15"/>
        <v>0</v>
      </c>
      <c r="Y50" s="110">
        <f t="shared" si="15"/>
        <v>0</v>
      </c>
      <c r="Z50" s="110">
        <f t="shared" si="15"/>
        <v>0</v>
      </c>
      <c r="AA50" s="110">
        <f t="shared" si="15"/>
        <v>0</v>
      </c>
      <c r="AB50" s="110">
        <f t="shared" si="15"/>
        <v>0</v>
      </c>
      <c r="AC50" s="110">
        <f t="shared" si="15"/>
        <v>0</v>
      </c>
      <c r="AD50" s="110">
        <f t="shared" si="15"/>
        <v>0</v>
      </c>
      <c r="AE50" s="110">
        <f t="shared" si="15"/>
        <v>0</v>
      </c>
      <c r="AF50" s="110">
        <f t="shared" si="15"/>
        <v>0</v>
      </c>
      <c r="AG50" s="110">
        <f t="shared" si="15"/>
        <v>0</v>
      </c>
      <c r="AH50" s="110">
        <f t="shared" si="15"/>
        <v>0</v>
      </c>
      <c r="AI50" s="110">
        <f t="shared" si="15"/>
        <v>0</v>
      </c>
      <c r="AJ50" s="110">
        <f t="shared" si="15"/>
        <v>0</v>
      </c>
      <c r="AK50" s="110">
        <f t="shared" si="15"/>
        <v>0</v>
      </c>
      <c r="AL50" s="110">
        <f t="shared" si="15"/>
        <v>0</v>
      </c>
      <c r="AM50" s="110">
        <f t="shared" si="15"/>
        <v>0</v>
      </c>
      <c r="AN50" s="110">
        <f t="shared" si="15"/>
        <v>0</v>
      </c>
      <c r="AO50" s="110">
        <f t="shared" si="15"/>
        <v>0</v>
      </c>
      <c r="AP50" s="110">
        <f t="shared" si="15"/>
        <v>0</v>
      </c>
      <c r="AQ50" s="110">
        <f t="shared" si="15"/>
        <v>0</v>
      </c>
      <c r="AR50" s="110">
        <f t="shared" si="15"/>
        <v>0</v>
      </c>
      <c r="AS50" s="110">
        <f t="shared" si="15"/>
        <v>0</v>
      </c>
      <c r="AT50" s="110">
        <f t="shared" si="15"/>
        <v>0</v>
      </c>
      <c r="AU50" s="110">
        <f t="shared" si="15"/>
        <v>0</v>
      </c>
      <c r="AV50" s="110">
        <f t="shared" si="15"/>
        <v>0</v>
      </c>
      <c r="AW50" s="110">
        <f t="shared" si="15"/>
        <v>0</v>
      </c>
      <c r="AX50" s="110">
        <f t="shared" si="15"/>
        <v>0</v>
      </c>
      <c r="AY50" s="110">
        <f t="shared" si="15"/>
        <v>0</v>
      </c>
    </row>
    <row r="51" spans="1:52">
      <c r="A51" s="110"/>
      <c r="B51" s="165" t="s">
        <v>348</v>
      </c>
      <c r="C51" s="110"/>
      <c r="D51" s="110">
        <f>D45-D48</f>
        <v>0</v>
      </c>
      <c r="E51" s="110">
        <f t="shared" ref="E51:AY51" si="16">E45-E48</f>
        <v>0</v>
      </c>
      <c r="F51" s="110">
        <f t="shared" si="16"/>
        <v>0</v>
      </c>
      <c r="G51" s="110">
        <f t="shared" si="16"/>
        <v>0</v>
      </c>
      <c r="H51" s="110">
        <f t="shared" si="16"/>
        <v>0</v>
      </c>
      <c r="I51" s="110">
        <f t="shared" si="16"/>
        <v>0</v>
      </c>
      <c r="J51" s="110">
        <f t="shared" si="16"/>
        <v>0</v>
      </c>
      <c r="K51" s="110">
        <f t="shared" si="16"/>
        <v>0</v>
      </c>
      <c r="L51" s="110">
        <f t="shared" si="16"/>
        <v>0</v>
      </c>
      <c r="M51" s="110">
        <f t="shared" si="16"/>
        <v>0</v>
      </c>
      <c r="N51" s="110">
        <f t="shared" si="16"/>
        <v>0</v>
      </c>
      <c r="O51" s="110">
        <f t="shared" si="16"/>
        <v>0</v>
      </c>
      <c r="P51" s="110">
        <f t="shared" si="16"/>
        <v>0</v>
      </c>
      <c r="Q51" s="110">
        <f t="shared" si="16"/>
        <v>0</v>
      </c>
      <c r="R51" s="110">
        <f t="shared" si="16"/>
        <v>0</v>
      </c>
      <c r="S51" s="110">
        <f t="shared" si="16"/>
        <v>0</v>
      </c>
      <c r="T51" s="110">
        <f t="shared" si="16"/>
        <v>0</v>
      </c>
      <c r="U51" s="110">
        <f t="shared" si="16"/>
        <v>0</v>
      </c>
      <c r="V51" s="110">
        <f t="shared" si="16"/>
        <v>0</v>
      </c>
      <c r="W51" s="110">
        <f t="shared" si="16"/>
        <v>0</v>
      </c>
      <c r="X51" s="110">
        <f t="shared" si="16"/>
        <v>0</v>
      </c>
      <c r="Y51" s="110">
        <f t="shared" si="16"/>
        <v>0</v>
      </c>
      <c r="Z51" s="110">
        <f t="shared" si="16"/>
        <v>0</v>
      </c>
      <c r="AA51" s="110">
        <f t="shared" si="16"/>
        <v>0</v>
      </c>
      <c r="AB51" s="110">
        <f t="shared" si="16"/>
        <v>0</v>
      </c>
      <c r="AC51" s="110">
        <f t="shared" si="16"/>
        <v>0</v>
      </c>
      <c r="AD51" s="110">
        <f t="shared" si="16"/>
        <v>0</v>
      </c>
      <c r="AE51" s="110">
        <f t="shared" si="16"/>
        <v>0</v>
      </c>
      <c r="AF51" s="110">
        <f t="shared" si="16"/>
        <v>0</v>
      </c>
      <c r="AG51" s="110">
        <f t="shared" si="16"/>
        <v>0</v>
      </c>
      <c r="AH51" s="110">
        <f t="shared" si="16"/>
        <v>0</v>
      </c>
      <c r="AI51" s="110">
        <f t="shared" si="16"/>
        <v>0</v>
      </c>
      <c r="AJ51" s="110">
        <f t="shared" si="16"/>
        <v>0</v>
      </c>
      <c r="AK51" s="110">
        <f t="shared" si="16"/>
        <v>0</v>
      </c>
      <c r="AL51" s="110">
        <f t="shared" si="16"/>
        <v>0</v>
      </c>
      <c r="AM51" s="110">
        <f t="shared" si="16"/>
        <v>0</v>
      </c>
      <c r="AN51" s="110">
        <f t="shared" si="16"/>
        <v>0</v>
      </c>
      <c r="AO51" s="110">
        <f t="shared" si="16"/>
        <v>0</v>
      </c>
      <c r="AP51" s="110">
        <f t="shared" si="16"/>
        <v>0</v>
      </c>
      <c r="AQ51" s="110">
        <f t="shared" si="16"/>
        <v>0</v>
      </c>
      <c r="AR51" s="110">
        <f t="shared" si="16"/>
        <v>0</v>
      </c>
      <c r="AS51" s="110">
        <f t="shared" si="16"/>
        <v>0</v>
      </c>
      <c r="AT51" s="110">
        <f t="shared" si="16"/>
        <v>0</v>
      </c>
      <c r="AU51" s="110">
        <f t="shared" si="16"/>
        <v>0</v>
      </c>
      <c r="AV51" s="110">
        <f t="shared" si="16"/>
        <v>0</v>
      </c>
      <c r="AW51" s="110">
        <f t="shared" si="16"/>
        <v>0</v>
      </c>
      <c r="AX51" s="110">
        <f t="shared" si="16"/>
        <v>0</v>
      </c>
      <c r="AY51" s="110">
        <f t="shared" si="16"/>
        <v>0</v>
      </c>
    </row>
    <row r="52" spans="1:52">
      <c r="A52" s="110"/>
      <c r="B52" s="165" t="s">
        <v>349</v>
      </c>
      <c r="C52" s="110"/>
      <c r="D52" s="110">
        <v>2</v>
      </c>
      <c r="E52" s="110">
        <v>1</v>
      </c>
      <c r="F52" s="110">
        <v>1</v>
      </c>
      <c r="G52" s="110">
        <v>2</v>
      </c>
      <c r="H52" s="110">
        <v>2</v>
      </c>
      <c r="I52" s="110">
        <v>1</v>
      </c>
      <c r="J52" s="110">
        <v>1</v>
      </c>
      <c r="K52" s="110">
        <v>1</v>
      </c>
      <c r="L52" s="110">
        <v>2</v>
      </c>
      <c r="M52" s="110">
        <v>2</v>
      </c>
      <c r="N52" s="110">
        <v>1</v>
      </c>
      <c r="O52" s="110">
        <v>1</v>
      </c>
      <c r="P52" s="110">
        <v>2</v>
      </c>
      <c r="Q52" s="110">
        <v>1</v>
      </c>
      <c r="R52" s="110">
        <v>1</v>
      </c>
      <c r="S52" s="110">
        <v>1</v>
      </c>
      <c r="T52" s="110">
        <v>2</v>
      </c>
      <c r="U52" s="110">
        <v>1</v>
      </c>
      <c r="V52" s="110">
        <v>1</v>
      </c>
      <c r="W52" s="110">
        <v>1</v>
      </c>
      <c r="X52" s="110">
        <v>2</v>
      </c>
      <c r="Y52" s="110">
        <v>2</v>
      </c>
      <c r="Z52" s="110">
        <v>2</v>
      </c>
      <c r="AA52" s="110">
        <v>1</v>
      </c>
      <c r="AB52" s="110">
        <v>1</v>
      </c>
      <c r="AC52" s="110">
        <v>3</v>
      </c>
      <c r="AD52" s="110">
        <v>2</v>
      </c>
      <c r="AE52" s="110">
        <v>1</v>
      </c>
      <c r="AF52" s="110">
        <v>1</v>
      </c>
      <c r="AG52" s="110">
        <v>1</v>
      </c>
      <c r="AH52" s="110">
        <v>1</v>
      </c>
      <c r="AI52" s="110">
        <v>1</v>
      </c>
      <c r="AJ52" s="110">
        <v>3</v>
      </c>
      <c r="AK52" s="110">
        <v>1</v>
      </c>
      <c r="AL52" s="110">
        <v>1</v>
      </c>
      <c r="AM52" s="110">
        <v>1</v>
      </c>
      <c r="AN52" s="110">
        <v>1</v>
      </c>
      <c r="AO52" s="110">
        <v>1</v>
      </c>
      <c r="AP52" s="110">
        <v>2</v>
      </c>
      <c r="AQ52" s="110">
        <v>1</v>
      </c>
      <c r="AR52" s="110">
        <v>3</v>
      </c>
      <c r="AS52" s="110">
        <v>1</v>
      </c>
      <c r="AT52" s="110">
        <v>2</v>
      </c>
      <c r="AU52" s="110">
        <v>1</v>
      </c>
      <c r="AV52" s="110">
        <v>2</v>
      </c>
      <c r="AW52" s="110">
        <v>2</v>
      </c>
      <c r="AX52" s="110">
        <v>2</v>
      </c>
      <c r="AY52" s="110">
        <v>2</v>
      </c>
    </row>
    <row r="53" spans="1:52">
      <c r="A53" s="110"/>
      <c r="B53" s="178" t="s">
        <v>350</v>
      </c>
      <c r="C53" s="110"/>
      <c r="D53" s="110">
        <v>0</v>
      </c>
      <c r="E53" s="110">
        <v>0</v>
      </c>
      <c r="F53" s="110">
        <v>0</v>
      </c>
      <c r="G53" s="110">
        <v>0</v>
      </c>
      <c r="H53" s="110">
        <v>0</v>
      </c>
      <c r="I53" s="110">
        <v>0</v>
      </c>
      <c r="J53" s="110">
        <v>0</v>
      </c>
      <c r="K53" s="110">
        <v>0</v>
      </c>
      <c r="L53" s="110">
        <v>0</v>
      </c>
      <c r="M53" s="110">
        <v>0</v>
      </c>
      <c r="N53" s="110">
        <v>0</v>
      </c>
      <c r="O53" s="110">
        <v>0</v>
      </c>
      <c r="P53" s="110">
        <v>0</v>
      </c>
      <c r="Q53" s="110">
        <v>0</v>
      </c>
      <c r="R53" s="110">
        <v>0</v>
      </c>
      <c r="S53" s="110">
        <v>0</v>
      </c>
      <c r="T53" s="110">
        <v>0</v>
      </c>
      <c r="U53" s="110">
        <v>0</v>
      </c>
      <c r="V53" s="110">
        <v>0</v>
      </c>
      <c r="W53" s="110">
        <v>0</v>
      </c>
      <c r="X53" s="110">
        <v>0</v>
      </c>
      <c r="Y53" s="110">
        <v>0</v>
      </c>
      <c r="Z53" s="110">
        <v>0</v>
      </c>
      <c r="AA53" s="110">
        <v>0</v>
      </c>
      <c r="AB53" s="110">
        <v>0</v>
      </c>
      <c r="AC53" s="110">
        <v>0</v>
      </c>
      <c r="AD53" s="110">
        <v>0</v>
      </c>
      <c r="AE53" s="110">
        <v>0</v>
      </c>
      <c r="AF53" s="110">
        <v>0</v>
      </c>
      <c r="AG53" s="110">
        <v>0</v>
      </c>
      <c r="AH53" s="110">
        <v>0</v>
      </c>
      <c r="AI53" s="110">
        <v>0</v>
      </c>
      <c r="AJ53" s="110">
        <v>0</v>
      </c>
      <c r="AK53" s="110">
        <v>0</v>
      </c>
      <c r="AL53" s="110">
        <v>0</v>
      </c>
      <c r="AM53" s="110">
        <v>0</v>
      </c>
      <c r="AN53" s="110">
        <v>0</v>
      </c>
      <c r="AO53" s="110">
        <v>0</v>
      </c>
      <c r="AP53" s="110">
        <v>0</v>
      </c>
      <c r="AQ53" s="110">
        <v>0</v>
      </c>
      <c r="AR53" s="110">
        <v>0</v>
      </c>
      <c r="AS53" s="110">
        <v>0</v>
      </c>
      <c r="AT53" s="110">
        <v>0</v>
      </c>
      <c r="AU53" s="110">
        <v>0</v>
      </c>
      <c r="AV53" s="110">
        <v>0</v>
      </c>
      <c r="AW53" s="110">
        <v>0</v>
      </c>
      <c r="AX53" s="110">
        <v>0</v>
      </c>
      <c r="AY53" s="110">
        <v>0</v>
      </c>
      <c r="AZ53" s="100">
        <f>SUM($D$53:$AY$53)</f>
        <v>0</v>
      </c>
    </row>
    <row r="54" spans="1:52">
      <c r="A54" s="110"/>
      <c r="B54" s="178" t="s">
        <v>351</v>
      </c>
      <c r="C54" s="110"/>
      <c r="D54" s="110">
        <v>0</v>
      </c>
      <c r="E54" s="110">
        <v>0</v>
      </c>
      <c r="F54" s="110">
        <v>0</v>
      </c>
      <c r="G54" s="110">
        <v>0</v>
      </c>
      <c r="H54" s="110">
        <v>0</v>
      </c>
      <c r="I54" s="110">
        <v>0</v>
      </c>
      <c r="J54" s="110">
        <v>0</v>
      </c>
      <c r="K54" s="110">
        <v>0</v>
      </c>
      <c r="L54" s="110">
        <v>0</v>
      </c>
      <c r="M54" s="110">
        <v>0</v>
      </c>
      <c r="N54" s="110">
        <v>0</v>
      </c>
      <c r="O54" s="110">
        <v>0</v>
      </c>
      <c r="P54" s="110">
        <v>0</v>
      </c>
      <c r="Q54" s="110">
        <v>0</v>
      </c>
      <c r="R54" s="110">
        <v>0</v>
      </c>
      <c r="S54" s="110">
        <v>0</v>
      </c>
      <c r="T54" s="110">
        <v>0</v>
      </c>
      <c r="U54" s="110">
        <v>0</v>
      </c>
      <c r="V54" s="110">
        <v>0</v>
      </c>
      <c r="W54" s="110">
        <v>0</v>
      </c>
      <c r="X54" s="110">
        <v>0</v>
      </c>
      <c r="Y54" s="110">
        <v>0</v>
      </c>
      <c r="Z54" s="110">
        <v>0</v>
      </c>
      <c r="AA54" s="110">
        <v>0</v>
      </c>
      <c r="AB54" s="110">
        <v>0</v>
      </c>
      <c r="AC54" s="110">
        <v>0</v>
      </c>
      <c r="AD54" s="110">
        <v>0</v>
      </c>
      <c r="AE54" s="110">
        <v>0</v>
      </c>
      <c r="AF54" s="110">
        <v>0</v>
      </c>
      <c r="AG54" s="110">
        <v>0</v>
      </c>
      <c r="AH54" s="110">
        <v>0</v>
      </c>
      <c r="AI54" s="110">
        <v>0</v>
      </c>
      <c r="AJ54" s="110">
        <v>0</v>
      </c>
      <c r="AK54" s="110">
        <v>0</v>
      </c>
      <c r="AL54" s="110">
        <v>0</v>
      </c>
      <c r="AM54" s="110">
        <v>0</v>
      </c>
      <c r="AN54" s="110">
        <v>0</v>
      </c>
      <c r="AO54" s="110">
        <v>0</v>
      </c>
      <c r="AP54" s="110">
        <v>0</v>
      </c>
      <c r="AQ54" s="110">
        <v>0</v>
      </c>
      <c r="AR54" s="110">
        <v>0</v>
      </c>
      <c r="AS54" s="110">
        <v>0</v>
      </c>
      <c r="AT54" s="110">
        <v>0</v>
      </c>
      <c r="AU54" s="110">
        <v>0</v>
      </c>
      <c r="AV54" s="110">
        <v>0</v>
      </c>
      <c r="AW54" s="110">
        <v>0</v>
      </c>
      <c r="AX54" s="110">
        <v>0</v>
      </c>
      <c r="AY54" s="110">
        <v>0</v>
      </c>
      <c r="AZ54" s="100">
        <f>SUM($D$54:$AY$54)</f>
        <v>0</v>
      </c>
    </row>
    <row r="55" spans="1:52">
      <c r="A55" s="135" t="s">
        <v>59</v>
      </c>
      <c r="B55" s="135" t="s">
        <v>341</v>
      </c>
      <c r="C55" s="124"/>
      <c r="D55" s="124">
        <f>D$21*shipping_manufacturing!$F$29/100</f>
        <v>16.25322376130438</v>
      </c>
      <c r="E55" s="124">
        <f>E$21*shipping_manufacturing!$F$29/100</f>
        <v>610.74520421119007</v>
      </c>
      <c r="F55" s="124">
        <f>F$21*shipping_manufacturing!$F$29/100</f>
        <v>610.74520421119007</v>
      </c>
      <c r="G55" s="124">
        <f>G$21*shipping_manufacturing!$F$29/100</f>
        <v>610.74520421119007</v>
      </c>
      <c r="H55" s="124">
        <f>H$21*shipping_manufacturing!$F$29/100</f>
        <v>610.74520421119007</v>
      </c>
      <c r="I55" s="124">
        <f>I$21*shipping_manufacturing!$F$29/100</f>
        <v>610.74520421119007</v>
      </c>
      <c r="J55" s="124">
        <f>J$21*shipping_manufacturing!$F$29/100</f>
        <v>610.74520421119007</v>
      </c>
      <c r="K55" s="124">
        <f>K$21*shipping_manufacturing!$F$29/100</f>
        <v>0</v>
      </c>
      <c r="L55" s="124">
        <f>L$21*shipping_manufacturing!$F$29/100</f>
        <v>1221.4904084223801</v>
      </c>
      <c r="M55" s="124">
        <f>M$21*shipping_manufacturing!$F$29/100</f>
        <v>610.74520421119007</v>
      </c>
      <c r="N55" s="124">
        <f>N$21*shipping_manufacturing!$F$29/100</f>
        <v>610.74520421119007</v>
      </c>
      <c r="O55" s="124">
        <f>O$21*shipping_manufacturing!$F$29/100</f>
        <v>610.74520421119007</v>
      </c>
      <c r="P55" s="124">
        <f>P$21*shipping_manufacturing!$F$29/100</f>
        <v>610.74520421119007</v>
      </c>
      <c r="Q55" s="124">
        <f>Q$21*shipping_manufacturing!$F$29/100</f>
        <v>610.74520421119007</v>
      </c>
      <c r="R55" s="124">
        <f>R$21*shipping_manufacturing!$F$29/100</f>
        <v>610.74520421119007</v>
      </c>
      <c r="S55" s="124">
        <f>S$21*shipping_manufacturing!$F$29/100</f>
        <v>0</v>
      </c>
      <c r="T55" s="124">
        <f>T$21*shipping_manufacturing!$F$29/100</f>
        <v>1221.4904084223801</v>
      </c>
      <c r="U55" s="124">
        <f>U$21*shipping_manufacturing!$F$29/100</f>
        <v>610.74520421119007</v>
      </c>
      <c r="V55" s="124">
        <f>V$21*shipping_manufacturing!$F$29/100</f>
        <v>610.74520421119007</v>
      </c>
      <c r="W55" s="124">
        <f>W$21*shipping_manufacturing!$F$29/100</f>
        <v>610.74520421119007</v>
      </c>
      <c r="X55" s="124">
        <f>X$21*shipping_manufacturing!$F$29/100</f>
        <v>0</v>
      </c>
      <c r="Y55" s="124">
        <f>Y$21*shipping_manufacturing!$F$29/100</f>
        <v>1221.4904084223801</v>
      </c>
      <c r="Z55" s="124">
        <f>Z$21*shipping_manufacturing!$F$29/100</f>
        <v>610.74520421119007</v>
      </c>
      <c r="AA55" s="124">
        <f>AA$21*shipping_manufacturing!$F$29/100</f>
        <v>610.74520421119007</v>
      </c>
      <c r="AB55" s="124">
        <f>AB$21*shipping_manufacturing!$F$29/100</f>
        <v>610.74520421119007</v>
      </c>
      <c r="AC55" s="124">
        <f>AC$21*shipping_manufacturing!$F$29/100</f>
        <v>610.74520421119007</v>
      </c>
      <c r="AD55" s="124">
        <f>AD$21*shipping_manufacturing!$F$29/100</f>
        <v>610.74520421119007</v>
      </c>
      <c r="AE55" s="124">
        <f>AE$21*shipping_manufacturing!$F$29/100</f>
        <v>610.74520421119007</v>
      </c>
      <c r="AF55" s="124">
        <f>AF$21*shipping_manufacturing!$F$29/100</f>
        <v>610.74520421119007</v>
      </c>
      <c r="AG55" s="124">
        <f>AG$21*shipping_manufacturing!$F$29/100</f>
        <v>729.00322336646434</v>
      </c>
      <c r="AH55" s="124">
        <f>AH$21*shipping_manufacturing!$F$29/100</f>
        <v>729.00322336646434</v>
      </c>
      <c r="AI55" s="124">
        <f>AI$21*shipping_manufacturing!$F$29/100</f>
        <v>0</v>
      </c>
      <c r="AJ55" s="124">
        <f>AJ$21*shipping_manufacturing!$F$29/100</f>
        <v>1458.0064467329287</v>
      </c>
      <c r="AK55" s="124">
        <f>AK$21*shipping_manufacturing!$F$29/100</f>
        <v>610.74520421119007</v>
      </c>
      <c r="AL55" s="124">
        <f>AL$21*shipping_manufacturing!$F$29/100</f>
        <v>610.74520421119007</v>
      </c>
      <c r="AM55" s="124">
        <f>AM$21*shipping_manufacturing!$F$29/100</f>
        <v>610.74520421119007</v>
      </c>
      <c r="AN55" s="124">
        <f>AN$21*shipping_manufacturing!$F$29/100</f>
        <v>0</v>
      </c>
      <c r="AO55" s="124">
        <f>AO$21*shipping_manufacturing!$F$29/100</f>
        <v>1221.4904084223801</v>
      </c>
      <c r="AP55" s="124">
        <f>AP$21*shipping_manufacturing!$F$29/100</f>
        <v>610.74520421119007</v>
      </c>
      <c r="AQ55" s="124">
        <f>AQ$21*shipping_manufacturing!$F$29/100</f>
        <v>610.74520421119007</v>
      </c>
      <c r="AR55" s="124">
        <f>AR$21*shipping_manufacturing!$F$29/100</f>
        <v>610.74520421119007</v>
      </c>
      <c r="AS55" s="124">
        <f>AS$21*shipping_manufacturing!$F$29/100</f>
        <v>610.74520421119007</v>
      </c>
      <c r="AT55" s="124">
        <f>AT$21*shipping_manufacturing!$F$29/100</f>
        <v>610.74520421119007</v>
      </c>
      <c r="AU55" s="124">
        <f>AU$21*shipping_manufacturing!$F$29/100</f>
        <v>610.74520421119007</v>
      </c>
      <c r="AV55" s="124">
        <f>AV$21*shipping_manufacturing!$F$29/100</f>
        <v>610.74520421119007</v>
      </c>
      <c r="AW55" s="124">
        <f>AW$21*shipping_manufacturing!$F$29/100</f>
        <v>610.74520421119007</v>
      </c>
      <c r="AX55" s="124">
        <f>AX$21*shipping_manufacturing!$F$29/100</f>
        <v>610.74520421119007</v>
      </c>
      <c r="AY55" s="124">
        <f>AY$21*shipping_manufacturing!$F$29/100</f>
        <v>610.74520421119007</v>
      </c>
    </row>
    <row r="56" spans="1:52">
      <c r="A56" s="113" t="s">
        <v>340</v>
      </c>
      <c r="B56" s="165" t="s">
        <v>342</v>
      </c>
      <c r="C56" s="110"/>
      <c r="D56" s="110">
        <f>D$22*shipping_manufacturing!$G$29/100</f>
        <v>8.9026543706498948</v>
      </c>
      <c r="E56" s="110">
        <f>E$22*shipping_manufacturing!$G$29/100</f>
        <v>334.53384642185318</v>
      </c>
      <c r="F56" s="110">
        <f>F$22*shipping_manufacturing!$G$29/100</f>
        <v>334.53384642185318</v>
      </c>
      <c r="G56" s="110">
        <f>G$22*shipping_manufacturing!$G$29/100</f>
        <v>334.53384642185318</v>
      </c>
      <c r="H56" s="110">
        <f>H$22*shipping_manufacturing!$G$29/100</f>
        <v>334.53384642185318</v>
      </c>
      <c r="I56" s="110">
        <f>I$22*shipping_manufacturing!$G$29/100</f>
        <v>334.53384642185318</v>
      </c>
      <c r="J56" s="110">
        <f>J$22*shipping_manufacturing!$G$29/100</f>
        <v>334.53384642185318</v>
      </c>
      <c r="K56" s="110">
        <f>K$22*shipping_manufacturing!$G$29/100</f>
        <v>0</v>
      </c>
      <c r="L56" s="110">
        <f>L$22*shipping_manufacturing!$G$29/100</f>
        <v>669.06769284370637</v>
      </c>
      <c r="M56" s="110">
        <f>M$22*shipping_manufacturing!$G$29/100</f>
        <v>334.53384642185318</v>
      </c>
      <c r="N56" s="110">
        <f>N$22*shipping_manufacturing!$G$29/100</f>
        <v>334.53384642185318</v>
      </c>
      <c r="O56" s="110">
        <f>O$22*shipping_manufacturing!$G$29/100</f>
        <v>334.53384642185318</v>
      </c>
      <c r="P56" s="110">
        <f>P$22*shipping_manufacturing!$G$29/100</f>
        <v>334.53384642185318</v>
      </c>
      <c r="Q56" s="110">
        <f>Q$22*shipping_manufacturing!$G$29/100</f>
        <v>334.53384642185318</v>
      </c>
      <c r="R56" s="110">
        <f>R$22*shipping_manufacturing!$G$29/100</f>
        <v>334.53384642185318</v>
      </c>
      <c r="S56" s="110">
        <f>S$22*shipping_manufacturing!$G$29/100</f>
        <v>0</v>
      </c>
      <c r="T56" s="110">
        <f>T$22*shipping_manufacturing!$G$29/100</f>
        <v>669.06769284370637</v>
      </c>
      <c r="U56" s="110">
        <f>U$22*shipping_manufacturing!$G$29/100</f>
        <v>334.53384642185318</v>
      </c>
      <c r="V56" s="110">
        <f>V$22*shipping_manufacturing!$G$29/100</f>
        <v>334.53384642185318</v>
      </c>
      <c r="W56" s="110">
        <f>W$22*shipping_manufacturing!$G$29/100</f>
        <v>334.53384642185318</v>
      </c>
      <c r="X56" s="110">
        <f>X$22*shipping_manufacturing!$G$29/100</f>
        <v>0</v>
      </c>
      <c r="Y56" s="110">
        <f>Y$22*shipping_manufacturing!$G$29/100</f>
        <v>669.06769284370637</v>
      </c>
      <c r="Z56" s="110">
        <f>Z$22*shipping_manufacturing!$G$29/100</f>
        <v>334.53384642185318</v>
      </c>
      <c r="AA56" s="110">
        <f>AA$22*shipping_manufacturing!$G$29/100</f>
        <v>334.53384642185318</v>
      </c>
      <c r="AB56" s="110">
        <f>AB$22*shipping_manufacturing!$G$29/100</f>
        <v>334.53384642185318</v>
      </c>
      <c r="AC56" s="110">
        <f>AC$22*shipping_manufacturing!$G$29/100</f>
        <v>334.53384642185318</v>
      </c>
      <c r="AD56" s="110">
        <f>AD$22*shipping_manufacturing!$G$29/100</f>
        <v>334.53384642185318</v>
      </c>
      <c r="AE56" s="110">
        <f>AE$22*shipping_manufacturing!$G$29/100</f>
        <v>334.53384642185318</v>
      </c>
      <c r="AF56" s="110">
        <f>AF$22*shipping_manufacturing!$G$29/100</f>
        <v>334.53384642185318</v>
      </c>
      <c r="AG56" s="110">
        <f>AG$22*shipping_manufacturing!$G$29/100</f>
        <v>399.30932029452748</v>
      </c>
      <c r="AH56" s="110">
        <f>AH$22*shipping_manufacturing!$G$29/100</f>
        <v>399.30932029452748</v>
      </c>
      <c r="AI56" s="110">
        <f>AI$22*shipping_manufacturing!$G$29/100</f>
        <v>0</v>
      </c>
      <c r="AJ56" s="110">
        <f>AJ$22*shipping_manufacturing!$G$29/100</f>
        <v>798.61864058905496</v>
      </c>
      <c r="AK56" s="110">
        <f>AK$22*shipping_manufacturing!$G$29/100</f>
        <v>334.53384642185318</v>
      </c>
      <c r="AL56" s="110">
        <f>AL$22*shipping_manufacturing!$G$29/100</f>
        <v>334.53384642185318</v>
      </c>
      <c r="AM56" s="110">
        <f>AM$22*shipping_manufacturing!$G$29/100</f>
        <v>334.53384642185318</v>
      </c>
      <c r="AN56" s="110">
        <f>AN$22*shipping_manufacturing!$G$29/100</f>
        <v>0</v>
      </c>
      <c r="AO56" s="110">
        <f>AO$22*shipping_manufacturing!$G$29/100</f>
        <v>669.06769284370637</v>
      </c>
      <c r="AP56" s="110">
        <f>AP$22*shipping_manufacturing!$G$29/100</f>
        <v>334.53384642185318</v>
      </c>
      <c r="AQ56" s="110">
        <f>AQ$22*shipping_manufacturing!$G$29/100</f>
        <v>334.53384642185318</v>
      </c>
      <c r="AR56" s="110">
        <f>AR$22*shipping_manufacturing!$G$29/100</f>
        <v>334.53384642185318</v>
      </c>
      <c r="AS56" s="110">
        <f>AS$22*shipping_manufacturing!$G$29/100</f>
        <v>334.53384642185318</v>
      </c>
      <c r="AT56" s="110">
        <f>AT$22*shipping_manufacturing!$G$29/100</f>
        <v>334.53384642185318</v>
      </c>
      <c r="AU56" s="110">
        <f>AU$22*shipping_manufacturing!$G$29/100</f>
        <v>334.53384642185318</v>
      </c>
      <c r="AV56" s="110">
        <f>AV$22*shipping_manufacturing!$G$29/100</f>
        <v>334.53384642185318</v>
      </c>
      <c r="AW56" s="110">
        <f>AW$22*shipping_manufacturing!$G$29/100</f>
        <v>334.53384642185318</v>
      </c>
      <c r="AX56" s="110">
        <f>AX$22*shipping_manufacturing!$G$29/100</f>
        <v>334.53384642185318</v>
      </c>
      <c r="AY56" s="110">
        <f>AY$22*shipping_manufacturing!$G$29/100</f>
        <v>334.53384642185318</v>
      </c>
    </row>
    <row r="57" spans="1:52">
      <c r="A57" s="110">
        <v>495</v>
      </c>
      <c r="B57" s="165" t="s">
        <v>343</v>
      </c>
      <c r="C57" s="110"/>
      <c r="D57" s="110">
        <f>SUM(D55:D56)</f>
        <v>25.155878131954275</v>
      </c>
      <c r="E57" s="110">
        <f t="shared" ref="E57:AY57" si="17">SUM(E55:E56)</f>
        <v>945.2790506330432</v>
      </c>
      <c r="F57" s="110">
        <f t="shared" si="17"/>
        <v>945.2790506330432</v>
      </c>
      <c r="G57" s="110">
        <f t="shared" si="17"/>
        <v>945.2790506330432</v>
      </c>
      <c r="H57" s="110">
        <f t="shared" si="17"/>
        <v>945.2790506330432</v>
      </c>
      <c r="I57" s="110">
        <f t="shared" si="17"/>
        <v>945.2790506330432</v>
      </c>
      <c r="J57" s="110">
        <f t="shared" si="17"/>
        <v>945.2790506330432</v>
      </c>
      <c r="K57" s="110">
        <f t="shared" si="17"/>
        <v>0</v>
      </c>
      <c r="L57" s="110">
        <f t="shared" si="17"/>
        <v>1890.5581012660864</v>
      </c>
      <c r="M57" s="110">
        <f t="shared" si="17"/>
        <v>945.2790506330432</v>
      </c>
      <c r="N57" s="110">
        <f t="shared" si="17"/>
        <v>945.2790506330432</v>
      </c>
      <c r="O57" s="110">
        <f t="shared" si="17"/>
        <v>945.2790506330432</v>
      </c>
      <c r="P57" s="110">
        <f t="shared" si="17"/>
        <v>945.2790506330432</v>
      </c>
      <c r="Q57" s="110">
        <f t="shared" si="17"/>
        <v>945.2790506330432</v>
      </c>
      <c r="R57" s="110">
        <f t="shared" si="17"/>
        <v>945.2790506330432</v>
      </c>
      <c r="S57" s="110">
        <f t="shared" si="17"/>
        <v>0</v>
      </c>
      <c r="T57" s="110">
        <f t="shared" si="17"/>
        <v>1890.5581012660864</v>
      </c>
      <c r="U57" s="110">
        <f t="shared" si="17"/>
        <v>945.2790506330432</v>
      </c>
      <c r="V57" s="110">
        <f t="shared" si="17"/>
        <v>945.2790506330432</v>
      </c>
      <c r="W57" s="110">
        <f t="shared" si="17"/>
        <v>945.2790506330432</v>
      </c>
      <c r="X57" s="110">
        <f t="shared" si="17"/>
        <v>0</v>
      </c>
      <c r="Y57" s="110">
        <f t="shared" si="17"/>
        <v>1890.5581012660864</v>
      </c>
      <c r="Z57" s="110">
        <f t="shared" si="17"/>
        <v>945.2790506330432</v>
      </c>
      <c r="AA57" s="110">
        <f t="shared" si="17"/>
        <v>945.2790506330432</v>
      </c>
      <c r="AB57" s="110">
        <f t="shared" si="17"/>
        <v>945.2790506330432</v>
      </c>
      <c r="AC57" s="110">
        <f t="shared" si="17"/>
        <v>945.2790506330432</v>
      </c>
      <c r="AD57" s="110">
        <f t="shared" si="17"/>
        <v>945.2790506330432</v>
      </c>
      <c r="AE57" s="110">
        <f t="shared" si="17"/>
        <v>945.2790506330432</v>
      </c>
      <c r="AF57" s="110">
        <f t="shared" si="17"/>
        <v>945.2790506330432</v>
      </c>
      <c r="AG57" s="110">
        <f t="shared" si="17"/>
        <v>1128.3125436609919</v>
      </c>
      <c r="AH57" s="110">
        <f t="shared" si="17"/>
        <v>1128.3125436609919</v>
      </c>
      <c r="AI57" s="110">
        <f t="shared" si="17"/>
        <v>0</v>
      </c>
      <c r="AJ57" s="110">
        <f t="shared" si="17"/>
        <v>2256.6250873219838</v>
      </c>
      <c r="AK57" s="110">
        <f t="shared" si="17"/>
        <v>945.2790506330432</v>
      </c>
      <c r="AL57" s="110">
        <f t="shared" si="17"/>
        <v>945.2790506330432</v>
      </c>
      <c r="AM57" s="110">
        <f t="shared" si="17"/>
        <v>945.2790506330432</v>
      </c>
      <c r="AN57" s="110">
        <f t="shared" si="17"/>
        <v>0</v>
      </c>
      <c r="AO57" s="110">
        <f t="shared" si="17"/>
        <v>1890.5581012660864</v>
      </c>
      <c r="AP57" s="110">
        <f t="shared" si="17"/>
        <v>945.2790506330432</v>
      </c>
      <c r="AQ57" s="110">
        <f t="shared" si="17"/>
        <v>945.2790506330432</v>
      </c>
      <c r="AR57" s="110">
        <f t="shared" si="17"/>
        <v>945.2790506330432</v>
      </c>
      <c r="AS57" s="110">
        <f t="shared" si="17"/>
        <v>945.2790506330432</v>
      </c>
      <c r="AT57" s="110">
        <f t="shared" si="17"/>
        <v>945.2790506330432</v>
      </c>
      <c r="AU57" s="110">
        <f t="shared" si="17"/>
        <v>945.2790506330432</v>
      </c>
      <c r="AV57" s="110">
        <f t="shared" si="17"/>
        <v>945.2790506330432</v>
      </c>
      <c r="AW57" s="110">
        <f t="shared" si="17"/>
        <v>945.2790506330432</v>
      </c>
      <c r="AX57" s="110">
        <f t="shared" si="17"/>
        <v>945.2790506330432</v>
      </c>
      <c r="AY57" s="110">
        <f t="shared" si="17"/>
        <v>945.2790506330432</v>
      </c>
    </row>
    <row r="58" spans="1:52">
      <c r="A58" s="110"/>
      <c r="B58" s="165" t="s">
        <v>344</v>
      </c>
      <c r="C58" s="110"/>
      <c r="D58" s="110">
        <v>16.25322376130438</v>
      </c>
      <c r="E58" s="110">
        <v>271.36218198945164</v>
      </c>
      <c r="F58" s="110">
        <v>19.383012999246539</v>
      </c>
      <c r="G58" s="110">
        <v>271.36218198945164</v>
      </c>
      <c r="H58" s="110">
        <v>19.383012999246539</v>
      </c>
      <c r="I58" s="110">
        <v>271.36218198945164</v>
      </c>
      <c r="J58" s="110">
        <v>19.383012999246539</v>
      </c>
      <c r="K58" s="110"/>
      <c r="L58" s="110">
        <v>290.7451949886979</v>
      </c>
      <c r="M58" s="110"/>
      <c r="N58" s="110">
        <v>290.74519498869819</v>
      </c>
      <c r="O58" s="110"/>
      <c r="P58" s="110">
        <v>290.74519498869819</v>
      </c>
      <c r="Q58" s="110"/>
      <c r="R58" s="110">
        <v>290.74519498869819</v>
      </c>
      <c r="S58" s="110"/>
      <c r="T58" s="110">
        <v>290.7451949886979</v>
      </c>
      <c r="U58" s="110"/>
      <c r="V58" s="110">
        <v>290.74519498869819</v>
      </c>
      <c r="W58" s="110"/>
      <c r="X58" s="110"/>
      <c r="Y58" s="110">
        <v>290.7451949886979</v>
      </c>
      <c r="Z58" s="110"/>
      <c r="AA58" s="110">
        <v>290.74519498869819</v>
      </c>
      <c r="AB58" s="110"/>
      <c r="AC58" s="110">
        <v>290.74519498869819</v>
      </c>
      <c r="AD58" s="110"/>
      <c r="AE58" s="110">
        <v>290.74519498869819</v>
      </c>
      <c r="AF58" s="110"/>
      <c r="AG58" s="110">
        <v>290.74519498869819</v>
      </c>
      <c r="AH58" s="110"/>
      <c r="AI58" s="110"/>
      <c r="AJ58" s="110">
        <v>290.7451949886979</v>
      </c>
      <c r="AK58" s="110"/>
      <c r="AL58" s="110">
        <v>290.74519498869819</v>
      </c>
      <c r="AM58" s="110"/>
      <c r="AN58" s="110"/>
      <c r="AO58" s="110">
        <v>290.7451949886979</v>
      </c>
      <c r="AP58" s="110"/>
      <c r="AQ58" s="110">
        <v>290.74519498869819</v>
      </c>
      <c r="AR58" s="110"/>
      <c r="AS58" s="110">
        <v>290.74519498869819</v>
      </c>
      <c r="AT58" s="110"/>
      <c r="AU58" s="110">
        <v>290.74519498869819</v>
      </c>
      <c r="AV58" s="110"/>
      <c r="AW58" s="110">
        <v>290.74519498869819</v>
      </c>
      <c r="AX58" s="110"/>
      <c r="AY58" s="110">
        <v>290.74519498869819</v>
      </c>
    </row>
    <row r="59" spans="1:52">
      <c r="A59" s="110"/>
      <c r="B59" s="165" t="s">
        <v>345</v>
      </c>
      <c r="C59" s="110"/>
      <c r="D59" s="110">
        <v>8.9026543706498948</v>
      </c>
      <c r="E59" s="110">
        <v>148.63781801054853</v>
      </c>
      <c r="F59" s="110">
        <v>10.616987000753465</v>
      </c>
      <c r="G59" s="110">
        <v>148.63781801054853</v>
      </c>
      <c r="H59" s="110">
        <v>10.616987000753465</v>
      </c>
      <c r="I59" s="110">
        <v>148.63781801054853</v>
      </c>
      <c r="J59" s="110">
        <v>10.616987000753465</v>
      </c>
      <c r="K59" s="110"/>
      <c r="L59" s="110">
        <v>159.25480501130187</v>
      </c>
      <c r="M59" s="110"/>
      <c r="N59" s="110">
        <v>159.25480501130198</v>
      </c>
      <c r="O59" s="110"/>
      <c r="P59" s="110">
        <v>159.25480501130198</v>
      </c>
      <c r="Q59" s="110"/>
      <c r="R59" s="110">
        <v>159.25480501130198</v>
      </c>
      <c r="S59" s="110"/>
      <c r="T59" s="110">
        <v>159.25480501130187</v>
      </c>
      <c r="U59" s="110"/>
      <c r="V59" s="110">
        <v>159.25480501130198</v>
      </c>
      <c r="W59" s="110"/>
      <c r="X59" s="110"/>
      <c r="Y59" s="110">
        <v>159.25480501130187</v>
      </c>
      <c r="Z59" s="110"/>
      <c r="AA59" s="110">
        <v>159.25480501130198</v>
      </c>
      <c r="AB59" s="110"/>
      <c r="AC59" s="110">
        <v>159.25480501130198</v>
      </c>
      <c r="AD59" s="110"/>
      <c r="AE59" s="110">
        <v>159.25480501130198</v>
      </c>
      <c r="AF59" s="110"/>
      <c r="AG59" s="110">
        <v>159.25480501130198</v>
      </c>
      <c r="AH59" s="110"/>
      <c r="AI59" s="110"/>
      <c r="AJ59" s="110">
        <v>159.25480501130187</v>
      </c>
      <c r="AK59" s="110"/>
      <c r="AL59" s="110">
        <v>159.25480501130198</v>
      </c>
      <c r="AM59" s="110"/>
      <c r="AN59" s="110"/>
      <c r="AO59" s="110">
        <v>159.25480501130187</v>
      </c>
      <c r="AP59" s="110"/>
      <c r="AQ59" s="110">
        <v>159.25480501130198</v>
      </c>
      <c r="AR59" s="110"/>
      <c r="AS59" s="110">
        <v>159.25480501130198</v>
      </c>
      <c r="AT59" s="110"/>
      <c r="AU59" s="110">
        <v>159.25480501130198</v>
      </c>
      <c r="AV59" s="110"/>
      <c r="AW59" s="110">
        <v>159.25480501130198</v>
      </c>
      <c r="AX59" s="110"/>
      <c r="AY59" s="110">
        <v>159.25480501130198</v>
      </c>
    </row>
    <row r="60" spans="1:52">
      <c r="A60" s="110"/>
      <c r="B60" s="165" t="s">
        <v>346</v>
      </c>
      <c r="C60" s="110"/>
      <c r="D60" s="110">
        <v>1</v>
      </c>
      <c r="E60" s="110">
        <v>14</v>
      </c>
      <c r="F60" s="110">
        <v>1</v>
      </c>
      <c r="G60" s="110">
        <v>14</v>
      </c>
      <c r="H60" s="110">
        <v>1</v>
      </c>
      <c r="I60" s="110">
        <v>14</v>
      </c>
      <c r="J60" s="110">
        <v>1</v>
      </c>
      <c r="K60" s="110"/>
      <c r="L60" s="110">
        <v>15</v>
      </c>
      <c r="M60" s="110"/>
      <c r="N60" s="110">
        <v>15</v>
      </c>
      <c r="O60" s="110"/>
      <c r="P60" s="110">
        <v>15</v>
      </c>
      <c r="Q60" s="110"/>
      <c r="R60" s="110">
        <v>15</v>
      </c>
      <c r="S60" s="110"/>
      <c r="T60" s="110">
        <v>15</v>
      </c>
      <c r="U60" s="110"/>
      <c r="V60" s="110">
        <v>15</v>
      </c>
      <c r="W60" s="110"/>
      <c r="X60" s="110"/>
      <c r="Y60" s="110">
        <v>15</v>
      </c>
      <c r="Z60" s="110"/>
      <c r="AA60" s="110">
        <v>15</v>
      </c>
      <c r="AB60" s="110"/>
      <c r="AC60" s="110">
        <v>15</v>
      </c>
      <c r="AD60" s="110"/>
      <c r="AE60" s="110">
        <v>15</v>
      </c>
      <c r="AF60" s="110"/>
      <c r="AG60" s="110">
        <v>15</v>
      </c>
      <c r="AH60" s="110"/>
      <c r="AI60" s="110"/>
      <c r="AJ60" s="110">
        <v>15</v>
      </c>
      <c r="AK60" s="110"/>
      <c r="AL60" s="110">
        <v>15</v>
      </c>
      <c r="AM60" s="110"/>
      <c r="AN60" s="110"/>
      <c r="AO60" s="110">
        <v>15</v>
      </c>
      <c r="AP60" s="110"/>
      <c r="AQ60" s="110">
        <v>15</v>
      </c>
      <c r="AR60" s="110"/>
      <c r="AS60" s="110">
        <v>15</v>
      </c>
      <c r="AT60" s="110"/>
      <c r="AU60" s="110">
        <v>15</v>
      </c>
      <c r="AV60" s="110"/>
      <c r="AW60" s="110">
        <v>15</v>
      </c>
      <c r="AX60" s="110"/>
      <c r="AY60" s="110">
        <v>15</v>
      </c>
    </row>
    <row r="61" spans="1:52">
      <c r="A61" s="110"/>
      <c r="B61" s="165" t="s">
        <v>347</v>
      </c>
      <c r="C61" s="110"/>
      <c r="D61" s="110">
        <f>D55-D58</f>
        <v>0</v>
      </c>
      <c r="E61" s="110">
        <f t="shared" ref="E61:AY61" si="18">E55-E58</f>
        <v>339.38302222173843</v>
      </c>
      <c r="F61" s="110">
        <f t="shared" si="18"/>
        <v>591.36219121194358</v>
      </c>
      <c r="G61" s="110">
        <f t="shared" si="18"/>
        <v>339.38302222173843</v>
      </c>
      <c r="H61" s="110">
        <f t="shared" si="18"/>
        <v>591.36219121194358</v>
      </c>
      <c r="I61" s="110">
        <f t="shared" si="18"/>
        <v>339.38302222173843</v>
      </c>
      <c r="J61" s="110">
        <f t="shared" si="18"/>
        <v>591.36219121194358</v>
      </c>
      <c r="K61" s="110">
        <f t="shared" si="18"/>
        <v>0</v>
      </c>
      <c r="L61" s="110">
        <f t="shared" si="18"/>
        <v>930.74521343368224</v>
      </c>
      <c r="M61" s="110">
        <f t="shared" si="18"/>
        <v>610.74520421119007</v>
      </c>
      <c r="N61" s="110">
        <f t="shared" si="18"/>
        <v>320.00000922249188</v>
      </c>
      <c r="O61" s="110">
        <f t="shared" si="18"/>
        <v>610.74520421119007</v>
      </c>
      <c r="P61" s="110">
        <f t="shared" si="18"/>
        <v>320.00000922249188</v>
      </c>
      <c r="Q61" s="110">
        <f t="shared" si="18"/>
        <v>610.74520421119007</v>
      </c>
      <c r="R61" s="110">
        <f t="shared" si="18"/>
        <v>320.00000922249188</v>
      </c>
      <c r="S61" s="110">
        <f t="shared" si="18"/>
        <v>0</v>
      </c>
      <c r="T61" s="110">
        <f t="shared" si="18"/>
        <v>930.74521343368224</v>
      </c>
      <c r="U61" s="110">
        <f t="shared" si="18"/>
        <v>610.74520421119007</v>
      </c>
      <c r="V61" s="110">
        <f t="shared" si="18"/>
        <v>320.00000922249188</v>
      </c>
      <c r="W61" s="110">
        <f t="shared" si="18"/>
        <v>610.74520421119007</v>
      </c>
      <c r="X61" s="110">
        <f t="shared" si="18"/>
        <v>0</v>
      </c>
      <c r="Y61" s="110">
        <f t="shared" si="18"/>
        <v>930.74521343368224</v>
      </c>
      <c r="Z61" s="110">
        <f t="shared" si="18"/>
        <v>610.74520421119007</v>
      </c>
      <c r="AA61" s="110">
        <f t="shared" si="18"/>
        <v>320.00000922249188</v>
      </c>
      <c r="AB61" s="110">
        <f t="shared" si="18"/>
        <v>610.74520421119007</v>
      </c>
      <c r="AC61" s="110">
        <f t="shared" si="18"/>
        <v>320.00000922249188</v>
      </c>
      <c r="AD61" s="110">
        <f t="shared" si="18"/>
        <v>610.74520421119007</v>
      </c>
      <c r="AE61" s="110">
        <f t="shared" si="18"/>
        <v>320.00000922249188</v>
      </c>
      <c r="AF61" s="110">
        <f t="shared" si="18"/>
        <v>610.74520421119007</v>
      </c>
      <c r="AG61" s="110">
        <f t="shared" si="18"/>
        <v>438.25802837776615</v>
      </c>
      <c r="AH61" s="110">
        <f t="shared" si="18"/>
        <v>729.00322336646434</v>
      </c>
      <c r="AI61" s="110">
        <f t="shared" si="18"/>
        <v>0</v>
      </c>
      <c r="AJ61" s="110">
        <f t="shared" si="18"/>
        <v>1167.2612517442308</v>
      </c>
      <c r="AK61" s="110">
        <f t="shared" si="18"/>
        <v>610.74520421119007</v>
      </c>
      <c r="AL61" s="110">
        <f t="shared" si="18"/>
        <v>320.00000922249188</v>
      </c>
      <c r="AM61" s="110">
        <f t="shared" si="18"/>
        <v>610.74520421119007</v>
      </c>
      <c r="AN61" s="110">
        <f t="shared" si="18"/>
        <v>0</v>
      </c>
      <c r="AO61" s="110">
        <f t="shared" si="18"/>
        <v>930.74521343368224</v>
      </c>
      <c r="AP61" s="110">
        <f t="shared" si="18"/>
        <v>610.74520421119007</v>
      </c>
      <c r="AQ61" s="110">
        <f t="shared" si="18"/>
        <v>320.00000922249188</v>
      </c>
      <c r="AR61" s="110">
        <f t="shared" si="18"/>
        <v>610.74520421119007</v>
      </c>
      <c r="AS61" s="110">
        <f t="shared" si="18"/>
        <v>320.00000922249188</v>
      </c>
      <c r="AT61" s="110">
        <f t="shared" si="18"/>
        <v>610.74520421119007</v>
      </c>
      <c r="AU61" s="110">
        <f t="shared" si="18"/>
        <v>320.00000922249188</v>
      </c>
      <c r="AV61" s="110">
        <f t="shared" si="18"/>
        <v>610.74520421119007</v>
      </c>
      <c r="AW61" s="110">
        <f t="shared" si="18"/>
        <v>320.00000922249188</v>
      </c>
      <c r="AX61" s="110">
        <f t="shared" si="18"/>
        <v>610.74520421119007</v>
      </c>
      <c r="AY61" s="110">
        <f t="shared" si="18"/>
        <v>320.00000922249188</v>
      </c>
    </row>
    <row r="62" spans="1:52">
      <c r="A62" s="110"/>
      <c r="B62" s="165" t="s">
        <v>348</v>
      </c>
      <c r="C62" s="110"/>
      <c r="D62" s="110">
        <f>D56-D59</f>
        <v>0</v>
      </c>
      <c r="E62" s="110">
        <f t="shared" ref="E62:AY62" si="19">E56-E59</f>
        <v>185.89602841130466</v>
      </c>
      <c r="F62" s="110">
        <f t="shared" si="19"/>
        <v>323.91685942109973</v>
      </c>
      <c r="G62" s="110">
        <f t="shared" si="19"/>
        <v>185.89602841130466</v>
      </c>
      <c r="H62" s="110">
        <f t="shared" si="19"/>
        <v>323.91685942109973</v>
      </c>
      <c r="I62" s="110">
        <f t="shared" si="19"/>
        <v>185.89602841130466</v>
      </c>
      <c r="J62" s="110">
        <f t="shared" si="19"/>
        <v>323.91685942109973</v>
      </c>
      <c r="K62" s="110">
        <f t="shared" si="19"/>
        <v>0</v>
      </c>
      <c r="L62" s="110">
        <f t="shared" si="19"/>
        <v>509.8128878324045</v>
      </c>
      <c r="M62" s="110">
        <f t="shared" si="19"/>
        <v>334.53384642185318</v>
      </c>
      <c r="N62" s="110">
        <f t="shared" si="19"/>
        <v>175.2790414105512</v>
      </c>
      <c r="O62" s="110">
        <f t="shared" si="19"/>
        <v>334.53384642185318</v>
      </c>
      <c r="P62" s="110">
        <f t="shared" si="19"/>
        <v>175.2790414105512</v>
      </c>
      <c r="Q62" s="110">
        <f t="shared" si="19"/>
        <v>334.53384642185318</v>
      </c>
      <c r="R62" s="110">
        <f t="shared" si="19"/>
        <v>175.2790414105512</v>
      </c>
      <c r="S62" s="110">
        <f t="shared" si="19"/>
        <v>0</v>
      </c>
      <c r="T62" s="110">
        <f t="shared" si="19"/>
        <v>509.8128878324045</v>
      </c>
      <c r="U62" s="110">
        <f t="shared" si="19"/>
        <v>334.53384642185318</v>
      </c>
      <c r="V62" s="110">
        <f t="shared" si="19"/>
        <v>175.2790414105512</v>
      </c>
      <c r="W62" s="110">
        <f t="shared" si="19"/>
        <v>334.53384642185318</v>
      </c>
      <c r="X62" s="110">
        <f t="shared" si="19"/>
        <v>0</v>
      </c>
      <c r="Y62" s="110">
        <f t="shared" si="19"/>
        <v>509.8128878324045</v>
      </c>
      <c r="Z62" s="110">
        <f t="shared" si="19"/>
        <v>334.53384642185318</v>
      </c>
      <c r="AA62" s="110">
        <f t="shared" si="19"/>
        <v>175.2790414105512</v>
      </c>
      <c r="AB62" s="110">
        <f t="shared" si="19"/>
        <v>334.53384642185318</v>
      </c>
      <c r="AC62" s="110">
        <f t="shared" si="19"/>
        <v>175.2790414105512</v>
      </c>
      <c r="AD62" s="110">
        <f t="shared" si="19"/>
        <v>334.53384642185318</v>
      </c>
      <c r="AE62" s="110">
        <f t="shared" si="19"/>
        <v>175.2790414105512</v>
      </c>
      <c r="AF62" s="110">
        <f t="shared" si="19"/>
        <v>334.53384642185318</v>
      </c>
      <c r="AG62" s="110">
        <f t="shared" si="19"/>
        <v>240.0545152832255</v>
      </c>
      <c r="AH62" s="110">
        <f t="shared" si="19"/>
        <v>399.30932029452748</v>
      </c>
      <c r="AI62" s="110">
        <f t="shared" si="19"/>
        <v>0</v>
      </c>
      <c r="AJ62" s="110">
        <f t="shared" si="19"/>
        <v>639.36383557775309</v>
      </c>
      <c r="AK62" s="110">
        <f t="shared" si="19"/>
        <v>334.53384642185318</v>
      </c>
      <c r="AL62" s="110">
        <f t="shared" si="19"/>
        <v>175.2790414105512</v>
      </c>
      <c r="AM62" s="110">
        <f t="shared" si="19"/>
        <v>334.53384642185318</v>
      </c>
      <c r="AN62" s="110">
        <f t="shared" si="19"/>
        <v>0</v>
      </c>
      <c r="AO62" s="110">
        <f t="shared" si="19"/>
        <v>509.8128878324045</v>
      </c>
      <c r="AP62" s="110">
        <f t="shared" si="19"/>
        <v>334.53384642185318</v>
      </c>
      <c r="AQ62" s="110">
        <f t="shared" si="19"/>
        <v>175.2790414105512</v>
      </c>
      <c r="AR62" s="110">
        <f t="shared" si="19"/>
        <v>334.53384642185318</v>
      </c>
      <c r="AS62" s="110">
        <f t="shared" si="19"/>
        <v>175.2790414105512</v>
      </c>
      <c r="AT62" s="110">
        <f t="shared" si="19"/>
        <v>334.53384642185318</v>
      </c>
      <c r="AU62" s="110">
        <f t="shared" si="19"/>
        <v>175.2790414105512</v>
      </c>
      <c r="AV62" s="110">
        <f t="shared" si="19"/>
        <v>334.53384642185318</v>
      </c>
      <c r="AW62" s="110">
        <f t="shared" si="19"/>
        <v>175.2790414105512</v>
      </c>
      <c r="AX62" s="110">
        <f t="shared" si="19"/>
        <v>334.53384642185318</v>
      </c>
      <c r="AY62" s="110">
        <f t="shared" si="19"/>
        <v>175.2790414105512</v>
      </c>
    </row>
    <row r="63" spans="1:52">
      <c r="A63" s="110"/>
      <c r="B63" s="165" t="s">
        <v>349</v>
      </c>
      <c r="C63" s="110"/>
      <c r="D63" s="110">
        <v>1</v>
      </c>
      <c r="E63" s="110">
        <v>1</v>
      </c>
      <c r="F63" s="110">
        <v>1</v>
      </c>
      <c r="G63" s="110">
        <v>3</v>
      </c>
      <c r="H63" s="110">
        <v>1</v>
      </c>
      <c r="I63" s="110">
        <v>2</v>
      </c>
      <c r="J63" s="110">
        <v>2</v>
      </c>
      <c r="K63" s="110">
        <v>1</v>
      </c>
      <c r="L63" s="110">
        <v>1</v>
      </c>
      <c r="M63" s="110">
        <v>1</v>
      </c>
      <c r="N63" s="110">
        <v>2</v>
      </c>
      <c r="O63" s="110">
        <v>1</v>
      </c>
      <c r="P63" s="110">
        <v>1</v>
      </c>
      <c r="Q63" s="110">
        <v>1</v>
      </c>
      <c r="R63" s="110">
        <v>1</v>
      </c>
      <c r="S63" s="110">
        <v>1</v>
      </c>
      <c r="T63" s="110">
        <v>1</v>
      </c>
      <c r="U63" s="110">
        <v>2</v>
      </c>
      <c r="V63" s="110">
        <v>3</v>
      </c>
      <c r="W63" s="110">
        <v>1</v>
      </c>
      <c r="X63" s="110">
        <v>1</v>
      </c>
      <c r="Y63" s="110">
        <v>1</v>
      </c>
      <c r="Z63" s="110">
        <v>1</v>
      </c>
      <c r="AA63" s="110">
        <v>2</v>
      </c>
      <c r="AB63" s="110">
        <v>1</v>
      </c>
      <c r="AC63" s="110">
        <v>1</v>
      </c>
      <c r="AD63" s="110">
        <v>1</v>
      </c>
      <c r="AE63" s="110">
        <v>1</v>
      </c>
      <c r="AF63" s="110">
        <v>2</v>
      </c>
      <c r="AG63" s="110">
        <v>1</v>
      </c>
      <c r="AH63" s="110">
        <v>1</v>
      </c>
      <c r="AI63" s="110">
        <v>3</v>
      </c>
      <c r="AJ63" s="110">
        <v>2</v>
      </c>
      <c r="AK63" s="110">
        <v>2</v>
      </c>
      <c r="AL63" s="110">
        <v>2</v>
      </c>
      <c r="AM63" s="110">
        <v>2</v>
      </c>
      <c r="AN63" s="110">
        <v>3</v>
      </c>
      <c r="AO63" s="110">
        <v>1</v>
      </c>
      <c r="AP63" s="110">
        <v>2</v>
      </c>
      <c r="AQ63" s="110">
        <v>1</v>
      </c>
      <c r="AR63" s="110">
        <v>1</v>
      </c>
      <c r="AS63" s="110">
        <v>1</v>
      </c>
      <c r="AT63" s="110">
        <v>2</v>
      </c>
      <c r="AU63" s="110">
        <v>2</v>
      </c>
      <c r="AV63" s="110">
        <v>2</v>
      </c>
      <c r="AW63" s="110">
        <v>1</v>
      </c>
      <c r="AX63" s="110">
        <v>3</v>
      </c>
      <c r="AY63" s="110">
        <v>1</v>
      </c>
    </row>
    <row r="64" spans="1:52">
      <c r="A64" s="110"/>
      <c r="B64" s="178" t="s">
        <v>350</v>
      </c>
      <c r="C64" s="110"/>
      <c r="D64" s="110">
        <v>17820</v>
      </c>
      <c r="E64" s="110">
        <v>249480</v>
      </c>
      <c r="F64" s="110">
        <v>17820</v>
      </c>
      <c r="G64" s="110">
        <v>249480</v>
      </c>
      <c r="H64" s="110">
        <v>17820</v>
      </c>
      <c r="I64" s="110">
        <v>249480</v>
      </c>
      <c r="J64" s="110">
        <v>17820</v>
      </c>
      <c r="K64" s="110">
        <v>0</v>
      </c>
      <c r="L64" s="110">
        <v>267300</v>
      </c>
      <c r="M64" s="110">
        <v>0</v>
      </c>
      <c r="N64" s="110">
        <v>267300</v>
      </c>
      <c r="O64" s="110">
        <v>0</v>
      </c>
      <c r="P64" s="110">
        <v>267300</v>
      </c>
      <c r="Q64" s="110">
        <v>0</v>
      </c>
      <c r="R64" s="110">
        <v>267300</v>
      </c>
      <c r="S64" s="110">
        <v>0</v>
      </c>
      <c r="T64" s="110">
        <v>267300</v>
      </c>
      <c r="U64" s="110">
        <v>0</v>
      </c>
      <c r="V64" s="110">
        <v>267300</v>
      </c>
      <c r="W64" s="110">
        <v>0</v>
      </c>
      <c r="X64" s="110">
        <v>0</v>
      </c>
      <c r="Y64" s="110">
        <v>267300</v>
      </c>
      <c r="Z64" s="110">
        <v>0</v>
      </c>
      <c r="AA64" s="110">
        <v>267300</v>
      </c>
      <c r="AB64" s="110">
        <v>0</v>
      </c>
      <c r="AC64" s="110">
        <v>267300</v>
      </c>
      <c r="AD64" s="110">
        <v>0</v>
      </c>
      <c r="AE64" s="110">
        <v>267300</v>
      </c>
      <c r="AF64" s="110">
        <v>0</v>
      </c>
      <c r="AG64" s="110">
        <v>267300</v>
      </c>
      <c r="AH64" s="110">
        <v>0</v>
      </c>
      <c r="AI64" s="110">
        <v>0</v>
      </c>
      <c r="AJ64" s="110">
        <v>267300</v>
      </c>
      <c r="AK64" s="110">
        <v>0</v>
      </c>
      <c r="AL64" s="110">
        <v>267300</v>
      </c>
      <c r="AM64" s="110">
        <v>0</v>
      </c>
      <c r="AN64" s="110">
        <v>0</v>
      </c>
      <c r="AO64" s="110">
        <v>267300</v>
      </c>
      <c r="AP64" s="110">
        <v>0</v>
      </c>
      <c r="AQ64" s="110">
        <v>267300</v>
      </c>
      <c r="AR64" s="110">
        <v>0</v>
      </c>
      <c r="AS64" s="110">
        <v>267300</v>
      </c>
      <c r="AT64" s="110">
        <v>0</v>
      </c>
      <c r="AU64" s="110">
        <v>267300</v>
      </c>
      <c r="AV64" s="110">
        <v>0</v>
      </c>
      <c r="AW64" s="110">
        <v>267300</v>
      </c>
      <c r="AX64" s="110">
        <v>0</v>
      </c>
      <c r="AY64" s="110">
        <v>267300</v>
      </c>
      <c r="AZ64" s="100">
        <f>SUM($D$64:$AY$64)</f>
        <v>5898420</v>
      </c>
    </row>
    <row r="65" spans="1:52">
      <c r="A65" s="125"/>
      <c r="B65" s="140" t="s">
        <v>351</v>
      </c>
      <c r="C65" s="125"/>
      <c r="D65" s="125">
        <v>0</v>
      </c>
      <c r="E65" s="125">
        <v>169008.53454118164</v>
      </c>
      <c r="F65" s="125">
        <v>294491.0345411817</v>
      </c>
      <c r="G65" s="125">
        <v>169008.53454118164</v>
      </c>
      <c r="H65" s="125">
        <v>294491.0345411817</v>
      </c>
      <c r="I65" s="125">
        <v>169008.53454118164</v>
      </c>
      <c r="J65" s="125">
        <v>294491.0345411817</v>
      </c>
      <c r="K65" s="125">
        <v>0</v>
      </c>
      <c r="L65" s="125">
        <v>463499.56908236345</v>
      </c>
      <c r="M65" s="125">
        <v>304143.53454118164</v>
      </c>
      <c r="N65" s="125">
        <v>159356.03454118164</v>
      </c>
      <c r="O65" s="125">
        <v>304143.53454118164</v>
      </c>
      <c r="P65" s="125">
        <v>159356.03454118164</v>
      </c>
      <c r="Q65" s="125">
        <v>304143.53454118164</v>
      </c>
      <c r="R65" s="125">
        <v>159356.03454118164</v>
      </c>
      <c r="S65" s="125">
        <v>0</v>
      </c>
      <c r="T65" s="125">
        <v>463499.56908236345</v>
      </c>
      <c r="U65" s="125">
        <v>304143.53454118164</v>
      </c>
      <c r="V65" s="125">
        <v>159356.03454118164</v>
      </c>
      <c r="W65" s="125">
        <v>304143.53454118164</v>
      </c>
      <c r="X65" s="125">
        <v>0</v>
      </c>
      <c r="Y65" s="125">
        <v>463499.56908236345</v>
      </c>
      <c r="Z65" s="125">
        <v>304143.53454118164</v>
      </c>
      <c r="AA65" s="125">
        <v>159356.03454118164</v>
      </c>
      <c r="AB65" s="125">
        <v>304143.53454118164</v>
      </c>
      <c r="AC65" s="125">
        <v>159356.03454118164</v>
      </c>
      <c r="AD65" s="125">
        <v>304143.53454118164</v>
      </c>
      <c r="AE65" s="125">
        <v>159356.03454118164</v>
      </c>
      <c r="AF65" s="125">
        <v>304143.53454118164</v>
      </c>
      <c r="AG65" s="125">
        <v>218247.06092292408</v>
      </c>
      <c r="AH65" s="125">
        <v>363034.56092292414</v>
      </c>
      <c r="AI65" s="125">
        <v>0</v>
      </c>
      <c r="AJ65" s="125">
        <v>581281.62184584828</v>
      </c>
      <c r="AK65" s="125">
        <v>304143.53454118164</v>
      </c>
      <c r="AL65" s="125">
        <v>159356.03454118164</v>
      </c>
      <c r="AM65" s="125">
        <v>304143.53454118164</v>
      </c>
      <c r="AN65" s="125">
        <v>0</v>
      </c>
      <c r="AO65" s="125">
        <v>463499.56908236345</v>
      </c>
      <c r="AP65" s="125">
        <v>304143.53454118164</v>
      </c>
      <c r="AQ65" s="125">
        <v>159356.03454118164</v>
      </c>
      <c r="AR65" s="125">
        <v>304143.53454118164</v>
      </c>
      <c r="AS65" s="125">
        <v>159356.03454118164</v>
      </c>
      <c r="AT65" s="125">
        <v>304143.53454118164</v>
      </c>
      <c r="AU65" s="125">
        <v>159356.03454118164</v>
      </c>
      <c r="AV65" s="125">
        <v>304143.53454118164</v>
      </c>
      <c r="AW65" s="125">
        <v>159356.03454118164</v>
      </c>
      <c r="AX65" s="125">
        <v>304143.53454118164</v>
      </c>
      <c r="AY65" s="125">
        <v>159356.03454118164</v>
      </c>
      <c r="AZ65" s="100">
        <f>SUM($D$65:$AY$65)</f>
        <v>11344985.228962511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B260"/>
  <sheetViews>
    <sheetView workbookViewId="0">
      <pane xSplit="2" ySplit="7" topLeftCell="C166" activePane="bottomRight" state="frozen"/>
      <selection pane="topRight"/>
      <selection pane="bottomLeft"/>
      <selection pane="bottomRight" activeCell="C185" sqref="C185:C256"/>
    </sheetView>
  </sheetViews>
  <sheetFormatPr baseColWidth="10" defaultColWidth="8.83203125" defaultRowHeight="12" x14ac:dyDescent="0"/>
  <cols>
    <col min="1" max="1" width="14.6640625" style="100" customWidth="1"/>
    <col min="2" max="2" width="12.6640625" style="100" customWidth="1"/>
    <col min="3" max="16384" width="8.83203125" style="100"/>
  </cols>
  <sheetData>
    <row r="1" spans="1:54">
      <c r="A1" s="102" t="s">
        <v>284</v>
      </c>
    </row>
    <row r="2" spans="1:54">
      <c r="A2" s="100" t="s">
        <v>285</v>
      </c>
      <c r="B2" s="107" t="s">
        <v>22</v>
      </c>
    </row>
    <row r="3" spans="1:54">
      <c r="A3" s="100" t="s">
        <v>286</v>
      </c>
      <c r="B3" s="108">
        <v>2000</v>
      </c>
      <c r="C3" s="109"/>
    </row>
    <row r="4" spans="1:54">
      <c r="B4" s="110"/>
      <c r="C4" s="110"/>
    </row>
    <row r="5" spans="1:54">
      <c r="C5" s="111" t="s">
        <v>287</v>
      </c>
    </row>
    <row r="6" spans="1:54">
      <c r="C6" s="112">
        <v>0</v>
      </c>
      <c r="D6" s="112">
        <v>1</v>
      </c>
      <c r="E6" s="112">
        <v>2</v>
      </c>
      <c r="F6" s="112">
        <v>3</v>
      </c>
      <c r="G6" s="112">
        <v>4</v>
      </c>
      <c r="H6" s="112">
        <v>5</v>
      </c>
      <c r="I6" s="112">
        <v>6</v>
      </c>
      <c r="J6" s="112">
        <v>7</v>
      </c>
      <c r="K6" s="112">
        <v>8</v>
      </c>
      <c r="L6" s="112">
        <v>9</v>
      </c>
      <c r="M6" s="112">
        <v>10</v>
      </c>
      <c r="N6" s="112">
        <v>11</v>
      </c>
      <c r="O6" s="112">
        <v>12</v>
      </c>
      <c r="P6" s="112">
        <v>13</v>
      </c>
      <c r="Q6" s="112">
        <v>14</v>
      </c>
      <c r="R6" s="112">
        <v>15</v>
      </c>
      <c r="S6" s="112">
        <v>16</v>
      </c>
      <c r="T6" s="112">
        <v>17</v>
      </c>
      <c r="U6" s="112">
        <v>18</v>
      </c>
      <c r="V6" s="112">
        <v>19</v>
      </c>
      <c r="W6" s="112">
        <v>20</v>
      </c>
      <c r="X6" s="112">
        <v>21</v>
      </c>
      <c r="Y6" s="112">
        <v>22</v>
      </c>
      <c r="Z6" s="112">
        <v>23</v>
      </c>
      <c r="AA6" s="112">
        <v>24</v>
      </c>
      <c r="AB6" s="112">
        <v>25</v>
      </c>
      <c r="AC6" s="112">
        <v>26</v>
      </c>
      <c r="AD6" s="112">
        <v>27</v>
      </c>
      <c r="AE6" s="112">
        <v>28</v>
      </c>
      <c r="AF6" s="112">
        <v>29</v>
      </c>
      <c r="AG6" s="112">
        <v>30</v>
      </c>
      <c r="AH6" s="112">
        <v>31</v>
      </c>
      <c r="AI6" s="112">
        <v>32</v>
      </c>
      <c r="AJ6" s="112">
        <v>33</v>
      </c>
      <c r="AK6" s="112">
        <v>34</v>
      </c>
      <c r="AL6" s="112">
        <v>35</v>
      </c>
      <c r="AM6" s="112">
        <v>36</v>
      </c>
      <c r="AN6" s="112">
        <v>37</v>
      </c>
      <c r="AO6" s="112">
        <v>38</v>
      </c>
      <c r="AP6" s="112">
        <v>39</v>
      </c>
      <c r="AQ6" s="112">
        <v>40</v>
      </c>
      <c r="AR6" s="112">
        <v>41</v>
      </c>
      <c r="AS6" s="112">
        <v>42</v>
      </c>
      <c r="AT6" s="112">
        <v>43</v>
      </c>
      <c r="AU6" s="112">
        <v>44</v>
      </c>
      <c r="AV6" s="112">
        <v>45</v>
      </c>
      <c r="AW6" s="112">
        <v>46</v>
      </c>
      <c r="AX6" s="112">
        <v>47</v>
      </c>
      <c r="AY6" s="112">
        <v>48</v>
      </c>
    </row>
    <row r="7" spans="1:54">
      <c r="B7" s="110"/>
      <c r="C7" s="113" t="s">
        <v>288</v>
      </c>
      <c r="D7" s="112" t="s">
        <v>289</v>
      </c>
      <c r="E7" s="112" t="s">
        <v>289</v>
      </c>
      <c r="F7" s="112" t="s">
        <v>289</v>
      </c>
      <c r="G7" s="112" t="s">
        <v>289</v>
      </c>
      <c r="H7" s="112" t="s">
        <v>289</v>
      </c>
      <c r="I7" s="112" t="s">
        <v>289</v>
      </c>
      <c r="J7" s="112" t="s">
        <v>289</v>
      </c>
      <c r="K7" s="112" t="s">
        <v>289</v>
      </c>
      <c r="L7" s="112" t="s">
        <v>289</v>
      </c>
      <c r="M7" s="112" t="s">
        <v>289</v>
      </c>
      <c r="N7" s="112" t="s">
        <v>289</v>
      </c>
      <c r="O7" s="112" t="s">
        <v>289</v>
      </c>
      <c r="P7" s="112" t="s">
        <v>289</v>
      </c>
      <c r="Q7" s="112" t="s">
        <v>289</v>
      </c>
      <c r="R7" s="112" t="s">
        <v>289</v>
      </c>
      <c r="S7" s="112" t="s">
        <v>289</v>
      </c>
      <c r="T7" s="112" t="s">
        <v>289</v>
      </c>
      <c r="U7" s="112" t="s">
        <v>289</v>
      </c>
      <c r="V7" s="112" t="s">
        <v>289</v>
      </c>
      <c r="W7" s="112" t="s">
        <v>289</v>
      </c>
      <c r="X7" s="112" t="s">
        <v>289</v>
      </c>
      <c r="Y7" s="112" t="s">
        <v>289</v>
      </c>
      <c r="Z7" s="112" t="s">
        <v>289</v>
      </c>
      <c r="AA7" s="112" t="s">
        <v>289</v>
      </c>
      <c r="AB7" s="112" t="s">
        <v>289</v>
      </c>
      <c r="AC7" s="112" t="s">
        <v>289</v>
      </c>
      <c r="AD7" s="112" t="s">
        <v>289</v>
      </c>
      <c r="AE7" s="112" t="s">
        <v>289</v>
      </c>
      <c r="AF7" s="112" t="s">
        <v>289</v>
      </c>
      <c r="AG7" s="112" t="s">
        <v>289</v>
      </c>
      <c r="AH7" s="112" t="s">
        <v>289</v>
      </c>
      <c r="AI7" s="112" t="s">
        <v>289</v>
      </c>
      <c r="AJ7" s="112" t="s">
        <v>289</v>
      </c>
      <c r="AK7" s="112" t="s">
        <v>289</v>
      </c>
      <c r="AL7" s="112" t="s">
        <v>289</v>
      </c>
      <c r="AM7" s="112" t="s">
        <v>289</v>
      </c>
      <c r="AN7" s="112" t="s">
        <v>289</v>
      </c>
      <c r="AO7" s="112" t="s">
        <v>289</v>
      </c>
      <c r="AP7" s="112" t="s">
        <v>289</v>
      </c>
      <c r="AQ7" s="112" t="s">
        <v>289</v>
      </c>
      <c r="AR7" s="112" t="s">
        <v>289</v>
      </c>
      <c r="AS7" s="112" t="s">
        <v>289</v>
      </c>
      <c r="AT7" s="112" t="s">
        <v>289</v>
      </c>
      <c r="AU7" s="112" t="s">
        <v>289</v>
      </c>
      <c r="AV7" s="112" t="s">
        <v>289</v>
      </c>
      <c r="AW7" s="112" t="s">
        <v>289</v>
      </c>
      <c r="AX7" s="112" t="s">
        <v>289</v>
      </c>
      <c r="AY7" s="111" t="s">
        <v>290</v>
      </c>
      <c r="AZ7" s="111" t="s">
        <v>291</v>
      </c>
    </row>
    <row r="8" spans="1:54">
      <c r="A8" s="102" t="s">
        <v>292</v>
      </c>
      <c r="B8" s="114"/>
      <c r="AY8" s="110"/>
    </row>
    <row r="9" spans="1:54">
      <c r="A9" s="115" t="s">
        <v>125</v>
      </c>
      <c r="B9" s="116">
        <v>1</v>
      </c>
      <c r="C9" s="117" t="s">
        <v>293</v>
      </c>
      <c r="D9" s="117">
        <v>198.81834908592074</v>
      </c>
      <c r="E9" s="117">
        <v>198.81834908592074</v>
      </c>
      <c r="F9" s="117">
        <v>198.81834908592074</v>
      </c>
      <c r="G9" s="117">
        <v>198.81834908592074</v>
      </c>
      <c r="H9" s="117">
        <v>159.05467926873661</v>
      </c>
      <c r="I9" s="117">
        <v>159.05467926873661</v>
      </c>
      <c r="J9" s="117">
        <v>159.05467926873661</v>
      </c>
      <c r="K9" s="117">
        <v>159.05467926873661</v>
      </c>
      <c r="L9" s="117">
        <v>198.81834908592074</v>
      </c>
      <c r="M9" s="117">
        <v>198.81834908592074</v>
      </c>
      <c r="N9" s="117">
        <v>198.81834908592074</v>
      </c>
      <c r="O9" s="117">
        <v>198.81834908592074</v>
      </c>
      <c r="P9" s="117">
        <v>198.81834908592074</v>
      </c>
      <c r="Q9" s="117">
        <v>198.81834908592074</v>
      </c>
      <c r="R9" s="117">
        <v>198.81834908592074</v>
      </c>
      <c r="S9" s="117">
        <v>198.81834908592074</v>
      </c>
      <c r="T9" s="117">
        <v>198.81834908592074</v>
      </c>
      <c r="U9" s="117">
        <v>198.81834908592074</v>
      </c>
      <c r="V9" s="117">
        <v>198.81834908592074</v>
      </c>
      <c r="W9" s="117">
        <v>198.81834908592074</v>
      </c>
      <c r="X9" s="117">
        <v>198.81834908592074</v>
      </c>
      <c r="Y9" s="117">
        <v>198.81834908592074</v>
      </c>
      <c r="Z9" s="117">
        <v>198.81834908592074</v>
      </c>
      <c r="AA9" s="117">
        <v>198.81834908592074</v>
      </c>
      <c r="AB9" s="117">
        <v>238.58201890310488</v>
      </c>
      <c r="AC9" s="117">
        <v>238.58201890310488</v>
      </c>
      <c r="AD9" s="117">
        <v>238.58201890310488</v>
      </c>
      <c r="AE9" s="117">
        <v>238.58201890310488</v>
      </c>
      <c r="AF9" s="117">
        <v>198.81834908592074</v>
      </c>
      <c r="AG9" s="117">
        <v>198.81834908592074</v>
      </c>
      <c r="AH9" s="117">
        <v>198.81834908592074</v>
      </c>
      <c r="AI9" s="117">
        <v>198.81834908592074</v>
      </c>
      <c r="AJ9" s="117">
        <v>238.58201890310488</v>
      </c>
      <c r="AK9" s="117">
        <v>238.58201890310488</v>
      </c>
      <c r="AL9" s="117">
        <v>238.58201890310488</v>
      </c>
      <c r="AM9" s="117">
        <v>238.58201890310488</v>
      </c>
      <c r="AN9" s="117">
        <v>238.58201890310488</v>
      </c>
      <c r="AO9" s="117">
        <v>238.58201890310488</v>
      </c>
      <c r="AP9" s="117">
        <v>238.58201890310488</v>
      </c>
      <c r="AQ9" s="117">
        <v>238.58201890310488</v>
      </c>
      <c r="AR9" s="117">
        <v>198.81834908592074</v>
      </c>
      <c r="AS9" s="117">
        <v>198.81834908592074</v>
      </c>
      <c r="AT9" s="117">
        <v>198.81834908592074</v>
      </c>
      <c r="AU9" s="117">
        <v>198.81834908592074</v>
      </c>
      <c r="AV9" s="117">
        <v>2.5889261594710171E-23</v>
      </c>
      <c r="AW9" s="117">
        <v>2.5889261594710171E-23</v>
      </c>
      <c r="AX9" s="117">
        <v>2.5889261594710171E-23</v>
      </c>
      <c r="AY9" s="117">
        <v>2.5889261594710171E-23</v>
      </c>
    </row>
    <row r="10" spans="1:54">
      <c r="A10" s="118" t="s">
        <v>133</v>
      </c>
      <c r="B10" s="119">
        <v>1</v>
      </c>
      <c r="C10" s="106" t="s">
        <v>293</v>
      </c>
      <c r="D10" s="100">
        <v>147.26536418091968</v>
      </c>
      <c r="E10" s="100">
        <v>210.91534508693596</v>
      </c>
      <c r="F10" s="100">
        <v>20.959972948201827</v>
      </c>
      <c r="G10" s="100">
        <v>169.17684857174092</v>
      </c>
      <c r="H10" s="100">
        <v>62.879918844605484</v>
      </c>
      <c r="I10" s="100">
        <v>169.17684857174092</v>
      </c>
      <c r="J10" s="100">
        <v>62.879918844605484</v>
      </c>
      <c r="K10" s="100">
        <v>169.17684857174092</v>
      </c>
      <c r="L10" s="100">
        <v>62.879918844605484</v>
      </c>
      <c r="M10" s="100">
        <v>0</v>
      </c>
      <c r="N10" s="100">
        <v>210.91534508693596</v>
      </c>
      <c r="O10" s="100">
        <v>169.17684857174092</v>
      </c>
      <c r="P10" s="100">
        <v>169.17684857174092</v>
      </c>
      <c r="Q10" s="100">
        <v>62.879918844605484</v>
      </c>
      <c r="R10" s="100">
        <v>169.17684857174092</v>
      </c>
      <c r="S10" s="100">
        <v>169.17684857174092</v>
      </c>
      <c r="T10" s="100">
        <v>169.17684857174092</v>
      </c>
      <c r="U10" s="100">
        <v>62.879918844605484</v>
      </c>
      <c r="V10" s="100">
        <v>169.17684857174092</v>
      </c>
      <c r="W10" s="100">
        <v>169.17684857174092</v>
      </c>
      <c r="X10" s="100">
        <v>169.17684857174092</v>
      </c>
      <c r="Y10" s="100">
        <v>169.17684857174092</v>
      </c>
      <c r="Z10" s="100">
        <v>169.17684857174092</v>
      </c>
      <c r="AA10" s="100">
        <v>169.17684857174092</v>
      </c>
      <c r="AB10" s="100">
        <v>169.17684857174092</v>
      </c>
      <c r="AC10" s="100">
        <v>169.17684857174092</v>
      </c>
      <c r="AD10" s="100">
        <v>169.17684857174092</v>
      </c>
      <c r="AE10" s="100">
        <v>169.17684857174092</v>
      </c>
      <c r="AF10" s="100">
        <v>169.17684857174092</v>
      </c>
      <c r="AG10" s="100">
        <v>169.17684857174092</v>
      </c>
      <c r="AH10" s="100">
        <v>169.17684857174092</v>
      </c>
      <c r="AI10" s="100">
        <v>169.17684857174092</v>
      </c>
      <c r="AJ10" s="100">
        <v>169.17684857174092</v>
      </c>
      <c r="AK10" s="100">
        <v>169.17684857174092</v>
      </c>
      <c r="AL10" s="100">
        <v>169.17684857174092</v>
      </c>
      <c r="AM10" s="100">
        <v>169.17684857174092</v>
      </c>
      <c r="AN10" s="100">
        <v>169.17684857174092</v>
      </c>
      <c r="AO10" s="100">
        <v>62.879918844605484</v>
      </c>
      <c r="AP10" s="100">
        <v>135.34147885739273</v>
      </c>
      <c r="AQ10" s="100">
        <v>135.34147885739273</v>
      </c>
      <c r="AR10" s="100">
        <v>135.34147885739273</v>
      </c>
      <c r="AS10" s="100">
        <v>135.34147885739273</v>
      </c>
      <c r="AT10" s="100">
        <v>146.71981063741279</v>
      </c>
      <c r="AU10" s="100">
        <v>169.17684857174092</v>
      </c>
      <c r="AV10" s="100">
        <v>146.71981063741279</v>
      </c>
      <c r="AW10" s="100">
        <v>0</v>
      </c>
      <c r="AX10" s="100">
        <v>210.91534508693596</v>
      </c>
      <c r="AY10" s="100">
        <v>169.17684857174092</v>
      </c>
      <c r="AZ10" s="100">
        <v>169.17684857174092</v>
      </c>
    </row>
    <row r="11" spans="1:54">
      <c r="B11" s="119">
        <v>2</v>
      </c>
      <c r="C11" s="106" t="s">
        <v>293</v>
      </c>
      <c r="F11" s="100">
        <v>0</v>
      </c>
      <c r="G11" s="100">
        <v>148.2168756235391</v>
      </c>
      <c r="I11" s="100">
        <v>106.29692972713543</v>
      </c>
      <c r="K11" s="100">
        <v>106.29692972713543</v>
      </c>
      <c r="M11" s="100">
        <v>106.29692972713543</v>
      </c>
      <c r="N11" s="100">
        <v>0</v>
      </c>
      <c r="O11" s="100">
        <v>0</v>
      </c>
      <c r="P11" s="100">
        <v>0</v>
      </c>
      <c r="Q11" s="100">
        <v>0</v>
      </c>
      <c r="R11" s="100">
        <v>106.29692972713543</v>
      </c>
      <c r="S11" s="100">
        <v>0</v>
      </c>
      <c r="U11" s="100">
        <v>0</v>
      </c>
      <c r="W11" s="100">
        <v>0</v>
      </c>
      <c r="Y11" s="100">
        <v>0</v>
      </c>
      <c r="AC11" s="100">
        <v>0</v>
      </c>
      <c r="AD11" s="100">
        <v>0</v>
      </c>
      <c r="AK11" s="100">
        <v>0</v>
      </c>
      <c r="AP11" s="100">
        <v>106.29692972713543</v>
      </c>
      <c r="AS11" s="100">
        <v>0</v>
      </c>
      <c r="AU11" s="100">
        <v>22.457037934328127</v>
      </c>
      <c r="AV11" s="100">
        <v>0</v>
      </c>
      <c r="AW11" s="100">
        <v>22.457037934328127</v>
      </c>
      <c r="AY11" s="100">
        <v>0</v>
      </c>
    </row>
    <row r="12" spans="1:54">
      <c r="B12" s="120">
        <v>3</v>
      </c>
      <c r="C12" s="106" t="s">
        <v>293</v>
      </c>
      <c r="D12" s="100">
        <v>0</v>
      </c>
      <c r="J12" s="100">
        <v>0</v>
      </c>
      <c r="M12" s="100">
        <v>0</v>
      </c>
      <c r="U12" s="100">
        <v>0</v>
      </c>
      <c r="W12" s="100">
        <v>106.29692972713543</v>
      </c>
      <c r="AB12" s="100">
        <v>0</v>
      </c>
      <c r="AC12" s="100">
        <v>0</v>
      </c>
      <c r="AF12" s="100">
        <v>0</v>
      </c>
      <c r="AJ12" s="100">
        <v>0</v>
      </c>
      <c r="AL12" s="100">
        <v>0</v>
      </c>
      <c r="AO12" s="100">
        <v>0</v>
      </c>
      <c r="AP12" s="100">
        <v>0</v>
      </c>
      <c r="AZ12" s="100">
        <v>0</v>
      </c>
      <c r="BA12" s="100">
        <v>0</v>
      </c>
      <c r="BB12" s="100">
        <v>0</v>
      </c>
    </row>
    <row r="13" spans="1:54">
      <c r="B13" s="120">
        <v>4</v>
      </c>
      <c r="C13" s="106" t="s">
        <v>293</v>
      </c>
    </row>
    <row r="14" spans="1:54">
      <c r="A14" s="115" t="s">
        <v>134</v>
      </c>
      <c r="B14" s="121">
        <v>1</v>
      </c>
      <c r="C14" s="117" t="s">
        <v>293</v>
      </c>
      <c r="D14" s="117">
        <v>70.197672252380869</v>
      </c>
      <c r="E14" s="117">
        <f t="shared" ref="E14:AZ14" si="0">D$172*SUM(D$122:D$169)</f>
        <v>97.076080410362465</v>
      </c>
      <c r="F14" s="117">
        <f t="shared" si="0"/>
        <v>95.910112998006568</v>
      </c>
      <c r="G14" s="117">
        <f t="shared" si="0"/>
        <v>48.898275145606576</v>
      </c>
      <c r="H14" s="117">
        <f t="shared" si="0"/>
        <v>99.074171567340599</v>
      </c>
      <c r="I14" s="117">
        <f t="shared" si="0"/>
        <v>68.168441803910497</v>
      </c>
      <c r="J14" s="117">
        <f t="shared" si="0"/>
        <v>91.855782306052532</v>
      </c>
      <c r="K14" s="117">
        <f t="shared" si="0"/>
        <v>64.11845578516936</v>
      </c>
      <c r="L14" s="117">
        <f t="shared" si="0"/>
        <v>91.855782306052532</v>
      </c>
      <c r="M14" s="117">
        <f t="shared" si="0"/>
        <v>55.248262919150235</v>
      </c>
      <c r="N14" s="117">
        <f t="shared" si="0"/>
        <v>62.724438720669291</v>
      </c>
      <c r="O14" s="117">
        <f t="shared" si="0"/>
        <v>80.739167266178839</v>
      </c>
      <c r="P14" s="117">
        <f t="shared" si="0"/>
        <v>73.552022612601377</v>
      </c>
      <c r="Q14" s="117">
        <f t="shared" si="0"/>
        <v>73.552022612601377</v>
      </c>
      <c r="R14" s="117">
        <f t="shared" si="0"/>
        <v>55.248262919150235</v>
      </c>
      <c r="S14" s="117">
        <f t="shared" si="0"/>
        <v>91.855782306052532</v>
      </c>
      <c r="T14" s="117">
        <f t="shared" si="0"/>
        <v>73.552022612601377</v>
      </c>
      <c r="U14" s="117">
        <f t="shared" si="0"/>
        <v>79.411078586733225</v>
      </c>
      <c r="V14" s="117">
        <f t="shared" si="0"/>
        <v>56.243004234720793</v>
      </c>
      <c r="W14" s="117">
        <f t="shared" si="0"/>
        <v>73.552022612601377</v>
      </c>
      <c r="X14" s="117">
        <f t="shared" si="0"/>
        <v>91.855782306052532</v>
      </c>
      <c r="Y14" s="117">
        <f t="shared" si="0"/>
        <v>73.552022612601377</v>
      </c>
      <c r="Z14" s="117">
        <f t="shared" si="0"/>
        <v>73.552022612601377</v>
      </c>
      <c r="AA14" s="117">
        <f t="shared" si="0"/>
        <v>73.552022612601377</v>
      </c>
      <c r="AB14" s="117">
        <f t="shared" si="0"/>
        <v>73.552022612601377</v>
      </c>
      <c r="AC14" s="117">
        <f t="shared" si="0"/>
        <v>78.334791542932564</v>
      </c>
      <c r="AD14" s="117">
        <f t="shared" si="0"/>
        <v>73.552022612601377</v>
      </c>
      <c r="AE14" s="117">
        <f t="shared" si="0"/>
        <v>73.552022612601377</v>
      </c>
      <c r="AF14" s="117">
        <f t="shared" si="0"/>
        <v>73.552022612601377</v>
      </c>
      <c r="AG14" s="117">
        <f t="shared" si="0"/>
        <v>73.552022612601377</v>
      </c>
      <c r="AH14" s="117">
        <f t="shared" si="0"/>
        <v>75.07548843837408</v>
      </c>
      <c r="AI14" s="117">
        <f t="shared" si="0"/>
        <v>73.552022612601377</v>
      </c>
      <c r="AJ14" s="117">
        <f t="shared" si="0"/>
        <v>76.940750382768542</v>
      </c>
      <c r="AK14" s="117">
        <f t="shared" si="0"/>
        <v>73.552022612601377</v>
      </c>
      <c r="AL14" s="117">
        <f t="shared" si="0"/>
        <v>73.552022612601377</v>
      </c>
      <c r="AM14" s="117">
        <f t="shared" si="0"/>
        <v>73.552022612601377</v>
      </c>
      <c r="AN14" s="117">
        <f t="shared" si="0"/>
        <v>73.552022612601377</v>
      </c>
      <c r="AO14" s="117">
        <f t="shared" si="0"/>
        <v>73.552022612601377</v>
      </c>
      <c r="AP14" s="117">
        <f t="shared" si="0"/>
        <v>55.248262919150235</v>
      </c>
      <c r="AQ14" s="117">
        <f t="shared" si="0"/>
        <v>86.029513588975888</v>
      </c>
      <c r="AR14" s="117">
        <f t="shared" si="0"/>
        <v>74.855165223396341</v>
      </c>
      <c r="AS14" s="117">
        <f t="shared" si="0"/>
        <v>67.725753895524733</v>
      </c>
      <c r="AT14" s="117">
        <f t="shared" si="0"/>
        <v>67.725753895524733</v>
      </c>
      <c r="AU14" s="117">
        <f t="shared" si="0"/>
        <v>69.685041441726355</v>
      </c>
      <c r="AV14" s="117">
        <f t="shared" si="0"/>
        <v>77.419003783476413</v>
      </c>
      <c r="AW14" s="117">
        <f t="shared" si="0"/>
        <v>69.685041441726355</v>
      </c>
      <c r="AX14" s="117">
        <f t="shared" si="0"/>
        <v>48.287660198093178</v>
      </c>
      <c r="AY14" s="117">
        <f t="shared" si="0"/>
        <v>80.739167266178825</v>
      </c>
      <c r="AZ14" s="110">
        <f t="shared" si="0"/>
        <v>73.552022612601377</v>
      </c>
      <c r="BA14" s="107">
        <f>SUM($E14:$AZ14)</f>
        <v>3555.5227052384835</v>
      </c>
    </row>
    <row r="15" spans="1:54">
      <c r="A15" s="122" t="s">
        <v>123</v>
      </c>
      <c r="B15" s="123">
        <v>1</v>
      </c>
      <c r="C15" s="124" t="s">
        <v>293</v>
      </c>
      <c r="D15" s="124">
        <v>243.1485366683084</v>
      </c>
      <c r="E15" s="124">
        <v>202.22912059903868</v>
      </c>
      <c r="F15" s="124">
        <v>120.30145270498892</v>
      </c>
      <c r="G15" s="124">
        <v>184.22732553321453</v>
      </c>
      <c r="H15" s="124">
        <v>138.38150680858527</v>
      </c>
      <c r="I15" s="124">
        <v>184.22732553321453</v>
      </c>
      <c r="J15" s="124">
        <v>138.38150680858527</v>
      </c>
      <c r="K15" s="124">
        <v>184.22732553321453</v>
      </c>
      <c r="L15" s="124">
        <v>138.38150680858527</v>
      </c>
      <c r="M15" s="124">
        <v>111.26142565319074</v>
      </c>
      <c r="N15" s="124">
        <v>202.22912059903868</v>
      </c>
      <c r="O15" s="124">
        <v>184.22732553321453</v>
      </c>
      <c r="P15" s="124">
        <v>184.22732553321453</v>
      </c>
      <c r="Q15" s="124">
        <v>138.38150680858527</v>
      </c>
      <c r="R15" s="124">
        <v>184.22732553321453</v>
      </c>
      <c r="S15" s="124">
        <v>184.22732553321453</v>
      </c>
      <c r="T15" s="124">
        <v>184.22732553321453</v>
      </c>
      <c r="U15" s="124">
        <v>138.38150680858527</v>
      </c>
      <c r="V15" s="124">
        <v>184.22732553321453</v>
      </c>
      <c r="W15" s="124">
        <v>184.22732553321453</v>
      </c>
      <c r="X15" s="124">
        <v>184.22732553321453</v>
      </c>
      <c r="Y15" s="124">
        <v>184.22732553321453</v>
      </c>
      <c r="Z15" s="124">
        <v>184.22732553321453</v>
      </c>
      <c r="AA15" s="124">
        <v>184.22732553321453</v>
      </c>
      <c r="AB15" s="124">
        <v>184.22732553321453</v>
      </c>
      <c r="AC15" s="124">
        <v>184.22732553321453</v>
      </c>
      <c r="AD15" s="124">
        <v>184.22732553321453</v>
      </c>
      <c r="AE15" s="124">
        <v>184.22732553321453</v>
      </c>
      <c r="AF15" s="124">
        <v>184.22732553321453</v>
      </c>
      <c r="AG15" s="124">
        <v>184.22732553321453</v>
      </c>
      <c r="AH15" s="124">
        <v>184.22732553321453</v>
      </c>
      <c r="AI15" s="124">
        <v>184.22732553321453</v>
      </c>
      <c r="AJ15" s="124">
        <v>184.22732553321453</v>
      </c>
      <c r="AK15" s="124">
        <v>184.22732553321453</v>
      </c>
      <c r="AL15" s="124">
        <v>184.22732553321453</v>
      </c>
      <c r="AM15" s="124">
        <v>184.22732553321453</v>
      </c>
      <c r="AN15" s="124">
        <v>184.22732553321453</v>
      </c>
      <c r="AO15" s="124">
        <v>138.38150680858527</v>
      </c>
      <c r="AP15" s="124">
        <v>169.63414555720976</v>
      </c>
      <c r="AQ15" s="124">
        <v>169.63414555720976</v>
      </c>
      <c r="AR15" s="124">
        <v>169.63414555720976</v>
      </c>
      <c r="AS15" s="124">
        <v>169.63414555720976</v>
      </c>
      <c r="AT15" s="124">
        <v>174.54161501577798</v>
      </c>
      <c r="AU15" s="124">
        <v>184.22732553321453</v>
      </c>
      <c r="AV15" s="124">
        <v>174.54161501577798</v>
      </c>
      <c r="AW15" s="124">
        <v>111.26142565319074</v>
      </c>
      <c r="AX15" s="124">
        <v>202.22912059903868</v>
      </c>
      <c r="AY15" s="124">
        <v>184.22732553321453</v>
      </c>
      <c r="AZ15" s="100">
        <v>72.965899880023798</v>
      </c>
    </row>
    <row r="16" spans="1:54">
      <c r="A16" s="110"/>
      <c r="B16" s="119">
        <v>2</v>
      </c>
      <c r="C16" s="109" t="s">
        <v>293</v>
      </c>
      <c r="D16" s="106"/>
      <c r="E16" s="110"/>
      <c r="F16" s="110">
        <v>0</v>
      </c>
      <c r="G16" s="110">
        <v>63.925872828225621</v>
      </c>
      <c r="H16" s="110"/>
      <c r="I16" s="110">
        <v>45.845818724629268</v>
      </c>
      <c r="J16" s="110"/>
      <c r="K16" s="110">
        <v>45.845818724629268</v>
      </c>
      <c r="L16" s="110"/>
      <c r="M16" s="110">
        <v>45.845818724629268</v>
      </c>
      <c r="N16" s="110">
        <v>0</v>
      </c>
      <c r="O16" s="110">
        <v>0</v>
      </c>
      <c r="P16" s="110">
        <v>0</v>
      </c>
      <c r="Q16" s="110">
        <v>0</v>
      </c>
      <c r="R16" s="110">
        <v>45.845818724629268</v>
      </c>
      <c r="S16" s="110">
        <v>0</v>
      </c>
      <c r="T16" s="110"/>
      <c r="U16" s="110">
        <v>0</v>
      </c>
      <c r="V16" s="110"/>
      <c r="W16" s="110">
        <v>0</v>
      </c>
      <c r="X16" s="110"/>
      <c r="Y16" s="110">
        <v>0</v>
      </c>
      <c r="Z16" s="110"/>
      <c r="AA16" s="110"/>
      <c r="AB16" s="110"/>
      <c r="AC16" s="110">
        <v>0</v>
      </c>
      <c r="AD16" s="110">
        <v>0</v>
      </c>
      <c r="AE16" s="110"/>
      <c r="AF16" s="110"/>
      <c r="AG16" s="110"/>
      <c r="AH16" s="110"/>
      <c r="AI16" s="110"/>
      <c r="AJ16" s="110"/>
      <c r="AK16" s="110">
        <v>0</v>
      </c>
      <c r="AL16" s="110"/>
      <c r="AM16" s="110"/>
      <c r="AN16" s="110"/>
      <c r="AO16" s="110"/>
      <c r="AP16" s="110">
        <v>45.845818724629268</v>
      </c>
      <c r="AQ16" s="110"/>
      <c r="AR16" s="110"/>
      <c r="AS16" s="110">
        <v>0</v>
      </c>
      <c r="AT16" s="110"/>
      <c r="AU16" s="110">
        <v>9.6857105174365614</v>
      </c>
      <c r="AV16" s="110">
        <v>0</v>
      </c>
      <c r="AW16" s="110">
        <v>9.6857105174365614</v>
      </c>
      <c r="AX16" s="110"/>
      <c r="AY16" s="110">
        <v>0</v>
      </c>
    </row>
    <row r="17" spans="1:54">
      <c r="A17" s="110"/>
      <c r="B17" s="119">
        <v>3</v>
      </c>
      <c r="C17" s="109" t="s">
        <v>293</v>
      </c>
      <c r="D17" s="106">
        <v>0</v>
      </c>
      <c r="E17" s="110"/>
      <c r="F17" s="110"/>
      <c r="G17" s="110"/>
      <c r="H17" s="110"/>
      <c r="I17" s="110"/>
      <c r="J17" s="110">
        <v>0</v>
      </c>
      <c r="K17" s="110"/>
      <c r="L17" s="110"/>
      <c r="M17" s="110">
        <v>0</v>
      </c>
      <c r="N17" s="110"/>
      <c r="O17" s="110"/>
      <c r="P17" s="110"/>
      <c r="Q17" s="110"/>
      <c r="R17" s="110"/>
      <c r="S17" s="110"/>
      <c r="T17" s="110"/>
      <c r="U17" s="110">
        <v>0</v>
      </c>
      <c r="V17" s="110"/>
      <c r="W17" s="110">
        <v>45.845818724629268</v>
      </c>
      <c r="X17" s="110"/>
      <c r="Y17" s="110"/>
      <c r="Z17" s="110"/>
      <c r="AA17" s="110"/>
      <c r="AB17" s="110">
        <v>0</v>
      </c>
      <c r="AC17" s="110">
        <v>0</v>
      </c>
      <c r="AD17" s="110"/>
      <c r="AE17" s="110"/>
      <c r="AF17" s="110">
        <v>0</v>
      </c>
      <c r="AG17" s="110"/>
      <c r="AH17" s="110"/>
      <c r="AI17" s="110"/>
      <c r="AJ17" s="110">
        <v>0</v>
      </c>
      <c r="AK17" s="110"/>
      <c r="AL17" s="110">
        <v>0</v>
      </c>
      <c r="AM17" s="110"/>
      <c r="AN17" s="110"/>
      <c r="AO17" s="110">
        <v>0</v>
      </c>
      <c r="AP17" s="110">
        <v>0</v>
      </c>
      <c r="AQ17" s="110"/>
      <c r="AR17" s="110"/>
      <c r="AS17" s="110"/>
      <c r="AT17" s="110"/>
      <c r="AU17" s="110"/>
      <c r="AV17" s="110"/>
      <c r="AW17" s="110"/>
      <c r="AX17" s="110"/>
      <c r="AY17" s="110"/>
      <c r="AZ17" s="100">
        <v>0</v>
      </c>
      <c r="BA17" s="100">
        <v>0</v>
      </c>
      <c r="BB17" s="100">
        <v>0</v>
      </c>
    </row>
    <row r="18" spans="1:54">
      <c r="A18" s="125"/>
      <c r="B18" s="116">
        <v>4</v>
      </c>
      <c r="C18" s="125" t="s">
        <v>293</v>
      </c>
      <c r="D18" s="125"/>
      <c r="E18" s="125"/>
      <c r="F18" s="125"/>
      <c r="G18" s="125"/>
      <c r="H18" s="125"/>
      <c r="I18" s="125"/>
      <c r="J18" s="125"/>
      <c r="K18" s="125"/>
      <c r="L18" s="125"/>
      <c r="M18" s="125"/>
      <c r="N18" s="125"/>
      <c r="O18" s="125"/>
      <c r="P18" s="125"/>
      <c r="Q18" s="125"/>
      <c r="R18" s="125"/>
      <c r="S18" s="125"/>
      <c r="T18" s="125"/>
      <c r="U18" s="125"/>
      <c r="V18" s="125"/>
      <c r="W18" s="125"/>
      <c r="X18" s="125"/>
      <c r="Y18" s="125"/>
      <c r="Z18" s="125"/>
      <c r="AA18" s="125"/>
      <c r="AB18" s="125"/>
      <c r="AC18" s="125"/>
      <c r="AD18" s="125"/>
      <c r="AE18" s="125"/>
      <c r="AF18" s="125"/>
      <c r="AG18" s="125"/>
      <c r="AH18" s="125"/>
      <c r="AI18" s="125"/>
      <c r="AJ18" s="125"/>
      <c r="AK18" s="125"/>
      <c r="AL18" s="125"/>
      <c r="AM18" s="125"/>
      <c r="AN18" s="125"/>
      <c r="AO18" s="125"/>
      <c r="AP18" s="125"/>
      <c r="AQ18" s="125"/>
      <c r="AR18" s="125"/>
      <c r="AS18" s="125"/>
      <c r="AT18" s="125"/>
      <c r="AU18" s="125"/>
      <c r="AV18" s="125"/>
      <c r="AW18" s="125"/>
      <c r="AX18" s="125"/>
      <c r="AY18" s="125"/>
    </row>
    <row r="20" spans="1:54">
      <c r="A20" s="102" t="s">
        <v>294</v>
      </c>
    </row>
    <row r="21" spans="1:54">
      <c r="A21" s="126" t="s">
        <v>125</v>
      </c>
      <c r="B21" s="123">
        <v>1</v>
      </c>
      <c r="C21" s="124" t="s">
        <v>293</v>
      </c>
      <c r="D21" s="124"/>
      <c r="E21" s="124"/>
      <c r="F21" s="124"/>
      <c r="G21" s="124"/>
      <c r="H21" s="124"/>
      <c r="I21" s="124"/>
      <c r="J21" s="124"/>
      <c r="K21" s="124"/>
      <c r="L21" s="124"/>
      <c r="M21" s="124"/>
      <c r="N21" s="124"/>
      <c r="O21" s="124"/>
      <c r="P21" s="124"/>
      <c r="Q21" s="124"/>
      <c r="R21" s="124"/>
      <c r="S21" s="124"/>
      <c r="T21" s="124"/>
      <c r="U21" s="124"/>
      <c r="V21" s="124"/>
      <c r="W21" s="124"/>
      <c r="X21" s="124"/>
      <c r="Y21" s="124"/>
      <c r="Z21" s="124"/>
      <c r="AA21" s="124"/>
      <c r="AB21" s="124"/>
      <c r="AC21" s="124"/>
      <c r="AD21" s="124"/>
      <c r="AE21" s="124"/>
      <c r="AF21" s="124"/>
      <c r="AG21" s="124"/>
      <c r="AH21" s="124"/>
      <c r="AI21" s="124"/>
      <c r="AJ21" s="124"/>
      <c r="AK21" s="124"/>
      <c r="AL21" s="124"/>
      <c r="AM21" s="124"/>
      <c r="AN21" s="124"/>
      <c r="AO21" s="124"/>
      <c r="AP21" s="124"/>
      <c r="AQ21" s="124"/>
      <c r="AR21" s="124"/>
      <c r="AS21" s="124"/>
      <c r="AT21" s="124"/>
      <c r="AU21" s="124"/>
      <c r="AV21" s="124"/>
      <c r="AW21" s="124"/>
      <c r="AX21" s="124"/>
      <c r="AY21" s="124"/>
    </row>
    <row r="22" spans="1:54">
      <c r="A22" s="109"/>
      <c r="B22" s="120">
        <v>2</v>
      </c>
      <c r="C22" s="110" t="s">
        <v>293</v>
      </c>
      <c r="D22" s="110"/>
      <c r="E22" s="110"/>
      <c r="F22" s="110"/>
      <c r="G22" s="110"/>
      <c r="H22" s="110"/>
      <c r="I22" s="110"/>
      <c r="J22" s="110"/>
      <c r="K22" s="110"/>
      <c r="L22" s="110"/>
      <c r="M22" s="110"/>
      <c r="N22" s="110"/>
      <c r="O22" s="110"/>
      <c r="P22" s="110"/>
      <c r="Q22" s="110"/>
      <c r="R22" s="110"/>
      <c r="S22" s="110"/>
      <c r="T22" s="110"/>
      <c r="U22" s="110"/>
      <c r="V22" s="110"/>
      <c r="W22" s="110"/>
      <c r="X22" s="110"/>
      <c r="Y22" s="110"/>
      <c r="Z22" s="110"/>
      <c r="AA22" s="110"/>
      <c r="AB22" s="110"/>
      <c r="AC22" s="110"/>
      <c r="AD22" s="110"/>
      <c r="AE22" s="110"/>
      <c r="AF22" s="110"/>
      <c r="AG22" s="110"/>
      <c r="AH22" s="110"/>
      <c r="AI22" s="110"/>
      <c r="AJ22" s="110"/>
      <c r="AK22" s="110"/>
      <c r="AL22" s="110"/>
      <c r="AM22" s="110"/>
      <c r="AN22" s="110"/>
      <c r="AO22" s="110"/>
      <c r="AP22" s="110"/>
      <c r="AQ22" s="110"/>
      <c r="AR22" s="110"/>
      <c r="AS22" s="110"/>
      <c r="AT22" s="110"/>
      <c r="AU22" s="110"/>
      <c r="AV22" s="110"/>
      <c r="AW22" s="110"/>
      <c r="AX22" s="110"/>
      <c r="AY22" s="110"/>
    </row>
    <row r="23" spans="1:54">
      <c r="A23" s="109"/>
      <c r="B23" s="127">
        <v>3</v>
      </c>
      <c r="C23" s="110" t="s">
        <v>293</v>
      </c>
      <c r="D23" s="110"/>
      <c r="E23" s="110"/>
      <c r="F23" s="110"/>
      <c r="G23" s="110"/>
      <c r="H23" s="110"/>
      <c r="I23" s="110"/>
      <c r="J23" s="110"/>
      <c r="K23" s="110"/>
      <c r="L23" s="110"/>
      <c r="M23" s="110"/>
      <c r="N23" s="110"/>
      <c r="O23" s="110"/>
      <c r="P23" s="110"/>
      <c r="Q23" s="110"/>
      <c r="R23" s="110"/>
      <c r="S23" s="110"/>
      <c r="T23" s="110"/>
      <c r="U23" s="110"/>
      <c r="V23" s="110"/>
      <c r="W23" s="110"/>
      <c r="X23" s="110"/>
      <c r="Y23" s="110"/>
      <c r="Z23" s="110"/>
      <c r="AA23" s="110"/>
      <c r="AB23" s="110"/>
      <c r="AC23" s="110"/>
      <c r="AD23" s="110"/>
      <c r="AE23" s="110"/>
      <c r="AF23" s="110"/>
      <c r="AG23" s="110"/>
      <c r="AH23" s="110"/>
      <c r="AI23" s="110"/>
      <c r="AJ23" s="110"/>
      <c r="AK23" s="110"/>
      <c r="AL23" s="110"/>
      <c r="AM23" s="110"/>
      <c r="AN23" s="110"/>
      <c r="AO23" s="110"/>
      <c r="AP23" s="110"/>
      <c r="AQ23" s="110"/>
      <c r="AR23" s="110"/>
      <c r="AS23" s="110"/>
      <c r="AT23" s="110"/>
      <c r="AU23" s="110"/>
      <c r="AV23" s="110"/>
      <c r="AW23" s="110"/>
      <c r="AX23" s="110"/>
      <c r="AY23" s="110"/>
    </row>
    <row r="24" spans="1:54">
      <c r="A24" s="128"/>
      <c r="B24" s="129">
        <v>4</v>
      </c>
      <c r="C24" s="128" t="s">
        <v>293</v>
      </c>
      <c r="D24" s="125">
        <v>0</v>
      </c>
      <c r="E24" s="125">
        <v>0</v>
      </c>
      <c r="F24" s="125">
        <v>0</v>
      </c>
      <c r="G24" s="125">
        <v>0</v>
      </c>
      <c r="H24" s="125">
        <v>0</v>
      </c>
      <c r="I24" s="125">
        <v>0</v>
      </c>
      <c r="J24" s="125">
        <v>0</v>
      </c>
      <c r="K24" s="125">
        <v>0</v>
      </c>
      <c r="L24" s="125">
        <v>0</v>
      </c>
      <c r="M24" s="125">
        <v>0</v>
      </c>
      <c r="N24" s="125">
        <v>0</v>
      </c>
      <c r="O24" s="125">
        <v>0</v>
      </c>
      <c r="P24" s="125">
        <v>0</v>
      </c>
      <c r="Q24" s="125">
        <v>0</v>
      </c>
      <c r="R24" s="125">
        <v>0</v>
      </c>
      <c r="S24" s="125">
        <v>0</v>
      </c>
      <c r="T24" s="125">
        <v>0</v>
      </c>
      <c r="U24" s="125">
        <v>0</v>
      </c>
      <c r="V24" s="125">
        <v>0</v>
      </c>
      <c r="W24" s="125">
        <v>0</v>
      </c>
      <c r="X24" s="125">
        <v>0</v>
      </c>
      <c r="Y24" s="125">
        <v>0</v>
      </c>
      <c r="Z24" s="125">
        <v>0</v>
      </c>
      <c r="AA24" s="125">
        <v>0</v>
      </c>
      <c r="AB24" s="125">
        <v>0</v>
      </c>
      <c r="AC24" s="125">
        <v>0</v>
      </c>
      <c r="AD24" s="125">
        <v>0</v>
      </c>
      <c r="AE24" s="125">
        <v>0</v>
      </c>
      <c r="AF24" s="125">
        <v>0</v>
      </c>
      <c r="AG24" s="125">
        <v>0</v>
      </c>
      <c r="AH24" s="125">
        <v>0</v>
      </c>
      <c r="AI24" s="125">
        <v>0</v>
      </c>
      <c r="AJ24" s="125">
        <v>0</v>
      </c>
      <c r="AK24" s="125">
        <v>0</v>
      </c>
      <c r="AL24" s="125">
        <v>0</v>
      </c>
      <c r="AM24" s="125">
        <v>0</v>
      </c>
      <c r="AN24" s="125">
        <v>0</v>
      </c>
      <c r="AO24" s="125">
        <v>0</v>
      </c>
      <c r="AP24" s="125">
        <v>0</v>
      </c>
      <c r="AQ24" s="125">
        <v>0</v>
      </c>
      <c r="AR24" s="125">
        <v>0</v>
      </c>
      <c r="AS24" s="125">
        <v>0</v>
      </c>
      <c r="AT24" s="125">
        <v>0</v>
      </c>
      <c r="AU24" s="125">
        <v>0</v>
      </c>
      <c r="AV24" s="125">
        <v>0</v>
      </c>
      <c r="AW24" s="125">
        <v>0</v>
      </c>
      <c r="AX24" s="125">
        <v>0</v>
      </c>
      <c r="AY24" s="125">
        <v>0</v>
      </c>
    </row>
    <row r="25" spans="1:54">
      <c r="A25" s="126" t="s">
        <v>133</v>
      </c>
      <c r="B25" s="123">
        <v>1</v>
      </c>
      <c r="C25" s="109" t="s">
        <v>293</v>
      </c>
      <c r="D25" s="110"/>
      <c r="E25" s="110"/>
      <c r="F25" s="110"/>
      <c r="G25" s="110"/>
      <c r="H25" s="110"/>
      <c r="I25" s="110"/>
      <c r="J25" s="110"/>
      <c r="K25" s="110"/>
      <c r="L25" s="110"/>
      <c r="M25" s="110"/>
      <c r="N25" s="110"/>
      <c r="O25" s="110"/>
      <c r="P25" s="110"/>
      <c r="Q25" s="110"/>
      <c r="R25" s="110"/>
      <c r="S25" s="110"/>
      <c r="T25" s="110"/>
      <c r="U25" s="110"/>
      <c r="V25" s="110"/>
      <c r="W25" s="110"/>
      <c r="X25" s="110"/>
      <c r="Y25" s="110"/>
      <c r="Z25" s="110"/>
      <c r="AA25" s="110"/>
      <c r="AB25" s="110"/>
      <c r="AC25" s="110"/>
      <c r="AD25" s="110"/>
      <c r="AE25" s="110"/>
      <c r="AF25" s="110"/>
      <c r="AG25" s="110"/>
      <c r="AH25" s="110"/>
      <c r="AI25" s="110"/>
      <c r="AJ25" s="110"/>
      <c r="AK25" s="110"/>
      <c r="AL25" s="110"/>
      <c r="AM25" s="110"/>
      <c r="AN25" s="110"/>
      <c r="AO25" s="110"/>
      <c r="AP25" s="110"/>
      <c r="AQ25" s="110"/>
      <c r="AR25" s="110"/>
      <c r="AS25" s="110"/>
      <c r="AT25" s="110"/>
      <c r="AU25" s="110"/>
      <c r="AV25" s="110"/>
      <c r="AW25" s="110"/>
      <c r="AX25" s="110"/>
      <c r="AY25" s="110"/>
    </row>
    <row r="26" spans="1:54">
      <c r="A26" s="109"/>
      <c r="B26" s="119">
        <v>2</v>
      </c>
      <c r="C26" s="109" t="s">
        <v>293</v>
      </c>
      <c r="D26" s="110"/>
      <c r="E26" s="110"/>
      <c r="F26" s="110"/>
      <c r="G26" s="110"/>
      <c r="H26" s="110"/>
      <c r="I26" s="110"/>
      <c r="J26" s="110"/>
      <c r="K26" s="110"/>
      <c r="L26" s="110"/>
      <c r="M26" s="110"/>
      <c r="N26" s="110"/>
      <c r="O26" s="110"/>
      <c r="P26" s="110"/>
      <c r="Q26" s="110"/>
      <c r="R26" s="110"/>
      <c r="S26" s="110"/>
      <c r="T26" s="110"/>
      <c r="U26" s="110"/>
      <c r="V26" s="110"/>
      <c r="W26" s="110"/>
      <c r="X26" s="110"/>
      <c r="Y26" s="110"/>
      <c r="Z26" s="110"/>
      <c r="AA26" s="110"/>
      <c r="AB26" s="110"/>
      <c r="AC26" s="110"/>
      <c r="AD26" s="110"/>
      <c r="AE26" s="110"/>
      <c r="AF26" s="110"/>
      <c r="AG26" s="110"/>
      <c r="AH26" s="110"/>
      <c r="AI26" s="110"/>
      <c r="AJ26" s="110"/>
      <c r="AK26" s="110"/>
      <c r="AL26" s="110"/>
      <c r="AM26" s="110"/>
      <c r="AN26" s="110"/>
      <c r="AO26" s="110"/>
      <c r="AP26" s="110"/>
      <c r="AQ26" s="110"/>
      <c r="AR26" s="110"/>
      <c r="AS26" s="110"/>
      <c r="AT26" s="110"/>
      <c r="AU26" s="110"/>
      <c r="AV26" s="110"/>
      <c r="AW26" s="110"/>
      <c r="AX26" s="110"/>
      <c r="AY26" s="110"/>
    </row>
    <row r="27" spans="1:54">
      <c r="A27" s="109"/>
      <c r="B27" s="120">
        <v>3</v>
      </c>
      <c r="C27" s="109" t="s">
        <v>293</v>
      </c>
      <c r="D27" s="110"/>
      <c r="E27" s="110"/>
      <c r="F27" s="110"/>
      <c r="G27" s="110"/>
      <c r="H27" s="110"/>
      <c r="I27" s="110"/>
      <c r="J27" s="110"/>
      <c r="K27" s="110"/>
      <c r="L27" s="110"/>
      <c r="M27" s="110"/>
      <c r="N27" s="110"/>
      <c r="O27" s="110"/>
      <c r="P27" s="110"/>
      <c r="Q27" s="110"/>
      <c r="R27" s="110"/>
      <c r="S27" s="110"/>
      <c r="T27" s="110"/>
      <c r="U27" s="110"/>
      <c r="V27" s="110"/>
      <c r="W27" s="110"/>
      <c r="X27" s="110"/>
      <c r="Y27" s="110"/>
      <c r="Z27" s="110"/>
      <c r="AA27" s="110"/>
      <c r="AB27" s="110"/>
      <c r="AC27" s="110"/>
      <c r="AD27" s="110"/>
      <c r="AE27" s="110"/>
      <c r="AF27" s="110"/>
      <c r="AG27" s="110"/>
      <c r="AH27" s="110"/>
      <c r="AI27" s="110"/>
      <c r="AJ27" s="110"/>
      <c r="AK27" s="110"/>
      <c r="AL27" s="110"/>
      <c r="AM27" s="110"/>
      <c r="AN27" s="110"/>
      <c r="AO27" s="110"/>
      <c r="AP27" s="110"/>
      <c r="AQ27" s="110"/>
      <c r="AR27" s="110"/>
      <c r="AS27" s="110"/>
      <c r="AT27" s="110"/>
      <c r="AU27" s="110"/>
      <c r="AV27" s="110"/>
      <c r="AW27" s="110"/>
      <c r="AX27" s="110"/>
      <c r="AY27" s="110"/>
    </row>
    <row r="28" spans="1:54">
      <c r="A28" s="109"/>
      <c r="B28" s="120">
        <v>4</v>
      </c>
      <c r="C28" s="109" t="s">
        <v>293</v>
      </c>
      <c r="D28" s="110"/>
      <c r="E28" s="110"/>
      <c r="F28" s="110"/>
      <c r="G28" s="110"/>
      <c r="H28" s="110"/>
      <c r="I28" s="110"/>
      <c r="J28" s="110"/>
      <c r="K28" s="110"/>
      <c r="L28" s="110"/>
      <c r="M28" s="110"/>
      <c r="N28" s="110"/>
      <c r="O28" s="110"/>
      <c r="P28" s="110"/>
      <c r="Q28" s="110"/>
      <c r="R28" s="110"/>
      <c r="S28" s="110"/>
      <c r="T28" s="110"/>
      <c r="U28" s="110"/>
      <c r="V28" s="110"/>
      <c r="W28" s="110"/>
      <c r="X28" s="110"/>
      <c r="Y28" s="110"/>
      <c r="Z28" s="110"/>
      <c r="AA28" s="110"/>
      <c r="AB28" s="110"/>
      <c r="AC28" s="110"/>
      <c r="AD28" s="110"/>
      <c r="AE28" s="110"/>
      <c r="AF28" s="110"/>
      <c r="AG28" s="110"/>
      <c r="AH28" s="110"/>
      <c r="AI28" s="110"/>
      <c r="AJ28" s="110"/>
      <c r="AK28" s="110"/>
      <c r="AL28" s="110"/>
      <c r="AM28" s="110"/>
      <c r="AN28" s="110"/>
      <c r="AO28" s="110"/>
      <c r="AP28" s="110"/>
      <c r="AQ28" s="110"/>
      <c r="AR28" s="110"/>
      <c r="AS28" s="110"/>
      <c r="AT28" s="110"/>
      <c r="AU28" s="110"/>
      <c r="AV28" s="110"/>
      <c r="AW28" s="110"/>
      <c r="AX28" s="110"/>
      <c r="AY28" s="110"/>
    </row>
    <row r="29" spans="1:54">
      <c r="A29" s="109"/>
      <c r="B29" s="127">
        <v>5</v>
      </c>
      <c r="C29" s="109" t="s">
        <v>293</v>
      </c>
      <c r="D29" s="110"/>
      <c r="E29" s="110"/>
      <c r="F29" s="110"/>
      <c r="G29" s="110"/>
      <c r="H29" s="110"/>
      <c r="I29" s="110"/>
      <c r="J29" s="110"/>
      <c r="K29" s="110"/>
      <c r="L29" s="110"/>
      <c r="M29" s="110"/>
      <c r="N29" s="110"/>
      <c r="O29" s="110"/>
      <c r="P29" s="110"/>
      <c r="Q29" s="110"/>
      <c r="R29" s="110"/>
      <c r="S29" s="110"/>
      <c r="T29" s="110"/>
      <c r="U29" s="110"/>
      <c r="V29" s="110"/>
      <c r="W29" s="110"/>
      <c r="X29" s="110"/>
      <c r="Y29" s="110"/>
      <c r="Z29" s="110"/>
      <c r="AA29" s="110"/>
      <c r="AB29" s="110"/>
      <c r="AC29" s="110"/>
      <c r="AD29" s="110"/>
      <c r="AE29" s="110"/>
      <c r="AF29" s="110"/>
      <c r="AG29" s="110"/>
      <c r="AH29" s="110"/>
      <c r="AI29" s="110"/>
      <c r="AJ29" s="110"/>
      <c r="AK29" s="110"/>
      <c r="AL29" s="110"/>
      <c r="AM29" s="110"/>
      <c r="AN29" s="110"/>
      <c r="AO29" s="110"/>
      <c r="AP29" s="110"/>
      <c r="AQ29" s="110"/>
      <c r="AR29" s="110"/>
      <c r="AS29" s="110"/>
      <c r="AT29" s="110"/>
      <c r="AU29" s="110"/>
      <c r="AV29" s="110"/>
      <c r="AW29" s="110"/>
      <c r="AX29" s="110"/>
      <c r="AY29" s="110"/>
    </row>
    <row r="30" spans="1:54">
      <c r="A30" s="109"/>
      <c r="B30" s="127">
        <v>6</v>
      </c>
      <c r="C30" s="109" t="s">
        <v>293</v>
      </c>
      <c r="D30" s="110"/>
      <c r="E30" s="110"/>
      <c r="F30" s="110"/>
      <c r="G30" s="110"/>
      <c r="H30" s="110"/>
      <c r="I30" s="110"/>
      <c r="J30" s="110"/>
      <c r="K30" s="110"/>
      <c r="L30" s="110"/>
      <c r="M30" s="110"/>
      <c r="N30" s="110"/>
      <c r="O30" s="110"/>
      <c r="P30" s="110"/>
      <c r="Q30" s="110"/>
      <c r="R30" s="110"/>
      <c r="S30" s="110"/>
      <c r="T30" s="110"/>
      <c r="U30" s="110"/>
      <c r="V30" s="110"/>
      <c r="W30" s="110"/>
      <c r="X30" s="110"/>
      <c r="Y30" s="110"/>
      <c r="Z30" s="110"/>
      <c r="AA30" s="110"/>
      <c r="AB30" s="110"/>
      <c r="AC30" s="110"/>
      <c r="AD30" s="110"/>
      <c r="AE30" s="110"/>
      <c r="AF30" s="110"/>
      <c r="AG30" s="110"/>
      <c r="AH30" s="110"/>
      <c r="AI30" s="110"/>
      <c r="AJ30" s="110"/>
      <c r="AK30" s="110"/>
      <c r="AL30" s="110"/>
      <c r="AM30" s="110"/>
      <c r="AN30" s="110"/>
      <c r="AO30" s="110"/>
      <c r="AP30" s="110"/>
      <c r="AQ30" s="110"/>
      <c r="AR30" s="110"/>
      <c r="AS30" s="110"/>
      <c r="AT30" s="110"/>
      <c r="AU30" s="110"/>
      <c r="AV30" s="110"/>
      <c r="AW30" s="110"/>
      <c r="AX30" s="110"/>
      <c r="AY30" s="110"/>
    </row>
    <row r="31" spans="1:54">
      <c r="A31" s="109"/>
      <c r="B31" s="130">
        <v>7</v>
      </c>
      <c r="C31" s="109" t="s">
        <v>293</v>
      </c>
      <c r="D31" s="110"/>
      <c r="E31" s="110"/>
      <c r="F31" s="110"/>
      <c r="G31" s="110"/>
      <c r="H31" s="110"/>
      <c r="I31" s="110"/>
      <c r="J31" s="110"/>
      <c r="K31" s="110"/>
      <c r="L31" s="110"/>
      <c r="M31" s="110"/>
      <c r="N31" s="110"/>
      <c r="O31" s="110"/>
      <c r="P31" s="110"/>
      <c r="Q31" s="110"/>
      <c r="R31" s="110"/>
      <c r="S31" s="110"/>
      <c r="T31" s="110"/>
      <c r="U31" s="110"/>
      <c r="V31" s="110"/>
      <c r="W31" s="110"/>
      <c r="X31" s="110"/>
      <c r="Y31" s="110"/>
      <c r="Z31" s="110"/>
      <c r="AA31" s="110"/>
      <c r="AB31" s="110"/>
      <c r="AC31" s="110"/>
      <c r="AD31" s="110"/>
      <c r="AE31" s="110"/>
      <c r="AF31" s="110"/>
      <c r="AG31" s="110"/>
      <c r="AH31" s="110"/>
      <c r="AI31" s="110"/>
      <c r="AJ31" s="110"/>
      <c r="AK31" s="110"/>
      <c r="AL31" s="110"/>
      <c r="AM31" s="110"/>
      <c r="AN31" s="110"/>
      <c r="AO31" s="110"/>
      <c r="AP31" s="110"/>
      <c r="AQ31" s="110"/>
      <c r="AR31" s="110"/>
      <c r="AS31" s="110"/>
      <c r="AT31" s="110"/>
      <c r="AU31" s="110"/>
      <c r="AV31" s="110"/>
      <c r="AW31" s="110"/>
      <c r="AX31" s="110"/>
      <c r="AY31" s="110"/>
    </row>
    <row r="32" spans="1:54">
      <c r="A32" s="128"/>
      <c r="B32" s="129">
        <v>8</v>
      </c>
      <c r="C32" s="128" t="s">
        <v>293</v>
      </c>
      <c r="D32" s="125">
        <v>0</v>
      </c>
      <c r="E32" s="125">
        <v>0</v>
      </c>
      <c r="F32" s="125">
        <v>0</v>
      </c>
      <c r="G32" s="125">
        <v>0</v>
      </c>
      <c r="H32" s="125">
        <v>0</v>
      </c>
      <c r="I32" s="125">
        <v>0</v>
      </c>
      <c r="J32" s="125">
        <v>0</v>
      </c>
      <c r="K32" s="125">
        <v>0</v>
      </c>
      <c r="L32" s="125">
        <v>0</v>
      </c>
      <c r="M32" s="125">
        <v>0</v>
      </c>
      <c r="N32" s="125">
        <v>0</v>
      </c>
      <c r="O32" s="125">
        <v>0</v>
      </c>
      <c r="P32" s="125">
        <v>0</v>
      </c>
      <c r="Q32" s="125">
        <v>0</v>
      </c>
      <c r="R32" s="125">
        <v>0</v>
      </c>
      <c r="S32" s="125">
        <v>0</v>
      </c>
      <c r="T32" s="125">
        <v>0</v>
      </c>
      <c r="U32" s="125">
        <v>0</v>
      </c>
      <c r="V32" s="125">
        <v>0</v>
      </c>
      <c r="W32" s="125">
        <v>0</v>
      </c>
      <c r="X32" s="125">
        <v>0</v>
      </c>
      <c r="Y32" s="125">
        <v>0</v>
      </c>
      <c r="Z32" s="125">
        <v>0</v>
      </c>
      <c r="AA32" s="125">
        <v>0</v>
      </c>
      <c r="AB32" s="125">
        <v>0</v>
      </c>
      <c r="AC32" s="125">
        <v>0</v>
      </c>
      <c r="AD32" s="125">
        <v>0</v>
      </c>
      <c r="AE32" s="125">
        <v>0</v>
      </c>
      <c r="AF32" s="125">
        <v>0</v>
      </c>
      <c r="AG32" s="125">
        <v>0</v>
      </c>
      <c r="AH32" s="125">
        <v>0</v>
      </c>
      <c r="AI32" s="125">
        <v>0</v>
      </c>
      <c r="AJ32" s="125">
        <v>0</v>
      </c>
      <c r="AK32" s="125">
        <v>0</v>
      </c>
      <c r="AL32" s="125">
        <v>0</v>
      </c>
      <c r="AM32" s="125">
        <v>0</v>
      </c>
      <c r="AN32" s="125">
        <v>0</v>
      </c>
      <c r="AO32" s="125">
        <v>0</v>
      </c>
      <c r="AP32" s="125">
        <v>0</v>
      </c>
      <c r="AQ32" s="125">
        <v>0</v>
      </c>
      <c r="AR32" s="125">
        <v>0</v>
      </c>
      <c r="AS32" s="125">
        <v>0</v>
      </c>
      <c r="AT32" s="125">
        <v>0</v>
      </c>
      <c r="AU32" s="125">
        <v>0</v>
      </c>
      <c r="AV32" s="125">
        <v>0</v>
      </c>
      <c r="AW32" s="125">
        <v>0</v>
      </c>
      <c r="AX32" s="125">
        <v>0</v>
      </c>
      <c r="AY32" s="125">
        <v>0</v>
      </c>
    </row>
    <row r="33" spans="1:51">
      <c r="A33" s="131" t="s">
        <v>134</v>
      </c>
      <c r="B33" s="119">
        <v>1</v>
      </c>
      <c r="C33" s="109" t="s">
        <v>293</v>
      </c>
      <c r="D33" s="106"/>
      <c r="E33" s="106"/>
      <c r="F33" s="106"/>
      <c r="G33" s="106"/>
      <c r="H33" s="106"/>
      <c r="I33" s="106"/>
      <c r="J33" s="106"/>
      <c r="K33" s="106"/>
      <c r="L33" s="106"/>
      <c r="M33" s="106"/>
      <c r="N33" s="106"/>
      <c r="O33" s="106"/>
      <c r="P33" s="106"/>
      <c r="Q33" s="106"/>
      <c r="R33" s="106"/>
      <c r="S33" s="106"/>
      <c r="T33" s="106"/>
      <c r="U33" s="106"/>
      <c r="V33" s="106"/>
      <c r="W33" s="106"/>
      <c r="X33" s="106"/>
      <c r="Y33" s="106"/>
      <c r="Z33" s="106"/>
      <c r="AA33" s="106"/>
      <c r="AB33" s="106"/>
      <c r="AC33" s="106"/>
      <c r="AD33" s="106"/>
      <c r="AE33" s="106"/>
      <c r="AF33" s="106"/>
      <c r="AG33" s="106"/>
      <c r="AH33" s="106"/>
      <c r="AI33" s="106"/>
      <c r="AJ33" s="106"/>
      <c r="AK33" s="106"/>
      <c r="AL33" s="106"/>
      <c r="AM33" s="106"/>
      <c r="AN33" s="106"/>
      <c r="AO33" s="106"/>
      <c r="AP33" s="106"/>
      <c r="AQ33" s="106"/>
      <c r="AR33" s="106"/>
      <c r="AS33" s="106"/>
      <c r="AT33" s="106"/>
      <c r="AU33" s="106"/>
      <c r="AV33" s="106"/>
      <c r="AW33" s="106"/>
      <c r="AX33" s="106"/>
      <c r="AY33" s="106"/>
    </row>
    <row r="34" spans="1:51">
      <c r="A34" s="109"/>
      <c r="B34" s="119">
        <v>2</v>
      </c>
      <c r="C34" s="109" t="s">
        <v>293</v>
      </c>
      <c r="D34" s="106"/>
      <c r="E34" s="106"/>
      <c r="F34" s="106"/>
      <c r="G34" s="106"/>
      <c r="H34" s="106"/>
      <c r="I34" s="106"/>
      <c r="J34" s="106"/>
      <c r="K34" s="106"/>
      <c r="L34" s="106"/>
      <c r="M34" s="106"/>
      <c r="N34" s="106"/>
      <c r="O34" s="106"/>
      <c r="P34" s="106"/>
      <c r="Q34" s="106"/>
      <c r="R34" s="106"/>
      <c r="S34" s="106"/>
      <c r="T34" s="106"/>
      <c r="U34" s="106"/>
      <c r="V34" s="106"/>
      <c r="W34" s="106"/>
      <c r="X34" s="106"/>
      <c r="Y34" s="106"/>
      <c r="Z34" s="106"/>
      <c r="AA34" s="106"/>
      <c r="AB34" s="106"/>
      <c r="AC34" s="106"/>
      <c r="AD34" s="106"/>
      <c r="AE34" s="106"/>
      <c r="AF34" s="106"/>
      <c r="AG34" s="106"/>
      <c r="AH34" s="106"/>
      <c r="AI34" s="106"/>
      <c r="AJ34" s="106"/>
      <c r="AK34" s="106"/>
      <c r="AL34" s="106"/>
      <c r="AM34" s="106"/>
      <c r="AN34" s="106"/>
      <c r="AO34" s="106"/>
      <c r="AP34" s="106"/>
      <c r="AQ34" s="106"/>
      <c r="AR34" s="106"/>
      <c r="AS34" s="106"/>
      <c r="AT34" s="106"/>
      <c r="AU34" s="106"/>
      <c r="AV34" s="106"/>
      <c r="AW34" s="106"/>
      <c r="AX34" s="106"/>
      <c r="AY34" s="106"/>
    </row>
    <row r="35" spans="1:51">
      <c r="A35" s="109"/>
      <c r="B35" s="119">
        <v>3</v>
      </c>
      <c r="C35" s="109" t="s">
        <v>293</v>
      </c>
      <c r="D35" s="106"/>
      <c r="E35" s="106"/>
      <c r="F35" s="106"/>
      <c r="G35" s="106"/>
      <c r="H35" s="106"/>
      <c r="I35" s="106"/>
      <c r="J35" s="106"/>
      <c r="K35" s="106"/>
      <c r="L35" s="106"/>
      <c r="M35" s="106"/>
      <c r="N35" s="106"/>
      <c r="O35" s="106"/>
      <c r="P35" s="106"/>
      <c r="Q35" s="106"/>
      <c r="R35" s="106"/>
      <c r="S35" s="106"/>
      <c r="T35" s="106"/>
      <c r="U35" s="106"/>
      <c r="V35" s="106"/>
      <c r="W35" s="106"/>
      <c r="X35" s="106"/>
      <c r="Y35" s="106"/>
      <c r="Z35" s="106"/>
      <c r="AA35" s="106"/>
      <c r="AB35" s="106"/>
      <c r="AC35" s="106"/>
      <c r="AD35" s="106"/>
      <c r="AE35" s="106"/>
      <c r="AF35" s="106"/>
      <c r="AG35" s="106"/>
      <c r="AH35" s="106"/>
      <c r="AI35" s="106"/>
      <c r="AJ35" s="106"/>
      <c r="AK35" s="106"/>
      <c r="AL35" s="106"/>
      <c r="AM35" s="106"/>
      <c r="AN35" s="106"/>
      <c r="AO35" s="106"/>
      <c r="AP35" s="106"/>
      <c r="AQ35" s="106"/>
      <c r="AR35" s="106"/>
      <c r="AS35" s="106"/>
      <c r="AT35" s="106"/>
      <c r="AU35" s="106"/>
      <c r="AV35" s="106"/>
      <c r="AW35" s="106"/>
      <c r="AX35" s="106"/>
      <c r="AY35" s="106"/>
    </row>
    <row r="36" spans="1:51">
      <c r="A36" s="109"/>
      <c r="B36" s="120">
        <v>4</v>
      </c>
      <c r="C36" s="109" t="s">
        <v>293</v>
      </c>
      <c r="D36" s="106"/>
      <c r="E36" s="106"/>
      <c r="F36" s="106"/>
      <c r="G36" s="106"/>
      <c r="H36" s="106"/>
      <c r="I36" s="106"/>
      <c r="J36" s="106"/>
      <c r="K36" s="106"/>
      <c r="L36" s="106"/>
      <c r="M36" s="106"/>
      <c r="N36" s="106"/>
      <c r="O36" s="106"/>
      <c r="P36" s="106"/>
      <c r="Q36" s="106"/>
      <c r="R36" s="106"/>
      <c r="S36" s="106"/>
      <c r="T36" s="106"/>
      <c r="U36" s="106"/>
      <c r="V36" s="106"/>
      <c r="W36" s="106"/>
      <c r="X36" s="106"/>
      <c r="Y36" s="106"/>
      <c r="Z36" s="106"/>
      <c r="AA36" s="106"/>
      <c r="AB36" s="106"/>
      <c r="AC36" s="106"/>
      <c r="AD36" s="106"/>
      <c r="AE36" s="106"/>
      <c r="AF36" s="106"/>
      <c r="AG36" s="106"/>
      <c r="AH36" s="106"/>
      <c r="AI36" s="106"/>
      <c r="AJ36" s="106"/>
      <c r="AK36" s="106"/>
      <c r="AL36" s="106"/>
      <c r="AM36" s="106"/>
      <c r="AN36" s="106"/>
      <c r="AO36" s="106"/>
      <c r="AP36" s="106"/>
      <c r="AQ36" s="106"/>
      <c r="AR36" s="106"/>
      <c r="AS36" s="106"/>
      <c r="AT36" s="106"/>
      <c r="AU36" s="106"/>
      <c r="AV36" s="106"/>
      <c r="AW36" s="106"/>
      <c r="AX36" s="106"/>
      <c r="AY36" s="106"/>
    </row>
    <row r="37" spans="1:51">
      <c r="A37" s="109"/>
      <c r="B37" s="120">
        <v>5</v>
      </c>
      <c r="C37" s="109" t="s">
        <v>293</v>
      </c>
      <c r="D37" s="106"/>
      <c r="E37" s="106"/>
      <c r="F37" s="106"/>
      <c r="G37" s="106"/>
      <c r="H37" s="106"/>
      <c r="I37" s="106"/>
      <c r="J37" s="106"/>
      <c r="K37" s="106"/>
      <c r="L37" s="106"/>
      <c r="M37" s="106"/>
      <c r="N37" s="106"/>
      <c r="O37" s="106"/>
      <c r="P37" s="106"/>
      <c r="Q37" s="106"/>
      <c r="R37" s="106"/>
      <c r="S37" s="106"/>
      <c r="T37" s="106"/>
      <c r="U37" s="106"/>
      <c r="V37" s="106"/>
      <c r="W37" s="106"/>
      <c r="X37" s="106"/>
      <c r="Y37" s="106"/>
      <c r="Z37" s="106"/>
      <c r="AA37" s="106"/>
      <c r="AB37" s="106"/>
      <c r="AC37" s="106"/>
      <c r="AD37" s="106"/>
      <c r="AE37" s="106"/>
      <c r="AF37" s="106"/>
      <c r="AG37" s="106"/>
      <c r="AH37" s="106"/>
      <c r="AI37" s="106"/>
      <c r="AJ37" s="106"/>
      <c r="AK37" s="106"/>
      <c r="AL37" s="106"/>
      <c r="AM37" s="106"/>
      <c r="AN37" s="106"/>
      <c r="AO37" s="106"/>
      <c r="AP37" s="106"/>
      <c r="AQ37" s="106"/>
      <c r="AR37" s="106"/>
      <c r="AS37" s="106"/>
      <c r="AT37" s="106"/>
      <c r="AU37" s="106"/>
      <c r="AV37" s="106"/>
      <c r="AW37" s="106"/>
      <c r="AX37" s="106"/>
      <c r="AY37" s="106"/>
    </row>
    <row r="38" spans="1:51">
      <c r="A38" s="109"/>
      <c r="B38" s="120">
        <v>6</v>
      </c>
      <c r="C38" s="109" t="s">
        <v>293</v>
      </c>
      <c r="D38" s="106"/>
      <c r="E38" s="106"/>
      <c r="F38" s="106"/>
      <c r="G38" s="106"/>
      <c r="H38" s="106"/>
      <c r="I38" s="106"/>
      <c r="J38" s="106"/>
      <c r="K38" s="106"/>
      <c r="L38" s="106"/>
      <c r="M38" s="106"/>
      <c r="N38" s="106"/>
      <c r="O38" s="106"/>
      <c r="P38" s="106"/>
      <c r="Q38" s="106"/>
      <c r="R38" s="106"/>
      <c r="S38" s="106"/>
      <c r="T38" s="106"/>
      <c r="U38" s="106"/>
      <c r="V38" s="106"/>
      <c r="W38" s="106"/>
      <c r="X38" s="106"/>
      <c r="Y38" s="106"/>
      <c r="Z38" s="106"/>
      <c r="AA38" s="106"/>
      <c r="AB38" s="106"/>
      <c r="AC38" s="106"/>
      <c r="AD38" s="106"/>
      <c r="AE38" s="106"/>
      <c r="AF38" s="106"/>
      <c r="AG38" s="106"/>
      <c r="AH38" s="106"/>
      <c r="AI38" s="106"/>
      <c r="AJ38" s="106"/>
      <c r="AK38" s="106"/>
      <c r="AL38" s="106"/>
      <c r="AM38" s="106"/>
      <c r="AN38" s="106"/>
      <c r="AO38" s="106"/>
      <c r="AP38" s="106"/>
      <c r="AQ38" s="106"/>
      <c r="AR38" s="106"/>
      <c r="AS38" s="106"/>
      <c r="AT38" s="106"/>
      <c r="AU38" s="106"/>
      <c r="AV38" s="106"/>
      <c r="AW38" s="106"/>
      <c r="AX38" s="106"/>
      <c r="AY38" s="106"/>
    </row>
    <row r="39" spans="1:51">
      <c r="A39" s="109"/>
      <c r="B39" s="127">
        <v>7</v>
      </c>
      <c r="C39" s="109" t="s">
        <v>293</v>
      </c>
      <c r="D39" s="106"/>
      <c r="E39" s="106"/>
      <c r="F39" s="106"/>
      <c r="G39" s="106"/>
      <c r="H39" s="106"/>
      <c r="I39" s="106"/>
      <c r="J39" s="106"/>
      <c r="K39" s="106"/>
      <c r="L39" s="106"/>
      <c r="M39" s="106"/>
      <c r="N39" s="106"/>
      <c r="O39" s="106"/>
      <c r="P39" s="106"/>
      <c r="Q39" s="106"/>
      <c r="R39" s="106"/>
      <c r="S39" s="106"/>
      <c r="T39" s="106"/>
      <c r="U39" s="106"/>
      <c r="V39" s="106"/>
      <c r="W39" s="106"/>
      <c r="X39" s="106"/>
      <c r="Y39" s="106"/>
      <c r="Z39" s="106"/>
      <c r="AA39" s="106"/>
      <c r="AB39" s="106"/>
      <c r="AC39" s="106"/>
      <c r="AD39" s="106"/>
      <c r="AE39" s="106"/>
      <c r="AF39" s="106"/>
      <c r="AG39" s="106"/>
      <c r="AH39" s="106"/>
      <c r="AI39" s="106"/>
      <c r="AJ39" s="106"/>
      <c r="AK39" s="106"/>
      <c r="AL39" s="106"/>
      <c r="AM39" s="106"/>
      <c r="AN39" s="106"/>
      <c r="AO39" s="106"/>
      <c r="AP39" s="106"/>
      <c r="AQ39" s="106"/>
      <c r="AR39" s="106"/>
      <c r="AS39" s="106"/>
      <c r="AT39" s="106"/>
      <c r="AU39" s="106"/>
      <c r="AV39" s="106"/>
      <c r="AW39" s="106"/>
      <c r="AX39" s="106"/>
      <c r="AY39" s="106"/>
    </row>
    <row r="40" spans="1:51">
      <c r="A40" s="109"/>
      <c r="B40" s="127">
        <v>8</v>
      </c>
      <c r="C40" s="109" t="s">
        <v>293</v>
      </c>
      <c r="D40" s="106"/>
      <c r="E40" s="106"/>
      <c r="F40" s="106"/>
      <c r="G40" s="106"/>
      <c r="H40" s="106"/>
      <c r="I40" s="106"/>
      <c r="J40" s="106"/>
      <c r="K40" s="106"/>
      <c r="L40" s="106"/>
      <c r="M40" s="106"/>
      <c r="N40" s="106"/>
      <c r="O40" s="106"/>
      <c r="P40" s="106"/>
      <c r="Q40" s="106"/>
      <c r="R40" s="106"/>
      <c r="S40" s="106"/>
      <c r="T40" s="106"/>
      <c r="U40" s="106"/>
      <c r="V40" s="106"/>
      <c r="W40" s="106"/>
      <c r="X40" s="106"/>
      <c r="Y40" s="106"/>
      <c r="Z40" s="106"/>
      <c r="AA40" s="106"/>
      <c r="AB40" s="106"/>
      <c r="AC40" s="106"/>
      <c r="AD40" s="106"/>
      <c r="AE40" s="106"/>
      <c r="AF40" s="106"/>
      <c r="AG40" s="106"/>
      <c r="AH40" s="106"/>
      <c r="AI40" s="106"/>
      <c r="AJ40" s="106"/>
      <c r="AK40" s="106"/>
      <c r="AL40" s="106"/>
      <c r="AM40" s="106"/>
      <c r="AN40" s="106"/>
      <c r="AO40" s="106"/>
      <c r="AP40" s="106"/>
      <c r="AQ40" s="106"/>
      <c r="AR40" s="106"/>
      <c r="AS40" s="106"/>
      <c r="AT40" s="106"/>
      <c r="AU40" s="106"/>
      <c r="AV40" s="106"/>
      <c r="AW40" s="106"/>
      <c r="AX40" s="106"/>
      <c r="AY40" s="106"/>
    </row>
    <row r="41" spans="1:51">
      <c r="A41" s="109"/>
      <c r="B41" s="127">
        <v>9</v>
      </c>
      <c r="C41" s="109" t="s">
        <v>293</v>
      </c>
      <c r="D41" s="106"/>
      <c r="E41" s="106"/>
      <c r="F41" s="106"/>
      <c r="G41" s="106"/>
      <c r="H41" s="106"/>
      <c r="I41" s="106"/>
      <c r="J41" s="106"/>
      <c r="K41" s="106"/>
      <c r="L41" s="106"/>
      <c r="M41" s="106"/>
      <c r="N41" s="106"/>
      <c r="O41" s="106"/>
      <c r="P41" s="106"/>
      <c r="Q41" s="106"/>
      <c r="R41" s="106"/>
      <c r="S41" s="106"/>
      <c r="T41" s="106"/>
      <c r="U41" s="106"/>
      <c r="V41" s="106"/>
      <c r="W41" s="106"/>
      <c r="X41" s="106"/>
      <c r="Y41" s="106"/>
      <c r="Z41" s="106"/>
      <c r="AA41" s="106"/>
      <c r="AB41" s="106"/>
      <c r="AC41" s="106"/>
      <c r="AD41" s="106"/>
      <c r="AE41" s="106"/>
      <c r="AF41" s="106"/>
      <c r="AG41" s="106"/>
      <c r="AH41" s="106"/>
      <c r="AI41" s="106"/>
      <c r="AJ41" s="106"/>
      <c r="AK41" s="106"/>
      <c r="AL41" s="106"/>
      <c r="AM41" s="106"/>
      <c r="AN41" s="106"/>
      <c r="AO41" s="106"/>
      <c r="AP41" s="106"/>
      <c r="AQ41" s="106"/>
      <c r="AR41" s="106"/>
      <c r="AS41" s="106"/>
      <c r="AT41" s="106"/>
      <c r="AU41" s="106"/>
      <c r="AV41" s="106"/>
      <c r="AW41" s="106"/>
      <c r="AX41" s="106"/>
      <c r="AY41" s="106"/>
    </row>
    <row r="42" spans="1:51">
      <c r="A42" s="109"/>
      <c r="B42" s="130">
        <v>10</v>
      </c>
      <c r="C42" s="109" t="s">
        <v>293</v>
      </c>
      <c r="D42" s="106"/>
      <c r="E42" s="106"/>
      <c r="F42" s="106"/>
      <c r="G42" s="106"/>
      <c r="H42" s="106"/>
      <c r="I42" s="106"/>
      <c r="J42" s="106"/>
      <c r="K42" s="106"/>
      <c r="L42" s="106"/>
      <c r="M42" s="106"/>
      <c r="N42" s="106"/>
      <c r="O42" s="106"/>
      <c r="P42" s="106"/>
      <c r="Q42" s="106"/>
      <c r="R42" s="106"/>
      <c r="S42" s="106"/>
      <c r="T42" s="106"/>
      <c r="U42" s="106"/>
      <c r="V42" s="106"/>
      <c r="W42" s="106"/>
      <c r="X42" s="106"/>
      <c r="Y42" s="106"/>
      <c r="Z42" s="106"/>
      <c r="AA42" s="106"/>
      <c r="AB42" s="106"/>
      <c r="AC42" s="106"/>
      <c r="AD42" s="106"/>
      <c r="AE42" s="106"/>
      <c r="AF42" s="106"/>
      <c r="AG42" s="106"/>
      <c r="AH42" s="106"/>
      <c r="AI42" s="106"/>
      <c r="AJ42" s="106"/>
      <c r="AK42" s="106"/>
      <c r="AL42" s="106"/>
      <c r="AM42" s="106"/>
      <c r="AN42" s="106"/>
      <c r="AO42" s="106"/>
      <c r="AP42" s="106"/>
      <c r="AQ42" s="106"/>
      <c r="AR42" s="106"/>
      <c r="AS42" s="106"/>
      <c r="AT42" s="106"/>
      <c r="AU42" s="106"/>
      <c r="AV42" s="106"/>
      <c r="AW42" s="106"/>
      <c r="AX42" s="106"/>
      <c r="AY42" s="106"/>
    </row>
    <row r="43" spans="1:51">
      <c r="A43" s="109"/>
      <c r="B43" s="130">
        <v>11</v>
      </c>
      <c r="C43" s="109" t="s">
        <v>293</v>
      </c>
      <c r="D43" s="106"/>
      <c r="E43" s="106"/>
      <c r="F43" s="106"/>
      <c r="G43" s="106"/>
      <c r="H43" s="106"/>
      <c r="I43" s="106"/>
      <c r="J43" s="106"/>
      <c r="K43" s="106"/>
      <c r="L43" s="106"/>
      <c r="M43" s="106"/>
      <c r="N43" s="106"/>
      <c r="O43" s="106"/>
      <c r="P43" s="106"/>
      <c r="Q43" s="106"/>
      <c r="R43" s="106"/>
      <c r="S43" s="106"/>
      <c r="T43" s="106"/>
      <c r="U43" s="106"/>
      <c r="V43" s="106"/>
      <c r="W43" s="106"/>
      <c r="X43" s="106"/>
      <c r="Y43" s="106"/>
      <c r="Z43" s="106"/>
      <c r="AA43" s="106"/>
      <c r="AB43" s="106"/>
      <c r="AC43" s="106"/>
      <c r="AD43" s="106"/>
      <c r="AE43" s="106"/>
      <c r="AF43" s="106"/>
      <c r="AG43" s="106"/>
      <c r="AH43" s="106"/>
      <c r="AI43" s="106"/>
      <c r="AJ43" s="106"/>
      <c r="AK43" s="106"/>
      <c r="AL43" s="106"/>
      <c r="AM43" s="106"/>
      <c r="AN43" s="106"/>
      <c r="AO43" s="106"/>
      <c r="AP43" s="106"/>
      <c r="AQ43" s="106"/>
      <c r="AR43" s="106"/>
      <c r="AS43" s="106"/>
      <c r="AT43" s="106"/>
      <c r="AU43" s="106"/>
      <c r="AV43" s="106"/>
      <c r="AW43" s="106"/>
      <c r="AX43" s="106"/>
      <c r="AY43" s="106"/>
    </row>
    <row r="44" spans="1:51">
      <c r="A44" s="109"/>
      <c r="B44" s="130">
        <v>12</v>
      </c>
      <c r="C44" s="128" t="s">
        <v>293</v>
      </c>
      <c r="D44" s="106">
        <v>0</v>
      </c>
      <c r="E44" s="106">
        <v>0</v>
      </c>
      <c r="F44" s="106">
        <v>0</v>
      </c>
      <c r="G44" s="106">
        <v>0</v>
      </c>
      <c r="H44" s="106">
        <v>0</v>
      </c>
      <c r="I44" s="106">
        <v>0</v>
      </c>
      <c r="J44" s="106">
        <v>0</v>
      </c>
      <c r="K44" s="106">
        <v>0</v>
      </c>
      <c r="L44" s="106">
        <v>0</v>
      </c>
      <c r="M44" s="106">
        <v>0</v>
      </c>
      <c r="N44" s="106">
        <v>0</v>
      </c>
      <c r="O44" s="106">
        <v>0</v>
      </c>
      <c r="P44" s="106">
        <v>0</v>
      </c>
      <c r="Q44" s="106">
        <v>0</v>
      </c>
      <c r="R44" s="106">
        <v>0</v>
      </c>
      <c r="S44" s="106">
        <v>0</v>
      </c>
      <c r="T44" s="106">
        <v>0</v>
      </c>
      <c r="U44" s="106">
        <v>0</v>
      </c>
      <c r="V44" s="106">
        <v>0</v>
      </c>
      <c r="W44" s="106">
        <v>0</v>
      </c>
      <c r="X44" s="106">
        <v>0</v>
      </c>
      <c r="Y44" s="106">
        <v>0</v>
      </c>
      <c r="Z44" s="106">
        <v>0</v>
      </c>
      <c r="AA44" s="106">
        <v>0</v>
      </c>
      <c r="AB44" s="106">
        <v>0</v>
      </c>
      <c r="AC44" s="106">
        <v>0</v>
      </c>
      <c r="AD44" s="106">
        <v>0</v>
      </c>
      <c r="AE44" s="106">
        <v>0</v>
      </c>
      <c r="AF44" s="106">
        <v>0</v>
      </c>
      <c r="AG44" s="106">
        <v>0</v>
      </c>
      <c r="AH44" s="106">
        <v>0</v>
      </c>
      <c r="AI44" s="106">
        <v>0</v>
      </c>
      <c r="AJ44" s="106">
        <v>0</v>
      </c>
      <c r="AK44" s="106">
        <v>0</v>
      </c>
      <c r="AL44" s="106">
        <v>0</v>
      </c>
      <c r="AM44" s="106">
        <v>0</v>
      </c>
      <c r="AN44" s="106">
        <v>0</v>
      </c>
      <c r="AO44" s="106">
        <v>0</v>
      </c>
      <c r="AP44" s="106">
        <v>0</v>
      </c>
      <c r="AQ44" s="106">
        <v>0</v>
      </c>
      <c r="AR44" s="106">
        <v>0</v>
      </c>
      <c r="AS44" s="106">
        <v>0</v>
      </c>
      <c r="AT44" s="106">
        <v>0</v>
      </c>
      <c r="AU44" s="106">
        <v>0</v>
      </c>
      <c r="AV44" s="106">
        <v>0</v>
      </c>
      <c r="AW44" s="106">
        <v>0</v>
      </c>
      <c r="AX44" s="106">
        <v>0</v>
      </c>
      <c r="AY44" s="106">
        <v>0</v>
      </c>
    </row>
    <row r="45" spans="1:51">
      <c r="A45" s="126" t="s">
        <v>123</v>
      </c>
      <c r="B45" s="123">
        <v>1</v>
      </c>
      <c r="C45" s="109" t="s">
        <v>293</v>
      </c>
      <c r="D45" s="124"/>
      <c r="E45" s="124"/>
      <c r="F45" s="124"/>
      <c r="G45" s="124"/>
      <c r="H45" s="124"/>
      <c r="I45" s="124"/>
      <c r="J45" s="124"/>
      <c r="K45" s="124"/>
      <c r="L45" s="124"/>
      <c r="M45" s="124"/>
      <c r="N45" s="124"/>
      <c r="O45" s="124"/>
      <c r="P45" s="124"/>
      <c r="Q45" s="124"/>
      <c r="R45" s="124"/>
      <c r="S45" s="124"/>
      <c r="T45" s="124"/>
      <c r="U45" s="124"/>
      <c r="V45" s="124"/>
      <c r="W45" s="124"/>
      <c r="X45" s="124"/>
      <c r="Y45" s="124"/>
      <c r="Z45" s="124"/>
      <c r="AA45" s="124"/>
      <c r="AB45" s="124"/>
      <c r="AC45" s="124"/>
      <c r="AD45" s="124"/>
      <c r="AE45" s="124"/>
      <c r="AF45" s="124"/>
      <c r="AG45" s="124"/>
      <c r="AH45" s="124"/>
      <c r="AI45" s="124"/>
      <c r="AJ45" s="124"/>
      <c r="AK45" s="124"/>
      <c r="AL45" s="124"/>
      <c r="AM45" s="124"/>
      <c r="AN45" s="124"/>
      <c r="AO45" s="124"/>
      <c r="AP45" s="124"/>
      <c r="AQ45" s="124"/>
      <c r="AR45" s="124"/>
      <c r="AS45" s="124"/>
      <c r="AT45" s="124"/>
      <c r="AU45" s="124"/>
      <c r="AV45" s="124"/>
      <c r="AW45" s="124"/>
      <c r="AX45" s="124"/>
      <c r="AY45" s="124"/>
    </row>
    <row r="46" spans="1:51">
      <c r="A46" s="109"/>
      <c r="B46" s="119">
        <v>2</v>
      </c>
      <c r="C46" s="109" t="s">
        <v>293</v>
      </c>
      <c r="D46" s="110"/>
      <c r="E46" s="110"/>
      <c r="F46" s="110"/>
      <c r="G46" s="110"/>
      <c r="H46" s="110"/>
      <c r="I46" s="110"/>
      <c r="J46" s="110"/>
      <c r="K46" s="110"/>
      <c r="L46" s="110"/>
      <c r="M46" s="110"/>
      <c r="N46" s="110"/>
      <c r="O46" s="110"/>
      <c r="P46" s="110"/>
      <c r="Q46" s="110"/>
      <c r="R46" s="110"/>
      <c r="S46" s="110"/>
      <c r="T46" s="110"/>
      <c r="U46" s="110"/>
      <c r="V46" s="110"/>
      <c r="W46" s="110"/>
      <c r="X46" s="110"/>
      <c r="Y46" s="110"/>
      <c r="Z46" s="110"/>
      <c r="AA46" s="110"/>
      <c r="AB46" s="110"/>
      <c r="AC46" s="110"/>
      <c r="AD46" s="110"/>
      <c r="AE46" s="110"/>
      <c r="AF46" s="110"/>
      <c r="AG46" s="110"/>
      <c r="AH46" s="110"/>
      <c r="AI46" s="110"/>
      <c r="AJ46" s="110"/>
      <c r="AK46" s="110"/>
      <c r="AL46" s="110"/>
      <c r="AM46" s="110"/>
      <c r="AN46" s="110"/>
      <c r="AO46" s="110"/>
      <c r="AP46" s="110"/>
      <c r="AQ46" s="110"/>
      <c r="AR46" s="110"/>
      <c r="AS46" s="110"/>
      <c r="AT46" s="110"/>
      <c r="AU46" s="110"/>
      <c r="AV46" s="110"/>
      <c r="AW46" s="110"/>
      <c r="AX46" s="110"/>
      <c r="AY46" s="110"/>
    </row>
    <row r="47" spans="1:51">
      <c r="A47" s="109"/>
      <c r="B47" s="119">
        <v>3</v>
      </c>
      <c r="C47" s="109" t="s">
        <v>293</v>
      </c>
      <c r="D47" s="110"/>
      <c r="E47" s="110"/>
      <c r="F47" s="110"/>
      <c r="G47" s="110"/>
      <c r="H47" s="110"/>
      <c r="I47" s="110"/>
      <c r="J47" s="110"/>
      <c r="K47" s="110"/>
      <c r="L47" s="110"/>
      <c r="M47" s="110"/>
      <c r="N47" s="110"/>
      <c r="O47" s="110"/>
      <c r="P47" s="110"/>
      <c r="Q47" s="110"/>
      <c r="R47" s="110"/>
      <c r="S47" s="110"/>
      <c r="T47" s="110"/>
      <c r="U47" s="110"/>
      <c r="V47" s="110"/>
      <c r="W47" s="110"/>
      <c r="X47" s="110"/>
      <c r="Y47" s="110"/>
      <c r="Z47" s="110"/>
      <c r="AA47" s="110"/>
      <c r="AB47" s="110"/>
      <c r="AC47" s="110"/>
      <c r="AD47" s="110"/>
      <c r="AE47" s="110"/>
      <c r="AF47" s="110"/>
      <c r="AG47" s="110"/>
      <c r="AH47" s="110"/>
      <c r="AI47" s="110"/>
      <c r="AJ47" s="110"/>
      <c r="AK47" s="110"/>
      <c r="AL47" s="110"/>
      <c r="AM47" s="110"/>
      <c r="AN47" s="110"/>
      <c r="AO47" s="110"/>
      <c r="AP47" s="110"/>
      <c r="AQ47" s="110"/>
      <c r="AR47" s="110"/>
      <c r="AS47" s="110"/>
      <c r="AT47" s="110"/>
      <c r="AU47" s="110"/>
      <c r="AV47" s="110"/>
      <c r="AW47" s="110"/>
      <c r="AX47" s="110"/>
      <c r="AY47" s="110"/>
    </row>
    <row r="48" spans="1:51">
      <c r="A48" s="109"/>
      <c r="B48" s="119">
        <v>4</v>
      </c>
      <c r="C48" s="109" t="s">
        <v>293</v>
      </c>
      <c r="D48" s="110"/>
      <c r="E48" s="110"/>
      <c r="F48" s="110"/>
      <c r="G48" s="110"/>
      <c r="H48" s="110"/>
      <c r="I48" s="110"/>
      <c r="J48" s="110"/>
      <c r="K48" s="110"/>
      <c r="L48" s="110"/>
      <c r="M48" s="110"/>
      <c r="N48" s="110"/>
      <c r="O48" s="110"/>
      <c r="P48" s="110"/>
      <c r="Q48" s="110"/>
      <c r="R48" s="110"/>
      <c r="S48" s="110"/>
      <c r="T48" s="110"/>
      <c r="U48" s="110"/>
      <c r="V48" s="110"/>
      <c r="W48" s="110"/>
      <c r="X48" s="110"/>
      <c r="Y48" s="110"/>
      <c r="Z48" s="110"/>
      <c r="AA48" s="110"/>
      <c r="AB48" s="110"/>
      <c r="AC48" s="110"/>
      <c r="AD48" s="110"/>
      <c r="AE48" s="110"/>
      <c r="AF48" s="110"/>
      <c r="AG48" s="110"/>
      <c r="AH48" s="110"/>
      <c r="AI48" s="110"/>
      <c r="AJ48" s="110"/>
      <c r="AK48" s="110"/>
      <c r="AL48" s="110"/>
      <c r="AM48" s="110"/>
      <c r="AN48" s="110"/>
      <c r="AO48" s="110"/>
      <c r="AP48" s="110"/>
      <c r="AQ48" s="110"/>
      <c r="AR48" s="110"/>
      <c r="AS48" s="110"/>
      <c r="AT48" s="110"/>
      <c r="AU48" s="110"/>
      <c r="AV48" s="110"/>
      <c r="AW48" s="110"/>
      <c r="AX48" s="110"/>
      <c r="AY48" s="110"/>
    </row>
    <row r="49" spans="1:51">
      <c r="A49" s="109"/>
      <c r="B49" s="119">
        <v>5</v>
      </c>
      <c r="C49" s="109" t="s">
        <v>293</v>
      </c>
      <c r="D49" s="110"/>
      <c r="E49" s="110"/>
      <c r="F49" s="110"/>
      <c r="G49" s="110"/>
      <c r="H49" s="110"/>
      <c r="I49" s="110"/>
      <c r="J49" s="110"/>
      <c r="K49" s="110"/>
      <c r="L49" s="110"/>
      <c r="M49" s="110"/>
      <c r="N49" s="110"/>
      <c r="O49" s="110"/>
      <c r="P49" s="110"/>
      <c r="Q49" s="110"/>
      <c r="R49" s="110"/>
      <c r="S49" s="110"/>
      <c r="T49" s="110"/>
      <c r="U49" s="110"/>
      <c r="V49" s="110"/>
      <c r="W49" s="110"/>
      <c r="X49" s="110"/>
      <c r="Y49" s="110"/>
      <c r="Z49" s="110"/>
      <c r="AA49" s="110"/>
      <c r="AB49" s="110"/>
      <c r="AC49" s="110"/>
      <c r="AD49" s="110"/>
      <c r="AE49" s="110"/>
      <c r="AF49" s="110"/>
      <c r="AG49" s="110"/>
      <c r="AH49" s="110"/>
      <c r="AI49" s="110"/>
      <c r="AJ49" s="110"/>
      <c r="AK49" s="110"/>
      <c r="AL49" s="110"/>
      <c r="AM49" s="110"/>
      <c r="AN49" s="110"/>
      <c r="AO49" s="110"/>
      <c r="AP49" s="110"/>
      <c r="AQ49" s="110"/>
      <c r="AR49" s="110"/>
      <c r="AS49" s="110"/>
      <c r="AT49" s="110"/>
      <c r="AU49" s="110"/>
      <c r="AV49" s="110"/>
      <c r="AW49" s="110"/>
      <c r="AX49" s="110"/>
      <c r="AY49" s="110"/>
    </row>
    <row r="50" spans="1:51">
      <c r="A50" s="109"/>
      <c r="B50" s="119">
        <v>6</v>
      </c>
      <c r="C50" s="109" t="s">
        <v>293</v>
      </c>
      <c r="D50" s="110"/>
      <c r="E50" s="110"/>
      <c r="F50" s="110"/>
      <c r="G50" s="110"/>
      <c r="H50" s="110"/>
      <c r="I50" s="110"/>
      <c r="J50" s="110"/>
      <c r="K50" s="110"/>
      <c r="L50" s="110"/>
      <c r="M50" s="110"/>
      <c r="N50" s="110"/>
      <c r="O50" s="110"/>
      <c r="P50" s="110"/>
      <c r="Q50" s="110"/>
      <c r="R50" s="110"/>
      <c r="S50" s="110"/>
      <c r="T50" s="110"/>
      <c r="U50" s="110"/>
      <c r="V50" s="110"/>
      <c r="W50" s="110"/>
      <c r="X50" s="110"/>
      <c r="Y50" s="110"/>
      <c r="Z50" s="110"/>
      <c r="AA50" s="110"/>
      <c r="AB50" s="110"/>
      <c r="AC50" s="110"/>
      <c r="AD50" s="110"/>
      <c r="AE50" s="110"/>
      <c r="AF50" s="110"/>
      <c r="AG50" s="110"/>
      <c r="AH50" s="110"/>
      <c r="AI50" s="110"/>
      <c r="AJ50" s="110"/>
      <c r="AK50" s="110"/>
      <c r="AL50" s="110"/>
      <c r="AM50" s="110"/>
      <c r="AN50" s="110"/>
      <c r="AO50" s="110"/>
      <c r="AP50" s="110"/>
      <c r="AQ50" s="110"/>
      <c r="AR50" s="110"/>
      <c r="AS50" s="110"/>
      <c r="AT50" s="110"/>
      <c r="AU50" s="110"/>
      <c r="AV50" s="110"/>
      <c r="AW50" s="110"/>
      <c r="AX50" s="110"/>
      <c r="AY50" s="110"/>
    </row>
    <row r="51" spans="1:51">
      <c r="A51" s="109"/>
      <c r="B51" s="119">
        <v>7</v>
      </c>
      <c r="C51" s="109" t="s">
        <v>293</v>
      </c>
      <c r="D51" s="110"/>
      <c r="E51" s="110"/>
      <c r="F51" s="110"/>
      <c r="G51" s="110"/>
      <c r="H51" s="110"/>
      <c r="I51" s="110"/>
      <c r="J51" s="110"/>
      <c r="K51" s="110"/>
      <c r="L51" s="110"/>
      <c r="M51" s="110"/>
      <c r="N51" s="110"/>
      <c r="O51" s="110"/>
      <c r="P51" s="110"/>
      <c r="Q51" s="110"/>
      <c r="R51" s="110"/>
      <c r="S51" s="110"/>
      <c r="T51" s="110"/>
      <c r="U51" s="110"/>
      <c r="V51" s="110"/>
      <c r="W51" s="110"/>
      <c r="X51" s="110"/>
      <c r="Y51" s="110"/>
      <c r="Z51" s="110"/>
      <c r="AA51" s="110"/>
      <c r="AB51" s="110"/>
      <c r="AC51" s="110"/>
      <c r="AD51" s="110"/>
      <c r="AE51" s="110"/>
      <c r="AF51" s="110"/>
      <c r="AG51" s="110"/>
      <c r="AH51" s="110"/>
      <c r="AI51" s="110"/>
      <c r="AJ51" s="110"/>
      <c r="AK51" s="110"/>
      <c r="AL51" s="110"/>
      <c r="AM51" s="110"/>
      <c r="AN51" s="110"/>
      <c r="AO51" s="110"/>
      <c r="AP51" s="110"/>
      <c r="AQ51" s="110"/>
      <c r="AR51" s="110"/>
      <c r="AS51" s="110"/>
      <c r="AT51" s="110"/>
      <c r="AU51" s="110"/>
      <c r="AV51" s="110"/>
      <c r="AW51" s="110"/>
      <c r="AX51" s="110"/>
      <c r="AY51" s="110"/>
    </row>
    <row r="52" spans="1:51">
      <c r="A52" s="109"/>
      <c r="B52" s="119">
        <v>8</v>
      </c>
      <c r="C52" s="109" t="s">
        <v>293</v>
      </c>
      <c r="D52" s="110"/>
      <c r="E52" s="110"/>
      <c r="F52" s="110"/>
      <c r="G52" s="110"/>
      <c r="H52" s="110"/>
      <c r="I52" s="110"/>
      <c r="J52" s="110"/>
      <c r="K52" s="110"/>
      <c r="L52" s="110"/>
      <c r="M52" s="110"/>
      <c r="N52" s="110"/>
      <c r="O52" s="110"/>
      <c r="P52" s="110"/>
      <c r="Q52" s="110"/>
      <c r="R52" s="110"/>
      <c r="S52" s="110"/>
      <c r="T52" s="110"/>
      <c r="U52" s="110"/>
      <c r="V52" s="110"/>
      <c r="W52" s="110"/>
      <c r="X52" s="110"/>
      <c r="Y52" s="110"/>
      <c r="Z52" s="110"/>
      <c r="AA52" s="110"/>
      <c r="AB52" s="110"/>
      <c r="AC52" s="110"/>
      <c r="AD52" s="110"/>
      <c r="AE52" s="110"/>
      <c r="AF52" s="110"/>
      <c r="AG52" s="110"/>
      <c r="AH52" s="110"/>
      <c r="AI52" s="110"/>
      <c r="AJ52" s="110"/>
      <c r="AK52" s="110"/>
      <c r="AL52" s="110"/>
      <c r="AM52" s="110"/>
      <c r="AN52" s="110"/>
      <c r="AO52" s="110"/>
      <c r="AP52" s="110"/>
      <c r="AQ52" s="110"/>
      <c r="AR52" s="110"/>
      <c r="AS52" s="110"/>
      <c r="AT52" s="110"/>
      <c r="AU52" s="110"/>
      <c r="AV52" s="110"/>
      <c r="AW52" s="110"/>
      <c r="AX52" s="110"/>
      <c r="AY52" s="110"/>
    </row>
    <row r="53" spans="1:51">
      <c r="A53" s="109"/>
      <c r="B53" s="119">
        <v>9</v>
      </c>
      <c r="C53" s="109" t="s">
        <v>293</v>
      </c>
      <c r="D53" s="110"/>
      <c r="E53" s="110"/>
      <c r="F53" s="110"/>
      <c r="G53" s="110"/>
      <c r="H53" s="110"/>
      <c r="I53" s="110"/>
      <c r="J53" s="110"/>
      <c r="K53" s="110"/>
      <c r="L53" s="110"/>
      <c r="M53" s="110"/>
      <c r="N53" s="110"/>
      <c r="O53" s="110"/>
      <c r="P53" s="110"/>
      <c r="Q53" s="110"/>
      <c r="R53" s="110"/>
      <c r="S53" s="110"/>
      <c r="T53" s="110"/>
      <c r="U53" s="110"/>
      <c r="V53" s="110"/>
      <c r="W53" s="110"/>
      <c r="X53" s="110"/>
      <c r="Y53" s="110"/>
      <c r="Z53" s="110"/>
      <c r="AA53" s="110"/>
      <c r="AB53" s="110"/>
      <c r="AC53" s="110"/>
      <c r="AD53" s="110"/>
      <c r="AE53" s="110"/>
      <c r="AF53" s="110"/>
      <c r="AG53" s="110"/>
      <c r="AH53" s="110"/>
      <c r="AI53" s="110"/>
      <c r="AJ53" s="110"/>
      <c r="AK53" s="110"/>
      <c r="AL53" s="110"/>
      <c r="AM53" s="110"/>
      <c r="AN53" s="110"/>
      <c r="AO53" s="110"/>
      <c r="AP53" s="110"/>
      <c r="AQ53" s="110"/>
      <c r="AR53" s="110"/>
      <c r="AS53" s="110"/>
      <c r="AT53" s="110"/>
      <c r="AU53" s="110"/>
      <c r="AV53" s="110"/>
      <c r="AW53" s="110"/>
      <c r="AX53" s="110"/>
      <c r="AY53" s="110"/>
    </row>
    <row r="54" spans="1:51">
      <c r="A54" s="109"/>
      <c r="B54" s="119">
        <v>10</v>
      </c>
      <c r="C54" s="109" t="s">
        <v>293</v>
      </c>
      <c r="D54" s="110"/>
      <c r="E54" s="110"/>
      <c r="F54" s="110"/>
      <c r="G54" s="110"/>
      <c r="H54" s="110"/>
      <c r="I54" s="110"/>
      <c r="J54" s="110"/>
      <c r="K54" s="110"/>
      <c r="L54" s="110"/>
      <c r="M54" s="110"/>
      <c r="N54" s="110"/>
      <c r="O54" s="110"/>
      <c r="P54" s="110"/>
      <c r="Q54" s="110"/>
      <c r="R54" s="110"/>
      <c r="S54" s="110"/>
      <c r="T54" s="110"/>
      <c r="U54" s="110"/>
      <c r="V54" s="110"/>
      <c r="W54" s="110"/>
      <c r="X54" s="110"/>
      <c r="Y54" s="110"/>
      <c r="Z54" s="110"/>
      <c r="AA54" s="110"/>
      <c r="AB54" s="110"/>
      <c r="AC54" s="110"/>
      <c r="AD54" s="110"/>
      <c r="AE54" s="110"/>
      <c r="AF54" s="110"/>
      <c r="AG54" s="110"/>
      <c r="AH54" s="110"/>
      <c r="AI54" s="110"/>
      <c r="AJ54" s="110"/>
      <c r="AK54" s="110"/>
      <c r="AL54" s="110"/>
      <c r="AM54" s="110"/>
      <c r="AN54" s="110"/>
      <c r="AO54" s="110"/>
      <c r="AP54" s="110"/>
      <c r="AQ54" s="110"/>
      <c r="AR54" s="110"/>
      <c r="AS54" s="110"/>
      <c r="AT54" s="110"/>
      <c r="AU54" s="110"/>
      <c r="AV54" s="110"/>
      <c r="AW54" s="110"/>
      <c r="AX54" s="110"/>
      <c r="AY54" s="110"/>
    </row>
    <row r="55" spans="1:51">
      <c r="A55" s="109"/>
      <c r="B55" s="119">
        <v>11</v>
      </c>
      <c r="C55" s="109" t="s">
        <v>293</v>
      </c>
      <c r="D55" s="110"/>
      <c r="E55" s="110"/>
      <c r="F55" s="110"/>
      <c r="G55" s="110"/>
      <c r="H55" s="110"/>
      <c r="I55" s="110"/>
      <c r="J55" s="110"/>
      <c r="K55" s="110"/>
      <c r="L55" s="110"/>
      <c r="M55" s="110"/>
      <c r="N55" s="110"/>
      <c r="O55" s="110"/>
      <c r="P55" s="110"/>
      <c r="Q55" s="110"/>
      <c r="R55" s="110"/>
      <c r="S55" s="110"/>
      <c r="T55" s="110"/>
      <c r="U55" s="110"/>
      <c r="V55" s="110"/>
      <c r="W55" s="110"/>
      <c r="X55" s="110"/>
      <c r="Y55" s="110"/>
      <c r="Z55" s="110"/>
      <c r="AA55" s="110"/>
      <c r="AB55" s="110"/>
      <c r="AC55" s="110"/>
      <c r="AD55" s="110"/>
      <c r="AE55" s="110"/>
      <c r="AF55" s="110"/>
      <c r="AG55" s="110"/>
      <c r="AH55" s="110"/>
      <c r="AI55" s="110"/>
      <c r="AJ55" s="110"/>
      <c r="AK55" s="110"/>
      <c r="AL55" s="110"/>
      <c r="AM55" s="110"/>
      <c r="AN55" s="110"/>
      <c r="AO55" s="110"/>
      <c r="AP55" s="110"/>
      <c r="AQ55" s="110"/>
      <c r="AR55" s="110"/>
      <c r="AS55" s="110"/>
      <c r="AT55" s="110"/>
      <c r="AU55" s="110"/>
      <c r="AV55" s="110"/>
      <c r="AW55" s="110"/>
      <c r="AX55" s="110"/>
      <c r="AY55" s="110"/>
    </row>
    <row r="56" spans="1:51">
      <c r="A56" s="109"/>
      <c r="B56" s="119">
        <v>12</v>
      </c>
      <c r="C56" s="109" t="s">
        <v>293</v>
      </c>
      <c r="D56" s="110"/>
      <c r="E56" s="110"/>
      <c r="F56" s="110"/>
      <c r="G56" s="110"/>
      <c r="H56" s="110"/>
      <c r="I56" s="110"/>
      <c r="J56" s="110"/>
      <c r="K56" s="110"/>
      <c r="L56" s="110"/>
      <c r="M56" s="110"/>
      <c r="N56" s="110"/>
      <c r="O56" s="110"/>
      <c r="P56" s="110"/>
      <c r="Q56" s="110"/>
      <c r="R56" s="110"/>
      <c r="S56" s="110"/>
      <c r="T56" s="110"/>
      <c r="U56" s="110"/>
      <c r="V56" s="110"/>
      <c r="W56" s="110"/>
      <c r="X56" s="110"/>
      <c r="Y56" s="110"/>
      <c r="Z56" s="110"/>
      <c r="AA56" s="110"/>
      <c r="AB56" s="110"/>
      <c r="AC56" s="110"/>
      <c r="AD56" s="110"/>
      <c r="AE56" s="110"/>
      <c r="AF56" s="110"/>
      <c r="AG56" s="110"/>
      <c r="AH56" s="110"/>
      <c r="AI56" s="110"/>
      <c r="AJ56" s="110"/>
      <c r="AK56" s="110"/>
      <c r="AL56" s="110"/>
      <c r="AM56" s="110"/>
      <c r="AN56" s="110"/>
      <c r="AO56" s="110"/>
      <c r="AP56" s="110"/>
      <c r="AQ56" s="110"/>
      <c r="AR56" s="110"/>
      <c r="AS56" s="110"/>
      <c r="AT56" s="110"/>
      <c r="AU56" s="110"/>
      <c r="AV56" s="110"/>
      <c r="AW56" s="110"/>
      <c r="AX56" s="110"/>
      <c r="AY56" s="110"/>
    </row>
    <row r="57" spans="1:51">
      <c r="A57" s="109"/>
      <c r="B57" s="120">
        <v>13</v>
      </c>
      <c r="C57" s="109" t="s">
        <v>293</v>
      </c>
      <c r="D57" s="110"/>
      <c r="E57" s="110"/>
      <c r="F57" s="110"/>
      <c r="G57" s="110"/>
      <c r="H57" s="110"/>
      <c r="I57" s="110"/>
      <c r="J57" s="110"/>
      <c r="K57" s="110"/>
      <c r="L57" s="110"/>
      <c r="M57" s="110"/>
      <c r="N57" s="110"/>
      <c r="O57" s="110"/>
      <c r="P57" s="110"/>
      <c r="Q57" s="110"/>
      <c r="R57" s="110"/>
      <c r="S57" s="110"/>
      <c r="T57" s="110"/>
      <c r="U57" s="110"/>
      <c r="V57" s="110"/>
      <c r="W57" s="110"/>
      <c r="X57" s="110"/>
      <c r="Y57" s="110"/>
      <c r="Z57" s="110"/>
      <c r="AA57" s="110"/>
      <c r="AB57" s="110"/>
      <c r="AC57" s="110"/>
      <c r="AD57" s="110"/>
      <c r="AE57" s="110"/>
      <c r="AF57" s="110"/>
      <c r="AG57" s="110"/>
      <c r="AH57" s="110"/>
      <c r="AI57" s="110"/>
      <c r="AJ57" s="110"/>
      <c r="AK57" s="110"/>
      <c r="AL57" s="110"/>
      <c r="AM57" s="110"/>
      <c r="AN57" s="110"/>
      <c r="AO57" s="110"/>
      <c r="AP57" s="110"/>
      <c r="AQ57" s="110"/>
      <c r="AR57" s="110"/>
      <c r="AS57" s="110"/>
      <c r="AT57" s="110"/>
      <c r="AU57" s="110"/>
      <c r="AV57" s="110"/>
      <c r="AW57" s="110"/>
      <c r="AX57" s="110"/>
      <c r="AY57" s="110"/>
    </row>
    <row r="58" spans="1:51">
      <c r="A58" s="109"/>
      <c r="B58" s="120">
        <v>14</v>
      </c>
      <c r="C58" s="109" t="s">
        <v>293</v>
      </c>
      <c r="D58" s="110"/>
      <c r="E58" s="110"/>
      <c r="F58" s="110"/>
      <c r="G58" s="110"/>
      <c r="H58" s="110"/>
      <c r="I58" s="110"/>
      <c r="J58" s="110"/>
      <c r="K58" s="110"/>
      <c r="L58" s="110"/>
      <c r="M58" s="110"/>
      <c r="N58" s="110"/>
      <c r="O58" s="110"/>
      <c r="P58" s="110"/>
      <c r="Q58" s="110"/>
      <c r="R58" s="110"/>
      <c r="S58" s="110"/>
      <c r="T58" s="110"/>
      <c r="U58" s="110"/>
      <c r="V58" s="110"/>
      <c r="W58" s="110"/>
      <c r="X58" s="110"/>
      <c r="Y58" s="110"/>
      <c r="Z58" s="110"/>
      <c r="AA58" s="110"/>
      <c r="AB58" s="110"/>
      <c r="AC58" s="110"/>
      <c r="AD58" s="110"/>
      <c r="AE58" s="110"/>
      <c r="AF58" s="110"/>
      <c r="AG58" s="110"/>
      <c r="AH58" s="110"/>
      <c r="AI58" s="110"/>
      <c r="AJ58" s="110"/>
      <c r="AK58" s="110"/>
      <c r="AL58" s="110"/>
      <c r="AM58" s="110"/>
      <c r="AN58" s="110"/>
      <c r="AO58" s="110"/>
      <c r="AP58" s="110"/>
      <c r="AQ58" s="110"/>
      <c r="AR58" s="110"/>
      <c r="AS58" s="110"/>
      <c r="AT58" s="110"/>
      <c r="AU58" s="110"/>
      <c r="AV58" s="110"/>
      <c r="AW58" s="110"/>
      <c r="AX58" s="110"/>
      <c r="AY58" s="110"/>
    </row>
    <row r="59" spans="1:51">
      <c r="A59" s="109"/>
      <c r="B59" s="120">
        <v>15</v>
      </c>
      <c r="C59" s="109" t="s">
        <v>293</v>
      </c>
      <c r="D59" s="110"/>
      <c r="E59" s="110"/>
      <c r="F59" s="110"/>
      <c r="G59" s="110"/>
      <c r="H59" s="110"/>
      <c r="I59" s="110"/>
      <c r="J59" s="110"/>
      <c r="K59" s="110"/>
      <c r="L59" s="110"/>
      <c r="M59" s="110"/>
      <c r="N59" s="110"/>
      <c r="O59" s="110"/>
      <c r="P59" s="110"/>
      <c r="Q59" s="110"/>
      <c r="R59" s="110"/>
      <c r="S59" s="110"/>
      <c r="T59" s="110"/>
      <c r="U59" s="110"/>
      <c r="V59" s="110"/>
      <c r="W59" s="110"/>
      <c r="X59" s="110"/>
      <c r="Y59" s="110"/>
      <c r="Z59" s="110"/>
      <c r="AA59" s="110"/>
      <c r="AB59" s="110"/>
      <c r="AC59" s="110"/>
      <c r="AD59" s="110"/>
      <c r="AE59" s="110"/>
      <c r="AF59" s="110"/>
      <c r="AG59" s="110"/>
      <c r="AH59" s="110"/>
      <c r="AI59" s="110"/>
      <c r="AJ59" s="110"/>
      <c r="AK59" s="110"/>
      <c r="AL59" s="110"/>
      <c r="AM59" s="110"/>
      <c r="AN59" s="110"/>
      <c r="AO59" s="110"/>
      <c r="AP59" s="110"/>
      <c r="AQ59" s="110"/>
      <c r="AR59" s="110"/>
      <c r="AS59" s="110"/>
      <c r="AT59" s="110"/>
      <c r="AU59" s="110"/>
      <c r="AV59" s="110"/>
      <c r="AW59" s="110"/>
      <c r="AX59" s="110"/>
      <c r="AY59" s="110"/>
    </row>
    <row r="60" spans="1:51">
      <c r="A60" s="109"/>
      <c r="B60" s="120">
        <v>16</v>
      </c>
      <c r="C60" s="109" t="s">
        <v>293</v>
      </c>
      <c r="D60" s="110"/>
      <c r="E60" s="110"/>
      <c r="F60" s="110"/>
      <c r="G60" s="110"/>
      <c r="H60" s="110"/>
      <c r="I60" s="110"/>
      <c r="J60" s="110"/>
      <c r="K60" s="110"/>
      <c r="L60" s="110"/>
      <c r="M60" s="110"/>
      <c r="N60" s="110"/>
      <c r="O60" s="110"/>
      <c r="P60" s="110"/>
      <c r="Q60" s="110"/>
      <c r="R60" s="110"/>
      <c r="S60" s="110"/>
      <c r="T60" s="110"/>
      <c r="U60" s="110"/>
      <c r="V60" s="110"/>
      <c r="W60" s="110"/>
      <c r="X60" s="110"/>
      <c r="Y60" s="110"/>
      <c r="Z60" s="110"/>
      <c r="AA60" s="110"/>
      <c r="AB60" s="110"/>
      <c r="AC60" s="110"/>
      <c r="AD60" s="110"/>
      <c r="AE60" s="110"/>
      <c r="AF60" s="110"/>
      <c r="AG60" s="110"/>
      <c r="AH60" s="110"/>
      <c r="AI60" s="110"/>
      <c r="AJ60" s="110"/>
      <c r="AK60" s="110"/>
      <c r="AL60" s="110"/>
      <c r="AM60" s="110"/>
      <c r="AN60" s="110"/>
      <c r="AO60" s="110"/>
      <c r="AP60" s="110"/>
      <c r="AQ60" s="110"/>
      <c r="AR60" s="110"/>
      <c r="AS60" s="110"/>
      <c r="AT60" s="110"/>
      <c r="AU60" s="110"/>
      <c r="AV60" s="110"/>
      <c r="AW60" s="110"/>
      <c r="AX60" s="110"/>
      <c r="AY60" s="110"/>
    </row>
    <row r="61" spans="1:51">
      <c r="A61" s="109"/>
      <c r="B61" s="120">
        <v>17</v>
      </c>
      <c r="C61" s="109" t="s">
        <v>293</v>
      </c>
      <c r="D61" s="110"/>
      <c r="E61" s="110"/>
      <c r="F61" s="110"/>
      <c r="G61" s="110"/>
      <c r="H61" s="110"/>
      <c r="I61" s="110"/>
      <c r="J61" s="110"/>
      <c r="K61" s="110"/>
      <c r="L61" s="110"/>
      <c r="M61" s="110"/>
      <c r="N61" s="110"/>
      <c r="O61" s="110"/>
      <c r="P61" s="110"/>
      <c r="Q61" s="110"/>
      <c r="R61" s="110"/>
      <c r="S61" s="110"/>
      <c r="T61" s="110"/>
      <c r="U61" s="110"/>
      <c r="V61" s="110"/>
      <c r="W61" s="110"/>
      <c r="X61" s="110"/>
      <c r="Y61" s="110"/>
      <c r="Z61" s="110"/>
      <c r="AA61" s="110"/>
      <c r="AB61" s="110"/>
      <c r="AC61" s="110"/>
      <c r="AD61" s="110"/>
      <c r="AE61" s="110"/>
      <c r="AF61" s="110"/>
      <c r="AG61" s="110"/>
      <c r="AH61" s="110"/>
      <c r="AI61" s="110"/>
      <c r="AJ61" s="110"/>
      <c r="AK61" s="110"/>
      <c r="AL61" s="110"/>
      <c r="AM61" s="110"/>
      <c r="AN61" s="110"/>
      <c r="AO61" s="110"/>
      <c r="AP61" s="110"/>
      <c r="AQ61" s="110"/>
      <c r="AR61" s="110"/>
      <c r="AS61" s="110"/>
      <c r="AT61" s="110"/>
      <c r="AU61" s="110"/>
      <c r="AV61" s="110"/>
      <c r="AW61" s="110"/>
      <c r="AX61" s="110"/>
      <c r="AY61" s="110"/>
    </row>
    <row r="62" spans="1:51">
      <c r="A62" s="109"/>
      <c r="B62" s="120">
        <v>18</v>
      </c>
      <c r="C62" s="109" t="s">
        <v>293</v>
      </c>
      <c r="D62" s="110"/>
      <c r="E62" s="110"/>
      <c r="F62" s="110"/>
      <c r="G62" s="110"/>
      <c r="H62" s="110"/>
      <c r="I62" s="110"/>
      <c r="J62" s="110"/>
      <c r="K62" s="110"/>
      <c r="L62" s="110"/>
      <c r="M62" s="110"/>
      <c r="N62" s="110"/>
      <c r="O62" s="110"/>
      <c r="P62" s="110"/>
      <c r="Q62" s="110"/>
      <c r="R62" s="110"/>
      <c r="S62" s="110"/>
      <c r="T62" s="110"/>
      <c r="U62" s="110"/>
      <c r="V62" s="110"/>
      <c r="W62" s="110"/>
      <c r="X62" s="110"/>
      <c r="Y62" s="110"/>
      <c r="Z62" s="110"/>
      <c r="AA62" s="110"/>
      <c r="AB62" s="110"/>
      <c r="AC62" s="110"/>
      <c r="AD62" s="110"/>
      <c r="AE62" s="110"/>
      <c r="AF62" s="110"/>
      <c r="AG62" s="110"/>
      <c r="AH62" s="110"/>
      <c r="AI62" s="110"/>
      <c r="AJ62" s="110"/>
      <c r="AK62" s="110"/>
      <c r="AL62" s="110"/>
      <c r="AM62" s="110"/>
      <c r="AN62" s="110"/>
      <c r="AO62" s="110"/>
      <c r="AP62" s="110"/>
      <c r="AQ62" s="110"/>
      <c r="AR62" s="110"/>
      <c r="AS62" s="110"/>
      <c r="AT62" s="110"/>
      <c r="AU62" s="110"/>
      <c r="AV62" s="110"/>
      <c r="AW62" s="110"/>
      <c r="AX62" s="110"/>
      <c r="AY62" s="110"/>
    </row>
    <row r="63" spans="1:51">
      <c r="A63" s="109"/>
      <c r="B63" s="120">
        <v>19</v>
      </c>
      <c r="C63" s="109" t="s">
        <v>293</v>
      </c>
      <c r="D63" s="110"/>
      <c r="E63" s="110"/>
      <c r="F63" s="110"/>
      <c r="G63" s="110"/>
      <c r="H63" s="110"/>
      <c r="I63" s="110"/>
      <c r="J63" s="110"/>
      <c r="K63" s="110"/>
      <c r="L63" s="110"/>
      <c r="M63" s="110"/>
      <c r="N63" s="110"/>
      <c r="O63" s="110"/>
      <c r="P63" s="110"/>
      <c r="Q63" s="110"/>
      <c r="R63" s="110"/>
      <c r="S63" s="110"/>
      <c r="T63" s="110"/>
      <c r="U63" s="110"/>
      <c r="V63" s="110"/>
      <c r="W63" s="110"/>
      <c r="X63" s="110"/>
      <c r="Y63" s="110"/>
      <c r="Z63" s="110"/>
      <c r="AA63" s="110"/>
      <c r="AB63" s="110"/>
      <c r="AC63" s="110"/>
      <c r="AD63" s="110"/>
      <c r="AE63" s="110"/>
      <c r="AF63" s="110"/>
      <c r="AG63" s="110"/>
      <c r="AH63" s="110"/>
      <c r="AI63" s="110"/>
      <c r="AJ63" s="110"/>
      <c r="AK63" s="110"/>
      <c r="AL63" s="110"/>
      <c r="AM63" s="110"/>
      <c r="AN63" s="110"/>
      <c r="AO63" s="110"/>
      <c r="AP63" s="110"/>
      <c r="AQ63" s="110"/>
      <c r="AR63" s="110"/>
      <c r="AS63" s="110"/>
      <c r="AT63" s="110"/>
      <c r="AU63" s="110"/>
      <c r="AV63" s="110"/>
      <c r="AW63" s="110"/>
      <c r="AX63" s="110"/>
      <c r="AY63" s="110"/>
    </row>
    <row r="64" spans="1:51">
      <c r="A64" s="109"/>
      <c r="B64" s="120">
        <v>20</v>
      </c>
      <c r="C64" s="109" t="s">
        <v>293</v>
      </c>
      <c r="D64" s="110"/>
      <c r="E64" s="110"/>
      <c r="F64" s="110"/>
      <c r="G64" s="110"/>
      <c r="H64" s="110"/>
      <c r="I64" s="110"/>
      <c r="J64" s="110"/>
      <c r="K64" s="110"/>
      <c r="L64" s="110"/>
      <c r="M64" s="110"/>
      <c r="N64" s="110"/>
      <c r="O64" s="110"/>
      <c r="P64" s="110"/>
      <c r="Q64" s="110"/>
      <c r="R64" s="110"/>
      <c r="S64" s="110"/>
      <c r="T64" s="110"/>
      <c r="U64" s="110"/>
      <c r="V64" s="110"/>
      <c r="W64" s="110"/>
      <c r="X64" s="110"/>
      <c r="Y64" s="110"/>
      <c r="Z64" s="110"/>
      <c r="AA64" s="110"/>
      <c r="AB64" s="110"/>
      <c r="AC64" s="110"/>
      <c r="AD64" s="110"/>
      <c r="AE64" s="110"/>
      <c r="AF64" s="110"/>
      <c r="AG64" s="110"/>
      <c r="AH64" s="110"/>
      <c r="AI64" s="110"/>
      <c r="AJ64" s="110"/>
      <c r="AK64" s="110"/>
      <c r="AL64" s="110"/>
      <c r="AM64" s="110"/>
      <c r="AN64" s="110"/>
      <c r="AO64" s="110"/>
      <c r="AP64" s="110"/>
      <c r="AQ64" s="110"/>
      <c r="AR64" s="110"/>
      <c r="AS64" s="110"/>
      <c r="AT64" s="110"/>
      <c r="AU64" s="110"/>
      <c r="AV64" s="110"/>
      <c r="AW64" s="110"/>
      <c r="AX64" s="110"/>
      <c r="AY64" s="110"/>
    </row>
    <row r="65" spans="1:51">
      <c r="A65" s="109"/>
      <c r="B65" s="120">
        <v>21</v>
      </c>
      <c r="C65" s="109" t="s">
        <v>293</v>
      </c>
      <c r="D65" s="110"/>
      <c r="E65" s="110"/>
      <c r="F65" s="110"/>
      <c r="G65" s="110"/>
      <c r="H65" s="110"/>
      <c r="I65" s="110"/>
      <c r="J65" s="110"/>
      <c r="K65" s="110"/>
      <c r="L65" s="110"/>
      <c r="M65" s="110"/>
      <c r="N65" s="110"/>
      <c r="O65" s="110"/>
      <c r="P65" s="110"/>
      <c r="Q65" s="110"/>
      <c r="R65" s="110"/>
      <c r="S65" s="110"/>
      <c r="T65" s="110"/>
      <c r="U65" s="110"/>
      <c r="V65" s="110"/>
      <c r="W65" s="110"/>
      <c r="X65" s="110"/>
      <c r="Y65" s="110"/>
      <c r="Z65" s="110"/>
      <c r="AA65" s="110"/>
      <c r="AB65" s="110"/>
      <c r="AC65" s="110"/>
      <c r="AD65" s="110"/>
      <c r="AE65" s="110"/>
      <c r="AF65" s="110"/>
      <c r="AG65" s="110"/>
      <c r="AH65" s="110"/>
      <c r="AI65" s="110"/>
      <c r="AJ65" s="110"/>
      <c r="AK65" s="110"/>
      <c r="AL65" s="110"/>
      <c r="AM65" s="110"/>
      <c r="AN65" s="110"/>
      <c r="AO65" s="110"/>
      <c r="AP65" s="110"/>
      <c r="AQ65" s="110"/>
      <c r="AR65" s="110"/>
      <c r="AS65" s="110"/>
      <c r="AT65" s="110"/>
      <c r="AU65" s="110"/>
      <c r="AV65" s="110"/>
      <c r="AW65" s="110"/>
      <c r="AX65" s="110"/>
      <c r="AY65" s="110"/>
    </row>
    <row r="66" spans="1:51">
      <c r="A66" s="109"/>
      <c r="B66" s="120">
        <v>22</v>
      </c>
      <c r="C66" s="109" t="s">
        <v>293</v>
      </c>
      <c r="D66" s="110"/>
      <c r="E66" s="110"/>
      <c r="F66" s="110"/>
      <c r="G66" s="110"/>
      <c r="H66" s="110"/>
      <c r="I66" s="110"/>
      <c r="J66" s="110"/>
      <c r="K66" s="110"/>
      <c r="L66" s="110"/>
      <c r="M66" s="110"/>
      <c r="N66" s="110"/>
      <c r="O66" s="110"/>
      <c r="P66" s="110"/>
      <c r="Q66" s="110"/>
      <c r="R66" s="110"/>
      <c r="S66" s="110"/>
      <c r="T66" s="110"/>
      <c r="U66" s="110"/>
      <c r="V66" s="110"/>
      <c r="W66" s="110"/>
      <c r="X66" s="110"/>
      <c r="Y66" s="110"/>
      <c r="Z66" s="110"/>
      <c r="AA66" s="110"/>
      <c r="AB66" s="110"/>
      <c r="AC66" s="110"/>
      <c r="AD66" s="110"/>
      <c r="AE66" s="110"/>
      <c r="AF66" s="110"/>
      <c r="AG66" s="110"/>
      <c r="AH66" s="110"/>
      <c r="AI66" s="110"/>
      <c r="AJ66" s="110"/>
      <c r="AK66" s="110"/>
      <c r="AL66" s="110"/>
      <c r="AM66" s="110"/>
      <c r="AN66" s="110"/>
      <c r="AO66" s="110"/>
      <c r="AP66" s="110"/>
      <c r="AQ66" s="110"/>
      <c r="AR66" s="110"/>
      <c r="AS66" s="110"/>
      <c r="AT66" s="110"/>
      <c r="AU66" s="110"/>
      <c r="AV66" s="110"/>
      <c r="AW66" s="110"/>
      <c r="AX66" s="110"/>
      <c r="AY66" s="110"/>
    </row>
    <row r="67" spans="1:51">
      <c r="A67" s="109"/>
      <c r="B67" s="120">
        <v>23</v>
      </c>
      <c r="C67" s="109" t="s">
        <v>293</v>
      </c>
      <c r="D67" s="110"/>
      <c r="E67" s="110"/>
      <c r="F67" s="110"/>
      <c r="G67" s="110"/>
      <c r="H67" s="110"/>
      <c r="I67" s="110"/>
      <c r="J67" s="110"/>
      <c r="K67" s="110"/>
      <c r="L67" s="110"/>
      <c r="M67" s="110"/>
      <c r="N67" s="110"/>
      <c r="O67" s="110"/>
      <c r="P67" s="110"/>
      <c r="Q67" s="110"/>
      <c r="R67" s="110"/>
      <c r="S67" s="110"/>
      <c r="T67" s="110"/>
      <c r="U67" s="110"/>
      <c r="V67" s="110"/>
      <c r="W67" s="110"/>
      <c r="X67" s="110"/>
      <c r="Y67" s="110"/>
      <c r="Z67" s="110"/>
      <c r="AA67" s="110"/>
      <c r="AB67" s="110"/>
      <c r="AC67" s="110"/>
      <c r="AD67" s="110"/>
      <c r="AE67" s="110"/>
      <c r="AF67" s="110"/>
      <c r="AG67" s="110"/>
      <c r="AH67" s="110"/>
      <c r="AI67" s="110"/>
      <c r="AJ67" s="110"/>
      <c r="AK67" s="110"/>
      <c r="AL67" s="110"/>
      <c r="AM67" s="110"/>
      <c r="AN67" s="110"/>
      <c r="AO67" s="110"/>
      <c r="AP67" s="110"/>
      <c r="AQ67" s="110"/>
      <c r="AR67" s="110"/>
      <c r="AS67" s="110"/>
      <c r="AT67" s="110"/>
      <c r="AU67" s="110"/>
      <c r="AV67" s="110"/>
      <c r="AW67" s="110"/>
      <c r="AX67" s="110"/>
      <c r="AY67" s="110"/>
    </row>
    <row r="68" spans="1:51">
      <c r="A68" s="109"/>
      <c r="B68" s="120">
        <v>24</v>
      </c>
      <c r="C68" s="109" t="s">
        <v>293</v>
      </c>
      <c r="D68" s="110"/>
      <c r="E68" s="110"/>
      <c r="F68" s="110"/>
      <c r="G68" s="110"/>
      <c r="H68" s="110"/>
      <c r="I68" s="110"/>
      <c r="J68" s="110"/>
      <c r="K68" s="110"/>
      <c r="L68" s="110"/>
      <c r="M68" s="110"/>
      <c r="N68" s="110"/>
      <c r="O68" s="110"/>
      <c r="P68" s="110"/>
      <c r="Q68" s="110"/>
      <c r="R68" s="110"/>
      <c r="S68" s="110"/>
      <c r="T68" s="110"/>
      <c r="U68" s="110"/>
      <c r="V68" s="110"/>
      <c r="W68" s="110"/>
      <c r="X68" s="110"/>
      <c r="Y68" s="110"/>
      <c r="Z68" s="110"/>
      <c r="AA68" s="110"/>
      <c r="AB68" s="110"/>
      <c r="AC68" s="110"/>
      <c r="AD68" s="110"/>
      <c r="AE68" s="110"/>
      <c r="AF68" s="110"/>
      <c r="AG68" s="110"/>
      <c r="AH68" s="110"/>
      <c r="AI68" s="110"/>
      <c r="AJ68" s="110"/>
      <c r="AK68" s="110"/>
      <c r="AL68" s="110"/>
      <c r="AM68" s="110"/>
      <c r="AN68" s="110"/>
      <c r="AO68" s="110"/>
      <c r="AP68" s="110"/>
      <c r="AQ68" s="110"/>
      <c r="AR68" s="110"/>
      <c r="AS68" s="110"/>
      <c r="AT68" s="110"/>
      <c r="AU68" s="110"/>
      <c r="AV68" s="110"/>
      <c r="AW68" s="110"/>
      <c r="AX68" s="110"/>
      <c r="AY68" s="110"/>
    </row>
    <row r="69" spans="1:51">
      <c r="A69" s="109"/>
      <c r="B69" s="127">
        <v>25</v>
      </c>
      <c r="C69" s="109" t="s">
        <v>293</v>
      </c>
      <c r="D69" s="110"/>
      <c r="E69" s="110"/>
      <c r="F69" s="110"/>
      <c r="G69" s="110"/>
      <c r="H69" s="110"/>
      <c r="I69" s="110"/>
      <c r="J69" s="110"/>
      <c r="K69" s="110"/>
      <c r="L69" s="110"/>
      <c r="M69" s="110"/>
      <c r="N69" s="110"/>
      <c r="O69" s="110"/>
      <c r="P69" s="110"/>
      <c r="Q69" s="110"/>
      <c r="R69" s="110"/>
      <c r="S69" s="110"/>
      <c r="T69" s="110"/>
      <c r="U69" s="110"/>
      <c r="V69" s="110"/>
      <c r="W69" s="110"/>
      <c r="X69" s="110"/>
      <c r="Y69" s="110"/>
      <c r="Z69" s="110"/>
      <c r="AA69" s="110"/>
      <c r="AB69" s="110"/>
      <c r="AC69" s="110"/>
      <c r="AD69" s="110"/>
      <c r="AE69" s="110"/>
      <c r="AF69" s="110"/>
      <c r="AG69" s="110"/>
      <c r="AH69" s="110"/>
      <c r="AI69" s="110"/>
      <c r="AJ69" s="110"/>
      <c r="AK69" s="110"/>
      <c r="AL69" s="110"/>
      <c r="AM69" s="110"/>
      <c r="AN69" s="110"/>
      <c r="AO69" s="110"/>
      <c r="AP69" s="110"/>
      <c r="AQ69" s="110"/>
      <c r="AR69" s="110"/>
      <c r="AS69" s="110"/>
      <c r="AT69" s="110"/>
      <c r="AU69" s="110"/>
      <c r="AV69" s="110"/>
      <c r="AW69" s="110"/>
      <c r="AX69" s="110"/>
      <c r="AY69" s="110"/>
    </row>
    <row r="70" spans="1:51">
      <c r="A70" s="109"/>
      <c r="B70" s="127">
        <v>26</v>
      </c>
      <c r="C70" s="109" t="s">
        <v>293</v>
      </c>
      <c r="D70" s="110"/>
      <c r="E70" s="110"/>
      <c r="F70" s="110"/>
      <c r="G70" s="110"/>
      <c r="H70" s="110"/>
      <c r="I70" s="110"/>
      <c r="J70" s="110"/>
      <c r="K70" s="110"/>
      <c r="L70" s="110"/>
      <c r="M70" s="110"/>
      <c r="N70" s="110"/>
      <c r="O70" s="110"/>
      <c r="P70" s="110"/>
      <c r="Q70" s="110"/>
      <c r="R70" s="110"/>
      <c r="S70" s="110"/>
      <c r="T70" s="110"/>
      <c r="U70" s="110"/>
      <c r="V70" s="110"/>
      <c r="W70" s="110"/>
      <c r="X70" s="110"/>
      <c r="Y70" s="110"/>
      <c r="Z70" s="110"/>
      <c r="AA70" s="110"/>
      <c r="AB70" s="110"/>
      <c r="AC70" s="110"/>
      <c r="AD70" s="110"/>
      <c r="AE70" s="110"/>
      <c r="AF70" s="110"/>
      <c r="AG70" s="110"/>
      <c r="AH70" s="110"/>
      <c r="AI70" s="110"/>
      <c r="AJ70" s="110"/>
      <c r="AK70" s="110"/>
      <c r="AL70" s="110"/>
      <c r="AM70" s="110"/>
      <c r="AN70" s="110"/>
      <c r="AO70" s="110"/>
      <c r="AP70" s="110"/>
      <c r="AQ70" s="110"/>
      <c r="AR70" s="110"/>
      <c r="AS70" s="110"/>
      <c r="AT70" s="110"/>
      <c r="AU70" s="110"/>
      <c r="AV70" s="110"/>
      <c r="AW70" s="110"/>
      <c r="AX70" s="110"/>
      <c r="AY70" s="110"/>
    </row>
    <row r="71" spans="1:51">
      <c r="A71" s="109"/>
      <c r="B71" s="127">
        <v>27</v>
      </c>
      <c r="C71" s="109" t="s">
        <v>293</v>
      </c>
      <c r="D71" s="110"/>
      <c r="E71" s="110"/>
      <c r="F71" s="110"/>
      <c r="G71" s="110"/>
      <c r="H71" s="110"/>
      <c r="I71" s="110"/>
      <c r="J71" s="110"/>
      <c r="K71" s="110"/>
      <c r="L71" s="110"/>
      <c r="M71" s="110"/>
      <c r="N71" s="110"/>
      <c r="O71" s="110"/>
      <c r="P71" s="110"/>
      <c r="Q71" s="110"/>
      <c r="R71" s="110"/>
      <c r="S71" s="110"/>
      <c r="T71" s="110"/>
      <c r="U71" s="110"/>
      <c r="V71" s="110"/>
      <c r="W71" s="110"/>
      <c r="X71" s="110"/>
      <c r="Y71" s="110"/>
      <c r="Z71" s="110"/>
      <c r="AA71" s="110"/>
      <c r="AB71" s="110"/>
      <c r="AC71" s="110"/>
      <c r="AD71" s="110"/>
      <c r="AE71" s="110"/>
      <c r="AF71" s="110"/>
      <c r="AG71" s="110"/>
      <c r="AH71" s="110"/>
      <c r="AI71" s="110"/>
      <c r="AJ71" s="110"/>
      <c r="AK71" s="110"/>
      <c r="AL71" s="110"/>
      <c r="AM71" s="110"/>
      <c r="AN71" s="110"/>
      <c r="AO71" s="110"/>
      <c r="AP71" s="110"/>
      <c r="AQ71" s="110"/>
      <c r="AR71" s="110"/>
      <c r="AS71" s="110"/>
      <c r="AT71" s="110"/>
      <c r="AU71" s="110"/>
      <c r="AV71" s="110"/>
      <c r="AW71" s="110"/>
      <c r="AX71" s="110"/>
      <c r="AY71" s="110"/>
    </row>
    <row r="72" spans="1:51">
      <c r="A72" s="109"/>
      <c r="B72" s="127">
        <v>28</v>
      </c>
      <c r="C72" s="109" t="s">
        <v>293</v>
      </c>
      <c r="D72" s="110"/>
      <c r="E72" s="110"/>
      <c r="F72" s="110"/>
      <c r="G72" s="110"/>
      <c r="H72" s="110"/>
      <c r="I72" s="110"/>
      <c r="J72" s="110"/>
      <c r="K72" s="110"/>
      <c r="L72" s="110"/>
      <c r="M72" s="110"/>
      <c r="N72" s="110"/>
      <c r="O72" s="110"/>
      <c r="P72" s="110"/>
      <c r="Q72" s="110"/>
      <c r="R72" s="110"/>
      <c r="S72" s="110"/>
      <c r="T72" s="110"/>
      <c r="U72" s="110"/>
      <c r="V72" s="110"/>
      <c r="W72" s="110"/>
      <c r="X72" s="110"/>
      <c r="Y72" s="110"/>
      <c r="Z72" s="110"/>
      <c r="AA72" s="110"/>
      <c r="AB72" s="110"/>
      <c r="AC72" s="110"/>
      <c r="AD72" s="110"/>
      <c r="AE72" s="110"/>
      <c r="AF72" s="110"/>
      <c r="AG72" s="110"/>
      <c r="AH72" s="110"/>
      <c r="AI72" s="110"/>
      <c r="AJ72" s="110"/>
      <c r="AK72" s="110"/>
      <c r="AL72" s="110"/>
      <c r="AM72" s="110"/>
      <c r="AN72" s="110"/>
      <c r="AO72" s="110"/>
      <c r="AP72" s="110"/>
      <c r="AQ72" s="110"/>
      <c r="AR72" s="110"/>
      <c r="AS72" s="110"/>
      <c r="AT72" s="110"/>
      <c r="AU72" s="110"/>
      <c r="AV72" s="110"/>
      <c r="AW72" s="110"/>
      <c r="AX72" s="110"/>
      <c r="AY72" s="110"/>
    </row>
    <row r="73" spans="1:51">
      <c r="A73" s="109"/>
      <c r="B73" s="127">
        <v>29</v>
      </c>
      <c r="C73" s="109" t="s">
        <v>293</v>
      </c>
      <c r="D73" s="110"/>
      <c r="E73" s="110"/>
      <c r="F73" s="110"/>
      <c r="G73" s="110"/>
      <c r="H73" s="110"/>
      <c r="I73" s="110"/>
      <c r="J73" s="110"/>
      <c r="K73" s="110"/>
      <c r="L73" s="110"/>
      <c r="M73" s="110"/>
      <c r="N73" s="110"/>
      <c r="O73" s="110"/>
      <c r="P73" s="110"/>
      <c r="Q73" s="110"/>
      <c r="R73" s="110"/>
      <c r="S73" s="110"/>
      <c r="T73" s="110"/>
      <c r="U73" s="110"/>
      <c r="V73" s="110"/>
      <c r="W73" s="110"/>
      <c r="X73" s="110"/>
      <c r="Y73" s="110"/>
      <c r="Z73" s="110"/>
      <c r="AA73" s="110"/>
      <c r="AB73" s="110"/>
      <c r="AC73" s="110"/>
      <c r="AD73" s="110"/>
      <c r="AE73" s="110"/>
      <c r="AF73" s="110"/>
      <c r="AG73" s="110"/>
      <c r="AH73" s="110"/>
      <c r="AI73" s="110"/>
      <c r="AJ73" s="110"/>
      <c r="AK73" s="110"/>
      <c r="AL73" s="110"/>
      <c r="AM73" s="110"/>
      <c r="AN73" s="110"/>
      <c r="AO73" s="110"/>
      <c r="AP73" s="110"/>
      <c r="AQ73" s="110"/>
      <c r="AR73" s="110"/>
      <c r="AS73" s="110"/>
      <c r="AT73" s="110"/>
      <c r="AU73" s="110"/>
      <c r="AV73" s="110"/>
      <c r="AW73" s="110"/>
      <c r="AX73" s="110"/>
      <c r="AY73" s="110"/>
    </row>
    <row r="74" spans="1:51">
      <c r="A74" s="109"/>
      <c r="B74" s="127">
        <v>30</v>
      </c>
      <c r="C74" s="109" t="s">
        <v>293</v>
      </c>
      <c r="D74" s="110"/>
      <c r="E74" s="110"/>
      <c r="F74" s="110"/>
      <c r="G74" s="110"/>
      <c r="H74" s="110"/>
      <c r="I74" s="110"/>
      <c r="J74" s="110"/>
      <c r="K74" s="110"/>
      <c r="L74" s="110"/>
      <c r="M74" s="110"/>
      <c r="N74" s="110"/>
      <c r="O74" s="110"/>
      <c r="P74" s="110"/>
      <c r="Q74" s="110"/>
      <c r="R74" s="110"/>
      <c r="S74" s="110"/>
      <c r="T74" s="110"/>
      <c r="U74" s="110"/>
      <c r="V74" s="110"/>
      <c r="W74" s="110"/>
      <c r="X74" s="110"/>
      <c r="Y74" s="110"/>
      <c r="Z74" s="110"/>
      <c r="AA74" s="110"/>
      <c r="AB74" s="110"/>
      <c r="AC74" s="110"/>
      <c r="AD74" s="110"/>
      <c r="AE74" s="110"/>
      <c r="AF74" s="110"/>
      <c r="AG74" s="110"/>
      <c r="AH74" s="110"/>
      <c r="AI74" s="110"/>
      <c r="AJ74" s="110"/>
      <c r="AK74" s="110"/>
      <c r="AL74" s="110"/>
      <c r="AM74" s="110"/>
      <c r="AN74" s="110"/>
      <c r="AO74" s="110"/>
      <c r="AP74" s="110"/>
      <c r="AQ74" s="110"/>
      <c r="AR74" s="110"/>
      <c r="AS74" s="110"/>
      <c r="AT74" s="110"/>
      <c r="AU74" s="110"/>
      <c r="AV74" s="110"/>
      <c r="AW74" s="110"/>
      <c r="AX74" s="110"/>
      <c r="AY74" s="110"/>
    </row>
    <row r="75" spans="1:51">
      <c r="A75" s="109"/>
      <c r="B75" s="127">
        <v>31</v>
      </c>
      <c r="C75" s="109" t="s">
        <v>293</v>
      </c>
      <c r="D75" s="110"/>
      <c r="E75" s="110"/>
      <c r="F75" s="110"/>
      <c r="G75" s="110"/>
      <c r="H75" s="110"/>
      <c r="I75" s="110"/>
      <c r="J75" s="110"/>
      <c r="K75" s="110"/>
      <c r="L75" s="110"/>
      <c r="M75" s="110"/>
      <c r="N75" s="110"/>
      <c r="O75" s="110"/>
      <c r="P75" s="110"/>
      <c r="Q75" s="110"/>
      <c r="R75" s="110"/>
      <c r="S75" s="110"/>
      <c r="T75" s="110"/>
      <c r="U75" s="110"/>
      <c r="V75" s="110"/>
      <c r="W75" s="110"/>
      <c r="X75" s="110"/>
      <c r="Y75" s="110"/>
      <c r="Z75" s="110"/>
      <c r="AA75" s="110"/>
      <c r="AB75" s="110"/>
      <c r="AC75" s="110"/>
      <c r="AD75" s="110"/>
      <c r="AE75" s="110"/>
      <c r="AF75" s="110"/>
      <c r="AG75" s="110"/>
      <c r="AH75" s="110"/>
      <c r="AI75" s="110"/>
      <c r="AJ75" s="110"/>
      <c r="AK75" s="110"/>
      <c r="AL75" s="110"/>
      <c r="AM75" s="110"/>
      <c r="AN75" s="110"/>
      <c r="AO75" s="110"/>
      <c r="AP75" s="110"/>
      <c r="AQ75" s="110"/>
      <c r="AR75" s="110"/>
      <c r="AS75" s="110"/>
      <c r="AT75" s="110"/>
      <c r="AU75" s="110"/>
      <c r="AV75" s="110"/>
      <c r="AW75" s="110"/>
      <c r="AX75" s="110"/>
      <c r="AY75" s="110"/>
    </row>
    <row r="76" spans="1:51">
      <c r="A76" s="109"/>
      <c r="B76" s="127">
        <v>32</v>
      </c>
      <c r="C76" s="109" t="s">
        <v>293</v>
      </c>
      <c r="D76" s="110"/>
      <c r="E76" s="110"/>
      <c r="F76" s="110"/>
      <c r="G76" s="110"/>
      <c r="H76" s="110"/>
      <c r="I76" s="110"/>
      <c r="J76" s="110"/>
      <c r="K76" s="110"/>
      <c r="L76" s="110"/>
      <c r="M76" s="110"/>
      <c r="N76" s="110"/>
      <c r="O76" s="110"/>
      <c r="P76" s="110"/>
      <c r="Q76" s="110"/>
      <c r="R76" s="110"/>
      <c r="S76" s="110"/>
      <c r="T76" s="110"/>
      <c r="U76" s="110"/>
      <c r="V76" s="110"/>
      <c r="W76" s="110"/>
      <c r="X76" s="110"/>
      <c r="Y76" s="110"/>
      <c r="Z76" s="110"/>
      <c r="AA76" s="110"/>
      <c r="AB76" s="110"/>
      <c r="AC76" s="110"/>
      <c r="AD76" s="110"/>
      <c r="AE76" s="110"/>
      <c r="AF76" s="110"/>
      <c r="AG76" s="110"/>
      <c r="AH76" s="110"/>
      <c r="AI76" s="110"/>
      <c r="AJ76" s="110"/>
      <c r="AK76" s="110"/>
      <c r="AL76" s="110"/>
      <c r="AM76" s="110"/>
      <c r="AN76" s="110"/>
      <c r="AO76" s="110"/>
      <c r="AP76" s="110"/>
      <c r="AQ76" s="110"/>
      <c r="AR76" s="110"/>
      <c r="AS76" s="110"/>
      <c r="AT76" s="110"/>
      <c r="AU76" s="110"/>
      <c r="AV76" s="110"/>
      <c r="AW76" s="110"/>
      <c r="AX76" s="110"/>
      <c r="AY76" s="110"/>
    </row>
    <row r="77" spans="1:51">
      <c r="A77" s="109"/>
      <c r="B77" s="127">
        <v>33</v>
      </c>
      <c r="C77" s="109" t="s">
        <v>293</v>
      </c>
      <c r="D77" s="110"/>
      <c r="E77" s="110"/>
      <c r="F77" s="110"/>
      <c r="G77" s="110"/>
      <c r="H77" s="110"/>
      <c r="I77" s="110"/>
      <c r="J77" s="110"/>
      <c r="K77" s="110"/>
      <c r="L77" s="110"/>
      <c r="M77" s="110"/>
      <c r="N77" s="110"/>
      <c r="O77" s="110"/>
      <c r="P77" s="110"/>
      <c r="Q77" s="110"/>
      <c r="R77" s="110"/>
      <c r="S77" s="110"/>
      <c r="T77" s="110"/>
      <c r="U77" s="110"/>
      <c r="V77" s="110"/>
      <c r="W77" s="110"/>
      <c r="X77" s="110"/>
      <c r="Y77" s="110"/>
      <c r="Z77" s="110"/>
      <c r="AA77" s="110"/>
      <c r="AB77" s="110"/>
      <c r="AC77" s="110"/>
      <c r="AD77" s="110"/>
      <c r="AE77" s="110"/>
      <c r="AF77" s="110"/>
      <c r="AG77" s="110"/>
      <c r="AH77" s="110"/>
      <c r="AI77" s="110"/>
      <c r="AJ77" s="110"/>
      <c r="AK77" s="110"/>
      <c r="AL77" s="110"/>
      <c r="AM77" s="110"/>
      <c r="AN77" s="110"/>
      <c r="AO77" s="110"/>
      <c r="AP77" s="110"/>
      <c r="AQ77" s="110"/>
      <c r="AR77" s="110"/>
      <c r="AS77" s="110"/>
      <c r="AT77" s="110"/>
      <c r="AU77" s="110"/>
      <c r="AV77" s="110"/>
      <c r="AW77" s="110"/>
      <c r="AX77" s="110"/>
      <c r="AY77" s="110"/>
    </row>
    <row r="78" spans="1:51">
      <c r="A78" s="109"/>
      <c r="B78" s="127">
        <v>34</v>
      </c>
      <c r="C78" s="109" t="s">
        <v>293</v>
      </c>
      <c r="D78" s="110"/>
      <c r="E78" s="110"/>
      <c r="F78" s="110"/>
      <c r="G78" s="110"/>
      <c r="H78" s="110"/>
      <c r="I78" s="110"/>
      <c r="J78" s="110"/>
      <c r="K78" s="110"/>
      <c r="L78" s="110"/>
      <c r="M78" s="110"/>
      <c r="N78" s="110"/>
      <c r="O78" s="110"/>
      <c r="P78" s="110"/>
      <c r="Q78" s="110"/>
      <c r="R78" s="110"/>
      <c r="S78" s="110"/>
      <c r="T78" s="110"/>
      <c r="U78" s="110"/>
      <c r="V78" s="110"/>
      <c r="W78" s="110"/>
      <c r="X78" s="110"/>
      <c r="Y78" s="110"/>
      <c r="Z78" s="110"/>
      <c r="AA78" s="110"/>
      <c r="AB78" s="110"/>
      <c r="AC78" s="110"/>
      <c r="AD78" s="110"/>
      <c r="AE78" s="110"/>
      <c r="AF78" s="110"/>
      <c r="AG78" s="110"/>
      <c r="AH78" s="110"/>
      <c r="AI78" s="110"/>
      <c r="AJ78" s="110"/>
      <c r="AK78" s="110"/>
      <c r="AL78" s="110"/>
      <c r="AM78" s="110"/>
      <c r="AN78" s="110"/>
      <c r="AO78" s="110"/>
      <c r="AP78" s="110"/>
      <c r="AQ78" s="110"/>
      <c r="AR78" s="110"/>
      <c r="AS78" s="110"/>
      <c r="AT78" s="110"/>
      <c r="AU78" s="110"/>
      <c r="AV78" s="110"/>
      <c r="AW78" s="110"/>
      <c r="AX78" s="110"/>
      <c r="AY78" s="110"/>
    </row>
    <row r="79" spans="1:51">
      <c r="A79" s="109"/>
      <c r="B79" s="127">
        <v>35</v>
      </c>
      <c r="C79" s="109" t="s">
        <v>293</v>
      </c>
      <c r="D79" s="110"/>
      <c r="E79" s="110"/>
      <c r="F79" s="110"/>
      <c r="G79" s="110"/>
      <c r="H79" s="110"/>
      <c r="I79" s="110"/>
      <c r="J79" s="110"/>
      <c r="K79" s="110"/>
      <c r="L79" s="110"/>
      <c r="M79" s="110"/>
      <c r="N79" s="110"/>
      <c r="O79" s="110"/>
      <c r="P79" s="110"/>
      <c r="Q79" s="110"/>
      <c r="R79" s="110"/>
      <c r="S79" s="110"/>
      <c r="T79" s="110"/>
      <c r="U79" s="110"/>
      <c r="V79" s="110"/>
      <c r="W79" s="110"/>
      <c r="X79" s="110"/>
      <c r="Y79" s="110"/>
      <c r="Z79" s="110"/>
      <c r="AA79" s="110"/>
      <c r="AB79" s="110"/>
      <c r="AC79" s="110"/>
      <c r="AD79" s="110"/>
      <c r="AE79" s="110"/>
      <c r="AF79" s="110"/>
      <c r="AG79" s="110"/>
      <c r="AH79" s="110"/>
      <c r="AI79" s="110"/>
      <c r="AJ79" s="110"/>
      <c r="AK79" s="110"/>
      <c r="AL79" s="110"/>
      <c r="AM79" s="110"/>
      <c r="AN79" s="110"/>
      <c r="AO79" s="110"/>
      <c r="AP79" s="110"/>
      <c r="AQ79" s="110"/>
      <c r="AR79" s="110"/>
      <c r="AS79" s="110"/>
      <c r="AT79" s="110"/>
      <c r="AU79" s="110"/>
      <c r="AV79" s="110"/>
      <c r="AW79" s="110"/>
      <c r="AX79" s="110"/>
      <c r="AY79" s="110"/>
    </row>
    <row r="80" spans="1:51">
      <c r="A80" s="109"/>
      <c r="B80" s="127">
        <v>36</v>
      </c>
      <c r="C80" s="109" t="s">
        <v>293</v>
      </c>
      <c r="D80" s="110"/>
      <c r="E80" s="110"/>
      <c r="F80" s="110"/>
      <c r="G80" s="110"/>
      <c r="H80" s="110"/>
      <c r="I80" s="110"/>
      <c r="J80" s="110"/>
      <c r="K80" s="110"/>
      <c r="L80" s="110"/>
      <c r="M80" s="110"/>
      <c r="N80" s="110"/>
      <c r="O80" s="110"/>
      <c r="P80" s="110"/>
      <c r="Q80" s="110"/>
      <c r="R80" s="110"/>
      <c r="S80" s="110"/>
      <c r="T80" s="110"/>
      <c r="U80" s="110"/>
      <c r="V80" s="110"/>
      <c r="W80" s="110"/>
      <c r="X80" s="110"/>
      <c r="Y80" s="110"/>
      <c r="Z80" s="110"/>
      <c r="AA80" s="110"/>
      <c r="AB80" s="110"/>
      <c r="AC80" s="110"/>
      <c r="AD80" s="110"/>
      <c r="AE80" s="110"/>
      <c r="AF80" s="110"/>
      <c r="AG80" s="110"/>
      <c r="AH80" s="110"/>
      <c r="AI80" s="110"/>
      <c r="AJ80" s="110"/>
      <c r="AK80" s="110"/>
      <c r="AL80" s="110"/>
      <c r="AM80" s="110"/>
      <c r="AN80" s="110"/>
      <c r="AO80" s="110"/>
      <c r="AP80" s="110"/>
      <c r="AQ80" s="110"/>
      <c r="AR80" s="110"/>
      <c r="AS80" s="110"/>
      <c r="AT80" s="110"/>
      <c r="AU80" s="110"/>
      <c r="AV80" s="110"/>
      <c r="AW80" s="110"/>
      <c r="AX80" s="110"/>
      <c r="AY80" s="110"/>
    </row>
    <row r="81" spans="1:52">
      <c r="A81" s="109"/>
      <c r="B81" s="130">
        <v>37</v>
      </c>
      <c r="C81" s="109" t="s">
        <v>293</v>
      </c>
      <c r="D81" s="110"/>
      <c r="E81" s="110"/>
      <c r="F81" s="110"/>
      <c r="G81" s="110"/>
      <c r="H81" s="110"/>
      <c r="I81" s="110"/>
      <c r="J81" s="110"/>
      <c r="K81" s="110"/>
      <c r="L81" s="110"/>
      <c r="M81" s="110"/>
      <c r="N81" s="110"/>
      <c r="O81" s="110"/>
      <c r="P81" s="110"/>
      <c r="Q81" s="110"/>
      <c r="R81" s="110"/>
      <c r="S81" s="110"/>
      <c r="T81" s="110"/>
      <c r="U81" s="110"/>
      <c r="V81" s="110"/>
      <c r="W81" s="110"/>
      <c r="X81" s="110"/>
      <c r="Y81" s="110"/>
      <c r="Z81" s="110"/>
      <c r="AA81" s="110"/>
      <c r="AB81" s="110"/>
      <c r="AC81" s="110"/>
      <c r="AD81" s="110"/>
      <c r="AE81" s="110"/>
      <c r="AF81" s="110"/>
      <c r="AG81" s="110"/>
      <c r="AH81" s="110"/>
      <c r="AI81" s="110"/>
      <c r="AJ81" s="110"/>
      <c r="AK81" s="110"/>
      <c r="AL81" s="110"/>
      <c r="AM81" s="110"/>
      <c r="AN81" s="110"/>
      <c r="AO81" s="110"/>
      <c r="AP81" s="110"/>
      <c r="AQ81" s="110"/>
      <c r="AR81" s="110"/>
      <c r="AS81" s="110"/>
      <c r="AT81" s="110"/>
      <c r="AU81" s="110"/>
      <c r="AV81" s="110"/>
      <c r="AW81" s="110"/>
      <c r="AX81" s="110"/>
      <c r="AY81" s="110"/>
    </row>
    <row r="82" spans="1:52">
      <c r="A82" s="109"/>
      <c r="B82" s="130">
        <v>38</v>
      </c>
      <c r="C82" s="109" t="s">
        <v>293</v>
      </c>
      <c r="D82" s="110"/>
      <c r="E82" s="110"/>
      <c r="F82" s="110"/>
      <c r="G82" s="110"/>
      <c r="H82" s="110"/>
      <c r="I82" s="110"/>
      <c r="J82" s="110"/>
      <c r="K82" s="110"/>
      <c r="L82" s="110"/>
      <c r="M82" s="110"/>
      <c r="N82" s="110"/>
      <c r="O82" s="110"/>
      <c r="P82" s="110"/>
      <c r="Q82" s="110"/>
      <c r="R82" s="110"/>
      <c r="S82" s="110"/>
      <c r="T82" s="110"/>
      <c r="U82" s="110"/>
      <c r="V82" s="110"/>
      <c r="W82" s="110"/>
      <c r="X82" s="110"/>
      <c r="Y82" s="110"/>
      <c r="Z82" s="110"/>
      <c r="AA82" s="110"/>
      <c r="AB82" s="110"/>
      <c r="AC82" s="110"/>
      <c r="AD82" s="110"/>
      <c r="AE82" s="110"/>
      <c r="AF82" s="110"/>
      <c r="AG82" s="110"/>
      <c r="AH82" s="110"/>
      <c r="AI82" s="110"/>
      <c r="AJ82" s="110"/>
      <c r="AK82" s="110"/>
      <c r="AL82" s="110"/>
      <c r="AM82" s="110"/>
      <c r="AN82" s="110"/>
      <c r="AO82" s="110"/>
      <c r="AP82" s="110"/>
      <c r="AQ82" s="110"/>
      <c r="AR82" s="110"/>
      <c r="AS82" s="110"/>
      <c r="AT82" s="110"/>
      <c r="AU82" s="110"/>
      <c r="AV82" s="110"/>
      <c r="AW82" s="110"/>
      <c r="AX82" s="110"/>
      <c r="AY82" s="110"/>
    </row>
    <row r="83" spans="1:52">
      <c r="A83" s="109"/>
      <c r="B83" s="130">
        <v>39</v>
      </c>
      <c r="C83" s="109" t="s">
        <v>293</v>
      </c>
      <c r="D83" s="110"/>
      <c r="E83" s="110"/>
      <c r="F83" s="110"/>
      <c r="G83" s="110"/>
      <c r="H83" s="110"/>
      <c r="I83" s="110"/>
      <c r="J83" s="110"/>
      <c r="K83" s="110"/>
      <c r="L83" s="110"/>
      <c r="M83" s="110"/>
      <c r="N83" s="110"/>
      <c r="O83" s="110"/>
      <c r="P83" s="110"/>
      <c r="Q83" s="110"/>
      <c r="R83" s="110"/>
      <c r="S83" s="110"/>
      <c r="T83" s="110"/>
      <c r="U83" s="110"/>
      <c r="V83" s="110"/>
      <c r="W83" s="110"/>
      <c r="X83" s="110"/>
      <c r="Y83" s="110"/>
      <c r="Z83" s="110"/>
      <c r="AA83" s="110"/>
      <c r="AB83" s="110"/>
      <c r="AC83" s="110"/>
      <c r="AD83" s="110"/>
      <c r="AE83" s="110"/>
      <c r="AF83" s="110"/>
      <c r="AG83" s="110"/>
      <c r="AH83" s="110"/>
      <c r="AI83" s="110"/>
      <c r="AJ83" s="110"/>
      <c r="AK83" s="110"/>
      <c r="AL83" s="110"/>
      <c r="AM83" s="110"/>
      <c r="AN83" s="110"/>
      <c r="AO83" s="110"/>
      <c r="AP83" s="110"/>
      <c r="AQ83" s="110"/>
      <c r="AR83" s="110"/>
      <c r="AS83" s="110"/>
      <c r="AT83" s="110"/>
      <c r="AU83" s="110"/>
      <c r="AV83" s="110"/>
      <c r="AW83" s="110"/>
      <c r="AX83" s="110"/>
      <c r="AY83" s="110"/>
    </row>
    <row r="84" spans="1:52">
      <c r="A84" s="109"/>
      <c r="B84" s="130">
        <v>40</v>
      </c>
      <c r="C84" s="109" t="s">
        <v>293</v>
      </c>
      <c r="D84" s="110"/>
      <c r="E84" s="110"/>
      <c r="F84" s="110"/>
      <c r="G84" s="110"/>
      <c r="H84" s="110"/>
      <c r="I84" s="110"/>
      <c r="J84" s="110"/>
      <c r="K84" s="110"/>
      <c r="L84" s="110"/>
      <c r="M84" s="110"/>
      <c r="N84" s="110"/>
      <c r="O84" s="110"/>
      <c r="P84" s="110"/>
      <c r="Q84" s="110"/>
      <c r="R84" s="110"/>
      <c r="S84" s="110"/>
      <c r="T84" s="110"/>
      <c r="U84" s="110"/>
      <c r="V84" s="110"/>
      <c r="W84" s="110"/>
      <c r="X84" s="110"/>
      <c r="Y84" s="110"/>
      <c r="Z84" s="110"/>
      <c r="AA84" s="110"/>
      <c r="AB84" s="110"/>
      <c r="AC84" s="110"/>
      <c r="AD84" s="110"/>
      <c r="AE84" s="110"/>
      <c r="AF84" s="110"/>
      <c r="AG84" s="110"/>
      <c r="AH84" s="110"/>
      <c r="AI84" s="110"/>
      <c r="AJ84" s="110"/>
      <c r="AK84" s="110"/>
      <c r="AL84" s="110"/>
      <c r="AM84" s="110"/>
      <c r="AN84" s="110"/>
      <c r="AO84" s="110"/>
      <c r="AP84" s="110"/>
      <c r="AQ84" s="110"/>
      <c r="AR84" s="110"/>
      <c r="AS84" s="110"/>
      <c r="AT84" s="110"/>
      <c r="AU84" s="110"/>
      <c r="AV84" s="110"/>
      <c r="AW84" s="110"/>
      <c r="AX84" s="110"/>
      <c r="AY84" s="110"/>
    </row>
    <row r="85" spans="1:52">
      <c r="A85" s="109"/>
      <c r="B85" s="130">
        <v>41</v>
      </c>
      <c r="C85" s="109" t="s">
        <v>293</v>
      </c>
      <c r="D85" s="110"/>
      <c r="E85" s="110"/>
      <c r="F85" s="110"/>
      <c r="G85" s="110"/>
      <c r="H85" s="110"/>
      <c r="I85" s="110"/>
      <c r="J85" s="110"/>
      <c r="K85" s="110"/>
      <c r="L85" s="110"/>
      <c r="M85" s="110"/>
      <c r="N85" s="110"/>
      <c r="O85" s="110"/>
      <c r="P85" s="110"/>
      <c r="Q85" s="110"/>
      <c r="R85" s="110"/>
      <c r="S85" s="110"/>
      <c r="T85" s="110"/>
      <c r="U85" s="110"/>
      <c r="V85" s="110"/>
      <c r="W85" s="110"/>
      <c r="X85" s="110"/>
      <c r="Y85" s="110"/>
      <c r="Z85" s="110"/>
      <c r="AA85" s="110"/>
      <c r="AB85" s="110"/>
      <c r="AC85" s="110"/>
      <c r="AD85" s="110"/>
      <c r="AE85" s="110"/>
      <c r="AF85" s="110"/>
      <c r="AG85" s="110"/>
      <c r="AH85" s="110"/>
      <c r="AI85" s="110"/>
      <c r="AJ85" s="110"/>
      <c r="AK85" s="110"/>
      <c r="AL85" s="110"/>
      <c r="AM85" s="110"/>
      <c r="AN85" s="110"/>
      <c r="AO85" s="110"/>
      <c r="AP85" s="110"/>
      <c r="AQ85" s="110"/>
      <c r="AR85" s="110"/>
      <c r="AS85" s="110"/>
      <c r="AT85" s="110"/>
      <c r="AU85" s="110"/>
      <c r="AV85" s="110"/>
      <c r="AW85" s="110"/>
      <c r="AX85" s="110"/>
      <c r="AY85" s="110"/>
    </row>
    <row r="86" spans="1:52">
      <c r="A86" s="109"/>
      <c r="B86" s="130">
        <v>42</v>
      </c>
      <c r="C86" s="109" t="s">
        <v>293</v>
      </c>
      <c r="D86" s="110"/>
      <c r="E86" s="110"/>
      <c r="F86" s="110"/>
      <c r="G86" s="110"/>
      <c r="H86" s="110"/>
      <c r="I86" s="110"/>
      <c r="J86" s="110"/>
      <c r="K86" s="110"/>
      <c r="L86" s="110"/>
      <c r="M86" s="110"/>
      <c r="N86" s="110"/>
      <c r="O86" s="110"/>
      <c r="P86" s="110"/>
      <c r="Q86" s="110"/>
      <c r="R86" s="110"/>
      <c r="S86" s="110"/>
      <c r="T86" s="110"/>
      <c r="U86" s="110"/>
      <c r="V86" s="110"/>
      <c r="W86" s="110"/>
      <c r="X86" s="110"/>
      <c r="Y86" s="110"/>
      <c r="Z86" s="110"/>
      <c r="AA86" s="110"/>
      <c r="AB86" s="110"/>
      <c r="AC86" s="110"/>
      <c r="AD86" s="110"/>
      <c r="AE86" s="110"/>
      <c r="AF86" s="110"/>
      <c r="AG86" s="110"/>
      <c r="AH86" s="110"/>
      <c r="AI86" s="110"/>
      <c r="AJ86" s="110"/>
      <c r="AK86" s="110"/>
      <c r="AL86" s="110"/>
      <c r="AM86" s="110"/>
      <c r="AN86" s="110"/>
      <c r="AO86" s="110"/>
      <c r="AP86" s="110"/>
      <c r="AQ86" s="110"/>
      <c r="AR86" s="110"/>
      <c r="AS86" s="110"/>
      <c r="AT86" s="110"/>
      <c r="AU86" s="110"/>
      <c r="AV86" s="110"/>
      <c r="AW86" s="110"/>
      <c r="AX86" s="110"/>
      <c r="AY86" s="110"/>
    </row>
    <row r="87" spans="1:52">
      <c r="A87" s="109"/>
      <c r="B87" s="130">
        <v>43</v>
      </c>
      <c r="C87" s="109" t="s">
        <v>293</v>
      </c>
      <c r="D87" s="110"/>
      <c r="E87" s="110"/>
      <c r="F87" s="110"/>
      <c r="G87" s="110"/>
      <c r="H87" s="110"/>
      <c r="I87" s="110"/>
      <c r="J87" s="110"/>
      <c r="K87" s="110"/>
      <c r="L87" s="110"/>
      <c r="M87" s="110"/>
      <c r="N87" s="110"/>
      <c r="O87" s="110"/>
      <c r="P87" s="110"/>
      <c r="Q87" s="110"/>
      <c r="R87" s="110"/>
      <c r="S87" s="110"/>
      <c r="T87" s="110"/>
      <c r="U87" s="110"/>
      <c r="V87" s="110"/>
      <c r="W87" s="110"/>
      <c r="X87" s="110"/>
      <c r="Y87" s="110"/>
      <c r="Z87" s="110"/>
      <c r="AA87" s="110"/>
      <c r="AB87" s="110"/>
      <c r="AC87" s="110"/>
      <c r="AD87" s="110"/>
      <c r="AE87" s="110"/>
      <c r="AF87" s="110"/>
      <c r="AG87" s="110"/>
      <c r="AH87" s="110"/>
      <c r="AI87" s="110"/>
      <c r="AJ87" s="110"/>
      <c r="AK87" s="110"/>
      <c r="AL87" s="110"/>
      <c r="AM87" s="110"/>
      <c r="AN87" s="110"/>
      <c r="AO87" s="110"/>
      <c r="AP87" s="110"/>
      <c r="AQ87" s="110"/>
      <c r="AR87" s="110"/>
      <c r="AS87" s="110"/>
      <c r="AT87" s="110"/>
      <c r="AU87" s="110"/>
      <c r="AV87" s="110"/>
      <c r="AW87" s="110"/>
      <c r="AX87" s="110"/>
      <c r="AY87" s="110"/>
    </row>
    <row r="88" spans="1:52">
      <c r="A88" s="109"/>
      <c r="B88" s="130">
        <v>44</v>
      </c>
      <c r="C88" s="109" t="s">
        <v>293</v>
      </c>
      <c r="D88" s="110"/>
      <c r="E88" s="110"/>
      <c r="F88" s="110"/>
      <c r="G88" s="110"/>
      <c r="H88" s="110"/>
      <c r="I88" s="110"/>
      <c r="J88" s="110"/>
      <c r="K88" s="110"/>
      <c r="L88" s="110"/>
      <c r="M88" s="110"/>
      <c r="N88" s="110"/>
      <c r="O88" s="110"/>
      <c r="P88" s="110"/>
      <c r="Q88" s="110"/>
      <c r="R88" s="110"/>
      <c r="S88" s="110"/>
      <c r="T88" s="110"/>
      <c r="U88" s="110"/>
      <c r="V88" s="110"/>
      <c r="W88" s="110"/>
      <c r="X88" s="110"/>
      <c r="Y88" s="110"/>
      <c r="Z88" s="110"/>
      <c r="AA88" s="110"/>
      <c r="AB88" s="110"/>
      <c r="AC88" s="110"/>
      <c r="AD88" s="110"/>
      <c r="AE88" s="110"/>
      <c r="AF88" s="110"/>
      <c r="AG88" s="110"/>
      <c r="AH88" s="110"/>
      <c r="AI88" s="110"/>
      <c r="AJ88" s="110"/>
      <c r="AK88" s="110"/>
      <c r="AL88" s="110"/>
      <c r="AM88" s="110"/>
      <c r="AN88" s="110"/>
      <c r="AO88" s="110"/>
      <c r="AP88" s="110"/>
      <c r="AQ88" s="110"/>
      <c r="AR88" s="110"/>
      <c r="AS88" s="110"/>
      <c r="AT88" s="110"/>
      <c r="AU88" s="110"/>
      <c r="AV88" s="110"/>
      <c r="AW88" s="110"/>
      <c r="AX88" s="110"/>
      <c r="AY88" s="110"/>
    </row>
    <row r="89" spans="1:52">
      <c r="A89" s="109"/>
      <c r="B89" s="130">
        <v>45</v>
      </c>
      <c r="C89" s="109" t="s">
        <v>293</v>
      </c>
      <c r="D89" s="110"/>
      <c r="E89" s="110"/>
      <c r="F89" s="110"/>
      <c r="G89" s="110"/>
      <c r="H89" s="110"/>
      <c r="I89" s="110"/>
      <c r="J89" s="110"/>
      <c r="K89" s="110"/>
      <c r="L89" s="110"/>
      <c r="M89" s="110"/>
      <c r="N89" s="110"/>
      <c r="O89" s="110"/>
      <c r="P89" s="110"/>
      <c r="Q89" s="110"/>
      <c r="R89" s="110"/>
      <c r="S89" s="110"/>
      <c r="T89" s="110"/>
      <c r="U89" s="110"/>
      <c r="V89" s="110"/>
      <c r="W89" s="110"/>
      <c r="X89" s="110"/>
      <c r="Y89" s="110"/>
      <c r="Z89" s="110"/>
      <c r="AA89" s="110"/>
      <c r="AB89" s="110"/>
      <c r="AC89" s="110"/>
      <c r="AD89" s="110"/>
      <c r="AE89" s="110"/>
      <c r="AF89" s="110"/>
      <c r="AG89" s="110"/>
      <c r="AH89" s="110"/>
      <c r="AI89" s="110"/>
      <c r="AJ89" s="110"/>
      <c r="AK89" s="110"/>
      <c r="AL89" s="110"/>
      <c r="AM89" s="110"/>
      <c r="AN89" s="110"/>
      <c r="AO89" s="110"/>
      <c r="AP89" s="110"/>
      <c r="AQ89" s="110"/>
      <c r="AR89" s="110"/>
      <c r="AS89" s="110"/>
      <c r="AT89" s="110"/>
      <c r="AU89" s="110"/>
      <c r="AV89" s="110"/>
      <c r="AW89" s="110"/>
      <c r="AX89" s="110"/>
      <c r="AY89" s="110"/>
    </row>
    <row r="90" spans="1:52">
      <c r="A90" s="109"/>
      <c r="B90" s="130">
        <v>46</v>
      </c>
      <c r="C90" s="109" t="s">
        <v>293</v>
      </c>
      <c r="D90" s="110"/>
      <c r="E90" s="110"/>
      <c r="F90" s="110"/>
      <c r="G90" s="110"/>
      <c r="H90" s="110"/>
      <c r="I90" s="110"/>
      <c r="J90" s="110"/>
      <c r="K90" s="110"/>
      <c r="L90" s="110"/>
      <c r="M90" s="110"/>
      <c r="N90" s="110"/>
      <c r="O90" s="110"/>
      <c r="P90" s="110"/>
      <c r="Q90" s="110"/>
      <c r="R90" s="110"/>
      <c r="S90" s="110"/>
      <c r="T90" s="110"/>
      <c r="U90" s="110"/>
      <c r="V90" s="110"/>
      <c r="W90" s="110"/>
      <c r="X90" s="110"/>
      <c r="Y90" s="110"/>
      <c r="Z90" s="110"/>
      <c r="AA90" s="110"/>
      <c r="AB90" s="110"/>
      <c r="AC90" s="110"/>
      <c r="AD90" s="110"/>
      <c r="AE90" s="110"/>
      <c r="AF90" s="110"/>
      <c r="AG90" s="110"/>
      <c r="AH90" s="110"/>
      <c r="AI90" s="110"/>
      <c r="AJ90" s="110"/>
      <c r="AK90" s="110"/>
      <c r="AL90" s="110"/>
      <c r="AM90" s="110"/>
      <c r="AN90" s="110"/>
      <c r="AO90" s="110"/>
      <c r="AP90" s="110"/>
      <c r="AQ90" s="110"/>
      <c r="AR90" s="110"/>
      <c r="AS90" s="110"/>
      <c r="AT90" s="110"/>
      <c r="AU90" s="110"/>
      <c r="AV90" s="110"/>
      <c r="AW90" s="110"/>
      <c r="AX90" s="110"/>
      <c r="AY90" s="110"/>
    </row>
    <row r="91" spans="1:52">
      <c r="A91" s="109"/>
      <c r="B91" s="130">
        <v>47</v>
      </c>
      <c r="C91" s="109" t="s">
        <v>293</v>
      </c>
      <c r="D91" s="110"/>
      <c r="E91" s="110"/>
      <c r="F91" s="110"/>
      <c r="G91" s="110"/>
      <c r="H91" s="110"/>
      <c r="I91" s="110"/>
      <c r="J91" s="110"/>
      <c r="K91" s="110"/>
      <c r="L91" s="110"/>
      <c r="M91" s="110"/>
      <c r="N91" s="110"/>
      <c r="O91" s="110"/>
      <c r="P91" s="110"/>
      <c r="Q91" s="110"/>
      <c r="R91" s="110"/>
      <c r="S91" s="110"/>
      <c r="T91" s="110"/>
      <c r="U91" s="110"/>
      <c r="V91" s="110"/>
      <c r="W91" s="110"/>
      <c r="X91" s="110"/>
      <c r="Y91" s="110"/>
      <c r="Z91" s="110"/>
      <c r="AA91" s="110"/>
      <c r="AB91" s="110"/>
      <c r="AC91" s="110"/>
      <c r="AD91" s="110"/>
      <c r="AE91" s="110"/>
      <c r="AF91" s="110"/>
      <c r="AG91" s="110"/>
      <c r="AH91" s="110"/>
      <c r="AI91" s="110"/>
      <c r="AJ91" s="110"/>
      <c r="AK91" s="110"/>
      <c r="AL91" s="110"/>
      <c r="AM91" s="110"/>
      <c r="AN91" s="110"/>
      <c r="AO91" s="110"/>
      <c r="AP91" s="110"/>
      <c r="AQ91" s="110"/>
      <c r="AR91" s="110"/>
      <c r="AS91" s="110"/>
      <c r="AT91" s="110"/>
      <c r="AU91" s="110"/>
      <c r="AV91" s="110"/>
      <c r="AW91" s="110"/>
      <c r="AX91" s="110"/>
      <c r="AY91" s="110"/>
    </row>
    <row r="92" spans="1:52">
      <c r="A92" s="128"/>
      <c r="B92" s="129">
        <v>48</v>
      </c>
      <c r="C92" s="128" t="s">
        <v>293</v>
      </c>
      <c r="D92" s="125">
        <v>0</v>
      </c>
      <c r="E92" s="125">
        <v>0</v>
      </c>
      <c r="F92" s="125">
        <v>0</v>
      </c>
      <c r="G92" s="125">
        <v>0</v>
      </c>
      <c r="H92" s="125">
        <v>0</v>
      </c>
      <c r="I92" s="125">
        <v>0</v>
      </c>
      <c r="J92" s="125">
        <v>0</v>
      </c>
      <c r="K92" s="125">
        <v>0</v>
      </c>
      <c r="L92" s="125">
        <v>0</v>
      </c>
      <c r="M92" s="125">
        <v>0</v>
      </c>
      <c r="N92" s="125">
        <v>0</v>
      </c>
      <c r="O92" s="125">
        <v>0</v>
      </c>
      <c r="P92" s="125">
        <v>0</v>
      </c>
      <c r="Q92" s="125">
        <v>0</v>
      </c>
      <c r="R92" s="125">
        <v>0</v>
      </c>
      <c r="S92" s="125">
        <v>0</v>
      </c>
      <c r="T92" s="125">
        <v>0</v>
      </c>
      <c r="U92" s="125">
        <v>0</v>
      </c>
      <c r="V92" s="125">
        <v>0</v>
      </c>
      <c r="W92" s="125">
        <v>0</v>
      </c>
      <c r="X92" s="125">
        <v>0</v>
      </c>
      <c r="Y92" s="125">
        <v>0</v>
      </c>
      <c r="Z92" s="125">
        <v>0</v>
      </c>
      <c r="AA92" s="125">
        <v>0</v>
      </c>
      <c r="AB92" s="125">
        <v>0</v>
      </c>
      <c r="AC92" s="125">
        <v>0</v>
      </c>
      <c r="AD92" s="125">
        <v>0</v>
      </c>
      <c r="AE92" s="125">
        <v>0</v>
      </c>
      <c r="AF92" s="125">
        <v>0</v>
      </c>
      <c r="AG92" s="125">
        <v>0</v>
      </c>
      <c r="AH92" s="125">
        <v>0</v>
      </c>
      <c r="AI92" s="125">
        <v>0</v>
      </c>
      <c r="AJ92" s="125">
        <v>0</v>
      </c>
      <c r="AK92" s="125">
        <v>0</v>
      </c>
      <c r="AL92" s="125">
        <v>0</v>
      </c>
      <c r="AM92" s="125">
        <v>0</v>
      </c>
      <c r="AN92" s="125">
        <v>0</v>
      </c>
      <c r="AO92" s="125">
        <v>0</v>
      </c>
      <c r="AP92" s="125">
        <v>0</v>
      </c>
      <c r="AQ92" s="125">
        <v>0</v>
      </c>
      <c r="AR92" s="125">
        <v>0</v>
      </c>
      <c r="AS92" s="125">
        <v>0</v>
      </c>
      <c r="AT92" s="125">
        <v>0</v>
      </c>
      <c r="AU92" s="125">
        <v>0</v>
      </c>
      <c r="AV92" s="125">
        <v>0</v>
      </c>
      <c r="AW92" s="125">
        <v>0</v>
      </c>
      <c r="AX92" s="125">
        <v>0</v>
      </c>
      <c r="AY92" s="125">
        <v>0</v>
      </c>
      <c r="AZ92" s="107">
        <f>SUM(D21:AY92)</f>
        <v>0</v>
      </c>
    </row>
    <row r="94" spans="1:52">
      <c r="A94" s="102" t="s">
        <v>295</v>
      </c>
      <c r="B94" s="106"/>
      <c r="C94" s="106"/>
      <c r="D94" s="114"/>
      <c r="E94" s="114"/>
      <c r="F94" s="114"/>
      <c r="G94" s="114"/>
      <c r="H94" s="114"/>
      <c r="I94" s="114"/>
      <c r="J94" s="114"/>
      <c r="K94" s="114"/>
      <c r="L94" s="114"/>
      <c r="M94" s="114"/>
      <c r="N94" s="114"/>
      <c r="O94" s="114"/>
      <c r="P94" s="114"/>
      <c r="Q94" s="114"/>
      <c r="R94" s="114"/>
      <c r="S94" s="114"/>
      <c r="T94" s="114"/>
      <c r="U94" s="114"/>
      <c r="V94" s="114"/>
      <c r="W94" s="114"/>
      <c r="X94" s="114"/>
      <c r="Y94" s="114"/>
      <c r="Z94" s="114"/>
      <c r="AA94" s="114"/>
      <c r="AB94" s="114"/>
      <c r="AC94" s="114"/>
      <c r="AD94" s="114"/>
      <c r="AE94" s="114"/>
      <c r="AF94" s="114"/>
      <c r="AG94" s="114"/>
      <c r="AH94" s="114"/>
      <c r="AI94" s="114"/>
      <c r="AJ94" s="114"/>
      <c r="AK94" s="114"/>
      <c r="AL94" s="114"/>
      <c r="AM94" s="114"/>
      <c r="AN94" s="114"/>
      <c r="AO94" s="114"/>
      <c r="AP94" s="114"/>
      <c r="AQ94" s="114"/>
      <c r="AR94" s="114"/>
      <c r="AS94" s="114"/>
      <c r="AT94" s="114"/>
      <c r="AU94" s="114"/>
      <c r="AV94" s="114"/>
      <c r="AW94" s="114"/>
      <c r="AX94" s="114"/>
      <c r="AY94" s="114"/>
    </row>
    <row r="95" spans="1:52">
      <c r="A95" s="126" t="s">
        <v>125</v>
      </c>
      <c r="B95" s="123">
        <v>1</v>
      </c>
      <c r="C95" s="124">
        <v>160.00000000000003</v>
      </c>
      <c r="D95" s="110">
        <v>198.81834908592074</v>
      </c>
      <c r="E95" s="110">
        <v>198.81834908592074</v>
      </c>
      <c r="F95" s="110">
        <v>198.81834908592074</v>
      </c>
      <c r="G95" s="110">
        <v>198.81834908592074</v>
      </c>
      <c r="H95" s="110">
        <v>159.05467926873661</v>
      </c>
      <c r="I95" s="110">
        <v>159.05467926873661</v>
      </c>
      <c r="J95" s="110">
        <v>159.05467926873661</v>
      </c>
      <c r="K95" s="110">
        <v>159.05467926873661</v>
      </c>
      <c r="L95" s="110">
        <v>198.81834908592074</v>
      </c>
      <c r="M95" s="110">
        <v>198.81834908592074</v>
      </c>
      <c r="N95" s="110">
        <v>198.81834908592074</v>
      </c>
      <c r="O95" s="110">
        <v>198.81834908592074</v>
      </c>
      <c r="P95" s="110">
        <v>198.81834908592074</v>
      </c>
      <c r="Q95" s="110">
        <v>198.81834908592074</v>
      </c>
      <c r="R95" s="110">
        <v>198.81834908592074</v>
      </c>
      <c r="S95" s="110">
        <v>198.81834908592074</v>
      </c>
      <c r="T95" s="110">
        <v>198.81834908592074</v>
      </c>
      <c r="U95" s="110">
        <v>198.81834908592074</v>
      </c>
      <c r="V95" s="110">
        <v>198.81834908592074</v>
      </c>
      <c r="W95" s="110">
        <v>198.81834908592074</v>
      </c>
      <c r="X95" s="110">
        <v>198.81834908592074</v>
      </c>
      <c r="Y95" s="110">
        <v>198.81834908592074</v>
      </c>
      <c r="Z95" s="110">
        <v>198.81834908592074</v>
      </c>
      <c r="AA95" s="110">
        <v>198.81834908592074</v>
      </c>
      <c r="AB95" s="110">
        <v>238.58201890310488</v>
      </c>
      <c r="AC95" s="110">
        <v>238.58201890310488</v>
      </c>
      <c r="AD95" s="110">
        <v>238.58201890310488</v>
      </c>
      <c r="AE95" s="110">
        <v>238.58201890310488</v>
      </c>
      <c r="AF95" s="110">
        <v>198.81834908592074</v>
      </c>
      <c r="AG95" s="110">
        <v>198.81834908592074</v>
      </c>
      <c r="AH95" s="110">
        <v>198.81834908592074</v>
      </c>
      <c r="AI95" s="110">
        <v>198.81834908592074</v>
      </c>
      <c r="AJ95" s="110">
        <v>238.58201890310488</v>
      </c>
      <c r="AK95" s="110">
        <v>238.58201890310488</v>
      </c>
      <c r="AL95" s="110">
        <v>238.58201890310488</v>
      </c>
      <c r="AM95" s="110">
        <v>238.58201890310488</v>
      </c>
      <c r="AN95" s="110">
        <v>238.58201890310488</v>
      </c>
      <c r="AO95" s="110">
        <v>238.58201890310488</v>
      </c>
      <c r="AP95" s="110">
        <v>238.58201890310488</v>
      </c>
      <c r="AQ95" s="110">
        <v>238.58201890310488</v>
      </c>
      <c r="AR95" s="110">
        <v>198.81834908592074</v>
      </c>
      <c r="AS95" s="110">
        <v>198.81834908592074</v>
      </c>
      <c r="AT95" s="110">
        <v>198.81834908592074</v>
      </c>
      <c r="AU95" s="110">
        <v>198.81834908592074</v>
      </c>
      <c r="AV95" s="110">
        <v>2.5889261594710171E-23</v>
      </c>
      <c r="AW95" s="110">
        <v>2.5889261594710171E-23</v>
      </c>
      <c r="AX95" s="110">
        <v>2.5889261594710171E-23</v>
      </c>
      <c r="AY95" s="110">
        <v>2.5889261594710171E-23</v>
      </c>
    </row>
    <row r="96" spans="1:52">
      <c r="A96" s="109"/>
      <c r="B96" s="120">
        <v>2</v>
      </c>
      <c r="C96" s="110">
        <v>160.00000000000003</v>
      </c>
      <c r="D96" s="110">
        <v>160.00000000000003</v>
      </c>
      <c r="E96" s="110">
        <v>198.81834908592074</v>
      </c>
      <c r="F96" s="110">
        <v>198.81834908592074</v>
      </c>
      <c r="G96" s="110">
        <v>198.81834908592074</v>
      </c>
      <c r="H96" s="110">
        <v>198.81834908592074</v>
      </c>
      <c r="I96" s="110">
        <v>159.05467926873661</v>
      </c>
      <c r="J96" s="110">
        <v>159.05467926873661</v>
      </c>
      <c r="K96" s="110">
        <v>159.05467926873661</v>
      </c>
      <c r="L96" s="110">
        <v>159.05467926873661</v>
      </c>
      <c r="M96" s="110">
        <v>198.81834908592074</v>
      </c>
      <c r="N96" s="110">
        <v>198.81834908592074</v>
      </c>
      <c r="O96" s="110">
        <v>198.81834908592074</v>
      </c>
      <c r="P96" s="110">
        <v>198.81834908592074</v>
      </c>
      <c r="Q96" s="110">
        <v>198.81834908592074</v>
      </c>
      <c r="R96" s="110">
        <v>198.81834908592074</v>
      </c>
      <c r="S96" s="110">
        <v>198.81834908592074</v>
      </c>
      <c r="T96" s="110">
        <v>198.81834908592074</v>
      </c>
      <c r="U96" s="110">
        <v>198.81834908592074</v>
      </c>
      <c r="V96" s="110">
        <v>198.81834908592074</v>
      </c>
      <c r="W96" s="110">
        <v>198.81834908592074</v>
      </c>
      <c r="X96" s="110">
        <v>198.81834908592074</v>
      </c>
      <c r="Y96" s="110">
        <v>198.81834908592074</v>
      </c>
      <c r="Z96" s="110">
        <v>198.81834908592074</v>
      </c>
      <c r="AA96" s="110">
        <v>198.81834908592074</v>
      </c>
      <c r="AB96" s="110">
        <v>198.81834908592074</v>
      </c>
      <c r="AC96" s="110">
        <v>238.58201890310488</v>
      </c>
      <c r="AD96" s="110">
        <v>238.58201890310488</v>
      </c>
      <c r="AE96" s="110">
        <v>238.58201890310488</v>
      </c>
      <c r="AF96" s="110">
        <v>238.58201890310488</v>
      </c>
      <c r="AG96" s="110">
        <v>198.81834908592074</v>
      </c>
      <c r="AH96" s="110">
        <v>198.81834908592074</v>
      </c>
      <c r="AI96" s="110">
        <v>198.81834908592074</v>
      </c>
      <c r="AJ96" s="110">
        <v>198.81834908592074</v>
      </c>
      <c r="AK96" s="110">
        <v>238.58201890310488</v>
      </c>
      <c r="AL96" s="110">
        <v>238.58201890310488</v>
      </c>
      <c r="AM96" s="110">
        <v>238.58201890310488</v>
      </c>
      <c r="AN96" s="110">
        <v>238.58201890310488</v>
      </c>
      <c r="AO96" s="110">
        <v>238.58201890310488</v>
      </c>
      <c r="AP96" s="110">
        <v>238.58201890310488</v>
      </c>
      <c r="AQ96" s="110">
        <v>238.58201890310488</v>
      </c>
      <c r="AR96" s="110">
        <v>238.58201890310488</v>
      </c>
      <c r="AS96" s="110">
        <v>198.81834908592074</v>
      </c>
      <c r="AT96" s="110">
        <v>198.81834908592074</v>
      </c>
      <c r="AU96" s="110">
        <v>198.81834908592074</v>
      </c>
      <c r="AV96" s="110">
        <v>198.81834908592074</v>
      </c>
      <c r="AW96" s="110">
        <v>2.5889261594710171E-23</v>
      </c>
      <c r="AX96" s="110">
        <v>2.5889261594710171E-23</v>
      </c>
      <c r="AY96" s="110">
        <v>2.5889261594710171E-23</v>
      </c>
    </row>
    <row r="97" spans="1:52">
      <c r="A97" s="109"/>
      <c r="B97" s="127">
        <v>3</v>
      </c>
      <c r="C97" s="110">
        <v>160.00000000000003</v>
      </c>
      <c r="D97" s="110">
        <v>160.00000000000003</v>
      </c>
      <c r="E97" s="110">
        <v>160.00000000000003</v>
      </c>
      <c r="F97" s="110">
        <v>198.81834908592074</v>
      </c>
      <c r="G97" s="110">
        <v>198.81834908592074</v>
      </c>
      <c r="H97" s="110">
        <v>198.81834908592074</v>
      </c>
      <c r="I97" s="110">
        <v>198.81834908592074</v>
      </c>
      <c r="J97" s="110">
        <v>159.05467926873661</v>
      </c>
      <c r="K97" s="110">
        <v>159.05467926873661</v>
      </c>
      <c r="L97" s="110">
        <v>159.05467926873661</v>
      </c>
      <c r="M97" s="110">
        <v>159.05467926873661</v>
      </c>
      <c r="N97" s="110">
        <v>198.81834908592074</v>
      </c>
      <c r="O97" s="110">
        <v>198.81834908592074</v>
      </c>
      <c r="P97" s="110">
        <v>198.81834908592074</v>
      </c>
      <c r="Q97" s="110">
        <v>198.81834908592074</v>
      </c>
      <c r="R97" s="110">
        <v>198.81834908592074</v>
      </c>
      <c r="S97" s="110">
        <v>198.81834908592074</v>
      </c>
      <c r="T97" s="110">
        <v>198.81834908592074</v>
      </c>
      <c r="U97" s="110">
        <v>198.81834908592074</v>
      </c>
      <c r="V97" s="110">
        <v>198.81834908592074</v>
      </c>
      <c r="W97" s="110">
        <v>198.81834908592074</v>
      </c>
      <c r="X97" s="110">
        <v>198.81834908592074</v>
      </c>
      <c r="Y97" s="110">
        <v>198.81834908592074</v>
      </c>
      <c r="Z97" s="110">
        <v>198.81834908592074</v>
      </c>
      <c r="AA97" s="110">
        <v>198.81834908592074</v>
      </c>
      <c r="AB97" s="110">
        <v>198.81834908592074</v>
      </c>
      <c r="AC97" s="110">
        <v>198.81834908592074</v>
      </c>
      <c r="AD97" s="110">
        <v>238.58201890310488</v>
      </c>
      <c r="AE97" s="110">
        <v>238.58201890310488</v>
      </c>
      <c r="AF97" s="110">
        <v>238.58201890310488</v>
      </c>
      <c r="AG97" s="110">
        <v>238.58201890310488</v>
      </c>
      <c r="AH97" s="110">
        <v>198.81834908592074</v>
      </c>
      <c r="AI97" s="110">
        <v>198.81834908592074</v>
      </c>
      <c r="AJ97" s="110">
        <v>198.81834908592074</v>
      </c>
      <c r="AK97" s="110">
        <v>198.81834908592074</v>
      </c>
      <c r="AL97" s="110">
        <v>238.58201890310488</v>
      </c>
      <c r="AM97" s="110">
        <v>238.58201890310488</v>
      </c>
      <c r="AN97" s="110">
        <v>238.58201890310488</v>
      </c>
      <c r="AO97" s="110">
        <v>238.58201890310488</v>
      </c>
      <c r="AP97" s="110">
        <v>238.58201890310488</v>
      </c>
      <c r="AQ97" s="110">
        <v>238.58201890310488</v>
      </c>
      <c r="AR97" s="110">
        <v>238.58201890310488</v>
      </c>
      <c r="AS97" s="110">
        <v>238.58201890310488</v>
      </c>
      <c r="AT97" s="110">
        <v>198.81834908592074</v>
      </c>
      <c r="AU97" s="110">
        <v>198.81834908592074</v>
      </c>
      <c r="AV97" s="110">
        <v>198.81834908592074</v>
      </c>
      <c r="AW97" s="110">
        <v>198.81834908592074</v>
      </c>
      <c r="AX97" s="110">
        <v>2.5889261594710171E-23</v>
      </c>
      <c r="AY97" s="110">
        <v>2.5889261594710171E-23</v>
      </c>
    </row>
    <row r="98" spans="1:52">
      <c r="A98" s="109"/>
      <c r="B98" s="130">
        <v>4</v>
      </c>
      <c r="C98" s="106">
        <v>79.000000000000824</v>
      </c>
      <c r="D98" s="110">
        <v>56.000000000000853</v>
      </c>
      <c r="E98" s="110">
        <v>86.000000000000881</v>
      </c>
      <c r="F98" s="110">
        <v>115.00000000000091</v>
      </c>
      <c r="G98" s="110">
        <v>134.81834908592165</v>
      </c>
      <c r="H98" s="110">
        <v>161.6366981718424</v>
      </c>
      <c r="I98" s="110">
        <v>182.45504725776314</v>
      </c>
      <c r="J98" s="110">
        <v>198.81834908592074</v>
      </c>
      <c r="K98" s="110">
        <v>159.05467926873661</v>
      </c>
      <c r="L98" s="110">
        <v>159.05467926873661</v>
      </c>
      <c r="M98" s="110">
        <v>155.10935853747321</v>
      </c>
      <c r="N98" s="110">
        <v>150.16403780620982</v>
      </c>
      <c r="O98" s="110">
        <v>197.98238689213056</v>
      </c>
      <c r="P98" s="110">
        <v>198.81834908592074</v>
      </c>
      <c r="Q98" s="110">
        <v>198.81834908592074</v>
      </c>
      <c r="R98" s="110">
        <v>198.81834908592074</v>
      </c>
      <c r="S98" s="110">
        <v>198.81834908592074</v>
      </c>
      <c r="T98" s="110">
        <v>198.81834908592074</v>
      </c>
      <c r="U98" s="110">
        <v>198.81834908592074</v>
      </c>
      <c r="V98" s="110">
        <v>198.81834908592074</v>
      </c>
      <c r="W98" s="110">
        <v>198.81834908592074</v>
      </c>
      <c r="X98" s="110">
        <v>198.81834908592074</v>
      </c>
      <c r="Y98" s="110">
        <v>198.81834908592074</v>
      </c>
      <c r="Z98" s="110">
        <v>198.81834908592074</v>
      </c>
      <c r="AA98" s="110">
        <v>198.81834908592074</v>
      </c>
      <c r="AB98" s="110">
        <v>198.81834908592074</v>
      </c>
      <c r="AC98" s="110">
        <v>198.81834908592074</v>
      </c>
      <c r="AD98" s="110">
        <v>198.81834908592074</v>
      </c>
      <c r="AE98" s="110">
        <v>238.58201890310488</v>
      </c>
      <c r="AF98" s="110">
        <v>238.58201890310488</v>
      </c>
      <c r="AG98" s="110">
        <v>238.58201890310488</v>
      </c>
      <c r="AH98" s="110">
        <v>238.58201890310488</v>
      </c>
      <c r="AI98" s="110">
        <v>198.81834908592074</v>
      </c>
      <c r="AJ98" s="110">
        <v>198.81834908592074</v>
      </c>
      <c r="AK98" s="110">
        <v>198.81834908592074</v>
      </c>
      <c r="AL98" s="110">
        <v>198.81834908592074</v>
      </c>
      <c r="AM98" s="110">
        <v>238.58201890310488</v>
      </c>
      <c r="AN98" s="110">
        <v>238.58201890310488</v>
      </c>
      <c r="AO98" s="110">
        <v>238.58201890310488</v>
      </c>
      <c r="AP98" s="110">
        <v>238.58201890310488</v>
      </c>
      <c r="AQ98" s="110">
        <v>238.58201890310488</v>
      </c>
      <c r="AR98" s="110">
        <v>238.58201890310488</v>
      </c>
      <c r="AS98" s="110">
        <v>238.58201890310488</v>
      </c>
      <c r="AT98" s="110">
        <v>238.58201890310488</v>
      </c>
      <c r="AU98" s="110">
        <v>198.81834908592074</v>
      </c>
      <c r="AV98" s="110">
        <v>198.81834908592074</v>
      </c>
      <c r="AW98" s="110">
        <v>198.81834908592074</v>
      </c>
      <c r="AX98" s="110">
        <v>198.81834908592074</v>
      </c>
      <c r="AY98" s="110">
        <v>2.5889261594710171E-23</v>
      </c>
    </row>
    <row r="99" spans="1:52">
      <c r="A99" s="128"/>
      <c r="B99" s="132" t="s">
        <v>296</v>
      </c>
      <c r="C99" s="125">
        <v>0</v>
      </c>
      <c r="D99" s="125">
        <v>0</v>
      </c>
      <c r="E99" s="125">
        <v>0</v>
      </c>
      <c r="F99" s="125">
        <v>0</v>
      </c>
      <c r="G99" s="125">
        <v>0</v>
      </c>
      <c r="H99" s="125">
        <v>0</v>
      </c>
      <c r="I99" s="125">
        <v>0</v>
      </c>
      <c r="J99" s="125">
        <v>43.455047257763141</v>
      </c>
      <c r="K99" s="125">
        <v>87.818349085920744</v>
      </c>
      <c r="L99" s="125">
        <v>23.054679268736606</v>
      </c>
      <c r="M99" s="125">
        <v>0</v>
      </c>
      <c r="N99" s="125">
        <v>0</v>
      </c>
      <c r="O99" s="125">
        <v>0</v>
      </c>
      <c r="P99" s="125">
        <v>28.982386892130563</v>
      </c>
      <c r="Q99" s="125">
        <v>52.818349085920744</v>
      </c>
      <c r="R99" s="125">
        <v>89.818349085920744</v>
      </c>
      <c r="S99" s="125">
        <v>38.818349085920744</v>
      </c>
      <c r="T99" s="125">
        <v>72.818349085920744</v>
      </c>
      <c r="U99" s="125">
        <v>55.818349085920744</v>
      </c>
      <c r="V99" s="125">
        <v>20.818349085920744</v>
      </c>
      <c r="W99" s="125">
        <v>49.818349085920744</v>
      </c>
      <c r="X99" s="125">
        <v>82.818349085920744</v>
      </c>
      <c r="Y99" s="125">
        <v>74.818349085920744</v>
      </c>
      <c r="Z99" s="125">
        <v>33.818349085920744</v>
      </c>
      <c r="AA99" s="125">
        <v>76.818349085920744</v>
      </c>
      <c r="AB99" s="125">
        <v>77.818349085920744</v>
      </c>
      <c r="AC99" s="125">
        <v>74.818349085920744</v>
      </c>
      <c r="AD99" s="125">
        <v>26.818349085920744</v>
      </c>
      <c r="AE99" s="125">
        <v>16.818349085920744</v>
      </c>
      <c r="AF99" s="125">
        <v>109.58201890310488</v>
      </c>
      <c r="AG99" s="125">
        <v>69.582018903104881</v>
      </c>
      <c r="AH99" s="125">
        <v>90.582018903104881</v>
      </c>
      <c r="AI99" s="125">
        <v>61.582018903104881</v>
      </c>
      <c r="AJ99" s="125">
        <v>38.818349085920744</v>
      </c>
      <c r="AK99" s="125">
        <v>78.818349085920744</v>
      </c>
      <c r="AL99" s="125">
        <v>63.818349085920744</v>
      </c>
      <c r="AM99" s="125">
        <v>84.818349085920744</v>
      </c>
      <c r="AN99" s="125">
        <v>65.582018903104881</v>
      </c>
      <c r="AO99" s="125">
        <v>123.58201890310488</v>
      </c>
      <c r="AP99" s="125">
        <v>66.582018903104881</v>
      </c>
      <c r="AQ99" s="125">
        <v>111.58201890310488</v>
      </c>
      <c r="AR99" s="125">
        <v>115.58201890310488</v>
      </c>
      <c r="AS99" s="125">
        <v>136.58201890310488</v>
      </c>
      <c r="AT99" s="125">
        <v>77.582018903104881</v>
      </c>
      <c r="AU99" s="125">
        <v>99.582018903104881</v>
      </c>
      <c r="AV99" s="125">
        <v>68.818349085920744</v>
      </c>
      <c r="AW99" s="125">
        <v>84.818349085920744</v>
      </c>
      <c r="AX99" s="125">
        <v>54.818349085920744</v>
      </c>
      <c r="AY99" s="125">
        <v>21.818349085920744</v>
      </c>
      <c r="AZ99" s="107">
        <f>SUM($D99:$AY99)</f>
        <v>2653.1167183179859</v>
      </c>
    </row>
    <row r="100" spans="1:52">
      <c r="A100" s="131" t="s">
        <v>133</v>
      </c>
      <c r="B100" s="119">
        <v>1</v>
      </c>
      <c r="C100" s="106">
        <v>146.37632172022444</v>
      </c>
      <c r="D100" s="106">
        <v>147.26536418091968</v>
      </c>
      <c r="E100" s="106">
        <v>210.91534508693596</v>
      </c>
      <c r="F100" s="106">
        <v>20.959972948201827</v>
      </c>
      <c r="G100" s="106">
        <v>169.17684857174092</v>
      </c>
      <c r="H100" s="106">
        <v>62.879918844605484</v>
      </c>
      <c r="I100" s="106">
        <v>169.17684857174092</v>
      </c>
      <c r="J100" s="106">
        <v>62.879918844605484</v>
      </c>
      <c r="K100" s="106">
        <v>169.17684857174092</v>
      </c>
      <c r="L100" s="106">
        <v>62.879918844605484</v>
      </c>
      <c r="M100" s="106">
        <v>0</v>
      </c>
      <c r="N100" s="106">
        <v>210.91534508693596</v>
      </c>
      <c r="O100" s="106">
        <v>169.17684857174092</v>
      </c>
      <c r="P100" s="106">
        <v>169.17684857174092</v>
      </c>
      <c r="Q100" s="106">
        <v>62.879918844605484</v>
      </c>
      <c r="R100" s="106">
        <v>169.17684857174092</v>
      </c>
      <c r="S100" s="106">
        <v>169.17684857174092</v>
      </c>
      <c r="T100" s="106">
        <v>169.17684857174092</v>
      </c>
      <c r="U100" s="106">
        <v>62.879918844605484</v>
      </c>
      <c r="V100" s="106">
        <v>169.17684857174092</v>
      </c>
      <c r="W100" s="106">
        <v>169.17684857174092</v>
      </c>
      <c r="X100" s="106">
        <v>169.17684857174092</v>
      </c>
      <c r="Y100" s="106">
        <v>169.17684857174092</v>
      </c>
      <c r="Z100" s="106">
        <v>169.17684857174092</v>
      </c>
      <c r="AA100" s="106">
        <v>169.17684857174092</v>
      </c>
      <c r="AB100" s="106">
        <v>169.17684857174092</v>
      </c>
      <c r="AC100" s="106">
        <v>169.17684857174092</v>
      </c>
      <c r="AD100" s="106">
        <v>169.17684857174092</v>
      </c>
      <c r="AE100" s="106">
        <v>169.17684857174092</v>
      </c>
      <c r="AF100" s="106">
        <v>169.17684857174092</v>
      </c>
      <c r="AG100" s="106">
        <v>169.17684857174092</v>
      </c>
      <c r="AH100" s="106">
        <v>169.17684857174092</v>
      </c>
      <c r="AI100" s="106">
        <v>169.17684857174092</v>
      </c>
      <c r="AJ100" s="106">
        <v>169.17684857174092</v>
      </c>
      <c r="AK100" s="106">
        <v>169.17684857174092</v>
      </c>
      <c r="AL100" s="106">
        <v>169.17684857174092</v>
      </c>
      <c r="AM100" s="106">
        <v>169.17684857174092</v>
      </c>
      <c r="AN100" s="106">
        <v>169.17684857174092</v>
      </c>
      <c r="AO100" s="106">
        <v>62.879918844605484</v>
      </c>
      <c r="AP100" s="106">
        <v>135.34147885739273</v>
      </c>
      <c r="AQ100" s="106">
        <v>135.34147885739273</v>
      </c>
      <c r="AR100" s="106">
        <v>135.34147885739273</v>
      </c>
      <c r="AS100" s="106">
        <v>135.34147885739273</v>
      </c>
      <c r="AT100" s="106">
        <v>146.71981063741279</v>
      </c>
      <c r="AU100" s="106">
        <v>169.17684857174092</v>
      </c>
      <c r="AV100" s="106">
        <v>146.71981063741279</v>
      </c>
      <c r="AW100" s="106">
        <v>0</v>
      </c>
      <c r="AX100" s="106">
        <v>210.91534508693596</v>
      </c>
      <c r="AY100" s="106">
        <v>169.17684857174092</v>
      </c>
    </row>
    <row r="101" spans="1:52">
      <c r="A101" s="109"/>
      <c r="B101" s="119">
        <v>2</v>
      </c>
      <c r="C101" s="106">
        <v>0</v>
      </c>
      <c r="D101" s="106">
        <v>0</v>
      </c>
      <c r="E101" s="106">
        <v>0</v>
      </c>
      <c r="F101" s="106">
        <v>0</v>
      </c>
      <c r="G101" s="106">
        <v>148.2168756235391</v>
      </c>
      <c r="H101" s="106">
        <v>135.39372419528002</v>
      </c>
      <c r="I101" s="106">
        <v>161.57057276702093</v>
      </c>
      <c r="J101" s="106">
        <v>146.74742133876185</v>
      </c>
      <c r="K101" s="106">
        <v>106.29692972713545</v>
      </c>
      <c r="L101" s="106">
        <v>38.473778298876368</v>
      </c>
      <c r="M101" s="106">
        <v>106.29692972713543</v>
      </c>
      <c r="N101" s="106">
        <v>0</v>
      </c>
      <c r="O101" s="106">
        <v>0</v>
      </c>
      <c r="P101" s="106">
        <v>17.176848571740919</v>
      </c>
      <c r="Q101" s="106">
        <v>3.3536971434818383</v>
      </c>
      <c r="R101" s="106">
        <v>106.29692972713543</v>
      </c>
      <c r="S101" s="106">
        <v>141.47377829887637</v>
      </c>
      <c r="T101" s="106">
        <v>169.17684857174092</v>
      </c>
      <c r="U101" s="106">
        <v>153.82747544235821</v>
      </c>
      <c r="V101" s="106">
        <v>11.707394286963691</v>
      </c>
      <c r="W101" s="106">
        <v>0</v>
      </c>
      <c r="X101" s="106">
        <v>81.473778298876354</v>
      </c>
      <c r="Y101" s="106">
        <v>68.650626870617273</v>
      </c>
      <c r="Z101" s="106">
        <v>62.827475442358192</v>
      </c>
      <c r="AA101" s="106">
        <v>2.8421709430404007E-14</v>
      </c>
      <c r="AB101" s="106">
        <v>0</v>
      </c>
      <c r="AC101" s="106">
        <v>0</v>
      </c>
      <c r="AD101" s="106">
        <v>0</v>
      </c>
      <c r="AE101" s="106">
        <v>1.1768485717409192</v>
      </c>
      <c r="AF101" s="106">
        <v>0</v>
      </c>
      <c r="AG101" s="106">
        <v>0</v>
      </c>
      <c r="AH101" s="106">
        <v>10.176848571740919</v>
      </c>
      <c r="AI101" s="106">
        <v>0</v>
      </c>
      <c r="AJ101" s="106">
        <v>3.1768485717409192</v>
      </c>
      <c r="AK101" s="106">
        <v>0</v>
      </c>
      <c r="AL101" s="106">
        <v>0</v>
      </c>
      <c r="AM101" s="106">
        <v>0</v>
      </c>
      <c r="AN101" s="106">
        <v>29.176848571740919</v>
      </c>
      <c r="AO101" s="106">
        <v>0</v>
      </c>
      <c r="AP101" s="106">
        <v>106.29692972713543</v>
      </c>
      <c r="AQ101" s="106">
        <v>0</v>
      </c>
      <c r="AR101" s="106">
        <v>0</v>
      </c>
      <c r="AS101" s="106">
        <v>0</v>
      </c>
      <c r="AT101" s="106">
        <v>0</v>
      </c>
      <c r="AU101" s="106">
        <v>22.457037934328127</v>
      </c>
      <c r="AV101" s="106">
        <v>0</v>
      </c>
      <c r="AW101" s="106">
        <v>22.457037934328127</v>
      </c>
      <c r="AX101" s="106">
        <v>0</v>
      </c>
      <c r="AY101" s="106">
        <v>0</v>
      </c>
    </row>
    <row r="102" spans="1:52">
      <c r="A102" s="109"/>
      <c r="B102" s="120">
        <v>3</v>
      </c>
      <c r="C102" s="106">
        <v>0</v>
      </c>
      <c r="D102" s="106">
        <v>0</v>
      </c>
      <c r="E102" s="106">
        <v>0</v>
      </c>
      <c r="F102" s="106">
        <v>0</v>
      </c>
      <c r="G102" s="106">
        <v>0</v>
      </c>
      <c r="H102" s="106">
        <v>0</v>
      </c>
      <c r="I102" s="106">
        <v>0</v>
      </c>
      <c r="J102" s="106">
        <v>0</v>
      </c>
      <c r="K102" s="106">
        <v>0</v>
      </c>
      <c r="L102" s="106">
        <v>0</v>
      </c>
      <c r="M102" s="106">
        <v>0</v>
      </c>
      <c r="N102" s="106">
        <v>0</v>
      </c>
      <c r="O102" s="106">
        <v>0</v>
      </c>
      <c r="P102" s="106">
        <v>0</v>
      </c>
      <c r="Q102" s="106">
        <v>0</v>
      </c>
      <c r="R102" s="106">
        <v>0</v>
      </c>
      <c r="S102" s="106">
        <v>0</v>
      </c>
      <c r="T102" s="106">
        <v>6.4737782988763684</v>
      </c>
      <c r="U102" s="106">
        <v>0</v>
      </c>
      <c r="V102" s="106">
        <v>0</v>
      </c>
      <c r="W102" s="106">
        <v>106.29692972713543</v>
      </c>
      <c r="X102" s="106">
        <v>0</v>
      </c>
      <c r="Y102" s="106">
        <v>0</v>
      </c>
      <c r="Z102" s="106">
        <v>0</v>
      </c>
      <c r="AA102" s="106">
        <v>0</v>
      </c>
      <c r="AB102" s="106">
        <v>0</v>
      </c>
      <c r="AC102" s="106">
        <v>0</v>
      </c>
      <c r="AD102" s="106">
        <v>0</v>
      </c>
      <c r="AE102" s="106">
        <v>0</v>
      </c>
      <c r="AF102" s="106">
        <v>0</v>
      </c>
      <c r="AG102" s="106">
        <v>0</v>
      </c>
      <c r="AH102" s="106">
        <v>0</v>
      </c>
      <c r="AI102" s="106">
        <v>0</v>
      </c>
      <c r="AJ102" s="106">
        <v>0</v>
      </c>
      <c r="AK102" s="106">
        <v>0</v>
      </c>
      <c r="AL102" s="106">
        <v>0</v>
      </c>
      <c r="AM102" s="106">
        <v>0</v>
      </c>
      <c r="AN102" s="106">
        <v>0</v>
      </c>
      <c r="AO102" s="106">
        <v>0</v>
      </c>
      <c r="AP102" s="106">
        <v>0</v>
      </c>
      <c r="AQ102" s="106">
        <v>0</v>
      </c>
      <c r="AR102" s="106">
        <v>0</v>
      </c>
      <c r="AS102" s="106">
        <v>0</v>
      </c>
      <c r="AT102" s="106">
        <v>0</v>
      </c>
      <c r="AU102" s="106">
        <v>0</v>
      </c>
      <c r="AV102" s="106">
        <v>0</v>
      </c>
      <c r="AW102" s="106">
        <v>0</v>
      </c>
      <c r="AX102" s="106">
        <v>0</v>
      </c>
      <c r="AY102" s="106">
        <v>0</v>
      </c>
    </row>
    <row r="103" spans="1:52">
      <c r="A103" s="109"/>
      <c r="B103" s="120">
        <v>4</v>
      </c>
      <c r="C103" s="106">
        <v>0</v>
      </c>
      <c r="D103" s="106">
        <v>0</v>
      </c>
      <c r="E103" s="106">
        <v>0</v>
      </c>
      <c r="F103" s="106">
        <v>0</v>
      </c>
      <c r="G103" s="106">
        <v>0</v>
      </c>
      <c r="H103" s="106">
        <v>0</v>
      </c>
      <c r="I103" s="106">
        <v>0</v>
      </c>
      <c r="J103" s="106">
        <v>0</v>
      </c>
      <c r="K103" s="106">
        <v>0</v>
      </c>
      <c r="L103" s="106">
        <v>0</v>
      </c>
      <c r="M103" s="106">
        <v>0</v>
      </c>
      <c r="N103" s="106">
        <v>0</v>
      </c>
      <c r="O103" s="106">
        <v>0</v>
      </c>
      <c r="P103" s="106">
        <v>0</v>
      </c>
      <c r="Q103" s="106">
        <v>0</v>
      </c>
      <c r="R103" s="106">
        <v>0</v>
      </c>
      <c r="S103" s="106">
        <v>0</v>
      </c>
      <c r="T103" s="106">
        <v>0</v>
      </c>
      <c r="U103" s="106">
        <v>0</v>
      </c>
      <c r="V103" s="106">
        <v>0</v>
      </c>
      <c r="W103" s="106">
        <v>0</v>
      </c>
      <c r="X103" s="106">
        <v>0</v>
      </c>
      <c r="Y103" s="106">
        <v>0</v>
      </c>
      <c r="Z103" s="106">
        <v>0</v>
      </c>
      <c r="AA103" s="106">
        <v>0</v>
      </c>
      <c r="AB103" s="106">
        <v>0</v>
      </c>
      <c r="AC103" s="106">
        <v>0</v>
      </c>
      <c r="AD103" s="106">
        <v>0</v>
      </c>
      <c r="AE103" s="106">
        <v>0</v>
      </c>
      <c r="AF103" s="106">
        <v>0</v>
      </c>
      <c r="AG103" s="106">
        <v>0</v>
      </c>
      <c r="AH103" s="106">
        <v>0</v>
      </c>
      <c r="AI103" s="106">
        <v>0</v>
      </c>
      <c r="AJ103" s="106">
        <v>0</v>
      </c>
      <c r="AK103" s="106">
        <v>0</v>
      </c>
      <c r="AL103" s="106">
        <v>0</v>
      </c>
      <c r="AM103" s="106">
        <v>0</v>
      </c>
      <c r="AN103" s="106">
        <v>0</v>
      </c>
      <c r="AO103" s="106">
        <v>0</v>
      </c>
      <c r="AP103" s="106">
        <v>0</v>
      </c>
      <c r="AQ103" s="106">
        <v>0</v>
      </c>
      <c r="AR103" s="106">
        <v>0</v>
      </c>
      <c r="AS103" s="106">
        <v>0</v>
      </c>
      <c r="AT103" s="106">
        <v>0</v>
      </c>
      <c r="AU103" s="106">
        <v>0</v>
      </c>
      <c r="AV103" s="106">
        <v>0</v>
      </c>
      <c r="AW103" s="106">
        <v>0</v>
      </c>
      <c r="AX103" s="106">
        <v>0</v>
      </c>
      <c r="AY103" s="106">
        <v>0</v>
      </c>
    </row>
    <row r="104" spans="1:52">
      <c r="A104" s="109"/>
      <c r="B104" s="127">
        <v>5</v>
      </c>
      <c r="C104" s="106">
        <v>0</v>
      </c>
      <c r="D104" s="106">
        <v>0</v>
      </c>
      <c r="E104" s="106">
        <v>0</v>
      </c>
      <c r="F104" s="106">
        <v>0</v>
      </c>
      <c r="G104" s="106">
        <v>0</v>
      </c>
      <c r="H104" s="106">
        <v>0</v>
      </c>
      <c r="I104" s="106">
        <v>0</v>
      </c>
      <c r="J104" s="106">
        <v>0</v>
      </c>
      <c r="K104" s="106">
        <v>0</v>
      </c>
      <c r="L104" s="106">
        <v>0</v>
      </c>
      <c r="M104" s="106">
        <v>0</v>
      </c>
      <c r="N104" s="106">
        <v>0</v>
      </c>
      <c r="O104" s="106">
        <v>0</v>
      </c>
      <c r="P104" s="106">
        <v>0</v>
      </c>
      <c r="Q104" s="106">
        <v>0</v>
      </c>
      <c r="R104" s="106">
        <v>0</v>
      </c>
      <c r="S104" s="106">
        <v>0</v>
      </c>
      <c r="T104" s="106">
        <v>0</v>
      </c>
      <c r="U104" s="106">
        <v>0</v>
      </c>
      <c r="V104" s="106">
        <v>0</v>
      </c>
      <c r="W104" s="106">
        <v>0</v>
      </c>
      <c r="X104" s="106">
        <v>0</v>
      </c>
      <c r="Y104" s="106">
        <v>0</v>
      </c>
      <c r="Z104" s="106">
        <v>0</v>
      </c>
      <c r="AA104" s="106">
        <v>0</v>
      </c>
      <c r="AB104" s="106">
        <v>0</v>
      </c>
      <c r="AC104" s="106">
        <v>0</v>
      </c>
      <c r="AD104" s="106">
        <v>0</v>
      </c>
      <c r="AE104" s="106">
        <v>0</v>
      </c>
      <c r="AF104" s="106">
        <v>0</v>
      </c>
      <c r="AG104" s="106">
        <v>0</v>
      </c>
      <c r="AH104" s="106">
        <v>0</v>
      </c>
      <c r="AI104" s="106">
        <v>0</v>
      </c>
      <c r="AJ104" s="106">
        <v>0</v>
      </c>
      <c r="AK104" s="106">
        <v>0</v>
      </c>
      <c r="AL104" s="106">
        <v>0</v>
      </c>
      <c r="AM104" s="106">
        <v>0</v>
      </c>
      <c r="AN104" s="106">
        <v>0</v>
      </c>
      <c r="AO104" s="106">
        <v>0</v>
      </c>
      <c r="AP104" s="106">
        <v>0</v>
      </c>
      <c r="AQ104" s="106">
        <v>0</v>
      </c>
      <c r="AR104" s="106">
        <v>0</v>
      </c>
      <c r="AS104" s="106">
        <v>0</v>
      </c>
      <c r="AT104" s="106">
        <v>0</v>
      </c>
      <c r="AU104" s="106">
        <v>0</v>
      </c>
      <c r="AV104" s="106">
        <v>0</v>
      </c>
      <c r="AW104" s="106">
        <v>0</v>
      </c>
      <c r="AX104" s="106">
        <v>0</v>
      </c>
      <c r="AY104" s="106">
        <v>0</v>
      </c>
    </row>
    <row r="105" spans="1:52">
      <c r="A105" s="109"/>
      <c r="B105" s="127">
        <v>6</v>
      </c>
      <c r="C105" s="106">
        <v>0</v>
      </c>
      <c r="D105" s="106">
        <v>0</v>
      </c>
      <c r="E105" s="106">
        <v>0</v>
      </c>
      <c r="F105" s="106">
        <v>0</v>
      </c>
      <c r="G105" s="106">
        <v>0</v>
      </c>
      <c r="H105" s="106">
        <v>0</v>
      </c>
      <c r="I105" s="106">
        <v>0</v>
      </c>
      <c r="J105" s="106">
        <v>0</v>
      </c>
      <c r="K105" s="106">
        <v>0</v>
      </c>
      <c r="L105" s="106">
        <v>0</v>
      </c>
      <c r="M105" s="106">
        <v>0</v>
      </c>
      <c r="N105" s="106">
        <v>0</v>
      </c>
      <c r="O105" s="106">
        <v>0</v>
      </c>
      <c r="P105" s="106">
        <v>0</v>
      </c>
      <c r="Q105" s="106">
        <v>0</v>
      </c>
      <c r="R105" s="106">
        <v>0</v>
      </c>
      <c r="S105" s="106">
        <v>0</v>
      </c>
      <c r="T105" s="106">
        <v>0</v>
      </c>
      <c r="U105" s="106">
        <v>0</v>
      </c>
      <c r="V105" s="106">
        <v>0</v>
      </c>
      <c r="W105" s="106">
        <v>0</v>
      </c>
      <c r="X105" s="106">
        <v>0</v>
      </c>
      <c r="Y105" s="106">
        <v>0</v>
      </c>
      <c r="Z105" s="106">
        <v>0</v>
      </c>
      <c r="AA105" s="106">
        <v>0</v>
      </c>
      <c r="AB105" s="106">
        <v>0</v>
      </c>
      <c r="AC105" s="106">
        <v>0</v>
      </c>
      <c r="AD105" s="106">
        <v>0</v>
      </c>
      <c r="AE105" s="106">
        <v>0</v>
      </c>
      <c r="AF105" s="106">
        <v>0</v>
      </c>
      <c r="AG105" s="106">
        <v>0</v>
      </c>
      <c r="AH105" s="106">
        <v>0</v>
      </c>
      <c r="AI105" s="106">
        <v>0</v>
      </c>
      <c r="AJ105" s="106">
        <v>0</v>
      </c>
      <c r="AK105" s="106">
        <v>0</v>
      </c>
      <c r="AL105" s="106">
        <v>0</v>
      </c>
      <c r="AM105" s="106">
        <v>0</v>
      </c>
      <c r="AN105" s="106">
        <v>0</v>
      </c>
      <c r="AO105" s="106">
        <v>0</v>
      </c>
      <c r="AP105" s="106">
        <v>0</v>
      </c>
      <c r="AQ105" s="106">
        <v>0</v>
      </c>
      <c r="AR105" s="106">
        <v>0</v>
      </c>
      <c r="AS105" s="106">
        <v>0</v>
      </c>
      <c r="AT105" s="106">
        <v>0</v>
      </c>
      <c r="AU105" s="106">
        <v>0</v>
      </c>
      <c r="AV105" s="106">
        <v>0</v>
      </c>
      <c r="AW105" s="106">
        <v>0</v>
      </c>
      <c r="AX105" s="106">
        <v>0</v>
      </c>
      <c r="AY105" s="106">
        <v>0</v>
      </c>
    </row>
    <row r="106" spans="1:52">
      <c r="A106" s="109"/>
      <c r="B106" s="130">
        <v>7</v>
      </c>
      <c r="C106" s="106">
        <v>0</v>
      </c>
      <c r="D106" s="106">
        <v>0</v>
      </c>
      <c r="E106" s="106">
        <v>0</v>
      </c>
      <c r="F106" s="106">
        <v>0</v>
      </c>
      <c r="G106" s="106">
        <v>0</v>
      </c>
      <c r="H106" s="106">
        <v>0</v>
      </c>
      <c r="I106" s="106">
        <v>0</v>
      </c>
      <c r="J106" s="106">
        <v>0</v>
      </c>
      <c r="K106" s="106">
        <v>0</v>
      </c>
      <c r="L106" s="106">
        <v>0</v>
      </c>
      <c r="M106" s="106">
        <v>0</v>
      </c>
      <c r="N106" s="106">
        <v>0</v>
      </c>
      <c r="O106" s="106">
        <v>0</v>
      </c>
      <c r="P106" s="106">
        <v>0</v>
      </c>
      <c r="Q106" s="106">
        <v>0</v>
      </c>
      <c r="R106" s="106">
        <v>0</v>
      </c>
      <c r="S106" s="106">
        <v>0</v>
      </c>
      <c r="T106" s="106">
        <v>0</v>
      </c>
      <c r="U106" s="106">
        <v>0</v>
      </c>
      <c r="V106" s="106">
        <v>0</v>
      </c>
      <c r="W106" s="106">
        <v>0</v>
      </c>
      <c r="X106" s="106">
        <v>0</v>
      </c>
      <c r="Y106" s="106">
        <v>0</v>
      </c>
      <c r="Z106" s="106">
        <v>0</v>
      </c>
      <c r="AA106" s="106">
        <v>0</v>
      </c>
      <c r="AB106" s="106">
        <v>0</v>
      </c>
      <c r="AC106" s="106">
        <v>0</v>
      </c>
      <c r="AD106" s="106">
        <v>0</v>
      </c>
      <c r="AE106" s="106">
        <v>0</v>
      </c>
      <c r="AF106" s="106">
        <v>0</v>
      </c>
      <c r="AG106" s="106">
        <v>0</v>
      </c>
      <c r="AH106" s="106">
        <v>0</v>
      </c>
      <c r="AI106" s="106">
        <v>0</v>
      </c>
      <c r="AJ106" s="106">
        <v>0</v>
      </c>
      <c r="AK106" s="106">
        <v>0</v>
      </c>
      <c r="AL106" s="106">
        <v>0</v>
      </c>
      <c r="AM106" s="106">
        <v>0</v>
      </c>
      <c r="AN106" s="106">
        <v>0</v>
      </c>
      <c r="AO106" s="106">
        <v>0</v>
      </c>
      <c r="AP106" s="106">
        <v>0</v>
      </c>
      <c r="AQ106" s="106">
        <v>0</v>
      </c>
      <c r="AR106" s="106">
        <v>0</v>
      </c>
      <c r="AS106" s="106">
        <v>0</v>
      </c>
      <c r="AT106" s="106">
        <v>0</v>
      </c>
      <c r="AU106" s="106">
        <v>0</v>
      </c>
      <c r="AV106" s="106">
        <v>0</v>
      </c>
      <c r="AW106" s="106">
        <v>0</v>
      </c>
      <c r="AX106" s="106">
        <v>0</v>
      </c>
      <c r="AY106" s="106">
        <v>0</v>
      </c>
    </row>
    <row r="107" spans="1:52">
      <c r="A107" s="109"/>
      <c r="B107" s="130">
        <v>8</v>
      </c>
      <c r="C107" s="106">
        <v>0</v>
      </c>
      <c r="D107" s="106">
        <v>0</v>
      </c>
      <c r="E107" s="106">
        <v>0</v>
      </c>
      <c r="F107" s="106">
        <v>0</v>
      </c>
      <c r="G107" s="106">
        <v>0</v>
      </c>
      <c r="H107" s="106">
        <v>0</v>
      </c>
      <c r="I107" s="106">
        <v>0</v>
      </c>
      <c r="J107" s="106">
        <v>0</v>
      </c>
      <c r="K107" s="106">
        <v>0</v>
      </c>
      <c r="L107" s="106">
        <v>0</v>
      </c>
      <c r="M107" s="106">
        <v>0</v>
      </c>
      <c r="N107" s="106">
        <v>0</v>
      </c>
      <c r="O107" s="106">
        <v>0</v>
      </c>
      <c r="P107" s="106">
        <v>0</v>
      </c>
      <c r="Q107" s="106">
        <v>0</v>
      </c>
      <c r="R107" s="106">
        <v>0</v>
      </c>
      <c r="S107" s="106">
        <v>0</v>
      </c>
      <c r="T107" s="106">
        <v>0</v>
      </c>
      <c r="U107" s="106">
        <v>0</v>
      </c>
      <c r="V107" s="106">
        <v>0</v>
      </c>
      <c r="W107" s="106">
        <v>0</v>
      </c>
      <c r="X107" s="106">
        <v>0</v>
      </c>
      <c r="Y107" s="106">
        <v>0</v>
      </c>
      <c r="Z107" s="106">
        <v>0</v>
      </c>
      <c r="AA107" s="106">
        <v>0</v>
      </c>
      <c r="AB107" s="106">
        <v>0</v>
      </c>
      <c r="AC107" s="106">
        <v>0</v>
      </c>
      <c r="AD107" s="106">
        <v>0</v>
      </c>
      <c r="AE107" s="106">
        <v>0</v>
      </c>
      <c r="AF107" s="106">
        <v>0</v>
      </c>
      <c r="AG107" s="106">
        <v>0</v>
      </c>
      <c r="AH107" s="106">
        <v>0</v>
      </c>
      <c r="AI107" s="106">
        <v>0</v>
      </c>
      <c r="AJ107" s="106">
        <v>0</v>
      </c>
      <c r="AK107" s="106">
        <v>0</v>
      </c>
      <c r="AL107" s="106">
        <v>0</v>
      </c>
      <c r="AM107" s="106">
        <v>0</v>
      </c>
      <c r="AN107" s="106">
        <v>0</v>
      </c>
      <c r="AO107" s="106">
        <v>0</v>
      </c>
      <c r="AP107" s="106">
        <v>0</v>
      </c>
      <c r="AQ107" s="106">
        <v>0</v>
      </c>
      <c r="AR107" s="106">
        <v>0</v>
      </c>
      <c r="AS107" s="106">
        <v>0</v>
      </c>
      <c r="AT107" s="106">
        <v>0</v>
      </c>
      <c r="AU107" s="106">
        <v>0</v>
      </c>
      <c r="AV107" s="106">
        <v>0</v>
      </c>
      <c r="AW107" s="106">
        <v>0</v>
      </c>
      <c r="AX107" s="106">
        <v>0</v>
      </c>
      <c r="AY107" s="106">
        <v>0</v>
      </c>
    </row>
    <row r="108" spans="1:52">
      <c r="A108" s="128"/>
      <c r="B108" s="132" t="s">
        <v>296</v>
      </c>
      <c r="C108" s="114">
        <v>0</v>
      </c>
      <c r="D108" s="125">
        <v>0</v>
      </c>
      <c r="E108" s="125">
        <v>0</v>
      </c>
      <c r="F108" s="125">
        <v>0</v>
      </c>
      <c r="G108" s="125">
        <v>0</v>
      </c>
      <c r="H108" s="125">
        <v>0</v>
      </c>
      <c r="I108" s="125">
        <v>0</v>
      </c>
      <c r="J108" s="125">
        <v>0</v>
      </c>
      <c r="K108" s="125">
        <v>0</v>
      </c>
      <c r="L108" s="125">
        <v>0</v>
      </c>
      <c r="M108" s="125">
        <v>0</v>
      </c>
      <c r="N108" s="125">
        <v>0</v>
      </c>
      <c r="O108" s="125">
        <v>0</v>
      </c>
      <c r="P108" s="125">
        <v>0</v>
      </c>
      <c r="Q108" s="125">
        <v>0</v>
      </c>
      <c r="R108" s="125">
        <v>0</v>
      </c>
      <c r="S108" s="125">
        <v>0</v>
      </c>
      <c r="T108" s="125">
        <v>0</v>
      </c>
      <c r="U108" s="125">
        <v>0</v>
      </c>
      <c r="V108" s="125">
        <v>0</v>
      </c>
      <c r="W108" s="125">
        <v>0</v>
      </c>
      <c r="X108" s="125">
        <v>0</v>
      </c>
      <c r="Y108" s="125">
        <v>0</v>
      </c>
      <c r="Z108" s="125">
        <v>0</v>
      </c>
      <c r="AA108" s="125">
        <v>0</v>
      </c>
      <c r="AB108" s="125">
        <v>0</v>
      </c>
      <c r="AC108" s="125">
        <v>0</v>
      </c>
      <c r="AD108" s="125">
        <v>0</v>
      </c>
      <c r="AE108" s="125">
        <v>0</v>
      </c>
      <c r="AF108" s="125">
        <v>0</v>
      </c>
      <c r="AG108" s="125">
        <v>0</v>
      </c>
      <c r="AH108" s="125">
        <v>0</v>
      </c>
      <c r="AI108" s="125">
        <v>0</v>
      </c>
      <c r="AJ108" s="125">
        <v>0</v>
      </c>
      <c r="AK108" s="125">
        <v>0</v>
      </c>
      <c r="AL108" s="125">
        <v>0</v>
      </c>
      <c r="AM108" s="125">
        <v>0</v>
      </c>
      <c r="AN108" s="125">
        <v>0</v>
      </c>
      <c r="AO108" s="125">
        <v>0</v>
      </c>
      <c r="AP108" s="125">
        <v>0</v>
      </c>
      <c r="AQ108" s="125">
        <v>0</v>
      </c>
      <c r="AR108" s="125">
        <v>0</v>
      </c>
      <c r="AS108" s="125">
        <v>0</v>
      </c>
      <c r="AT108" s="125">
        <v>0</v>
      </c>
      <c r="AU108" s="125">
        <v>0</v>
      </c>
      <c r="AV108" s="125">
        <v>0</v>
      </c>
      <c r="AW108" s="125">
        <v>0</v>
      </c>
      <c r="AX108" s="125">
        <v>0</v>
      </c>
      <c r="AY108" s="125">
        <v>0</v>
      </c>
      <c r="AZ108" s="107">
        <f>SUM($D108:$AY108)</f>
        <v>0</v>
      </c>
    </row>
    <row r="109" spans="1:52">
      <c r="A109" s="131" t="s">
        <v>134</v>
      </c>
      <c r="B109" s="119">
        <v>1</v>
      </c>
      <c r="C109" s="106">
        <v>73.268295216049268</v>
      </c>
      <c r="D109" s="106">
        <v>70.197672252380869</v>
      </c>
      <c r="E109" s="106">
        <v>97.076080410362465</v>
      </c>
      <c r="F109" s="106">
        <v>95.910112998006568</v>
      </c>
      <c r="G109" s="106">
        <v>48.898275145606576</v>
      </c>
      <c r="H109" s="106">
        <v>99.074171567340599</v>
      </c>
      <c r="I109" s="106">
        <v>68.168441803910497</v>
      </c>
      <c r="J109" s="106">
        <v>91.855782306052532</v>
      </c>
      <c r="K109" s="106">
        <v>64.11845578516936</v>
      </c>
      <c r="L109" s="106">
        <v>91.855782306052532</v>
      </c>
      <c r="M109" s="106">
        <v>55.248262919150235</v>
      </c>
      <c r="N109" s="106">
        <v>62.724438720669291</v>
      </c>
      <c r="O109" s="106">
        <v>80.739167266178839</v>
      </c>
      <c r="P109" s="106">
        <v>73.552022612601377</v>
      </c>
      <c r="Q109" s="106">
        <v>73.552022612601377</v>
      </c>
      <c r="R109" s="106">
        <v>55.248262919150235</v>
      </c>
      <c r="S109" s="106">
        <v>91.855782306052532</v>
      </c>
      <c r="T109" s="106">
        <v>73.552022612601377</v>
      </c>
      <c r="U109" s="106">
        <v>79.411078586733225</v>
      </c>
      <c r="V109" s="106">
        <v>56.243004234720793</v>
      </c>
      <c r="W109" s="106">
        <v>73.552022612601377</v>
      </c>
      <c r="X109" s="106">
        <v>91.855782306052532</v>
      </c>
      <c r="Y109" s="106">
        <v>73.552022612601377</v>
      </c>
      <c r="Z109" s="106">
        <v>73.552022612601377</v>
      </c>
      <c r="AA109" s="106">
        <v>73.552022612601377</v>
      </c>
      <c r="AB109" s="106">
        <v>73.552022612601377</v>
      </c>
      <c r="AC109" s="106">
        <v>78.334791542932564</v>
      </c>
      <c r="AD109" s="106">
        <v>73.552022612601377</v>
      </c>
      <c r="AE109" s="106">
        <v>73.552022612601377</v>
      </c>
      <c r="AF109" s="106">
        <v>73.552022612601377</v>
      </c>
      <c r="AG109" s="106">
        <v>73.552022612601377</v>
      </c>
      <c r="AH109" s="106">
        <v>75.07548843837408</v>
      </c>
      <c r="AI109" s="106">
        <v>73.552022612601377</v>
      </c>
      <c r="AJ109" s="106">
        <v>76.940750382768542</v>
      </c>
      <c r="AK109" s="106">
        <v>73.552022612601377</v>
      </c>
      <c r="AL109" s="106">
        <v>73.552022612601377</v>
      </c>
      <c r="AM109" s="106">
        <v>73.552022612601377</v>
      </c>
      <c r="AN109" s="106">
        <v>73.552022612601377</v>
      </c>
      <c r="AO109" s="106">
        <v>73.552022612601377</v>
      </c>
      <c r="AP109" s="106">
        <v>55.248262919150235</v>
      </c>
      <c r="AQ109" s="106">
        <v>86.029513588975888</v>
      </c>
      <c r="AR109" s="106">
        <v>74.855165223396341</v>
      </c>
      <c r="AS109" s="106">
        <v>67.725753895524733</v>
      </c>
      <c r="AT109" s="106">
        <v>67.725753895524733</v>
      </c>
      <c r="AU109" s="106">
        <v>69.685041441726355</v>
      </c>
      <c r="AV109" s="106">
        <v>77.419003783476413</v>
      </c>
      <c r="AW109" s="106">
        <v>69.685041441726355</v>
      </c>
      <c r="AX109" s="106">
        <v>48.287660198093178</v>
      </c>
      <c r="AY109" s="106">
        <v>80.739167266178825</v>
      </c>
    </row>
    <row r="110" spans="1:52">
      <c r="A110" s="109"/>
      <c r="B110" s="119">
        <v>2</v>
      </c>
      <c r="C110" s="106">
        <v>0</v>
      </c>
      <c r="D110" s="106">
        <v>0</v>
      </c>
      <c r="E110" s="106">
        <v>0</v>
      </c>
      <c r="F110" s="106">
        <v>26.933184072971983</v>
      </c>
      <c r="G110" s="106">
        <v>29.015883780914407</v>
      </c>
      <c r="H110" s="106">
        <v>0</v>
      </c>
      <c r="I110" s="106">
        <v>23.074171567340599</v>
      </c>
      <c r="J110" s="106">
        <v>34.242613371251096</v>
      </c>
      <c r="K110" s="106">
        <v>49.869238003425977</v>
      </c>
      <c r="L110" s="106">
        <v>45.987693788595337</v>
      </c>
      <c r="M110" s="106">
        <v>72.353415694228673</v>
      </c>
      <c r="N110" s="106">
        <v>26.30978256431338</v>
      </c>
      <c r="O110" s="106">
        <v>18.799145538896575</v>
      </c>
      <c r="P110" s="106">
        <v>0</v>
      </c>
      <c r="Q110" s="106">
        <v>0</v>
      </c>
      <c r="R110" s="106">
        <v>7.8234024173202812</v>
      </c>
      <c r="S110" s="106">
        <v>0</v>
      </c>
      <c r="T110" s="106">
        <v>29.855782306052532</v>
      </c>
      <c r="U110" s="106">
        <v>24.407804918653909</v>
      </c>
      <c r="V110" s="106">
        <v>47.818883505387134</v>
      </c>
      <c r="W110" s="106">
        <v>23.696764247799074</v>
      </c>
      <c r="X110" s="106">
        <v>2.2487868604004575</v>
      </c>
      <c r="Y110" s="106">
        <v>24.10456916645299</v>
      </c>
      <c r="Z110" s="106">
        <v>36.656591779054366</v>
      </c>
      <c r="AA110" s="106">
        <v>7.9164070793406864</v>
      </c>
      <c r="AB110" s="106">
        <v>8.7726304937365285</v>
      </c>
      <c r="AC110" s="106">
        <v>0</v>
      </c>
      <c r="AD110" s="106">
        <v>0</v>
      </c>
      <c r="AE110" s="106">
        <v>0</v>
      </c>
      <c r="AF110" s="106">
        <v>0</v>
      </c>
      <c r="AG110" s="106">
        <v>0</v>
      </c>
      <c r="AH110" s="106">
        <v>6.5520226126013767</v>
      </c>
      <c r="AI110" s="106">
        <v>0</v>
      </c>
      <c r="AJ110" s="106">
        <v>0</v>
      </c>
      <c r="AK110" s="106">
        <v>0</v>
      </c>
      <c r="AL110" s="106">
        <v>0</v>
      </c>
      <c r="AM110" s="106">
        <v>0</v>
      </c>
      <c r="AN110" s="106">
        <v>0</v>
      </c>
      <c r="AO110" s="106">
        <v>0</v>
      </c>
      <c r="AP110" s="106">
        <v>0</v>
      </c>
      <c r="AQ110" s="106">
        <v>0</v>
      </c>
      <c r="AR110" s="106">
        <v>14.5538840941324</v>
      </c>
      <c r="AS110" s="106">
        <v>0</v>
      </c>
      <c r="AT110" s="106">
        <v>6.7289318626278458</v>
      </c>
      <c r="AU110" s="106">
        <v>0</v>
      </c>
      <c r="AV110" s="106">
        <v>0</v>
      </c>
      <c r="AW110" s="106">
        <v>0</v>
      </c>
      <c r="AX110" s="106">
        <v>6.6541987432478109</v>
      </c>
      <c r="AY110" s="106">
        <v>0</v>
      </c>
    </row>
    <row r="111" spans="1:52">
      <c r="A111" s="109"/>
      <c r="B111" s="119">
        <v>3</v>
      </c>
      <c r="C111" s="106">
        <v>0</v>
      </c>
      <c r="D111" s="106">
        <v>0</v>
      </c>
      <c r="E111" s="106">
        <v>0</v>
      </c>
      <c r="F111" s="106">
        <v>0</v>
      </c>
      <c r="G111" s="106">
        <v>0</v>
      </c>
      <c r="H111" s="106">
        <v>0</v>
      </c>
      <c r="I111" s="106">
        <v>0</v>
      </c>
      <c r="J111" s="106">
        <v>0</v>
      </c>
      <c r="K111" s="106">
        <v>0</v>
      </c>
      <c r="L111" s="106">
        <v>0</v>
      </c>
      <c r="M111" s="106">
        <v>0</v>
      </c>
      <c r="N111" s="106">
        <v>0</v>
      </c>
      <c r="O111" s="106">
        <v>0</v>
      </c>
      <c r="P111" s="106">
        <v>0</v>
      </c>
      <c r="Q111" s="106">
        <v>0</v>
      </c>
      <c r="R111" s="106">
        <v>0</v>
      </c>
      <c r="S111" s="106">
        <v>0</v>
      </c>
      <c r="T111" s="106">
        <v>0</v>
      </c>
      <c r="U111" s="106">
        <v>0</v>
      </c>
      <c r="V111" s="106">
        <v>0</v>
      </c>
      <c r="W111" s="106">
        <v>0</v>
      </c>
      <c r="X111" s="106">
        <v>0</v>
      </c>
      <c r="Y111" s="106">
        <v>0</v>
      </c>
      <c r="Z111" s="106">
        <v>0</v>
      </c>
      <c r="AA111" s="106">
        <v>0</v>
      </c>
      <c r="AB111" s="106">
        <v>0</v>
      </c>
      <c r="AC111" s="106">
        <v>0</v>
      </c>
      <c r="AD111" s="106">
        <v>0</v>
      </c>
      <c r="AE111" s="106">
        <v>0</v>
      </c>
      <c r="AF111" s="106">
        <v>0</v>
      </c>
      <c r="AG111" s="106">
        <v>0</v>
      </c>
      <c r="AH111" s="106">
        <v>0</v>
      </c>
      <c r="AI111" s="106">
        <v>0</v>
      </c>
      <c r="AJ111" s="106">
        <v>0</v>
      </c>
      <c r="AK111" s="106">
        <v>0</v>
      </c>
      <c r="AL111" s="106">
        <v>0</v>
      </c>
      <c r="AM111" s="106">
        <v>0</v>
      </c>
      <c r="AN111" s="106">
        <v>0</v>
      </c>
      <c r="AO111" s="106">
        <v>0</v>
      </c>
      <c r="AP111" s="106">
        <v>0</v>
      </c>
      <c r="AQ111" s="106">
        <v>0</v>
      </c>
      <c r="AR111" s="106">
        <v>0</v>
      </c>
      <c r="AS111" s="106">
        <v>0</v>
      </c>
      <c r="AT111" s="106">
        <v>0</v>
      </c>
      <c r="AU111" s="106">
        <v>0</v>
      </c>
      <c r="AV111" s="106">
        <v>0</v>
      </c>
      <c r="AW111" s="106">
        <v>0</v>
      </c>
      <c r="AX111" s="106">
        <v>0</v>
      </c>
      <c r="AY111" s="106">
        <v>0</v>
      </c>
    </row>
    <row r="112" spans="1:52">
      <c r="A112" s="109"/>
      <c r="B112" s="120">
        <v>4</v>
      </c>
      <c r="C112" s="106">
        <v>0</v>
      </c>
      <c r="D112" s="106">
        <v>0</v>
      </c>
      <c r="E112" s="106">
        <v>0</v>
      </c>
      <c r="F112" s="106">
        <v>0</v>
      </c>
      <c r="G112" s="106">
        <v>0</v>
      </c>
      <c r="H112" s="106">
        <v>0</v>
      </c>
      <c r="I112" s="106">
        <v>0</v>
      </c>
      <c r="J112" s="106">
        <v>0</v>
      </c>
      <c r="K112" s="106">
        <v>0</v>
      </c>
      <c r="L112" s="106">
        <v>0</v>
      </c>
      <c r="M112" s="106">
        <v>0</v>
      </c>
      <c r="N112" s="106">
        <v>0</v>
      </c>
      <c r="O112" s="106">
        <v>0</v>
      </c>
      <c r="P112" s="106">
        <v>0</v>
      </c>
      <c r="Q112" s="106">
        <v>0</v>
      </c>
      <c r="R112" s="106">
        <v>0</v>
      </c>
      <c r="S112" s="106">
        <v>0</v>
      </c>
      <c r="T112" s="106">
        <v>0</v>
      </c>
      <c r="U112" s="106">
        <v>0</v>
      </c>
      <c r="V112" s="106">
        <v>0</v>
      </c>
      <c r="W112" s="106">
        <v>0</v>
      </c>
      <c r="X112" s="106">
        <v>0</v>
      </c>
      <c r="Y112" s="106">
        <v>0</v>
      </c>
      <c r="Z112" s="106">
        <v>0</v>
      </c>
      <c r="AA112" s="106">
        <v>0</v>
      </c>
      <c r="AB112" s="106">
        <v>0</v>
      </c>
      <c r="AC112" s="106">
        <v>0</v>
      </c>
      <c r="AD112" s="106">
        <v>0</v>
      </c>
      <c r="AE112" s="106">
        <v>0</v>
      </c>
      <c r="AF112" s="106">
        <v>0</v>
      </c>
      <c r="AG112" s="106">
        <v>0</v>
      </c>
      <c r="AH112" s="106">
        <v>0</v>
      </c>
      <c r="AI112" s="106">
        <v>0</v>
      </c>
      <c r="AJ112" s="106">
        <v>0</v>
      </c>
      <c r="AK112" s="106">
        <v>0</v>
      </c>
      <c r="AL112" s="106">
        <v>0</v>
      </c>
      <c r="AM112" s="106">
        <v>0</v>
      </c>
      <c r="AN112" s="106">
        <v>0</v>
      </c>
      <c r="AO112" s="106">
        <v>0</v>
      </c>
      <c r="AP112" s="106">
        <v>0</v>
      </c>
      <c r="AQ112" s="106">
        <v>0</v>
      </c>
      <c r="AR112" s="106">
        <v>0</v>
      </c>
      <c r="AS112" s="106">
        <v>0</v>
      </c>
      <c r="AT112" s="106">
        <v>0</v>
      </c>
      <c r="AU112" s="106">
        <v>0</v>
      </c>
      <c r="AV112" s="106">
        <v>0</v>
      </c>
      <c r="AW112" s="106">
        <v>0</v>
      </c>
      <c r="AX112" s="106">
        <v>0</v>
      </c>
      <c r="AY112" s="106">
        <v>0</v>
      </c>
    </row>
    <row r="113" spans="1:52">
      <c r="A113" s="109"/>
      <c r="B113" s="120">
        <v>5</v>
      </c>
      <c r="C113" s="106">
        <v>0</v>
      </c>
      <c r="D113" s="106">
        <v>0</v>
      </c>
      <c r="E113" s="106">
        <v>0</v>
      </c>
      <c r="F113" s="106">
        <v>0</v>
      </c>
      <c r="G113" s="106">
        <v>0</v>
      </c>
      <c r="H113" s="106">
        <v>0</v>
      </c>
      <c r="I113" s="106">
        <v>0</v>
      </c>
      <c r="J113" s="106">
        <v>0</v>
      </c>
      <c r="K113" s="106">
        <v>0</v>
      </c>
      <c r="L113" s="106">
        <v>0</v>
      </c>
      <c r="M113" s="106">
        <v>0</v>
      </c>
      <c r="N113" s="106">
        <v>0</v>
      </c>
      <c r="O113" s="106">
        <v>0</v>
      </c>
      <c r="P113" s="106">
        <v>0</v>
      </c>
      <c r="Q113" s="106">
        <v>0</v>
      </c>
      <c r="R113" s="106">
        <v>0</v>
      </c>
      <c r="S113" s="106">
        <v>0</v>
      </c>
      <c r="T113" s="106">
        <v>0</v>
      </c>
      <c r="U113" s="106">
        <v>0</v>
      </c>
      <c r="V113" s="106">
        <v>0</v>
      </c>
      <c r="W113" s="106">
        <v>0</v>
      </c>
      <c r="X113" s="106">
        <v>0</v>
      </c>
      <c r="Y113" s="106">
        <v>0</v>
      </c>
      <c r="Z113" s="106">
        <v>0</v>
      </c>
      <c r="AA113" s="106">
        <v>0</v>
      </c>
      <c r="AB113" s="106">
        <v>0</v>
      </c>
      <c r="AC113" s="106">
        <v>0</v>
      </c>
      <c r="AD113" s="106">
        <v>0</v>
      </c>
      <c r="AE113" s="106">
        <v>0</v>
      </c>
      <c r="AF113" s="106">
        <v>0</v>
      </c>
      <c r="AG113" s="106">
        <v>0</v>
      </c>
      <c r="AH113" s="106">
        <v>0</v>
      </c>
      <c r="AI113" s="106">
        <v>0</v>
      </c>
      <c r="AJ113" s="106">
        <v>0</v>
      </c>
      <c r="AK113" s="106">
        <v>0</v>
      </c>
      <c r="AL113" s="106">
        <v>0</v>
      </c>
      <c r="AM113" s="106">
        <v>0</v>
      </c>
      <c r="AN113" s="106">
        <v>0</v>
      </c>
      <c r="AO113" s="106">
        <v>0</v>
      </c>
      <c r="AP113" s="106">
        <v>0</v>
      </c>
      <c r="AQ113" s="106">
        <v>0</v>
      </c>
      <c r="AR113" s="106">
        <v>0</v>
      </c>
      <c r="AS113" s="106">
        <v>0</v>
      </c>
      <c r="AT113" s="106">
        <v>0</v>
      </c>
      <c r="AU113" s="106">
        <v>0</v>
      </c>
      <c r="AV113" s="106">
        <v>0</v>
      </c>
      <c r="AW113" s="106">
        <v>0</v>
      </c>
      <c r="AX113" s="106">
        <v>0</v>
      </c>
      <c r="AY113" s="106">
        <v>0</v>
      </c>
    </row>
    <row r="114" spans="1:52">
      <c r="A114" s="109"/>
      <c r="B114" s="120">
        <v>6</v>
      </c>
      <c r="C114" s="106">
        <v>0</v>
      </c>
      <c r="D114" s="106">
        <v>0</v>
      </c>
      <c r="E114" s="106">
        <v>0</v>
      </c>
      <c r="F114" s="106">
        <v>0</v>
      </c>
      <c r="G114" s="106">
        <v>0</v>
      </c>
      <c r="H114" s="106">
        <v>0</v>
      </c>
      <c r="I114" s="106">
        <v>0</v>
      </c>
      <c r="J114" s="106">
        <v>0</v>
      </c>
      <c r="K114" s="106">
        <v>0</v>
      </c>
      <c r="L114" s="106">
        <v>0</v>
      </c>
      <c r="M114" s="106">
        <v>0</v>
      </c>
      <c r="N114" s="106">
        <v>0</v>
      </c>
      <c r="O114" s="106">
        <v>0</v>
      </c>
      <c r="P114" s="106">
        <v>0</v>
      </c>
      <c r="Q114" s="106">
        <v>0</v>
      </c>
      <c r="R114" s="106">
        <v>0</v>
      </c>
      <c r="S114" s="106">
        <v>0</v>
      </c>
      <c r="T114" s="106">
        <v>0</v>
      </c>
      <c r="U114" s="106">
        <v>0</v>
      </c>
      <c r="V114" s="106">
        <v>0</v>
      </c>
      <c r="W114" s="106">
        <v>0</v>
      </c>
      <c r="X114" s="106">
        <v>0</v>
      </c>
      <c r="Y114" s="106">
        <v>0</v>
      </c>
      <c r="Z114" s="106">
        <v>0</v>
      </c>
      <c r="AA114" s="106">
        <v>0</v>
      </c>
      <c r="AB114" s="106">
        <v>0</v>
      </c>
      <c r="AC114" s="106">
        <v>0</v>
      </c>
      <c r="AD114" s="106">
        <v>0</v>
      </c>
      <c r="AE114" s="106">
        <v>0</v>
      </c>
      <c r="AF114" s="106">
        <v>0</v>
      </c>
      <c r="AG114" s="106">
        <v>0</v>
      </c>
      <c r="AH114" s="106">
        <v>0</v>
      </c>
      <c r="AI114" s="106">
        <v>0</v>
      </c>
      <c r="AJ114" s="106">
        <v>0</v>
      </c>
      <c r="AK114" s="106">
        <v>0</v>
      </c>
      <c r="AL114" s="106">
        <v>0</v>
      </c>
      <c r="AM114" s="106">
        <v>0</v>
      </c>
      <c r="AN114" s="106">
        <v>0</v>
      </c>
      <c r="AO114" s="106">
        <v>0</v>
      </c>
      <c r="AP114" s="106">
        <v>0</v>
      </c>
      <c r="AQ114" s="106">
        <v>0</v>
      </c>
      <c r="AR114" s="106">
        <v>0</v>
      </c>
      <c r="AS114" s="106">
        <v>0</v>
      </c>
      <c r="AT114" s="106">
        <v>0</v>
      </c>
      <c r="AU114" s="106">
        <v>0</v>
      </c>
      <c r="AV114" s="106">
        <v>0</v>
      </c>
      <c r="AW114" s="106">
        <v>0</v>
      </c>
      <c r="AX114" s="106">
        <v>0</v>
      </c>
      <c r="AY114" s="106">
        <v>0</v>
      </c>
    </row>
    <row r="115" spans="1:52">
      <c r="A115" s="109"/>
      <c r="B115" s="127">
        <v>7</v>
      </c>
      <c r="C115" s="106">
        <v>0</v>
      </c>
      <c r="D115" s="106">
        <v>0</v>
      </c>
      <c r="E115" s="106">
        <v>0</v>
      </c>
      <c r="F115" s="106">
        <v>0</v>
      </c>
      <c r="G115" s="106">
        <v>0</v>
      </c>
      <c r="H115" s="106">
        <v>0</v>
      </c>
      <c r="I115" s="106">
        <v>0</v>
      </c>
      <c r="J115" s="106">
        <v>0</v>
      </c>
      <c r="K115" s="106">
        <v>0</v>
      </c>
      <c r="L115" s="106">
        <v>0</v>
      </c>
      <c r="M115" s="106">
        <v>0</v>
      </c>
      <c r="N115" s="106">
        <v>0</v>
      </c>
      <c r="O115" s="106">
        <v>0</v>
      </c>
      <c r="P115" s="106">
        <v>0</v>
      </c>
      <c r="Q115" s="106">
        <v>0</v>
      </c>
      <c r="R115" s="106">
        <v>0</v>
      </c>
      <c r="S115" s="106">
        <v>0</v>
      </c>
      <c r="T115" s="106">
        <v>0</v>
      </c>
      <c r="U115" s="106">
        <v>0</v>
      </c>
      <c r="V115" s="106">
        <v>0</v>
      </c>
      <c r="W115" s="106">
        <v>0</v>
      </c>
      <c r="X115" s="106">
        <v>0</v>
      </c>
      <c r="Y115" s="106">
        <v>0</v>
      </c>
      <c r="Z115" s="106">
        <v>0</v>
      </c>
      <c r="AA115" s="106">
        <v>0</v>
      </c>
      <c r="AB115" s="106">
        <v>0</v>
      </c>
      <c r="AC115" s="106">
        <v>0</v>
      </c>
      <c r="AD115" s="106">
        <v>0</v>
      </c>
      <c r="AE115" s="106">
        <v>0</v>
      </c>
      <c r="AF115" s="106">
        <v>0</v>
      </c>
      <c r="AG115" s="106">
        <v>0</v>
      </c>
      <c r="AH115" s="106">
        <v>0</v>
      </c>
      <c r="AI115" s="106">
        <v>0</v>
      </c>
      <c r="AJ115" s="106">
        <v>0</v>
      </c>
      <c r="AK115" s="106">
        <v>0</v>
      </c>
      <c r="AL115" s="106">
        <v>0</v>
      </c>
      <c r="AM115" s="106">
        <v>0</v>
      </c>
      <c r="AN115" s="106">
        <v>0</v>
      </c>
      <c r="AO115" s="106">
        <v>0</v>
      </c>
      <c r="AP115" s="106">
        <v>0</v>
      </c>
      <c r="AQ115" s="106">
        <v>0</v>
      </c>
      <c r="AR115" s="106">
        <v>0</v>
      </c>
      <c r="AS115" s="106">
        <v>0</v>
      </c>
      <c r="AT115" s="106">
        <v>0</v>
      </c>
      <c r="AU115" s="106">
        <v>0</v>
      </c>
      <c r="AV115" s="106">
        <v>0</v>
      </c>
      <c r="AW115" s="106">
        <v>0</v>
      </c>
      <c r="AX115" s="106">
        <v>0</v>
      </c>
      <c r="AY115" s="106">
        <v>0</v>
      </c>
    </row>
    <row r="116" spans="1:52">
      <c r="A116" s="109"/>
      <c r="B116" s="127">
        <v>8</v>
      </c>
      <c r="C116" s="106">
        <v>0</v>
      </c>
      <c r="D116" s="106">
        <v>0</v>
      </c>
      <c r="E116" s="106">
        <v>0</v>
      </c>
      <c r="F116" s="106">
        <v>0</v>
      </c>
      <c r="G116" s="106">
        <v>0</v>
      </c>
      <c r="H116" s="106">
        <v>0</v>
      </c>
      <c r="I116" s="106">
        <v>0</v>
      </c>
      <c r="J116" s="106">
        <v>0</v>
      </c>
      <c r="K116" s="106">
        <v>0</v>
      </c>
      <c r="L116" s="106">
        <v>0</v>
      </c>
      <c r="M116" s="106">
        <v>0</v>
      </c>
      <c r="N116" s="106">
        <v>0</v>
      </c>
      <c r="O116" s="106">
        <v>0</v>
      </c>
      <c r="P116" s="106">
        <v>0</v>
      </c>
      <c r="Q116" s="106">
        <v>0</v>
      </c>
      <c r="R116" s="106">
        <v>0</v>
      </c>
      <c r="S116" s="106">
        <v>0</v>
      </c>
      <c r="T116" s="106">
        <v>0</v>
      </c>
      <c r="U116" s="106">
        <v>0</v>
      </c>
      <c r="V116" s="106">
        <v>0</v>
      </c>
      <c r="W116" s="106">
        <v>0</v>
      </c>
      <c r="X116" s="106">
        <v>0</v>
      </c>
      <c r="Y116" s="106">
        <v>0</v>
      </c>
      <c r="Z116" s="106">
        <v>0</v>
      </c>
      <c r="AA116" s="106">
        <v>0</v>
      </c>
      <c r="AB116" s="106">
        <v>0</v>
      </c>
      <c r="AC116" s="106">
        <v>0</v>
      </c>
      <c r="AD116" s="106">
        <v>0</v>
      </c>
      <c r="AE116" s="106">
        <v>0</v>
      </c>
      <c r="AF116" s="106">
        <v>0</v>
      </c>
      <c r="AG116" s="106">
        <v>0</v>
      </c>
      <c r="AH116" s="106">
        <v>0</v>
      </c>
      <c r="AI116" s="106">
        <v>0</v>
      </c>
      <c r="AJ116" s="106">
        <v>0</v>
      </c>
      <c r="AK116" s="106">
        <v>0</v>
      </c>
      <c r="AL116" s="106">
        <v>0</v>
      </c>
      <c r="AM116" s="106">
        <v>0</v>
      </c>
      <c r="AN116" s="106">
        <v>0</v>
      </c>
      <c r="AO116" s="106">
        <v>0</v>
      </c>
      <c r="AP116" s="106">
        <v>0</v>
      </c>
      <c r="AQ116" s="106">
        <v>0</v>
      </c>
      <c r="AR116" s="106">
        <v>0</v>
      </c>
      <c r="AS116" s="106">
        <v>0</v>
      </c>
      <c r="AT116" s="106">
        <v>0</v>
      </c>
      <c r="AU116" s="106">
        <v>0</v>
      </c>
      <c r="AV116" s="106">
        <v>0</v>
      </c>
      <c r="AW116" s="106">
        <v>0</v>
      </c>
      <c r="AX116" s="106">
        <v>0</v>
      </c>
      <c r="AY116" s="106">
        <v>0</v>
      </c>
    </row>
    <row r="117" spans="1:52">
      <c r="A117" s="109"/>
      <c r="B117" s="127">
        <v>9</v>
      </c>
      <c r="C117" s="106">
        <v>0</v>
      </c>
      <c r="D117" s="106">
        <v>0</v>
      </c>
      <c r="E117" s="106">
        <v>0</v>
      </c>
      <c r="F117" s="106">
        <v>0</v>
      </c>
      <c r="G117" s="106">
        <v>0</v>
      </c>
      <c r="H117" s="106">
        <v>0</v>
      </c>
      <c r="I117" s="106">
        <v>0</v>
      </c>
      <c r="J117" s="106">
        <v>0</v>
      </c>
      <c r="K117" s="106">
        <v>0</v>
      </c>
      <c r="L117" s="106">
        <v>0</v>
      </c>
      <c r="M117" s="106">
        <v>0</v>
      </c>
      <c r="N117" s="106">
        <v>0</v>
      </c>
      <c r="O117" s="106">
        <v>0</v>
      </c>
      <c r="P117" s="106">
        <v>0</v>
      </c>
      <c r="Q117" s="106">
        <v>0</v>
      </c>
      <c r="R117" s="106">
        <v>0</v>
      </c>
      <c r="S117" s="106">
        <v>0</v>
      </c>
      <c r="T117" s="106">
        <v>0</v>
      </c>
      <c r="U117" s="106">
        <v>0</v>
      </c>
      <c r="V117" s="106">
        <v>0</v>
      </c>
      <c r="W117" s="106">
        <v>0</v>
      </c>
      <c r="X117" s="106">
        <v>0</v>
      </c>
      <c r="Y117" s="106">
        <v>0</v>
      </c>
      <c r="Z117" s="106">
        <v>0</v>
      </c>
      <c r="AA117" s="106">
        <v>0</v>
      </c>
      <c r="AB117" s="106">
        <v>0</v>
      </c>
      <c r="AC117" s="106">
        <v>0</v>
      </c>
      <c r="AD117" s="106">
        <v>0</v>
      </c>
      <c r="AE117" s="106">
        <v>0</v>
      </c>
      <c r="AF117" s="106">
        <v>0</v>
      </c>
      <c r="AG117" s="106">
        <v>0</v>
      </c>
      <c r="AH117" s="106">
        <v>0</v>
      </c>
      <c r="AI117" s="106">
        <v>0</v>
      </c>
      <c r="AJ117" s="106">
        <v>0</v>
      </c>
      <c r="AK117" s="106">
        <v>0</v>
      </c>
      <c r="AL117" s="106">
        <v>0</v>
      </c>
      <c r="AM117" s="106">
        <v>0</v>
      </c>
      <c r="AN117" s="106">
        <v>0</v>
      </c>
      <c r="AO117" s="106">
        <v>0</v>
      </c>
      <c r="AP117" s="106">
        <v>0</v>
      </c>
      <c r="AQ117" s="106">
        <v>0</v>
      </c>
      <c r="AR117" s="106">
        <v>0</v>
      </c>
      <c r="AS117" s="106">
        <v>0</v>
      </c>
      <c r="AT117" s="106">
        <v>0</v>
      </c>
      <c r="AU117" s="106">
        <v>0</v>
      </c>
      <c r="AV117" s="106">
        <v>0</v>
      </c>
      <c r="AW117" s="106">
        <v>0</v>
      </c>
      <c r="AX117" s="106">
        <v>0</v>
      </c>
      <c r="AY117" s="106">
        <v>0</v>
      </c>
    </row>
    <row r="118" spans="1:52">
      <c r="A118" s="109"/>
      <c r="B118" s="130">
        <v>10</v>
      </c>
      <c r="C118" s="106">
        <v>0</v>
      </c>
      <c r="D118" s="106">
        <v>0</v>
      </c>
      <c r="E118" s="106">
        <v>0</v>
      </c>
      <c r="F118" s="106">
        <v>0</v>
      </c>
      <c r="G118" s="106">
        <v>0</v>
      </c>
      <c r="H118" s="106">
        <v>0</v>
      </c>
      <c r="I118" s="106">
        <v>0</v>
      </c>
      <c r="J118" s="106">
        <v>0</v>
      </c>
      <c r="K118" s="106">
        <v>0</v>
      </c>
      <c r="L118" s="106">
        <v>0</v>
      </c>
      <c r="M118" s="106">
        <v>0</v>
      </c>
      <c r="N118" s="106">
        <v>0</v>
      </c>
      <c r="O118" s="106">
        <v>0</v>
      </c>
      <c r="P118" s="106">
        <v>0</v>
      </c>
      <c r="Q118" s="106">
        <v>0</v>
      </c>
      <c r="R118" s="106">
        <v>0</v>
      </c>
      <c r="S118" s="106">
        <v>0</v>
      </c>
      <c r="T118" s="106">
        <v>0</v>
      </c>
      <c r="U118" s="106">
        <v>0</v>
      </c>
      <c r="V118" s="106">
        <v>0</v>
      </c>
      <c r="W118" s="106">
        <v>0</v>
      </c>
      <c r="X118" s="106">
        <v>0</v>
      </c>
      <c r="Y118" s="106">
        <v>0</v>
      </c>
      <c r="Z118" s="106">
        <v>0</v>
      </c>
      <c r="AA118" s="106">
        <v>0</v>
      </c>
      <c r="AB118" s="106">
        <v>0</v>
      </c>
      <c r="AC118" s="106">
        <v>0</v>
      </c>
      <c r="AD118" s="106">
        <v>0</v>
      </c>
      <c r="AE118" s="106">
        <v>0</v>
      </c>
      <c r="AF118" s="106">
        <v>0</v>
      </c>
      <c r="AG118" s="106">
        <v>0</v>
      </c>
      <c r="AH118" s="106">
        <v>0</v>
      </c>
      <c r="AI118" s="106">
        <v>0</v>
      </c>
      <c r="AJ118" s="106">
        <v>0</v>
      </c>
      <c r="AK118" s="106">
        <v>0</v>
      </c>
      <c r="AL118" s="106">
        <v>0</v>
      </c>
      <c r="AM118" s="106">
        <v>0</v>
      </c>
      <c r="AN118" s="106">
        <v>0</v>
      </c>
      <c r="AO118" s="106">
        <v>0</v>
      </c>
      <c r="AP118" s="106">
        <v>0</v>
      </c>
      <c r="AQ118" s="106">
        <v>0</v>
      </c>
      <c r="AR118" s="106">
        <v>0</v>
      </c>
      <c r="AS118" s="106">
        <v>0</v>
      </c>
      <c r="AT118" s="106">
        <v>0</v>
      </c>
      <c r="AU118" s="106">
        <v>0</v>
      </c>
      <c r="AV118" s="106">
        <v>0</v>
      </c>
      <c r="AW118" s="106">
        <v>0</v>
      </c>
      <c r="AX118" s="106">
        <v>0</v>
      </c>
      <c r="AY118" s="106">
        <v>0</v>
      </c>
    </row>
    <row r="119" spans="1:52">
      <c r="A119" s="109"/>
      <c r="B119" s="130">
        <v>11</v>
      </c>
      <c r="C119" s="106">
        <v>0</v>
      </c>
      <c r="D119" s="106">
        <v>0</v>
      </c>
      <c r="E119" s="106">
        <v>0</v>
      </c>
      <c r="F119" s="106">
        <v>0</v>
      </c>
      <c r="G119" s="106">
        <v>0</v>
      </c>
      <c r="H119" s="106">
        <v>0</v>
      </c>
      <c r="I119" s="106">
        <v>0</v>
      </c>
      <c r="J119" s="106">
        <v>0</v>
      </c>
      <c r="K119" s="106">
        <v>0</v>
      </c>
      <c r="L119" s="106">
        <v>0</v>
      </c>
      <c r="M119" s="106">
        <v>0</v>
      </c>
      <c r="N119" s="106">
        <v>0</v>
      </c>
      <c r="O119" s="106">
        <v>0</v>
      </c>
      <c r="P119" s="106">
        <v>0</v>
      </c>
      <c r="Q119" s="106">
        <v>0</v>
      </c>
      <c r="R119" s="106">
        <v>0</v>
      </c>
      <c r="S119" s="106">
        <v>0</v>
      </c>
      <c r="T119" s="106">
        <v>0</v>
      </c>
      <c r="U119" s="106">
        <v>0</v>
      </c>
      <c r="V119" s="106">
        <v>0</v>
      </c>
      <c r="W119" s="106">
        <v>0</v>
      </c>
      <c r="X119" s="106">
        <v>0</v>
      </c>
      <c r="Y119" s="106">
        <v>0</v>
      </c>
      <c r="Z119" s="106">
        <v>0</v>
      </c>
      <c r="AA119" s="106">
        <v>0</v>
      </c>
      <c r="AB119" s="106">
        <v>0</v>
      </c>
      <c r="AC119" s="106">
        <v>0</v>
      </c>
      <c r="AD119" s="106">
        <v>0</v>
      </c>
      <c r="AE119" s="106">
        <v>0</v>
      </c>
      <c r="AF119" s="106">
        <v>0</v>
      </c>
      <c r="AG119" s="106">
        <v>0</v>
      </c>
      <c r="AH119" s="106">
        <v>0</v>
      </c>
      <c r="AI119" s="106">
        <v>0</v>
      </c>
      <c r="AJ119" s="106">
        <v>0</v>
      </c>
      <c r="AK119" s="106">
        <v>0</v>
      </c>
      <c r="AL119" s="106">
        <v>0</v>
      </c>
      <c r="AM119" s="106">
        <v>0</v>
      </c>
      <c r="AN119" s="106">
        <v>0</v>
      </c>
      <c r="AO119" s="106">
        <v>0</v>
      </c>
      <c r="AP119" s="106">
        <v>0</v>
      </c>
      <c r="AQ119" s="106">
        <v>0</v>
      </c>
      <c r="AR119" s="106">
        <v>0</v>
      </c>
      <c r="AS119" s="106">
        <v>0</v>
      </c>
      <c r="AT119" s="106">
        <v>0</v>
      </c>
      <c r="AU119" s="106">
        <v>0</v>
      </c>
      <c r="AV119" s="106">
        <v>0</v>
      </c>
      <c r="AW119" s="106">
        <v>0</v>
      </c>
      <c r="AX119" s="106">
        <v>0</v>
      </c>
      <c r="AY119" s="106">
        <v>0</v>
      </c>
    </row>
    <row r="120" spans="1:52">
      <c r="A120" s="109"/>
      <c r="B120" s="130">
        <v>12</v>
      </c>
      <c r="C120" s="106">
        <v>0</v>
      </c>
      <c r="D120" s="106">
        <v>0</v>
      </c>
      <c r="E120" s="106">
        <v>0</v>
      </c>
      <c r="F120" s="106">
        <v>0</v>
      </c>
      <c r="G120" s="106">
        <v>0</v>
      </c>
      <c r="H120" s="106">
        <v>0</v>
      </c>
      <c r="I120" s="106">
        <v>0</v>
      </c>
      <c r="J120" s="106">
        <v>0</v>
      </c>
      <c r="K120" s="106">
        <v>0</v>
      </c>
      <c r="L120" s="106">
        <v>0</v>
      </c>
      <c r="M120" s="106">
        <v>0</v>
      </c>
      <c r="N120" s="106">
        <v>0</v>
      </c>
      <c r="O120" s="106">
        <v>0</v>
      </c>
      <c r="P120" s="106">
        <v>0</v>
      </c>
      <c r="Q120" s="106">
        <v>0</v>
      </c>
      <c r="R120" s="106">
        <v>0</v>
      </c>
      <c r="S120" s="106">
        <v>0</v>
      </c>
      <c r="T120" s="106">
        <v>0</v>
      </c>
      <c r="U120" s="106">
        <v>0</v>
      </c>
      <c r="V120" s="106">
        <v>0</v>
      </c>
      <c r="W120" s="106">
        <v>0</v>
      </c>
      <c r="X120" s="106">
        <v>0</v>
      </c>
      <c r="Y120" s="106">
        <v>0</v>
      </c>
      <c r="Z120" s="106">
        <v>0</v>
      </c>
      <c r="AA120" s="106">
        <v>0</v>
      </c>
      <c r="AB120" s="106">
        <v>0</v>
      </c>
      <c r="AC120" s="106">
        <v>0</v>
      </c>
      <c r="AD120" s="106">
        <v>0</v>
      </c>
      <c r="AE120" s="106">
        <v>0</v>
      </c>
      <c r="AF120" s="106">
        <v>0</v>
      </c>
      <c r="AG120" s="106">
        <v>0</v>
      </c>
      <c r="AH120" s="106">
        <v>0</v>
      </c>
      <c r="AI120" s="106">
        <v>0</v>
      </c>
      <c r="AJ120" s="106">
        <v>0</v>
      </c>
      <c r="AK120" s="106">
        <v>0</v>
      </c>
      <c r="AL120" s="106">
        <v>0</v>
      </c>
      <c r="AM120" s="106">
        <v>0</v>
      </c>
      <c r="AN120" s="106">
        <v>0</v>
      </c>
      <c r="AO120" s="106">
        <v>0</v>
      </c>
      <c r="AP120" s="106">
        <v>0</v>
      </c>
      <c r="AQ120" s="106">
        <v>0</v>
      </c>
      <c r="AR120" s="106">
        <v>0</v>
      </c>
      <c r="AS120" s="106">
        <v>0</v>
      </c>
      <c r="AT120" s="106">
        <v>0</v>
      </c>
      <c r="AU120" s="106">
        <v>0</v>
      </c>
      <c r="AV120" s="106">
        <v>0</v>
      </c>
      <c r="AW120" s="106">
        <v>0</v>
      </c>
      <c r="AX120" s="106">
        <v>0</v>
      </c>
      <c r="AY120" s="106">
        <v>0</v>
      </c>
    </row>
    <row r="121" spans="1:52">
      <c r="A121" s="128"/>
      <c r="B121" s="132" t="s">
        <v>296</v>
      </c>
      <c r="C121" s="114">
        <v>0</v>
      </c>
      <c r="D121" s="125">
        <v>0</v>
      </c>
      <c r="E121" s="125">
        <v>0</v>
      </c>
      <c r="F121" s="125">
        <v>0</v>
      </c>
      <c r="G121" s="125">
        <v>0</v>
      </c>
      <c r="H121" s="125">
        <v>0</v>
      </c>
      <c r="I121" s="125">
        <v>0</v>
      </c>
      <c r="J121" s="125">
        <v>0</v>
      </c>
      <c r="K121" s="125">
        <v>0</v>
      </c>
      <c r="L121" s="125">
        <v>0</v>
      </c>
      <c r="M121" s="125">
        <v>0</v>
      </c>
      <c r="N121" s="125">
        <v>0</v>
      </c>
      <c r="O121" s="125">
        <v>0</v>
      </c>
      <c r="P121" s="125">
        <v>0</v>
      </c>
      <c r="Q121" s="125">
        <v>0</v>
      </c>
      <c r="R121" s="125">
        <v>0</v>
      </c>
      <c r="S121" s="125">
        <v>0</v>
      </c>
      <c r="T121" s="125">
        <v>0</v>
      </c>
      <c r="U121" s="125">
        <v>0</v>
      </c>
      <c r="V121" s="125">
        <v>0</v>
      </c>
      <c r="W121" s="125">
        <v>0</v>
      </c>
      <c r="X121" s="125">
        <v>0</v>
      </c>
      <c r="Y121" s="125">
        <v>0</v>
      </c>
      <c r="Z121" s="125">
        <v>0</v>
      </c>
      <c r="AA121" s="125">
        <v>0</v>
      </c>
      <c r="AB121" s="125">
        <v>0</v>
      </c>
      <c r="AC121" s="125">
        <v>0</v>
      </c>
      <c r="AD121" s="125">
        <v>0</v>
      </c>
      <c r="AE121" s="125">
        <v>0</v>
      </c>
      <c r="AF121" s="125">
        <v>0</v>
      </c>
      <c r="AG121" s="125">
        <v>0</v>
      </c>
      <c r="AH121" s="125">
        <v>0</v>
      </c>
      <c r="AI121" s="125">
        <v>0</v>
      </c>
      <c r="AJ121" s="125">
        <v>0</v>
      </c>
      <c r="AK121" s="125">
        <v>0</v>
      </c>
      <c r="AL121" s="125">
        <v>0</v>
      </c>
      <c r="AM121" s="125">
        <v>0</v>
      </c>
      <c r="AN121" s="125">
        <v>0</v>
      </c>
      <c r="AO121" s="125">
        <v>0</v>
      </c>
      <c r="AP121" s="125">
        <v>0</v>
      </c>
      <c r="AQ121" s="125">
        <v>0</v>
      </c>
      <c r="AR121" s="125">
        <v>0</v>
      </c>
      <c r="AS121" s="125">
        <v>0</v>
      </c>
      <c r="AT121" s="125">
        <v>0</v>
      </c>
      <c r="AU121" s="125">
        <v>0</v>
      </c>
      <c r="AV121" s="125">
        <v>0</v>
      </c>
      <c r="AW121" s="125">
        <v>0</v>
      </c>
      <c r="AX121" s="125">
        <v>0</v>
      </c>
      <c r="AY121" s="125">
        <v>0</v>
      </c>
      <c r="AZ121" s="107">
        <f>SUM($D121:$AY121)</f>
        <v>0</v>
      </c>
    </row>
    <row r="122" spans="1:52">
      <c r="A122" s="131" t="s">
        <v>123</v>
      </c>
      <c r="B122" s="119">
        <v>1</v>
      </c>
      <c r="C122" s="106">
        <v>178.69329324944454</v>
      </c>
      <c r="D122" s="106">
        <v>243.1485366683084</v>
      </c>
      <c r="E122" s="106">
        <v>202.22912059903868</v>
      </c>
      <c r="F122" s="106">
        <v>120.30145270498892</v>
      </c>
      <c r="G122" s="106">
        <v>184.22732553321453</v>
      </c>
      <c r="H122" s="106">
        <v>138.38150680858527</v>
      </c>
      <c r="I122" s="106">
        <v>184.22732553321453</v>
      </c>
      <c r="J122" s="106">
        <v>138.38150680858527</v>
      </c>
      <c r="K122" s="106">
        <v>184.22732553321453</v>
      </c>
      <c r="L122" s="106">
        <v>138.38150680858527</v>
      </c>
      <c r="M122" s="106">
        <v>111.26142565319074</v>
      </c>
      <c r="N122" s="106">
        <v>202.22912059903868</v>
      </c>
      <c r="O122" s="106">
        <v>184.22732553321453</v>
      </c>
      <c r="P122" s="106">
        <v>184.22732553321453</v>
      </c>
      <c r="Q122" s="106">
        <v>138.38150680858527</v>
      </c>
      <c r="R122" s="106">
        <v>184.22732553321453</v>
      </c>
      <c r="S122" s="106">
        <v>184.22732553321453</v>
      </c>
      <c r="T122" s="106">
        <v>184.22732553321453</v>
      </c>
      <c r="U122" s="106">
        <v>138.38150680858527</v>
      </c>
      <c r="V122" s="106">
        <v>184.22732553321453</v>
      </c>
      <c r="W122" s="106">
        <v>184.22732553321453</v>
      </c>
      <c r="X122" s="106">
        <v>184.22732553321453</v>
      </c>
      <c r="Y122" s="106">
        <v>184.22732553321453</v>
      </c>
      <c r="Z122" s="106">
        <v>184.22732553321453</v>
      </c>
      <c r="AA122" s="106">
        <v>184.22732553321453</v>
      </c>
      <c r="AB122" s="106">
        <v>184.22732553321453</v>
      </c>
      <c r="AC122" s="106">
        <v>184.22732553321453</v>
      </c>
      <c r="AD122" s="106">
        <v>184.22732553321453</v>
      </c>
      <c r="AE122" s="106">
        <v>184.22732553321453</v>
      </c>
      <c r="AF122" s="106">
        <v>184.22732553321453</v>
      </c>
      <c r="AG122" s="106">
        <v>184.22732553321453</v>
      </c>
      <c r="AH122" s="106">
        <v>184.22732553321453</v>
      </c>
      <c r="AI122" s="106">
        <v>184.22732553321453</v>
      </c>
      <c r="AJ122" s="106">
        <v>184.22732553321453</v>
      </c>
      <c r="AK122" s="106">
        <v>184.22732553321453</v>
      </c>
      <c r="AL122" s="106">
        <v>184.22732553321453</v>
      </c>
      <c r="AM122" s="106">
        <v>184.22732553321453</v>
      </c>
      <c r="AN122" s="106">
        <v>184.22732553321453</v>
      </c>
      <c r="AO122" s="106">
        <v>138.38150680858527</v>
      </c>
      <c r="AP122" s="106">
        <v>169.63414555720976</v>
      </c>
      <c r="AQ122" s="106">
        <v>169.63414555720976</v>
      </c>
      <c r="AR122" s="106">
        <v>169.63414555720976</v>
      </c>
      <c r="AS122" s="106">
        <v>169.63414555720976</v>
      </c>
      <c r="AT122" s="106">
        <v>174.54161501577798</v>
      </c>
      <c r="AU122" s="106">
        <v>184.22732553321453</v>
      </c>
      <c r="AV122" s="106">
        <v>174.54161501577798</v>
      </c>
      <c r="AW122" s="106">
        <v>111.26142565319074</v>
      </c>
      <c r="AX122" s="106">
        <v>202.22912059903868</v>
      </c>
      <c r="AY122" s="106">
        <v>184.22732553321453</v>
      </c>
    </row>
    <row r="123" spans="1:52">
      <c r="A123" s="109"/>
      <c r="B123" s="119">
        <v>2</v>
      </c>
      <c r="C123" s="106">
        <v>0</v>
      </c>
      <c r="D123" s="106">
        <v>0</v>
      </c>
      <c r="E123" s="106">
        <v>37.998992532196127</v>
      </c>
      <c r="F123" s="106">
        <v>2.1751037958377708</v>
      </c>
      <c r="G123" s="106">
        <v>63.925872828225636</v>
      </c>
      <c r="H123" s="106">
        <v>32.361448629181453</v>
      </c>
      <c r="I123" s="106">
        <v>45.845818724629268</v>
      </c>
      <c r="J123" s="106">
        <v>22.217361951791275</v>
      </c>
      <c r="K123" s="106">
        <v>45.845818724629268</v>
      </c>
      <c r="L123" s="106">
        <v>0</v>
      </c>
      <c r="M123" s="106">
        <v>45.845818724629268</v>
      </c>
      <c r="N123" s="106">
        <v>1.4210854715202004E-14</v>
      </c>
      <c r="O123" s="106">
        <v>0</v>
      </c>
      <c r="P123" s="106">
        <v>0</v>
      </c>
      <c r="Q123" s="106">
        <v>0</v>
      </c>
      <c r="R123" s="106">
        <v>45.845818724629268</v>
      </c>
      <c r="S123" s="106">
        <v>0</v>
      </c>
      <c r="T123" s="106">
        <v>14.675302920613149</v>
      </c>
      <c r="U123" s="106">
        <v>2.4915498670944487</v>
      </c>
      <c r="V123" s="106">
        <v>0</v>
      </c>
      <c r="W123" s="106">
        <v>0</v>
      </c>
      <c r="X123" s="106">
        <v>0</v>
      </c>
      <c r="Y123" s="106">
        <v>0</v>
      </c>
      <c r="Z123" s="106">
        <v>0</v>
      </c>
      <c r="AA123" s="106">
        <v>0</v>
      </c>
      <c r="AB123" s="106">
        <v>11.979503722407614</v>
      </c>
      <c r="AC123" s="106">
        <v>0</v>
      </c>
      <c r="AD123" s="106">
        <v>0</v>
      </c>
      <c r="AE123" s="106">
        <v>0</v>
      </c>
      <c r="AF123" s="106">
        <v>0</v>
      </c>
      <c r="AG123" s="106">
        <v>3.8158574659681648</v>
      </c>
      <c r="AH123" s="106">
        <v>0</v>
      </c>
      <c r="AI123" s="106">
        <v>8.4878189869257596</v>
      </c>
      <c r="AJ123" s="106">
        <v>0</v>
      </c>
      <c r="AK123" s="106">
        <v>0</v>
      </c>
      <c r="AL123" s="106">
        <v>0</v>
      </c>
      <c r="AM123" s="106">
        <v>0</v>
      </c>
      <c r="AN123" s="106">
        <v>0</v>
      </c>
      <c r="AO123" s="106">
        <v>0</v>
      </c>
      <c r="AP123" s="106">
        <v>45.845818724629268</v>
      </c>
      <c r="AQ123" s="106">
        <v>17.857189169057108</v>
      </c>
      <c r="AR123" s="106">
        <v>0</v>
      </c>
      <c r="AS123" s="106">
        <v>0</v>
      </c>
      <c r="AT123" s="106">
        <v>0</v>
      </c>
      <c r="AU123" s="106">
        <v>9.6857105174365614</v>
      </c>
      <c r="AV123" s="106">
        <v>0</v>
      </c>
      <c r="AW123" s="106">
        <v>9.6857105174365614</v>
      </c>
      <c r="AX123" s="106">
        <v>0</v>
      </c>
      <c r="AY123" s="106">
        <v>0</v>
      </c>
    </row>
    <row r="124" spans="1:52">
      <c r="A124" s="109"/>
      <c r="B124" s="119">
        <v>3</v>
      </c>
      <c r="C124" s="106">
        <v>0</v>
      </c>
      <c r="D124" s="106">
        <v>0</v>
      </c>
      <c r="E124" s="106">
        <v>0</v>
      </c>
      <c r="F124" s="106">
        <v>0</v>
      </c>
      <c r="G124" s="106">
        <v>0</v>
      </c>
      <c r="H124" s="106">
        <v>0</v>
      </c>
      <c r="I124" s="106">
        <v>0</v>
      </c>
      <c r="J124" s="106">
        <v>0</v>
      </c>
      <c r="K124" s="106">
        <v>0</v>
      </c>
      <c r="L124" s="106">
        <v>0</v>
      </c>
      <c r="M124" s="106">
        <v>0</v>
      </c>
      <c r="N124" s="106">
        <v>0</v>
      </c>
      <c r="O124" s="106">
        <v>0</v>
      </c>
      <c r="P124" s="106">
        <v>0</v>
      </c>
      <c r="Q124" s="106">
        <v>0</v>
      </c>
      <c r="R124" s="106">
        <v>0</v>
      </c>
      <c r="S124" s="106">
        <v>0</v>
      </c>
      <c r="T124" s="106">
        <v>0</v>
      </c>
      <c r="U124" s="106">
        <v>0</v>
      </c>
      <c r="V124" s="106">
        <v>0</v>
      </c>
      <c r="W124" s="106">
        <v>45.845818724629268</v>
      </c>
      <c r="X124" s="106">
        <v>0</v>
      </c>
      <c r="Y124" s="106">
        <v>0</v>
      </c>
      <c r="Z124" s="106">
        <v>0</v>
      </c>
      <c r="AA124" s="106">
        <v>0</v>
      </c>
      <c r="AB124" s="106">
        <v>0</v>
      </c>
      <c r="AC124" s="106">
        <v>0</v>
      </c>
      <c r="AD124" s="106">
        <v>0</v>
      </c>
      <c r="AE124" s="106">
        <v>0</v>
      </c>
      <c r="AF124" s="106">
        <v>0</v>
      </c>
      <c r="AG124" s="106">
        <v>0</v>
      </c>
      <c r="AH124" s="106">
        <v>0</v>
      </c>
      <c r="AI124" s="106">
        <v>0</v>
      </c>
      <c r="AJ124" s="106">
        <v>0</v>
      </c>
      <c r="AK124" s="106">
        <v>0</v>
      </c>
      <c r="AL124" s="106">
        <v>0</v>
      </c>
      <c r="AM124" s="106">
        <v>0</v>
      </c>
      <c r="AN124" s="106">
        <v>0</v>
      </c>
      <c r="AO124" s="106">
        <v>0</v>
      </c>
      <c r="AP124" s="106">
        <v>0</v>
      </c>
      <c r="AQ124" s="106">
        <v>0</v>
      </c>
      <c r="AR124" s="106">
        <v>0</v>
      </c>
      <c r="AS124" s="106">
        <v>0</v>
      </c>
      <c r="AT124" s="106">
        <v>0</v>
      </c>
      <c r="AU124" s="106">
        <v>0</v>
      </c>
      <c r="AV124" s="106">
        <v>0</v>
      </c>
      <c r="AW124" s="106">
        <v>0</v>
      </c>
      <c r="AX124" s="106">
        <v>0</v>
      </c>
      <c r="AY124" s="106">
        <v>0</v>
      </c>
    </row>
    <row r="125" spans="1:52">
      <c r="A125" s="109"/>
      <c r="B125" s="119">
        <v>4</v>
      </c>
      <c r="C125" s="106">
        <v>0</v>
      </c>
      <c r="D125" s="106">
        <v>0</v>
      </c>
      <c r="E125" s="106">
        <v>0</v>
      </c>
      <c r="F125" s="106">
        <v>0</v>
      </c>
      <c r="G125" s="106">
        <v>0</v>
      </c>
      <c r="H125" s="106">
        <v>0</v>
      </c>
      <c r="I125" s="106">
        <v>0</v>
      </c>
      <c r="J125" s="106">
        <v>0</v>
      </c>
      <c r="K125" s="106">
        <v>0</v>
      </c>
      <c r="L125" s="106">
        <v>0</v>
      </c>
      <c r="M125" s="106">
        <v>0</v>
      </c>
      <c r="N125" s="106">
        <v>0</v>
      </c>
      <c r="O125" s="106">
        <v>0</v>
      </c>
      <c r="P125" s="106">
        <v>0</v>
      </c>
      <c r="Q125" s="106">
        <v>0</v>
      </c>
      <c r="R125" s="106">
        <v>0</v>
      </c>
      <c r="S125" s="106">
        <v>0</v>
      </c>
      <c r="T125" s="106">
        <v>0</v>
      </c>
      <c r="U125" s="106">
        <v>0</v>
      </c>
      <c r="V125" s="106">
        <v>0</v>
      </c>
      <c r="W125" s="106">
        <v>0</v>
      </c>
      <c r="X125" s="106">
        <v>0</v>
      </c>
      <c r="Y125" s="106">
        <v>0</v>
      </c>
      <c r="Z125" s="106">
        <v>0</v>
      </c>
      <c r="AA125" s="106">
        <v>0</v>
      </c>
      <c r="AB125" s="106">
        <v>0</v>
      </c>
      <c r="AC125" s="106">
        <v>0</v>
      </c>
      <c r="AD125" s="106">
        <v>0</v>
      </c>
      <c r="AE125" s="106">
        <v>0</v>
      </c>
      <c r="AF125" s="106">
        <v>0</v>
      </c>
      <c r="AG125" s="106">
        <v>0</v>
      </c>
      <c r="AH125" s="106">
        <v>0</v>
      </c>
      <c r="AI125" s="106">
        <v>0</v>
      </c>
      <c r="AJ125" s="106">
        <v>0</v>
      </c>
      <c r="AK125" s="106">
        <v>0</v>
      </c>
      <c r="AL125" s="106">
        <v>0</v>
      </c>
      <c r="AM125" s="106">
        <v>0</v>
      </c>
      <c r="AN125" s="106">
        <v>0</v>
      </c>
      <c r="AO125" s="106">
        <v>0</v>
      </c>
      <c r="AP125" s="106">
        <v>0</v>
      </c>
      <c r="AQ125" s="106">
        <v>0</v>
      </c>
      <c r="AR125" s="106">
        <v>0</v>
      </c>
      <c r="AS125" s="106">
        <v>0</v>
      </c>
      <c r="AT125" s="106">
        <v>0</v>
      </c>
      <c r="AU125" s="106">
        <v>0</v>
      </c>
      <c r="AV125" s="106">
        <v>0</v>
      </c>
      <c r="AW125" s="106">
        <v>0</v>
      </c>
      <c r="AX125" s="106">
        <v>0</v>
      </c>
      <c r="AY125" s="106">
        <v>0</v>
      </c>
    </row>
    <row r="126" spans="1:52">
      <c r="A126" s="109"/>
      <c r="B126" s="119">
        <v>5</v>
      </c>
      <c r="C126" s="106">
        <v>0</v>
      </c>
      <c r="D126" s="106">
        <v>0</v>
      </c>
      <c r="E126" s="106">
        <v>0</v>
      </c>
      <c r="F126" s="106">
        <v>0</v>
      </c>
      <c r="G126" s="106">
        <v>0</v>
      </c>
      <c r="H126" s="106">
        <v>0</v>
      </c>
      <c r="I126" s="106">
        <v>0</v>
      </c>
      <c r="J126" s="106">
        <v>0</v>
      </c>
      <c r="K126" s="106">
        <v>0</v>
      </c>
      <c r="L126" s="106">
        <v>0</v>
      </c>
      <c r="M126" s="106">
        <v>0</v>
      </c>
      <c r="N126" s="106">
        <v>0</v>
      </c>
      <c r="O126" s="106">
        <v>0</v>
      </c>
      <c r="P126" s="106">
        <v>0</v>
      </c>
      <c r="Q126" s="106">
        <v>0</v>
      </c>
      <c r="R126" s="106">
        <v>0</v>
      </c>
      <c r="S126" s="106">
        <v>0</v>
      </c>
      <c r="T126" s="106">
        <v>0</v>
      </c>
      <c r="U126" s="106">
        <v>0</v>
      </c>
      <c r="V126" s="106">
        <v>0</v>
      </c>
      <c r="W126" s="106">
        <v>0</v>
      </c>
      <c r="X126" s="106">
        <v>0</v>
      </c>
      <c r="Y126" s="106">
        <v>0</v>
      </c>
      <c r="Z126" s="106">
        <v>0</v>
      </c>
      <c r="AA126" s="106">
        <v>0</v>
      </c>
      <c r="AB126" s="106">
        <v>0</v>
      </c>
      <c r="AC126" s="106">
        <v>0</v>
      </c>
      <c r="AD126" s="106">
        <v>0</v>
      </c>
      <c r="AE126" s="106">
        <v>0</v>
      </c>
      <c r="AF126" s="106">
        <v>0</v>
      </c>
      <c r="AG126" s="106">
        <v>0</v>
      </c>
      <c r="AH126" s="106">
        <v>0</v>
      </c>
      <c r="AI126" s="106">
        <v>0</v>
      </c>
      <c r="AJ126" s="106">
        <v>0</v>
      </c>
      <c r="AK126" s="106">
        <v>0</v>
      </c>
      <c r="AL126" s="106">
        <v>0</v>
      </c>
      <c r="AM126" s="106">
        <v>0</v>
      </c>
      <c r="AN126" s="106">
        <v>0</v>
      </c>
      <c r="AO126" s="106">
        <v>0</v>
      </c>
      <c r="AP126" s="106">
        <v>0</v>
      </c>
      <c r="AQ126" s="106">
        <v>0</v>
      </c>
      <c r="AR126" s="106">
        <v>0</v>
      </c>
      <c r="AS126" s="106">
        <v>0</v>
      </c>
      <c r="AT126" s="106">
        <v>0</v>
      </c>
      <c r="AU126" s="106">
        <v>0</v>
      </c>
      <c r="AV126" s="106">
        <v>0</v>
      </c>
      <c r="AW126" s="106">
        <v>0</v>
      </c>
      <c r="AX126" s="106">
        <v>0</v>
      </c>
      <c r="AY126" s="106">
        <v>0</v>
      </c>
    </row>
    <row r="127" spans="1:52">
      <c r="A127" s="109"/>
      <c r="B127" s="119">
        <v>6</v>
      </c>
      <c r="C127" s="106">
        <v>0</v>
      </c>
      <c r="D127" s="106">
        <v>0</v>
      </c>
      <c r="E127" s="106">
        <v>0</v>
      </c>
      <c r="F127" s="106">
        <v>0</v>
      </c>
      <c r="G127" s="106">
        <v>0</v>
      </c>
      <c r="H127" s="106">
        <v>0</v>
      </c>
      <c r="I127" s="106">
        <v>0</v>
      </c>
      <c r="J127" s="106">
        <v>0</v>
      </c>
      <c r="K127" s="106">
        <v>0</v>
      </c>
      <c r="L127" s="106">
        <v>0</v>
      </c>
      <c r="M127" s="106">
        <v>0</v>
      </c>
      <c r="N127" s="106">
        <v>0</v>
      </c>
      <c r="O127" s="106">
        <v>0</v>
      </c>
      <c r="P127" s="106">
        <v>0</v>
      </c>
      <c r="Q127" s="106">
        <v>0</v>
      </c>
      <c r="R127" s="106">
        <v>0</v>
      </c>
      <c r="S127" s="106">
        <v>0</v>
      </c>
      <c r="T127" s="106">
        <v>0</v>
      </c>
      <c r="U127" s="106">
        <v>0</v>
      </c>
      <c r="V127" s="106">
        <v>0</v>
      </c>
      <c r="W127" s="106">
        <v>0</v>
      </c>
      <c r="X127" s="106">
        <v>0</v>
      </c>
      <c r="Y127" s="106">
        <v>0</v>
      </c>
      <c r="Z127" s="106">
        <v>0</v>
      </c>
      <c r="AA127" s="106">
        <v>0</v>
      </c>
      <c r="AB127" s="106">
        <v>0</v>
      </c>
      <c r="AC127" s="106">
        <v>0</v>
      </c>
      <c r="AD127" s="106">
        <v>0</v>
      </c>
      <c r="AE127" s="106">
        <v>0</v>
      </c>
      <c r="AF127" s="106">
        <v>0</v>
      </c>
      <c r="AG127" s="106">
        <v>0</v>
      </c>
      <c r="AH127" s="106">
        <v>0</v>
      </c>
      <c r="AI127" s="106">
        <v>0</v>
      </c>
      <c r="AJ127" s="106">
        <v>0</v>
      </c>
      <c r="AK127" s="106">
        <v>0</v>
      </c>
      <c r="AL127" s="106">
        <v>0</v>
      </c>
      <c r="AM127" s="106">
        <v>0</v>
      </c>
      <c r="AN127" s="106">
        <v>0</v>
      </c>
      <c r="AO127" s="106">
        <v>0</v>
      </c>
      <c r="AP127" s="106">
        <v>0</v>
      </c>
      <c r="AQ127" s="106">
        <v>0</v>
      </c>
      <c r="AR127" s="106">
        <v>0</v>
      </c>
      <c r="AS127" s="106">
        <v>0</v>
      </c>
      <c r="AT127" s="106">
        <v>0</v>
      </c>
      <c r="AU127" s="106">
        <v>0</v>
      </c>
      <c r="AV127" s="106">
        <v>0</v>
      </c>
      <c r="AW127" s="106">
        <v>0</v>
      </c>
      <c r="AX127" s="106">
        <v>0</v>
      </c>
      <c r="AY127" s="106">
        <v>0</v>
      </c>
    </row>
    <row r="128" spans="1:52">
      <c r="A128" s="109"/>
      <c r="B128" s="119">
        <v>7</v>
      </c>
      <c r="C128" s="106">
        <v>0</v>
      </c>
      <c r="D128" s="106">
        <v>0</v>
      </c>
      <c r="E128" s="106">
        <v>0</v>
      </c>
      <c r="F128" s="106">
        <v>0</v>
      </c>
      <c r="G128" s="106">
        <v>0</v>
      </c>
      <c r="H128" s="106">
        <v>0</v>
      </c>
      <c r="I128" s="106">
        <v>0</v>
      </c>
      <c r="J128" s="106">
        <v>0</v>
      </c>
      <c r="K128" s="106">
        <v>0</v>
      </c>
      <c r="L128" s="106">
        <v>0</v>
      </c>
      <c r="M128" s="106">
        <v>0</v>
      </c>
      <c r="N128" s="106">
        <v>0</v>
      </c>
      <c r="O128" s="106">
        <v>0</v>
      </c>
      <c r="P128" s="106">
        <v>0</v>
      </c>
      <c r="Q128" s="106">
        <v>0</v>
      </c>
      <c r="R128" s="106">
        <v>0</v>
      </c>
      <c r="S128" s="106">
        <v>0</v>
      </c>
      <c r="T128" s="106">
        <v>0</v>
      </c>
      <c r="U128" s="106">
        <v>0</v>
      </c>
      <c r="V128" s="106">
        <v>0</v>
      </c>
      <c r="W128" s="106">
        <v>0</v>
      </c>
      <c r="X128" s="106">
        <v>0</v>
      </c>
      <c r="Y128" s="106">
        <v>0</v>
      </c>
      <c r="Z128" s="106">
        <v>0</v>
      </c>
      <c r="AA128" s="106">
        <v>0</v>
      </c>
      <c r="AB128" s="106">
        <v>0</v>
      </c>
      <c r="AC128" s="106">
        <v>0</v>
      </c>
      <c r="AD128" s="106">
        <v>0</v>
      </c>
      <c r="AE128" s="106">
        <v>0</v>
      </c>
      <c r="AF128" s="106">
        <v>0</v>
      </c>
      <c r="AG128" s="106">
        <v>0</v>
      </c>
      <c r="AH128" s="106">
        <v>0</v>
      </c>
      <c r="AI128" s="106">
        <v>0</v>
      </c>
      <c r="AJ128" s="106">
        <v>0</v>
      </c>
      <c r="AK128" s="106">
        <v>0</v>
      </c>
      <c r="AL128" s="106">
        <v>0</v>
      </c>
      <c r="AM128" s="106">
        <v>0</v>
      </c>
      <c r="AN128" s="106">
        <v>0</v>
      </c>
      <c r="AO128" s="106">
        <v>0</v>
      </c>
      <c r="AP128" s="106">
        <v>0</v>
      </c>
      <c r="AQ128" s="106">
        <v>0</v>
      </c>
      <c r="AR128" s="106">
        <v>0</v>
      </c>
      <c r="AS128" s="106">
        <v>0</v>
      </c>
      <c r="AT128" s="106">
        <v>0</v>
      </c>
      <c r="AU128" s="106">
        <v>0</v>
      </c>
      <c r="AV128" s="106">
        <v>0</v>
      </c>
      <c r="AW128" s="106">
        <v>0</v>
      </c>
      <c r="AX128" s="106">
        <v>0</v>
      </c>
      <c r="AY128" s="106">
        <v>0</v>
      </c>
    </row>
    <row r="129" spans="1:51">
      <c r="A129" s="109"/>
      <c r="B129" s="119">
        <v>8</v>
      </c>
      <c r="C129" s="106">
        <v>0</v>
      </c>
      <c r="D129" s="106">
        <v>0</v>
      </c>
      <c r="E129" s="106">
        <v>0</v>
      </c>
      <c r="F129" s="106">
        <v>0</v>
      </c>
      <c r="G129" s="106">
        <v>0</v>
      </c>
      <c r="H129" s="106">
        <v>0</v>
      </c>
      <c r="I129" s="106">
        <v>0</v>
      </c>
      <c r="J129" s="106">
        <v>0</v>
      </c>
      <c r="K129" s="106">
        <v>0</v>
      </c>
      <c r="L129" s="106">
        <v>0</v>
      </c>
      <c r="M129" s="106">
        <v>0</v>
      </c>
      <c r="N129" s="106">
        <v>0</v>
      </c>
      <c r="O129" s="106">
        <v>0</v>
      </c>
      <c r="P129" s="106">
        <v>0</v>
      </c>
      <c r="Q129" s="106">
        <v>0</v>
      </c>
      <c r="R129" s="106">
        <v>0</v>
      </c>
      <c r="S129" s="106">
        <v>0</v>
      </c>
      <c r="T129" s="106">
        <v>0</v>
      </c>
      <c r="U129" s="106">
        <v>0</v>
      </c>
      <c r="V129" s="106">
        <v>0</v>
      </c>
      <c r="W129" s="106">
        <v>0</v>
      </c>
      <c r="X129" s="106">
        <v>0</v>
      </c>
      <c r="Y129" s="106">
        <v>0</v>
      </c>
      <c r="Z129" s="106">
        <v>0</v>
      </c>
      <c r="AA129" s="106">
        <v>0</v>
      </c>
      <c r="AB129" s="106">
        <v>0</v>
      </c>
      <c r="AC129" s="106">
        <v>0</v>
      </c>
      <c r="AD129" s="106">
        <v>0</v>
      </c>
      <c r="AE129" s="106">
        <v>0</v>
      </c>
      <c r="AF129" s="106">
        <v>0</v>
      </c>
      <c r="AG129" s="106">
        <v>0</v>
      </c>
      <c r="AH129" s="106">
        <v>0</v>
      </c>
      <c r="AI129" s="106">
        <v>0</v>
      </c>
      <c r="AJ129" s="106">
        <v>0</v>
      </c>
      <c r="AK129" s="106">
        <v>0</v>
      </c>
      <c r="AL129" s="106">
        <v>0</v>
      </c>
      <c r="AM129" s="106">
        <v>0</v>
      </c>
      <c r="AN129" s="106">
        <v>0</v>
      </c>
      <c r="AO129" s="106">
        <v>0</v>
      </c>
      <c r="AP129" s="106">
        <v>0</v>
      </c>
      <c r="AQ129" s="106">
        <v>0</v>
      </c>
      <c r="AR129" s="106">
        <v>0</v>
      </c>
      <c r="AS129" s="106">
        <v>0</v>
      </c>
      <c r="AT129" s="106">
        <v>0</v>
      </c>
      <c r="AU129" s="106">
        <v>0</v>
      </c>
      <c r="AV129" s="106">
        <v>0</v>
      </c>
      <c r="AW129" s="106">
        <v>0</v>
      </c>
      <c r="AX129" s="106">
        <v>0</v>
      </c>
      <c r="AY129" s="106">
        <v>0</v>
      </c>
    </row>
    <row r="130" spans="1:51">
      <c r="A130" s="109"/>
      <c r="B130" s="119">
        <v>9</v>
      </c>
      <c r="C130" s="106">
        <v>0</v>
      </c>
      <c r="D130" s="106">
        <v>0</v>
      </c>
      <c r="E130" s="106">
        <v>0</v>
      </c>
      <c r="F130" s="106">
        <v>0</v>
      </c>
      <c r="G130" s="106">
        <v>0</v>
      </c>
      <c r="H130" s="106">
        <v>0</v>
      </c>
      <c r="I130" s="106">
        <v>0</v>
      </c>
      <c r="J130" s="106">
        <v>0</v>
      </c>
      <c r="K130" s="106">
        <v>0</v>
      </c>
      <c r="L130" s="106">
        <v>0</v>
      </c>
      <c r="M130" s="106">
        <v>0</v>
      </c>
      <c r="N130" s="106">
        <v>0</v>
      </c>
      <c r="O130" s="106">
        <v>0</v>
      </c>
      <c r="P130" s="106">
        <v>0</v>
      </c>
      <c r="Q130" s="106">
        <v>0</v>
      </c>
      <c r="R130" s="106">
        <v>0</v>
      </c>
      <c r="S130" s="106">
        <v>0</v>
      </c>
      <c r="T130" s="106">
        <v>0</v>
      </c>
      <c r="U130" s="106">
        <v>0</v>
      </c>
      <c r="V130" s="106">
        <v>0</v>
      </c>
      <c r="W130" s="106">
        <v>0</v>
      </c>
      <c r="X130" s="106">
        <v>0</v>
      </c>
      <c r="Y130" s="106">
        <v>0</v>
      </c>
      <c r="Z130" s="106">
        <v>0</v>
      </c>
      <c r="AA130" s="106">
        <v>0</v>
      </c>
      <c r="AB130" s="106">
        <v>0</v>
      </c>
      <c r="AC130" s="106">
        <v>0</v>
      </c>
      <c r="AD130" s="106">
        <v>0</v>
      </c>
      <c r="AE130" s="106">
        <v>0</v>
      </c>
      <c r="AF130" s="106">
        <v>0</v>
      </c>
      <c r="AG130" s="106">
        <v>0</v>
      </c>
      <c r="AH130" s="106">
        <v>0</v>
      </c>
      <c r="AI130" s="106">
        <v>0</v>
      </c>
      <c r="AJ130" s="106">
        <v>0</v>
      </c>
      <c r="AK130" s="106">
        <v>0</v>
      </c>
      <c r="AL130" s="106">
        <v>0</v>
      </c>
      <c r="AM130" s="106">
        <v>0</v>
      </c>
      <c r="AN130" s="106">
        <v>0</v>
      </c>
      <c r="AO130" s="106">
        <v>0</v>
      </c>
      <c r="AP130" s="106">
        <v>0</v>
      </c>
      <c r="AQ130" s="106">
        <v>0</v>
      </c>
      <c r="AR130" s="106">
        <v>0</v>
      </c>
      <c r="AS130" s="106">
        <v>0</v>
      </c>
      <c r="AT130" s="106">
        <v>0</v>
      </c>
      <c r="AU130" s="106">
        <v>0</v>
      </c>
      <c r="AV130" s="106">
        <v>0</v>
      </c>
      <c r="AW130" s="106">
        <v>0</v>
      </c>
      <c r="AX130" s="106">
        <v>0</v>
      </c>
      <c r="AY130" s="106">
        <v>0</v>
      </c>
    </row>
    <row r="131" spans="1:51">
      <c r="A131" s="109"/>
      <c r="B131" s="119">
        <v>10</v>
      </c>
      <c r="C131" s="106">
        <v>0</v>
      </c>
      <c r="D131" s="106">
        <v>0</v>
      </c>
      <c r="E131" s="106">
        <v>0</v>
      </c>
      <c r="F131" s="106">
        <v>0</v>
      </c>
      <c r="G131" s="106">
        <v>0</v>
      </c>
      <c r="H131" s="106">
        <v>0</v>
      </c>
      <c r="I131" s="106">
        <v>0</v>
      </c>
      <c r="J131" s="106">
        <v>0</v>
      </c>
      <c r="K131" s="106">
        <v>0</v>
      </c>
      <c r="L131" s="106">
        <v>0</v>
      </c>
      <c r="M131" s="106">
        <v>0</v>
      </c>
      <c r="N131" s="106">
        <v>0</v>
      </c>
      <c r="O131" s="106">
        <v>0</v>
      </c>
      <c r="P131" s="106">
        <v>0</v>
      </c>
      <c r="Q131" s="106">
        <v>0</v>
      </c>
      <c r="R131" s="106">
        <v>0</v>
      </c>
      <c r="S131" s="106">
        <v>0</v>
      </c>
      <c r="T131" s="106">
        <v>0</v>
      </c>
      <c r="U131" s="106">
        <v>0</v>
      </c>
      <c r="V131" s="106">
        <v>0</v>
      </c>
      <c r="W131" s="106">
        <v>0</v>
      </c>
      <c r="X131" s="106">
        <v>0</v>
      </c>
      <c r="Y131" s="106">
        <v>0</v>
      </c>
      <c r="Z131" s="106">
        <v>0</v>
      </c>
      <c r="AA131" s="106">
        <v>0</v>
      </c>
      <c r="AB131" s="106">
        <v>0</v>
      </c>
      <c r="AC131" s="106">
        <v>0</v>
      </c>
      <c r="AD131" s="106">
        <v>0</v>
      </c>
      <c r="AE131" s="106">
        <v>0</v>
      </c>
      <c r="AF131" s="106">
        <v>0</v>
      </c>
      <c r="AG131" s="106">
        <v>0</v>
      </c>
      <c r="AH131" s="106">
        <v>0</v>
      </c>
      <c r="AI131" s="106">
        <v>0</v>
      </c>
      <c r="AJ131" s="106">
        <v>0</v>
      </c>
      <c r="AK131" s="106">
        <v>0</v>
      </c>
      <c r="AL131" s="106">
        <v>0</v>
      </c>
      <c r="AM131" s="106">
        <v>0</v>
      </c>
      <c r="AN131" s="106">
        <v>0</v>
      </c>
      <c r="AO131" s="106">
        <v>0</v>
      </c>
      <c r="AP131" s="106">
        <v>0</v>
      </c>
      <c r="AQ131" s="106">
        <v>0</v>
      </c>
      <c r="AR131" s="106">
        <v>0</v>
      </c>
      <c r="AS131" s="106">
        <v>0</v>
      </c>
      <c r="AT131" s="106">
        <v>0</v>
      </c>
      <c r="AU131" s="106">
        <v>0</v>
      </c>
      <c r="AV131" s="106">
        <v>0</v>
      </c>
      <c r="AW131" s="106">
        <v>0</v>
      </c>
      <c r="AX131" s="106">
        <v>0</v>
      </c>
      <c r="AY131" s="106">
        <v>0</v>
      </c>
    </row>
    <row r="132" spans="1:51">
      <c r="A132" s="109"/>
      <c r="B132" s="119">
        <v>11</v>
      </c>
      <c r="C132" s="106">
        <v>0</v>
      </c>
      <c r="D132" s="106">
        <v>0</v>
      </c>
      <c r="E132" s="106">
        <v>0</v>
      </c>
      <c r="F132" s="106">
        <v>0</v>
      </c>
      <c r="G132" s="106">
        <v>0</v>
      </c>
      <c r="H132" s="106">
        <v>0</v>
      </c>
      <c r="I132" s="106">
        <v>0</v>
      </c>
      <c r="J132" s="106">
        <v>0</v>
      </c>
      <c r="K132" s="106">
        <v>0</v>
      </c>
      <c r="L132" s="106">
        <v>0</v>
      </c>
      <c r="M132" s="106">
        <v>0</v>
      </c>
      <c r="N132" s="106">
        <v>0</v>
      </c>
      <c r="O132" s="106">
        <v>0</v>
      </c>
      <c r="P132" s="106">
        <v>0</v>
      </c>
      <c r="Q132" s="106">
        <v>0</v>
      </c>
      <c r="R132" s="106">
        <v>0</v>
      </c>
      <c r="S132" s="106">
        <v>0</v>
      </c>
      <c r="T132" s="106">
        <v>0</v>
      </c>
      <c r="U132" s="106">
        <v>0</v>
      </c>
      <c r="V132" s="106">
        <v>0</v>
      </c>
      <c r="W132" s="106">
        <v>0</v>
      </c>
      <c r="X132" s="106">
        <v>0</v>
      </c>
      <c r="Y132" s="106">
        <v>0</v>
      </c>
      <c r="Z132" s="106">
        <v>0</v>
      </c>
      <c r="AA132" s="106">
        <v>0</v>
      </c>
      <c r="AB132" s="106">
        <v>0</v>
      </c>
      <c r="AC132" s="106">
        <v>0</v>
      </c>
      <c r="AD132" s="106">
        <v>0</v>
      </c>
      <c r="AE132" s="106">
        <v>0</v>
      </c>
      <c r="AF132" s="106">
        <v>0</v>
      </c>
      <c r="AG132" s="106">
        <v>0</v>
      </c>
      <c r="AH132" s="106">
        <v>0</v>
      </c>
      <c r="AI132" s="106">
        <v>0</v>
      </c>
      <c r="AJ132" s="106">
        <v>0</v>
      </c>
      <c r="AK132" s="106">
        <v>0</v>
      </c>
      <c r="AL132" s="106">
        <v>0</v>
      </c>
      <c r="AM132" s="106">
        <v>0</v>
      </c>
      <c r="AN132" s="106">
        <v>0</v>
      </c>
      <c r="AO132" s="106">
        <v>0</v>
      </c>
      <c r="AP132" s="106">
        <v>0</v>
      </c>
      <c r="AQ132" s="106">
        <v>0</v>
      </c>
      <c r="AR132" s="106">
        <v>0</v>
      </c>
      <c r="AS132" s="106">
        <v>0</v>
      </c>
      <c r="AT132" s="106">
        <v>0</v>
      </c>
      <c r="AU132" s="106">
        <v>0</v>
      </c>
      <c r="AV132" s="106">
        <v>0</v>
      </c>
      <c r="AW132" s="106">
        <v>0</v>
      </c>
      <c r="AX132" s="106">
        <v>0</v>
      </c>
      <c r="AY132" s="106">
        <v>0</v>
      </c>
    </row>
    <row r="133" spans="1:51">
      <c r="A133" s="109"/>
      <c r="B133" s="119">
        <v>12</v>
      </c>
      <c r="C133" s="106">
        <v>0</v>
      </c>
      <c r="D133" s="106">
        <v>0</v>
      </c>
      <c r="E133" s="106">
        <v>0</v>
      </c>
      <c r="F133" s="106">
        <v>0</v>
      </c>
      <c r="G133" s="106">
        <v>0</v>
      </c>
      <c r="H133" s="106">
        <v>0</v>
      </c>
      <c r="I133" s="106">
        <v>0</v>
      </c>
      <c r="J133" s="106">
        <v>0</v>
      </c>
      <c r="K133" s="106">
        <v>0</v>
      </c>
      <c r="L133" s="106">
        <v>0</v>
      </c>
      <c r="M133" s="106">
        <v>0</v>
      </c>
      <c r="N133" s="106">
        <v>0</v>
      </c>
      <c r="O133" s="106">
        <v>0</v>
      </c>
      <c r="P133" s="106">
        <v>0</v>
      </c>
      <c r="Q133" s="106">
        <v>0</v>
      </c>
      <c r="R133" s="106">
        <v>0</v>
      </c>
      <c r="S133" s="106">
        <v>0</v>
      </c>
      <c r="T133" s="106">
        <v>0</v>
      </c>
      <c r="U133" s="106">
        <v>0</v>
      </c>
      <c r="V133" s="106">
        <v>0</v>
      </c>
      <c r="W133" s="106">
        <v>0</v>
      </c>
      <c r="X133" s="106">
        <v>0</v>
      </c>
      <c r="Y133" s="106">
        <v>0</v>
      </c>
      <c r="Z133" s="106">
        <v>0</v>
      </c>
      <c r="AA133" s="106">
        <v>0</v>
      </c>
      <c r="AB133" s="106">
        <v>0</v>
      </c>
      <c r="AC133" s="106">
        <v>0</v>
      </c>
      <c r="AD133" s="106">
        <v>0</v>
      </c>
      <c r="AE133" s="106">
        <v>0</v>
      </c>
      <c r="AF133" s="106">
        <v>0</v>
      </c>
      <c r="AG133" s="106">
        <v>0</v>
      </c>
      <c r="AH133" s="106">
        <v>0</v>
      </c>
      <c r="AI133" s="106">
        <v>0</v>
      </c>
      <c r="AJ133" s="106">
        <v>0</v>
      </c>
      <c r="AK133" s="106">
        <v>0</v>
      </c>
      <c r="AL133" s="106">
        <v>0</v>
      </c>
      <c r="AM133" s="106">
        <v>0</v>
      </c>
      <c r="AN133" s="106">
        <v>0</v>
      </c>
      <c r="AO133" s="106">
        <v>0</v>
      </c>
      <c r="AP133" s="106">
        <v>0</v>
      </c>
      <c r="AQ133" s="106">
        <v>0</v>
      </c>
      <c r="AR133" s="106">
        <v>0</v>
      </c>
      <c r="AS133" s="106">
        <v>0</v>
      </c>
      <c r="AT133" s="106">
        <v>0</v>
      </c>
      <c r="AU133" s="106">
        <v>0</v>
      </c>
      <c r="AV133" s="106">
        <v>0</v>
      </c>
      <c r="AW133" s="106">
        <v>0</v>
      </c>
      <c r="AX133" s="106">
        <v>0</v>
      </c>
      <c r="AY133" s="106">
        <v>0</v>
      </c>
    </row>
    <row r="134" spans="1:51">
      <c r="A134" s="109"/>
      <c r="B134" s="120">
        <v>13</v>
      </c>
      <c r="C134" s="106">
        <v>0</v>
      </c>
      <c r="D134" s="106">
        <v>0</v>
      </c>
      <c r="E134" s="106">
        <v>0</v>
      </c>
      <c r="F134" s="106">
        <v>0</v>
      </c>
      <c r="G134" s="106">
        <v>0</v>
      </c>
      <c r="H134" s="106">
        <v>0</v>
      </c>
      <c r="I134" s="106">
        <v>0</v>
      </c>
      <c r="J134" s="106">
        <v>0</v>
      </c>
      <c r="K134" s="106">
        <v>0</v>
      </c>
      <c r="L134" s="106">
        <v>0</v>
      </c>
      <c r="M134" s="106">
        <v>0</v>
      </c>
      <c r="N134" s="106">
        <v>0</v>
      </c>
      <c r="O134" s="106">
        <v>0</v>
      </c>
      <c r="P134" s="106">
        <v>0</v>
      </c>
      <c r="Q134" s="106">
        <v>0</v>
      </c>
      <c r="R134" s="106">
        <v>0</v>
      </c>
      <c r="S134" s="106">
        <v>0</v>
      </c>
      <c r="T134" s="106">
        <v>0</v>
      </c>
      <c r="U134" s="106">
        <v>0</v>
      </c>
      <c r="V134" s="106">
        <v>0</v>
      </c>
      <c r="W134" s="106">
        <v>0</v>
      </c>
      <c r="X134" s="106">
        <v>0</v>
      </c>
      <c r="Y134" s="106">
        <v>0</v>
      </c>
      <c r="Z134" s="106">
        <v>0</v>
      </c>
      <c r="AA134" s="106">
        <v>0</v>
      </c>
      <c r="AB134" s="106">
        <v>0</v>
      </c>
      <c r="AC134" s="106">
        <v>0</v>
      </c>
      <c r="AD134" s="106">
        <v>0</v>
      </c>
      <c r="AE134" s="106">
        <v>0</v>
      </c>
      <c r="AF134" s="106">
        <v>0</v>
      </c>
      <c r="AG134" s="106">
        <v>0</v>
      </c>
      <c r="AH134" s="106">
        <v>0</v>
      </c>
      <c r="AI134" s="106">
        <v>0</v>
      </c>
      <c r="AJ134" s="106">
        <v>0</v>
      </c>
      <c r="AK134" s="106">
        <v>0</v>
      </c>
      <c r="AL134" s="106">
        <v>0</v>
      </c>
      <c r="AM134" s="106">
        <v>0</v>
      </c>
      <c r="AN134" s="106">
        <v>0</v>
      </c>
      <c r="AO134" s="106">
        <v>0</v>
      </c>
      <c r="AP134" s="106">
        <v>0</v>
      </c>
      <c r="AQ134" s="106">
        <v>0</v>
      </c>
      <c r="AR134" s="106">
        <v>0</v>
      </c>
      <c r="AS134" s="106">
        <v>0</v>
      </c>
      <c r="AT134" s="106">
        <v>0</v>
      </c>
      <c r="AU134" s="106">
        <v>0</v>
      </c>
      <c r="AV134" s="106">
        <v>0</v>
      </c>
      <c r="AW134" s="106">
        <v>0</v>
      </c>
      <c r="AX134" s="106">
        <v>0</v>
      </c>
      <c r="AY134" s="106">
        <v>0</v>
      </c>
    </row>
    <row r="135" spans="1:51">
      <c r="A135" s="109"/>
      <c r="B135" s="120">
        <v>14</v>
      </c>
      <c r="C135" s="106">
        <v>0</v>
      </c>
      <c r="D135" s="106">
        <v>0</v>
      </c>
      <c r="E135" s="106">
        <v>0</v>
      </c>
      <c r="F135" s="106">
        <v>0</v>
      </c>
      <c r="G135" s="106">
        <v>0</v>
      </c>
      <c r="H135" s="106">
        <v>0</v>
      </c>
      <c r="I135" s="106">
        <v>0</v>
      </c>
      <c r="J135" s="106">
        <v>0</v>
      </c>
      <c r="K135" s="106">
        <v>0</v>
      </c>
      <c r="L135" s="106">
        <v>0</v>
      </c>
      <c r="M135" s="106">
        <v>0</v>
      </c>
      <c r="N135" s="106">
        <v>0</v>
      </c>
      <c r="O135" s="106">
        <v>0</v>
      </c>
      <c r="P135" s="106">
        <v>0</v>
      </c>
      <c r="Q135" s="106">
        <v>0</v>
      </c>
      <c r="R135" s="106">
        <v>0</v>
      </c>
      <c r="S135" s="106">
        <v>0</v>
      </c>
      <c r="T135" s="106">
        <v>0</v>
      </c>
      <c r="U135" s="106">
        <v>0</v>
      </c>
      <c r="V135" s="106">
        <v>0</v>
      </c>
      <c r="W135" s="106">
        <v>0</v>
      </c>
      <c r="X135" s="106">
        <v>0</v>
      </c>
      <c r="Y135" s="106">
        <v>0</v>
      </c>
      <c r="Z135" s="106">
        <v>0</v>
      </c>
      <c r="AA135" s="106">
        <v>0</v>
      </c>
      <c r="AB135" s="106">
        <v>0</v>
      </c>
      <c r="AC135" s="106">
        <v>0</v>
      </c>
      <c r="AD135" s="106">
        <v>0</v>
      </c>
      <c r="AE135" s="106">
        <v>0</v>
      </c>
      <c r="AF135" s="106">
        <v>0</v>
      </c>
      <c r="AG135" s="106">
        <v>0</v>
      </c>
      <c r="AH135" s="106">
        <v>0</v>
      </c>
      <c r="AI135" s="106">
        <v>0</v>
      </c>
      <c r="AJ135" s="106">
        <v>0</v>
      </c>
      <c r="AK135" s="106">
        <v>0</v>
      </c>
      <c r="AL135" s="106">
        <v>0</v>
      </c>
      <c r="AM135" s="106">
        <v>0</v>
      </c>
      <c r="AN135" s="106">
        <v>0</v>
      </c>
      <c r="AO135" s="106">
        <v>0</v>
      </c>
      <c r="AP135" s="106">
        <v>0</v>
      </c>
      <c r="AQ135" s="106">
        <v>0</v>
      </c>
      <c r="AR135" s="106">
        <v>0</v>
      </c>
      <c r="AS135" s="106">
        <v>0</v>
      </c>
      <c r="AT135" s="106">
        <v>0</v>
      </c>
      <c r="AU135" s="106">
        <v>0</v>
      </c>
      <c r="AV135" s="106">
        <v>0</v>
      </c>
      <c r="AW135" s="106">
        <v>0</v>
      </c>
      <c r="AX135" s="106">
        <v>0</v>
      </c>
      <c r="AY135" s="106">
        <v>0</v>
      </c>
    </row>
    <row r="136" spans="1:51">
      <c r="A136" s="109"/>
      <c r="B136" s="120">
        <v>15</v>
      </c>
      <c r="C136" s="106">
        <v>0</v>
      </c>
      <c r="D136" s="106">
        <v>0</v>
      </c>
      <c r="E136" s="106">
        <v>0</v>
      </c>
      <c r="F136" s="106">
        <v>0</v>
      </c>
      <c r="G136" s="106">
        <v>0</v>
      </c>
      <c r="H136" s="106">
        <v>0</v>
      </c>
      <c r="I136" s="106">
        <v>0</v>
      </c>
      <c r="J136" s="106">
        <v>0</v>
      </c>
      <c r="K136" s="106">
        <v>0</v>
      </c>
      <c r="L136" s="106">
        <v>0</v>
      </c>
      <c r="M136" s="106">
        <v>0</v>
      </c>
      <c r="N136" s="106">
        <v>0</v>
      </c>
      <c r="O136" s="106">
        <v>0</v>
      </c>
      <c r="P136" s="106">
        <v>0</v>
      </c>
      <c r="Q136" s="106">
        <v>0</v>
      </c>
      <c r="R136" s="106">
        <v>0</v>
      </c>
      <c r="S136" s="106">
        <v>0</v>
      </c>
      <c r="T136" s="106">
        <v>0</v>
      </c>
      <c r="U136" s="106">
        <v>0</v>
      </c>
      <c r="V136" s="106">
        <v>0</v>
      </c>
      <c r="W136" s="106">
        <v>0</v>
      </c>
      <c r="X136" s="106">
        <v>0</v>
      </c>
      <c r="Y136" s="106">
        <v>0</v>
      </c>
      <c r="Z136" s="106">
        <v>0</v>
      </c>
      <c r="AA136" s="106">
        <v>0</v>
      </c>
      <c r="AB136" s="106">
        <v>0</v>
      </c>
      <c r="AC136" s="106">
        <v>0</v>
      </c>
      <c r="AD136" s="106">
        <v>0</v>
      </c>
      <c r="AE136" s="106">
        <v>0</v>
      </c>
      <c r="AF136" s="106">
        <v>0</v>
      </c>
      <c r="AG136" s="106">
        <v>0</v>
      </c>
      <c r="AH136" s="106">
        <v>0</v>
      </c>
      <c r="AI136" s="106">
        <v>0</v>
      </c>
      <c r="AJ136" s="106">
        <v>0</v>
      </c>
      <c r="AK136" s="106">
        <v>0</v>
      </c>
      <c r="AL136" s="106">
        <v>0</v>
      </c>
      <c r="AM136" s="106">
        <v>0</v>
      </c>
      <c r="AN136" s="106">
        <v>0</v>
      </c>
      <c r="AO136" s="106">
        <v>0</v>
      </c>
      <c r="AP136" s="106">
        <v>0</v>
      </c>
      <c r="AQ136" s="106">
        <v>0</v>
      </c>
      <c r="AR136" s="106">
        <v>0</v>
      </c>
      <c r="AS136" s="106">
        <v>0</v>
      </c>
      <c r="AT136" s="106">
        <v>0</v>
      </c>
      <c r="AU136" s="106">
        <v>0</v>
      </c>
      <c r="AV136" s="106">
        <v>0</v>
      </c>
      <c r="AW136" s="106">
        <v>0</v>
      </c>
      <c r="AX136" s="106">
        <v>0</v>
      </c>
      <c r="AY136" s="106">
        <v>0</v>
      </c>
    </row>
    <row r="137" spans="1:51">
      <c r="A137" s="109"/>
      <c r="B137" s="120">
        <v>16</v>
      </c>
      <c r="C137" s="106">
        <v>0</v>
      </c>
      <c r="D137" s="106">
        <v>0</v>
      </c>
      <c r="E137" s="106">
        <v>0</v>
      </c>
      <c r="F137" s="106">
        <v>0</v>
      </c>
      <c r="G137" s="106">
        <v>0</v>
      </c>
      <c r="H137" s="106">
        <v>0</v>
      </c>
      <c r="I137" s="106">
        <v>0</v>
      </c>
      <c r="J137" s="106">
        <v>0</v>
      </c>
      <c r="K137" s="106">
        <v>0</v>
      </c>
      <c r="L137" s="106">
        <v>0</v>
      </c>
      <c r="M137" s="106">
        <v>0</v>
      </c>
      <c r="N137" s="106">
        <v>0</v>
      </c>
      <c r="O137" s="106">
        <v>0</v>
      </c>
      <c r="P137" s="106">
        <v>0</v>
      </c>
      <c r="Q137" s="106">
        <v>0</v>
      </c>
      <c r="R137" s="106">
        <v>0</v>
      </c>
      <c r="S137" s="106">
        <v>0</v>
      </c>
      <c r="T137" s="106">
        <v>0</v>
      </c>
      <c r="U137" s="106">
        <v>0</v>
      </c>
      <c r="V137" s="106">
        <v>0</v>
      </c>
      <c r="W137" s="106">
        <v>0</v>
      </c>
      <c r="X137" s="106">
        <v>0</v>
      </c>
      <c r="Y137" s="106">
        <v>0</v>
      </c>
      <c r="Z137" s="106">
        <v>0</v>
      </c>
      <c r="AA137" s="106">
        <v>0</v>
      </c>
      <c r="AB137" s="106">
        <v>0</v>
      </c>
      <c r="AC137" s="106">
        <v>0</v>
      </c>
      <c r="AD137" s="106">
        <v>0</v>
      </c>
      <c r="AE137" s="106">
        <v>0</v>
      </c>
      <c r="AF137" s="106">
        <v>0</v>
      </c>
      <c r="AG137" s="106">
        <v>0</v>
      </c>
      <c r="AH137" s="106">
        <v>0</v>
      </c>
      <c r="AI137" s="106">
        <v>0</v>
      </c>
      <c r="AJ137" s="106">
        <v>0</v>
      </c>
      <c r="AK137" s="106">
        <v>0</v>
      </c>
      <c r="AL137" s="106">
        <v>0</v>
      </c>
      <c r="AM137" s="106">
        <v>0</v>
      </c>
      <c r="AN137" s="106">
        <v>0</v>
      </c>
      <c r="AO137" s="106">
        <v>0</v>
      </c>
      <c r="AP137" s="106">
        <v>0</v>
      </c>
      <c r="AQ137" s="106">
        <v>0</v>
      </c>
      <c r="AR137" s="106">
        <v>0</v>
      </c>
      <c r="AS137" s="106">
        <v>0</v>
      </c>
      <c r="AT137" s="106">
        <v>0</v>
      </c>
      <c r="AU137" s="106">
        <v>0</v>
      </c>
      <c r="AV137" s="106">
        <v>0</v>
      </c>
      <c r="AW137" s="106">
        <v>0</v>
      </c>
      <c r="AX137" s="106">
        <v>0</v>
      </c>
      <c r="AY137" s="106">
        <v>0</v>
      </c>
    </row>
    <row r="138" spans="1:51">
      <c r="A138" s="109"/>
      <c r="B138" s="120">
        <v>17</v>
      </c>
      <c r="C138" s="106">
        <v>0</v>
      </c>
      <c r="D138" s="106">
        <v>0</v>
      </c>
      <c r="E138" s="106">
        <v>0</v>
      </c>
      <c r="F138" s="106">
        <v>0</v>
      </c>
      <c r="G138" s="106">
        <v>0</v>
      </c>
      <c r="H138" s="106">
        <v>0</v>
      </c>
      <c r="I138" s="106">
        <v>0</v>
      </c>
      <c r="J138" s="106">
        <v>0</v>
      </c>
      <c r="K138" s="106">
        <v>0</v>
      </c>
      <c r="L138" s="106">
        <v>0</v>
      </c>
      <c r="M138" s="106">
        <v>0</v>
      </c>
      <c r="N138" s="106">
        <v>0</v>
      </c>
      <c r="O138" s="106">
        <v>0</v>
      </c>
      <c r="P138" s="106">
        <v>0</v>
      </c>
      <c r="Q138" s="106">
        <v>0</v>
      </c>
      <c r="R138" s="106">
        <v>0</v>
      </c>
      <c r="S138" s="106">
        <v>0</v>
      </c>
      <c r="T138" s="106">
        <v>0</v>
      </c>
      <c r="U138" s="106">
        <v>0</v>
      </c>
      <c r="V138" s="106">
        <v>0</v>
      </c>
      <c r="W138" s="106">
        <v>0</v>
      </c>
      <c r="X138" s="106">
        <v>0</v>
      </c>
      <c r="Y138" s="106">
        <v>0</v>
      </c>
      <c r="Z138" s="106">
        <v>0</v>
      </c>
      <c r="AA138" s="106">
        <v>0</v>
      </c>
      <c r="AB138" s="106">
        <v>0</v>
      </c>
      <c r="AC138" s="106">
        <v>0</v>
      </c>
      <c r="AD138" s="106">
        <v>0</v>
      </c>
      <c r="AE138" s="106">
        <v>0</v>
      </c>
      <c r="AF138" s="106">
        <v>0</v>
      </c>
      <c r="AG138" s="106">
        <v>0</v>
      </c>
      <c r="AH138" s="106">
        <v>0</v>
      </c>
      <c r="AI138" s="106">
        <v>0</v>
      </c>
      <c r="AJ138" s="106">
        <v>0</v>
      </c>
      <c r="AK138" s="106">
        <v>0</v>
      </c>
      <c r="AL138" s="106">
        <v>0</v>
      </c>
      <c r="AM138" s="106">
        <v>0</v>
      </c>
      <c r="AN138" s="106">
        <v>0</v>
      </c>
      <c r="AO138" s="106">
        <v>0</v>
      </c>
      <c r="AP138" s="106">
        <v>0</v>
      </c>
      <c r="AQ138" s="106">
        <v>0</v>
      </c>
      <c r="AR138" s="106">
        <v>0</v>
      </c>
      <c r="AS138" s="106">
        <v>0</v>
      </c>
      <c r="AT138" s="106">
        <v>0</v>
      </c>
      <c r="AU138" s="106">
        <v>0</v>
      </c>
      <c r="AV138" s="106">
        <v>0</v>
      </c>
      <c r="AW138" s="106">
        <v>0</v>
      </c>
      <c r="AX138" s="106">
        <v>0</v>
      </c>
      <c r="AY138" s="106">
        <v>0</v>
      </c>
    </row>
    <row r="139" spans="1:51">
      <c r="A139" s="109"/>
      <c r="B139" s="120">
        <v>18</v>
      </c>
      <c r="C139" s="106">
        <v>0</v>
      </c>
      <c r="D139" s="106">
        <v>0</v>
      </c>
      <c r="E139" s="106">
        <v>0</v>
      </c>
      <c r="F139" s="106">
        <v>0</v>
      </c>
      <c r="G139" s="106">
        <v>0</v>
      </c>
      <c r="H139" s="106">
        <v>0</v>
      </c>
      <c r="I139" s="106">
        <v>0</v>
      </c>
      <c r="J139" s="106">
        <v>0</v>
      </c>
      <c r="K139" s="106">
        <v>0</v>
      </c>
      <c r="L139" s="106">
        <v>0</v>
      </c>
      <c r="M139" s="106">
        <v>0</v>
      </c>
      <c r="N139" s="106">
        <v>0</v>
      </c>
      <c r="O139" s="106">
        <v>0</v>
      </c>
      <c r="P139" s="106">
        <v>0</v>
      </c>
      <c r="Q139" s="106">
        <v>0</v>
      </c>
      <c r="R139" s="106">
        <v>0</v>
      </c>
      <c r="S139" s="106">
        <v>0</v>
      </c>
      <c r="T139" s="106">
        <v>0</v>
      </c>
      <c r="U139" s="106">
        <v>0</v>
      </c>
      <c r="V139" s="106">
        <v>0</v>
      </c>
      <c r="W139" s="106">
        <v>0</v>
      </c>
      <c r="X139" s="106">
        <v>0</v>
      </c>
      <c r="Y139" s="106">
        <v>0</v>
      </c>
      <c r="Z139" s="106">
        <v>0</v>
      </c>
      <c r="AA139" s="106">
        <v>0</v>
      </c>
      <c r="AB139" s="106">
        <v>0</v>
      </c>
      <c r="AC139" s="106">
        <v>0</v>
      </c>
      <c r="AD139" s="106">
        <v>0</v>
      </c>
      <c r="AE139" s="106">
        <v>0</v>
      </c>
      <c r="AF139" s="106">
        <v>0</v>
      </c>
      <c r="AG139" s="106">
        <v>0</v>
      </c>
      <c r="AH139" s="106">
        <v>0</v>
      </c>
      <c r="AI139" s="106">
        <v>0</v>
      </c>
      <c r="AJ139" s="106">
        <v>0</v>
      </c>
      <c r="AK139" s="106">
        <v>0</v>
      </c>
      <c r="AL139" s="106">
        <v>0</v>
      </c>
      <c r="AM139" s="106">
        <v>0</v>
      </c>
      <c r="AN139" s="106">
        <v>0</v>
      </c>
      <c r="AO139" s="106">
        <v>0</v>
      </c>
      <c r="AP139" s="106">
        <v>0</v>
      </c>
      <c r="AQ139" s="106">
        <v>0</v>
      </c>
      <c r="AR139" s="106">
        <v>0</v>
      </c>
      <c r="AS139" s="106">
        <v>0</v>
      </c>
      <c r="AT139" s="106">
        <v>0</v>
      </c>
      <c r="AU139" s="106">
        <v>0</v>
      </c>
      <c r="AV139" s="106">
        <v>0</v>
      </c>
      <c r="AW139" s="106">
        <v>0</v>
      </c>
      <c r="AX139" s="106">
        <v>0</v>
      </c>
      <c r="AY139" s="106">
        <v>0</v>
      </c>
    </row>
    <row r="140" spans="1:51">
      <c r="A140" s="109"/>
      <c r="B140" s="120">
        <v>19</v>
      </c>
      <c r="C140" s="106">
        <v>0</v>
      </c>
      <c r="D140" s="106">
        <v>0</v>
      </c>
      <c r="E140" s="106">
        <v>0</v>
      </c>
      <c r="F140" s="106">
        <v>0</v>
      </c>
      <c r="G140" s="106">
        <v>0</v>
      </c>
      <c r="H140" s="106">
        <v>0</v>
      </c>
      <c r="I140" s="106">
        <v>0</v>
      </c>
      <c r="J140" s="106">
        <v>0</v>
      </c>
      <c r="K140" s="106">
        <v>0</v>
      </c>
      <c r="L140" s="106">
        <v>0</v>
      </c>
      <c r="M140" s="106">
        <v>0</v>
      </c>
      <c r="N140" s="106">
        <v>0</v>
      </c>
      <c r="O140" s="106">
        <v>0</v>
      </c>
      <c r="P140" s="106">
        <v>0</v>
      </c>
      <c r="Q140" s="106">
        <v>0</v>
      </c>
      <c r="R140" s="106">
        <v>0</v>
      </c>
      <c r="S140" s="106">
        <v>0</v>
      </c>
      <c r="T140" s="106">
        <v>0</v>
      </c>
      <c r="U140" s="106">
        <v>0</v>
      </c>
      <c r="V140" s="106">
        <v>0</v>
      </c>
      <c r="W140" s="106">
        <v>0</v>
      </c>
      <c r="X140" s="106">
        <v>0</v>
      </c>
      <c r="Y140" s="106">
        <v>0</v>
      </c>
      <c r="Z140" s="106">
        <v>0</v>
      </c>
      <c r="AA140" s="106">
        <v>0</v>
      </c>
      <c r="AB140" s="106">
        <v>0</v>
      </c>
      <c r="AC140" s="106">
        <v>0</v>
      </c>
      <c r="AD140" s="106">
        <v>0</v>
      </c>
      <c r="AE140" s="106">
        <v>0</v>
      </c>
      <c r="AF140" s="106">
        <v>0</v>
      </c>
      <c r="AG140" s="106">
        <v>0</v>
      </c>
      <c r="AH140" s="106">
        <v>0</v>
      </c>
      <c r="AI140" s="106">
        <v>0</v>
      </c>
      <c r="AJ140" s="106">
        <v>0</v>
      </c>
      <c r="AK140" s="106">
        <v>0</v>
      </c>
      <c r="AL140" s="106">
        <v>0</v>
      </c>
      <c r="AM140" s="106">
        <v>0</v>
      </c>
      <c r="AN140" s="106">
        <v>0</v>
      </c>
      <c r="AO140" s="106">
        <v>0</v>
      </c>
      <c r="AP140" s="106">
        <v>0</v>
      </c>
      <c r="AQ140" s="106">
        <v>0</v>
      </c>
      <c r="AR140" s="106">
        <v>0</v>
      </c>
      <c r="AS140" s="106">
        <v>0</v>
      </c>
      <c r="AT140" s="106">
        <v>0</v>
      </c>
      <c r="AU140" s="106">
        <v>0</v>
      </c>
      <c r="AV140" s="106">
        <v>0</v>
      </c>
      <c r="AW140" s="106">
        <v>0</v>
      </c>
      <c r="AX140" s="106">
        <v>0</v>
      </c>
      <c r="AY140" s="106">
        <v>0</v>
      </c>
    </row>
    <row r="141" spans="1:51">
      <c r="A141" s="109"/>
      <c r="B141" s="120">
        <v>20</v>
      </c>
      <c r="C141" s="106">
        <v>0</v>
      </c>
      <c r="D141" s="106">
        <v>0</v>
      </c>
      <c r="E141" s="106">
        <v>0</v>
      </c>
      <c r="F141" s="106">
        <v>0</v>
      </c>
      <c r="G141" s="106">
        <v>0</v>
      </c>
      <c r="H141" s="106">
        <v>0</v>
      </c>
      <c r="I141" s="106">
        <v>0</v>
      </c>
      <c r="J141" s="106">
        <v>0</v>
      </c>
      <c r="K141" s="106">
        <v>0</v>
      </c>
      <c r="L141" s="106">
        <v>0</v>
      </c>
      <c r="M141" s="106">
        <v>0</v>
      </c>
      <c r="N141" s="106">
        <v>0</v>
      </c>
      <c r="O141" s="106">
        <v>0</v>
      </c>
      <c r="P141" s="106">
        <v>0</v>
      </c>
      <c r="Q141" s="106">
        <v>0</v>
      </c>
      <c r="R141" s="106">
        <v>0</v>
      </c>
      <c r="S141" s="106">
        <v>0</v>
      </c>
      <c r="T141" s="106">
        <v>0</v>
      </c>
      <c r="U141" s="106">
        <v>0</v>
      </c>
      <c r="V141" s="106">
        <v>0</v>
      </c>
      <c r="W141" s="106">
        <v>0</v>
      </c>
      <c r="X141" s="106">
        <v>0</v>
      </c>
      <c r="Y141" s="106">
        <v>0</v>
      </c>
      <c r="Z141" s="106">
        <v>0</v>
      </c>
      <c r="AA141" s="106">
        <v>0</v>
      </c>
      <c r="AB141" s="106">
        <v>0</v>
      </c>
      <c r="AC141" s="106">
        <v>0</v>
      </c>
      <c r="AD141" s="106">
        <v>0</v>
      </c>
      <c r="AE141" s="106">
        <v>0</v>
      </c>
      <c r="AF141" s="106">
        <v>0</v>
      </c>
      <c r="AG141" s="106">
        <v>0</v>
      </c>
      <c r="AH141" s="106">
        <v>0</v>
      </c>
      <c r="AI141" s="106">
        <v>0</v>
      </c>
      <c r="AJ141" s="106">
        <v>0</v>
      </c>
      <c r="AK141" s="106">
        <v>0</v>
      </c>
      <c r="AL141" s="106">
        <v>0</v>
      </c>
      <c r="AM141" s="106">
        <v>0</v>
      </c>
      <c r="AN141" s="106">
        <v>0</v>
      </c>
      <c r="AO141" s="106">
        <v>0</v>
      </c>
      <c r="AP141" s="106">
        <v>0</v>
      </c>
      <c r="AQ141" s="106">
        <v>0</v>
      </c>
      <c r="AR141" s="106">
        <v>0</v>
      </c>
      <c r="AS141" s="106">
        <v>0</v>
      </c>
      <c r="AT141" s="106">
        <v>0</v>
      </c>
      <c r="AU141" s="106">
        <v>0</v>
      </c>
      <c r="AV141" s="106">
        <v>0</v>
      </c>
      <c r="AW141" s="106">
        <v>0</v>
      </c>
      <c r="AX141" s="106">
        <v>0</v>
      </c>
      <c r="AY141" s="106">
        <v>0</v>
      </c>
    </row>
    <row r="142" spans="1:51">
      <c r="A142" s="109"/>
      <c r="B142" s="120">
        <v>21</v>
      </c>
      <c r="C142" s="106">
        <v>0</v>
      </c>
      <c r="D142" s="106">
        <v>0</v>
      </c>
      <c r="E142" s="106">
        <v>0</v>
      </c>
      <c r="F142" s="106">
        <v>0</v>
      </c>
      <c r="G142" s="106">
        <v>0</v>
      </c>
      <c r="H142" s="106">
        <v>0</v>
      </c>
      <c r="I142" s="106">
        <v>0</v>
      </c>
      <c r="J142" s="106">
        <v>0</v>
      </c>
      <c r="K142" s="106">
        <v>0</v>
      </c>
      <c r="L142" s="106">
        <v>0</v>
      </c>
      <c r="M142" s="106">
        <v>0</v>
      </c>
      <c r="N142" s="106">
        <v>0</v>
      </c>
      <c r="O142" s="106">
        <v>0</v>
      </c>
      <c r="P142" s="106">
        <v>0</v>
      </c>
      <c r="Q142" s="106">
        <v>0</v>
      </c>
      <c r="R142" s="106">
        <v>0</v>
      </c>
      <c r="S142" s="106">
        <v>0</v>
      </c>
      <c r="T142" s="106">
        <v>0</v>
      </c>
      <c r="U142" s="106">
        <v>0</v>
      </c>
      <c r="V142" s="106">
        <v>0</v>
      </c>
      <c r="W142" s="106">
        <v>0</v>
      </c>
      <c r="X142" s="106">
        <v>0</v>
      </c>
      <c r="Y142" s="106">
        <v>0</v>
      </c>
      <c r="Z142" s="106">
        <v>0</v>
      </c>
      <c r="AA142" s="106">
        <v>0</v>
      </c>
      <c r="AB142" s="106">
        <v>0</v>
      </c>
      <c r="AC142" s="106">
        <v>0</v>
      </c>
      <c r="AD142" s="106">
        <v>0</v>
      </c>
      <c r="AE142" s="106">
        <v>0</v>
      </c>
      <c r="AF142" s="106">
        <v>0</v>
      </c>
      <c r="AG142" s="106">
        <v>0</v>
      </c>
      <c r="AH142" s="106">
        <v>0</v>
      </c>
      <c r="AI142" s="106">
        <v>0</v>
      </c>
      <c r="AJ142" s="106">
        <v>0</v>
      </c>
      <c r="AK142" s="106">
        <v>0</v>
      </c>
      <c r="AL142" s="106">
        <v>0</v>
      </c>
      <c r="AM142" s="106">
        <v>0</v>
      </c>
      <c r="AN142" s="106">
        <v>0</v>
      </c>
      <c r="AO142" s="106">
        <v>0</v>
      </c>
      <c r="AP142" s="106">
        <v>0</v>
      </c>
      <c r="AQ142" s="106">
        <v>0</v>
      </c>
      <c r="AR142" s="106">
        <v>0</v>
      </c>
      <c r="AS142" s="106">
        <v>0</v>
      </c>
      <c r="AT142" s="106">
        <v>0</v>
      </c>
      <c r="AU142" s="106">
        <v>0</v>
      </c>
      <c r="AV142" s="106">
        <v>0</v>
      </c>
      <c r="AW142" s="106">
        <v>0</v>
      </c>
      <c r="AX142" s="106">
        <v>0</v>
      </c>
      <c r="AY142" s="106">
        <v>0</v>
      </c>
    </row>
    <row r="143" spans="1:51">
      <c r="A143" s="109"/>
      <c r="B143" s="120">
        <v>22</v>
      </c>
      <c r="C143" s="106">
        <v>0</v>
      </c>
      <c r="D143" s="106">
        <v>0</v>
      </c>
      <c r="E143" s="106">
        <v>0</v>
      </c>
      <c r="F143" s="106">
        <v>0</v>
      </c>
      <c r="G143" s="106">
        <v>0</v>
      </c>
      <c r="H143" s="106">
        <v>0</v>
      </c>
      <c r="I143" s="106">
        <v>0</v>
      </c>
      <c r="J143" s="106">
        <v>0</v>
      </c>
      <c r="K143" s="106">
        <v>0</v>
      </c>
      <c r="L143" s="106">
        <v>0</v>
      </c>
      <c r="M143" s="106">
        <v>0</v>
      </c>
      <c r="N143" s="106">
        <v>0</v>
      </c>
      <c r="O143" s="106">
        <v>0</v>
      </c>
      <c r="P143" s="106">
        <v>0</v>
      </c>
      <c r="Q143" s="106">
        <v>0</v>
      </c>
      <c r="R143" s="106">
        <v>0</v>
      </c>
      <c r="S143" s="106">
        <v>0</v>
      </c>
      <c r="T143" s="106">
        <v>0</v>
      </c>
      <c r="U143" s="106">
        <v>0</v>
      </c>
      <c r="V143" s="106">
        <v>0</v>
      </c>
      <c r="W143" s="106">
        <v>0</v>
      </c>
      <c r="X143" s="106">
        <v>0</v>
      </c>
      <c r="Y143" s="106">
        <v>0</v>
      </c>
      <c r="Z143" s="106">
        <v>0</v>
      </c>
      <c r="AA143" s="106">
        <v>0</v>
      </c>
      <c r="AB143" s="106">
        <v>0</v>
      </c>
      <c r="AC143" s="106">
        <v>0</v>
      </c>
      <c r="AD143" s="106">
        <v>0</v>
      </c>
      <c r="AE143" s="106">
        <v>0</v>
      </c>
      <c r="AF143" s="106">
        <v>0</v>
      </c>
      <c r="AG143" s="106">
        <v>0</v>
      </c>
      <c r="AH143" s="106">
        <v>0</v>
      </c>
      <c r="AI143" s="106">
        <v>0</v>
      </c>
      <c r="AJ143" s="106">
        <v>0</v>
      </c>
      <c r="AK143" s="106">
        <v>0</v>
      </c>
      <c r="AL143" s="106">
        <v>0</v>
      </c>
      <c r="AM143" s="106">
        <v>0</v>
      </c>
      <c r="AN143" s="106">
        <v>0</v>
      </c>
      <c r="AO143" s="106">
        <v>0</v>
      </c>
      <c r="AP143" s="106">
        <v>0</v>
      </c>
      <c r="AQ143" s="106">
        <v>0</v>
      </c>
      <c r="AR143" s="106">
        <v>0</v>
      </c>
      <c r="AS143" s="106">
        <v>0</v>
      </c>
      <c r="AT143" s="106">
        <v>0</v>
      </c>
      <c r="AU143" s="106">
        <v>0</v>
      </c>
      <c r="AV143" s="106">
        <v>0</v>
      </c>
      <c r="AW143" s="106">
        <v>0</v>
      </c>
      <c r="AX143" s="106">
        <v>0</v>
      </c>
      <c r="AY143" s="106">
        <v>0</v>
      </c>
    </row>
    <row r="144" spans="1:51">
      <c r="A144" s="109"/>
      <c r="B144" s="120">
        <v>23</v>
      </c>
      <c r="C144" s="106">
        <v>0</v>
      </c>
      <c r="D144" s="106">
        <v>0</v>
      </c>
      <c r="E144" s="106">
        <v>0</v>
      </c>
      <c r="F144" s="106">
        <v>0</v>
      </c>
      <c r="G144" s="106">
        <v>0</v>
      </c>
      <c r="H144" s="106">
        <v>0</v>
      </c>
      <c r="I144" s="106">
        <v>0</v>
      </c>
      <c r="J144" s="106">
        <v>0</v>
      </c>
      <c r="K144" s="106">
        <v>0</v>
      </c>
      <c r="L144" s="106">
        <v>0</v>
      </c>
      <c r="M144" s="106">
        <v>0</v>
      </c>
      <c r="N144" s="106">
        <v>0</v>
      </c>
      <c r="O144" s="106">
        <v>0</v>
      </c>
      <c r="P144" s="106">
        <v>0</v>
      </c>
      <c r="Q144" s="106">
        <v>0</v>
      </c>
      <c r="R144" s="106">
        <v>0</v>
      </c>
      <c r="S144" s="106">
        <v>0</v>
      </c>
      <c r="T144" s="106">
        <v>0</v>
      </c>
      <c r="U144" s="106">
        <v>0</v>
      </c>
      <c r="V144" s="106">
        <v>0</v>
      </c>
      <c r="W144" s="106">
        <v>0</v>
      </c>
      <c r="X144" s="106">
        <v>0</v>
      </c>
      <c r="Y144" s="106">
        <v>0</v>
      </c>
      <c r="Z144" s="106">
        <v>0</v>
      </c>
      <c r="AA144" s="106">
        <v>0</v>
      </c>
      <c r="AB144" s="106">
        <v>0</v>
      </c>
      <c r="AC144" s="106">
        <v>0</v>
      </c>
      <c r="AD144" s="106">
        <v>0</v>
      </c>
      <c r="AE144" s="106">
        <v>0</v>
      </c>
      <c r="AF144" s="106">
        <v>0</v>
      </c>
      <c r="AG144" s="106">
        <v>0</v>
      </c>
      <c r="AH144" s="106">
        <v>0</v>
      </c>
      <c r="AI144" s="106">
        <v>0</v>
      </c>
      <c r="AJ144" s="106">
        <v>0</v>
      </c>
      <c r="AK144" s="106">
        <v>0</v>
      </c>
      <c r="AL144" s="106">
        <v>0</v>
      </c>
      <c r="AM144" s="106">
        <v>0</v>
      </c>
      <c r="AN144" s="106">
        <v>0</v>
      </c>
      <c r="AO144" s="106">
        <v>0</v>
      </c>
      <c r="AP144" s="106">
        <v>0</v>
      </c>
      <c r="AQ144" s="106">
        <v>0</v>
      </c>
      <c r="AR144" s="106">
        <v>0</v>
      </c>
      <c r="AS144" s="106">
        <v>0</v>
      </c>
      <c r="AT144" s="106">
        <v>0</v>
      </c>
      <c r="AU144" s="106">
        <v>0</v>
      </c>
      <c r="AV144" s="106">
        <v>0</v>
      </c>
      <c r="AW144" s="106">
        <v>0</v>
      </c>
      <c r="AX144" s="106">
        <v>0</v>
      </c>
      <c r="AY144" s="106">
        <v>0</v>
      </c>
    </row>
    <row r="145" spans="1:51">
      <c r="A145" s="109"/>
      <c r="B145" s="120">
        <v>24</v>
      </c>
      <c r="C145" s="106">
        <v>0</v>
      </c>
      <c r="D145" s="106">
        <v>0</v>
      </c>
      <c r="E145" s="106">
        <v>0</v>
      </c>
      <c r="F145" s="106">
        <v>0</v>
      </c>
      <c r="G145" s="106">
        <v>0</v>
      </c>
      <c r="H145" s="106">
        <v>0</v>
      </c>
      <c r="I145" s="106">
        <v>0</v>
      </c>
      <c r="J145" s="106">
        <v>0</v>
      </c>
      <c r="K145" s="106">
        <v>0</v>
      </c>
      <c r="L145" s="106">
        <v>0</v>
      </c>
      <c r="M145" s="106">
        <v>0</v>
      </c>
      <c r="N145" s="106">
        <v>0</v>
      </c>
      <c r="O145" s="106">
        <v>0</v>
      </c>
      <c r="P145" s="106">
        <v>0</v>
      </c>
      <c r="Q145" s="106">
        <v>0</v>
      </c>
      <c r="R145" s="106">
        <v>0</v>
      </c>
      <c r="S145" s="106">
        <v>0</v>
      </c>
      <c r="T145" s="106">
        <v>0</v>
      </c>
      <c r="U145" s="106">
        <v>0</v>
      </c>
      <c r="V145" s="106">
        <v>0</v>
      </c>
      <c r="W145" s="106">
        <v>0</v>
      </c>
      <c r="X145" s="106">
        <v>0</v>
      </c>
      <c r="Y145" s="106">
        <v>0</v>
      </c>
      <c r="Z145" s="106">
        <v>0</v>
      </c>
      <c r="AA145" s="106">
        <v>0</v>
      </c>
      <c r="AB145" s="106">
        <v>0</v>
      </c>
      <c r="AC145" s="106">
        <v>0</v>
      </c>
      <c r="AD145" s="106">
        <v>0</v>
      </c>
      <c r="AE145" s="106">
        <v>0</v>
      </c>
      <c r="AF145" s="106">
        <v>0</v>
      </c>
      <c r="AG145" s="106">
        <v>0</v>
      </c>
      <c r="AH145" s="106">
        <v>0</v>
      </c>
      <c r="AI145" s="106">
        <v>0</v>
      </c>
      <c r="AJ145" s="106">
        <v>0</v>
      </c>
      <c r="AK145" s="106">
        <v>0</v>
      </c>
      <c r="AL145" s="106">
        <v>0</v>
      </c>
      <c r="AM145" s="106">
        <v>0</v>
      </c>
      <c r="AN145" s="106">
        <v>0</v>
      </c>
      <c r="AO145" s="106">
        <v>0</v>
      </c>
      <c r="AP145" s="106">
        <v>0</v>
      </c>
      <c r="AQ145" s="106">
        <v>0</v>
      </c>
      <c r="AR145" s="106">
        <v>0</v>
      </c>
      <c r="AS145" s="106">
        <v>0</v>
      </c>
      <c r="AT145" s="106">
        <v>0</v>
      </c>
      <c r="AU145" s="106">
        <v>0</v>
      </c>
      <c r="AV145" s="106">
        <v>0</v>
      </c>
      <c r="AW145" s="106">
        <v>0</v>
      </c>
      <c r="AX145" s="106">
        <v>0</v>
      </c>
      <c r="AY145" s="106">
        <v>0</v>
      </c>
    </row>
    <row r="146" spans="1:51">
      <c r="A146" s="109"/>
      <c r="B146" s="127">
        <v>25</v>
      </c>
      <c r="C146" s="106">
        <v>0</v>
      </c>
      <c r="D146" s="106">
        <v>0</v>
      </c>
      <c r="E146" s="106">
        <v>0</v>
      </c>
      <c r="F146" s="106">
        <v>0</v>
      </c>
      <c r="G146" s="106">
        <v>0</v>
      </c>
      <c r="H146" s="106">
        <v>0</v>
      </c>
      <c r="I146" s="106">
        <v>0</v>
      </c>
      <c r="J146" s="106">
        <v>0</v>
      </c>
      <c r="K146" s="106">
        <v>0</v>
      </c>
      <c r="L146" s="106">
        <v>0</v>
      </c>
      <c r="M146" s="106">
        <v>0</v>
      </c>
      <c r="N146" s="106">
        <v>0</v>
      </c>
      <c r="O146" s="106">
        <v>0</v>
      </c>
      <c r="P146" s="106">
        <v>0</v>
      </c>
      <c r="Q146" s="106">
        <v>0</v>
      </c>
      <c r="R146" s="106">
        <v>0</v>
      </c>
      <c r="S146" s="106">
        <v>0</v>
      </c>
      <c r="T146" s="106">
        <v>0</v>
      </c>
      <c r="U146" s="106">
        <v>0</v>
      </c>
      <c r="V146" s="106">
        <v>0</v>
      </c>
      <c r="W146" s="106">
        <v>0</v>
      </c>
      <c r="X146" s="106">
        <v>0</v>
      </c>
      <c r="Y146" s="106">
        <v>0</v>
      </c>
      <c r="Z146" s="106">
        <v>0</v>
      </c>
      <c r="AA146" s="106">
        <v>0</v>
      </c>
      <c r="AB146" s="106">
        <v>0</v>
      </c>
      <c r="AC146" s="106">
        <v>0</v>
      </c>
      <c r="AD146" s="106">
        <v>0</v>
      </c>
      <c r="AE146" s="106">
        <v>0</v>
      </c>
      <c r="AF146" s="106">
        <v>0</v>
      </c>
      <c r="AG146" s="106">
        <v>0</v>
      </c>
      <c r="AH146" s="106">
        <v>0</v>
      </c>
      <c r="AI146" s="106">
        <v>0</v>
      </c>
      <c r="AJ146" s="106">
        <v>0</v>
      </c>
      <c r="AK146" s="106">
        <v>0</v>
      </c>
      <c r="AL146" s="106">
        <v>0</v>
      </c>
      <c r="AM146" s="106">
        <v>0</v>
      </c>
      <c r="AN146" s="106">
        <v>0</v>
      </c>
      <c r="AO146" s="106">
        <v>0</v>
      </c>
      <c r="AP146" s="106">
        <v>0</v>
      </c>
      <c r="AQ146" s="106">
        <v>0</v>
      </c>
      <c r="AR146" s="106">
        <v>0</v>
      </c>
      <c r="AS146" s="106">
        <v>0</v>
      </c>
      <c r="AT146" s="106">
        <v>0</v>
      </c>
      <c r="AU146" s="106">
        <v>0</v>
      </c>
      <c r="AV146" s="106">
        <v>0</v>
      </c>
      <c r="AW146" s="106">
        <v>0</v>
      </c>
      <c r="AX146" s="106">
        <v>0</v>
      </c>
      <c r="AY146" s="106">
        <v>0</v>
      </c>
    </row>
    <row r="147" spans="1:51">
      <c r="A147" s="109"/>
      <c r="B147" s="127">
        <v>26</v>
      </c>
      <c r="C147" s="106">
        <v>0</v>
      </c>
      <c r="D147" s="106">
        <v>0</v>
      </c>
      <c r="E147" s="106">
        <v>0</v>
      </c>
      <c r="F147" s="106">
        <v>0</v>
      </c>
      <c r="G147" s="106">
        <v>0</v>
      </c>
      <c r="H147" s="106">
        <v>0</v>
      </c>
      <c r="I147" s="106">
        <v>0</v>
      </c>
      <c r="J147" s="106">
        <v>0</v>
      </c>
      <c r="K147" s="106">
        <v>0</v>
      </c>
      <c r="L147" s="106">
        <v>0</v>
      </c>
      <c r="M147" s="106">
        <v>0</v>
      </c>
      <c r="N147" s="106">
        <v>0</v>
      </c>
      <c r="O147" s="106">
        <v>0</v>
      </c>
      <c r="P147" s="106">
        <v>0</v>
      </c>
      <c r="Q147" s="106">
        <v>0</v>
      </c>
      <c r="R147" s="106">
        <v>0</v>
      </c>
      <c r="S147" s="106">
        <v>0</v>
      </c>
      <c r="T147" s="106">
        <v>0</v>
      </c>
      <c r="U147" s="106">
        <v>0</v>
      </c>
      <c r="V147" s="106">
        <v>0</v>
      </c>
      <c r="W147" s="106">
        <v>0</v>
      </c>
      <c r="X147" s="106">
        <v>0</v>
      </c>
      <c r="Y147" s="106">
        <v>0</v>
      </c>
      <c r="Z147" s="106">
        <v>0</v>
      </c>
      <c r="AA147" s="106">
        <v>0</v>
      </c>
      <c r="AB147" s="106">
        <v>0</v>
      </c>
      <c r="AC147" s="106">
        <v>0</v>
      </c>
      <c r="AD147" s="106">
        <v>0</v>
      </c>
      <c r="AE147" s="106">
        <v>0</v>
      </c>
      <c r="AF147" s="106">
        <v>0</v>
      </c>
      <c r="AG147" s="106">
        <v>0</v>
      </c>
      <c r="AH147" s="106">
        <v>0</v>
      </c>
      <c r="AI147" s="106">
        <v>0</v>
      </c>
      <c r="AJ147" s="106">
        <v>0</v>
      </c>
      <c r="AK147" s="106">
        <v>0</v>
      </c>
      <c r="AL147" s="106">
        <v>0</v>
      </c>
      <c r="AM147" s="106">
        <v>0</v>
      </c>
      <c r="AN147" s="106">
        <v>0</v>
      </c>
      <c r="AO147" s="106">
        <v>0</v>
      </c>
      <c r="AP147" s="106">
        <v>0</v>
      </c>
      <c r="AQ147" s="106">
        <v>0</v>
      </c>
      <c r="AR147" s="106">
        <v>0</v>
      </c>
      <c r="AS147" s="106">
        <v>0</v>
      </c>
      <c r="AT147" s="106">
        <v>0</v>
      </c>
      <c r="AU147" s="106">
        <v>0</v>
      </c>
      <c r="AV147" s="106">
        <v>0</v>
      </c>
      <c r="AW147" s="106">
        <v>0</v>
      </c>
      <c r="AX147" s="106">
        <v>0</v>
      </c>
      <c r="AY147" s="106">
        <v>0</v>
      </c>
    </row>
    <row r="148" spans="1:51">
      <c r="A148" s="109"/>
      <c r="B148" s="127">
        <v>27</v>
      </c>
      <c r="C148" s="106">
        <v>0</v>
      </c>
      <c r="D148" s="106">
        <v>0</v>
      </c>
      <c r="E148" s="106">
        <v>0</v>
      </c>
      <c r="F148" s="106">
        <v>0</v>
      </c>
      <c r="G148" s="106">
        <v>0</v>
      </c>
      <c r="H148" s="106">
        <v>0</v>
      </c>
      <c r="I148" s="106">
        <v>0</v>
      </c>
      <c r="J148" s="106">
        <v>0</v>
      </c>
      <c r="K148" s="106">
        <v>0</v>
      </c>
      <c r="L148" s="106">
        <v>0</v>
      </c>
      <c r="M148" s="106">
        <v>0</v>
      </c>
      <c r="N148" s="106">
        <v>0</v>
      </c>
      <c r="O148" s="106">
        <v>0</v>
      </c>
      <c r="P148" s="106">
        <v>0</v>
      </c>
      <c r="Q148" s="106">
        <v>0</v>
      </c>
      <c r="R148" s="106">
        <v>0</v>
      </c>
      <c r="S148" s="106">
        <v>0</v>
      </c>
      <c r="T148" s="106">
        <v>0</v>
      </c>
      <c r="U148" s="106">
        <v>0</v>
      </c>
      <c r="V148" s="106">
        <v>0</v>
      </c>
      <c r="W148" s="106">
        <v>0</v>
      </c>
      <c r="X148" s="106">
        <v>0</v>
      </c>
      <c r="Y148" s="106">
        <v>0</v>
      </c>
      <c r="Z148" s="106">
        <v>0</v>
      </c>
      <c r="AA148" s="106">
        <v>0</v>
      </c>
      <c r="AB148" s="106">
        <v>0</v>
      </c>
      <c r="AC148" s="106">
        <v>0</v>
      </c>
      <c r="AD148" s="106">
        <v>0</v>
      </c>
      <c r="AE148" s="106">
        <v>0</v>
      </c>
      <c r="AF148" s="106">
        <v>0</v>
      </c>
      <c r="AG148" s="106">
        <v>0</v>
      </c>
      <c r="AH148" s="106">
        <v>0</v>
      </c>
      <c r="AI148" s="106">
        <v>0</v>
      </c>
      <c r="AJ148" s="106">
        <v>0</v>
      </c>
      <c r="AK148" s="106">
        <v>0</v>
      </c>
      <c r="AL148" s="106">
        <v>0</v>
      </c>
      <c r="AM148" s="106">
        <v>0</v>
      </c>
      <c r="AN148" s="106">
        <v>0</v>
      </c>
      <c r="AO148" s="106">
        <v>0</v>
      </c>
      <c r="AP148" s="106">
        <v>0</v>
      </c>
      <c r="AQ148" s="106">
        <v>0</v>
      </c>
      <c r="AR148" s="106">
        <v>0</v>
      </c>
      <c r="AS148" s="106">
        <v>0</v>
      </c>
      <c r="AT148" s="106">
        <v>0</v>
      </c>
      <c r="AU148" s="106">
        <v>0</v>
      </c>
      <c r="AV148" s="106">
        <v>0</v>
      </c>
      <c r="AW148" s="106">
        <v>0</v>
      </c>
      <c r="AX148" s="106">
        <v>0</v>
      </c>
      <c r="AY148" s="106">
        <v>0</v>
      </c>
    </row>
    <row r="149" spans="1:51">
      <c r="A149" s="109"/>
      <c r="B149" s="127">
        <v>28</v>
      </c>
      <c r="C149" s="106">
        <v>0</v>
      </c>
      <c r="D149" s="106">
        <v>0</v>
      </c>
      <c r="E149" s="106">
        <v>0</v>
      </c>
      <c r="F149" s="106">
        <v>0</v>
      </c>
      <c r="G149" s="106">
        <v>0</v>
      </c>
      <c r="H149" s="106">
        <v>0</v>
      </c>
      <c r="I149" s="106">
        <v>0</v>
      </c>
      <c r="J149" s="106">
        <v>0</v>
      </c>
      <c r="K149" s="106">
        <v>0</v>
      </c>
      <c r="L149" s="106">
        <v>0</v>
      </c>
      <c r="M149" s="106">
        <v>0</v>
      </c>
      <c r="N149" s="106">
        <v>0</v>
      </c>
      <c r="O149" s="106">
        <v>0</v>
      </c>
      <c r="P149" s="106">
        <v>0</v>
      </c>
      <c r="Q149" s="106">
        <v>0</v>
      </c>
      <c r="R149" s="106">
        <v>0</v>
      </c>
      <c r="S149" s="106">
        <v>0</v>
      </c>
      <c r="T149" s="106">
        <v>0</v>
      </c>
      <c r="U149" s="106">
        <v>0</v>
      </c>
      <c r="V149" s="106">
        <v>0</v>
      </c>
      <c r="W149" s="106">
        <v>0</v>
      </c>
      <c r="X149" s="106">
        <v>0</v>
      </c>
      <c r="Y149" s="106">
        <v>0</v>
      </c>
      <c r="Z149" s="106">
        <v>0</v>
      </c>
      <c r="AA149" s="106">
        <v>0</v>
      </c>
      <c r="AB149" s="106">
        <v>0</v>
      </c>
      <c r="AC149" s="106">
        <v>0</v>
      </c>
      <c r="AD149" s="106">
        <v>0</v>
      </c>
      <c r="AE149" s="106">
        <v>0</v>
      </c>
      <c r="AF149" s="106">
        <v>0</v>
      </c>
      <c r="AG149" s="106">
        <v>0</v>
      </c>
      <c r="AH149" s="106">
        <v>0</v>
      </c>
      <c r="AI149" s="106">
        <v>0</v>
      </c>
      <c r="AJ149" s="106">
        <v>0</v>
      </c>
      <c r="AK149" s="106">
        <v>0</v>
      </c>
      <c r="AL149" s="106">
        <v>0</v>
      </c>
      <c r="AM149" s="106">
        <v>0</v>
      </c>
      <c r="AN149" s="106">
        <v>0</v>
      </c>
      <c r="AO149" s="106">
        <v>0</v>
      </c>
      <c r="AP149" s="106">
        <v>0</v>
      </c>
      <c r="AQ149" s="106">
        <v>0</v>
      </c>
      <c r="AR149" s="106">
        <v>0</v>
      </c>
      <c r="AS149" s="106">
        <v>0</v>
      </c>
      <c r="AT149" s="106">
        <v>0</v>
      </c>
      <c r="AU149" s="106">
        <v>0</v>
      </c>
      <c r="AV149" s="106">
        <v>0</v>
      </c>
      <c r="AW149" s="106">
        <v>0</v>
      </c>
      <c r="AX149" s="106">
        <v>0</v>
      </c>
      <c r="AY149" s="106">
        <v>0</v>
      </c>
    </row>
    <row r="150" spans="1:51">
      <c r="A150" s="109"/>
      <c r="B150" s="127">
        <v>29</v>
      </c>
      <c r="C150" s="106">
        <v>0</v>
      </c>
      <c r="D150" s="106">
        <v>0</v>
      </c>
      <c r="E150" s="106">
        <v>0</v>
      </c>
      <c r="F150" s="106">
        <v>0</v>
      </c>
      <c r="G150" s="106">
        <v>0</v>
      </c>
      <c r="H150" s="106">
        <v>0</v>
      </c>
      <c r="I150" s="106">
        <v>0</v>
      </c>
      <c r="J150" s="106">
        <v>0</v>
      </c>
      <c r="K150" s="106">
        <v>0</v>
      </c>
      <c r="L150" s="106">
        <v>0</v>
      </c>
      <c r="M150" s="106">
        <v>0</v>
      </c>
      <c r="N150" s="106">
        <v>0</v>
      </c>
      <c r="O150" s="106">
        <v>0</v>
      </c>
      <c r="P150" s="106">
        <v>0</v>
      </c>
      <c r="Q150" s="106">
        <v>0</v>
      </c>
      <c r="R150" s="106">
        <v>0</v>
      </c>
      <c r="S150" s="106">
        <v>0</v>
      </c>
      <c r="T150" s="106">
        <v>0</v>
      </c>
      <c r="U150" s="106">
        <v>0</v>
      </c>
      <c r="V150" s="106">
        <v>0</v>
      </c>
      <c r="W150" s="106">
        <v>0</v>
      </c>
      <c r="X150" s="106">
        <v>0</v>
      </c>
      <c r="Y150" s="106">
        <v>0</v>
      </c>
      <c r="Z150" s="106">
        <v>0</v>
      </c>
      <c r="AA150" s="106">
        <v>0</v>
      </c>
      <c r="AB150" s="106">
        <v>0</v>
      </c>
      <c r="AC150" s="106">
        <v>0</v>
      </c>
      <c r="AD150" s="106">
        <v>0</v>
      </c>
      <c r="AE150" s="106">
        <v>0</v>
      </c>
      <c r="AF150" s="106">
        <v>0</v>
      </c>
      <c r="AG150" s="106">
        <v>0</v>
      </c>
      <c r="AH150" s="106">
        <v>0</v>
      </c>
      <c r="AI150" s="106">
        <v>0</v>
      </c>
      <c r="AJ150" s="106">
        <v>0</v>
      </c>
      <c r="AK150" s="106">
        <v>0</v>
      </c>
      <c r="AL150" s="106">
        <v>0</v>
      </c>
      <c r="AM150" s="106">
        <v>0</v>
      </c>
      <c r="AN150" s="106">
        <v>0</v>
      </c>
      <c r="AO150" s="106">
        <v>0</v>
      </c>
      <c r="AP150" s="106">
        <v>0</v>
      </c>
      <c r="AQ150" s="106">
        <v>0</v>
      </c>
      <c r="AR150" s="106">
        <v>0</v>
      </c>
      <c r="AS150" s="106">
        <v>0</v>
      </c>
      <c r="AT150" s="106">
        <v>0</v>
      </c>
      <c r="AU150" s="106">
        <v>0</v>
      </c>
      <c r="AV150" s="106">
        <v>0</v>
      </c>
      <c r="AW150" s="106">
        <v>0</v>
      </c>
      <c r="AX150" s="106">
        <v>0</v>
      </c>
      <c r="AY150" s="106">
        <v>0</v>
      </c>
    </row>
    <row r="151" spans="1:51">
      <c r="A151" s="109"/>
      <c r="B151" s="127">
        <v>30</v>
      </c>
      <c r="C151" s="106">
        <v>0</v>
      </c>
      <c r="D151" s="106">
        <v>0</v>
      </c>
      <c r="E151" s="106">
        <v>0</v>
      </c>
      <c r="F151" s="106">
        <v>0</v>
      </c>
      <c r="G151" s="106">
        <v>0</v>
      </c>
      <c r="H151" s="106">
        <v>0</v>
      </c>
      <c r="I151" s="106">
        <v>0</v>
      </c>
      <c r="J151" s="106">
        <v>0</v>
      </c>
      <c r="K151" s="106">
        <v>0</v>
      </c>
      <c r="L151" s="106">
        <v>0</v>
      </c>
      <c r="M151" s="106">
        <v>0</v>
      </c>
      <c r="N151" s="106">
        <v>0</v>
      </c>
      <c r="O151" s="106">
        <v>0</v>
      </c>
      <c r="P151" s="106">
        <v>0</v>
      </c>
      <c r="Q151" s="106">
        <v>0</v>
      </c>
      <c r="R151" s="106">
        <v>0</v>
      </c>
      <c r="S151" s="106">
        <v>0</v>
      </c>
      <c r="T151" s="106">
        <v>0</v>
      </c>
      <c r="U151" s="106">
        <v>0</v>
      </c>
      <c r="V151" s="106">
        <v>0</v>
      </c>
      <c r="W151" s="106">
        <v>0</v>
      </c>
      <c r="X151" s="106">
        <v>0</v>
      </c>
      <c r="Y151" s="106">
        <v>0</v>
      </c>
      <c r="Z151" s="106">
        <v>0</v>
      </c>
      <c r="AA151" s="106">
        <v>0</v>
      </c>
      <c r="AB151" s="106">
        <v>0</v>
      </c>
      <c r="AC151" s="106">
        <v>0</v>
      </c>
      <c r="AD151" s="106">
        <v>0</v>
      </c>
      <c r="AE151" s="106">
        <v>0</v>
      </c>
      <c r="AF151" s="106">
        <v>0</v>
      </c>
      <c r="AG151" s="106">
        <v>0</v>
      </c>
      <c r="AH151" s="106">
        <v>0</v>
      </c>
      <c r="AI151" s="106">
        <v>0</v>
      </c>
      <c r="AJ151" s="106">
        <v>0</v>
      </c>
      <c r="AK151" s="106">
        <v>0</v>
      </c>
      <c r="AL151" s="106">
        <v>0</v>
      </c>
      <c r="AM151" s="106">
        <v>0</v>
      </c>
      <c r="AN151" s="106">
        <v>0</v>
      </c>
      <c r="AO151" s="106">
        <v>0</v>
      </c>
      <c r="AP151" s="106">
        <v>0</v>
      </c>
      <c r="AQ151" s="106">
        <v>0</v>
      </c>
      <c r="AR151" s="106">
        <v>0</v>
      </c>
      <c r="AS151" s="106">
        <v>0</v>
      </c>
      <c r="AT151" s="106">
        <v>0</v>
      </c>
      <c r="AU151" s="106">
        <v>0</v>
      </c>
      <c r="AV151" s="106">
        <v>0</v>
      </c>
      <c r="AW151" s="106">
        <v>0</v>
      </c>
      <c r="AX151" s="106">
        <v>0</v>
      </c>
      <c r="AY151" s="106">
        <v>0</v>
      </c>
    </row>
    <row r="152" spans="1:51">
      <c r="A152" s="109"/>
      <c r="B152" s="127">
        <v>31</v>
      </c>
      <c r="C152" s="106">
        <v>0</v>
      </c>
      <c r="D152" s="106">
        <v>0</v>
      </c>
      <c r="E152" s="106">
        <v>0</v>
      </c>
      <c r="F152" s="106">
        <v>0</v>
      </c>
      <c r="G152" s="106">
        <v>0</v>
      </c>
      <c r="H152" s="106">
        <v>0</v>
      </c>
      <c r="I152" s="106">
        <v>0</v>
      </c>
      <c r="J152" s="106">
        <v>0</v>
      </c>
      <c r="K152" s="106">
        <v>0</v>
      </c>
      <c r="L152" s="106">
        <v>0</v>
      </c>
      <c r="M152" s="106">
        <v>0</v>
      </c>
      <c r="N152" s="106">
        <v>0</v>
      </c>
      <c r="O152" s="106">
        <v>0</v>
      </c>
      <c r="P152" s="106">
        <v>0</v>
      </c>
      <c r="Q152" s="106">
        <v>0</v>
      </c>
      <c r="R152" s="106">
        <v>0</v>
      </c>
      <c r="S152" s="106">
        <v>0</v>
      </c>
      <c r="T152" s="106">
        <v>0</v>
      </c>
      <c r="U152" s="106">
        <v>0</v>
      </c>
      <c r="V152" s="106">
        <v>0</v>
      </c>
      <c r="W152" s="106">
        <v>0</v>
      </c>
      <c r="X152" s="106">
        <v>0</v>
      </c>
      <c r="Y152" s="106">
        <v>0</v>
      </c>
      <c r="Z152" s="106">
        <v>0</v>
      </c>
      <c r="AA152" s="106">
        <v>0</v>
      </c>
      <c r="AB152" s="106">
        <v>0</v>
      </c>
      <c r="AC152" s="106">
        <v>0</v>
      </c>
      <c r="AD152" s="106">
        <v>0</v>
      </c>
      <c r="AE152" s="106">
        <v>0</v>
      </c>
      <c r="AF152" s="106">
        <v>0</v>
      </c>
      <c r="AG152" s="106">
        <v>0</v>
      </c>
      <c r="AH152" s="106">
        <v>0</v>
      </c>
      <c r="AI152" s="106">
        <v>0</v>
      </c>
      <c r="AJ152" s="106">
        <v>0</v>
      </c>
      <c r="AK152" s="106">
        <v>0</v>
      </c>
      <c r="AL152" s="106">
        <v>0</v>
      </c>
      <c r="AM152" s="106">
        <v>0</v>
      </c>
      <c r="AN152" s="106">
        <v>0</v>
      </c>
      <c r="AO152" s="106">
        <v>0</v>
      </c>
      <c r="AP152" s="106">
        <v>0</v>
      </c>
      <c r="AQ152" s="106">
        <v>0</v>
      </c>
      <c r="AR152" s="106">
        <v>0</v>
      </c>
      <c r="AS152" s="106">
        <v>0</v>
      </c>
      <c r="AT152" s="106">
        <v>0</v>
      </c>
      <c r="AU152" s="106">
        <v>0</v>
      </c>
      <c r="AV152" s="106">
        <v>0</v>
      </c>
      <c r="AW152" s="106">
        <v>0</v>
      </c>
      <c r="AX152" s="106">
        <v>0</v>
      </c>
      <c r="AY152" s="106">
        <v>0</v>
      </c>
    </row>
    <row r="153" spans="1:51">
      <c r="A153" s="109"/>
      <c r="B153" s="127">
        <v>32</v>
      </c>
      <c r="C153" s="106">
        <v>0</v>
      </c>
      <c r="D153" s="106">
        <v>0</v>
      </c>
      <c r="E153" s="106">
        <v>0</v>
      </c>
      <c r="F153" s="106">
        <v>0</v>
      </c>
      <c r="G153" s="106">
        <v>0</v>
      </c>
      <c r="H153" s="106">
        <v>0</v>
      </c>
      <c r="I153" s="106">
        <v>0</v>
      </c>
      <c r="J153" s="106">
        <v>0</v>
      </c>
      <c r="K153" s="106">
        <v>0</v>
      </c>
      <c r="L153" s="106">
        <v>0</v>
      </c>
      <c r="M153" s="106">
        <v>0</v>
      </c>
      <c r="N153" s="106">
        <v>0</v>
      </c>
      <c r="O153" s="106">
        <v>0</v>
      </c>
      <c r="P153" s="106">
        <v>0</v>
      </c>
      <c r="Q153" s="106">
        <v>0</v>
      </c>
      <c r="R153" s="106">
        <v>0</v>
      </c>
      <c r="S153" s="106">
        <v>0</v>
      </c>
      <c r="T153" s="106">
        <v>0</v>
      </c>
      <c r="U153" s="106">
        <v>0</v>
      </c>
      <c r="V153" s="106">
        <v>0</v>
      </c>
      <c r="W153" s="106">
        <v>0</v>
      </c>
      <c r="X153" s="106">
        <v>0</v>
      </c>
      <c r="Y153" s="106">
        <v>0</v>
      </c>
      <c r="Z153" s="106">
        <v>0</v>
      </c>
      <c r="AA153" s="106">
        <v>0</v>
      </c>
      <c r="AB153" s="106">
        <v>0</v>
      </c>
      <c r="AC153" s="106">
        <v>0</v>
      </c>
      <c r="AD153" s="106">
        <v>0</v>
      </c>
      <c r="AE153" s="106">
        <v>0</v>
      </c>
      <c r="AF153" s="106">
        <v>0</v>
      </c>
      <c r="AG153" s="106">
        <v>0</v>
      </c>
      <c r="AH153" s="106">
        <v>0</v>
      </c>
      <c r="AI153" s="106">
        <v>0</v>
      </c>
      <c r="AJ153" s="106">
        <v>0</v>
      </c>
      <c r="AK153" s="106">
        <v>0</v>
      </c>
      <c r="AL153" s="106">
        <v>0</v>
      </c>
      <c r="AM153" s="106">
        <v>0</v>
      </c>
      <c r="AN153" s="106">
        <v>0</v>
      </c>
      <c r="AO153" s="106">
        <v>0</v>
      </c>
      <c r="AP153" s="106">
        <v>0</v>
      </c>
      <c r="AQ153" s="106">
        <v>0</v>
      </c>
      <c r="AR153" s="106">
        <v>0</v>
      </c>
      <c r="AS153" s="106">
        <v>0</v>
      </c>
      <c r="AT153" s="106">
        <v>0</v>
      </c>
      <c r="AU153" s="106">
        <v>0</v>
      </c>
      <c r="AV153" s="106">
        <v>0</v>
      </c>
      <c r="AW153" s="106">
        <v>0</v>
      </c>
      <c r="AX153" s="106">
        <v>0</v>
      </c>
      <c r="AY153" s="106">
        <v>0</v>
      </c>
    </row>
    <row r="154" spans="1:51">
      <c r="A154" s="109"/>
      <c r="B154" s="127">
        <v>33</v>
      </c>
      <c r="C154" s="106">
        <v>0</v>
      </c>
      <c r="D154" s="106">
        <v>0</v>
      </c>
      <c r="E154" s="106">
        <v>0</v>
      </c>
      <c r="F154" s="106">
        <v>0</v>
      </c>
      <c r="G154" s="106">
        <v>0</v>
      </c>
      <c r="H154" s="106">
        <v>0</v>
      </c>
      <c r="I154" s="106">
        <v>0</v>
      </c>
      <c r="J154" s="106">
        <v>0</v>
      </c>
      <c r="K154" s="106">
        <v>0</v>
      </c>
      <c r="L154" s="106">
        <v>0</v>
      </c>
      <c r="M154" s="106">
        <v>0</v>
      </c>
      <c r="N154" s="106">
        <v>0</v>
      </c>
      <c r="O154" s="106">
        <v>0</v>
      </c>
      <c r="P154" s="106">
        <v>0</v>
      </c>
      <c r="Q154" s="106">
        <v>0</v>
      </c>
      <c r="R154" s="106">
        <v>0</v>
      </c>
      <c r="S154" s="106">
        <v>0</v>
      </c>
      <c r="T154" s="106">
        <v>0</v>
      </c>
      <c r="U154" s="106">
        <v>0</v>
      </c>
      <c r="V154" s="106">
        <v>0</v>
      </c>
      <c r="W154" s="106">
        <v>0</v>
      </c>
      <c r="X154" s="106">
        <v>0</v>
      </c>
      <c r="Y154" s="106">
        <v>0</v>
      </c>
      <c r="Z154" s="106">
        <v>0</v>
      </c>
      <c r="AA154" s="106">
        <v>0</v>
      </c>
      <c r="AB154" s="106">
        <v>0</v>
      </c>
      <c r="AC154" s="106">
        <v>0</v>
      </c>
      <c r="AD154" s="106">
        <v>0</v>
      </c>
      <c r="AE154" s="106">
        <v>0</v>
      </c>
      <c r="AF154" s="106">
        <v>0</v>
      </c>
      <c r="AG154" s="106">
        <v>0</v>
      </c>
      <c r="AH154" s="106">
        <v>0</v>
      </c>
      <c r="AI154" s="106">
        <v>0</v>
      </c>
      <c r="AJ154" s="106">
        <v>0</v>
      </c>
      <c r="AK154" s="106">
        <v>0</v>
      </c>
      <c r="AL154" s="106">
        <v>0</v>
      </c>
      <c r="AM154" s="106">
        <v>0</v>
      </c>
      <c r="AN154" s="106">
        <v>0</v>
      </c>
      <c r="AO154" s="106">
        <v>0</v>
      </c>
      <c r="AP154" s="106">
        <v>0</v>
      </c>
      <c r="AQ154" s="106">
        <v>0</v>
      </c>
      <c r="AR154" s="106">
        <v>0</v>
      </c>
      <c r="AS154" s="106">
        <v>0</v>
      </c>
      <c r="AT154" s="106">
        <v>0</v>
      </c>
      <c r="AU154" s="106">
        <v>0</v>
      </c>
      <c r="AV154" s="106">
        <v>0</v>
      </c>
      <c r="AW154" s="106">
        <v>0</v>
      </c>
      <c r="AX154" s="106">
        <v>0</v>
      </c>
      <c r="AY154" s="106">
        <v>0</v>
      </c>
    </row>
    <row r="155" spans="1:51">
      <c r="A155" s="109"/>
      <c r="B155" s="127">
        <v>34</v>
      </c>
      <c r="C155" s="106">
        <v>0</v>
      </c>
      <c r="D155" s="106">
        <v>0</v>
      </c>
      <c r="E155" s="106">
        <v>0</v>
      </c>
      <c r="F155" s="106">
        <v>0</v>
      </c>
      <c r="G155" s="106">
        <v>0</v>
      </c>
      <c r="H155" s="106">
        <v>0</v>
      </c>
      <c r="I155" s="106">
        <v>0</v>
      </c>
      <c r="J155" s="106">
        <v>0</v>
      </c>
      <c r="K155" s="106">
        <v>0</v>
      </c>
      <c r="L155" s="106">
        <v>0</v>
      </c>
      <c r="M155" s="106">
        <v>0</v>
      </c>
      <c r="N155" s="106">
        <v>0</v>
      </c>
      <c r="O155" s="106">
        <v>0</v>
      </c>
      <c r="P155" s="106">
        <v>0</v>
      </c>
      <c r="Q155" s="106">
        <v>0</v>
      </c>
      <c r="R155" s="106">
        <v>0</v>
      </c>
      <c r="S155" s="106">
        <v>0</v>
      </c>
      <c r="T155" s="106">
        <v>0</v>
      </c>
      <c r="U155" s="106">
        <v>0</v>
      </c>
      <c r="V155" s="106">
        <v>0</v>
      </c>
      <c r="W155" s="106">
        <v>0</v>
      </c>
      <c r="X155" s="106">
        <v>0</v>
      </c>
      <c r="Y155" s="106">
        <v>0</v>
      </c>
      <c r="Z155" s="106">
        <v>0</v>
      </c>
      <c r="AA155" s="106">
        <v>0</v>
      </c>
      <c r="AB155" s="106">
        <v>0</v>
      </c>
      <c r="AC155" s="106">
        <v>0</v>
      </c>
      <c r="AD155" s="106">
        <v>0</v>
      </c>
      <c r="AE155" s="106">
        <v>0</v>
      </c>
      <c r="AF155" s="106">
        <v>0</v>
      </c>
      <c r="AG155" s="106">
        <v>0</v>
      </c>
      <c r="AH155" s="106">
        <v>0</v>
      </c>
      <c r="AI155" s="106">
        <v>0</v>
      </c>
      <c r="AJ155" s="106">
        <v>0</v>
      </c>
      <c r="AK155" s="106">
        <v>0</v>
      </c>
      <c r="AL155" s="106">
        <v>0</v>
      </c>
      <c r="AM155" s="106">
        <v>0</v>
      </c>
      <c r="AN155" s="106">
        <v>0</v>
      </c>
      <c r="AO155" s="106">
        <v>0</v>
      </c>
      <c r="AP155" s="106">
        <v>0</v>
      </c>
      <c r="AQ155" s="106">
        <v>0</v>
      </c>
      <c r="AR155" s="106">
        <v>0</v>
      </c>
      <c r="AS155" s="106">
        <v>0</v>
      </c>
      <c r="AT155" s="106">
        <v>0</v>
      </c>
      <c r="AU155" s="106">
        <v>0</v>
      </c>
      <c r="AV155" s="106">
        <v>0</v>
      </c>
      <c r="AW155" s="106">
        <v>0</v>
      </c>
      <c r="AX155" s="106">
        <v>0</v>
      </c>
      <c r="AY155" s="106">
        <v>0</v>
      </c>
    </row>
    <row r="156" spans="1:51">
      <c r="A156" s="109"/>
      <c r="B156" s="127">
        <v>35</v>
      </c>
      <c r="C156" s="106">
        <v>0</v>
      </c>
      <c r="D156" s="106">
        <v>0</v>
      </c>
      <c r="E156" s="106">
        <v>0</v>
      </c>
      <c r="F156" s="106">
        <v>0</v>
      </c>
      <c r="G156" s="106">
        <v>0</v>
      </c>
      <c r="H156" s="106">
        <v>0</v>
      </c>
      <c r="I156" s="106">
        <v>0</v>
      </c>
      <c r="J156" s="106">
        <v>0</v>
      </c>
      <c r="K156" s="106">
        <v>0</v>
      </c>
      <c r="L156" s="106">
        <v>0</v>
      </c>
      <c r="M156" s="106">
        <v>0</v>
      </c>
      <c r="N156" s="106">
        <v>0</v>
      </c>
      <c r="O156" s="106">
        <v>0</v>
      </c>
      <c r="P156" s="106">
        <v>0</v>
      </c>
      <c r="Q156" s="106">
        <v>0</v>
      </c>
      <c r="R156" s="106">
        <v>0</v>
      </c>
      <c r="S156" s="106">
        <v>0</v>
      </c>
      <c r="T156" s="106">
        <v>0</v>
      </c>
      <c r="U156" s="106">
        <v>0</v>
      </c>
      <c r="V156" s="106">
        <v>0</v>
      </c>
      <c r="W156" s="106">
        <v>0</v>
      </c>
      <c r="X156" s="106">
        <v>0</v>
      </c>
      <c r="Y156" s="106">
        <v>0</v>
      </c>
      <c r="Z156" s="106">
        <v>0</v>
      </c>
      <c r="AA156" s="106">
        <v>0</v>
      </c>
      <c r="AB156" s="106">
        <v>0</v>
      </c>
      <c r="AC156" s="106">
        <v>0</v>
      </c>
      <c r="AD156" s="106">
        <v>0</v>
      </c>
      <c r="AE156" s="106">
        <v>0</v>
      </c>
      <c r="AF156" s="106">
        <v>0</v>
      </c>
      <c r="AG156" s="106">
        <v>0</v>
      </c>
      <c r="AH156" s="106">
        <v>0</v>
      </c>
      <c r="AI156" s="106">
        <v>0</v>
      </c>
      <c r="AJ156" s="106">
        <v>0</v>
      </c>
      <c r="AK156" s="106">
        <v>0</v>
      </c>
      <c r="AL156" s="106">
        <v>0</v>
      </c>
      <c r="AM156" s="106">
        <v>0</v>
      </c>
      <c r="AN156" s="106">
        <v>0</v>
      </c>
      <c r="AO156" s="106">
        <v>0</v>
      </c>
      <c r="AP156" s="106">
        <v>0</v>
      </c>
      <c r="AQ156" s="106">
        <v>0</v>
      </c>
      <c r="AR156" s="106">
        <v>0</v>
      </c>
      <c r="AS156" s="106">
        <v>0</v>
      </c>
      <c r="AT156" s="106">
        <v>0</v>
      </c>
      <c r="AU156" s="106">
        <v>0</v>
      </c>
      <c r="AV156" s="106">
        <v>0</v>
      </c>
      <c r="AW156" s="106">
        <v>0</v>
      </c>
      <c r="AX156" s="106">
        <v>0</v>
      </c>
      <c r="AY156" s="106">
        <v>0</v>
      </c>
    </row>
    <row r="157" spans="1:51">
      <c r="A157" s="109"/>
      <c r="B157" s="127">
        <v>36</v>
      </c>
      <c r="C157" s="106">
        <v>0</v>
      </c>
      <c r="D157" s="106">
        <v>0</v>
      </c>
      <c r="E157" s="106">
        <v>0</v>
      </c>
      <c r="F157" s="106">
        <v>0</v>
      </c>
      <c r="G157" s="106">
        <v>0</v>
      </c>
      <c r="H157" s="106">
        <v>0</v>
      </c>
      <c r="I157" s="106">
        <v>0</v>
      </c>
      <c r="J157" s="106">
        <v>0</v>
      </c>
      <c r="K157" s="106">
        <v>0</v>
      </c>
      <c r="L157" s="106">
        <v>0</v>
      </c>
      <c r="M157" s="106">
        <v>0</v>
      </c>
      <c r="N157" s="106">
        <v>0</v>
      </c>
      <c r="O157" s="106">
        <v>0</v>
      </c>
      <c r="P157" s="106">
        <v>0</v>
      </c>
      <c r="Q157" s="106">
        <v>0</v>
      </c>
      <c r="R157" s="106">
        <v>0</v>
      </c>
      <c r="S157" s="106">
        <v>0</v>
      </c>
      <c r="T157" s="106">
        <v>0</v>
      </c>
      <c r="U157" s="106">
        <v>0</v>
      </c>
      <c r="V157" s="106">
        <v>0</v>
      </c>
      <c r="W157" s="106">
        <v>0</v>
      </c>
      <c r="X157" s="106">
        <v>0</v>
      </c>
      <c r="Y157" s="106">
        <v>0</v>
      </c>
      <c r="Z157" s="106">
        <v>0</v>
      </c>
      <c r="AA157" s="106">
        <v>0</v>
      </c>
      <c r="AB157" s="106">
        <v>0</v>
      </c>
      <c r="AC157" s="106">
        <v>0</v>
      </c>
      <c r="AD157" s="106">
        <v>0</v>
      </c>
      <c r="AE157" s="106">
        <v>0</v>
      </c>
      <c r="AF157" s="106">
        <v>0</v>
      </c>
      <c r="AG157" s="106">
        <v>0</v>
      </c>
      <c r="AH157" s="106">
        <v>0</v>
      </c>
      <c r="AI157" s="106">
        <v>0</v>
      </c>
      <c r="AJ157" s="106">
        <v>0</v>
      </c>
      <c r="AK157" s="106">
        <v>0</v>
      </c>
      <c r="AL157" s="106">
        <v>0</v>
      </c>
      <c r="AM157" s="106">
        <v>0</v>
      </c>
      <c r="AN157" s="106">
        <v>0</v>
      </c>
      <c r="AO157" s="106">
        <v>0</v>
      </c>
      <c r="AP157" s="106">
        <v>0</v>
      </c>
      <c r="AQ157" s="106">
        <v>0</v>
      </c>
      <c r="AR157" s="106">
        <v>0</v>
      </c>
      <c r="AS157" s="106">
        <v>0</v>
      </c>
      <c r="AT157" s="106">
        <v>0</v>
      </c>
      <c r="AU157" s="106">
        <v>0</v>
      </c>
      <c r="AV157" s="106">
        <v>0</v>
      </c>
      <c r="AW157" s="106">
        <v>0</v>
      </c>
      <c r="AX157" s="106">
        <v>0</v>
      </c>
      <c r="AY157" s="106">
        <v>0</v>
      </c>
    </row>
    <row r="158" spans="1:51">
      <c r="A158" s="109"/>
      <c r="B158" s="130">
        <v>37</v>
      </c>
      <c r="C158" s="106">
        <v>0</v>
      </c>
      <c r="D158" s="106">
        <v>0</v>
      </c>
      <c r="E158" s="106">
        <v>0</v>
      </c>
      <c r="F158" s="106">
        <v>0</v>
      </c>
      <c r="G158" s="106">
        <v>0</v>
      </c>
      <c r="H158" s="106">
        <v>0</v>
      </c>
      <c r="I158" s="106">
        <v>0</v>
      </c>
      <c r="J158" s="106">
        <v>0</v>
      </c>
      <c r="K158" s="106">
        <v>0</v>
      </c>
      <c r="L158" s="106">
        <v>0</v>
      </c>
      <c r="M158" s="106">
        <v>0</v>
      </c>
      <c r="N158" s="106">
        <v>0</v>
      </c>
      <c r="O158" s="106">
        <v>0</v>
      </c>
      <c r="P158" s="106">
        <v>0</v>
      </c>
      <c r="Q158" s="106">
        <v>0</v>
      </c>
      <c r="R158" s="106">
        <v>0</v>
      </c>
      <c r="S158" s="106">
        <v>0</v>
      </c>
      <c r="T158" s="106">
        <v>0</v>
      </c>
      <c r="U158" s="106">
        <v>0</v>
      </c>
      <c r="V158" s="106">
        <v>0</v>
      </c>
      <c r="W158" s="106">
        <v>0</v>
      </c>
      <c r="X158" s="106">
        <v>0</v>
      </c>
      <c r="Y158" s="106">
        <v>0</v>
      </c>
      <c r="Z158" s="106">
        <v>0</v>
      </c>
      <c r="AA158" s="106">
        <v>0</v>
      </c>
      <c r="AB158" s="106">
        <v>0</v>
      </c>
      <c r="AC158" s="106">
        <v>0</v>
      </c>
      <c r="AD158" s="106">
        <v>0</v>
      </c>
      <c r="AE158" s="106">
        <v>0</v>
      </c>
      <c r="AF158" s="106">
        <v>0</v>
      </c>
      <c r="AG158" s="106">
        <v>0</v>
      </c>
      <c r="AH158" s="106">
        <v>0</v>
      </c>
      <c r="AI158" s="106">
        <v>0</v>
      </c>
      <c r="AJ158" s="106">
        <v>0</v>
      </c>
      <c r="AK158" s="106">
        <v>0</v>
      </c>
      <c r="AL158" s="106">
        <v>0</v>
      </c>
      <c r="AM158" s="106">
        <v>0</v>
      </c>
      <c r="AN158" s="106">
        <v>0</v>
      </c>
      <c r="AO158" s="106">
        <v>0</v>
      </c>
      <c r="AP158" s="106">
        <v>0</v>
      </c>
      <c r="AQ158" s="106">
        <v>0</v>
      </c>
      <c r="AR158" s="106">
        <v>0</v>
      </c>
      <c r="AS158" s="106">
        <v>0</v>
      </c>
      <c r="AT158" s="106">
        <v>0</v>
      </c>
      <c r="AU158" s="106">
        <v>0</v>
      </c>
      <c r="AV158" s="106">
        <v>0</v>
      </c>
      <c r="AW158" s="106">
        <v>0</v>
      </c>
      <c r="AX158" s="106">
        <v>0</v>
      </c>
      <c r="AY158" s="106">
        <v>0</v>
      </c>
    </row>
    <row r="159" spans="1:51">
      <c r="A159" s="109"/>
      <c r="B159" s="130">
        <v>38</v>
      </c>
      <c r="C159" s="106">
        <v>0</v>
      </c>
      <c r="D159" s="106">
        <v>0</v>
      </c>
      <c r="E159" s="106">
        <v>0</v>
      </c>
      <c r="F159" s="106">
        <v>0</v>
      </c>
      <c r="G159" s="106">
        <v>0</v>
      </c>
      <c r="H159" s="106">
        <v>0</v>
      </c>
      <c r="I159" s="106">
        <v>0</v>
      </c>
      <c r="J159" s="106">
        <v>0</v>
      </c>
      <c r="K159" s="106">
        <v>0</v>
      </c>
      <c r="L159" s="106">
        <v>0</v>
      </c>
      <c r="M159" s="106">
        <v>0</v>
      </c>
      <c r="N159" s="106">
        <v>0</v>
      </c>
      <c r="O159" s="106">
        <v>0</v>
      </c>
      <c r="P159" s="106">
        <v>0</v>
      </c>
      <c r="Q159" s="106">
        <v>0</v>
      </c>
      <c r="R159" s="106">
        <v>0</v>
      </c>
      <c r="S159" s="106">
        <v>0</v>
      </c>
      <c r="T159" s="106">
        <v>0</v>
      </c>
      <c r="U159" s="106">
        <v>0</v>
      </c>
      <c r="V159" s="106">
        <v>0</v>
      </c>
      <c r="W159" s="106">
        <v>0</v>
      </c>
      <c r="X159" s="106">
        <v>0</v>
      </c>
      <c r="Y159" s="106">
        <v>0</v>
      </c>
      <c r="Z159" s="106">
        <v>0</v>
      </c>
      <c r="AA159" s="106">
        <v>0</v>
      </c>
      <c r="AB159" s="106">
        <v>0</v>
      </c>
      <c r="AC159" s="106">
        <v>0</v>
      </c>
      <c r="AD159" s="106">
        <v>0</v>
      </c>
      <c r="AE159" s="106">
        <v>0</v>
      </c>
      <c r="AF159" s="106">
        <v>0</v>
      </c>
      <c r="AG159" s="106">
        <v>0</v>
      </c>
      <c r="AH159" s="106">
        <v>0</v>
      </c>
      <c r="AI159" s="106">
        <v>0</v>
      </c>
      <c r="AJ159" s="106">
        <v>0</v>
      </c>
      <c r="AK159" s="106">
        <v>0</v>
      </c>
      <c r="AL159" s="106">
        <v>0</v>
      </c>
      <c r="AM159" s="106">
        <v>0</v>
      </c>
      <c r="AN159" s="106">
        <v>0</v>
      </c>
      <c r="AO159" s="106">
        <v>0</v>
      </c>
      <c r="AP159" s="106">
        <v>0</v>
      </c>
      <c r="AQ159" s="106">
        <v>0</v>
      </c>
      <c r="AR159" s="106">
        <v>0</v>
      </c>
      <c r="AS159" s="106">
        <v>0</v>
      </c>
      <c r="AT159" s="106">
        <v>0</v>
      </c>
      <c r="AU159" s="106">
        <v>0</v>
      </c>
      <c r="AV159" s="106">
        <v>0</v>
      </c>
      <c r="AW159" s="106">
        <v>0</v>
      </c>
      <c r="AX159" s="106">
        <v>0</v>
      </c>
      <c r="AY159" s="106">
        <v>0</v>
      </c>
    </row>
    <row r="160" spans="1:51">
      <c r="A160" s="109"/>
      <c r="B160" s="130">
        <v>39</v>
      </c>
      <c r="C160" s="106">
        <v>0</v>
      </c>
      <c r="D160" s="106">
        <v>0</v>
      </c>
      <c r="E160" s="106">
        <v>0</v>
      </c>
      <c r="F160" s="106">
        <v>0</v>
      </c>
      <c r="G160" s="106">
        <v>0</v>
      </c>
      <c r="H160" s="106">
        <v>0</v>
      </c>
      <c r="I160" s="106">
        <v>0</v>
      </c>
      <c r="J160" s="106">
        <v>0</v>
      </c>
      <c r="K160" s="106">
        <v>0</v>
      </c>
      <c r="L160" s="106">
        <v>0</v>
      </c>
      <c r="M160" s="106">
        <v>0</v>
      </c>
      <c r="N160" s="106">
        <v>0</v>
      </c>
      <c r="O160" s="106">
        <v>0</v>
      </c>
      <c r="P160" s="106">
        <v>0</v>
      </c>
      <c r="Q160" s="106">
        <v>0</v>
      </c>
      <c r="R160" s="106">
        <v>0</v>
      </c>
      <c r="S160" s="106">
        <v>0</v>
      </c>
      <c r="T160" s="106">
        <v>0</v>
      </c>
      <c r="U160" s="106">
        <v>0</v>
      </c>
      <c r="V160" s="106">
        <v>0</v>
      </c>
      <c r="W160" s="106">
        <v>0</v>
      </c>
      <c r="X160" s="106">
        <v>0</v>
      </c>
      <c r="Y160" s="106">
        <v>0</v>
      </c>
      <c r="Z160" s="106">
        <v>0</v>
      </c>
      <c r="AA160" s="106">
        <v>0</v>
      </c>
      <c r="AB160" s="106">
        <v>0</v>
      </c>
      <c r="AC160" s="106">
        <v>0</v>
      </c>
      <c r="AD160" s="106">
        <v>0</v>
      </c>
      <c r="AE160" s="106">
        <v>0</v>
      </c>
      <c r="AF160" s="106">
        <v>0</v>
      </c>
      <c r="AG160" s="106">
        <v>0</v>
      </c>
      <c r="AH160" s="106">
        <v>0</v>
      </c>
      <c r="AI160" s="106">
        <v>0</v>
      </c>
      <c r="AJ160" s="106">
        <v>0</v>
      </c>
      <c r="AK160" s="106">
        <v>0</v>
      </c>
      <c r="AL160" s="106">
        <v>0</v>
      </c>
      <c r="AM160" s="106">
        <v>0</v>
      </c>
      <c r="AN160" s="106">
        <v>0</v>
      </c>
      <c r="AO160" s="106">
        <v>0</v>
      </c>
      <c r="AP160" s="106">
        <v>0</v>
      </c>
      <c r="AQ160" s="106">
        <v>0</v>
      </c>
      <c r="AR160" s="106">
        <v>0</v>
      </c>
      <c r="AS160" s="106">
        <v>0</v>
      </c>
      <c r="AT160" s="106">
        <v>0</v>
      </c>
      <c r="AU160" s="106">
        <v>0</v>
      </c>
      <c r="AV160" s="106">
        <v>0</v>
      </c>
      <c r="AW160" s="106">
        <v>0</v>
      </c>
      <c r="AX160" s="106">
        <v>0</v>
      </c>
      <c r="AY160" s="106">
        <v>0</v>
      </c>
    </row>
    <row r="161" spans="1:52">
      <c r="A161" s="109"/>
      <c r="B161" s="130">
        <v>40</v>
      </c>
      <c r="C161" s="106">
        <v>0</v>
      </c>
      <c r="D161" s="106">
        <v>0</v>
      </c>
      <c r="E161" s="106">
        <v>0</v>
      </c>
      <c r="F161" s="106">
        <v>0</v>
      </c>
      <c r="G161" s="106">
        <v>0</v>
      </c>
      <c r="H161" s="106">
        <v>0</v>
      </c>
      <c r="I161" s="106">
        <v>0</v>
      </c>
      <c r="J161" s="106">
        <v>0</v>
      </c>
      <c r="K161" s="106">
        <v>0</v>
      </c>
      <c r="L161" s="106">
        <v>0</v>
      </c>
      <c r="M161" s="106">
        <v>0</v>
      </c>
      <c r="N161" s="106">
        <v>0</v>
      </c>
      <c r="O161" s="106">
        <v>0</v>
      </c>
      <c r="P161" s="106">
        <v>0</v>
      </c>
      <c r="Q161" s="106">
        <v>0</v>
      </c>
      <c r="R161" s="106">
        <v>0</v>
      </c>
      <c r="S161" s="106">
        <v>0</v>
      </c>
      <c r="T161" s="106">
        <v>0</v>
      </c>
      <c r="U161" s="106">
        <v>0</v>
      </c>
      <c r="V161" s="106">
        <v>0</v>
      </c>
      <c r="W161" s="106">
        <v>0</v>
      </c>
      <c r="X161" s="106">
        <v>0</v>
      </c>
      <c r="Y161" s="106">
        <v>0</v>
      </c>
      <c r="Z161" s="106">
        <v>0</v>
      </c>
      <c r="AA161" s="106">
        <v>0</v>
      </c>
      <c r="AB161" s="106">
        <v>0</v>
      </c>
      <c r="AC161" s="106">
        <v>0</v>
      </c>
      <c r="AD161" s="106">
        <v>0</v>
      </c>
      <c r="AE161" s="106">
        <v>0</v>
      </c>
      <c r="AF161" s="106">
        <v>0</v>
      </c>
      <c r="AG161" s="106">
        <v>0</v>
      </c>
      <c r="AH161" s="106">
        <v>0</v>
      </c>
      <c r="AI161" s="106">
        <v>0</v>
      </c>
      <c r="AJ161" s="106">
        <v>0</v>
      </c>
      <c r="AK161" s="106">
        <v>0</v>
      </c>
      <c r="AL161" s="106">
        <v>0</v>
      </c>
      <c r="AM161" s="106">
        <v>0</v>
      </c>
      <c r="AN161" s="106">
        <v>0</v>
      </c>
      <c r="AO161" s="106">
        <v>0</v>
      </c>
      <c r="AP161" s="106">
        <v>0</v>
      </c>
      <c r="AQ161" s="106">
        <v>0</v>
      </c>
      <c r="AR161" s="106">
        <v>0</v>
      </c>
      <c r="AS161" s="106">
        <v>0</v>
      </c>
      <c r="AT161" s="106">
        <v>0</v>
      </c>
      <c r="AU161" s="106">
        <v>0</v>
      </c>
      <c r="AV161" s="106">
        <v>0</v>
      </c>
      <c r="AW161" s="106">
        <v>0</v>
      </c>
      <c r="AX161" s="106">
        <v>0</v>
      </c>
      <c r="AY161" s="106">
        <v>0</v>
      </c>
    </row>
    <row r="162" spans="1:52">
      <c r="A162" s="109"/>
      <c r="B162" s="130">
        <v>41</v>
      </c>
      <c r="C162" s="106">
        <v>0</v>
      </c>
      <c r="D162" s="106">
        <v>0</v>
      </c>
      <c r="E162" s="106">
        <v>0</v>
      </c>
      <c r="F162" s="106">
        <v>0</v>
      </c>
      <c r="G162" s="106">
        <v>0</v>
      </c>
      <c r="H162" s="106">
        <v>0</v>
      </c>
      <c r="I162" s="106">
        <v>0</v>
      </c>
      <c r="J162" s="106">
        <v>0</v>
      </c>
      <c r="K162" s="106">
        <v>0</v>
      </c>
      <c r="L162" s="106">
        <v>0</v>
      </c>
      <c r="M162" s="106">
        <v>0</v>
      </c>
      <c r="N162" s="106">
        <v>0</v>
      </c>
      <c r="O162" s="106">
        <v>0</v>
      </c>
      <c r="P162" s="106">
        <v>0</v>
      </c>
      <c r="Q162" s="106">
        <v>0</v>
      </c>
      <c r="R162" s="106">
        <v>0</v>
      </c>
      <c r="S162" s="106">
        <v>0</v>
      </c>
      <c r="T162" s="106">
        <v>0</v>
      </c>
      <c r="U162" s="106">
        <v>0</v>
      </c>
      <c r="V162" s="106">
        <v>0</v>
      </c>
      <c r="W162" s="106">
        <v>0</v>
      </c>
      <c r="X162" s="106">
        <v>0</v>
      </c>
      <c r="Y162" s="106">
        <v>0</v>
      </c>
      <c r="Z162" s="106">
        <v>0</v>
      </c>
      <c r="AA162" s="106">
        <v>0</v>
      </c>
      <c r="AB162" s="106">
        <v>0</v>
      </c>
      <c r="AC162" s="106">
        <v>0</v>
      </c>
      <c r="AD162" s="106">
        <v>0</v>
      </c>
      <c r="AE162" s="106">
        <v>0</v>
      </c>
      <c r="AF162" s="106">
        <v>0</v>
      </c>
      <c r="AG162" s="106">
        <v>0</v>
      </c>
      <c r="AH162" s="106">
        <v>0</v>
      </c>
      <c r="AI162" s="106">
        <v>0</v>
      </c>
      <c r="AJ162" s="106">
        <v>0</v>
      </c>
      <c r="AK162" s="106">
        <v>0</v>
      </c>
      <c r="AL162" s="106">
        <v>0</v>
      </c>
      <c r="AM162" s="106">
        <v>0</v>
      </c>
      <c r="AN162" s="106">
        <v>0</v>
      </c>
      <c r="AO162" s="106">
        <v>0</v>
      </c>
      <c r="AP162" s="106">
        <v>0</v>
      </c>
      <c r="AQ162" s="106">
        <v>0</v>
      </c>
      <c r="AR162" s="106">
        <v>0</v>
      </c>
      <c r="AS162" s="106">
        <v>0</v>
      </c>
      <c r="AT162" s="106">
        <v>0</v>
      </c>
      <c r="AU162" s="106">
        <v>0</v>
      </c>
      <c r="AV162" s="106">
        <v>0</v>
      </c>
      <c r="AW162" s="106">
        <v>0</v>
      </c>
      <c r="AX162" s="106">
        <v>0</v>
      </c>
      <c r="AY162" s="106">
        <v>0</v>
      </c>
    </row>
    <row r="163" spans="1:52">
      <c r="A163" s="109"/>
      <c r="B163" s="130">
        <v>42</v>
      </c>
      <c r="C163" s="106">
        <v>0</v>
      </c>
      <c r="D163" s="106">
        <v>0</v>
      </c>
      <c r="E163" s="106">
        <v>0</v>
      </c>
      <c r="F163" s="106">
        <v>0</v>
      </c>
      <c r="G163" s="106">
        <v>0</v>
      </c>
      <c r="H163" s="106">
        <v>0</v>
      </c>
      <c r="I163" s="106">
        <v>0</v>
      </c>
      <c r="J163" s="106">
        <v>0</v>
      </c>
      <c r="K163" s="106">
        <v>0</v>
      </c>
      <c r="L163" s="106">
        <v>0</v>
      </c>
      <c r="M163" s="106">
        <v>0</v>
      </c>
      <c r="N163" s="106">
        <v>0</v>
      </c>
      <c r="O163" s="106">
        <v>0</v>
      </c>
      <c r="P163" s="106">
        <v>0</v>
      </c>
      <c r="Q163" s="106">
        <v>0</v>
      </c>
      <c r="R163" s="106">
        <v>0</v>
      </c>
      <c r="S163" s="106">
        <v>0</v>
      </c>
      <c r="T163" s="106">
        <v>0</v>
      </c>
      <c r="U163" s="106">
        <v>0</v>
      </c>
      <c r="V163" s="106">
        <v>0</v>
      </c>
      <c r="W163" s="106">
        <v>0</v>
      </c>
      <c r="X163" s="106">
        <v>0</v>
      </c>
      <c r="Y163" s="106">
        <v>0</v>
      </c>
      <c r="Z163" s="106">
        <v>0</v>
      </c>
      <c r="AA163" s="106">
        <v>0</v>
      </c>
      <c r="AB163" s="106">
        <v>0</v>
      </c>
      <c r="AC163" s="106">
        <v>0</v>
      </c>
      <c r="AD163" s="106">
        <v>0</v>
      </c>
      <c r="AE163" s="106">
        <v>0</v>
      </c>
      <c r="AF163" s="106">
        <v>0</v>
      </c>
      <c r="AG163" s="106">
        <v>0</v>
      </c>
      <c r="AH163" s="106">
        <v>0</v>
      </c>
      <c r="AI163" s="106">
        <v>0</v>
      </c>
      <c r="AJ163" s="106">
        <v>0</v>
      </c>
      <c r="AK163" s="106">
        <v>0</v>
      </c>
      <c r="AL163" s="106">
        <v>0</v>
      </c>
      <c r="AM163" s="106">
        <v>0</v>
      </c>
      <c r="AN163" s="106">
        <v>0</v>
      </c>
      <c r="AO163" s="106">
        <v>0</v>
      </c>
      <c r="AP163" s="106">
        <v>0</v>
      </c>
      <c r="AQ163" s="106">
        <v>0</v>
      </c>
      <c r="AR163" s="106">
        <v>0</v>
      </c>
      <c r="AS163" s="106">
        <v>0</v>
      </c>
      <c r="AT163" s="106">
        <v>0</v>
      </c>
      <c r="AU163" s="106">
        <v>0</v>
      </c>
      <c r="AV163" s="106">
        <v>0</v>
      </c>
      <c r="AW163" s="106">
        <v>0</v>
      </c>
      <c r="AX163" s="106">
        <v>0</v>
      </c>
      <c r="AY163" s="106">
        <v>0</v>
      </c>
    </row>
    <row r="164" spans="1:52">
      <c r="A164" s="109"/>
      <c r="B164" s="130">
        <v>43</v>
      </c>
      <c r="C164" s="106">
        <v>0</v>
      </c>
      <c r="D164" s="106">
        <v>0</v>
      </c>
      <c r="E164" s="106">
        <v>0</v>
      </c>
      <c r="F164" s="106">
        <v>0</v>
      </c>
      <c r="G164" s="106">
        <v>0</v>
      </c>
      <c r="H164" s="106">
        <v>0</v>
      </c>
      <c r="I164" s="106">
        <v>0</v>
      </c>
      <c r="J164" s="106">
        <v>0</v>
      </c>
      <c r="K164" s="106">
        <v>0</v>
      </c>
      <c r="L164" s="106">
        <v>0</v>
      </c>
      <c r="M164" s="106">
        <v>0</v>
      </c>
      <c r="N164" s="106">
        <v>0</v>
      </c>
      <c r="O164" s="106">
        <v>0</v>
      </c>
      <c r="P164" s="106">
        <v>0</v>
      </c>
      <c r="Q164" s="106">
        <v>0</v>
      </c>
      <c r="R164" s="106">
        <v>0</v>
      </c>
      <c r="S164" s="106">
        <v>0</v>
      </c>
      <c r="T164" s="106">
        <v>0</v>
      </c>
      <c r="U164" s="106">
        <v>0</v>
      </c>
      <c r="V164" s="106">
        <v>0</v>
      </c>
      <c r="W164" s="106">
        <v>0</v>
      </c>
      <c r="X164" s="106">
        <v>0</v>
      </c>
      <c r="Y164" s="106">
        <v>0</v>
      </c>
      <c r="Z164" s="106">
        <v>0</v>
      </c>
      <c r="AA164" s="106">
        <v>0</v>
      </c>
      <c r="AB164" s="106">
        <v>0</v>
      </c>
      <c r="AC164" s="106">
        <v>0</v>
      </c>
      <c r="AD164" s="106">
        <v>0</v>
      </c>
      <c r="AE164" s="106">
        <v>0</v>
      </c>
      <c r="AF164" s="106">
        <v>0</v>
      </c>
      <c r="AG164" s="106">
        <v>0</v>
      </c>
      <c r="AH164" s="106">
        <v>0</v>
      </c>
      <c r="AI164" s="106">
        <v>0</v>
      </c>
      <c r="AJ164" s="106">
        <v>0</v>
      </c>
      <c r="AK164" s="106">
        <v>0</v>
      </c>
      <c r="AL164" s="106">
        <v>0</v>
      </c>
      <c r="AM164" s="106">
        <v>0</v>
      </c>
      <c r="AN164" s="106">
        <v>0</v>
      </c>
      <c r="AO164" s="106">
        <v>0</v>
      </c>
      <c r="AP164" s="106">
        <v>0</v>
      </c>
      <c r="AQ164" s="106">
        <v>0</v>
      </c>
      <c r="AR164" s="106">
        <v>0</v>
      </c>
      <c r="AS164" s="106">
        <v>0</v>
      </c>
      <c r="AT164" s="106">
        <v>0</v>
      </c>
      <c r="AU164" s="106">
        <v>0</v>
      </c>
      <c r="AV164" s="106">
        <v>0</v>
      </c>
      <c r="AW164" s="106">
        <v>0</v>
      </c>
      <c r="AX164" s="106">
        <v>0</v>
      </c>
      <c r="AY164" s="106">
        <v>0</v>
      </c>
    </row>
    <row r="165" spans="1:52">
      <c r="A165" s="109"/>
      <c r="B165" s="130">
        <v>44</v>
      </c>
      <c r="C165" s="106">
        <v>0</v>
      </c>
      <c r="D165" s="106">
        <v>0</v>
      </c>
      <c r="E165" s="106">
        <v>0</v>
      </c>
      <c r="F165" s="106">
        <v>0</v>
      </c>
      <c r="G165" s="106">
        <v>0</v>
      </c>
      <c r="H165" s="106">
        <v>0</v>
      </c>
      <c r="I165" s="106">
        <v>0</v>
      </c>
      <c r="J165" s="106">
        <v>0</v>
      </c>
      <c r="K165" s="106">
        <v>0</v>
      </c>
      <c r="L165" s="106">
        <v>0</v>
      </c>
      <c r="M165" s="106">
        <v>0</v>
      </c>
      <c r="N165" s="106">
        <v>0</v>
      </c>
      <c r="O165" s="106">
        <v>0</v>
      </c>
      <c r="P165" s="106">
        <v>0</v>
      </c>
      <c r="Q165" s="106">
        <v>0</v>
      </c>
      <c r="R165" s="106">
        <v>0</v>
      </c>
      <c r="S165" s="106">
        <v>0</v>
      </c>
      <c r="T165" s="106">
        <v>0</v>
      </c>
      <c r="U165" s="106">
        <v>0</v>
      </c>
      <c r="V165" s="106">
        <v>0</v>
      </c>
      <c r="W165" s="106">
        <v>0</v>
      </c>
      <c r="X165" s="106">
        <v>0</v>
      </c>
      <c r="Y165" s="106">
        <v>0</v>
      </c>
      <c r="Z165" s="106">
        <v>0</v>
      </c>
      <c r="AA165" s="106">
        <v>0</v>
      </c>
      <c r="AB165" s="106">
        <v>0</v>
      </c>
      <c r="AC165" s="106">
        <v>0</v>
      </c>
      <c r="AD165" s="106">
        <v>0</v>
      </c>
      <c r="AE165" s="106">
        <v>0</v>
      </c>
      <c r="AF165" s="106">
        <v>0</v>
      </c>
      <c r="AG165" s="106">
        <v>0</v>
      </c>
      <c r="AH165" s="106">
        <v>0</v>
      </c>
      <c r="AI165" s="106">
        <v>0</v>
      </c>
      <c r="AJ165" s="106">
        <v>0</v>
      </c>
      <c r="AK165" s="106">
        <v>0</v>
      </c>
      <c r="AL165" s="106">
        <v>0</v>
      </c>
      <c r="AM165" s="106">
        <v>0</v>
      </c>
      <c r="AN165" s="106">
        <v>0</v>
      </c>
      <c r="AO165" s="106">
        <v>0</v>
      </c>
      <c r="AP165" s="106">
        <v>0</v>
      </c>
      <c r="AQ165" s="106">
        <v>0</v>
      </c>
      <c r="AR165" s="106">
        <v>0</v>
      </c>
      <c r="AS165" s="106">
        <v>0</v>
      </c>
      <c r="AT165" s="106">
        <v>0</v>
      </c>
      <c r="AU165" s="106">
        <v>0</v>
      </c>
      <c r="AV165" s="106">
        <v>0</v>
      </c>
      <c r="AW165" s="106">
        <v>0</v>
      </c>
      <c r="AX165" s="106">
        <v>0</v>
      </c>
      <c r="AY165" s="106">
        <v>0</v>
      </c>
    </row>
    <row r="166" spans="1:52">
      <c r="A166" s="109"/>
      <c r="B166" s="130">
        <v>45</v>
      </c>
      <c r="C166" s="106">
        <v>0</v>
      </c>
      <c r="D166" s="106">
        <v>0</v>
      </c>
      <c r="E166" s="106">
        <v>0</v>
      </c>
      <c r="F166" s="106">
        <v>0</v>
      </c>
      <c r="G166" s="106">
        <v>0</v>
      </c>
      <c r="H166" s="106">
        <v>0</v>
      </c>
      <c r="I166" s="106">
        <v>0</v>
      </c>
      <c r="J166" s="106">
        <v>0</v>
      </c>
      <c r="K166" s="106">
        <v>0</v>
      </c>
      <c r="L166" s="106">
        <v>0</v>
      </c>
      <c r="M166" s="106">
        <v>0</v>
      </c>
      <c r="N166" s="106">
        <v>0</v>
      </c>
      <c r="O166" s="106">
        <v>0</v>
      </c>
      <c r="P166" s="106">
        <v>0</v>
      </c>
      <c r="Q166" s="106">
        <v>0</v>
      </c>
      <c r="R166" s="106">
        <v>0</v>
      </c>
      <c r="S166" s="106">
        <v>0</v>
      </c>
      <c r="T166" s="106">
        <v>0</v>
      </c>
      <c r="U166" s="106">
        <v>0</v>
      </c>
      <c r="V166" s="106">
        <v>0</v>
      </c>
      <c r="W166" s="106">
        <v>0</v>
      </c>
      <c r="X166" s="106">
        <v>0</v>
      </c>
      <c r="Y166" s="106">
        <v>0</v>
      </c>
      <c r="Z166" s="106">
        <v>0</v>
      </c>
      <c r="AA166" s="106">
        <v>0</v>
      </c>
      <c r="AB166" s="106">
        <v>0</v>
      </c>
      <c r="AC166" s="106">
        <v>0</v>
      </c>
      <c r="AD166" s="106">
        <v>0</v>
      </c>
      <c r="AE166" s="106">
        <v>0</v>
      </c>
      <c r="AF166" s="106">
        <v>0</v>
      </c>
      <c r="AG166" s="106">
        <v>0</v>
      </c>
      <c r="AH166" s="106">
        <v>0</v>
      </c>
      <c r="AI166" s="106">
        <v>0</v>
      </c>
      <c r="AJ166" s="106">
        <v>0</v>
      </c>
      <c r="AK166" s="106">
        <v>0</v>
      </c>
      <c r="AL166" s="106">
        <v>0</v>
      </c>
      <c r="AM166" s="106">
        <v>0</v>
      </c>
      <c r="AN166" s="106">
        <v>0</v>
      </c>
      <c r="AO166" s="106">
        <v>0</v>
      </c>
      <c r="AP166" s="106">
        <v>0</v>
      </c>
      <c r="AQ166" s="106">
        <v>0</v>
      </c>
      <c r="AR166" s="106">
        <v>0</v>
      </c>
      <c r="AS166" s="106">
        <v>0</v>
      </c>
      <c r="AT166" s="106">
        <v>0</v>
      </c>
      <c r="AU166" s="106">
        <v>0</v>
      </c>
      <c r="AV166" s="106">
        <v>0</v>
      </c>
      <c r="AW166" s="106">
        <v>0</v>
      </c>
      <c r="AX166" s="106">
        <v>0</v>
      </c>
      <c r="AY166" s="106">
        <v>0</v>
      </c>
    </row>
    <row r="167" spans="1:52">
      <c r="A167" s="109"/>
      <c r="B167" s="130">
        <v>46</v>
      </c>
      <c r="C167" s="106">
        <v>0</v>
      </c>
      <c r="D167" s="106">
        <v>0</v>
      </c>
      <c r="E167" s="106">
        <v>0</v>
      </c>
      <c r="F167" s="106">
        <v>0</v>
      </c>
      <c r="G167" s="106">
        <v>0</v>
      </c>
      <c r="H167" s="106">
        <v>0</v>
      </c>
      <c r="I167" s="106">
        <v>0</v>
      </c>
      <c r="J167" s="106">
        <v>0</v>
      </c>
      <c r="K167" s="106">
        <v>0</v>
      </c>
      <c r="L167" s="106">
        <v>0</v>
      </c>
      <c r="M167" s="106">
        <v>0</v>
      </c>
      <c r="N167" s="106">
        <v>0</v>
      </c>
      <c r="O167" s="106">
        <v>0</v>
      </c>
      <c r="P167" s="106">
        <v>0</v>
      </c>
      <c r="Q167" s="106">
        <v>0</v>
      </c>
      <c r="R167" s="106">
        <v>0</v>
      </c>
      <c r="S167" s="106">
        <v>0</v>
      </c>
      <c r="T167" s="106">
        <v>0</v>
      </c>
      <c r="U167" s="106">
        <v>0</v>
      </c>
      <c r="V167" s="106">
        <v>0</v>
      </c>
      <c r="W167" s="106">
        <v>0</v>
      </c>
      <c r="X167" s="106">
        <v>0</v>
      </c>
      <c r="Y167" s="106">
        <v>0</v>
      </c>
      <c r="Z167" s="106">
        <v>0</v>
      </c>
      <c r="AA167" s="106">
        <v>0</v>
      </c>
      <c r="AB167" s="106">
        <v>0</v>
      </c>
      <c r="AC167" s="106">
        <v>0</v>
      </c>
      <c r="AD167" s="106">
        <v>0</v>
      </c>
      <c r="AE167" s="106">
        <v>0</v>
      </c>
      <c r="AF167" s="106">
        <v>0</v>
      </c>
      <c r="AG167" s="106">
        <v>0</v>
      </c>
      <c r="AH167" s="106">
        <v>0</v>
      </c>
      <c r="AI167" s="106">
        <v>0</v>
      </c>
      <c r="AJ167" s="106">
        <v>0</v>
      </c>
      <c r="AK167" s="106">
        <v>0</v>
      </c>
      <c r="AL167" s="106">
        <v>0</v>
      </c>
      <c r="AM167" s="106">
        <v>0</v>
      </c>
      <c r="AN167" s="106">
        <v>0</v>
      </c>
      <c r="AO167" s="106">
        <v>0</v>
      </c>
      <c r="AP167" s="106">
        <v>0</v>
      </c>
      <c r="AQ167" s="106">
        <v>0</v>
      </c>
      <c r="AR167" s="106">
        <v>0</v>
      </c>
      <c r="AS167" s="106">
        <v>0</v>
      </c>
      <c r="AT167" s="106">
        <v>0</v>
      </c>
      <c r="AU167" s="106">
        <v>0</v>
      </c>
      <c r="AV167" s="106">
        <v>0</v>
      </c>
      <c r="AW167" s="106">
        <v>0</v>
      </c>
      <c r="AX167" s="106">
        <v>0</v>
      </c>
      <c r="AY167" s="106">
        <v>0</v>
      </c>
    </row>
    <row r="168" spans="1:52">
      <c r="A168" s="109"/>
      <c r="B168" s="130">
        <v>47</v>
      </c>
      <c r="C168" s="106">
        <v>0</v>
      </c>
      <c r="D168" s="106">
        <v>0</v>
      </c>
      <c r="E168" s="106">
        <v>0</v>
      </c>
      <c r="F168" s="106">
        <v>0</v>
      </c>
      <c r="G168" s="106">
        <v>0</v>
      </c>
      <c r="H168" s="106">
        <v>0</v>
      </c>
      <c r="I168" s="106">
        <v>0</v>
      </c>
      <c r="J168" s="106">
        <v>0</v>
      </c>
      <c r="K168" s="106">
        <v>0</v>
      </c>
      <c r="L168" s="106">
        <v>0</v>
      </c>
      <c r="M168" s="106">
        <v>0</v>
      </c>
      <c r="N168" s="106">
        <v>0</v>
      </c>
      <c r="O168" s="106">
        <v>0</v>
      </c>
      <c r="P168" s="106">
        <v>0</v>
      </c>
      <c r="Q168" s="106">
        <v>0</v>
      </c>
      <c r="R168" s="106">
        <v>0</v>
      </c>
      <c r="S168" s="106">
        <v>0</v>
      </c>
      <c r="T168" s="106">
        <v>0</v>
      </c>
      <c r="U168" s="106">
        <v>0</v>
      </c>
      <c r="V168" s="106">
        <v>0</v>
      </c>
      <c r="W168" s="106">
        <v>0</v>
      </c>
      <c r="X168" s="106">
        <v>0</v>
      </c>
      <c r="Y168" s="106">
        <v>0</v>
      </c>
      <c r="Z168" s="106">
        <v>0</v>
      </c>
      <c r="AA168" s="106">
        <v>0</v>
      </c>
      <c r="AB168" s="106">
        <v>0</v>
      </c>
      <c r="AC168" s="106">
        <v>0</v>
      </c>
      <c r="AD168" s="106">
        <v>0</v>
      </c>
      <c r="AE168" s="106">
        <v>0</v>
      </c>
      <c r="AF168" s="106">
        <v>0</v>
      </c>
      <c r="AG168" s="106">
        <v>0</v>
      </c>
      <c r="AH168" s="106">
        <v>0</v>
      </c>
      <c r="AI168" s="106">
        <v>0</v>
      </c>
      <c r="AJ168" s="106">
        <v>0</v>
      </c>
      <c r="AK168" s="106">
        <v>0</v>
      </c>
      <c r="AL168" s="106">
        <v>0</v>
      </c>
      <c r="AM168" s="106">
        <v>0</v>
      </c>
      <c r="AN168" s="106">
        <v>0</v>
      </c>
      <c r="AO168" s="106">
        <v>0</v>
      </c>
      <c r="AP168" s="106">
        <v>0</v>
      </c>
      <c r="AQ168" s="106">
        <v>0</v>
      </c>
      <c r="AR168" s="106">
        <v>0</v>
      </c>
      <c r="AS168" s="106">
        <v>0</v>
      </c>
      <c r="AT168" s="106">
        <v>0</v>
      </c>
      <c r="AU168" s="106">
        <v>0</v>
      </c>
      <c r="AV168" s="106">
        <v>0</v>
      </c>
      <c r="AW168" s="106">
        <v>0</v>
      </c>
      <c r="AX168" s="106">
        <v>0</v>
      </c>
      <c r="AY168" s="106">
        <v>0</v>
      </c>
    </row>
    <row r="169" spans="1:52">
      <c r="A169" s="109"/>
      <c r="B169" s="130">
        <v>48</v>
      </c>
      <c r="C169" s="106">
        <v>0</v>
      </c>
      <c r="D169" s="106">
        <v>0</v>
      </c>
      <c r="E169" s="106">
        <v>0</v>
      </c>
      <c r="F169" s="106">
        <v>0</v>
      </c>
      <c r="G169" s="106">
        <v>0</v>
      </c>
      <c r="H169" s="106">
        <v>0</v>
      </c>
      <c r="I169" s="106">
        <v>0</v>
      </c>
      <c r="J169" s="106">
        <v>0</v>
      </c>
      <c r="K169" s="106">
        <v>0</v>
      </c>
      <c r="L169" s="106">
        <v>0</v>
      </c>
      <c r="M169" s="106">
        <v>0</v>
      </c>
      <c r="N169" s="106">
        <v>0</v>
      </c>
      <c r="O169" s="106">
        <v>0</v>
      </c>
      <c r="P169" s="106">
        <v>0</v>
      </c>
      <c r="Q169" s="106">
        <v>0</v>
      </c>
      <c r="R169" s="106">
        <v>0</v>
      </c>
      <c r="S169" s="106">
        <v>0</v>
      </c>
      <c r="T169" s="106">
        <v>0</v>
      </c>
      <c r="U169" s="106">
        <v>0</v>
      </c>
      <c r="V169" s="106">
        <v>0</v>
      </c>
      <c r="W169" s="106">
        <v>0</v>
      </c>
      <c r="X169" s="106">
        <v>0</v>
      </c>
      <c r="Y169" s="106">
        <v>0</v>
      </c>
      <c r="Z169" s="106">
        <v>0</v>
      </c>
      <c r="AA169" s="106">
        <v>0</v>
      </c>
      <c r="AB169" s="106">
        <v>0</v>
      </c>
      <c r="AC169" s="106">
        <v>0</v>
      </c>
      <c r="AD169" s="106">
        <v>0</v>
      </c>
      <c r="AE169" s="106">
        <v>0</v>
      </c>
      <c r="AF169" s="106">
        <v>0</v>
      </c>
      <c r="AG169" s="106">
        <v>0</v>
      </c>
      <c r="AH169" s="106">
        <v>0</v>
      </c>
      <c r="AI169" s="106">
        <v>0</v>
      </c>
      <c r="AJ169" s="106">
        <v>0</v>
      </c>
      <c r="AK169" s="106">
        <v>0</v>
      </c>
      <c r="AL169" s="106">
        <v>0</v>
      </c>
      <c r="AM169" s="106">
        <v>0</v>
      </c>
      <c r="AN169" s="106">
        <v>0</v>
      </c>
      <c r="AO169" s="106">
        <v>0</v>
      </c>
      <c r="AP169" s="106">
        <v>0</v>
      </c>
      <c r="AQ169" s="106">
        <v>0</v>
      </c>
      <c r="AR169" s="106">
        <v>0</v>
      </c>
      <c r="AS169" s="106">
        <v>0</v>
      </c>
      <c r="AT169" s="106">
        <v>0</v>
      </c>
      <c r="AU169" s="106">
        <v>0</v>
      </c>
      <c r="AV169" s="106">
        <v>0</v>
      </c>
      <c r="AW169" s="106">
        <v>0</v>
      </c>
      <c r="AX169" s="106">
        <v>0</v>
      </c>
      <c r="AY169" s="106">
        <v>0</v>
      </c>
    </row>
    <row r="170" spans="1:52">
      <c r="A170" s="128"/>
      <c r="B170" s="132" t="s">
        <v>296</v>
      </c>
      <c r="C170" s="114">
        <v>0</v>
      </c>
      <c r="D170" s="125">
        <v>0</v>
      </c>
      <c r="E170" s="125">
        <v>0</v>
      </c>
      <c r="F170" s="125">
        <v>0</v>
      </c>
      <c r="G170" s="125">
        <v>0</v>
      </c>
      <c r="H170" s="125">
        <v>0</v>
      </c>
      <c r="I170" s="125">
        <v>0</v>
      </c>
      <c r="J170" s="125">
        <v>0</v>
      </c>
      <c r="K170" s="125">
        <v>0</v>
      </c>
      <c r="L170" s="125">
        <v>0</v>
      </c>
      <c r="M170" s="125">
        <v>0</v>
      </c>
      <c r="N170" s="125">
        <v>0</v>
      </c>
      <c r="O170" s="125">
        <v>0</v>
      </c>
      <c r="P170" s="125">
        <v>0</v>
      </c>
      <c r="Q170" s="125">
        <v>0</v>
      </c>
      <c r="R170" s="125">
        <v>0</v>
      </c>
      <c r="S170" s="125">
        <v>0</v>
      </c>
      <c r="T170" s="125">
        <v>0</v>
      </c>
      <c r="U170" s="125">
        <v>0</v>
      </c>
      <c r="V170" s="125">
        <v>0</v>
      </c>
      <c r="W170" s="125">
        <v>0</v>
      </c>
      <c r="X170" s="125">
        <v>0</v>
      </c>
      <c r="Y170" s="125">
        <v>0</v>
      </c>
      <c r="Z170" s="125">
        <v>0</v>
      </c>
      <c r="AA170" s="125">
        <v>0</v>
      </c>
      <c r="AB170" s="125">
        <v>0</v>
      </c>
      <c r="AC170" s="125">
        <v>0</v>
      </c>
      <c r="AD170" s="125">
        <v>0</v>
      </c>
      <c r="AE170" s="125">
        <v>0</v>
      </c>
      <c r="AF170" s="125">
        <v>0</v>
      </c>
      <c r="AG170" s="125">
        <v>0</v>
      </c>
      <c r="AH170" s="125">
        <v>0</v>
      </c>
      <c r="AI170" s="125">
        <v>0</v>
      </c>
      <c r="AJ170" s="125">
        <v>0</v>
      </c>
      <c r="AK170" s="125">
        <v>0</v>
      </c>
      <c r="AL170" s="125">
        <v>0</v>
      </c>
      <c r="AM170" s="125">
        <v>0</v>
      </c>
      <c r="AN170" s="125">
        <v>0</v>
      </c>
      <c r="AO170" s="125">
        <v>0</v>
      </c>
      <c r="AP170" s="125">
        <v>0</v>
      </c>
      <c r="AQ170" s="125">
        <v>0</v>
      </c>
      <c r="AR170" s="125">
        <v>0</v>
      </c>
      <c r="AS170" s="125">
        <v>0</v>
      </c>
      <c r="AT170" s="125">
        <v>0</v>
      </c>
      <c r="AU170" s="125">
        <v>0</v>
      </c>
      <c r="AV170" s="125">
        <v>0</v>
      </c>
      <c r="AW170" s="125">
        <v>0</v>
      </c>
      <c r="AX170" s="125">
        <v>0</v>
      </c>
      <c r="AY170" s="125">
        <v>0</v>
      </c>
      <c r="AZ170" s="107">
        <f>SUM($D170:$AY170)</f>
        <v>0</v>
      </c>
    </row>
    <row r="172" spans="1:52">
      <c r="A172" s="102" t="s">
        <v>124</v>
      </c>
      <c r="B172" s="133" t="s">
        <v>297</v>
      </c>
      <c r="C172" s="134">
        <v>0.39283887478859858</v>
      </c>
      <c r="D172" s="134">
        <v>0.39924599892940754</v>
      </c>
      <c r="E172" s="134">
        <v>0.39924599892940754</v>
      </c>
      <c r="F172" s="134">
        <v>0.39924599892940754</v>
      </c>
      <c r="G172" s="134">
        <v>0.39924599892940754</v>
      </c>
      <c r="H172" s="134">
        <v>0.39924599892940754</v>
      </c>
      <c r="I172" s="134">
        <v>0.39924599892940754</v>
      </c>
      <c r="J172" s="134">
        <v>0.39924599892940754</v>
      </c>
      <c r="K172" s="134">
        <v>0.39924599892940754</v>
      </c>
      <c r="L172" s="134">
        <v>0.39924599892940754</v>
      </c>
      <c r="M172" s="134">
        <v>0.39924599892940754</v>
      </c>
      <c r="N172" s="134">
        <v>0.39924599892940754</v>
      </c>
      <c r="O172" s="134">
        <v>0.39924599892940754</v>
      </c>
      <c r="P172" s="134">
        <v>0.39924599892940754</v>
      </c>
      <c r="Q172" s="134">
        <v>0.39924599892940754</v>
      </c>
      <c r="R172" s="134">
        <v>0.39924599892940754</v>
      </c>
      <c r="S172" s="134">
        <v>0.39924599892940754</v>
      </c>
      <c r="T172" s="134">
        <v>0.39924599892940754</v>
      </c>
      <c r="U172" s="134">
        <v>0.39924599892940754</v>
      </c>
      <c r="V172" s="134">
        <v>0.39924599892940754</v>
      </c>
      <c r="W172" s="134">
        <v>0.39924599892940754</v>
      </c>
      <c r="X172" s="134">
        <v>0.39924599892940754</v>
      </c>
      <c r="Y172" s="134">
        <v>0.39924599892940754</v>
      </c>
      <c r="Z172" s="134">
        <v>0.39924599892940754</v>
      </c>
      <c r="AA172" s="134">
        <v>0.39924599892940754</v>
      </c>
      <c r="AB172" s="134">
        <v>0.39924599892940754</v>
      </c>
      <c r="AC172" s="134">
        <v>0.39924599892940754</v>
      </c>
      <c r="AD172" s="134">
        <v>0.39924599892940754</v>
      </c>
      <c r="AE172" s="134">
        <v>0.39924599892940754</v>
      </c>
      <c r="AF172" s="134">
        <v>0.39924599892940754</v>
      </c>
      <c r="AG172" s="134">
        <v>0.39924599892940754</v>
      </c>
      <c r="AH172" s="134">
        <v>0.39924599892940754</v>
      </c>
      <c r="AI172" s="134">
        <v>0.39924599892940754</v>
      </c>
      <c r="AJ172" s="134">
        <v>0.39924599892940754</v>
      </c>
      <c r="AK172" s="134">
        <v>0.39924599892940754</v>
      </c>
      <c r="AL172" s="134">
        <v>0.39924599892940754</v>
      </c>
      <c r="AM172" s="134">
        <v>0.39924599892940754</v>
      </c>
      <c r="AN172" s="134">
        <v>0.39924599892940754</v>
      </c>
      <c r="AO172" s="134">
        <v>0.39924599892940754</v>
      </c>
      <c r="AP172" s="134">
        <v>0.39924599892940754</v>
      </c>
      <c r="AQ172" s="134">
        <v>0.39924599892940754</v>
      </c>
      <c r="AR172" s="134">
        <v>0.39924599892940754</v>
      </c>
      <c r="AS172" s="134">
        <v>0.39924599892940754</v>
      </c>
      <c r="AT172" s="134">
        <v>0.39924599892940754</v>
      </c>
      <c r="AU172" s="134">
        <v>0.39924599892940754</v>
      </c>
      <c r="AV172" s="134">
        <v>0.39924599892940754</v>
      </c>
      <c r="AW172" s="134">
        <v>0.39924599892940754</v>
      </c>
      <c r="AX172" s="134">
        <v>0.39924599892940754</v>
      </c>
      <c r="AY172" s="134">
        <v>0.39924599892940754</v>
      </c>
    </row>
    <row r="174" spans="1:52">
      <c r="A174" s="102" t="s">
        <v>272</v>
      </c>
    </row>
    <row r="175" spans="1:52">
      <c r="A175" s="135" t="s">
        <v>125</v>
      </c>
      <c r="B175" s="135" t="s">
        <v>298</v>
      </c>
      <c r="C175" s="124" t="s">
        <v>293</v>
      </c>
      <c r="D175" s="124">
        <f t="shared" ref="D175:AY175" si="1">SUM(D95:D98)</f>
        <v>574.81834908592168</v>
      </c>
      <c r="E175" s="124">
        <f t="shared" si="1"/>
        <v>643.63669817184245</v>
      </c>
      <c r="F175" s="124">
        <f t="shared" si="1"/>
        <v>711.45504725776311</v>
      </c>
      <c r="G175" s="124">
        <f t="shared" si="1"/>
        <v>731.27339634368388</v>
      </c>
      <c r="H175" s="124">
        <f t="shared" si="1"/>
        <v>718.32807561242043</v>
      </c>
      <c r="I175" s="124">
        <f t="shared" si="1"/>
        <v>699.3827548811571</v>
      </c>
      <c r="J175" s="124">
        <f t="shared" si="1"/>
        <v>675.98238689213053</v>
      </c>
      <c r="K175" s="124">
        <f t="shared" si="1"/>
        <v>636.21871707494643</v>
      </c>
      <c r="L175" s="124">
        <f t="shared" si="1"/>
        <v>675.98238689213053</v>
      </c>
      <c r="M175" s="124">
        <f t="shared" si="1"/>
        <v>711.80073597805131</v>
      </c>
      <c r="N175" s="124">
        <f t="shared" si="1"/>
        <v>746.61908506397208</v>
      </c>
      <c r="O175" s="124">
        <f t="shared" si="1"/>
        <v>794.43743414989274</v>
      </c>
      <c r="P175" s="124">
        <f t="shared" si="1"/>
        <v>795.27339634368298</v>
      </c>
      <c r="Q175" s="124">
        <f t="shared" si="1"/>
        <v>795.27339634368298</v>
      </c>
      <c r="R175" s="124">
        <f t="shared" si="1"/>
        <v>795.27339634368298</v>
      </c>
      <c r="S175" s="124">
        <f t="shared" si="1"/>
        <v>795.27339634368298</v>
      </c>
      <c r="T175" s="124">
        <f t="shared" si="1"/>
        <v>795.27339634368298</v>
      </c>
      <c r="U175" s="124">
        <f t="shared" si="1"/>
        <v>795.27339634368298</v>
      </c>
      <c r="V175" s="124">
        <f t="shared" si="1"/>
        <v>795.27339634368298</v>
      </c>
      <c r="W175" s="124">
        <f t="shared" si="1"/>
        <v>795.27339634368298</v>
      </c>
      <c r="X175" s="124">
        <f t="shared" si="1"/>
        <v>795.27339634368298</v>
      </c>
      <c r="Y175" s="124">
        <f t="shared" si="1"/>
        <v>795.27339634368298</v>
      </c>
      <c r="Z175" s="124">
        <f t="shared" si="1"/>
        <v>795.27339634368298</v>
      </c>
      <c r="AA175" s="124">
        <f t="shared" si="1"/>
        <v>795.27339634368298</v>
      </c>
      <c r="AB175" s="124">
        <f t="shared" si="1"/>
        <v>835.0370661608672</v>
      </c>
      <c r="AC175" s="124">
        <f t="shared" si="1"/>
        <v>874.80073597805131</v>
      </c>
      <c r="AD175" s="124">
        <f t="shared" si="1"/>
        <v>914.56440579523542</v>
      </c>
      <c r="AE175" s="124">
        <f t="shared" si="1"/>
        <v>954.32807561241952</v>
      </c>
      <c r="AF175" s="124">
        <f t="shared" si="1"/>
        <v>914.56440579523542</v>
      </c>
      <c r="AG175" s="124">
        <f t="shared" si="1"/>
        <v>874.80073597805131</v>
      </c>
      <c r="AH175" s="124">
        <f t="shared" si="1"/>
        <v>835.03706616086708</v>
      </c>
      <c r="AI175" s="124">
        <f t="shared" si="1"/>
        <v>795.27339634368298</v>
      </c>
      <c r="AJ175" s="124">
        <f t="shared" si="1"/>
        <v>835.0370661608672</v>
      </c>
      <c r="AK175" s="124">
        <f t="shared" si="1"/>
        <v>874.80073597805131</v>
      </c>
      <c r="AL175" s="124">
        <f t="shared" si="1"/>
        <v>914.56440579523542</v>
      </c>
      <c r="AM175" s="124">
        <f t="shared" si="1"/>
        <v>954.32807561241952</v>
      </c>
      <c r="AN175" s="124">
        <f t="shared" si="1"/>
        <v>954.32807561241952</v>
      </c>
      <c r="AO175" s="124">
        <f t="shared" si="1"/>
        <v>954.32807561241952</v>
      </c>
      <c r="AP175" s="124">
        <f t="shared" si="1"/>
        <v>954.32807561241952</v>
      </c>
      <c r="AQ175" s="124">
        <f t="shared" si="1"/>
        <v>954.32807561241952</v>
      </c>
      <c r="AR175" s="124">
        <f t="shared" si="1"/>
        <v>914.56440579523542</v>
      </c>
      <c r="AS175" s="124">
        <f t="shared" si="1"/>
        <v>874.80073597805131</v>
      </c>
      <c r="AT175" s="124">
        <f t="shared" si="1"/>
        <v>835.03706616086708</v>
      </c>
      <c r="AU175" s="124">
        <f t="shared" si="1"/>
        <v>795.27339634368298</v>
      </c>
      <c r="AV175" s="124">
        <f t="shared" si="1"/>
        <v>596.4550472577622</v>
      </c>
      <c r="AW175" s="124">
        <f t="shared" si="1"/>
        <v>397.63669817184149</v>
      </c>
      <c r="AX175" s="124">
        <f t="shared" si="1"/>
        <v>198.81834908592074</v>
      </c>
      <c r="AY175" s="124">
        <f t="shared" si="1"/>
        <v>1.0355704637884069E-22</v>
      </c>
    </row>
    <row r="176" spans="1:52">
      <c r="A176" s="125"/>
      <c r="B176" s="136" t="s">
        <v>299</v>
      </c>
      <c r="C176" s="125" t="s">
        <v>293</v>
      </c>
      <c r="D176" s="125">
        <v>130</v>
      </c>
      <c r="E176" s="125">
        <v>131</v>
      </c>
      <c r="F176" s="125">
        <v>179</v>
      </c>
      <c r="G176" s="125">
        <v>172</v>
      </c>
      <c r="H176" s="125">
        <v>178</v>
      </c>
      <c r="I176" s="125">
        <v>139</v>
      </c>
      <c r="J176" s="125">
        <v>111</v>
      </c>
      <c r="K176" s="125">
        <v>136</v>
      </c>
      <c r="L176" s="125">
        <v>163</v>
      </c>
      <c r="M176" s="125">
        <v>164</v>
      </c>
      <c r="N176" s="125">
        <v>151</v>
      </c>
      <c r="O176" s="125">
        <v>169</v>
      </c>
      <c r="P176" s="125">
        <v>146</v>
      </c>
      <c r="Q176" s="125">
        <v>109</v>
      </c>
      <c r="R176" s="125">
        <v>160</v>
      </c>
      <c r="S176" s="125">
        <v>126</v>
      </c>
      <c r="T176" s="125">
        <v>143</v>
      </c>
      <c r="U176" s="125">
        <v>178</v>
      </c>
      <c r="V176" s="125">
        <v>149</v>
      </c>
      <c r="W176" s="125">
        <v>116</v>
      </c>
      <c r="X176" s="125">
        <v>124</v>
      </c>
      <c r="Y176" s="125">
        <v>165</v>
      </c>
      <c r="Z176" s="125">
        <v>122</v>
      </c>
      <c r="AA176" s="125">
        <v>121</v>
      </c>
      <c r="AB176" s="125">
        <v>124</v>
      </c>
      <c r="AC176" s="125">
        <v>172</v>
      </c>
      <c r="AD176" s="125">
        <v>182</v>
      </c>
      <c r="AE176" s="125">
        <v>129</v>
      </c>
      <c r="AF176" s="125">
        <v>169</v>
      </c>
      <c r="AG176" s="125">
        <v>148</v>
      </c>
      <c r="AH176" s="125">
        <v>177</v>
      </c>
      <c r="AI176" s="125">
        <v>160</v>
      </c>
      <c r="AJ176" s="125">
        <v>120</v>
      </c>
      <c r="AK176" s="125">
        <v>135</v>
      </c>
      <c r="AL176" s="125">
        <v>114</v>
      </c>
      <c r="AM176" s="125">
        <v>173</v>
      </c>
      <c r="AN176" s="125">
        <v>115</v>
      </c>
      <c r="AO176" s="125">
        <v>172</v>
      </c>
      <c r="AP176" s="125">
        <v>127</v>
      </c>
      <c r="AQ176" s="125">
        <v>123</v>
      </c>
      <c r="AR176" s="125">
        <v>102</v>
      </c>
      <c r="AS176" s="125">
        <v>161</v>
      </c>
      <c r="AT176" s="125">
        <v>139</v>
      </c>
      <c r="AU176" s="125">
        <v>130</v>
      </c>
      <c r="AV176" s="125">
        <v>114</v>
      </c>
      <c r="AW176" s="125">
        <v>144</v>
      </c>
      <c r="AX176" s="125">
        <v>177</v>
      </c>
      <c r="AY176" s="125">
        <v>1.0355704637884069E-22</v>
      </c>
    </row>
    <row r="177" spans="1:51">
      <c r="A177" s="135" t="s">
        <v>133</v>
      </c>
      <c r="B177" s="135" t="s">
        <v>298</v>
      </c>
      <c r="C177" s="124" t="s">
        <v>293</v>
      </c>
      <c r="D177" s="124">
        <f t="shared" ref="D177:AY177" si="2">SUM(D100:D107)</f>
        <v>147.26536418091968</v>
      </c>
      <c r="E177" s="124">
        <f t="shared" si="2"/>
        <v>210.91534508693596</v>
      </c>
      <c r="F177" s="124">
        <f t="shared" si="2"/>
        <v>20.959972948201827</v>
      </c>
      <c r="G177" s="124">
        <f t="shared" si="2"/>
        <v>317.39372419528002</v>
      </c>
      <c r="H177" s="124">
        <f t="shared" si="2"/>
        <v>198.27364303988548</v>
      </c>
      <c r="I177" s="124">
        <f t="shared" si="2"/>
        <v>330.74742133876185</v>
      </c>
      <c r="J177" s="124">
        <f t="shared" si="2"/>
        <v>209.62734018336732</v>
      </c>
      <c r="K177" s="124">
        <f t="shared" si="2"/>
        <v>275.47377829887637</v>
      </c>
      <c r="L177" s="124">
        <f t="shared" si="2"/>
        <v>101.35369714348185</v>
      </c>
      <c r="M177" s="124">
        <f t="shared" si="2"/>
        <v>106.29692972713543</v>
      </c>
      <c r="N177" s="124">
        <f t="shared" si="2"/>
        <v>210.91534508693596</v>
      </c>
      <c r="O177" s="124">
        <f t="shared" si="2"/>
        <v>169.17684857174092</v>
      </c>
      <c r="P177" s="124">
        <f t="shared" si="2"/>
        <v>186.35369714348184</v>
      </c>
      <c r="Q177" s="124">
        <f t="shared" si="2"/>
        <v>66.233615988087323</v>
      </c>
      <c r="R177" s="124">
        <f t="shared" si="2"/>
        <v>275.47377829887637</v>
      </c>
      <c r="S177" s="124">
        <f t="shared" si="2"/>
        <v>310.65062687061732</v>
      </c>
      <c r="T177" s="124">
        <f t="shared" si="2"/>
        <v>344.82747544235821</v>
      </c>
      <c r="U177" s="124">
        <f t="shared" si="2"/>
        <v>216.70739428696368</v>
      </c>
      <c r="V177" s="124">
        <f t="shared" si="2"/>
        <v>180.88424285870462</v>
      </c>
      <c r="W177" s="124">
        <f t="shared" si="2"/>
        <v>275.47377829887637</v>
      </c>
      <c r="X177" s="124">
        <f t="shared" si="2"/>
        <v>250.65062687061726</v>
      </c>
      <c r="Y177" s="124">
        <f t="shared" si="2"/>
        <v>237.82747544235821</v>
      </c>
      <c r="Z177" s="124">
        <f t="shared" si="2"/>
        <v>232.0043240140991</v>
      </c>
      <c r="AA177" s="124">
        <f t="shared" si="2"/>
        <v>169.17684857174095</v>
      </c>
      <c r="AB177" s="124">
        <f t="shared" si="2"/>
        <v>169.17684857174092</v>
      </c>
      <c r="AC177" s="124">
        <f t="shared" si="2"/>
        <v>169.17684857174092</v>
      </c>
      <c r="AD177" s="124">
        <f t="shared" si="2"/>
        <v>169.17684857174092</v>
      </c>
      <c r="AE177" s="124">
        <f t="shared" si="2"/>
        <v>170.35369714348184</v>
      </c>
      <c r="AF177" s="124">
        <f t="shared" si="2"/>
        <v>169.17684857174092</v>
      </c>
      <c r="AG177" s="124">
        <f t="shared" si="2"/>
        <v>169.17684857174092</v>
      </c>
      <c r="AH177" s="124">
        <f t="shared" si="2"/>
        <v>179.35369714348184</v>
      </c>
      <c r="AI177" s="124">
        <f t="shared" si="2"/>
        <v>169.17684857174092</v>
      </c>
      <c r="AJ177" s="124">
        <f t="shared" si="2"/>
        <v>172.35369714348184</v>
      </c>
      <c r="AK177" s="124">
        <f t="shared" si="2"/>
        <v>169.17684857174092</v>
      </c>
      <c r="AL177" s="124">
        <f t="shared" si="2"/>
        <v>169.17684857174092</v>
      </c>
      <c r="AM177" s="124">
        <f t="shared" si="2"/>
        <v>169.17684857174092</v>
      </c>
      <c r="AN177" s="124">
        <f t="shared" si="2"/>
        <v>198.35369714348184</v>
      </c>
      <c r="AO177" s="124">
        <f t="shared" si="2"/>
        <v>62.879918844605484</v>
      </c>
      <c r="AP177" s="124">
        <f t="shared" si="2"/>
        <v>241.63840858452818</v>
      </c>
      <c r="AQ177" s="124">
        <f t="shared" si="2"/>
        <v>135.34147885739273</v>
      </c>
      <c r="AR177" s="124">
        <f t="shared" si="2"/>
        <v>135.34147885739273</v>
      </c>
      <c r="AS177" s="124">
        <f t="shared" si="2"/>
        <v>135.34147885739273</v>
      </c>
      <c r="AT177" s="124">
        <f t="shared" si="2"/>
        <v>146.71981063741279</v>
      </c>
      <c r="AU177" s="124">
        <f t="shared" si="2"/>
        <v>191.63388650606905</v>
      </c>
      <c r="AV177" s="124">
        <f t="shared" si="2"/>
        <v>146.71981063741279</v>
      </c>
      <c r="AW177" s="124">
        <f t="shared" si="2"/>
        <v>22.457037934328127</v>
      </c>
      <c r="AX177" s="124">
        <f t="shared" si="2"/>
        <v>210.91534508693596</v>
      </c>
      <c r="AY177" s="124">
        <f t="shared" si="2"/>
        <v>169.17684857174092</v>
      </c>
    </row>
    <row r="178" spans="1:51">
      <c r="A178" s="125"/>
      <c r="B178" s="136" t="s">
        <v>299</v>
      </c>
      <c r="C178" s="125" t="s">
        <v>293</v>
      </c>
      <c r="D178" s="125">
        <v>147.26536418091968</v>
      </c>
      <c r="E178" s="125">
        <v>210.91534508693596</v>
      </c>
      <c r="F178" s="125">
        <v>20.959972948201827</v>
      </c>
      <c r="G178" s="125">
        <v>182</v>
      </c>
      <c r="H178" s="125">
        <v>143</v>
      </c>
      <c r="I178" s="125">
        <v>184</v>
      </c>
      <c r="J178" s="125">
        <v>209.62734018336732</v>
      </c>
      <c r="K178" s="125">
        <v>237</v>
      </c>
      <c r="L178" s="125">
        <v>101.35369714348185</v>
      </c>
      <c r="M178" s="125">
        <v>106.29692972713543</v>
      </c>
      <c r="N178" s="125">
        <v>210.91534508693596</v>
      </c>
      <c r="O178" s="125">
        <v>152</v>
      </c>
      <c r="P178" s="125">
        <v>183</v>
      </c>
      <c r="Q178" s="125">
        <v>66.233615988087323</v>
      </c>
      <c r="R178" s="125">
        <v>134</v>
      </c>
      <c r="S178" s="125">
        <v>135</v>
      </c>
      <c r="T178" s="125">
        <v>191</v>
      </c>
      <c r="U178" s="125">
        <v>205</v>
      </c>
      <c r="V178" s="125">
        <v>180.88424285870462</v>
      </c>
      <c r="W178" s="125">
        <v>194</v>
      </c>
      <c r="X178" s="125">
        <v>182</v>
      </c>
      <c r="Y178" s="125">
        <v>175</v>
      </c>
      <c r="Z178" s="125">
        <v>232.0043240140991</v>
      </c>
      <c r="AA178" s="125">
        <v>169.17684857174095</v>
      </c>
      <c r="AB178" s="125">
        <v>169.17684857174092</v>
      </c>
      <c r="AC178" s="125">
        <v>169.17684857174092</v>
      </c>
      <c r="AD178" s="125">
        <v>168</v>
      </c>
      <c r="AE178" s="125">
        <v>170.35369714348184</v>
      </c>
      <c r="AF178" s="125">
        <v>169.17684857174092</v>
      </c>
      <c r="AG178" s="125">
        <v>159</v>
      </c>
      <c r="AH178" s="125">
        <v>179.35369714348184</v>
      </c>
      <c r="AI178" s="125">
        <v>166</v>
      </c>
      <c r="AJ178" s="125">
        <v>172.35369714348184</v>
      </c>
      <c r="AK178" s="125">
        <v>169.17684857174092</v>
      </c>
      <c r="AL178" s="125">
        <v>169.17684857174092</v>
      </c>
      <c r="AM178" s="125">
        <v>140</v>
      </c>
      <c r="AN178" s="125">
        <v>198.35369714348184</v>
      </c>
      <c r="AO178" s="125">
        <v>62.879918844605484</v>
      </c>
      <c r="AP178" s="125">
        <v>241.63840858452818</v>
      </c>
      <c r="AQ178" s="125">
        <v>135.34147885739273</v>
      </c>
      <c r="AR178" s="125">
        <v>135.34147885739273</v>
      </c>
      <c r="AS178" s="125">
        <v>135.34147885739273</v>
      </c>
      <c r="AT178" s="125">
        <v>146.71981063741279</v>
      </c>
      <c r="AU178" s="125">
        <v>191.63388650606905</v>
      </c>
      <c r="AV178" s="125">
        <v>146.71981063741279</v>
      </c>
      <c r="AW178" s="125">
        <v>22.457037934328127</v>
      </c>
      <c r="AX178" s="125">
        <v>210.91534508693596</v>
      </c>
      <c r="AY178" s="125">
        <v>169.17684857174092</v>
      </c>
    </row>
    <row r="179" spans="1:51">
      <c r="A179" s="135" t="s">
        <v>134</v>
      </c>
      <c r="B179" s="135" t="s">
        <v>298</v>
      </c>
      <c r="C179" s="124" t="s">
        <v>293</v>
      </c>
      <c r="D179" s="124">
        <f t="shared" ref="D179:AY179" si="3">SUM(D109:D120)</f>
        <v>70.197672252380869</v>
      </c>
      <c r="E179" s="124">
        <f t="shared" si="3"/>
        <v>97.076080410362465</v>
      </c>
      <c r="F179" s="124">
        <f t="shared" si="3"/>
        <v>122.84329707097855</v>
      </c>
      <c r="G179" s="124">
        <f t="shared" si="3"/>
        <v>77.914158926520983</v>
      </c>
      <c r="H179" s="124">
        <f t="shared" si="3"/>
        <v>99.074171567340599</v>
      </c>
      <c r="I179" s="124">
        <f t="shared" si="3"/>
        <v>91.242613371251096</v>
      </c>
      <c r="J179" s="124">
        <f t="shared" si="3"/>
        <v>126.09839567730363</v>
      </c>
      <c r="K179" s="124">
        <f t="shared" si="3"/>
        <v>113.98769378859534</v>
      </c>
      <c r="L179" s="124">
        <f t="shared" si="3"/>
        <v>137.84347609464788</v>
      </c>
      <c r="M179" s="124">
        <f t="shared" si="3"/>
        <v>127.60167861337891</v>
      </c>
      <c r="N179" s="124">
        <f t="shared" si="3"/>
        <v>89.034221284982664</v>
      </c>
      <c r="O179" s="124">
        <f t="shared" si="3"/>
        <v>99.538312805075407</v>
      </c>
      <c r="P179" s="124">
        <f t="shared" si="3"/>
        <v>73.552022612601377</v>
      </c>
      <c r="Q179" s="124">
        <f t="shared" si="3"/>
        <v>73.552022612601377</v>
      </c>
      <c r="R179" s="124">
        <f t="shared" si="3"/>
        <v>63.071665336470517</v>
      </c>
      <c r="S179" s="124">
        <f t="shared" si="3"/>
        <v>91.855782306052532</v>
      </c>
      <c r="T179" s="124">
        <f t="shared" si="3"/>
        <v>103.40780491865391</v>
      </c>
      <c r="U179" s="124">
        <f t="shared" si="3"/>
        <v>103.81888350538713</v>
      </c>
      <c r="V179" s="124">
        <f t="shared" si="3"/>
        <v>104.06188774010792</v>
      </c>
      <c r="W179" s="124">
        <f t="shared" si="3"/>
        <v>97.248786860400457</v>
      </c>
      <c r="X179" s="124">
        <f t="shared" si="3"/>
        <v>94.10456916645299</v>
      </c>
      <c r="Y179" s="124">
        <f t="shared" si="3"/>
        <v>97.656591779054366</v>
      </c>
      <c r="Z179" s="124">
        <f t="shared" si="3"/>
        <v>110.20861439165574</v>
      </c>
      <c r="AA179" s="124">
        <f t="shared" si="3"/>
        <v>81.468429691942063</v>
      </c>
      <c r="AB179" s="124">
        <f t="shared" si="3"/>
        <v>82.324653106337905</v>
      </c>
      <c r="AC179" s="124">
        <f t="shared" si="3"/>
        <v>78.334791542932564</v>
      </c>
      <c r="AD179" s="124">
        <f t="shared" si="3"/>
        <v>73.552022612601377</v>
      </c>
      <c r="AE179" s="124">
        <f t="shared" si="3"/>
        <v>73.552022612601377</v>
      </c>
      <c r="AF179" s="124">
        <f t="shared" si="3"/>
        <v>73.552022612601377</v>
      </c>
      <c r="AG179" s="124">
        <f t="shared" si="3"/>
        <v>73.552022612601377</v>
      </c>
      <c r="AH179" s="124">
        <f t="shared" si="3"/>
        <v>81.627511050975457</v>
      </c>
      <c r="AI179" s="124">
        <f t="shared" si="3"/>
        <v>73.552022612601377</v>
      </c>
      <c r="AJ179" s="124">
        <f t="shared" si="3"/>
        <v>76.940750382768542</v>
      </c>
      <c r="AK179" s="124">
        <f t="shared" si="3"/>
        <v>73.552022612601377</v>
      </c>
      <c r="AL179" s="124">
        <f t="shared" si="3"/>
        <v>73.552022612601377</v>
      </c>
      <c r="AM179" s="124">
        <f t="shared" si="3"/>
        <v>73.552022612601377</v>
      </c>
      <c r="AN179" s="124">
        <f t="shared" si="3"/>
        <v>73.552022612601377</v>
      </c>
      <c r="AO179" s="124">
        <f t="shared" si="3"/>
        <v>73.552022612601377</v>
      </c>
      <c r="AP179" s="124">
        <f t="shared" si="3"/>
        <v>55.248262919150235</v>
      </c>
      <c r="AQ179" s="124">
        <f t="shared" si="3"/>
        <v>86.029513588975888</v>
      </c>
      <c r="AR179" s="124">
        <f t="shared" si="3"/>
        <v>89.409049317528741</v>
      </c>
      <c r="AS179" s="124">
        <f t="shared" si="3"/>
        <v>67.725753895524733</v>
      </c>
      <c r="AT179" s="124">
        <f t="shared" si="3"/>
        <v>74.454685758152579</v>
      </c>
      <c r="AU179" s="124">
        <f t="shared" si="3"/>
        <v>69.685041441726355</v>
      </c>
      <c r="AV179" s="124">
        <f t="shared" si="3"/>
        <v>77.419003783476413</v>
      </c>
      <c r="AW179" s="124">
        <f t="shared" si="3"/>
        <v>69.685041441726355</v>
      </c>
      <c r="AX179" s="124">
        <f t="shared" si="3"/>
        <v>54.941858941340989</v>
      </c>
      <c r="AY179" s="124">
        <f t="shared" si="3"/>
        <v>80.739167266178825</v>
      </c>
    </row>
    <row r="180" spans="1:51">
      <c r="A180" s="125"/>
      <c r="B180" s="136" t="s">
        <v>299</v>
      </c>
      <c r="C180" s="125" t="s">
        <v>293</v>
      </c>
      <c r="D180" s="125">
        <v>70.197672252380869</v>
      </c>
      <c r="E180" s="125">
        <v>70.142896337390482</v>
      </c>
      <c r="F180" s="125">
        <v>93.827413290064143</v>
      </c>
      <c r="G180" s="125">
        <v>77.914158926520983</v>
      </c>
      <c r="H180" s="125">
        <v>76</v>
      </c>
      <c r="I180" s="125">
        <v>57</v>
      </c>
      <c r="J180" s="125">
        <v>76.229157673877651</v>
      </c>
      <c r="K180" s="125">
        <v>68</v>
      </c>
      <c r="L180" s="125">
        <v>65.490060400419196</v>
      </c>
      <c r="M180" s="125">
        <v>101.29189604906553</v>
      </c>
      <c r="N180" s="125">
        <v>70.235075746086096</v>
      </c>
      <c r="O180" s="125">
        <v>99.538312805075407</v>
      </c>
      <c r="P180" s="125">
        <v>73.552022612601377</v>
      </c>
      <c r="Q180" s="125">
        <v>65.728620195281096</v>
      </c>
      <c r="R180" s="125">
        <v>63.071665336470517</v>
      </c>
      <c r="S180" s="125">
        <v>62</v>
      </c>
      <c r="T180" s="125">
        <v>79</v>
      </c>
      <c r="U180" s="125">
        <v>56</v>
      </c>
      <c r="V180" s="125">
        <v>80.365123492308854</v>
      </c>
      <c r="W180" s="125">
        <v>95</v>
      </c>
      <c r="X180" s="125">
        <v>70</v>
      </c>
      <c r="Y180" s="125">
        <v>61</v>
      </c>
      <c r="Z180" s="125">
        <v>102.29220731231506</v>
      </c>
      <c r="AA180" s="125">
        <v>72.695799198205535</v>
      </c>
      <c r="AB180" s="125">
        <v>82.324653106337905</v>
      </c>
      <c r="AC180" s="125">
        <v>78.334791542932564</v>
      </c>
      <c r="AD180" s="125">
        <v>73.552022612601377</v>
      </c>
      <c r="AE180" s="125">
        <v>73.552022612601377</v>
      </c>
      <c r="AF180" s="125">
        <v>73.552022612601377</v>
      </c>
      <c r="AG180" s="125">
        <v>67</v>
      </c>
      <c r="AH180" s="125">
        <v>81.627511050975457</v>
      </c>
      <c r="AI180" s="125">
        <v>73.552022612601377</v>
      </c>
      <c r="AJ180" s="125">
        <v>76.940750382768542</v>
      </c>
      <c r="AK180" s="125">
        <v>73.552022612601377</v>
      </c>
      <c r="AL180" s="125">
        <v>73.552022612601377</v>
      </c>
      <c r="AM180" s="125">
        <v>73.552022612601377</v>
      </c>
      <c r="AN180" s="125">
        <v>73.552022612601377</v>
      </c>
      <c r="AO180" s="125">
        <v>73.552022612601377</v>
      </c>
      <c r="AP180" s="125">
        <v>55.248262919150235</v>
      </c>
      <c r="AQ180" s="125">
        <v>71.475629494843488</v>
      </c>
      <c r="AR180" s="125">
        <v>89.409049317528741</v>
      </c>
      <c r="AS180" s="125">
        <v>60.996822032896887</v>
      </c>
      <c r="AT180" s="125">
        <v>74.454685758152579</v>
      </c>
      <c r="AU180" s="125">
        <v>69.685041441726355</v>
      </c>
      <c r="AV180" s="125">
        <v>77.419003783476413</v>
      </c>
      <c r="AW180" s="125">
        <v>63.030842698478544</v>
      </c>
      <c r="AX180" s="125">
        <v>54.941858941340989</v>
      </c>
      <c r="AY180" s="125">
        <v>80</v>
      </c>
    </row>
    <row r="181" spans="1:51">
      <c r="A181" s="135" t="s">
        <v>123</v>
      </c>
      <c r="B181" s="135" t="s">
        <v>298</v>
      </c>
      <c r="C181" s="124" t="s">
        <v>293</v>
      </c>
      <c r="D181" s="124">
        <f t="shared" ref="D181:AY181" si="4">(1-D172)*SUM(D122:D169)</f>
        <v>146.07245625794596</v>
      </c>
      <c r="E181" s="124">
        <f t="shared" si="4"/>
        <v>144.31800013322825</v>
      </c>
      <c r="F181" s="124">
        <f t="shared" si="4"/>
        <v>73.578281355220128</v>
      </c>
      <c r="G181" s="124">
        <f t="shared" si="4"/>
        <v>149.07902679409958</v>
      </c>
      <c r="H181" s="124">
        <f t="shared" si="4"/>
        <v>102.57451363385626</v>
      </c>
      <c r="I181" s="124">
        <f t="shared" si="4"/>
        <v>138.21736195179128</v>
      </c>
      <c r="J181" s="124">
        <f t="shared" si="4"/>
        <v>96.480412975207201</v>
      </c>
      <c r="K181" s="124">
        <f t="shared" si="4"/>
        <v>138.21736195179128</v>
      </c>
      <c r="L181" s="124">
        <f t="shared" si="4"/>
        <v>83.133243889435036</v>
      </c>
      <c r="M181" s="124">
        <f t="shared" si="4"/>
        <v>94.382805657150712</v>
      </c>
      <c r="N181" s="124">
        <f t="shared" si="4"/>
        <v>121.48995333285988</v>
      </c>
      <c r="O181" s="124">
        <f t="shared" si="4"/>
        <v>110.67530292061315</v>
      </c>
      <c r="P181" s="124">
        <f t="shared" si="4"/>
        <v>110.67530292061315</v>
      </c>
      <c r="Q181" s="124">
        <f t="shared" si="4"/>
        <v>83.133243889435036</v>
      </c>
      <c r="R181" s="124">
        <f t="shared" si="4"/>
        <v>138.21736195179128</v>
      </c>
      <c r="S181" s="124">
        <f t="shared" si="4"/>
        <v>110.67530292061315</v>
      </c>
      <c r="T181" s="124">
        <f t="shared" si="4"/>
        <v>119.49154986709445</v>
      </c>
      <c r="U181" s="124">
        <f t="shared" si="4"/>
        <v>84.630052440958934</v>
      </c>
      <c r="V181" s="124">
        <f t="shared" si="4"/>
        <v>110.67530292061315</v>
      </c>
      <c r="W181" s="124">
        <f t="shared" si="4"/>
        <v>138.21736195179128</v>
      </c>
      <c r="X181" s="124">
        <f t="shared" si="4"/>
        <v>110.67530292061315</v>
      </c>
      <c r="Y181" s="124">
        <f t="shared" si="4"/>
        <v>110.67530292061315</v>
      </c>
      <c r="Z181" s="124">
        <f t="shared" si="4"/>
        <v>110.67530292061315</v>
      </c>
      <c r="AA181" s="124">
        <f t="shared" si="4"/>
        <v>110.67530292061315</v>
      </c>
      <c r="AB181" s="124">
        <f t="shared" si="4"/>
        <v>117.87203771268959</v>
      </c>
      <c r="AC181" s="124">
        <f t="shared" si="4"/>
        <v>110.67530292061315</v>
      </c>
      <c r="AD181" s="124">
        <f t="shared" si="4"/>
        <v>110.67530292061315</v>
      </c>
      <c r="AE181" s="124">
        <f t="shared" si="4"/>
        <v>110.67530292061315</v>
      </c>
      <c r="AF181" s="124">
        <f t="shared" si="4"/>
        <v>110.67530292061315</v>
      </c>
      <c r="AG181" s="124">
        <f t="shared" si="4"/>
        <v>112.96769456080862</v>
      </c>
      <c r="AH181" s="124">
        <f t="shared" si="4"/>
        <v>110.67530292061315</v>
      </c>
      <c r="AI181" s="124">
        <f t="shared" si="4"/>
        <v>115.77439413737174</v>
      </c>
      <c r="AJ181" s="124">
        <f t="shared" si="4"/>
        <v>110.67530292061315</v>
      </c>
      <c r="AK181" s="124">
        <f t="shared" si="4"/>
        <v>110.67530292061315</v>
      </c>
      <c r="AL181" s="124">
        <f t="shared" si="4"/>
        <v>110.67530292061315</v>
      </c>
      <c r="AM181" s="124">
        <f t="shared" si="4"/>
        <v>110.67530292061315</v>
      </c>
      <c r="AN181" s="124">
        <f t="shared" si="4"/>
        <v>110.67530292061315</v>
      </c>
      <c r="AO181" s="124">
        <f t="shared" si="4"/>
        <v>83.133243889435036</v>
      </c>
      <c r="AP181" s="124">
        <f t="shared" si="4"/>
        <v>129.45045069286317</v>
      </c>
      <c r="AQ181" s="124">
        <f t="shared" si="4"/>
        <v>112.63616950287054</v>
      </c>
      <c r="AR181" s="124">
        <f t="shared" si="4"/>
        <v>101.90839166168504</v>
      </c>
      <c r="AS181" s="124">
        <f t="shared" si="4"/>
        <v>101.90839166168504</v>
      </c>
      <c r="AT181" s="124">
        <f t="shared" si="4"/>
        <v>104.85657357405162</v>
      </c>
      <c r="AU181" s="124">
        <f t="shared" si="4"/>
        <v>116.4940322671747</v>
      </c>
      <c r="AV181" s="124">
        <f t="shared" si="4"/>
        <v>104.85657357405162</v>
      </c>
      <c r="AW181" s="124">
        <f t="shared" si="4"/>
        <v>72.659475972534139</v>
      </c>
      <c r="AX181" s="124">
        <f t="shared" si="4"/>
        <v>121.48995333285987</v>
      </c>
      <c r="AY181" s="124">
        <f t="shared" si="4"/>
        <v>110.67530292061315</v>
      </c>
    </row>
    <row r="182" spans="1:51">
      <c r="A182" s="125"/>
      <c r="B182" s="136" t="s">
        <v>299</v>
      </c>
      <c r="C182" s="125" t="s">
        <v>293</v>
      </c>
      <c r="D182" s="125">
        <v>108.07346372574983</v>
      </c>
      <c r="E182" s="125">
        <v>142.14289633739048</v>
      </c>
      <c r="F182" s="125">
        <v>73.578281355220128</v>
      </c>
      <c r="G182" s="125">
        <v>116.71757816491812</v>
      </c>
      <c r="H182" s="125">
        <v>102.57451363385626</v>
      </c>
      <c r="I182" s="125">
        <v>116</v>
      </c>
      <c r="J182" s="125">
        <v>96.480412975207201</v>
      </c>
      <c r="K182" s="125">
        <v>138.21736195179128</v>
      </c>
      <c r="L182" s="125">
        <v>83.133243889435036</v>
      </c>
      <c r="M182" s="125">
        <v>94.382805657150712</v>
      </c>
      <c r="N182" s="125">
        <v>121.48995333285988</v>
      </c>
      <c r="O182" s="125">
        <v>110.67530292061315</v>
      </c>
      <c r="P182" s="125">
        <v>110.67530292061315</v>
      </c>
      <c r="Q182" s="125">
        <v>83.133243889435036</v>
      </c>
      <c r="R182" s="125">
        <v>138.21736195179128</v>
      </c>
      <c r="S182" s="125">
        <v>96</v>
      </c>
      <c r="T182" s="125">
        <v>117</v>
      </c>
      <c r="U182" s="125">
        <v>84.630052440958934</v>
      </c>
      <c r="V182" s="125">
        <v>110.67530292061315</v>
      </c>
      <c r="W182" s="125">
        <v>138.21736195179128</v>
      </c>
      <c r="X182" s="125">
        <v>110.67530292061315</v>
      </c>
      <c r="Y182" s="125">
        <v>110.67530292061315</v>
      </c>
      <c r="Z182" s="125">
        <v>110.67530292061315</v>
      </c>
      <c r="AA182" s="125">
        <v>98.695799198205535</v>
      </c>
      <c r="AB182" s="125">
        <v>117.87203771268959</v>
      </c>
      <c r="AC182" s="125">
        <v>110.67530292061315</v>
      </c>
      <c r="AD182" s="125">
        <v>110.67530292061315</v>
      </c>
      <c r="AE182" s="125">
        <v>110.67530292061315</v>
      </c>
      <c r="AF182" s="125">
        <v>106.85944545464498</v>
      </c>
      <c r="AG182" s="125">
        <v>112.96769456080862</v>
      </c>
      <c r="AH182" s="125">
        <v>102.18748393368739</v>
      </c>
      <c r="AI182" s="125">
        <v>115.77439413737174</v>
      </c>
      <c r="AJ182" s="125">
        <v>110.67530292061315</v>
      </c>
      <c r="AK182" s="125">
        <v>110.67530292061315</v>
      </c>
      <c r="AL182" s="125">
        <v>110.67530292061315</v>
      </c>
      <c r="AM182" s="125">
        <v>110.67530292061315</v>
      </c>
      <c r="AN182" s="125">
        <v>110.67530292061315</v>
      </c>
      <c r="AO182" s="125">
        <v>83.133243889435036</v>
      </c>
      <c r="AP182" s="125">
        <v>111.59326152380606</v>
      </c>
      <c r="AQ182" s="125">
        <v>112.63616950287054</v>
      </c>
      <c r="AR182" s="125">
        <v>101.90839166168504</v>
      </c>
      <c r="AS182" s="125">
        <v>101.90839166168504</v>
      </c>
      <c r="AT182" s="125">
        <v>104.85657357405162</v>
      </c>
      <c r="AU182" s="125">
        <v>116.4940322671747</v>
      </c>
      <c r="AV182" s="125">
        <v>104.85657357405162</v>
      </c>
      <c r="AW182" s="125">
        <v>72.659475972534139</v>
      </c>
      <c r="AX182" s="125">
        <v>121.48995333285987</v>
      </c>
      <c r="AY182" s="125">
        <v>110.67530292061315</v>
      </c>
    </row>
    <row r="184" spans="1:51">
      <c r="A184" s="102" t="s">
        <v>300</v>
      </c>
    </row>
    <row r="185" spans="1:51">
      <c r="A185" s="126" t="s">
        <v>125</v>
      </c>
      <c r="B185" s="123">
        <v>1</v>
      </c>
      <c r="C185" s="124">
        <v>0</v>
      </c>
      <c r="D185" s="124">
        <v>0</v>
      </c>
      <c r="E185" s="124">
        <v>0</v>
      </c>
      <c r="F185" s="124">
        <v>0</v>
      </c>
      <c r="G185" s="124">
        <v>0</v>
      </c>
      <c r="H185" s="124">
        <v>0</v>
      </c>
      <c r="I185" s="124">
        <v>0</v>
      </c>
      <c r="J185" s="124">
        <v>0</v>
      </c>
      <c r="K185" s="124">
        <v>0</v>
      </c>
      <c r="L185" s="124">
        <v>0</v>
      </c>
      <c r="M185" s="124">
        <v>0</v>
      </c>
      <c r="N185" s="124">
        <v>0</v>
      </c>
      <c r="O185" s="124">
        <v>0</v>
      </c>
      <c r="P185" s="124">
        <v>0</v>
      </c>
      <c r="Q185" s="124">
        <v>0</v>
      </c>
      <c r="R185" s="124">
        <v>0</v>
      </c>
      <c r="S185" s="124">
        <v>0</v>
      </c>
      <c r="T185" s="124">
        <v>0</v>
      </c>
      <c r="U185" s="124">
        <v>0</v>
      </c>
      <c r="V185" s="124">
        <v>0</v>
      </c>
      <c r="W185" s="124">
        <v>0</v>
      </c>
      <c r="X185" s="124">
        <v>0</v>
      </c>
      <c r="Y185" s="124">
        <v>0</v>
      </c>
      <c r="Z185" s="124">
        <v>0</v>
      </c>
      <c r="AA185" s="124">
        <v>0</v>
      </c>
      <c r="AB185" s="124">
        <v>0</v>
      </c>
      <c r="AC185" s="124">
        <v>0</v>
      </c>
      <c r="AD185" s="124">
        <v>0</v>
      </c>
      <c r="AE185" s="124">
        <v>0</v>
      </c>
      <c r="AF185" s="124">
        <v>0</v>
      </c>
      <c r="AG185" s="124">
        <v>0</v>
      </c>
      <c r="AH185" s="124">
        <v>0</v>
      </c>
      <c r="AI185" s="124">
        <v>0</v>
      </c>
      <c r="AJ185" s="124">
        <v>0</v>
      </c>
      <c r="AK185" s="124">
        <v>0</v>
      </c>
      <c r="AL185" s="124">
        <v>0</v>
      </c>
      <c r="AM185" s="124">
        <v>0</v>
      </c>
      <c r="AN185" s="124">
        <v>0</v>
      </c>
      <c r="AO185" s="124">
        <v>0</v>
      </c>
      <c r="AP185" s="124">
        <v>0</v>
      </c>
      <c r="AQ185" s="124">
        <v>0</v>
      </c>
      <c r="AR185" s="124">
        <v>0</v>
      </c>
      <c r="AS185" s="124">
        <v>0</v>
      </c>
      <c r="AT185" s="124">
        <v>0</v>
      </c>
      <c r="AU185" s="124">
        <v>0</v>
      </c>
      <c r="AV185" s="124">
        <v>0</v>
      </c>
      <c r="AW185" s="124">
        <v>0</v>
      </c>
      <c r="AX185" s="124">
        <v>0</v>
      </c>
      <c r="AY185" s="124">
        <v>2.5889261594710166E-23</v>
      </c>
    </row>
    <row r="186" spans="1:51">
      <c r="A186" s="109"/>
      <c r="B186" s="120">
        <v>2</v>
      </c>
      <c r="C186" s="106">
        <v>0</v>
      </c>
      <c r="D186" s="106">
        <v>0</v>
      </c>
      <c r="E186" s="106">
        <v>0</v>
      </c>
      <c r="F186" s="106">
        <v>0</v>
      </c>
      <c r="G186" s="106">
        <v>0</v>
      </c>
      <c r="H186" s="106">
        <v>0</v>
      </c>
      <c r="I186" s="106">
        <v>0</v>
      </c>
      <c r="J186" s="106">
        <v>0</v>
      </c>
      <c r="K186" s="106">
        <v>0</v>
      </c>
      <c r="L186" s="106">
        <v>0</v>
      </c>
      <c r="M186" s="106">
        <v>0</v>
      </c>
      <c r="N186" s="106">
        <v>0</v>
      </c>
      <c r="O186" s="106">
        <v>0</v>
      </c>
      <c r="P186" s="106">
        <v>0</v>
      </c>
      <c r="Q186" s="106">
        <v>0</v>
      </c>
      <c r="R186" s="106">
        <v>0</v>
      </c>
      <c r="S186" s="106">
        <v>0</v>
      </c>
      <c r="T186" s="106">
        <v>0</v>
      </c>
      <c r="U186" s="106">
        <v>0</v>
      </c>
      <c r="V186" s="106">
        <v>0</v>
      </c>
      <c r="W186" s="106">
        <v>0</v>
      </c>
      <c r="X186" s="106">
        <v>0</v>
      </c>
      <c r="Y186" s="106">
        <v>0</v>
      </c>
      <c r="Z186" s="106">
        <v>0</v>
      </c>
      <c r="AA186" s="106">
        <v>0</v>
      </c>
      <c r="AB186" s="106">
        <v>0</v>
      </c>
      <c r="AC186" s="106">
        <v>0</v>
      </c>
      <c r="AD186" s="106">
        <v>0</v>
      </c>
      <c r="AE186" s="106">
        <v>0</v>
      </c>
      <c r="AF186" s="106">
        <v>0</v>
      </c>
      <c r="AG186" s="106">
        <v>0</v>
      </c>
      <c r="AH186" s="106">
        <v>0</v>
      </c>
      <c r="AI186" s="106">
        <v>0</v>
      </c>
      <c r="AJ186" s="106">
        <v>0</v>
      </c>
      <c r="AK186" s="106">
        <v>0</v>
      </c>
      <c r="AL186" s="106">
        <v>0</v>
      </c>
      <c r="AM186" s="106">
        <v>0</v>
      </c>
      <c r="AN186" s="106">
        <v>0</v>
      </c>
      <c r="AO186" s="106">
        <v>0</v>
      </c>
      <c r="AP186" s="106">
        <v>0</v>
      </c>
      <c r="AQ186" s="106">
        <v>0</v>
      </c>
      <c r="AR186" s="106">
        <v>0</v>
      </c>
      <c r="AS186" s="106">
        <v>0</v>
      </c>
      <c r="AT186" s="106">
        <v>0</v>
      </c>
      <c r="AU186" s="106">
        <v>0</v>
      </c>
      <c r="AV186" s="106">
        <v>0</v>
      </c>
      <c r="AW186" s="106">
        <v>0</v>
      </c>
      <c r="AX186" s="106">
        <v>0</v>
      </c>
      <c r="AY186" s="106">
        <v>2.5889261594710171E-23</v>
      </c>
    </row>
    <row r="187" spans="1:51">
      <c r="A187" s="109"/>
      <c r="B187" s="127">
        <v>3</v>
      </c>
      <c r="C187" s="106">
        <v>103.99999999999918</v>
      </c>
      <c r="D187" s="106">
        <v>73.999999999999147</v>
      </c>
      <c r="E187" s="106">
        <v>44.999999999999119</v>
      </c>
      <c r="F187" s="106">
        <v>63.999999999999091</v>
      </c>
      <c r="G187" s="106">
        <v>37.181650914078347</v>
      </c>
      <c r="H187" s="106">
        <v>16.363301828157603</v>
      </c>
      <c r="I187" s="106">
        <v>0</v>
      </c>
      <c r="J187" s="106">
        <v>0</v>
      </c>
      <c r="K187" s="106">
        <v>0</v>
      </c>
      <c r="L187" s="106">
        <v>3.9453207312633936</v>
      </c>
      <c r="M187" s="106">
        <v>8.8906414625267871</v>
      </c>
      <c r="N187" s="106">
        <v>0.83596219379018066</v>
      </c>
      <c r="O187" s="106">
        <v>0</v>
      </c>
      <c r="P187" s="106">
        <v>0</v>
      </c>
      <c r="Q187" s="106">
        <v>0</v>
      </c>
      <c r="R187" s="106">
        <v>0</v>
      </c>
      <c r="S187" s="106">
        <v>0</v>
      </c>
      <c r="T187" s="106">
        <v>0</v>
      </c>
      <c r="U187" s="106">
        <v>0</v>
      </c>
      <c r="V187" s="106">
        <v>0</v>
      </c>
      <c r="W187" s="106">
        <v>0</v>
      </c>
      <c r="X187" s="106">
        <v>0</v>
      </c>
      <c r="Y187" s="106">
        <v>0</v>
      </c>
      <c r="Z187" s="106">
        <v>0</v>
      </c>
      <c r="AA187" s="106">
        <v>0</v>
      </c>
      <c r="AB187" s="106">
        <v>0</v>
      </c>
      <c r="AC187" s="106">
        <v>0</v>
      </c>
      <c r="AD187" s="106">
        <v>0</v>
      </c>
      <c r="AE187" s="106">
        <v>0</v>
      </c>
      <c r="AF187" s="106">
        <v>0</v>
      </c>
      <c r="AG187" s="106">
        <v>0</v>
      </c>
      <c r="AH187" s="106">
        <v>0</v>
      </c>
      <c r="AI187" s="106">
        <v>0</v>
      </c>
      <c r="AJ187" s="106">
        <v>0</v>
      </c>
      <c r="AK187" s="106">
        <v>0</v>
      </c>
      <c r="AL187" s="106">
        <v>0</v>
      </c>
      <c r="AM187" s="106">
        <v>0</v>
      </c>
      <c r="AN187" s="106">
        <v>0</v>
      </c>
      <c r="AO187" s="106">
        <v>0</v>
      </c>
      <c r="AP187" s="106">
        <v>0</v>
      </c>
      <c r="AQ187" s="106">
        <v>0</v>
      </c>
      <c r="AR187" s="106">
        <v>0</v>
      </c>
      <c r="AS187" s="106">
        <v>0</v>
      </c>
      <c r="AT187" s="106">
        <v>0</v>
      </c>
      <c r="AU187" s="106">
        <v>0</v>
      </c>
      <c r="AV187" s="106">
        <v>0</v>
      </c>
      <c r="AW187" s="106">
        <v>0</v>
      </c>
      <c r="AX187" s="106">
        <v>0</v>
      </c>
      <c r="AY187" s="106">
        <v>2.5889261594710171E-23</v>
      </c>
    </row>
    <row r="188" spans="1:51">
      <c r="A188" s="128"/>
      <c r="B188" s="129">
        <v>4</v>
      </c>
      <c r="C188" s="106">
        <v>79.000000000000824</v>
      </c>
      <c r="D188" s="106">
        <v>56.000000000000853</v>
      </c>
      <c r="E188" s="106">
        <v>86.000000000000881</v>
      </c>
      <c r="F188" s="106">
        <v>115.00000000000091</v>
      </c>
      <c r="G188" s="106">
        <v>134.81834908592165</v>
      </c>
      <c r="H188" s="106">
        <v>161.6366981718424</v>
      </c>
      <c r="I188" s="106">
        <v>139</v>
      </c>
      <c r="J188" s="106">
        <v>111</v>
      </c>
      <c r="K188" s="106">
        <v>136</v>
      </c>
      <c r="L188" s="106">
        <v>159.05467926873661</v>
      </c>
      <c r="M188" s="106">
        <v>155.10935853747321</v>
      </c>
      <c r="N188" s="106">
        <v>150.16403780620982</v>
      </c>
      <c r="O188" s="106">
        <v>169</v>
      </c>
      <c r="P188" s="106">
        <v>146</v>
      </c>
      <c r="Q188" s="106">
        <v>109</v>
      </c>
      <c r="R188" s="106">
        <v>160</v>
      </c>
      <c r="S188" s="106">
        <v>126</v>
      </c>
      <c r="T188" s="106">
        <v>143</v>
      </c>
      <c r="U188" s="106">
        <v>178</v>
      </c>
      <c r="V188" s="106">
        <v>149</v>
      </c>
      <c r="W188" s="106">
        <v>116</v>
      </c>
      <c r="X188" s="106">
        <v>124</v>
      </c>
      <c r="Y188" s="106">
        <v>165</v>
      </c>
      <c r="Z188" s="106">
        <v>122</v>
      </c>
      <c r="AA188" s="106">
        <v>121</v>
      </c>
      <c r="AB188" s="106">
        <v>124</v>
      </c>
      <c r="AC188" s="106">
        <v>172</v>
      </c>
      <c r="AD188" s="106">
        <v>182</v>
      </c>
      <c r="AE188" s="106">
        <v>129</v>
      </c>
      <c r="AF188" s="106">
        <v>169</v>
      </c>
      <c r="AG188" s="106">
        <v>148</v>
      </c>
      <c r="AH188" s="106">
        <v>177</v>
      </c>
      <c r="AI188" s="106">
        <v>160</v>
      </c>
      <c r="AJ188" s="106">
        <v>120</v>
      </c>
      <c r="AK188" s="106">
        <v>135</v>
      </c>
      <c r="AL188" s="106">
        <v>114</v>
      </c>
      <c r="AM188" s="106">
        <v>173</v>
      </c>
      <c r="AN188" s="106">
        <v>115</v>
      </c>
      <c r="AO188" s="106">
        <v>172</v>
      </c>
      <c r="AP188" s="106">
        <v>127</v>
      </c>
      <c r="AQ188" s="106">
        <v>123</v>
      </c>
      <c r="AR188" s="106">
        <v>102</v>
      </c>
      <c r="AS188" s="106">
        <v>161</v>
      </c>
      <c r="AT188" s="106">
        <v>139</v>
      </c>
      <c r="AU188" s="106">
        <v>130</v>
      </c>
      <c r="AV188" s="106">
        <v>114</v>
      </c>
      <c r="AW188" s="106">
        <v>144</v>
      </c>
      <c r="AX188" s="106">
        <v>177</v>
      </c>
      <c r="AY188" s="106">
        <v>2.5889261594710171E-23</v>
      </c>
    </row>
    <row r="189" spans="1:51">
      <c r="A189" s="126" t="s">
        <v>133</v>
      </c>
      <c r="B189" s="123">
        <v>1</v>
      </c>
      <c r="C189" s="124">
        <v>146.37632172022444</v>
      </c>
      <c r="D189" s="124">
        <v>147.26536418091968</v>
      </c>
      <c r="E189" s="124">
        <v>210.91534508693596</v>
      </c>
      <c r="F189" s="124">
        <v>20.959972948201827</v>
      </c>
      <c r="G189" s="124">
        <v>33.783124376460904</v>
      </c>
      <c r="H189" s="124">
        <v>7.606275804719985</v>
      </c>
      <c r="I189" s="124">
        <v>22.429427232979066</v>
      </c>
      <c r="J189" s="124">
        <v>62.87991884460547</v>
      </c>
      <c r="K189" s="124">
        <v>130.70307027286455</v>
      </c>
      <c r="L189" s="124">
        <v>62.879918844605484</v>
      </c>
      <c r="M189" s="124">
        <v>0</v>
      </c>
      <c r="N189" s="124">
        <v>210.91534508693596</v>
      </c>
      <c r="O189" s="124">
        <v>152</v>
      </c>
      <c r="P189" s="124">
        <v>165.82315142825908</v>
      </c>
      <c r="Q189" s="124">
        <v>62.879918844605484</v>
      </c>
      <c r="R189" s="124">
        <v>27.703070272864565</v>
      </c>
      <c r="S189" s="124">
        <v>0</v>
      </c>
      <c r="T189" s="124">
        <v>15.349373129382712</v>
      </c>
      <c r="U189" s="124">
        <v>51.172524557641793</v>
      </c>
      <c r="V189" s="124">
        <v>169.17684857174092</v>
      </c>
      <c r="W189" s="124">
        <v>87.703070272864565</v>
      </c>
      <c r="X189" s="124">
        <v>100.52622170112365</v>
      </c>
      <c r="Y189" s="124">
        <v>106.34937312938273</v>
      </c>
      <c r="Z189" s="124">
        <v>169.17684857174089</v>
      </c>
      <c r="AA189" s="124">
        <v>169.17684857174092</v>
      </c>
      <c r="AB189" s="124">
        <v>169.17684857174092</v>
      </c>
      <c r="AC189" s="124">
        <v>169.17684857174092</v>
      </c>
      <c r="AD189" s="124">
        <v>168</v>
      </c>
      <c r="AE189" s="124">
        <v>169.17684857174092</v>
      </c>
      <c r="AF189" s="124">
        <v>169.17684857174092</v>
      </c>
      <c r="AG189" s="124">
        <v>159</v>
      </c>
      <c r="AH189" s="124">
        <v>169.17684857174092</v>
      </c>
      <c r="AI189" s="124">
        <v>166</v>
      </c>
      <c r="AJ189" s="124">
        <v>169.17684857174092</v>
      </c>
      <c r="AK189" s="124">
        <v>169.17684857174092</v>
      </c>
      <c r="AL189" s="124">
        <v>169.17684857174092</v>
      </c>
      <c r="AM189" s="124">
        <v>140</v>
      </c>
      <c r="AN189" s="124">
        <v>169.17684857174092</v>
      </c>
      <c r="AO189" s="124">
        <v>62.879918844605484</v>
      </c>
      <c r="AP189" s="124">
        <v>135.34147885739273</v>
      </c>
      <c r="AQ189" s="124">
        <v>135.34147885739273</v>
      </c>
      <c r="AR189" s="124">
        <v>135.34147885739273</v>
      </c>
      <c r="AS189" s="124">
        <v>135.34147885739273</v>
      </c>
      <c r="AT189" s="124">
        <v>146.71981063741279</v>
      </c>
      <c r="AU189" s="124">
        <v>169.17684857174092</v>
      </c>
      <c r="AV189" s="124">
        <v>146.71981063741279</v>
      </c>
      <c r="AW189" s="124">
        <v>0</v>
      </c>
      <c r="AX189" s="124">
        <v>210.91534508693596</v>
      </c>
      <c r="AY189" s="124">
        <v>169.17684857174092</v>
      </c>
    </row>
    <row r="190" spans="1:51">
      <c r="A190" s="109"/>
      <c r="B190" s="119">
        <v>2</v>
      </c>
      <c r="C190" s="106">
        <v>0</v>
      </c>
      <c r="D190" s="106">
        <v>0</v>
      </c>
      <c r="E190" s="106">
        <v>0</v>
      </c>
      <c r="F190" s="106">
        <v>0</v>
      </c>
      <c r="G190" s="106">
        <v>148.2168756235391</v>
      </c>
      <c r="H190" s="106">
        <v>135.39372419528002</v>
      </c>
      <c r="I190" s="106">
        <v>161.57057276702093</v>
      </c>
      <c r="J190" s="106">
        <v>146.74742133876185</v>
      </c>
      <c r="K190" s="106">
        <v>106.29692972713545</v>
      </c>
      <c r="L190" s="106">
        <v>38.473778298876368</v>
      </c>
      <c r="M190" s="106">
        <v>106.29692972713543</v>
      </c>
      <c r="N190" s="106">
        <v>0</v>
      </c>
      <c r="O190" s="106">
        <v>0</v>
      </c>
      <c r="P190" s="106">
        <v>17.176848571740919</v>
      </c>
      <c r="Q190" s="106">
        <v>3.3536971434818383</v>
      </c>
      <c r="R190" s="106">
        <v>106.29692972713543</v>
      </c>
      <c r="S190" s="106">
        <v>135</v>
      </c>
      <c r="T190" s="106">
        <v>169.17684857174092</v>
      </c>
      <c r="U190" s="106">
        <v>153.82747544235821</v>
      </c>
      <c r="V190" s="106">
        <v>11.707394286963691</v>
      </c>
      <c r="W190" s="106">
        <v>0</v>
      </c>
      <c r="X190" s="106">
        <v>81.473778298876354</v>
      </c>
      <c r="Y190" s="106">
        <v>68.650626870617273</v>
      </c>
      <c r="Z190" s="106">
        <v>62.827475442358192</v>
      </c>
      <c r="AA190" s="106">
        <v>2.8421709430404007E-14</v>
      </c>
      <c r="AB190" s="106">
        <v>0</v>
      </c>
      <c r="AC190" s="106">
        <v>0</v>
      </c>
      <c r="AD190" s="106">
        <v>0</v>
      </c>
      <c r="AE190" s="106">
        <v>1.1768485717409192</v>
      </c>
      <c r="AF190" s="106">
        <v>0</v>
      </c>
      <c r="AG190" s="106">
        <v>0</v>
      </c>
      <c r="AH190" s="106">
        <v>10.176848571740919</v>
      </c>
      <c r="AI190" s="106">
        <v>0</v>
      </c>
      <c r="AJ190" s="106">
        <v>3.1768485717409192</v>
      </c>
      <c r="AK190" s="106">
        <v>0</v>
      </c>
      <c r="AL190" s="106">
        <v>0</v>
      </c>
      <c r="AM190" s="106">
        <v>0</v>
      </c>
      <c r="AN190" s="106">
        <v>29.176848571740919</v>
      </c>
      <c r="AO190" s="106">
        <v>0</v>
      </c>
      <c r="AP190" s="106">
        <v>106.29692972713543</v>
      </c>
      <c r="AQ190" s="106">
        <v>0</v>
      </c>
      <c r="AR190" s="106">
        <v>0</v>
      </c>
      <c r="AS190" s="106">
        <v>0</v>
      </c>
      <c r="AT190" s="106">
        <v>0</v>
      </c>
      <c r="AU190" s="106">
        <v>22.457037934328127</v>
      </c>
      <c r="AV190" s="106">
        <v>0</v>
      </c>
      <c r="AW190" s="106">
        <v>22.457037934328127</v>
      </c>
      <c r="AX190" s="106">
        <v>0</v>
      </c>
      <c r="AY190" s="106">
        <v>0</v>
      </c>
    </row>
    <row r="191" spans="1:51">
      <c r="A191" s="109"/>
      <c r="B191" s="120">
        <v>3</v>
      </c>
      <c r="C191" s="106">
        <v>0</v>
      </c>
      <c r="D191" s="106">
        <v>0</v>
      </c>
      <c r="E191" s="106">
        <v>0</v>
      </c>
      <c r="F191" s="106">
        <v>0</v>
      </c>
      <c r="G191" s="106">
        <v>0</v>
      </c>
      <c r="H191" s="106">
        <v>0</v>
      </c>
      <c r="I191" s="106">
        <v>0</v>
      </c>
      <c r="J191" s="106">
        <v>0</v>
      </c>
      <c r="K191" s="106">
        <v>0</v>
      </c>
      <c r="L191" s="106">
        <v>0</v>
      </c>
      <c r="M191" s="106">
        <v>0</v>
      </c>
      <c r="N191" s="106">
        <v>0</v>
      </c>
      <c r="O191" s="106">
        <v>0</v>
      </c>
      <c r="P191" s="106">
        <v>0</v>
      </c>
      <c r="Q191" s="106">
        <v>0</v>
      </c>
      <c r="R191" s="106">
        <v>0</v>
      </c>
      <c r="S191" s="106">
        <v>0</v>
      </c>
      <c r="T191" s="106">
        <v>6.4737782988763684</v>
      </c>
      <c r="U191" s="106">
        <v>0</v>
      </c>
      <c r="V191" s="106">
        <v>0</v>
      </c>
      <c r="W191" s="106">
        <v>106.29692972713543</v>
      </c>
      <c r="X191" s="106">
        <v>0</v>
      </c>
      <c r="Y191" s="106">
        <v>0</v>
      </c>
      <c r="Z191" s="106">
        <v>0</v>
      </c>
      <c r="AA191" s="106">
        <v>0</v>
      </c>
      <c r="AB191" s="106">
        <v>0</v>
      </c>
      <c r="AC191" s="106">
        <v>0</v>
      </c>
      <c r="AD191" s="106">
        <v>0</v>
      </c>
      <c r="AE191" s="106">
        <v>0</v>
      </c>
      <c r="AF191" s="106">
        <v>0</v>
      </c>
      <c r="AG191" s="106">
        <v>0</v>
      </c>
      <c r="AH191" s="106">
        <v>0</v>
      </c>
      <c r="AI191" s="106">
        <v>0</v>
      </c>
      <c r="AJ191" s="106">
        <v>0</v>
      </c>
      <c r="AK191" s="106">
        <v>0</v>
      </c>
      <c r="AL191" s="106">
        <v>0</v>
      </c>
      <c r="AM191" s="106">
        <v>0</v>
      </c>
      <c r="AN191" s="106">
        <v>0</v>
      </c>
      <c r="AO191" s="106">
        <v>0</v>
      </c>
      <c r="AP191" s="106">
        <v>0</v>
      </c>
      <c r="AQ191" s="106">
        <v>0</v>
      </c>
      <c r="AR191" s="106">
        <v>0</v>
      </c>
      <c r="AS191" s="106">
        <v>0</v>
      </c>
      <c r="AT191" s="106">
        <v>0</v>
      </c>
      <c r="AU191" s="106">
        <v>0</v>
      </c>
      <c r="AV191" s="106">
        <v>0</v>
      </c>
      <c r="AW191" s="106">
        <v>0</v>
      </c>
      <c r="AX191" s="106">
        <v>0</v>
      </c>
      <c r="AY191" s="106">
        <v>0</v>
      </c>
    </row>
    <row r="192" spans="1:51">
      <c r="A192" s="109"/>
      <c r="B192" s="120">
        <v>4</v>
      </c>
      <c r="C192" s="106">
        <v>0</v>
      </c>
      <c r="D192" s="106">
        <v>0</v>
      </c>
      <c r="E192" s="106">
        <v>0</v>
      </c>
      <c r="F192" s="106">
        <v>0</v>
      </c>
      <c r="G192" s="106">
        <v>0</v>
      </c>
      <c r="H192" s="106">
        <v>0</v>
      </c>
      <c r="I192" s="106">
        <v>0</v>
      </c>
      <c r="J192" s="106">
        <v>0</v>
      </c>
      <c r="K192" s="106">
        <v>0</v>
      </c>
      <c r="L192" s="106">
        <v>0</v>
      </c>
      <c r="M192" s="106">
        <v>0</v>
      </c>
      <c r="N192" s="106">
        <v>0</v>
      </c>
      <c r="O192" s="106">
        <v>0</v>
      </c>
      <c r="P192" s="106">
        <v>0</v>
      </c>
      <c r="Q192" s="106">
        <v>0</v>
      </c>
      <c r="R192" s="106">
        <v>0</v>
      </c>
      <c r="S192" s="106">
        <v>0</v>
      </c>
      <c r="T192" s="106">
        <v>0</v>
      </c>
      <c r="U192" s="106">
        <v>0</v>
      </c>
      <c r="V192" s="106">
        <v>0</v>
      </c>
      <c r="W192" s="106">
        <v>0</v>
      </c>
      <c r="X192" s="106">
        <v>0</v>
      </c>
      <c r="Y192" s="106">
        <v>0</v>
      </c>
      <c r="Z192" s="106">
        <v>0</v>
      </c>
      <c r="AA192" s="106">
        <v>0</v>
      </c>
      <c r="AB192" s="106">
        <v>0</v>
      </c>
      <c r="AC192" s="106">
        <v>0</v>
      </c>
      <c r="AD192" s="106">
        <v>0</v>
      </c>
      <c r="AE192" s="106">
        <v>0</v>
      </c>
      <c r="AF192" s="106">
        <v>0</v>
      </c>
      <c r="AG192" s="106">
        <v>0</v>
      </c>
      <c r="AH192" s="106">
        <v>0</v>
      </c>
      <c r="AI192" s="106">
        <v>0</v>
      </c>
      <c r="AJ192" s="106">
        <v>0</v>
      </c>
      <c r="AK192" s="106">
        <v>0</v>
      </c>
      <c r="AL192" s="106">
        <v>0</v>
      </c>
      <c r="AM192" s="106">
        <v>0</v>
      </c>
      <c r="AN192" s="106">
        <v>0</v>
      </c>
      <c r="AO192" s="106">
        <v>0</v>
      </c>
      <c r="AP192" s="106">
        <v>0</v>
      </c>
      <c r="AQ192" s="106">
        <v>0</v>
      </c>
      <c r="AR192" s="106">
        <v>0</v>
      </c>
      <c r="AS192" s="106">
        <v>0</v>
      </c>
      <c r="AT192" s="106">
        <v>0</v>
      </c>
      <c r="AU192" s="106">
        <v>0</v>
      </c>
      <c r="AV192" s="106">
        <v>0</v>
      </c>
      <c r="AW192" s="106">
        <v>0</v>
      </c>
      <c r="AX192" s="106">
        <v>0</v>
      </c>
      <c r="AY192" s="106">
        <v>0</v>
      </c>
    </row>
    <row r="193" spans="1:51">
      <c r="A193" s="109"/>
      <c r="B193" s="127">
        <v>5</v>
      </c>
      <c r="C193" s="106">
        <v>0</v>
      </c>
      <c r="D193" s="106">
        <v>0</v>
      </c>
      <c r="E193" s="106">
        <v>0</v>
      </c>
      <c r="F193" s="106">
        <v>0</v>
      </c>
      <c r="G193" s="106">
        <v>0</v>
      </c>
      <c r="H193" s="106">
        <v>0</v>
      </c>
      <c r="I193" s="106">
        <v>0</v>
      </c>
      <c r="J193" s="106">
        <v>0</v>
      </c>
      <c r="K193" s="106">
        <v>0</v>
      </c>
      <c r="L193" s="106">
        <v>0</v>
      </c>
      <c r="M193" s="106">
        <v>0</v>
      </c>
      <c r="N193" s="106">
        <v>0</v>
      </c>
      <c r="O193" s="106">
        <v>0</v>
      </c>
      <c r="P193" s="106">
        <v>0</v>
      </c>
      <c r="Q193" s="106">
        <v>0</v>
      </c>
      <c r="R193" s="106">
        <v>0</v>
      </c>
      <c r="S193" s="106">
        <v>0</v>
      </c>
      <c r="T193" s="106">
        <v>0</v>
      </c>
      <c r="U193" s="106">
        <v>0</v>
      </c>
      <c r="V193" s="106">
        <v>0</v>
      </c>
      <c r="W193" s="106">
        <v>0</v>
      </c>
      <c r="X193" s="106">
        <v>0</v>
      </c>
      <c r="Y193" s="106">
        <v>0</v>
      </c>
      <c r="Z193" s="106">
        <v>0</v>
      </c>
      <c r="AA193" s="106">
        <v>0</v>
      </c>
      <c r="AB193" s="106">
        <v>0</v>
      </c>
      <c r="AC193" s="106">
        <v>0</v>
      </c>
      <c r="AD193" s="106">
        <v>0</v>
      </c>
      <c r="AE193" s="106">
        <v>0</v>
      </c>
      <c r="AF193" s="106">
        <v>0</v>
      </c>
      <c r="AG193" s="106">
        <v>0</v>
      </c>
      <c r="AH193" s="106">
        <v>0</v>
      </c>
      <c r="AI193" s="106">
        <v>0</v>
      </c>
      <c r="AJ193" s="106">
        <v>0</v>
      </c>
      <c r="AK193" s="106">
        <v>0</v>
      </c>
      <c r="AL193" s="106">
        <v>0</v>
      </c>
      <c r="AM193" s="106">
        <v>0</v>
      </c>
      <c r="AN193" s="106">
        <v>0</v>
      </c>
      <c r="AO193" s="106">
        <v>0</v>
      </c>
      <c r="AP193" s="106">
        <v>0</v>
      </c>
      <c r="AQ193" s="106">
        <v>0</v>
      </c>
      <c r="AR193" s="106">
        <v>0</v>
      </c>
      <c r="AS193" s="106">
        <v>0</v>
      </c>
      <c r="AT193" s="106">
        <v>0</v>
      </c>
      <c r="AU193" s="106">
        <v>0</v>
      </c>
      <c r="AV193" s="106">
        <v>0</v>
      </c>
      <c r="AW193" s="106">
        <v>0</v>
      </c>
      <c r="AX193" s="106">
        <v>0</v>
      </c>
      <c r="AY193" s="106">
        <v>0</v>
      </c>
    </row>
    <row r="194" spans="1:51">
      <c r="A194" s="109"/>
      <c r="B194" s="127">
        <v>6</v>
      </c>
      <c r="C194" s="106">
        <v>0</v>
      </c>
      <c r="D194" s="106">
        <v>0</v>
      </c>
      <c r="E194" s="106">
        <v>0</v>
      </c>
      <c r="F194" s="106">
        <v>0</v>
      </c>
      <c r="G194" s="106">
        <v>0</v>
      </c>
      <c r="H194" s="106">
        <v>0</v>
      </c>
      <c r="I194" s="106">
        <v>0</v>
      </c>
      <c r="J194" s="106">
        <v>0</v>
      </c>
      <c r="K194" s="106">
        <v>0</v>
      </c>
      <c r="L194" s="106">
        <v>0</v>
      </c>
      <c r="M194" s="106">
        <v>0</v>
      </c>
      <c r="N194" s="106">
        <v>0</v>
      </c>
      <c r="O194" s="106">
        <v>0</v>
      </c>
      <c r="P194" s="106">
        <v>0</v>
      </c>
      <c r="Q194" s="106">
        <v>0</v>
      </c>
      <c r="R194" s="106">
        <v>0</v>
      </c>
      <c r="S194" s="106">
        <v>0</v>
      </c>
      <c r="T194" s="106">
        <v>0</v>
      </c>
      <c r="U194" s="106">
        <v>0</v>
      </c>
      <c r="V194" s="106">
        <v>0</v>
      </c>
      <c r="W194" s="106">
        <v>0</v>
      </c>
      <c r="X194" s="106">
        <v>0</v>
      </c>
      <c r="Y194" s="106">
        <v>0</v>
      </c>
      <c r="Z194" s="106">
        <v>0</v>
      </c>
      <c r="AA194" s="106">
        <v>0</v>
      </c>
      <c r="AB194" s="106">
        <v>0</v>
      </c>
      <c r="AC194" s="106">
        <v>0</v>
      </c>
      <c r="AD194" s="106">
        <v>0</v>
      </c>
      <c r="AE194" s="106">
        <v>0</v>
      </c>
      <c r="AF194" s="106">
        <v>0</v>
      </c>
      <c r="AG194" s="106">
        <v>0</v>
      </c>
      <c r="AH194" s="106">
        <v>0</v>
      </c>
      <c r="AI194" s="106">
        <v>0</v>
      </c>
      <c r="AJ194" s="106">
        <v>0</v>
      </c>
      <c r="AK194" s="106">
        <v>0</v>
      </c>
      <c r="AL194" s="106">
        <v>0</v>
      </c>
      <c r="AM194" s="106">
        <v>0</v>
      </c>
      <c r="AN194" s="106">
        <v>0</v>
      </c>
      <c r="AO194" s="106">
        <v>0</v>
      </c>
      <c r="AP194" s="106">
        <v>0</v>
      </c>
      <c r="AQ194" s="106">
        <v>0</v>
      </c>
      <c r="AR194" s="106">
        <v>0</v>
      </c>
      <c r="AS194" s="106">
        <v>0</v>
      </c>
      <c r="AT194" s="106">
        <v>0</v>
      </c>
      <c r="AU194" s="106">
        <v>0</v>
      </c>
      <c r="AV194" s="106">
        <v>0</v>
      </c>
      <c r="AW194" s="106">
        <v>0</v>
      </c>
      <c r="AX194" s="106">
        <v>0</v>
      </c>
      <c r="AY194" s="106">
        <v>0</v>
      </c>
    </row>
    <row r="195" spans="1:51">
      <c r="A195" s="109"/>
      <c r="B195" s="130">
        <v>7</v>
      </c>
      <c r="C195" s="106">
        <v>0</v>
      </c>
      <c r="D195" s="106">
        <v>0</v>
      </c>
      <c r="E195" s="106">
        <v>0</v>
      </c>
      <c r="F195" s="106">
        <v>0</v>
      </c>
      <c r="G195" s="106">
        <v>0</v>
      </c>
      <c r="H195" s="106">
        <v>0</v>
      </c>
      <c r="I195" s="106">
        <v>0</v>
      </c>
      <c r="J195" s="106">
        <v>0</v>
      </c>
      <c r="K195" s="106">
        <v>0</v>
      </c>
      <c r="L195" s="106">
        <v>0</v>
      </c>
      <c r="M195" s="106">
        <v>0</v>
      </c>
      <c r="N195" s="106">
        <v>0</v>
      </c>
      <c r="O195" s="106">
        <v>0</v>
      </c>
      <c r="P195" s="106">
        <v>0</v>
      </c>
      <c r="Q195" s="106">
        <v>0</v>
      </c>
      <c r="R195" s="106">
        <v>0</v>
      </c>
      <c r="S195" s="106">
        <v>0</v>
      </c>
      <c r="T195" s="106">
        <v>0</v>
      </c>
      <c r="U195" s="106">
        <v>0</v>
      </c>
      <c r="V195" s="106">
        <v>0</v>
      </c>
      <c r="W195" s="106">
        <v>0</v>
      </c>
      <c r="X195" s="106">
        <v>0</v>
      </c>
      <c r="Y195" s="106">
        <v>0</v>
      </c>
      <c r="Z195" s="106">
        <v>0</v>
      </c>
      <c r="AA195" s="106">
        <v>0</v>
      </c>
      <c r="AB195" s="106">
        <v>0</v>
      </c>
      <c r="AC195" s="106">
        <v>0</v>
      </c>
      <c r="AD195" s="106">
        <v>0</v>
      </c>
      <c r="AE195" s="106">
        <v>0</v>
      </c>
      <c r="AF195" s="106">
        <v>0</v>
      </c>
      <c r="AG195" s="106">
        <v>0</v>
      </c>
      <c r="AH195" s="106">
        <v>0</v>
      </c>
      <c r="AI195" s="106">
        <v>0</v>
      </c>
      <c r="AJ195" s="106">
        <v>0</v>
      </c>
      <c r="AK195" s="106">
        <v>0</v>
      </c>
      <c r="AL195" s="106">
        <v>0</v>
      </c>
      <c r="AM195" s="106">
        <v>0</v>
      </c>
      <c r="AN195" s="106">
        <v>0</v>
      </c>
      <c r="AO195" s="106">
        <v>0</v>
      </c>
      <c r="AP195" s="106">
        <v>0</v>
      </c>
      <c r="AQ195" s="106">
        <v>0</v>
      </c>
      <c r="AR195" s="106">
        <v>0</v>
      </c>
      <c r="AS195" s="106">
        <v>0</v>
      </c>
      <c r="AT195" s="106">
        <v>0</v>
      </c>
      <c r="AU195" s="106">
        <v>0</v>
      </c>
      <c r="AV195" s="106">
        <v>0</v>
      </c>
      <c r="AW195" s="106">
        <v>0</v>
      </c>
      <c r="AX195" s="106">
        <v>0</v>
      </c>
      <c r="AY195" s="106">
        <v>0</v>
      </c>
    </row>
    <row r="196" spans="1:51">
      <c r="A196" s="128"/>
      <c r="B196" s="129">
        <v>8</v>
      </c>
      <c r="C196" s="114">
        <v>0</v>
      </c>
      <c r="D196" s="114">
        <v>0</v>
      </c>
      <c r="E196" s="114">
        <v>0</v>
      </c>
      <c r="F196" s="114">
        <v>0</v>
      </c>
      <c r="G196" s="114">
        <v>0</v>
      </c>
      <c r="H196" s="114">
        <v>0</v>
      </c>
      <c r="I196" s="114">
        <v>0</v>
      </c>
      <c r="J196" s="114">
        <v>0</v>
      </c>
      <c r="K196" s="114">
        <v>0</v>
      </c>
      <c r="L196" s="114">
        <v>0</v>
      </c>
      <c r="M196" s="114">
        <v>0</v>
      </c>
      <c r="N196" s="114">
        <v>0</v>
      </c>
      <c r="O196" s="114">
        <v>0</v>
      </c>
      <c r="P196" s="114">
        <v>0</v>
      </c>
      <c r="Q196" s="114">
        <v>0</v>
      </c>
      <c r="R196" s="114">
        <v>0</v>
      </c>
      <c r="S196" s="114">
        <v>0</v>
      </c>
      <c r="T196" s="114">
        <v>0</v>
      </c>
      <c r="U196" s="114">
        <v>0</v>
      </c>
      <c r="V196" s="114">
        <v>0</v>
      </c>
      <c r="W196" s="114">
        <v>0</v>
      </c>
      <c r="X196" s="114">
        <v>0</v>
      </c>
      <c r="Y196" s="114">
        <v>0</v>
      </c>
      <c r="Z196" s="114">
        <v>0</v>
      </c>
      <c r="AA196" s="114">
        <v>0</v>
      </c>
      <c r="AB196" s="114">
        <v>0</v>
      </c>
      <c r="AC196" s="114">
        <v>0</v>
      </c>
      <c r="AD196" s="114">
        <v>0</v>
      </c>
      <c r="AE196" s="114">
        <v>0</v>
      </c>
      <c r="AF196" s="114">
        <v>0</v>
      </c>
      <c r="AG196" s="114">
        <v>0</v>
      </c>
      <c r="AH196" s="114">
        <v>0</v>
      </c>
      <c r="AI196" s="114">
        <v>0</v>
      </c>
      <c r="AJ196" s="114">
        <v>0</v>
      </c>
      <c r="AK196" s="114">
        <v>0</v>
      </c>
      <c r="AL196" s="114">
        <v>0</v>
      </c>
      <c r="AM196" s="114">
        <v>0</v>
      </c>
      <c r="AN196" s="114">
        <v>0</v>
      </c>
      <c r="AO196" s="114">
        <v>0</v>
      </c>
      <c r="AP196" s="114">
        <v>0</v>
      </c>
      <c r="AQ196" s="114">
        <v>0</v>
      </c>
      <c r="AR196" s="114">
        <v>0</v>
      </c>
      <c r="AS196" s="114">
        <v>0</v>
      </c>
      <c r="AT196" s="114">
        <v>0</v>
      </c>
      <c r="AU196" s="114">
        <v>0</v>
      </c>
      <c r="AV196" s="114">
        <v>0</v>
      </c>
      <c r="AW196" s="114">
        <v>0</v>
      </c>
      <c r="AX196" s="114">
        <v>0</v>
      </c>
      <c r="AY196" s="114">
        <v>0</v>
      </c>
    </row>
    <row r="197" spans="1:51">
      <c r="A197" s="131" t="s">
        <v>134</v>
      </c>
      <c r="B197" s="119">
        <v>1</v>
      </c>
      <c r="C197" s="106">
        <v>73.268295216049268</v>
      </c>
      <c r="D197" s="106">
        <v>70.197672252380869</v>
      </c>
      <c r="E197" s="106">
        <v>70.142896337390482</v>
      </c>
      <c r="F197" s="106">
        <v>66.89422921709216</v>
      </c>
      <c r="G197" s="106">
        <v>48.898275145606576</v>
      </c>
      <c r="H197" s="106">
        <v>76</v>
      </c>
      <c r="I197" s="106">
        <v>33.925828432659401</v>
      </c>
      <c r="J197" s="106">
        <v>41.986544302626555</v>
      </c>
      <c r="K197" s="106">
        <v>18.130761996574023</v>
      </c>
      <c r="L197" s="106">
        <v>19.502366611823859</v>
      </c>
      <c r="M197" s="106">
        <v>28.938480354836855</v>
      </c>
      <c r="N197" s="106">
        <v>43.925293181772716</v>
      </c>
      <c r="O197" s="106">
        <v>80.739167266178839</v>
      </c>
      <c r="P197" s="106">
        <v>73.552022612601377</v>
      </c>
      <c r="Q197" s="106">
        <v>65.728620195281096</v>
      </c>
      <c r="R197" s="106">
        <v>55.248262919150235</v>
      </c>
      <c r="S197" s="106">
        <v>62</v>
      </c>
      <c r="T197" s="106">
        <v>49.144217693947468</v>
      </c>
      <c r="U197" s="106">
        <v>31.592195081346091</v>
      </c>
      <c r="V197" s="106">
        <v>32.546239986921719</v>
      </c>
      <c r="W197" s="106">
        <v>71.303235752200919</v>
      </c>
      <c r="X197" s="106">
        <v>67.751213139599543</v>
      </c>
      <c r="Y197" s="106">
        <v>36.89543083354701</v>
      </c>
      <c r="Z197" s="106">
        <v>65.63561553326069</v>
      </c>
      <c r="AA197" s="106">
        <v>64.779392118864848</v>
      </c>
      <c r="AB197" s="106">
        <v>73.552022612601377</v>
      </c>
      <c r="AC197" s="106">
        <v>78.334791542932564</v>
      </c>
      <c r="AD197" s="106">
        <v>73.552022612601377</v>
      </c>
      <c r="AE197" s="106">
        <v>73.552022612601377</v>
      </c>
      <c r="AF197" s="106">
        <v>73.552022612601377</v>
      </c>
      <c r="AG197" s="106">
        <v>67</v>
      </c>
      <c r="AH197" s="106">
        <v>75.07548843837408</v>
      </c>
      <c r="AI197" s="106">
        <v>73.552022612601377</v>
      </c>
      <c r="AJ197" s="106">
        <v>76.940750382768542</v>
      </c>
      <c r="AK197" s="106">
        <v>73.552022612601377</v>
      </c>
      <c r="AL197" s="106">
        <v>73.552022612601377</v>
      </c>
      <c r="AM197" s="106">
        <v>73.552022612601377</v>
      </c>
      <c r="AN197" s="106">
        <v>73.552022612601377</v>
      </c>
      <c r="AO197" s="106">
        <v>73.552022612601377</v>
      </c>
      <c r="AP197" s="106">
        <v>55.248262919150235</v>
      </c>
      <c r="AQ197" s="106">
        <v>71.475629494843488</v>
      </c>
      <c r="AR197" s="106">
        <v>74.855165223396341</v>
      </c>
      <c r="AS197" s="106">
        <v>60.996822032896887</v>
      </c>
      <c r="AT197" s="106">
        <v>67.725753895524733</v>
      </c>
      <c r="AU197" s="106">
        <v>69.685041441726355</v>
      </c>
      <c r="AV197" s="106">
        <v>77.419003783476413</v>
      </c>
      <c r="AW197" s="106">
        <v>63.030842698478544</v>
      </c>
      <c r="AX197" s="106">
        <v>48.287660198093178</v>
      </c>
      <c r="AY197" s="106">
        <v>80</v>
      </c>
    </row>
    <row r="198" spans="1:51">
      <c r="A198" s="109"/>
      <c r="B198" s="119">
        <v>2</v>
      </c>
      <c r="C198" s="106">
        <v>0</v>
      </c>
      <c r="D198" s="106">
        <v>0</v>
      </c>
      <c r="E198" s="106">
        <v>0</v>
      </c>
      <c r="F198" s="106">
        <v>26.933184072971983</v>
      </c>
      <c r="G198" s="106">
        <v>29.015883780914407</v>
      </c>
      <c r="H198" s="106">
        <v>0</v>
      </c>
      <c r="I198" s="106">
        <v>23.074171567340599</v>
      </c>
      <c r="J198" s="106">
        <v>34.242613371251096</v>
      </c>
      <c r="K198" s="106">
        <v>49.869238003425977</v>
      </c>
      <c r="L198" s="106">
        <v>45.987693788595337</v>
      </c>
      <c r="M198" s="106">
        <v>72.353415694228673</v>
      </c>
      <c r="N198" s="106">
        <v>26.30978256431338</v>
      </c>
      <c r="O198" s="106">
        <v>18.799145538896575</v>
      </c>
      <c r="P198" s="106">
        <v>0</v>
      </c>
      <c r="Q198" s="106">
        <v>0</v>
      </c>
      <c r="R198" s="106">
        <v>7.8234024173202812</v>
      </c>
      <c r="S198" s="106">
        <v>0</v>
      </c>
      <c r="T198" s="106">
        <v>29.855782306052532</v>
      </c>
      <c r="U198" s="106">
        <v>24.407804918653909</v>
      </c>
      <c r="V198" s="106">
        <v>47.818883505387134</v>
      </c>
      <c r="W198" s="106">
        <v>23.696764247799074</v>
      </c>
      <c r="X198" s="106">
        <v>2.2487868604004575</v>
      </c>
      <c r="Y198" s="106">
        <v>24.10456916645299</v>
      </c>
      <c r="Z198" s="106">
        <v>36.656591779054366</v>
      </c>
      <c r="AA198" s="106">
        <v>7.9164070793406864</v>
      </c>
      <c r="AB198" s="106">
        <v>8.7726304937365285</v>
      </c>
      <c r="AC198" s="106">
        <v>0</v>
      </c>
      <c r="AD198" s="106">
        <v>0</v>
      </c>
      <c r="AE198" s="106">
        <v>0</v>
      </c>
      <c r="AF198" s="106">
        <v>0</v>
      </c>
      <c r="AG198" s="106">
        <v>0</v>
      </c>
      <c r="AH198" s="106">
        <v>6.5520226126013767</v>
      </c>
      <c r="AI198" s="106">
        <v>0</v>
      </c>
      <c r="AJ198" s="106">
        <v>0</v>
      </c>
      <c r="AK198" s="106">
        <v>0</v>
      </c>
      <c r="AL198" s="106">
        <v>0</v>
      </c>
      <c r="AM198" s="106">
        <v>0</v>
      </c>
      <c r="AN198" s="106">
        <v>0</v>
      </c>
      <c r="AO198" s="106">
        <v>0</v>
      </c>
      <c r="AP198" s="106">
        <v>0</v>
      </c>
      <c r="AQ198" s="106">
        <v>0</v>
      </c>
      <c r="AR198" s="106">
        <v>14.5538840941324</v>
      </c>
      <c r="AS198" s="106">
        <v>0</v>
      </c>
      <c r="AT198" s="106">
        <v>6.7289318626278458</v>
      </c>
      <c r="AU198" s="106">
        <v>0</v>
      </c>
      <c r="AV198" s="106">
        <v>0</v>
      </c>
      <c r="AW198" s="106">
        <v>0</v>
      </c>
      <c r="AX198" s="106">
        <v>6.6541987432478109</v>
      </c>
      <c r="AY198" s="106">
        <v>0</v>
      </c>
    </row>
    <row r="199" spans="1:51">
      <c r="A199" s="109"/>
      <c r="B199" s="119">
        <v>3</v>
      </c>
      <c r="C199" s="106">
        <v>0</v>
      </c>
      <c r="D199" s="106">
        <v>0</v>
      </c>
      <c r="E199" s="106">
        <v>0</v>
      </c>
      <c r="F199" s="106">
        <v>0</v>
      </c>
      <c r="G199" s="106">
        <v>0</v>
      </c>
      <c r="H199" s="106">
        <v>0</v>
      </c>
      <c r="I199" s="106">
        <v>0</v>
      </c>
      <c r="J199" s="106">
        <v>0</v>
      </c>
      <c r="K199" s="106">
        <v>0</v>
      </c>
      <c r="L199" s="106">
        <v>0</v>
      </c>
      <c r="M199" s="106">
        <v>0</v>
      </c>
      <c r="N199" s="106">
        <v>0</v>
      </c>
      <c r="O199" s="106">
        <v>0</v>
      </c>
      <c r="P199" s="106">
        <v>0</v>
      </c>
      <c r="Q199" s="106">
        <v>0</v>
      </c>
      <c r="R199" s="106">
        <v>0</v>
      </c>
      <c r="S199" s="106">
        <v>0</v>
      </c>
      <c r="T199" s="106">
        <v>0</v>
      </c>
      <c r="U199" s="106">
        <v>0</v>
      </c>
      <c r="V199" s="106">
        <v>0</v>
      </c>
      <c r="W199" s="106">
        <v>0</v>
      </c>
      <c r="X199" s="106">
        <v>0</v>
      </c>
      <c r="Y199" s="106">
        <v>0</v>
      </c>
      <c r="Z199" s="106">
        <v>0</v>
      </c>
      <c r="AA199" s="106">
        <v>0</v>
      </c>
      <c r="AB199" s="106">
        <v>0</v>
      </c>
      <c r="AC199" s="106">
        <v>0</v>
      </c>
      <c r="AD199" s="106">
        <v>0</v>
      </c>
      <c r="AE199" s="106">
        <v>0</v>
      </c>
      <c r="AF199" s="106">
        <v>0</v>
      </c>
      <c r="AG199" s="106">
        <v>0</v>
      </c>
      <c r="AH199" s="106">
        <v>0</v>
      </c>
      <c r="AI199" s="106">
        <v>0</v>
      </c>
      <c r="AJ199" s="106">
        <v>0</v>
      </c>
      <c r="AK199" s="106">
        <v>0</v>
      </c>
      <c r="AL199" s="106">
        <v>0</v>
      </c>
      <c r="AM199" s="106">
        <v>0</v>
      </c>
      <c r="AN199" s="106">
        <v>0</v>
      </c>
      <c r="AO199" s="106">
        <v>0</v>
      </c>
      <c r="AP199" s="106">
        <v>0</v>
      </c>
      <c r="AQ199" s="106">
        <v>0</v>
      </c>
      <c r="AR199" s="106">
        <v>0</v>
      </c>
      <c r="AS199" s="106">
        <v>0</v>
      </c>
      <c r="AT199" s="106">
        <v>0</v>
      </c>
      <c r="AU199" s="106">
        <v>0</v>
      </c>
      <c r="AV199" s="106">
        <v>0</v>
      </c>
      <c r="AW199" s="106">
        <v>0</v>
      </c>
      <c r="AX199" s="106">
        <v>0</v>
      </c>
      <c r="AY199" s="106">
        <v>0</v>
      </c>
    </row>
    <row r="200" spans="1:51">
      <c r="A200" s="109"/>
      <c r="B200" s="120">
        <v>4</v>
      </c>
      <c r="C200" s="106">
        <v>0</v>
      </c>
      <c r="D200" s="106">
        <v>0</v>
      </c>
      <c r="E200" s="106">
        <v>0</v>
      </c>
      <c r="F200" s="106">
        <v>0</v>
      </c>
      <c r="G200" s="106">
        <v>0</v>
      </c>
      <c r="H200" s="106">
        <v>0</v>
      </c>
      <c r="I200" s="106">
        <v>0</v>
      </c>
      <c r="J200" s="106">
        <v>0</v>
      </c>
      <c r="K200" s="106">
        <v>0</v>
      </c>
      <c r="L200" s="106">
        <v>0</v>
      </c>
      <c r="M200" s="106">
        <v>0</v>
      </c>
      <c r="N200" s="106">
        <v>0</v>
      </c>
      <c r="O200" s="106">
        <v>0</v>
      </c>
      <c r="P200" s="106">
        <v>0</v>
      </c>
      <c r="Q200" s="106">
        <v>0</v>
      </c>
      <c r="R200" s="106">
        <v>0</v>
      </c>
      <c r="S200" s="106">
        <v>0</v>
      </c>
      <c r="T200" s="106">
        <v>0</v>
      </c>
      <c r="U200" s="106">
        <v>0</v>
      </c>
      <c r="V200" s="106">
        <v>0</v>
      </c>
      <c r="W200" s="106">
        <v>0</v>
      </c>
      <c r="X200" s="106">
        <v>0</v>
      </c>
      <c r="Y200" s="106">
        <v>0</v>
      </c>
      <c r="Z200" s="106">
        <v>0</v>
      </c>
      <c r="AA200" s="106">
        <v>0</v>
      </c>
      <c r="AB200" s="106">
        <v>0</v>
      </c>
      <c r="AC200" s="106">
        <v>0</v>
      </c>
      <c r="AD200" s="106">
        <v>0</v>
      </c>
      <c r="AE200" s="106">
        <v>0</v>
      </c>
      <c r="AF200" s="106">
        <v>0</v>
      </c>
      <c r="AG200" s="106">
        <v>0</v>
      </c>
      <c r="AH200" s="106">
        <v>0</v>
      </c>
      <c r="AI200" s="106">
        <v>0</v>
      </c>
      <c r="AJ200" s="106">
        <v>0</v>
      </c>
      <c r="AK200" s="106">
        <v>0</v>
      </c>
      <c r="AL200" s="106">
        <v>0</v>
      </c>
      <c r="AM200" s="106">
        <v>0</v>
      </c>
      <c r="AN200" s="106">
        <v>0</v>
      </c>
      <c r="AO200" s="106">
        <v>0</v>
      </c>
      <c r="AP200" s="106">
        <v>0</v>
      </c>
      <c r="AQ200" s="106">
        <v>0</v>
      </c>
      <c r="AR200" s="106">
        <v>0</v>
      </c>
      <c r="AS200" s="106">
        <v>0</v>
      </c>
      <c r="AT200" s="106">
        <v>0</v>
      </c>
      <c r="AU200" s="106">
        <v>0</v>
      </c>
      <c r="AV200" s="106">
        <v>0</v>
      </c>
      <c r="AW200" s="106">
        <v>0</v>
      </c>
      <c r="AX200" s="106">
        <v>0</v>
      </c>
      <c r="AY200" s="106">
        <v>0</v>
      </c>
    </row>
    <row r="201" spans="1:51">
      <c r="A201" s="109"/>
      <c r="B201" s="120">
        <v>5</v>
      </c>
      <c r="C201" s="106">
        <v>0</v>
      </c>
      <c r="D201" s="106">
        <v>0</v>
      </c>
      <c r="E201" s="106">
        <v>0</v>
      </c>
      <c r="F201" s="106">
        <v>0</v>
      </c>
      <c r="G201" s="106">
        <v>0</v>
      </c>
      <c r="H201" s="106">
        <v>0</v>
      </c>
      <c r="I201" s="106">
        <v>0</v>
      </c>
      <c r="J201" s="106">
        <v>0</v>
      </c>
      <c r="K201" s="106">
        <v>0</v>
      </c>
      <c r="L201" s="106">
        <v>0</v>
      </c>
      <c r="M201" s="106">
        <v>0</v>
      </c>
      <c r="N201" s="106">
        <v>0</v>
      </c>
      <c r="O201" s="106">
        <v>0</v>
      </c>
      <c r="P201" s="106">
        <v>0</v>
      </c>
      <c r="Q201" s="106">
        <v>0</v>
      </c>
      <c r="R201" s="106">
        <v>0</v>
      </c>
      <c r="S201" s="106">
        <v>0</v>
      </c>
      <c r="T201" s="106">
        <v>0</v>
      </c>
      <c r="U201" s="106">
        <v>0</v>
      </c>
      <c r="V201" s="106">
        <v>0</v>
      </c>
      <c r="W201" s="106">
        <v>0</v>
      </c>
      <c r="X201" s="106">
        <v>0</v>
      </c>
      <c r="Y201" s="106">
        <v>0</v>
      </c>
      <c r="Z201" s="106">
        <v>0</v>
      </c>
      <c r="AA201" s="106">
        <v>0</v>
      </c>
      <c r="AB201" s="106">
        <v>0</v>
      </c>
      <c r="AC201" s="106">
        <v>0</v>
      </c>
      <c r="AD201" s="106">
        <v>0</v>
      </c>
      <c r="AE201" s="106">
        <v>0</v>
      </c>
      <c r="AF201" s="106">
        <v>0</v>
      </c>
      <c r="AG201" s="106">
        <v>0</v>
      </c>
      <c r="AH201" s="106">
        <v>0</v>
      </c>
      <c r="AI201" s="106">
        <v>0</v>
      </c>
      <c r="AJ201" s="106">
        <v>0</v>
      </c>
      <c r="AK201" s="106">
        <v>0</v>
      </c>
      <c r="AL201" s="106">
        <v>0</v>
      </c>
      <c r="AM201" s="106">
        <v>0</v>
      </c>
      <c r="AN201" s="106">
        <v>0</v>
      </c>
      <c r="AO201" s="106">
        <v>0</v>
      </c>
      <c r="AP201" s="106">
        <v>0</v>
      </c>
      <c r="AQ201" s="106">
        <v>0</v>
      </c>
      <c r="AR201" s="106">
        <v>0</v>
      </c>
      <c r="AS201" s="106">
        <v>0</v>
      </c>
      <c r="AT201" s="106">
        <v>0</v>
      </c>
      <c r="AU201" s="106">
        <v>0</v>
      </c>
      <c r="AV201" s="106">
        <v>0</v>
      </c>
      <c r="AW201" s="106">
        <v>0</v>
      </c>
      <c r="AX201" s="106">
        <v>0</v>
      </c>
      <c r="AY201" s="106">
        <v>0</v>
      </c>
    </row>
    <row r="202" spans="1:51">
      <c r="A202" s="109"/>
      <c r="B202" s="120">
        <v>6</v>
      </c>
      <c r="C202" s="106">
        <v>0</v>
      </c>
      <c r="D202" s="106">
        <v>0</v>
      </c>
      <c r="E202" s="106">
        <v>0</v>
      </c>
      <c r="F202" s="106">
        <v>0</v>
      </c>
      <c r="G202" s="106">
        <v>0</v>
      </c>
      <c r="H202" s="106">
        <v>0</v>
      </c>
      <c r="I202" s="106">
        <v>0</v>
      </c>
      <c r="J202" s="106">
        <v>0</v>
      </c>
      <c r="K202" s="106">
        <v>0</v>
      </c>
      <c r="L202" s="106">
        <v>0</v>
      </c>
      <c r="M202" s="106">
        <v>0</v>
      </c>
      <c r="N202" s="106">
        <v>0</v>
      </c>
      <c r="O202" s="106">
        <v>0</v>
      </c>
      <c r="P202" s="106">
        <v>0</v>
      </c>
      <c r="Q202" s="106">
        <v>0</v>
      </c>
      <c r="R202" s="106">
        <v>0</v>
      </c>
      <c r="S202" s="106">
        <v>0</v>
      </c>
      <c r="T202" s="106">
        <v>0</v>
      </c>
      <c r="U202" s="106">
        <v>0</v>
      </c>
      <c r="V202" s="106">
        <v>0</v>
      </c>
      <c r="W202" s="106">
        <v>0</v>
      </c>
      <c r="X202" s="106">
        <v>0</v>
      </c>
      <c r="Y202" s="106">
        <v>0</v>
      </c>
      <c r="Z202" s="106">
        <v>0</v>
      </c>
      <c r="AA202" s="106">
        <v>0</v>
      </c>
      <c r="AB202" s="106">
        <v>0</v>
      </c>
      <c r="AC202" s="106">
        <v>0</v>
      </c>
      <c r="AD202" s="106">
        <v>0</v>
      </c>
      <c r="AE202" s="106">
        <v>0</v>
      </c>
      <c r="AF202" s="106">
        <v>0</v>
      </c>
      <c r="AG202" s="106">
        <v>0</v>
      </c>
      <c r="AH202" s="106">
        <v>0</v>
      </c>
      <c r="AI202" s="106">
        <v>0</v>
      </c>
      <c r="AJ202" s="106">
        <v>0</v>
      </c>
      <c r="AK202" s="106">
        <v>0</v>
      </c>
      <c r="AL202" s="106">
        <v>0</v>
      </c>
      <c r="AM202" s="106">
        <v>0</v>
      </c>
      <c r="AN202" s="106">
        <v>0</v>
      </c>
      <c r="AO202" s="106">
        <v>0</v>
      </c>
      <c r="AP202" s="106">
        <v>0</v>
      </c>
      <c r="AQ202" s="106">
        <v>0</v>
      </c>
      <c r="AR202" s="106">
        <v>0</v>
      </c>
      <c r="AS202" s="106">
        <v>0</v>
      </c>
      <c r="AT202" s="106">
        <v>0</v>
      </c>
      <c r="AU202" s="106">
        <v>0</v>
      </c>
      <c r="AV202" s="106">
        <v>0</v>
      </c>
      <c r="AW202" s="106">
        <v>0</v>
      </c>
      <c r="AX202" s="106">
        <v>0</v>
      </c>
      <c r="AY202" s="106">
        <v>0</v>
      </c>
    </row>
    <row r="203" spans="1:51">
      <c r="A203" s="109"/>
      <c r="B203" s="127">
        <v>7</v>
      </c>
      <c r="C203" s="106">
        <v>0</v>
      </c>
      <c r="D203" s="106">
        <v>0</v>
      </c>
      <c r="E203" s="106">
        <v>0</v>
      </c>
      <c r="F203" s="106">
        <v>0</v>
      </c>
      <c r="G203" s="106">
        <v>0</v>
      </c>
      <c r="H203" s="106">
        <v>0</v>
      </c>
      <c r="I203" s="106">
        <v>0</v>
      </c>
      <c r="J203" s="106">
        <v>0</v>
      </c>
      <c r="K203" s="106">
        <v>0</v>
      </c>
      <c r="L203" s="106">
        <v>0</v>
      </c>
      <c r="M203" s="106">
        <v>0</v>
      </c>
      <c r="N203" s="106">
        <v>0</v>
      </c>
      <c r="O203" s="106">
        <v>0</v>
      </c>
      <c r="P203" s="106">
        <v>0</v>
      </c>
      <c r="Q203" s="106">
        <v>0</v>
      </c>
      <c r="R203" s="106">
        <v>0</v>
      </c>
      <c r="S203" s="106">
        <v>0</v>
      </c>
      <c r="T203" s="106">
        <v>0</v>
      </c>
      <c r="U203" s="106">
        <v>0</v>
      </c>
      <c r="V203" s="106">
        <v>0</v>
      </c>
      <c r="W203" s="106">
        <v>0</v>
      </c>
      <c r="X203" s="106">
        <v>0</v>
      </c>
      <c r="Y203" s="106">
        <v>0</v>
      </c>
      <c r="Z203" s="106">
        <v>0</v>
      </c>
      <c r="AA203" s="106">
        <v>0</v>
      </c>
      <c r="AB203" s="106">
        <v>0</v>
      </c>
      <c r="AC203" s="106">
        <v>0</v>
      </c>
      <c r="AD203" s="106">
        <v>0</v>
      </c>
      <c r="AE203" s="106">
        <v>0</v>
      </c>
      <c r="AF203" s="106">
        <v>0</v>
      </c>
      <c r="AG203" s="106">
        <v>0</v>
      </c>
      <c r="AH203" s="106">
        <v>0</v>
      </c>
      <c r="AI203" s="106">
        <v>0</v>
      </c>
      <c r="AJ203" s="106">
        <v>0</v>
      </c>
      <c r="AK203" s="106">
        <v>0</v>
      </c>
      <c r="AL203" s="106">
        <v>0</v>
      </c>
      <c r="AM203" s="106">
        <v>0</v>
      </c>
      <c r="AN203" s="106">
        <v>0</v>
      </c>
      <c r="AO203" s="106">
        <v>0</v>
      </c>
      <c r="AP203" s="106">
        <v>0</v>
      </c>
      <c r="AQ203" s="106">
        <v>0</v>
      </c>
      <c r="AR203" s="106">
        <v>0</v>
      </c>
      <c r="AS203" s="106">
        <v>0</v>
      </c>
      <c r="AT203" s="106">
        <v>0</v>
      </c>
      <c r="AU203" s="106">
        <v>0</v>
      </c>
      <c r="AV203" s="106">
        <v>0</v>
      </c>
      <c r="AW203" s="106">
        <v>0</v>
      </c>
      <c r="AX203" s="106">
        <v>0</v>
      </c>
      <c r="AY203" s="106">
        <v>0</v>
      </c>
    </row>
    <row r="204" spans="1:51">
      <c r="A204" s="109"/>
      <c r="B204" s="127">
        <v>8</v>
      </c>
      <c r="C204" s="106">
        <v>0</v>
      </c>
      <c r="D204" s="106">
        <v>0</v>
      </c>
      <c r="E204" s="106">
        <v>0</v>
      </c>
      <c r="F204" s="106">
        <v>0</v>
      </c>
      <c r="G204" s="106">
        <v>0</v>
      </c>
      <c r="H204" s="106">
        <v>0</v>
      </c>
      <c r="I204" s="106">
        <v>0</v>
      </c>
      <c r="J204" s="106">
        <v>0</v>
      </c>
      <c r="K204" s="106">
        <v>0</v>
      </c>
      <c r="L204" s="106">
        <v>0</v>
      </c>
      <c r="M204" s="106">
        <v>0</v>
      </c>
      <c r="N204" s="106">
        <v>0</v>
      </c>
      <c r="O204" s="106">
        <v>0</v>
      </c>
      <c r="P204" s="106">
        <v>0</v>
      </c>
      <c r="Q204" s="106">
        <v>0</v>
      </c>
      <c r="R204" s="106">
        <v>0</v>
      </c>
      <c r="S204" s="106">
        <v>0</v>
      </c>
      <c r="T204" s="106">
        <v>0</v>
      </c>
      <c r="U204" s="106">
        <v>0</v>
      </c>
      <c r="V204" s="106">
        <v>0</v>
      </c>
      <c r="W204" s="106">
        <v>0</v>
      </c>
      <c r="X204" s="106">
        <v>0</v>
      </c>
      <c r="Y204" s="106">
        <v>0</v>
      </c>
      <c r="Z204" s="106">
        <v>0</v>
      </c>
      <c r="AA204" s="106">
        <v>0</v>
      </c>
      <c r="AB204" s="106">
        <v>0</v>
      </c>
      <c r="AC204" s="106">
        <v>0</v>
      </c>
      <c r="AD204" s="106">
        <v>0</v>
      </c>
      <c r="AE204" s="106">
        <v>0</v>
      </c>
      <c r="AF204" s="106">
        <v>0</v>
      </c>
      <c r="AG204" s="106">
        <v>0</v>
      </c>
      <c r="AH204" s="106">
        <v>0</v>
      </c>
      <c r="AI204" s="106">
        <v>0</v>
      </c>
      <c r="AJ204" s="106">
        <v>0</v>
      </c>
      <c r="AK204" s="106">
        <v>0</v>
      </c>
      <c r="AL204" s="106">
        <v>0</v>
      </c>
      <c r="AM204" s="106">
        <v>0</v>
      </c>
      <c r="AN204" s="106">
        <v>0</v>
      </c>
      <c r="AO204" s="106">
        <v>0</v>
      </c>
      <c r="AP204" s="106">
        <v>0</v>
      </c>
      <c r="AQ204" s="106">
        <v>0</v>
      </c>
      <c r="AR204" s="106">
        <v>0</v>
      </c>
      <c r="AS204" s="106">
        <v>0</v>
      </c>
      <c r="AT204" s="106">
        <v>0</v>
      </c>
      <c r="AU204" s="106">
        <v>0</v>
      </c>
      <c r="AV204" s="106">
        <v>0</v>
      </c>
      <c r="AW204" s="106">
        <v>0</v>
      </c>
      <c r="AX204" s="106">
        <v>0</v>
      </c>
      <c r="AY204" s="106">
        <v>0</v>
      </c>
    </row>
    <row r="205" spans="1:51">
      <c r="A205" s="109"/>
      <c r="B205" s="127">
        <v>9</v>
      </c>
      <c r="C205" s="106">
        <v>0</v>
      </c>
      <c r="D205" s="106">
        <v>0</v>
      </c>
      <c r="E205" s="106">
        <v>0</v>
      </c>
      <c r="F205" s="106">
        <v>0</v>
      </c>
      <c r="G205" s="106">
        <v>0</v>
      </c>
      <c r="H205" s="106">
        <v>0</v>
      </c>
      <c r="I205" s="106">
        <v>0</v>
      </c>
      <c r="J205" s="106">
        <v>0</v>
      </c>
      <c r="K205" s="106">
        <v>0</v>
      </c>
      <c r="L205" s="106">
        <v>0</v>
      </c>
      <c r="M205" s="106">
        <v>0</v>
      </c>
      <c r="N205" s="106">
        <v>0</v>
      </c>
      <c r="O205" s="106">
        <v>0</v>
      </c>
      <c r="P205" s="106">
        <v>0</v>
      </c>
      <c r="Q205" s="106">
        <v>0</v>
      </c>
      <c r="R205" s="106">
        <v>0</v>
      </c>
      <c r="S205" s="106">
        <v>0</v>
      </c>
      <c r="T205" s="106">
        <v>0</v>
      </c>
      <c r="U205" s="106">
        <v>0</v>
      </c>
      <c r="V205" s="106">
        <v>0</v>
      </c>
      <c r="W205" s="106">
        <v>0</v>
      </c>
      <c r="X205" s="106">
        <v>0</v>
      </c>
      <c r="Y205" s="106">
        <v>0</v>
      </c>
      <c r="Z205" s="106">
        <v>0</v>
      </c>
      <c r="AA205" s="106">
        <v>0</v>
      </c>
      <c r="AB205" s="106">
        <v>0</v>
      </c>
      <c r="AC205" s="106">
        <v>0</v>
      </c>
      <c r="AD205" s="106">
        <v>0</v>
      </c>
      <c r="AE205" s="106">
        <v>0</v>
      </c>
      <c r="AF205" s="106">
        <v>0</v>
      </c>
      <c r="AG205" s="106">
        <v>0</v>
      </c>
      <c r="AH205" s="106">
        <v>0</v>
      </c>
      <c r="AI205" s="106">
        <v>0</v>
      </c>
      <c r="AJ205" s="106">
        <v>0</v>
      </c>
      <c r="AK205" s="106">
        <v>0</v>
      </c>
      <c r="AL205" s="106">
        <v>0</v>
      </c>
      <c r="AM205" s="106">
        <v>0</v>
      </c>
      <c r="AN205" s="106">
        <v>0</v>
      </c>
      <c r="AO205" s="106">
        <v>0</v>
      </c>
      <c r="AP205" s="106">
        <v>0</v>
      </c>
      <c r="AQ205" s="106">
        <v>0</v>
      </c>
      <c r="AR205" s="106">
        <v>0</v>
      </c>
      <c r="AS205" s="106">
        <v>0</v>
      </c>
      <c r="AT205" s="106">
        <v>0</v>
      </c>
      <c r="AU205" s="106">
        <v>0</v>
      </c>
      <c r="AV205" s="106">
        <v>0</v>
      </c>
      <c r="AW205" s="106">
        <v>0</v>
      </c>
      <c r="AX205" s="106">
        <v>0</v>
      </c>
      <c r="AY205" s="106">
        <v>0</v>
      </c>
    </row>
    <row r="206" spans="1:51">
      <c r="A206" s="109"/>
      <c r="B206" s="130">
        <v>10</v>
      </c>
      <c r="C206" s="106">
        <v>0</v>
      </c>
      <c r="D206" s="106">
        <v>0</v>
      </c>
      <c r="E206" s="106">
        <v>0</v>
      </c>
      <c r="F206" s="106">
        <v>0</v>
      </c>
      <c r="G206" s="106">
        <v>0</v>
      </c>
      <c r="H206" s="106">
        <v>0</v>
      </c>
      <c r="I206" s="106">
        <v>0</v>
      </c>
      <c r="J206" s="106">
        <v>0</v>
      </c>
      <c r="K206" s="106">
        <v>0</v>
      </c>
      <c r="L206" s="106">
        <v>0</v>
      </c>
      <c r="M206" s="106">
        <v>0</v>
      </c>
      <c r="N206" s="106">
        <v>0</v>
      </c>
      <c r="O206" s="106">
        <v>0</v>
      </c>
      <c r="P206" s="106">
        <v>0</v>
      </c>
      <c r="Q206" s="106">
        <v>0</v>
      </c>
      <c r="R206" s="106">
        <v>0</v>
      </c>
      <c r="S206" s="106">
        <v>0</v>
      </c>
      <c r="T206" s="106">
        <v>0</v>
      </c>
      <c r="U206" s="106">
        <v>0</v>
      </c>
      <c r="V206" s="106">
        <v>0</v>
      </c>
      <c r="W206" s="106">
        <v>0</v>
      </c>
      <c r="X206" s="106">
        <v>0</v>
      </c>
      <c r="Y206" s="106">
        <v>0</v>
      </c>
      <c r="Z206" s="106">
        <v>0</v>
      </c>
      <c r="AA206" s="106">
        <v>0</v>
      </c>
      <c r="AB206" s="106">
        <v>0</v>
      </c>
      <c r="AC206" s="106">
        <v>0</v>
      </c>
      <c r="AD206" s="106">
        <v>0</v>
      </c>
      <c r="AE206" s="106">
        <v>0</v>
      </c>
      <c r="AF206" s="106">
        <v>0</v>
      </c>
      <c r="AG206" s="106">
        <v>0</v>
      </c>
      <c r="AH206" s="106">
        <v>0</v>
      </c>
      <c r="AI206" s="106">
        <v>0</v>
      </c>
      <c r="AJ206" s="106">
        <v>0</v>
      </c>
      <c r="AK206" s="106">
        <v>0</v>
      </c>
      <c r="AL206" s="106">
        <v>0</v>
      </c>
      <c r="AM206" s="106">
        <v>0</v>
      </c>
      <c r="AN206" s="106">
        <v>0</v>
      </c>
      <c r="AO206" s="106">
        <v>0</v>
      </c>
      <c r="AP206" s="106">
        <v>0</v>
      </c>
      <c r="AQ206" s="106">
        <v>0</v>
      </c>
      <c r="AR206" s="106">
        <v>0</v>
      </c>
      <c r="AS206" s="106">
        <v>0</v>
      </c>
      <c r="AT206" s="106">
        <v>0</v>
      </c>
      <c r="AU206" s="106">
        <v>0</v>
      </c>
      <c r="AV206" s="106">
        <v>0</v>
      </c>
      <c r="AW206" s="106">
        <v>0</v>
      </c>
      <c r="AX206" s="106">
        <v>0</v>
      </c>
      <c r="AY206" s="106">
        <v>0</v>
      </c>
    </row>
    <row r="207" spans="1:51">
      <c r="A207" s="109"/>
      <c r="B207" s="130">
        <v>11</v>
      </c>
      <c r="C207" s="106">
        <v>0</v>
      </c>
      <c r="D207" s="106">
        <v>0</v>
      </c>
      <c r="E207" s="106">
        <v>0</v>
      </c>
      <c r="F207" s="106">
        <v>0</v>
      </c>
      <c r="G207" s="106">
        <v>0</v>
      </c>
      <c r="H207" s="106">
        <v>0</v>
      </c>
      <c r="I207" s="106">
        <v>0</v>
      </c>
      <c r="J207" s="106">
        <v>0</v>
      </c>
      <c r="K207" s="106">
        <v>0</v>
      </c>
      <c r="L207" s="106">
        <v>0</v>
      </c>
      <c r="M207" s="106">
        <v>0</v>
      </c>
      <c r="N207" s="106">
        <v>0</v>
      </c>
      <c r="O207" s="106">
        <v>0</v>
      </c>
      <c r="P207" s="106">
        <v>0</v>
      </c>
      <c r="Q207" s="106">
        <v>0</v>
      </c>
      <c r="R207" s="106">
        <v>0</v>
      </c>
      <c r="S207" s="106">
        <v>0</v>
      </c>
      <c r="T207" s="106">
        <v>0</v>
      </c>
      <c r="U207" s="106">
        <v>0</v>
      </c>
      <c r="V207" s="106">
        <v>0</v>
      </c>
      <c r="W207" s="106">
        <v>0</v>
      </c>
      <c r="X207" s="106">
        <v>0</v>
      </c>
      <c r="Y207" s="106">
        <v>0</v>
      </c>
      <c r="Z207" s="106">
        <v>0</v>
      </c>
      <c r="AA207" s="106">
        <v>0</v>
      </c>
      <c r="AB207" s="106">
        <v>0</v>
      </c>
      <c r="AC207" s="106">
        <v>0</v>
      </c>
      <c r="AD207" s="106">
        <v>0</v>
      </c>
      <c r="AE207" s="106">
        <v>0</v>
      </c>
      <c r="AF207" s="106">
        <v>0</v>
      </c>
      <c r="AG207" s="106">
        <v>0</v>
      </c>
      <c r="AH207" s="106">
        <v>0</v>
      </c>
      <c r="AI207" s="106">
        <v>0</v>
      </c>
      <c r="AJ207" s="106">
        <v>0</v>
      </c>
      <c r="AK207" s="106">
        <v>0</v>
      </c>
      <c r="AL207" s="106">
        <v>0</v>
      </c>
      <c r="AM207" s="106">
        <v>0</v>
      </c>
      <c r="AN207" s="106">
        <v>0</v>
      </c>
      <c r="AO207" s="106">
        <v>0</v>
      </c>
      <c r="AP207" s="106">
        <v>0</v>
      </c>
      <c r="AQ207" s="106">
        <v>0</v>
      </c>
      <c r="AR207" s="106">
        <v>0</v>
      </c>
      <c r="AS207" s="106">
        <v>0</v>
      </c>
      <c r="AT207" s="106">
        <v>0</v>
      </c>
      <c r="AU207" s="106">
        <v>0</v>
      </c>
      <c r="AV207" s="106">
        <v>0</v>
      </c>
      <c r="AW207" s="106">
        <v>0</v>
      </c>
      <c r="AX207" s="106">
        <v>0</v>
      </c>
      <c r="AY207" s="106">
        <v>0</v>
      </c>
    </row>
    <row r="208" spans="1:51">
      <c r="A208" s="109"/>
      <c r="B208" s="130">
        <v>12</v>
      </c>
      <c r="C208" s="106">
        <v>0</v>
      </c>
      <c r="D208" s="106">
        <v>0</v>
      </c>
      <c r="E208" s="106">
        <v>0</v>
      </c>
      <c r="F208" s="106">
        <v>0</v>
      </c>
      <c r="G208" s="106">
        <v>0</v>
      </c>
      <c r="H208" s="106">
        <v>0</v>
      </c>
      <c r="I208" s="106">
        <v>0</v>
      </c>
      <c r="J208" s="106">
        <v>0</v>
      </c>
      <c r="K208" s="106">
        <v>0</v>
      </c>
      <c r="L208" s="106">
        <v>0</v>
      </c>
      <c r="M208" s="106">
        <v>0</v>
      </c>
      <c r="N208" s="106">
        <v>0</v>
      </c>
      <c r="O208" s="106">
        <v>0</v>
      </c>
      <c r="P208" s="106">
        <v>0</v>
      </c>
      <c r="Q208" s="106">
        <v>0</v>
      </c>
      <c r="R208" s="106">
        <v>0</v>
      </c>
      <c r="S208" s="106">
        <v>0</v>
      </c>
      <c r="T208" s="106">
        <v>0</v>
      </c>
      <c r="U208" s="106">
        <v>0</v>
      </c>
      <c r="V208" s="106">
        <v>0</v>
      </c>
      <c r="W208" s="106">
        <v>0</v>
      </c>
      <c r="X208" s="106">
        <v>0</v>
      </c>
      <c r="Y208" s="106">
        <v>0</v>
      </c>
      <c r="Z208" s="106">
        <v>0</v>
      </c>
      <c r="AA208" s="106">
        <v>0</v>
      </c>
      <c r="AB208" s="106">
        <v>0</v>
      </c>
      <c r="AC208" s="106">
        <v>0</v>
      </c>
      <c r="AD208" s="106">
        <v>0</v>
      </c>
      <c r="AE208" s="106">
        <v>0</v>
      </c>
      <c r="AF208" s="106">
        <v>0</v>
      </c>
      <c r="AG208" s="106">
        <v>0</v>
      </c>
      <c r="AH208" s="106">
        <v>0</v>
      </c>
      <c r="AI208" s="106">
        <v>0</v>
      </c>
      <c r="AJ208" s="106">
        <v>0</v>
      </c>
      <c r="AK208" s="106">
        <v>0</v>
      </c>
      <c r="AL208" s="106">
        <v>0</v>
      </c>
      <c r="AM208" s="106">
        <v>0</v>
      </c>
      <c r="AN208" s="106">
        <v>0</v>
      </c>
      <c r="AO208" s="106">
        <v>0</v>
      </c>
      <c r="AP208" s="106">
        <v>0</v>
      </c>
      <c r="AQ208" s="106">
        <v>0</v>
      </c>
      <c r="AR208" s="106">
        <v>0</v>
      </c>
      <c r="AS208" s="106">
        <v>0</v>
      </c>
      <c r="AT208" s="106">
        <v>0</v>
      </c>
      <c r="AU208" s="106">
        <v>0</v>
      </c>
      <c r="AV208" s="106">
        <v>0</v>
      </c>
      <c r="AW208" s="106">
        <v>0</v>
      </c>
      <c r="AX208" s="106">
        <v>0</v>
      </c>
      <c r="AY208" s="106">
        <v>0</v>
      </c>
    </row>
    <row r="209" spans="1:51">
      <c r="A209" s="126" t="s">
        <v>123</v>
      </c>
      <c r="B209" s="123">
        <v>1</v>
      </c>
      <c r="C209" s="124">
        <v>108.49562099706367</v>
      </c>
      <c r="D209" s="124">
        <v>108.07346372574983</v>
      </c>
      <c r="E209" s="124">
        <v>119.3148495370221</v>
      </c>
      <c r="F209" s="124">
        <v>72.27157904712675</v>
      </c>
      <c r="G209" s="124">
        <v>78.313854291431696</v>
      </c>
      <c r="H209" s="124">
        <v>83.133243889435036</v>
      </c>
      <c r="I209" s="124">
        <v>88.457940968821873</v>
      </c>
      <c r="J209" s="124">
        <v>83.133243889435036</v>
      </c>
      <c r="K209" s="124">
        <v>110.67530292061315</v>
      </c>
      <c r="L209" s="124">
        <v>83.133243889435036</v>
      </c>
      <c r="M209" s="124">
        <v>66.840746625972585</v>
      </c>
      <c r="N209" s="124">
        <v>121.48995333285987</v>
      </c>
      <c r="O209" s="124">
        <v>110.67530292061315</v>
      </c>
      <c r="P209" s="124">
        <v>110.67530292061315</v>
      </c>
      <c r="Q209" s="124">
        <v>83.133243889435036</v>
      </c>
      <c r="R209" s="124">
        <v>110.67530292061315</v>
      </c>
      <c r="S209" s="124">
        <v>96</v>
      </c>
      <c r="T209" s="124">
        <v>108.1837530535187</v>
      </c>
      <c r="U209" s="124">
        <v>83.133243889435036</v>
      </c>
      <c r="V209" s="124">
        <v>110.67530292061315</v>
      </c>
      <c r="W209" s="124">
        <v>110.67530292061315</v>
      </c>
      <c r="X209" s="124">
        <v>110.67530292061315</v>
      </c>
      <c r="Y209" s="124">
        <v>110.67530292061315</v>
      </c>
      <c r="Z209" s="124">
        <v>110.67530292061315</v>
      </c>
      <c r="AA209" s="124">
        <v>98.695799198205535</v>
      </c>
      <c r="AB209" s="124">
        <v>110.67530292061315</v>
      </c>
      <c r="AC209" s="124">
        <v>110.67530292061315</v>
      </c>
      <c r="AD209" s="124">
        <v>110.67530292061315</v>
      </c>
      <c r="AE209" s="124">
        <v>110.67530292061315</v>
      </c>
      <c r="AF209" s="124">
        <v>106.85944545464498</v>
      </c>
      <c r="AG209" s="124">
        <v>110.67530292061315</v>
      </c>
      <c r="AH209" s="124">
        <v>102.18748393368739</v>
      </c>
      <c r="AI209" s="124">
        <v>110.67530292061315</v>
      </c>
      <c r="AJ209" s="124">
        <v>110.67530292061315</v>
      </c>
      <c r="AK209" s="124">
        <v>110.67530292061315</v>
      </c>
      <c r="AL209" s="124">
        <v>110.67530292061315</v>
      </c>
      <c r="AM209" s="124">
        <v>110.67530292061315</v>
      </c>
      <c r="AN209" s="124">
        <v>110.67530292061315</v>
      </c>
      <c r="AO209" s="124">
        <v>83.133243889435036</v>
      </c>
      <c r="AP209" s="124">
        <v>84.051202492627937</v>
      </c>
      <c r="AQ209" s="124">
        <v>101.90839166168504</v>
      </c>
      <c r="AR209" s="124">
        <v>101.90839166168504</v>
      </c>
      <c r="AS209" s="124">
        <v>101.90839166168504</v>
      </c>
      <c r="AT209" s="124">
        <v>104.85657357405162</v>
      </c>
      <c r="AU209" s="124">
        <v>110.67530292061315</v>
      </c>
      <c r="AV209" s="124">
        <v>104.85657357405162</v>
      </c>
      <c r="AW209" s="124">
        <v>66.840746625972599</v>
      </c>
      <c r="AX209" s="124">
        <v>121.48995333285987</v>
      </c>
      <c r="AY209" s="124">
        <v>110.67530292061315</v>
      </c>
    </row>
    <row r="210" spans="1:51">
      <c r="A210" s="109"/>
      <c r="B210" s="119">
        <v>2</v>
      </c>
      <c r="C210" s="106">
        <v>0</v>
      </c>
      <c r="D210" s="110">
        <v>0</v>
      </c>
      <c r="E210" s="110">
        <v>22.828046800368387</v>
      </c>
      <c r="F210" s="110">
        <v>1.306702308093374</v>
      </c>
      <c r="G210" s="110">
        <v>38.403723873486427</v>
      </c>
      <c r="H210" s="110">
        <v>19.441269744421199</v>
      </c>
      <c r="I210" s="110">
        <v>27.542059031178123</v>
      </c>
      <c r="J210" s="110">
        <v>13.347169085772157</v>
      </c>
      <c r="K210" s="110">
        <v>27.542059031178123</v>
      </c>
      <c r="L210" s="110">
        <v>0</v>
      </c>
      <c r="M210" s="110">
        <v>27.542059031178123</v>
      </c>
      <c r="N210" s="110">
        <v>8.5372278287904992E-15</v>
      </c>
      <c r="O210" s="110">
        <v>0</v>
      </c>
      <c r="P210" s="110">
        <v>0</v>
      </c>
      <c r="Q210" s="110">
        <v>0</v>
      </c>
      <c r="R210" s="110">
        <v>27.542059031178123</v>
      </c>
      <c r="S210" s="110">
        <v>0</v>
      </c>
      <c r="T210" s="110">
        <v>8.8162469464813018</v>
      </c>
      <c r="U210" s="110">
        <v>1.4968085515238931</v>
      </c>
      <c r="V210" s="110">
        <v>0</v>
      </c>
      <c r="W210" s="110">
        <v>0</v>
      </c>
      <c r="X210" s="110">
        <v>0</v>
      </c>
      <c r="Y210" s="110">
        <v>0</v>
      </c>
      <c r="Z210" s="110">
        <v>0</v>
      </c>
      <c r="AA210" s="110">
        <v>0</v>
      </c>
      <c r="AB210" s="110">
        <v>7.1967347920764304</v>
      </c>
      <c r="AC210" s="110">
        <v>0</v>
      </c>
      <c r="AD210" s="110">
        <v>0</v>
      </c>
      <c r="AE210" s="110">
        <v>0</v>
      </c>
      <c r="AF210" s="110">
        <v>0</v>
      </c>
      <c r="AG210" s="110">
        <v>2.2923916401954672</v>
      </c>
      <c r="AH210" s="110">
        <v>0</v>
      </c>
      <c r="AI210" s="110">
        <v>5.0990912167585929</v>
      </c>
      <c r="AJ210" s="110">
        <v>0</v>
      </c>
      <c r="AK210" s="110">
        <v>0</v>
      </c>
      <c r="AL210" s="110">
        <v>0</v>
      </c>
      <c r="AM210" s="110">
        <v>0</v>
      </c>
      <c r="AN210" s="110">
        <v>0</v>
      </c>
      <c r="AO210" s="110">
        <v>0</v>
      </c>
      <c r="AP210" s="110">
        <v>27.542059031178123</v>
      </c>
      <c r="AQ210" s="110">
        <v>10.727777841185507</v>
      </c>
      <c r="AR210" s="110">
        <v>0</v>
      </c>
      <c r="AS210" s="110">
        <v>0</v>
      </c>
      <c r="AT210" s="110">
        <v>0</v>
      </c>
      <c r="AU210" s="110">
        <v>5.8187293465615335</v>
      </c>
      <c r="AV210" s="110">
        <v>0</v>
      </c>
      <c r="AW210" s="110">
        <v>5.8187293465615335</v>
      </c>
      <c r="AX210" s="110">
        <v>0</v>
      </c>
      <c r="AY210" s="110">
        <v>0</v>
      </c>
    </row>
    <row r="211" spans="1:51">
      <c r="A211" s="109"/>
      <c r="B211" s="119">
        <v>3</v>
      </c>
      <c r="C211" s="106">
        <v>0</v>
      </c>
      <c r="D211" s="110">
        <v>0</v>
      </c>
      <c r="E211" s="110">
        <v>0</v>
      </c>
      <c r="F211" s="110">
        <v>0</v>
      </c>
      <c r="G211" s="110">
        <v>0</v>
      </c>
      <c r="H211" s="110">
        <v>0</v>
      </c>
      <c r="I211" s="110">
        <v>0</v>
      </c>
      <c r="J211" s="110">
        <v>0</v>
      </c>
      <c r="K211" s="110">
        <v>0</v>
      </c>
      <c r="L211" s="110">
        <v>0</v>
      </c>
      <c r="M211" s="110">
        <v>0</v>
      </c>
      <c r="N211" s="110">
        <v>0</v>
      </c>
      <c r="O211" s="110">
        <v>0</v>
      </c>
      <c r="P211" s="110">
        <v>0</v>
      </c>
      <c r="Q211" s="110">
        <v>0</v>
      </c>
      <c r="R211" s="110">
        <v>0</v>
      </c>
      <c r="S211" s="110">
        <v>0</v>
      </c>
      <c r="T211" s="110">
        <v>0</v>
      </c>
      <c r="U211" s="110">
        <v>0</v>
      </c>
      <c r="V211" s="110">
        <v>0</v>
      </c>
      <c r="W211" s="110">
        <v>27.542059031178123</v>
      </c>
      <c r="X211" s="110">
        <v>0</v>
      </c>
      <c r="Y211" s="110">
        <v>0</v>
      </c>
      <c r="Z211" s="110">
        <v>0</v>
      </c>
      <c r="AA211" s="110">
        <v>0</v>
      </c>
      <c r="AB211" s="110">
        <v>0</v>
      </c>
      <c r="AC211" s="110">
        <v>0</v>
      </c>
      <c r="AD211" s="110">
        <v>0</v>
      </c>
      <c r="AE211" s="110">
        <v>0</v>
      </c>
      <c r="AF211" s="110">
        <v>0</v>
      </c>
      <c r="AG211" s="110">
        <v>0</v>
      </c>
      <c r="AH211" s="110">
        <v>0</v>
      </c>
      <c r="AI211" s="110">
        <v>0</v>
      </c>
      <c r="AJ211" s="110">
        <v>0</v>
      </c>
      <c r="AK211" s="110">
        <v>0</v>
      </c>
      <c r="AL211" s="110">
        <v>0</v>
      </c>
      <c r="AM211" s="110">
        <v>0</v>
      </c>
      <c r="AN211" s="110">
        <v>0</v>
      </c>
      <c r="AO211" s="110">
        <v>0</v>
      </c>
      <c r="AP211" s="110">
        <v>0</v>
      </c>
      <c r="AQ211" s="110">
        <v>0</v>
      </c>
      <c r="AR211" s="110">
        <v>0</v>
      </c>
      <c r="AS211" s="110">
        <v>0</v>
      </c>
      <c r="AT211" s="110">
        <v>0</v>
      </c>
      <c r="AU211" s="110">
        <v>0</v>
      </c>
      <c r="AV211" s="110">
        <v>0</v>
      </c>
      <c r="AW211" s="110">
        <v>0</v>
      </c>
      <c r="AX211" s="110">
        <v>0</v>
      </c>
      <c r="AY211" s="110">
        <v>0</v>
      </c>
    </row>
    <row r="212" spans="1:51">
      <c r="A212" s="109"/>
      <c r="B212" s="119">
        <v>4</v>
      </c>
      <c r="C212" s="106">
        <v>0</v>
      </c>
      <c r="D212" s="110">
        <v>0</v>
      </c>
      <c r="E212" s="110">
        <v>0</v>
      </c>
      <c r="F212" s="110">
        <v>0</v>
      </c>
      <c r="G212" s="110">
        <v>0</v>
      </c>
      <c r="H212" s="110">
        <v>0</v>
      </c>
      <c r="I212" s="110">
        <v>0</v>
      </c>
      <c r="J212" s="110">
        <v>0</v>
      </c>
      <c r="K212" s="110">
        <v>0</v>
      </c>
      <c r="L212" s="110">
        <v>0</v>
      </c>
      <c r="M212" s="110">
        <v>0</v>
      </c>
      <c r="N212" s="110">
        <v>0</v>
      </c>
      <c r="O212" s="110">
        <v>0</v>
      </c>
      <c r="P212" s="110">
        <v>0</v>
      </c>
      <c r="Q212" s="110">
        <v>0</v>
      </c>
      <c r="R212" s="110">
        <v>0</v>
      </c>
      <c r="S212" s="110">
        <v>0</v>
      </c>
      <c r="T212" s="110">
        <v>0</v>
      </c>
      <c r="U212" s="110">
        <v>0</v>
      </c>
      <c r="V212" s="110">
        <v>0</v>
      </c>
      <c r="W212" s="110">
        <v>0</v>
      </c>
      <c r="X212" s="110">
        <v>0</v>
      </c>
      <c r="Y212" s="110">
        <v>0</v>
      </c>
      <c r="Z212" s="110">
        <v>0</v>
      </c>
      <c r="AA212" s="110">
        <v>0</v>
      </c>
      <c r="AB212" s="110">
        <v>0</v>
      </c>
      <c r="AC212" s="110">
        <v>0</v>
      </c>
      <c r="AD212" s="110">
        <v>0</v>
      </c>
      <c r="AE212" s="110">
        <v>0</v>
      </c>
      <c r="AF212" s="110">
        <v>0</v>
      </c>
      <c r="AG212" s="110">
        <v>0</v>
      </c>
      <c r="AH212" s="110">
        <v>0</v>
      </c>
      <c r="AI212" s="110">
        <v>0</v>
      </c>
      <c r="AJ212" s="110">
        <v>0</v>
      </c>
      <c r="AK212" s="110">
        <v>0</v>
      </c>
      <c r="AL212" s="110">
        <v>0</v>
      </c>
      <c r="AM212" s="110">
        <v>0</v>
      </c>
      <c r="AN212" s="110">
        <v>0</v>
      </c>
      <c r="AO212" s="110">
        <v>0</v>
      </c>
      <c r="AP212" s="110">
        <v>0</v>
      </c>
      <c r="AQ212" s="110">
        <v>0</v>
      </c>
      <c r="AR212" s="110">
        <v>0</v>
      </c>
      <c r="AS212" s="110">
        <v>0</v>
      </c>
      <c r="AT212" s="110">
        <v>0</v>
      </c>
      <c r="AU212" s="110">
        <v>0</v>
      </c>
      <c r="AV212" s="110">
        <v>0</v>
      </c>
      <c r="AW212" s="110">
        <v>0</v>
      </c>
      <c r="AX212" s="110">
        <v>0</v>
      </c>
      <c r="AY212" s="110">
        <v>0</v>
      </c>
    </row>
    <row r="213" spans="1:51">
      <c r="A213" s="109"/>
      <c r="B213" s="119">
        <v>5</v>
      </c>
      <c r="C213" s="106">
        <v>0</v>
      </c>
      <c r="D213" s="110">
        <v>0</v>
      </c>
      <c r="E213" s="110">
        <v>0</v>
      </c>
      <c r="F213" s="110">
        <v>0</v>
      </c>
      <c r="G213" s="110">
        <v>0</v>
      </c>
      <c r="H213" s="110">
        <v>0</v>
      </c>
      <c r="I213" s="110">
        <v>0</v>
      </c>
      <c r="J213" s="110">
        <v>0</v>
      </c>
      <c r="K213" s="110">
        <v>0</v>
      </c>
      <c r="L213" s="110">
        <v>0</v>
      </c>
      <c r="M213" s="110">
        <v>0</v>
      </c>
      <c r="N213" s="110">
        <v>0</v>
      </c>
      <c r="O213" s="110">
        <v>0</v>
      </c>
      <c r="P213" s="110">
        <v>0</v>
      </c>
      <c r="Q213" s="110">
        <v>0</v>
      </c>
      <c r="R213" s="110">
        <v>0</v>
      </c>
      <c r="S213" s="110">
        <v>0</v>
      </c>
      <c r="T213" s="110">
        <v>0</v>
      </c>
      <c r="U213" s="110">
        <v>0</v>
      </c>
      <c r="V213" s="110">
        <v>0</v>
      </c>
      <c r="W213" s="110">
        <v>0</v>
      </c>
      <c r="X213" s="110">
        <v>0</v>
      </c>
      <c r="Y213" s="110">
        <v>0</v>
      </c>
      <c r="Z213" s="110">
        <v>0</v>
      </c>
      <c r="AA213" s="110">
        <v>0</v>
      </c>
      <c r="AB213" s="110">
        <v>0</v>
      </c>
      <c r="AC213" s="110">
        <v>0</v>
      </c>
      <c r="AD213" s="110">
        <v>0</v>
      </c>
      <c r="AE213" s="110">
        <v>0</v>
      </c>
      <c r="AF213" s="110">
        <v>0</v>
      </c>
      <c r="AG213" s="110">
        <v>0</v>
      </c>
      <c r="AH213" s="110">
        <v>0</v>
      </c>
      <c r="AI213" s="110">
        <v>0</v>
      </c>
      <c r="AJ213" s="110">
        <v>0</v>
      </c>
      <c r="AK213" s="110">
        <v>0</v>
      </c>
      <c r="AL213" s="110">
        <v>0</v>
      </c>
      <c r="AM213" s="110">
        <v>0</v>
      </c>
      <c r="AN213" s="110">
        <v>0</v>
      </c>
      <c r="AO213" s="110">
        <v>0</v>
      </c>
      <c r="AP213" s="110">
        <v>0</v>
      </c>
      <c r="AQ213" s="110">
        <v>0</v>
      </c>
      <c r="AR213" s="110">
        <v>0</v>
      </c>
      <c r="AS213" s="110">
        <v>0</v>
      </c>
      <c r="AT213" s="110">
        <v>0</v>
      </c>
      <c r="AU213" s="110">
        <v>0</v>
      </c>
      <c r="AV213" s="110">
        <v>0</v>
      </c>
      <c r="AW213" s="110">
        <v>0</v>
      </c>
      <c r="AX213" s="110">
        <v>0</v>
      </c>
      <c r="AY213" s="110">
        <v>0</v>
      </c>
    </row>
    <row r="214" spans="1:51">
      <c r="A214" s="109"/>
      <c r="B214" s="119">
        <v>6</v>
      </c>
      <c r="C214" s="106">
        <v>0</v>
      </c>
      <c r="D214" s="110">
        <v>0</v>
      </c>
      <c r="E214" s="110">
        <v>0</v>
      </c>
      <c r="F214" s="110">
        <v>0</v>
      </c>
      <c r="G214" s="110">
        <v>0</v>
      </c>
      <c r="H214" s="110">
        <v>0</v>
      </c>
      <c r="I214" s="110">
        <v>0</v>
      </c>
      <c r="J214" s="110">
        <v>0</v>
      </c>
      <c r="K214" s="110">
        <v>0</v>
      </c>
      <c r="L214" s="110">
        <v>0</v>
      </c>
      <c r="M214" s="110">
        <v>0</v>
      </c>
      <c r="N214" s="110">
        <v>0</v>
      </c>
      <c r="O214" s="110">
        <v>0</v>
      </c>
      <c r="P214" s="110">
        <v>0</v>
      </c>
      <c r="Q214" s="110">
        <v>0</v>
      </c>
      <c r="R214" s="110">
        <v>0</v>
      </c>
      <c r="S214" s="110">
        <v>0</v>
      </c>
      <c r="T214" s="110">
        <v>0</v>
      </c>
      <c r="U214" s="110">
        <v>0</v>
      </c>
      <c r="V214" s="110">
        <v>0</v>
      </c>
      <c r="W214" s="110">
        <v>0</v>
      </c>
      <c r="X214" s="110">
        <v>0</v>
      </c>
      <c r="Y214" s="110">
        <v>0</v>
      </c>
      <c r="Z214" s="110">
        <v>0</v>
      </c>
      <c r="AA214" s="110">
        <v>0</v>
      </c>
      <c r="AB214" s="110">
        <v>0</v>
      </c>
      <c r="AC214" s="110">
        <v>0</v>
      </c>
      <c r="AD214" s="110">
        <v>0</v>
      </c>
      <c r="AE214" s="110">
        <v>0</v>
      </c>
      <c r="AF214" s="110">
        <v>0</v>
      </c>
      <c r="AG214" s="110">
        <v>0</v>
      </c>
      <c r="AH214" s="110">
        <v>0</v>
      </c>
      <c r="AI214" s="110">
        <v>0</v>
      </c>
      <c r="AJ214" s="110">
        <v>0</v>
      </c>
      <c r="AK214" s="110">
        <v>0</v>
      </c>
      <c r="AL214" s="110">
        <v>0</v>
      </c>
      <c r="AM214" s="110">
        <v>0</v>
      </c>
      <c r="AN214" s="110">
        <v>0</v>
      </c>
      <c r="AO214" s="110">
        <v>0</v>
      </c>
      <c r="AP214" s="110">
        <v>0</v>
      </c>
      <c r="AQ214" s="110">
        <v>0</v>
      </c>
      <c r="AR214" s="110">
        <v>0</v>
      </c>
      <c r="AS214" s="110">
        <v>0</v>
      </c>
      <c r="AT214" s="110">
        <v>0</v>
      </c>
      <c r="AU214" s="110">
        <v>0</v>
      </c>
      <c r="AV214" s="110">
        <v>0</v>
      </c>
      <c r="AW214" s="110">
        <v>0</v>
      </c>
      <c r="AX214" s="110">
        <v>0</v>
      </c>
      <c r="AY214" s="110">
        <v>0</v>
      </c>
    </row>
    <row r="215" spans="1:51">
      <c r="A215" s="109"/>
      <c r="B215" s="119">
        <v>7</v>
      </c>
      <c r="C215" s="106">
        <v>0</v>
      </c>
      <c r="D215" s="110">
        <v>0</v>
      </c>
      <c r="E215" s="110">
        <v>0</v>
      </c>
      <c r="F215" s="110">
        <v>0</v>
      </c>
      <c r="G215" s="110">
        <v>0</v>
      </c>
      <c r="H215" s="110">
        <v>0</v>
      </c>
      <c r="I215" s="110">
        <v>0</v>
      </c>
      <c r="J215" s="110">
        <v>0</v>
      </c>
      <c r="K215" s="110">
        <v>0</v>
      </c>
      <c r="L215" s="110">
        <v>0</v>
      </c>
      <c r="M215" s="110">
        <v>0</v>
      </c>
      <c r="N215" s="110">
        <v>0</v>
      </c>
      <c r="O215" s="110">
        <v>0</v>
      </c>
      <c r="P215" s="110">
        <v>0</v>
      </c>
      <c r="Q215" s="110">
        <v>0</v>
      </c>
      <c r="R215" s="110">
        <v>0</v>
      </c>
      <c r="S215" s="110">
        <v>0</v>
      </c>
      <c r="T215" s="110">
        <v>0</v>
      </c>
      <c r="U215" s="110">
        <v>0</v>
      </c>
      <c r="V215" s="110">
        <v>0</v>
      </c>
      <c r="W215" s="110">
        <v>0</v>
      </c>
      <c r="X215" s="110">
        <v>0</v>
      </c>
      <c r="Y215" s="110">
        <v>0</v>
      </c>
      <c r="Z215" s="110">
        <v>0</v>
      </c>
      <c r="AA215" s="110">
        <v>0</v>
      </c>
      <c r="AB215" s="110">
        <v>0</v>
      </c>
      <c r="AC215" s="110">
        <v>0</v>
      </c>
      <c r="AD215" s="110">
        <v>0</v>
      </c>
      <c r="AE215" s="110">
        <v>0</v>
      </c>
      <c r="AF215" s="110">
        <v>0</v>
      </c>
      <c r="AG215" s="110">
        <v>0</v>
      </c>
      <c r="AH215" s="110">
        <v>0</v>
      </c>
      <c r="AI215" s="110">
        <v>0</v>
      </c>
      <c r="AJ215" s="110">
        <v>0</v>
      </c>
      <c r="AK215" s="110">
        <v>0</v>
      </c>
      <c r="AL215" s="110">
        <v>0</v>
      </c>
      <c r="AM215" s="110">
        <v>0</v>
      </c>
      <c r="AN215" s="110">
        <v>0</v>
      </c>
      <c r="AO215" s="110">
        <v>0</v>
      </c>
      <c r="AP215" s="110">
        <v>0</v>
      </c>
      <c r="AQ215" s="110">
        <v>0</v>
      </c>
      <c r="AR215" s="110">
        <v>0</v>
      </c>
      <c r="AS215" s="110">
        <v>0</v>
      </c>
      <c r="AT215" s="110">
        <v>0</v>
      </c>
      <c r="AU215" s="110">
        <v>0</v>
      </c>
      <c r="AV215" s="110">
        <v>0</v>
      </c>
      <c r="AW215" s="110">
        <v>0</v>
      </c>
      <c r="AX215" s="110">
        <v>0</v>
      </c>
      <c r="AY215" s="110">
        <v>0</v>
      </c>
    </row>
    <row r="216" spans="1:51">
      <c r="A216" s="109"/>
      <c r="B216" s="119">
        <v>8</v>
      </c>
      <c r="C216" s="106">
        <v>0</v>
      </c>
      <c r="D216" s="110">
        <v>0</v>
      </c>
      <c r="E216" s="110">
        <v>0</v>
      </c>
      <c r="F216" s="110">
        <v>0</v>
      </c>
      <c r="G216" s="110">
        <v>0</v>
      </c>
      <c r="H216" s="110">
        <v>0</v>
      </c>
      <c r="I216" s="110">
        <v>0</v>
      </c>
      <c r="J216" s="110">
        <v>0</v>
      </c>
      <c r="K216" s="110">
        <v>0</v>
      </c>
      <c r="L216" s="110">
        <v>0</v>
      </c>
      <c r="M216" s="110">
        <v>0</v>
      </c>
      <c r="N216" s="110">
        <v>0</v>
      </c>
      <c r="O216" s="110">
        <v>0</v>
      </c>
      <c r="P216" s="110">
        <v>0</v>
      </c>
      <c r="Q216" s="110">
        <v>0</v>
      </c>
      <c r="R216" s="110">
        <v>0</v>
      </c>
      <c r="S216" s="110">
        <v>0</v>
      </c>
      <c r="T216" s="110">
        <v>0</v>
      </c>
      <c r="U216" s="110">
        <v>0</v>
      </c>
      <c r="V216" s="110">
        <v>0</v>
      </c>
      <c r="W216" s="110">
        <v>0</v>
      </c>
      <c r="X216" s="110">
        <v>0</v>
      </c>
      <c r="Y216" s="110">
        <v>0</v>
      </c>
      <c r="Z216" s="110">
        <v>0</v>
      </c>
      <c r="AA216" s="110">
        <v>0</v>
      </c>
      <c r="AB216" s="110">
        <v>0</v>
      </c>
      <c r="AC216" s="110">
        <v>0</v>
      </c>
      <c r="AD216" s="110">
        <v>0</v>
      </c>
      <c r="AE216" s="110">
        <v>0</v>
      </c>
      <c r="AF216" s="110">
        <v>0</v>
      </c>
      <c r="AG216" s="110">
        <v>0</v>
      </c>
      <c r="AH216" s="110">
        <v>0</v>
      </c>
      <c r="AI216" s="110">
        <v>0</v>
      </c>
      <c r="AJ216" s="110">
        <v>0</v>
      </c>
      <c r="AK216" s="110">
        <v>0</v>
      </c>
      <c r="AL216" s="110">
        <v>0</v>
      </c>
      <c r="AM216" s="110">
        <v>0</v>
      </c>
      <c r="AN216" s="110">
        <v>0</v>
      </c>
      <c r="AO216" s="110">
        <v>0</v>
      </c>
      <c r="AP216" s="110">
        <v>0</v>
      </c>
      <c r="AQ216" s="110">
        <v>0</v>
      </c>
      <c r="AR216" s="110">
        <v>0</v>
      </c>
      <c r="AS216" s="110">
        <v>0</v>
      </c>
      <c r="AT216" s="110">
        <v>0</v>
      </c>
      <c r="AU216" s="110">
        <v>0</v>
      </c>
      <c r="AV216" s="110">
        <v>0</v>
      </c>
      <c r="AW216" s="110">
        <v>0</v>
      </c>
      <c r="AX216" s="110">
        <v>0</v>
      </c>
      <c r="AY216" s="110">
        <v>0</v>
      </c>
    </row>
    <row r="217" spans="1:51">
      <c r="A217" s="109"/>
      <c r="B217" s="119">
        <v>9</v>
      </c>
      <c r="C217" s="106">
        <v>0</v>
      </c>
      <c r="D217" s="110">
        <v>0</v>
      </c>
      <c r="E217" s="110">
        <v>0</v>
      </c>
      <c r="F217" s="110">
        <v>0</v>
      </c>
      <c r="G217" s="110">
        <v>0</v>
      </c>
      <c r="H217" s="110">
        <v>0</v>
      </c>
      <c r="I217" s="110">
        <v>0</v>
      </c>
      <c r="J217" s="110">
        <v>0</v>
      </c>
      <c r="K217" s="110">
        <v>0</v>
      </c>
      <c r="L217" s="110">
        <v>0</v>
      </c>
      <c r="M217" s="110">
        <v>0</v>
      </c>
      <c r="N217" s="110">
        <v>0</v>
      </c>
      <c r="O217" s="110">
        <v>0</v>
      </c>
      <c r="P217" s="110">
        <v>0</v>
      </c>
      <c r="Q217" s="110">
        <v>0</v>
      </c>
      <c r="R217" s="110">
        <v>0</v>
      </c>
      <c r="S217" s="110">
        <v>0</v>
      </c>
      <c r="T217" s="110">
        <v>0</v>
      </c>
      <c r="U217" s="110">
        <v>0</v>
      </c>
      <c r="V217" s="110">
        <v>0</v>
      </c>
      <c r="W217" s="110">
        <v>0</v>
      </c>
      <c r="X217" s="110">
        <v>0</v>
      </c>
      <c r="Y217" s="110">
        <v>0</v>
      </c>
      <c r="Z217" s="110">
        <v>0</v>
      </c>
      <c r="AA217" s="110">
        <v>0</v>
      </c>
      <c r="AB217" s="110">
        <v>0</v>
      </c>
      <c r="AC217" s="110">
        <v>0</v>
      </c>
      <c r="AD217" s="110">
        <v>0</v>
      </c>
      <c r="AE217" s="110">
        <v>0</v>
      </c>
      <c r="AF217" s="110">
        <v>0</v>
      </c>
      <c r="AG217" s="110">
        <v>0</v>
      </c>
      <c r="AH217" s="110">
        <v>0</v>
      </c>
      <c r="AI217" s="110">
        <v>0</v>
      </c>
      <c r="AJ217" s="110">
        <v>0</v>
      </c>
      <c r="AK217" s="110">
        <v>0</v>
      </c>
      <c r="AL217" s="110">
        <v>0</v>
      </c>
      <c r="AM217" s="110">
        <v>0</v>
      </c>
      <c r="AN217" s="110">
        <v>0</v>
      </c>
      <c r="AO217" s="110">
        <v>0</v>
      </c>
      <c r="AP217" s="110">
        <v>0</v>
      </c>
      <c r="AQ217" s="110">
        <v>0</v>
      </c>
      <c r="AR217" s="110">
        <v>0</v>
      </c>
      <c r="AS217" s="110">
        <v>0</v>
      </c>
      <c r="AT217" s="110">
        <v>0</v>
      </c>
      <c r="AU217" s="110">
        <v>0</v>
      </c>
      <c r="AV217" s="110">
        <v>0</v>
      </c>
      <c r="AW217" s="110">
        <v>0</v>
      </c>
      <c r="AX217" s="110">
        <v>0</v>
      </c>
      <c r="AY217" s="110">
        <v>0</v>
      </c>
    </row>
    <row r="218" spans="1:51">
      <c r="A218" s="109"/>
      <c r="B218" s="119">
        <v>10</v>
      </c>
      <c r="C218" s="106">
        <v>0</v>
      </c>
      <c r="D218" s="110">
        <v>0</v>
      </c>
      <c r="E218" s="110">
        <v>0</v>
      </c>
      <c r="F218" s="110">
        <v>0</v>
      </c>
      <c r="G218" s="110">
        <v>0</v>
      </c>
      <c r="H218" s="110">
        <v>0</v>
      </c>
      <c r="I218" s="110">
        <v>0</v>
      </c>
      <c r="J218" s="110">
        <v>0</v>
      </c>
      <c r="K218" s="110">
        <v>0</v>
      </c>
      <c r="L218" s="110">
        <v>0</v>
      </c>
      <c r="M218" s="110">
        <v>0</v>
      </c>
      <c r="N218" s="110">
        <v>0</v>
      </c>
      <c r="O218" s="110">
        <v>0</v>
      </c>
      <c r="P218" s="110">
        <v>0</v>
      </c>
      <c r="Q218" s="110">
        <v>0</v>
      </c>
      <c r="R218" s="110">
        <v>0</v>
      </c>
      <c r="S218" s="110">
        <v>0</v>
      </c>
      <c r="T218" s="110">
        <v>0</v>
      </c>
      <c r="U218" s="110">
        <v>0</v>
      </c>
      <c r="V218" s="110">
        <v>0</v>
      </c>
      <c r="W218" s="110">
        <v>0</v>
      </c>
      <c r="X218" s="110">
        <v>0</v>
      </c>
      <c r="Y218" s="110">
        <v>0</v>
      </c>
      <c r="Z218" s="110">
        <v>0</v>
      </c>
      <c r="AA218" s="110">
        <v>0</v>
      </c>
      <c r="AB218" s="110">
        <v>0</v>
      </c>
      <c r="AC218" s="110">
        <v>0</v>
      </c>
      <c r="AD218" s="110">
        <v>0</v>
      </c>
      <c r="AE218" s="110">
        <v>0</v>
      </c>
      <c r="AF218" s="110">
        <v>0</v>
      </c>
      <c r="AG218" s="110">
        <v>0</v>
      </c>
      <c r="AH218" s="110">
        <v>0</v>
      </c>
      <c r="AI218" s="110">
        <v>0</v>
      </c>
      <c r="AJ218" s="110">
        <v>0</v>
      </c>
      <c r="AK218" s="110">
        <v>0</v>
      </c>
      <c r="AL218" s="110">
        <v>0</v>
      </c>
      <c r="AM218" s="110">
        <v>0</v>
      </c>
      <c r="AN218" s="110">
        <v>0</v>
      </c>
      <c r="AO218" s="110">
        <v>0</v>
      </c>
      <c r="AP218" s="110">
        <v>0</v>
      </c>
      <c r="AQ218" s="110">
        <v>0</v>
      </c>
      <c r="AR218" s="110">
        <v>0</v>
      </c>
      <c r="AS218" s="110">
        <v>0</v>
      </c>
      <c r="AT218" s="110">
        <v>0</v>
      </c>
      <c r="AU218" s="110">
        <v>0</v>
      </c>
      <c r="AV218" s="110">
        <v>0</v>
      </c>
      <c r="AW218" s="110">
        <v>0</v>
      </c>
      <c r="AX218" s="110">
        <v>0</v>
      </c>
      <c r="AY218" s="110">
        <v>0</v>
      </c>
    </row>
    <row r="219" spans="1:51">
      <c r="A219" s="109"/>
      <c r="B219" s="119">
        <v>11</v>
      </c>
      <c r="C219" s="106">
        <v>0</v>
      </c>
      <c r="D219" s="110">
        <v>0</v>
      </c>
      <c r="E219" s="110">
        <v>0</v>
      </c>
      <c r="F219" s="110">
        <v>0</v>
      </c>
      <c r="G219" s="110">
        <v>0</v>
      </c>
      <c r="H219" s="110">
        <v>0</v>
      </c>
      <c r="I219" s="110">
        <v>0</v>
      </c>
      <c r="J219" s="110">
        <v>0</v>
      </c>
      <c r="K219" s="110">
        <v>0</v>
      </c>
      <c r="L219" s="110">
        <v>0</v>
      </c>
      <c r="M219" s="110">
        <v>0</v>
      </c>
      <c r="N219" s="110">
        <v>0</v>
      </c>
      <c r="O219" s="110">
        <v>0</v>
      </c>
      <c r="P219" s="110">
        <v>0</v>
      </c>
      <c r="Q219" s="110">
        <v>0</v>
      </c>
      <c r="R219" s="110">
        <v>0</v>
      </c>
      <c r="S219" s="110">
        <v>0</v>
      </c>
      <c r="T219" s="110">
        <v>0</v>
      </c>
      <c r="U219" s="110">
        <v>0</v>
      </c>
      <c r="V219" s="110">
        <v>0</v>
      </c>
      <c r="W219" s="110">
        <v>0</v>
      </c>
      <c r="X219" s="110">
        <v>0</v>
      </c>
      <c r="Y219" s="110">
        <v>0</v>
      </c>
      <c r="Z219" s="110">
        <v>0</v>
      </c>
      <c r="AA219" s="110">
        <v>0</v>
      </c>
      <c r="AB219" s="110">
        <v>0</v>
      </c>
      <c r="AC219" s="110">
        <v>0</v>
      </c>
      <c r="AD219" s="110">
        <v>0</v>
      </c>
      <c r="AE219" s="110">
        <v>0</v>
      </c>
      <c r="AF219" s="110">
        <v>0</v>
      </c>
      <c r="AG219" s="110">
        <v>0</v>
      </c>
      <c r="AH219" s="110">
        <v>0</v>
      </c>
      <c r="AI219" s="110">
        <v>0</v>
      </c>
      <c r="AJ219" s="110">
        <v>0</v>
      </c>
      <c r="AK219" s="110">
        <v>0</v>
      </c>
      <c r="AL219" s="110">
        <v>0</v>
      </c>
      <c r="AM219" s="110">
        <v>0</v>
      </c>
      <c r="AN219" s="110">
        <v>0</v>
      </c>
      <c r="AO219" s="110">
        <v>0</v>
      </c>
      <c r="AP219" s="110">
        <v>0</v>
      </c>
      <c r="AQ219" s="110">
        <v>0</v>
      </c>
      <c r="AR219" s="110">
        <v>0</v>
      </c>
      <c r="AS219" s="110">
        <v>0</v>
      </c>
      <c r="AT219" s="110">
        <v>0</v>
      </c>
      <c r="AU219" s="110">
        <v>0</v>
      </c>
      <c r="AV219" s="110">
        <v>0</v>
      </c>
      <c r="AW219" s="110">
        <v>0</v>
      </c>
      <c r="AX219" s="110">
        <v>0</v>
      </c>
      <c r="AY219" s="110">
        <v>0</v>
      </c>
    </row>
    <row r="220" spans="1:51">
      <c r="A220" s="109"/>
      <c r="B220" s="119">
        <v>12</v>
      </c>
      <c r="C220" s="106">
        <v>0</v>
      </c>
      <c r="D220" s="110">
        <v>0</v>
      </c>
      <c r="E220" s="110">
        <v>0</v>
      </c>
      <c r="F220" s="110">
        <v>0</v>
      </c>
      <c r="G220" s="110">
        <v>0</v>
      </c>
      <c r="H220" s="110">
        <v>0</v>
      </c>
      <c r="I220" s="110">
        <v>0</v>
      </c>
      <c r="J220" s="110">
        <v>0</v>
      </c>
      <c r="K220" s="110">
        <v>0</v>
      </c>
      <c r="L220" s="110">
        <v>0</v>
      </c>
      <c r="M220" s="110">
        <v>0</v>
      </c>
      <c r="N220" s="110">
        <v>0</v>
      </c>
      <c r="O220" s="110">
        <v>0</v>
      </c>
      <c r="P220" s="110">
        <v>0</v>
      </c>
      <c r="Q220" s="110">
        <v>0</v>
      </c>
      <c r="R220" s="110">
        <v>0</v>
      </c>
      <c r="S220" s="110">
        <v>0</v>
      </c>
      <c r="T220" s="110">
        <v>0</v>
      </c>
      <c r="U220" s="110">
        <v>0</v>
      </c>
      <c r="V220" s="110">
        <v>0</v>
      </c>
      <c r="W220" s="110">
        <v>0</v>
      </c>
      <c r="X220" s="110">
        <v>0</v>
      </c>
      <c r="Y220" s="110">
        <v>0</v>
      </c>
      <c r="Z220" s="110">
        <v>0</v>
      </c>
      <c r="AA220" s="110">
        <v>0</v>
      </c>
      <c r="AB220" s="110">
        <v>0</v>
      </c>
      <c r="AC220" s="110">
        <v>0</v>
      </c>
      <c r="AD220" s="110">
        <v>0</v>
      </c>
      <c r="AE220" s="110">
        <v>0</v>
      </c>
      <c r="AF220" s="110">
        <v>0</v>
      </c>
      <c r="AG220" s="110">
        <v>0</v>
      </c>
      <c r="AH220" s="110">
        <v>0</v>
      </c>
      <c r="AI220" s="110">
        <v>0</v>
      </c>
      <c r="AJ220" s="110">
        <v>0</v>
      </c>
      <c r="AK220" s="110">
        <v>0</v>
      </c>
      <c r="AL220" s="110">
        <v>0</v>
      </c>
      <c r="AM220" s="110">
        <v>0</v>
      </c>
      <c r="AN220" s="110">
        <v>0</v>
      </c>
      <c r="AO220" s="110">
        <v>0</v>
      </c>
      <c r="AP220" s="110">
        <v>0</v>
      </c>
      <c r="AQ220" s="110">
        <v>0</v>
      </c>
      <c r="AR220" s="110">
        <v>0</v>
      </c>
      <c r="AS220" s="110">
        <v>0</v>
      </c>
      <c r="AT220" s="110">
        <v>0</v>
      </c>
      <c r="AU220" s="110">
        <v>0</v>
      </c>
      <c r="AV220" s="110">
        <v>0</v>
      </c>
      <c r="AW220" s="110">
        <v>0</v>
      </c>
      <c r="AX220" s="110">
        <v>0</v>
      </c>
      <c r="AY220" s="110">
        <v>0</v>
      </c>
    </row>
    <row r="221" spans="1:51">
      <c r="A221" s="109"/>
      <c r="B221" s="120">
        <v>13</v>
      </c>
      <c r="C221" s="106">
        <v>0</v>
      </c>
      <c r="D221" s="110">
        <v>0</v>
      </c>
      <c r="E221" s="110">
        <v>0</v>
      </c>
      <c r="F221" s="110">
        <v>0</v>
      </c>
      <c r="G221" s="110">
        <v>0</v>
      </c>
      <c r="H221" s="110">
        <v>0</v>
      </c>
      <c r="I221" s="110">
        <v>0</v>
      </c>
      <c r="J221" s="110">
        <v>0</v>
      </c>
      <c r="K221" s="110">
        <v>0</v>
      </c>
      <c r="L221" s="110">
        <v>0</v>
      </c>
      <c r="M221" s="110">
        <v>0</v>
      </c>
      <c r="N221" s="110">
        <v>0</v>
      </c>
      <c r="O221" s="110">
        <v>0</v>
      </c>
      <c r="P221" s="110">
        <v>0</v>
      </c>
      <c r="Q221" s="110">
        <v>0</v>
      </c>
      <c r="R221" s="110">
        <v>0</v>
      </c>
      <c r="S221" s="110">
        <v>0</v>
      </c>
      <c r="T221" s="110">
        <v>0</v>
      </c>
      <c r="U221" s="110">
        <v>0</v>
      </c>
      <c r="V221" s="110">
        <v>0</v>
      </c>
      <c r="W221" s="110">
        <v>0</v>
      </c>
      <c r="X221" s="110">
        <v>0</v>
      </c>
      <c r="Y221" s="110">
        <v>0</v>
      </c>
      <c r="Z221" s="110">
        <v>0</v>
      </c>
      <c r="AA221" s="110">
        <v>0</v>
      </c>
      <c r="AB221" s="110">
        <v>0</v>
      </c>
      <c r="AC221" s="110">
        <v>0</v>
      </c>
      <c r="AD221" s="110">
        <v>0</v>
      </c>
      <c r="AE221" s="110">
        <v>0</v>
      </c>
      <c r="AF221" s="110">
        <v>0</v>
      </c>
      <c r="AG221" s="110">
        <v>0</v>
      </c>
      <c r="AH221" s="110">
        <v>0</v>
      </c>
      <c r="AI221" s="110">
        <v>0</v>
      </c>
      <c r="AJ221" s="110">
        <v>0</v>
      </c>
      <c r="AK221" s="110">
        <v>0</v>
      </c>
      <c r="AL221" s="110">
        <v>0</v>
      </c>
      <c r="AM221" s="110">
        <v>0</v>
      </c>
      <c r="AN221" s="110">
        <v>0</v>
      </c>
      <c r="AO221" s="110">
        <v>0</v>
      </c>
      <c r="AP221" s="110">
        <v>0</v>
      </c>
      <c r="AQ221" s="110">
        <v>0</v>
      </c>
      <c r="AR221" s="110">
        <v>0</v>
      </c>
      <c r="AS221" s="110">
        <v>0</v>
      </c>
      <c r="AT221" s="110">
        <v>0</v>
      </c>
      <c r="AU221" s="110">
        <v>0</v>
      </c>
      <c r="AV221" s="110">
        <v>0</v>
      </c>
      <c r="AW221" s="110">
        <v>0</v>
      </c>
      <c r="AX221" s="110">
        <v>0</v>
      </c>
      <c r="AY221" s="110">
        <v>0</v>
      </c>
    </row>
    <row r="222" spans="1:51">
      <c r="A222" s="109"/>
      <c r="B222" s="120">
        <v>14</v>
      </c>
      <c r="C222" s="106">
        <v>0</v>
      </c>
      <c r="D222" s="110">
        <v>0</v>
      </c>
      <c r="E222" s="110">
        <v>0</v>
      </c>
      <c r="F222" s="110">
        <v>0</v>
      </c>
      <c r="G222" s="110">
        <v>0</v>
      </c>
      <c r="H222" s="110">
        <v>0</v>
      </c>
      <c r="I222" s="110">
        <v>0</v>
      </c>
      <c r="J222" s="110">
        <v>0</v>
      </c>
      <c r="K222" s="110">
        <v>0</v>
      </c>
      <c r="L222" s="110">
        <v>0</v>
      </c>
      <c r="M222" s="110">
        <v>0</v>
      </c>
      <c r="N222" s="110">
        <v>0</v>
      </c>
      <c r="O222" s="110">
        <v>0</v>
      </c>
      <c r="P222" s="110">
        <v>0</v>
      </c>
      <c r="Q222" s="110">
        <v>0</v>
      </c>
      <c r="R222" s="110">
        <v>0</v>
      </c>
      <c r="S222" s="110">
        <v>0</v>
      </c>
      <c r="T222" s="110">
        <v>0</v>
      </c>
      <c r="U222" s="110">
        <v>0</v>
      </c>
      <c r="V222" s="110">
        <v>0</v>
      </c>
      <c r="W222" s="110">
        <v>0</v>
      </c>
      <c r="X222" s="110">
        <v>0</v>
      </c>
      <c r="Y222" s="110">
        <v>0</v>
      </c>
      <c r="Z222" s="110">
        <v>0</v>
      </c>
      <c r="AA222" s="110">
        <v>0</v>
      </c>
      <c r="AB222" s="110">
        <v>0</v>
      </c>
      <c r="AC222" s="110">
        <v>0</v>
      </c>
      <c r="AD222" s="110">
        <v>0</v>
      </c>
      <c r="AE222" s="110">
        <v>0</v>
      </c>
      <c r="AF222" s="110">
        <v>0</v>
      </c>
      <c r="AG222" s="110">
        <v>0</v>
      </c>
      <c r="AH222" s="110">
        <v>0</v>
      </c>
      <c r="AI222" s="110">
        <v>0</v>
      </c>
      <c r="AJ222" s="110">
        <v>0</v>
      </c>
      <c r="AK222" s="110">
        <v>0</v>
      </c>
      <c r="AL222" s="110">
        <v>0</v>
      </c>
      <c r="AM222" s="110">
        <v>0</v>
      </c>
      <c r="AN222" s="110">
        <v>0</v>
      </c>
      <c r="AO222" s="110">
        <v>0</v>
      </c>
      <c r="AP222" s="110">
        <v>0</v>
      </c>
      <c r="AQ222" s="110">
        <v>0</v>
      </c>
      <c r="AR222" s="110">
        <v>0</v>
      </c>
      <c r="AS222" s="110">
        <v>0</v>
      </c>
      <c r="AT222" s="110">
        <v>0</v>
      </c>
      <c r="AU222" s="110">
        <v>0</v>
      </c>
      <c r="AV222" s="110">
        <v>0</v>
      </c>
      <c r="AW222" s="110">
        <v>0</v>
      </c>
      <c r="AX222" s="110">
        <v>0</v>
      </c>
      <c r="AY222" s="110">
        <v>0</v>
      </c>
    </row>
    <row r="223" spans="1:51">
      <c r="A223" s="109"/>
      <c r="B223" s="120">
        <v>15</v>
      </c>
      <c r="C223" s="106">
        <v>0</v>
      </c>
      <c r="D223" s="110">
        <v>0</v>
      </c>
      <c r="E223" s="110">
        <v>0</v>
      </c>
      <c r="F223" s="110">
        <v>0</v>
      </c>
      <c r="G223" s="110">
        <v>0</v>
      </c>
      <c r="H223" s="110">
        <v>0</v>
      </c>
      <c r="I223" s="110">
        <v>0</v>
      </c>
      <c r="J223" s="110">
        <v>0</v>
      </c>
      <c r="K223" s="110">
        <v>0</v>
      </c>
      <c r="L223" s="110">
        <v>0</v>
      </c>
      <c r="M223" s="110">
        <v>0</v>
      </c>
      <c r="N223" s="110">
        <v>0</v>
      </c>
      <c r="O223" s="110">
        <v>0</v>
      </c>
      <c r="P223" s="110">
        <v>0</v>
      </c>
      <c r="Q223" s="110">
        <v>0</v>
      </c>
      <c r="R223" s="110">
        <v>0</v>
      </c>
      <c r="S223" s="110">
        <v>0</v>
      </c>
      <c r="T223" s="110">
        <v>0</v>
      </c>
      <c r="U223" s="110">
        <v>0</v>
      </c>
      <c r="V223" s="110">
        <v>0</v>
      </c>
      <c r="W223" s="110">
        <v>0</v>
      </c>
      <c r="X223" s="110">
        <v>0</v>
      </c>
      <c r="Y223" s="110">
        <v>0</v>
      </c>
      <c r="Z223" s="110">
        <v>0</v>
      </c>
      <c r="AA223" s="110">
        <v>0</v>
      </c>
      <c r="AB223" s="110">
        <v>0</v>
      </c>
      <c r="AC223" s="110">
        <v>0</v>
      </c>
      <c r="AD223" s="110">
        <v>0</v>
      </c>
      <c r="AE223" s="110">
        <v>0</v>
      </c>
      <c r="AF223" s="110">
        <v>0</v>
      </c>
      <c r="AG223" s="110">
        <v>0</v>
      </c>
      <c r="AH223" s="110">
        <v>0</v>
      </c>
      <c r="AI223" s="110">
        <v>0</v>
      </c>
      <c r="AJ223" s="110">
        <v>0</v>
      </c>
      <c r="AK223" s="110">
        <v>0</v>
      </c>
      <c r="AL223" s="110">
        <v>0</v>
      </c>
      <c r="AM223" s="110">
        <v>0</v>
      </c>
      <c r="AN223" s="110">
        <v>0</v>
      </c>
      <c r="AO223" s="110">
        <v>0</v>
      </c>
      <c r="AP223" s="110">
        <v>0</v>
      </c>
      <c r="AQ223" s="110">
        <v>0</v>
      </c>
      <c r="AR223" s="110">
        <v>0</v>
      </c>
      <c r="AS223" s="110">
        <v>0</v>
      </c>
      <c r="AT223" s="110">
        <v>0</v>
      </c>
      <c r="AU223" s="110">
        <v>0</v>
      </c>
      <c r="AV223" s="110">
        <v>0</v>
      </c>
      <c r="AW223" s="110">
        <v>0</v>
      </c>
      <c r="AX223" s="110">
        <v>0</v>
      </c>
      <c r="AY223" s="110">
        <v>0</v>
      </c>
    </row>
    <row r="224" spans="1:51">
      <c r="A224" s="109"/>
      <c r="B224" s="120">
        <v>16</v>
      </c>
      <c r="C224" s="106">
        <v>0</v>
      </c>
      <c r="D224" s="110">
        <v>0</v>
      </c>
      <c r="E224" s="110">
        <v>0</v>
      </c>
      <c r="F224" s="110">
        <v>0</v>
      </c>
      <c r="G224" s="110">
        <v>0</v>
      </c>
      <c r="H224" s="110">
        <v>0</v>
      </c>
      <c r="I224" s="110">
        <v>0</v>
      </c>
      <c r="J224" s="110">
        <v>0</v>
      </c>
      <c r="K224" s="110">
        <v>0</v>
      </c>
      <c r="L224" s="110">
        <v>0</v>
      </c>
      <c r="M224" s="110">
        <v>0</v>
      </c>
      <c r="N224" s="110">
        <v>0</v>
      </c>
      <c r="O224" s="110">
        <v>0</v>
      </c>
      <c r="P224" s="110">
        <v>0</v>
      </c>
      <c r="Q224" s="110">
        <v>0</v>
      </c>
      <c r="R224" s="110">
        <v>0</v>
      </c>
      <c r="S224" s="110">
        <v>0</v>
      </c>
      <c r="T224" s="110">
        <v>0</v>
      </c>
      <c r="U224" s="110">
        <v>0</v>
      </c>
      <c r="V224" s="110">
        <v>0</v>
      </c>
      <c r="W224" s="110">
        <v>0</v>
      </c>
      <c r="X224" s="110">
        <v>0</v>
      </c>
      <c r="Y224" s="110">
        <v>0</v>
      </c>
      <c r="Z224" s="110">
        <v>0</v>
      </c>
      <c r="AA224" s="110">
        <v>0</v>
      </c>
      <c r="AB224" s="110">
        <v>0</v>
      </c>
      <c r="AC224" s="110">
        <v>0</v>
      </c>
      <c r="AD224" s="110">
        <v>0</v>
      </c>
      <c r="AE224" s="110">
        <v>0</v>
      </c>
      <c r="AF224" s="110">
        <v>0</v>
      </c>
      <c r="AG224" s="110">
        <v>0</v>
      </c>
      <c r="AH224" s="110">
        <v>0</v>
      </c>
      <c r="AI224" s="110">
        <v>0</v>
      </c>
      <c r="AJ224" s="110">
        <v>0</v>
      </c>
      <c r="AK224" s="110">
        <v>0</v>
      </c>
      <c r="AL224" s="110">
        <v>0</v>
      </c>
      <c r="AM224" s="110">
        <v>0</v>
      </c>
      <c r="AN224" s="110">
        <v>0</v>
      </c>
      <c r="AO224" s="110">
        <v>0</v>
      </c>
      <c r="AP224" s="110">
        <v>0</v>
      </c>
      <c r="AQ224" s="110">
        <v>0</v>
      </c>
      <c r="AR224" s="110">
        <v>0</v>
      </c>
      <c r="AS224" s="110">
        <v>0</v>
      </c>
      <c r="AT224" s="110">
        <v>0</v>
      </c>
      <c r="AU224" s="110">
        <v>0</v>
      </c>
      <c r="AV224" s="110">
        <v>0</v>
      </c>
      <c r="AW224" s="110">
        <v>0</v>
      </c>
      <c r="AX224" s="110">
        <v>0</v>
      </c>
      <c r="AY224" s="110">
        <v>0</v>
      </c>
    </row>
    <row r="225" spans="1:51">
      <c r="A225" s="109"/>
      <c r="B225" s="120">
        <v>17</v>
      </c>
      <c r="C225" s="106">
        <v>0</v>
      </c>
      <c r="D225" s="110">
        <v>0</v>
      </c>
      <c r="E225" s="110">
        <v>0</v>
      </c>
      <c r="F225" s="110">
        <v>0</v>
      </c>
      <c r="G225" s="110">
        <v>0</v>
      </c>
      <c r="H225" s="110">
        <v>0</v>
      </c>
      <c r="I225" s="110">
        <v>0</v>
      </c>
      <c r="J225" s="110">
        <v>0</v>
      </c>
      <c r="K225" s="110">
        <v>0</v>
      </c>
      <c r="L225" s="110">
        <v>0</v>
      </c>
      <c r="M225" s="110">
        <v>0</v>
      </c>
      <c r="N225" s="110">
        <v>0</v>
      </c>
      <c r="O225" s="110">
        <v>0</v>
      </c>
      <c r="P225" s="110">
        <v>0</v>
      </c>
      <c r="Q225" s="110">
        <v>0</v>
      </c>
      <c r="R225" s="110">
        <v>0</v>
      </c>
      <c r="S225" s="110">
        <v>0</v>
      </c>
      <c r="T225" s="110">
        <v>0</v>
      </c>
      <c r="U225" s="110">
        <v>0</v>
      </c>
      <c r="V225" s="110">
        <v>0</v>
      </c>
      <c r="W225" s="110">
        <v>0</v>
      </c>
      <c r="X225" s="110">
        <v>0</v>
      </c>
      <c r="Y225" s="110">
        <v>0</v>
      </c>
      <c r="Z225" s="110">
        <v>0</v>
      </c>
      <c r="AA225" s="110">
        <v>0</v>
      </c>
      <c r="AB225" s="110">
        <v>0</v>
      </c>
      <c r="AC225" s="110">
        <v>0</v>
      </c>
      <c r="AD225" s="110">
        <v>0</v>
      </c>
      <c r="AE225" s="110">
        <v>0</v>
      </c>
      <c r="AF225" s="110">
        <v>0</v>
      </c>
      <c r="AG225" s="110">
        <v>0</v>
      </c>
      <c r="AH225" s="110">
        <v>0</v>
      </c>
      <c r="AI225" s="110">
        <v>0</v>
      </c>
      <c r="AJ225" s="110">
        <v>0</v>
      </c>
      <c r="AK225" s="110">
        <v>0</v>
      </c>
      <c r="AL225" s="110">
        <v>0</v>
      </c>
      <c r="AM225" s="110">
        <v>0</v>
      </c>
      <c r="AN225" s="110">
        <v>0</v>
      </c>
      <c r="AO225" s="110">
        <v>0</v>
      </c>
      <c r="AP225" s="110">
        <v>0</v>
      </c>
      <c r="AQ225" s="110">
        <v>0</v>
      </c>
      <c r="AR225" s="110">
        <v>0</v>
      </c>
      <c r="AS225" s="110">
        <v>0</v>
      </c>
      <c r="AT225" s="110">
        <v>0</v>
      </c>
      <c r="AU225" s="110">
        <v>0</v>
      </c>
      <c r="AV225" s="110">
        <v>0</v>
      </c>
      <c r="AW225" s="110">
        <v>0</v>
      </c>
      <c r="AX225" s="110">
        <v>0</v>
      </c>
      <c r="AY225" s="110">
        <v>0</v>
      </c>
    </row>
    <row r="226" spans="1:51">
      <c r="A226" s="109"/>
      <c r="B226" s="120">
        <v>18</v>
      </c>
      <c r="C226" s="106">
        <v>0</v>
      </c>
      <c r="D226" s="110">
        <v>0</v>
      </c>
      <c r="E226" s="110">
        <v>0</v>
      </c>
      <c r="F226" s="110">
        <v>0</v>
      </c>
      <c r="G226" s="110">
        <v>0</v>
      </c>
      <c r="H226" s="110">
        <v>0</v>
      </c>
      <c r="I226" s="110">
        <v>0</v>
      </c>
      <c r="J226" s="110">
        <v>0</v>
      </c>
      <c r="K226" s="110">
        <v>0</v>
      </c>
      <c r="L226" s="110">
        <v>0</v>
      </c>
      <c r="M226" s="110">
        <v>0</v>
      </c>
      <c r="N226" s="110">
        <v>0</v>
      </c>
      <c r="O226" s="110">
        <v>0</v>
      </c>
      <c r="P226" s="110">
        <v>0</v>
      </c>
      <c r="Q226" s="110">
        <v>0</v>
      </c>
      <c r="R226" s="110">
        <v>0</v>
      </c>
      <c r="S226" s="110">
        <v>0</v>
      </c>
      <c r="T226" s="110">
        <v>0</v>
      </c>
      <c r="U226" s="110">
        <v>0</v>
      </c>
      <c r="V226" s="110">
        <v>0</v>
      </c>
      <c r="W226" s="110">
        <v>0</v>
      </c>
      <c r="X226" s="110">
        <v>0</v>
      </c>
      <c r="Y226" s="110">
        <v>0</v>
      </c>
      <c r="Z226" s="110">
        <v>0</v>
      </c>
      <c r="AA226" s="110">
        <v>0</v>
      </c>
      <c r="AB226" s="110">
        <v>0</v>
      </c>
      <c r="AC226" s="110">
        <v>0</v>
      </c>
      <c r="AD226" s="110">
        <v>0</v>
      </c>
      <c r="AE226" s="110">
        <v>0</v>
      </c>
      <c r="AF226" s="110">
        <v>0</v>
      </c>
      <c r="AG226" s="110">
        <v>0</v>
      </c>
      <c r="AH226" s="110">
        <v>0</v>
      </c>
      <c r="AI226" s="110">
        <v>0</v>
      </c>
      <c r="AJ226" s="110">
        <v>0</v>
      </c>
      <c r="AK226" s="110">
        <v>0</v>
      </c>
      <c r="AL226" s="110">
        <v>0</v>
      </c>
      <c r="AM226" s="110">
        <v>0</v>
      </c>
      <c r="AN226" s="110">
        <v>0</v>
      </c>
      <c r="AO226" s="110">
        <v>0</v>
      </c>
      <c r="AP226" s="110">
        <v>0</v>
      </c>
      <c r="AQ226" s="110">
        <v>0</v>
      </c>
      <c r="AR226" s="110">
        <v>0</v>
      </c>
      <c r="AS226" s="110">
        <v>0</v>
      </c>
      <c r="AT226" s="110">
        <v>0</v>
      </c>
      <c r="AU226" s="110">
        <v>0</v>
      </c>
      <c r="AV226" s="110">
        <v>0</v>
      </c>
      <c r="AW226" s="110">
        <v>0</v>
      </c>
      <c r="AX226" s="110">
        <v>0</v>
      </c>
      <c r="AY226" s="110">
        <v>0</v>
      </c>
    </row>
    <row r="227" spans="1:51">
      <c r="A227" s="109"/>
      <c r="B227" s="120">
        <v>19</v>
      </c>
      <c r="C227" s="106">
        <v>0</v>
      </c>
      <c r="D227" s="110">
        <v>0</v>
      </c>
      <c r="E227" s="110">
        <v>0</v>
      </c>
      <c r="F227" s="110">
        <v>0</v>
      </c>
      <c r="G227" s="110">
        <v>0</v>
      </c>
      <c r="H227" s="110">
        <v>0</v>
      </c>
      <c r="I227" s="110">
        <v>0</v>
      </c>
      <c r="J227" s="110">
        <v>0</v>
      </c>
      <c r="K227" s="110">
        <v>0</v>
      </c>
      <c r="L227" s="110">
        <v>0</v>
      </c>
      <c r="M227" s="110">
        <v>0</v>
      </c>
      <c r="N227" s="110">
        <v>0</v>
      </c>
      <c r="O227" s="110">
        <v>0</v>
      </c>
      <c r="P227" s="110">
        <v>0</v>
      </c>
      <c r="Q227" s="110">
        <v>0</v>
      </c>
      <c r="R227" s="110">
        <v>0</v>
      </c>
      <c r="S227" s="110">
        <v>0</v>
      </c>
      <c r="T227" s="110">
        <v>0</v>
      </c>
      <c r="U227" s="110">
        <v>0</v>
      </c>
      <c r="V227" s="110">
        <v>0</v>
      </c>
      <c r="W227" s="110">
        <v>0</v>
      </c>
      <c r="X227" s="110">
        <v>0</v>
      </c>
      <c r="Y227" s="110">
        <v>0</v>
      </c>
      <c r="Z227" s="110">
        <v>0</v>
      </c>
      <c r="AA227" s="110">
        <v>0</v>
      </c>
      <c r="AB227" s="110">
        <v>0</v>
      </c>
      <c r="AC227" s="110">
        <v>0</v>
      </c>
      <c r="AD227" s="110">
        <v>0</v>
      </c>
      <c r="AE227" s="110">
        <v>0</v>
      </c>
      <c r="AF227" s="110">
        <v>0</v>
      </c>
      <c r="AG227" s="110">
        <v>0</v>
      </c>
      <c r="AH227" s="110">
        <v>0</v>
      </c>
      <c r="AI227" s="110">
        <v>0</v>
      </c>
      <c r="AJ227" s="110">
        <v>0</v>
      </c>
      <c r="AK227" s="110">
        <v>0</v>
      </c>
      <c r="AL227" s="110">
        <v>0</v>
      </c>
      <c r="AM227" s="110">
        <v>0</v>
      </c>
      <c r="AN227" s="110">
        <v>0</v>
      </c>
      <c r="AO227" s="110">
        <v>0</v>
      </c>
      <c r="AP227" s="110">
        <v>0</v>
      </c>
      <c r="AQ227" s="110">
        <v>0</v>
      </c>
      <c r="AR227" s="110">
        <v>0</v>
      </c>
      <c r="AS227" s="110">
        <v>0</v>
      </c>
      <c r="AT227" s="110">
        <v>0</v>
      </c>
      <c r="AU227" s="110">
        <v>0</v>
      </c>
      <c r="AV227" s="110">
        <v>0</v>
      </c>
      <c r="AW227" s="110">
        <v>0</v>
      </c>
      <c r="AX227" s="110">
        <v>0</v>
      </c>
      <c r="AY227" s="110">
        <v>0</v>
      </c>
    </row>
    <row r="228" spans="1:51">
      <c r="A228" s="109"/>
      <c r="B228" s="120">
        <v>20</v>
      </c>
      <c r="C228" s="106">
        <v>0</v>
      </c>
      <c r="D228" s="110">
        <v>0</v>
      </c>
      <c r="E228" s="110">
        <v>0</v>
      </c>
      <c r="F228" s="110">
        <v>0</v>
      </c>
      <c r="G228" s="110">
        <v>0</v>
      </c>
      <c r="H228" s="110">
        <v>0</v>
      </c>
      <c r="I228" s="110">
        <v>0</v>
      </c>
      <c r="J228" s="110">
        <v>0</v>
      </c>
      <c r="K228" s="110">
        <v>0</v>
      </c>
      <c r="L228" s="110">
        <v>0</v>
      </c>
      <c r="M228" s="110">
        <v>0</v>
      </c>
      <c r="N228" s="110">
        <v>0</v>
      </c>
      <c r="O228" s="110">
        <v>0</v>
      </c>
      <c r="P228" s="110">
        <v>0</v>
      </c>
      <c r="Q228" s="110">
        <v>0</v>
      </c>
      <c r="R228" s="110">
        <v>0</v>
      </c>
      <c r="S228" s="110">
        <v>0</v>
      </c>
      <c r="T228" s="110">
        <v>0</v>
      </c>
      <c r="U228" s="110">
        <v>0</v>
      </c>
      <c r="V228" s="110">
        <v>0</v>
      </c>
      <c r="W228" s="110">
        <v>0</v>
      </c>
      <c r="X228" s="110">
        <v>0</v>
      </c>
      <c r="Y228" s="110">
        <v>0</v>
      </c>
      <c r="Z228" s="110">
        <v>0</v>
      </c>
      <c r="AA228" s="110">
        <v>0</v>
      </c>
      <c r="AB228" s="110">
        <v>0</v>
      </c>
      <c r="AC228" s="110">
        <v>0</v>
      </c>
      <c r="AD228" s="110">
        <v>0</v>
      </c>
      <c r="AE228" s="110">
        <v>0</v>
      </c>
      <c r="AF228" s="110">
        <v>0</v>
      </c>
      <c r="AG228" s="110">
        <v>0</v>
      </c>
      <c r="AH228" s="110">
        <v>0</v>
      </c>
      <c r="AI228" s="110">
        <v>0</v>
      </c>
      <c r="AJ228" s="110">
        <v>0</v>
      </c>
      <c r="AK228" s="110">
        <v>0</v>
      </c>
      <c r="AL228" s="110">
        <v>0</v>
      </c>
      <c r="AM228" s="110">
        <v>0</v>
      </c>
      <c r="AN228" s="110">
        <v>0</v>
      </c>
      <c r="AO228" s="110">
        <v>0</v>
      </c>
      <c r="AP228" s="110">
        <v>0</v>
      </c>
      <c r="AQ228" s="110">
        <v>0</v>
      </c>
      <c r="AR228" s="110">
        <v>0</v>
      </c>
      <c r="AS228" s="110">
        <v>0</v>
      </c>
      <c r="AT228" s="110">
        <v>0</v>
      </c>
      <c r="AU228" s="110">
        <v>0</v>
      </c>
      <c r="AV228" s="110">
        <v>0</v>
      </c>
      <c r="AW228" s="110">
        <v>0</v>
      </c>
      <c r="AX228" s="110">
        <v>0</v>
      </c>
      <c r="AY228" s="110">
        <v>0</v>
      </c>
    </row>
    <row r="229" spans="1:51">
      <c r="A229" s="109"/>
      <c r="B229" s="120">
        <v>21</v>
      </c>
      <c r="C229" s="106">
        <v>0</v>
      </c>
      <c r="D229" s="110">
        <v>0</v>
      </c>
      <c r="E229" s="110">
        <v>0</v>
      </c>
      <c r="F229" s="110">
        <v>0</v>
      </c>
      <c r="G229" s="110">
        <v>0</v>
      </c>
      <c r="H229" s="110">
        <v>0</v>
      </c>
      <c r="I229" s="110">
        <v>0</v>
      </c>
      <c r="J229" s="110">
        <v>0</v>
      </c>
      <c r="K229" s="110">
        <v>0</v>
      </c>
      <c r="L229" s="110">
        <v>0</v>
      </c>
      <c r="M229" s="110">
        <v>0</v>
      </c>
      <c r="N229" s="110">
        <v>0</v>
      </c>
      <c r="O229" s="110">
        <v>0</v>
      </c>
      <c r="P229" s="110">
        <v>0</v>
      </c>
      <c r="Q229" s="110">
        <v>0</v>
      </c>
      <c r="R229" s="110">
        <v>0</v>
      </c>
      <c r="S229" s="110">
        <v>0</v>
      </c>
      <c r="T229" s="110">
        <v>0</v>
      </c>
      <c r="U229" s="110">
        <v>0</v>
      </c>
      <c r="V229" s="110">
        <v>0</v>
      </c>
      <c r="W229" s="110">
        <v>0</v>
      </c>
      <c r="X229" s="110">
        <v>0</v>
      </c>
      <c r="Y229" s="110">
        <v>0</v>
      </c>
      <c r="Z229" s="110">
        <v>0</v>
      </c>
      <c r="AA229" s="110">
        <v>0</v>
      </c>
      <c r="AB229" s="110">
        <v>0</v>
      </c>
      <c r="AC229" s="110">
        <v>0</v>
      </c>
      <c r="AD229" s="110">
        <v>0</v>
      </c>
      <c r="AE229" s="110">
        <v>0</v>
      </c>
      <c r="AF229" s="110">
        <v>0</v>
      </c>
      <c r="AG229" s="110">
        <v>0</v>
      </c>
      <c r="AH229" s="110">
        <v>0</v>
      </c>
      <c r="AI229" s="110">
        <v>0</v>
      </c>
      <c r="AJ229" s="110">
        <v>0</v>
      </c>
      <c r="AK229" s="110">
        <v>0</v>
      </c>
      <c r="AL229" s="110">
        <v>0</v>
      </c>
      <c r="AM229" s="110">
        <v>0</v>
      </c>
      <c r="AN229" s="110">
        <v>0</v>
      </c>
      <c r="AO229" s="110">
        <v>0</v>
      </c>
      <c r="AP229" s="110">
        <v>0</v>
      </c>
      <c r="AQ229" s="110">
        <v>0</v>
      </c>
      <c r="AR229" s="110">
        <v>0</v>
      </c>
      <c r="AS229" s="110">
        <v>0</v>
      </c>
      <c r="AT229" s="110">
        <v>0</v>
      </c>
      <c r="AU229" s="110">
        <v>0</v>
      </c>
      <c r="AV229" s="110">
        <v>0</v>
      </c>
      <c r="AW229" s="110">
        <v>0</v>
      </c>
      <c r="AX229" s="110">
        <v>0</v>
      </c>
      <c r="AY229" s="110">
        <v>0</v>
      </c>
    </row>
    <row r="230" spans="1:51">
      <c r="A230" s="109"/>
      <c r="B230" s="120">
        <v>22</v>
      </c>
      <c r="C230" s="106">
        <v>0</v>
      </c>
      <c r="D230" s="110">
        <v>0</v>
      </c>
      <c r="E230" s="110">
        <v>0</v>
      </c>
      <c r="F230" s="110">
        <v>0</v>
      </c>
      <c r="G230" s="110">
        <v>0</v>
      </c>
      <c r="H230" s="110">
        <v>0</v>
      </c>
      <c r="I230" s="110">
        <v>0</v>
      </c>
      <c r="J230" s="110">
        <v>0</v>
      </c>
      <c r="K230" s="110">
        <v>0</v>
      </c>
      <c r="L230" s="110">
        <v>0</v>
      </c>
      <c r="M230" s="110">
        <v>0</v>
      </c>
      <c r="N230" s="110">
        <v>0</v>
      </c>
      <c r="O230" s="110">
        <v>0</v>
      </c>
      <c r="P230" s="110">
        <v>0</v>
      </c>
      <c r="Q230" s="110">
        <v>0</v>
      </c>
      <c r="R230" s="110">
        <v>0</v>
      </c>
      <c r="S230" s="110">
        <v>0</v>
      </c>
      <c r="T230" s="110">
        <v>0</v>
      </c>
      <c r="U230" s="110">
        <v>0</v>
      </c>
      <c r="V230" s="110">
        <v>0</v>
      </c>
      <c r="W230" s="110">
        <v>0</v>
      </c>
      <c r="X230" s="110">
        <v>0</v>
      </c>
      <c r="Y230" s="110">
        <v>0</v>
      </c>
      <c r="Z230" s="110">
        <v>0</v>
      </c>
      <c r="AA230" s="110">
        <v>0</v>
      </c>
      <c r="AB230" s="110">
        <v>0</v>
      </c>
      <c r="AC230" s="110">
        <v>0</v>
      </c>
      <c r="AD230" s="110">
        <v>0</v>
      </c>
      <c r="AE230" s="110">
        <v>0</v>
      </c>
      <c r="AF230" s="110">
        <v>0</v>
      </c>
      <c r="AG230" s="110">
        <v>0</v>
      </c>
      <c r="AH230" s="110">
        <v>0</v>
      </c>
      <c r="AI230" s="110">
        <v>0</v>
      </c>
      <c r="AJ230" s="110">
        <v>0</v>
      </c>
      <c r="AK230" s="110">
        <v>0</v>
      </c>
      <c r="AL230" s="110">
        <v>0</v>
      </c>
      <c r="AM230" s="110">
        <v>0</v>
      </c>
      <c r="AN230" s="110">
        <v>0</v>
      </c>
      <c r="AO230" s="110">
        <v>0</v>
      </c>
      <c r="AP230" s="110">
        <v>0</v>
      </c>
      <c r="AQ230" s="110">
        <v>0</v>
      </c>
      <c r="AR230" s="110">
        <v>0</v>
      </c>
      <c r="AS230" s="110">
        <v>0</v>
      </c>
      <c r="AT230" s="110">
        <v>0</v>
      </c>
      <c r="AU230" s="110">
        <v>0</v>
      </c>
      <c r="AV230" s="110">
        <v>0</v>
      </c>
      <c r="AW230" s="110">
        <v>0</v>
      </c>
      <c r="AX230" s="110">
        <v>0</v>
      </c>
      <c r="AY230" s="110">
        <v>0</v>
      </c>
    </row>
    <row r="231" spans="1:51">
      <c r="A231" s="109"/>
      <c r="B231" s="120">
        <v>23</v>
      </c>
      <c r="C231" s="106">
        <v>0</v>
      </c>
      <c r="D231" s="110">
        <v>0</v>
      </c>
      <c r="E231" s="110">
        <v>0</v>
      </c>
      <c r="F231" s="110">
        <v>0</v>
      </c>
      <c r="G231" s="110">
        <v>0</v>
      </c>
      <c r="H231" s="110">
        <v>0</v>
      </c>
      <c r="I231" s="110">
        <v>0</v>
      </c>
      <c r="J231" s="110">
        <v>0</v>
      </c>
      <c r="K231" s="110">
        <v>0</v>
      </c>
      <c r="L231" s="110">
        <v>0</v>
      </c>
      <c r="M231" s="110">
        <v>0</v>
      </c>
      <c r="N231" s="110">
        <v>0</v>
      </c>
      <c r="O231" s="110">
        <v>0</v>
      </c>
      <c r="P231" s="110">
        <v>0</v>
      </c>
      <c r="Q231" s="110">
        <v>0</v>
      </c>
      <c r="R231" s="110">
        <v>0</v>
      </c>
      <c r="S231" s="110">
        <v>0</v>
      </c>
      <c r="T231" s="110">
        <v>0</v>
      </c>
      <c r="U231" s="110">
        <v>0</v>
      </c>
      <c r="V231" s="110">
        <v>0</v>
      </c>
      <c r="W231" s="110">
        <v>0</v>
      </c>
      <c r="X231" s="110">
        <v>0</v>
      </c>
      <c r="Y231" s="110">
        <v>0</v>
      </c>
      <c r="Z231" s="110">
        <v>0</v>
      </c>
      <c r="AA231" s="110">
        <v>0</v>
      </c>
      <c r="AB231" s="110">
        <v>0</v>
      </c>
      <c r="AC231" s="110">
        <v>0</v>
      </c>
      <c r="AD231" s="110">
        <v>0</v>
      </c>
      <c r="AE231" s="110">
        <v>0</v>
      </c>
      <c r="AF231" s="110">
        <v>0</v>
      </c>
      <c r="AG231" s="110">
        <v>0</v>
      </c>
      <c r="AH231" s="110">
        <v>0</v>
      </c>
      <c r="AI231" s="110">
        <v>0</v>
      </c>
      <c r="AJ231" s="110">
        <v>0</v>
      </c>
      <c r="AK231" s="110">
        <v>0</v>
      </c>
      <c r="AL231" s="110">
        <v>0</v>
      </c>
      <c r="AM231" s="110">
        <v>0</v>
      </c>
      <c r="AN231" s="110">
        <v>0</v>
      </c>
      <c r="AO231" s="110">
        <v>0</v>
      </c>
      <c r="AP231" s="110">
        <v>0</v>
      </c>
      <c r="AQ231" s="110">
        <v>0</v>
      </c>
      <c r="AR231" s="110">
        <v>0</v>
      </c>
      <c r="AS231" s="110">
        <v>0</v>
      </c>
      <c r="AT231" s="110">
        <v>0</v>
      </c>
      <c r="AU231" s="110">
        <v>0</v>
      </c>
      <c r="AV231" s="110">
        <v>0</v>
      </c>
      <c r="AW231" s="110">
        <v>0</v>
      </c>
      <c r="AX231" s="110">
        <v>0</v>
      </c>
      <c r="AY231" s="110">
        <v>0</v>
      </c>
    </row>
    <row r="232" spans="1:51">
      <c r="A232" s="109"/>
      <c r="B232" s="120">
        <v>24</v>
      </c>
      <c r="C232" s="106">
        <v>0</v>
      </c>
      <c r="D232" s="110">
        <v>0</v>
      </c>
      <c r="E232" s="110">
        <v>0</v>
      </c>
      <c r="F232" s="110">
        <v>0</v>
      </c>
      <c r="G232" s="110">
        <v>0</v>
      </c>
      <c r="H232" s="110">
        <v>0</v>
      </c>
      <c r="I232" s="110">
        <v>0</v>
      </c>
      <c r="J232" s="110">
        <v>0</v>
      </c>
      <c r="K232" s="110">
        <v>0</v>
      </c>
      <c r="L232" s="110">
        <v>0</v>
      </c>
      <c r="M232" s="110">
        <v>0</v>
      </c>
      <c r="N232" s="110">
        <v>0</v>
      </c>
      <c r="O232" s="110">
        <v>0</v>
      </c>
      <c r="P232" s="110">
        <v>0</v>
      </c>
      <c r="Q232" s="110">
        <v>0</v>
      </c>
      <c r="R232" s="110">
        <v>0</v>
      </c>
      <c r="S232" s="110">
        <v>0</v>
      </c>
      <c r="T232" s="110">
        <v>0</v>
      </c>
      <c r="U232" s="110">
        <v>0</v>
      </c>
      <c r="V232" s="110">
        <v>0</v>
      </c>
      <c r="W232" s="110">
        <v>0</v>
      </c>
      <c r="X232" s="110">
        <v>0</v>
      </c>
      <c r="Y232" s="110">
        <v>0</v>
      </c>
      <c r="Z232" s="110">
        <v>0</v>
      </c>
      <c r="AA232" s="110">
        <v>0</v>
      </c>
      <c r="AB232" s="110">
        <v>0</v>
      </c>
      <c r="AC232" s="110">
        <v>0</v>
      </c>
      <c r="AD232" s="110">
        <v>0</v>
      </c>
      <c r="AE232" s="110">
        <v>0</v>
      </c>
      <c r="AF232" s="110">
        <v>0</v>
      </c>
      <c r="AG232" s="110">
        <v>0</v>
      </c>
      <c r="AH232" s="110">
        <v>0</v>
      </c>
      <c r="AI232" s="110">
        <v>0</v>
      </c>
      <c r="AJ232" s="110">
        <v>0</v>
      </c>
      <c r="AK232" s="110">
        <v>0</v>
      </c>
      <c r="AL232" s="110">
        <v>0</v>
      </c>
      <c r="AM232" s="110">
        <v>0</v>
      </c>
      <c r="AN232" s="110">
        <v>0</v>
      </c>
      <c r="AO232" s="110">
        <v>0</v>
      </c>
      <c r="AP232" s="110">
        <v>0</v>
      </c>
      <c r="AQ232" s="110">
        <v>0</v>
      </c>
      <c r="AR232" s="110">
        <v>0</v>
      </c>
      <c r="AS232" s="110">
        <v>0</v>
      </c>
      <c r="AT232" s="110">
        <v>0</v>
      </c>
      <c r="AU232" s="110">
        <v>0</v>
      </c>
      <c r="AV232" s="110">
        <v>0</v>
      </c>
      <c r="AW232" s="110">
        <v>0</v>
      </c>
      <c r="AX232" s="110">
        <v>0</v>
      </c>
      <c r="AY232" s="110">
        <v>0</v>
      </c>
    </row>
    <row r="233" spans="1:51">
      <c r="A233" s="109"/>
      <c r="B233" s="127">
        <v>25</v>
      </c>
      <c r="C233" s="106">
        <v>0</v>
      </c>
      <c r="D233" s="110">
        <v>0</v>
      </c>
      <c r="E233" s="110">
        <v>0</v>
      </c>
      <c r="F233" s="110">
        <v>0</v>
      </c>
      <c r="G233" s="110">
        <v>0</v>
      </c>
      <c r="H233" s="110">
        <v>0</v>
      </c>
      <c r="I233" s="110">
        <v>0</v>
      </c>
      <c r="J233" s="110">
        <v>0</v>
      </c>
      <c r="K233" s="110">
        <v>0</v>
      </c>
      <c r="L233" s="110">
        <v>0</v>
      </c>
      <c r="M233" s="110">
        <v>0</v>
      </c>
      <c r="N233" s="110">
        <v>0</v>
      </c>
      <c r="O233" s="110">
        <v>0</v>
      </c>
      <c r="P233" s="110">
        <v>0</v>
      </c>
      <c r="Q233" s="110">
        <v>0</v>
      </c>
      <c r="R233" s="110">
        <v>0</v>
      </c>
      <c r="S233" s="110">
        <v>0</v>
      </c>
      <c r="T233" s="110">
        <v>0</v>
      </c>
      <c r="U233" s="110">
        <v>0</v>
      </c>
      <c r="V233" s="110">
        <v>0</v>
      </c>
      <c r="W233" s="110">
        <v>0</v>
      </c>
      <c r="X233" s="110">
        <v>0</v>
      </c>
      <c r="Y233" s="110">
        <v>0</v>
      </c>
      <c r="Z233" s="110">
        <v>0</v>
      </c>
      <c r="AA233" s="110">
        <v>0</v>
      </c>
      <c r="AB233" s="110">
        <v>0</v>
      </c>
      <c r="AC233" s="110">
        <v>0</v>
      </c>
      <c r="AD233" s="110">
        <v>0</v>
      </c>
      <c r="AE233" s="110">
        <v>0</v>
      </c>
      <c r="AF233" s="110">
        <v>0</v>
      </c>
      <c r="AG233" s="110">
        <v>0</v>
      </c>
      <c r="AH233" s="110">
        <v>0</v>
      </c>
      <c r="AI233" s="110">
        <v>0</v>
      </c>
      <c r="AJ233" s="110">
        <v>0</v>
      </c>
      <c r="AK233" s="110">
        <v>0</v>
      </c>
      <c r="AL233" s="110">
        <v>0</v>
      </c>
      <c r="AM233" s="110">
        <v>0</v>
      </c>
      <c r="AN233" s="110">
        <v>0</v>
      </c>
      <c r="AO233" s="110">
        <v>0</v>
      </c>
      <c r="AP233" s="110">
        <v>0</v>
      </c>
      <c r="AQ233" s="110">
        <v>0</v>
      </c>
      <c r="AR233" s="110">
        <v>0</v>
      </c>
      <c r="AS233" s="110">
        <v>0</v>
      </c>
      <c r="AT233" s="110">
        <v>0</v>
      </c>
      <c r="AU233" s="110">
        <v>0</v>
      </c>
      <c r="AV233" s="110">
        <v>0</v>
      </c>
      <c r="AW233" s="110">
        <v>0</v>
      </c>
      <c r="AX233" s="110">
        <v>0</v>
      </c>
      <c r="AY233" s="110">
        <v>0</v>
      </c>
    </row>
    <row r="234" spans="1:51">
      <c r="A234" s="109"/>
      <c r="B234" s="127">
        <v>26</v>
      </c>
      <c r="C234" s="106">
        <v>0</v>
      </c>
      <c r="D234" s="110">
        <v>0</v>
      </c>
      <c r="E234" s="110">
        <v>0</v>
      </c>
      <c r="F234" s="110">
        <v>0</v>
      </c>
      <c r="G234" s="110">
        <v>0</v>
      </c>
      <c r="H234" s="110">
        <v>0</v>
      </c>
      <c r="I234" s="110">
        <v>0</v>
      </c>
      <c r="J234" s="110">
        <v>0</v>
      </c>
      <c r="K234" s="110">
        <v>0</v>
      </c>
      <c r="L234" s="110">
        <v>0</v>
      </c>
      <c r="M234" s="110">
        <v>0</v>
      </c>
      <c r="N234" s="110">
        <v>0</v>
      </c>
      <c r="O234" s="110">
        <v>0</v>
      </c>
      <c r="P234" s="110">
        <v>0</v>
      </c>
      <c r="Q234" s="110">
        <v>0</v>
      </c>
      <c r="R234" s="110">
        <v>0</v>
      </c>
      <c r="S234" s="110">
        <v>0</v>
      </c>
      <c r="T234" s="110">
        <v>0</v>
      </c>
      <c r="U234" s="110">
        <v>0</v>
      </c>
      <c r="V234" s="110">
        <v>0</v>
      </c>
      <c r="W234" s="110">
        <v>0</v>
      </c>
      <c r="X234" s="110">
        <v>0</v>
      </c>
      <c r="Y234" s="110">
        <v>0</v>
      </c>
      <c r="Z234" s="110">
        <v>0</v>
      </c>
      <c r="AA234" s="110">
        <v>0</v>
      </c>
      <c r="AB234" s="110">
        <v>0</v>
      </c>
      <c r="AC234" s="110">
        <v>0</v>
      </c>
      <c r="AD234" s="110">
        <v>0</v>
      </c>
      <c r="AE234" s="110">
        <v>0</v>
      </c>
      <c r="AF234" s="110">
        <v>0</v>
      </c>
      <c r="AG234" s="110">
        <v>0</v>
      </c>
      <c r="AH234" s="110">
        <v>0</v>
      </c>
      <c r="AI234" s="110">
        <v>0</v>
      </c>
      <c r="AJ234" s="110">
        <v>0</v>
      </c>
      <c r="AK234" s="110">
        <v>0</v>
      </c>
      <c r="AL234" s="110">
        <v>0</v>
      </c>
      <c r="AM234" s="110">
        <v>0</v>
      </c>
      <c r="AN234" s="110">
        <v>0</v>
      </c>
      <c r="AO234" s="110">
        <v>0</v>
      </c>
      <c r="AP234" s="110">
        <v>0</v>
      </c>
      <c r="AQ234" s="110">
        <v>0</v>
      </c>
      <c r="AR234" s="110">
        <v>0</v>
      </c>
      <c r="AS234" s="110">
        <v>0</v>
      </c>
      <c r="AT234" s="110">
        <v>0</v>
      </c>
      <c r="AU234" s="110">
        <v>0</v>
      </c>
      <c r="AV234" s="110">
        <v>0</v>
      </c>
      <c r="AW234" s="110">
        <v>0</v>
      </c>
      <c r="AX234" s="110">
        <v>0</v>
      </c>
      <c r="AY234" s="110">
        <v>0</v>
      </c>
    </row>
    <row r="235" spans="1:51">
      <c r="A235" s="109"/>
      <c r="B235" s="127">
        <v>27</v>
      </c>
      <c r="C235" s="106">
        <v>0</v>
      </c>
      <c r="D235" s="110">
        <v>0</v>
      </c>
      <c r="E235" s="110">
        <v>0</v>
      </c>
      <c r="F235" s="110">
        <v>0</v>
      </c>
      <c r="G235" s="110">
        <v>0</v>
      </c>
      <c r="H235" s="110">
        <v>0</v>
      </c>
      <c r="I235" s="110">
        <v>0</v>
      </c>
      <c r="J235" s="110">
        <v>0</v>
      </c>
      <c r="K235" s="110">
        <v>0</v>
      </c>
      <c r="L235" s="110">
        <v>0</v>
      </c>
      <c r="M235" s="110">
        <v>0</v>
      </c>
      <c r="N235" s="110">
        <v>0</v>
      </c>
      <c r="O235" s="110">
        <v>0</v>
      </c>
      <c r="P235" s="110">
        <v>0</v>
      </c>
      <c r="Q235" s="110">
        <v>0</v>
      </c>
      <c r="R235" s="110">
        <v>0</v>
      </c>
      <c r="S235" s="110">
        <v>0</v>
      </c>
      <c r="T235" s="110">
        <v>0</v>
      </c>
      <c r="U235" s="110">
        <v>0</v>
      </c>
      <c r="V235" s="110">
        <v>0</v>
      </c>
      <c r="W235" s="110">
        <v>0</v>
      </c>
      <c r="X235" s="110">
        <v>0</v>
      </c>
      <c r="Y235" s="110">
        <v>0</v>
      </c>
      <c r="Z235" s="110">
        <v>0</v>
      </c>
      <c r="AA235" s="110">
        <v>0</v>
      </c>
      <c r="AB235" s="110">
        <v>0</v>
      </c>
      <c r="AC235" s="110">
        <v>0</v>
      </c>
      <c r="AD235" s="110">
        <v>0</v>
      </c>
      <c r="AE235" s="110">
        <v>0</v>
      </c>
      <c r="AF235" s="110">
        <v>0</v>
      </c>
      <c r="AG235" s="110">
        <v>0</v>
      </c>
      <c r="AH235" s="110">
        <v>0</v>
      </c>
      <c r="AI235" s="110">
        <v>0</v>
      </c>
      <c r="AJ235" s="110">
        <v>0</v>
      </c>
      <c r="AK235" s="110">
        <v>0</v>
      </c>
      <c r="AL235" s="110">
        <v>0</v>
      </c>
      <c r="AM235" s="110">
        <v>0</v>
      </c>
      <c r="AN235" s="110">
        <v>0</v>
      </c>
      <c r="AO235" s="110">
        <v>0</v>
      </c>
      <c r="AP235" s="110">
        <v>0</v>
      </c>
      <c r="AQ235" s="110">
        <v>0</v>
      </c>
      <c r="AR235" s="110">
        <v>0</v>
      </c>
      <c r="AS235" s="110">
        <v>0</v>
      </c>
      <c r="AT235" s="110">
        <v>0</v>
      </c>
      <c r="AU235" s="110">
        <v>0</v>
      </c>
      <c r="AV235" s="110">
        <v>0</v>
      </c>
      <c r="AW235" s="110">
        <v>0</v>
      </c>
      <c r="AX235" s="110">
        <v>0</v>
      </c>
      <c r="AY235" s="110">
        <v>0</v>
      </c>
    </row>
    <row r="236" spans="1:51">
      <c r="A236" s="109"/>
      <c r="B236" s="127">
        <v>28</v>
      </c>
      <c r="C236" s="106">
        <v>0</v>
      </c>
      <c r="D236" s="110">
        <v>0</v>
      </c>
      <c r="E236" s="110">
        <v>0</v>
      </c>
      <c r="F236" s="110">
        <v>0</v>
      </c>
      <c r="G236" s="110">
        <v>0</v>
      </c>
      <c r="H236" s="110">
        <v>0</v>
      </c>
      <c r="I236" s="110">
        <v>0</v>
      </c>
      <c r="J236" s="110">
        <v>0</v>
      </c>
      <c r="K236" s="110">
        <v>0</v>
      </c>
      <c r="L236" s="110">
        <v>0</v>
      </c>
      <c r="M236" s="110">
        <v>0</v>
      </c>
      <c r="N236" s="110">
        <v>0</v>
      </c>
      <c r="O236" s="110">
        <v>0</v>
      </c>
      <c r="P236" s="110">
        <v>0</v>
      </c>
      <c r="Q236" s="110">
        <v>0</v>
      </c>
      <c r="R236" s="110">
        <v>0</v>
      </c>
      <c r="S236" s="110">
        <v>0</v>
      </c>
      <c r="T236" s="110">
        <v>0</v>
      </c>
      <c r="U236" s="110">
        <v>0</v>
      </c>
      <c r="V236" s="110">
        <v>0</v>
      </c>
      <c r="W236" s="110">
        <v>0</v>
      </c>
      <c r="X236" s="110">
        <v>0</v>
      </c>
      <c r="Y236" s="110">
        <v>0</v>
      </c>
      <c r="Z236" s="110">
        <v>0</v>
      </c>
      <c r="AA236" s="110">
        <v>0</v>
      </c>
      <c r="AB236" s="110">
        <v>0</v>
      </c>
      <c r="AC236" s="110">
        <v>0</v>
      </c>
      <c r="AD236" s="110">
        <v>0</v>
      </c>
      <c r="AE236" s="110">
        <v>0</v>
      </c>
      <c r="AF236" s="110">
        <v>0</v>
      </c>
      <c r="AG236" s="110">
        <v>0</v>
      </c>
      <c r="AH236" s="110">
        <v>0</v>
      </c>
      <c r="AI236" s="110">
        <v>0</v>
      </c>
      <c r="AJ236" s="110">
        <v>0</v>
      </c>
      <c r="AK236" s="110">
        <v>0</v>
      </c>
      <c r="AL236" s="110">
        <v>0</v>
      </c>
      <c r="AM236" s="110">
        <v>0</v>
      </c>
      <c r="AN236" s="110">
        <v>0</v>
      </c>
      <c r="AO236" s="110">
        <v>0</v>
      </c>
      <c r="AP236" s="110">
        <v>0</v>
      </c>
      <c r="AQ236" s="110">
        <v>0</v>
      </c>
      <c r="AR236" s="110">
        <v>0</v>
      </c>
      <c r="AS236" s="110">
        <v>0</v>
      </c>
      <c r="AT236" s="110">
        <v>0</v>
      </c>
      <c r="AU236" s="110">
        <v>0</v>
      </c>
      <c r="AV236" s="110">
        <v>0</v>
      </c>
      <c r="AW236" s="110">
        <v>0</v>
      </c>
      <c r="AX236" s="110">
        <v>0</v>
      </c>
      <c r="AY236" s="110">
        <v>0</v>
      </c>
    </row>
    <row r="237" spans="1:51">
      <c r="A237" s="109"/>
      <c r="B237" s="127">
        <v>29</v>
      </c>
      <c r="C237" s="106">
        <v>0</v>
      </c>
      <c r="D237" s="110">
        <v>0</v>
      </c>
      <c r="E237" s="110">
        <v>0</v>
      </c>
      <c r="F237" s="110">
        <v>0</v>
      </c>
      <c r="G237" s="110">
        <v>0</v>
      </c>
      <c r="H237" s="110">
        <v>0</v>
      </c>
      <c r="I237" s="110">
        <v>0</v>
      </c>
      <c r="J237" s="110">
        <v>0</v>
      </c>
      <c r="K237" s="110">
        <v>0</v>
      </c>
      <c r="L237" s="110">
        <v>0</v>
      </c>
      <c r="M237" s="110">
        <v>0</v>
      </c>
      <c r="N237" s="110">
        <v>0</v>
      </c>
      <c r="O237" s="110">
        <v>0</v>
      </c>
      <c r="P237" s="110">
        <v>0</v>
      </c>
      <c r="Q237" s="110">
        <v>0</v>
      </c>
      <c r="R237" s="110">
        <v>0</v>
      </c>
      <c r="S237" s="110">
        <v>0</v>
      </c>
      <c r="T237" s="110">
        <v>0</v>
      </c>
      <c r="U237" s="110">
        <v>0</v>
      </c>
      <c r="V237" s="110">
        <v>0</v>
      </c>
      <c r="W237" s="110">
        <v>0</v>
      </c>
      <c r="X237" s="110">
        <v>0</v>
      </c>
      <c r="Y237" s="110">
        <v>0</v>
      </c>
      <c r="Z237" s="110">
        <v>0</v>
      </c>
      <c r="AA237" s="110">
        <v>0</v>
      </c>
      <c r="AB237" s="110">
        <v>0</v>
      </c>
      <c r="AC237" s="110">
        <v>0</v>
      </c>
      <c r="AD237" s="110">
        <v>0</v>
      </c>
      <c r="AE237" s="110">
        <v>0</v>
      </c>
      <c r="AF237" s="110">
        <v>0</v>
      </c>
      <c r="AG237" s="110">
        <v>0</v>
      </c>
      <c r="AH237" s="110">
        <v>0</v>
      </c>
      <c r="AI237" s="110">
        <v>0</v>
      </c>
      <c r="AJ237" s="110">
        <v>0</v>
      </c>
      <c r="AK237" s="110">
        <v>0</v>
      </c>
      <c r="AL237" s="110">
        <v>0</v>
      </c>
      <c r="AM237" s="110">
        <v>0</v>
      </c>
      <c r="AN237" s="110">
        <v>0</v>
      </c>
      <c r="AO237" s="110">
        <v>0</v>
      </c>
      <c r="AP237" s="110">
        <v>0</v>
      </c>
      <c r="AQ237" s="110">
        <v>0</v>
      </c>
      <c r="AR237" s="110">
        <v>0</v>
      </c>
      <c r="AS237" s="110">
        <v>0</v>
      </c>
      <c r="AT237" s="110">
        <v>0</v>
      </c>
      <c r="AU237" s="110">
        <v>0</v>
      </c>
      <c r="AV237" s="110">
        <v>0</v>
      </c>
      <c r="AW237" s="110">
        <v>0</v>
      </c>
      <c r="AX237" s="110">
        <v>0</v>
      </c>
      <c r="AY237" s="110">
        <v>0</v>
      </c>
    </row>
    <row r="238" spans="1:51">
      <c r="A238" s="109"/>
      <c r="B238" s="127">
        <v>30</v>
      </c>
      <c r="C238" s="106">
        <v>0</v>
      </c>
      <c r="D238" s="110">
        <v>0</v>
      </c>
      <c r="E238" s="110">
        <v>0</v>
      </c>
      <c r="F238" s="110">
        <v>0</v>
      </c>
      <c r="G238" s="110">
        <v>0</v>
      </c>
      <c r="H238" s="110">
        <v>0</v>
      </c>
      <c r="I238" s="110">
        <v>0</v>
      </c>
      <c r="J238" s="110">
        <v>0</v>
      </c>
      <c r="K238" s="110">
        <v>0</v>
      </c>
      <c r="L238" s="110">
        <v>0</v>
      </c>
      <c r="M238" s="110">
        <v>0</v>
      </c>
      <c r="N238" s="110">
        <v>0</v>
      </c>
      <c r="O238" s="110">
        <v>0</v>
      </c>
      <c r="P238" s="110">
        <v>0</v>
      </c>
      <c r="Q238" s="110">
        <v>0</v>
      </c>
      <c r="R238" s="110">
        <v>0</v>
      </c>
      <c r="S238" s="110">
        <v>0</v>
      </c>
      <c r="T238" s="110">
        <v>0</v>
      </c>
      <c r="U238" s="110">
        <v>0</v>
      </c>
      <c r="V238" s="110">
        <v>0</v>
      </c>
      <c r="W238" s="110">
        <v>0</v>
      </c>
      <c r="X238" s="110">
        <v>0</v>
      </c>
      <c r="Y238" s="110">
        <v>0</v>
      </c>
      <c r="Z238" s="110">
        <v>0</v>
      </c>
      <c r="AA238" s="110">
        <v>0</v>
      </c>
      <c r="AB238" s="110">
        <v>0</v>
      </c>
      <c r="AC238" s="110">
        <v>0</v>
      </c>
      <c r="AD238" s="110">
        <v>0</v>
      </c>
      <c r="AE238" s="110">
        <v>0</v>
      </c>
      <c r="AF238" s="110">
        <v>0</v>
      </c>
      <c r="AG238" s="110">
        <v>0</v>
      </c>
      <c r="AH238" s="110">
        <v>0</v>
      </c>
      <c r="AI238" s="110">
        <v>0</v>
      </c>
      <c r="AJ238" s="110">
        <v>0</v>
      </c>
      <c r="AK238" s="110">
        <v>0</v>
      </c>
      <c r="AL238" s="110">
        <v>0</v>
      </c>
      <c r="AM238" s="110">
        <v>0</v>
      </c>
      <c r="AN238" s="110">
        <v>0</v>
      </c>
      <c r="AO238" s="110">
        <v>0</v>
      </c>
      <c r="AP238" s="110">
        <v>0</v>
      </c>
      <c r="AQ238" s="110">
        <v>0</v>
      </c>
      <c r="AR238" s="110">
        <v>0</v>
      </c>
      <c r="AS238" s="110">
        <v>0</v>
      </c>
      <c r="AT238" s="110">
        <v>0</v>
      </c>
      <c r="AU238" s="110">
        <v>0</v>
      </c>
      <c r="AV238" s="110">
        <v>0</v>
      </c>
      <c r="AW238" s="110">
        <v>0</v>
      </c>
      <c r="AX238" s="110">
        <v>0</v>
      </c>
      <c r="AY238" s="110">
        <v>0</v>
      </c>
    </row>
    <row r="239" spans="1:51">
      <c r="A239" s="109"/>
      <c r="B239" s="127">
        <v>31</v>
      </c>
      <c r="C239" s="106">
        <v>0</v>
      </c>
      <c r="D239" s="110">
        <v>0</v>
      </c>
      <c r="E239" s="110">
        <v>0</v>
      </c>
      <c r="F239" s="110">
        <v>0</v>
      </c>
      <c r="G239" s="110">
        <v>0</v>
      </c>
      <c r="H239" s="110">
        <v>0</v>
      </c>
      <c r="I239" s="110">
        <v>0</v>
      </c>
      <c r="J239" s="110">
        <v>0</v>
      </c>
      <c r="K239" s="110">
        <v>0</v>
      </c>
      <c r="L239" s="110">
        <v>0</v>
      </c>
      <c r="M239" s="110">
        <v>0</v>
      </c>
      <c r="N239" s="110">
        <v>0</v>
      </c>
      <c r="O239" s="110">
        <v>0</v>
      </c>
      <c r="P239" s="110">
        <v>0</v>
      </c>
      <c r="Q239" s="110">
        <v>0</v>
      </c>
      <c r="R239" s="110">
        <v>0</v>
      </c>
      <c r="S239" s="110">
        <v>0</v>
      </c>
      <c r="T239" s="110">
        <v>0</v>
      </c>
      <c r="U239" s="110">
        <v>0</v>
      </c>
      <c r="V239" s="110">
        <v>0</v>
      </c>
      <c r="W239" s="110">
        <v>0</v>
      </c>
      <c r="X239" s="110">
        <v>0</v>
      </c>
      <c r="Y239" s="110">
        <v>0</v>
      </c>
      <c r="Z239" s="110">
        <v>0</v>
      </c>
      <c r="AA239" s="110">
        <v>0</v>
      </c>
      <c r="AB239" s="110">
        <v>0</v>
      </c>
      <c r="AC239" s="110">
        <v>0</v>
      </c>
      <c r="AD239" s="110">
        <v>0</v>
      </c>
      <c r="AE239" s="110">
        <v>0</v>
      </c>
      <c r="AF239" s="110">
        <v>0</v>
      </c>
      <c r="AG239" s="110">
        <v>0</v>
      </c>
      <c r="AH239" s="110">
        <v>0</v>
      </c>
      <c r="AI239" s="110">
        <v>0</v>
      </c>
      <c r="AJ239" s="110">
        <v>0</v>
      </c>
      <c r="AK239" s="110">
        <v>0</v>
      </c>
      <c r="AL239" s="110">
        <v>0</v>
      </c>
      <c r="AM239" s="110">
        <v>0</v>
      </c>
      <c r="AN239" s="110">
        <v>0</v>
      </c>
      <c r="AO239" s="110">
        <v>0</v>
      </c>
      <c r="AP239" s="110">
        <v>0</v>
      </c>
      <c r="AQ239" s="110">
        <v>0</v>
      </c>
      <c r="AR239" s="110">
        <v>0</v>
      </c>
      <c r="AS239" s="110">
        <v>0</v>
      </c>
      <c r="AT239" s="110">
        <v>0</v>
      </c>
      <c r="AU239" s="110">
        <v>0</v>
      </c>
      <c r="AV239" s="110">
        <v>0</v>
      </c>
      <c r="AW239" s="110">
        <v>0</v>
      </c>
      <c r="AX239" s="110">
        <v>0</v>
      </c>
      <c r="AY239" s="110">
        <v>0</v>
      </c>
    </row>
    <row r="240" spans="1:51">
      <c r="A240" s="109"/>
      <c r="B240" s="127">
        <v>32</v>
      </c>
      <c r="C240" s="106">
        <v>0</v>
      </c>
      <c r="D240" s="110">
        <v>0</v>
      </c>
      <c r="E240" s="110">
        <v>0</v>
      </c>
      <c r="F240" s="110">
        <v>0</v>
      </c>
      <c r="G240" s="110">
        <v>0</v>
      </c>
      <c r="H240" s="110">
        <v>0</v>
      </c>
      <c r="I240" s="110">
        <v>0</v>
      </c>
      <c r="J240" s="110">
        <v>0</v>
      </c>
      <c r="K240" s="110">
        <v>0</v>
      </c>
      <c r="L240" s="110">
        <v>0</v>
      </c>
      <c r="M240" s="110">
        <v>0</v>
      </c>
      <c r="N240" s="110">
        <v>0</v>
      </c>
      <c r="O240" s="110">
        <v>0</v>
      </c>
      <c r="P240" s="110">
        <v>0</v>
      </c>
      <c r="Q240" s="110">
        <v>0</v>
      </c>
      <c r="R240" s="110">
        <v>0</v>
      </c>
      <c r="S240" s="110">
        <v>0</v>
      </c>
      <c r="T240" s="110">
        <v>0</v>
      </c>
      <c r="U240" s="110">
        <v>0</v>
      </c>
      <c r="V240" s="110">
        <v>0</v>
      </c>
      <c r="W240" s="110">
        <v>0</v>
      </c>
      <c r="X240" s="110">
        <v>0</v>
      </c>
      <c r="Y240" s="110">
        <v>0</v>
      </c>
      <c r="Z240" s="110">
        <v>0</v>
      </c>
      <c r="AA240" s="110">
        <v>0</v>
      </c>
      <c r="AB240" s="110">
        <v>0</v>
      </c>
      <c r="AC240" s="110">
        <v>0</v>
      </c>
      <c r="AD240" s="110">
        <v>0</v>
      </c>
      <c r="AE240" s="110">
        <v>0</v>
      </c>
      <c r="AF240" s="110">
        <v>0</v>
      </c>
      <c r="AG240" s="110">
        <v>0</v>
      </c>
      <c r="AH240" s="110">
        <v>0</v>
      </c>
      <c r="AI240" s="110">
        <v>0</v>
      </c>
      <c r="AJ240" s="110">
        <v>0</v>
      </c>
      <c r="AK240" s="110">
        <v>0</v>
      </c>
      <c r="AL240" s="110">
        <v>0</v>
      </c>
      <c r="AM240" s="110">
        <v>0</v>
      </c>
      <c r="AN240" s="110">
        <v>0</v>
      </c>
      <c r="AO240" s="110">
        <v>0</v>
      </c>
      <c r="AP240" s="110">
        <v>0</v>
      </c>
      <c r="AQ240" s="110">
        <v>0</v>
      </c>
      <c r="AR240" s="110">
        <v>0</v>
      </c>
      <c r="AS240" s="110">
        <v>0</v>
      </c>
      <c r="AT240" s="110">
        <v>0</v>
      </c>
      <c r="AU240" s="110">
        <v>0</v>
      </c>
      <c r="AV240" s="110">
        <v>0</v>
      </c>
      <c r="AW240" s="110">
        <v>0</v>
      </c>
      <c r="AX240" s="110">
        <v>0</v>
      </c>
      <c r="AY240" s="110">
        <v>0</v>
      </c>
    </row>
    <row r="241" spans="1:51">
      <c r="A241" s="109"/>
      <c r="B241" s="127">
        <v>33</v>
      </c>
      <c r="C241" s="106">
        <v>0</v>
      </c>
      <c r="D241" s="110">
        <v>0</v>
      </c>
      <c r="E241" s="110">
        <v>0</v>
      </c>
      <c r="F241" s="110">
        <v>0</v>
      </c>
      <c r="G241" s="110">
        <v>0</v>
      </c>
      <c r="H241" s="110">
        <v>0</v>
      </c>
      <c r="I241" s="110">
        <v>0</v>
      </c>
      <c r="J241" s="110">
        <v>0</v>
      </c>
      <c r="K241" s="110">
        <v>0</v>
      </c>
      <c r="L241" s="110">
        <v>0</v>
      </c>
      <c r="M241" s="110">
        <v>0</v>
      </c>
      <c r="N241" s="110">
        <v>0</v>
      </c>
      <c r="O241" s="110">
        <v>0</v>
      </c>
      <c r="P241" s="110">
        <v>0</v>
      </c>
      <c r="Q241" s="110">
        <v>0</v>
      </c>
      <c r="R241" s="110">
        <v>0</v>
      </c>
      <c r="S241" s="110">
        <v>0</v>
      </c>
      <c r="T241" s="110">
        <v>0</v>
      </c>
      <c r="U241" s="110">
        <v>0</v>
      </c>
      <c r="V241" s="110">
        <v>0</v>
      </c>
      <c r="W241" s="110">
        <v>0</v>
      </c>
      <c r="X241" s="110">
        <v>0</v>
      </c>
      <c r="Y241" s="110">
        <v>0</v>
      </c>
      <c r="Z241" s="110">
        <v>0</v>
      </c>
      <c r="AA241" s="110">
        <v>0</v>
      </c>
      <c r="AB241" s="110">
        <v>0</v>
      </c>
      <c r="AC241" s="110">
        <v>0</v>
      </c>
      <c r="AD241" s="110">
        <v>0</v>
      </c>
      <c r="AE241" s="110">
        <v>0</v>
      </c>
      <c r="AF241" s="110">
        <v>0</v>
      </c>
      <c r="AG241" s="110">
        <v>0</v>
      </c>
      <c r="AH241" s="110">
        <v>0</v>
      </c>
      <c r="AI241" s="110">
        <v>0</v>
      </c>
      <c r="AJ241" s="110">
        <v>0</v>
      </c>
      <c r="AK241" s="110">
        <v>0</v>
      </c>
      <c r="AL241" s="110">
        <v>0</v>
      </c>
      <c r="AM241" s="110">
        <v>0</v>
      </c>
      <c r="AN241" s="110">
        <v>0</v>
      </c>
      <c r="AO241" s="110">
        <v>0</v>
      </c>
      <c r="AP241" s="110">
        <v>0</v>
      </c>
      <c r="AQ241" s="110">
        <v>0</v>
      </c>
      <c r="AR241" s="110">
        <v>0</v>
      </c>
      <c r="AS241" s="110">
        <v>0</v>
      </c>
      <c r="AT241" s="110">
        <v>0</v>
      </c>
      <c r="AU241" s="110">
        <v>0</v>
      </c>
      <c r="AV241" s="110">
        <v>0</v>
      </c>
      <c r="AW241" s="110">
        <v>0</v>
      </c>
      <c r="AX241" s="110">
        <v>0</v>
      </c>
      <c r="AY241" s="110">
        <v>0</v>
      </c>
    </row>
    <row r="242" spans="1:51">
      <c r="A242" s="109"/>
      <c r="B242" s="127">
        <v>34</v>
      </c>
      <c r="C242" s="106">
        <v>0</v>
      </c>
      <c r="D242" s="110">
        <v>0</v>
      </c>
      <c r="E242" s="110">
        <v>0</v>
      </c>
      <c r="F242" s="110">
        <v>0</v>
      </c>
      <c r="G242" s="110">
        <v>0</v>
      </c>
      <c r="H242" s="110">
        <v>0</v>
      </c>
      <c r="I242" s="110">
        <v>0</v>
      </c>
      <c r="J242" s="110">
        <v>0</v>
      </c>
      <c r="K242" s="110">
        <v>0</v>
      </c>
      <c r="L242" s="110">
        <v>0</v>
      </c>
      <c r="M242" s="110">
        <v>0</v>
      </c>
      <c r="N242" s="110">
        <v>0</v>
      </c>
      <c r="O242" s="110">
        <v>0</v>
      </c>
      <c r="P242" s="110">
        <v>0</v>
      </c>
      <c r="Q242" s="110">
        <v>0</v>
      </c>
      <c r="R242" s="110">
        <v>0</v>
      </c>
      <c r="S242" s="110">
        <v>0</v>
      </c>
      <c r="T242" s="110">
        <v>0</v>
      </c>
      <c r="U242" s="110">
        <v>0</v>
      </c>
      <c r="V242" s="110">
        <v>0</v>
      </c>
      <c r="W242" s="110">
        <v>0</v>
      </c>
      <c r="X242" s="110">
        <v>0</v>
      </c>
      <c r="Y242" s="110">
        <v>0</v>
      </c>
      <c r="Z242" s="110">
        <v>0</v>
      </c>
      <c r="AA242" s="110">
        <v>0</v>
      </c>
      <c r="AB242" s="110">
        <v>0</v>
      </c>
      <c r="AC242" s="110">
        <v>0</v>
      </c>
      <c r="AD242" s="110">
        <v>0</v>
      </c>
      <c r="AE242" s="110">
        <v>0</v>
      </c>
      <c r="AF242" s="110">
        <v>0</v>
      </c>
      <c r="AG242" s="110">
        <v>0</v>
      </c>
      <c r="AH242" s="110">
        <v>0</v>
      </c>
      <c r="AI242" s="110">
        <v>0</v>
      </c>
      <c r="AJ242" s="110">
        <v>0</v>
      </c>
      <c r="AK242" s="110">
        <v>0</v>
      </c>
      <c r="AL242" s="110">
        <v>0</v>
      </c>
      <c r="AM242" s="110">
        <v>0</v>
      </c>
      <c r="AN242" s="110">
        <v>0</v>
      </c>
      <c r="AO242" s="110">
        <v>0</v>
      </c>
      <c r="AP242" s="110">
        <v>0</v>
      </c>
      <c r="AQ242" s="110">
        <v>0</v>
      </c>
      <c r="AR242" s="110">
        <v>0</v>
      </c>
      <c r="AS242" s="110">
        <v>0</v>
      </c>
      <c r="AT242" s="110">
        <v>0</v>
      </c>
      <c r="AU242" s="110">
        <v>0</v>
      </c>
      <c r="AV242" s="110">
        <v>0</v>
      </c>
      <c r="AW242" s="110">
        <v>0</v>
      </c>
      <c r="AX242" s="110">
        <v>0</v>
      </c>
      <c r="AY242" s="110">
        <v>0</v>
      </c>
    </row>
    <row r="243" spans="1:51">
      <c r="A243" s="109"/>
      <c r="B243" s="127">
        <v>35</v>
      </c>
      <c r="C243" s="106">
        <v>0</v>
      </c>
      <c r="D243" s="110">
        <v>0</v>
      </c>
      <c r="E243" s="110">
        <v>0</v>
      </c>
      <c r="F243" s="110">
        <v>0</v>
      </c>
      <c r="G243" s="110">
        <v>0</v>
      </c>
      <c r="H243" s="110">
        <v>0</v>
      </c>
      <c r="I243" s="110">
        <v>0</v>
      </c>
      <c r="J243" s="110">
        <v>0</v>
      </c>
      <c r="K243" s="110">
        <v>0</v>
      </c>
      <c r="L243" s="110">
        <v>0</v>
      </c>
      <c r="M243" s="110">
        <v>0</v>
      </c>
      <c r="N243" s="110">
        <v>0</v>
      </c>
      <c r="O243" s="110">
        <v>0</v>
      </c>
      <c r="P243" s="110">
        <v>0</v>
      </c>
      <c r="Q243" s="110">
        <v>0</v>
      </c>
      <c r="R243" s="110">
        <v>0</v>
      </c>
      <c r="S243" s="110">
        <v>0</v>
      </c>
      <c r="T243" s="110">
        <v>0</v>
      </c>
      <c r="U243" s="110">
        <v>0</v>
      </c>
      <c r="V243" s="110">
        <v>0</v>
      </c>
      <c r="W243" s="110">
        <v>0</v>
      </c>
      <c r="X243" s="110">
        <v>0</v>
      </c>
      <c r="Y243" s="110">
        <v>0</v>
      </c>
      <c r="Z243" s="110">
        <v>0</v>
      </c>
      <c r="AA243" s="110">
        <v>0</v>
      </c>
      <c r="AB243" s="110">
        <v>0</v>
      </c>
      <c r="AC243" s="110">
        <v>0</v>
      </c>
      <c r="AD243" s="110">
        <v>0</v>
      </c>
      <c r="AE243" s="110">
        <v>0</v>
      </c>
      <c r="AF243" s="110">
        <v>0</v>
      </c>
      <c r="AG243" s="110">
        <v>0</v>
      </c>
      <c r="AH243" s="110">
        <v>0</v>
      </c>
      <c r="AI243" s="110">
        <v>0</v>
      </c>
      <c r="AJ243" s="110">
        <v>0</v>
      </c>
      <c r="AK243" s="110">
        <v>0</v>
      </c>
      <c r="AL243" s="110">
        <v>0</v>
      </c>
      <c r="AM243" s="110">
        <v>0</v>
      </c>
      <c r="AN243" s="110">
        <v>0</v>
      </c>
      <c r="AO243" s="110">
        <v>0</v>
      </c>
      <c r="AP243" s="110">
        <v>0</v>
      </c>
      <c r="AQ243" s="110">
        <v>0</v>
      </c>
      <c r="AR243" s="110">
        <v>0</v>
      </c>
      <c r="AS243" s="110">
        <v>0</v>
      </c>
      <c r="AT243" s="110">
        <v>0</v>
      </c>
      <c r="AU243" s="110">
        <v>0</v>
      </c>
      <c r="AV243" s="110">
        <v>0</v>
      </c>
      <c r="AW243" s="110">
        <v>0</v>
      </c>
      <c r="AX243" s="110">
        <v>0</v>
      </c>
      <c r="AY243" s="110">
        <v>0</v>
      </c>
    </row>
    <row r="244" spans="1:51">
      <c r="A244" s="109"/>
      <c r="B244" s="127">
        <v>36</v>
      </c>
      <c r="C244" s="106">
        <v>0</v>
      </c>
      <c r="D244" s="110">
        <v>0</v>
      </c>
      <c r="E244" s="110">
        <v>0</v>
      </c>
      <c r="F244" s="110">
        <v>0</v>
      </c>
      <c r="G244" s="110">
        <v>0</v>
      </c>
      <c r="H244" s="110">
        <v>0</v>
      </c>
      <c r="I244" s="110">
        <v>0</v>
      </c>
      <c r="J244" s="110">
        <v>0</v>
      </c>
      <c r="K244" s="110">
        <v>0</v>
      </c>
      <c r="L244" s="110">
        <v>0</v>
      </c>
      <c r="M244" s="110">
        <v>0</v>
      </c>
      <c r="N244" s="110">
        <v>0</v>
      </c>
      <c r="O244" s="110">
        <v>0</v>
      </c>
      <c r="P244" s="110">
        <v>0</v>
      </c>
      <c r="Q244" s="110">
        <v>0</v>
      </c>
      <c r="R244" s="110">
        <v>0</v>
      </c>
      <c r="S244" s="110">
        <v>0</v>
      </c>
      <c r="T244" s="110">
        <v>0</v>
      </c>
      <c r="U244" s="110">
        <v>0</v>
      </c>
      <c r="V244" s="110">
        <v>0</v>
      </c>
      <c r="W244" s="110">
        <v>0</v>
      </c>
      <c r="X244" s="110">
        <v>0</v>
      </c>
      <c r="Y244" s="110">
        <v>0</v>
      </c>
      <c r="Z244" s="110">
        <v>0</v>
      </c>
      <c r="AA244" s="110">
        <v>0</v>
      </c>
      <c r="AB244" s="110">
        <v>0</v>
      </c>
      <c r="AC244" s="110">
        <v>0</v>
      </c>
      <c r="AD244" s="110">
        <v>0</v>
      </c>
      <c r="AE244" s="110">
        <v>0</v>
      </c>
      <c r="AF244" s="110">
        <v>0</v>
      </c>
      <c r="AG244" s="110">
        <v>0</v>
      </c>
      <c r="AH244" s="110">
        <v>0</v>
      </c>
      <c r="AI244" s="110">
        <v>0</v>
      </c>
      <c r="AJ244" s="110">
        <v>0</v>
      </c>
      <c r="AK244" s="110">
        <v>0</v>
      </c>
      <c r="AL244" s="110">
        <v>0</v>
      </c>
      <c r="AM244" s="110">
        <v>0</v>
      </c>
      <c r="AN244" s="110">
        <v>0</v>
      </c>
      <c r="AO244" s="110">
        <v>0</v>
      </c>
      <c r="AP244" s="110">
        <v>0</v>
      </c>
      <c r="AQ244" s="110">
        <v>0</v>
      </c>
      <c r="AR244" s="110">
        <v>0</v>
      </c>
      <c r="AS244" s="110">
        <v>0</v>
      </c>
      <c r="AT244" s="110">
        <v>0</v>
      </c>
      <c r="AU244" s="110">
        <v>0</v>
      </c>
      <c r="AV244" s="110">
        <v>0</v>
      </c>
      <c r="AW244" s="110">
        <v>0</v>
      </c>
      <c r="AX244" s="110">
        <v>0</v>
      </c>
      <c r="AY244" s="110">
        <v>0</v>
      </c>
    </row>
    <row r="245" spans="1:51">
      <c r="A245" s="109"/>
      <c r="B245" s="130">
        <v>37</v>
      </c>
      <c r="C245" s="106">
        <v>0</v>
      </c>
      <c r="D245" s="110">
        <v>0</v>
      </c>
      <c r="E245" s="110">
        <v>0</v>
      </c>
      <c r="F245" s="110">
        <v>0</v>
      </c>
      <c r="G245" s="110">
        <v>0</v>
      </c>
      <c r="H245" s="110">
        <v>0</v>
      </c>
      <c r="I245" s="110">
        <v>0</v>
      </c>
      <c r="J245" s="110">
        <v>0</v>
      </c>
      <c r="K245" s="110">
        <v>0</v>
      </c>
      <c r="L245" s="110">
        <v>0</v>
      </c>
      <c r="M245" s="110">
        <v>0</v>
      </c>
      <c r="N245" s="110">
        <v>0</v>
      </c>
      <c r="O245" s="110">
        <v>0</v>
      </c>
      <c r="P245" s="110">
        <v>0</v>
      </c>
      <c r="Q245" s="110">
        <v>0</v>
      </c>
      <c r="R245" s="110">
        <v>0</v>
      </c>
      <c r="S245" s="110">
        <v>0</v>
      </c>
      <c r="T245" s="110">
        <v>0</v>
      </c>
      <c r="U245" s="110">
        <v>0</v>
      </c>
      <c r="V245" s="110">
        <v>0</v>
      </c>
      <c r="W245" s="110">
        <v>0</v>
      </c>
      <c r="X245" s="110">
        <v>0</v>
      </c>
      <c r="Y245" s="110">
        <v>0</v>
      </c>
      <c r="Z245" s="110">
        <v>0</v>
      </c>
      <c r="AA245" s="110">
        <v>0</v>
      </c>
      <c r="AB245" s="110">
        <v>0</v>
      </c>
      <c r="AC245" s="110">
        <v>0</v>
      </c>
      <c r="AD245" s="110">
        <v>0</v>
      </c>
      <c r="AE245" s="110">
        <v>0</v>
      </c>
      <c r="AF245" s="110">
        <v>0</v>
      </c>
      <c r="AG245" s="110">
        <v>0</v>
      </c>
      <c r="AH245" s="110">
        <v>0</v>
      </c>
      <c r="AI245" s="110">
        <v>0</v>
      </c>
      <c r="AJ245" s="110">
        <v>0</v>
      </c>
      <c r="AK245" s="110">
        <v>0</v>
      </c>
      <c r="AL245" s="110">
        <v>0</v>
      </c>
      <c r="AM245" s="110">
        <v>0</v>
      </c>
      <c r="AN245" s="110">
        <v>0</v>
      </c>
      <c r="AO245" s="110">
        <v>0</v>
      </c>
      <c r="AP245" s="110">
        <v>0</v>
      </c>
      <c r="AQ245" s="110">
        <v>0</v>
      </c>
      <c r="AR245" s="110">
        <v>0</v>
      </c>
      <c r="AS245" s="110">
        <v>0</v>
      </c>
      <c r="AT245" s="110">
        <v>0</v>
      </c>
      <c r="AU245" s="110">
        <v>0</v>
      </c>
      <c r="AV245" s="110">
        <v>0</v>
      </c>
      <c r="AW245" s="110">
        <v>0</v>
      </c>
      <c r="AX245" s="110">
        <v>0</v>
      </c>
      <c r="AY245" s="110">
        <v>0</v>
      </c>
    </row>
    <row r="246" spans="1:51">
      <c r="A246" s="109"/>
      <c r="B246" s="130">
        <v>38</v>
      </c>
      <c r="C246" s="106">
        <v>0</v>
      </c>
      <c r="D246" s="110">
        <v>0</v>
      </c>
      <c r="E246" s="110">
        <v>0</v>
      </c>
      <c r="F246" s="110">
        <v>0</v>
      </c>
      <c r="G246" s="110">
        <v>0</v>
      </c>
      <c r="H246" s="110">
        <v>0</v>
      </c>
      <c r="I246" s="110">
        <v>0</v>
      </c>
      <c r="J246" s="110">
        <v>0</v>
      </c>
      <c r="K246" s="110">
        <v>0</v>
      </c>
      <c r="L246" s="110">
        <v>0</v>
      </c>
      <c r="M246" s="110">
        <v>0</v>
      </c>
      <c r="N246" s="110">
        <v>0</v>
      </c>
      <c r="O246" s="110">
        <v>0</v>
      </c>
      <c r="P246" s="110">
        <v>0</v>
      </c>
      <c r="Q246" s="110">
        <v>0</v>
      </c>
      <c r="R246" s="110">
        <v>0</v>
      </c>
      <c r="S246" s="110">
        <v>0</v>
      </c>
      <c r="T246" s="110">
        <v>0</v>
      </c>
      <c r="U246" s="110">
        <v>0</v>
      </c>
      <c r="V246" s="110">
        <v>0</v>
      </c>
      <c r="W246" s="110">
        <v>0</v>
      </c>
      <c r="X246" s="110">
        <v>0</v>
      </c>
      <c r="Y246" s="110">
        <v>0</v>
      </c>
      <c r="Z246" s="110">
        <v>0</v>
      </c>
      <c r="AA246" s="110">
        <v>0</v>
      </c>
      <c r="AB246" s="110">
        <v>0</v>
      </c>
      <c r="AC246" s="110">
        <v>0</v>
      </c>
      <c r="AD246" s="110">
        <v>0</v>
      </c>
      <c r="AE246" s="110">
        <v>0</v>
      </c>
      <c r="AF246" s="110">
        <v>0</v>
      </c>
      <c r="AG246" s="110">
        <v>0</v>
      </c>
      <c r="AH246" s="110">
        <v>0</v>
      </c>
      <c r="AI246" s="110">
        <v>0</v>
      </c>
      <c r="AJ246" s="110">
        <v>0</v>
      </c>
      <c r="AK246" s="110">
        <v>0</v>
      </c>
      <c r="AL246" s="110">
        <v>0</v>
      </c>
      <c r="AM246" s="110">
        <v>0</v>
      </c>
      <c r="AN246" s="110">
        <v>0</v>
      </c>
      <c r="AO246" s="110">
        <v>0</v>
      </c>
      <c r="AP246" s="110">
        <v>0</v>
      </c>
      <c r="AQ246" s="110">
        <v>0</v>
      </c>
      <c r="AR246" s="110">
        <v>0</v>
      </c>
      <c r="AS246" s="110">
        <v>0</v>
      </c>
      <c r="AT246" s="110">
        <v>0</v>
      </c>
      <c r="AU246" s="110">
        <v>0</v>
      </c>
      <c r="AV246" s="110">
        <v>0</v>
      </c>
      <c r="AW246" s="110">
        <v>0</v>
      </c>
      <c r="AX246" s="110">
        <v>0</v>
      </c>
      <c r="AY246" s="110">
        <v>0</v>
      </c>
    </row>
    <row r="247" spans="1:51">
      <c r="A247" s="109"/>
      <c r="B247" s="130">
        <v>39</v>
      </c>
      <c r="C247" s="106">
        <v>0</v>
      </c>
      <c r="D247" s="110">
        <v>0</v>
      </c>
      <c r="E247" s="110">
        <v>0</v>
      </c>
      <c r="F247" s="110">
        <v>0</v>
      </c>
      <c r="G247" s="110">
        <v>0</v>
      </c>
      <c r="H247" s="110">
        <v>0</v>
      </c>
      <c r="I247" s="110">
        <v>0</v>
      </c>
      <c r="J247" s="110">
        <v>0</v>
      </c>
      <c r="K247" s="110">
        <v>0</v>
      </c>
      <c r="L247" s="110">
        <v>0</v>
      </c>
      <c r="M247" s="110">
        <v>0</v>
      </c>
      <c r="N247" s="110">
        <v>0</v>
      </c>
      <c r="O247" s="110">
        <v>0</v>
      </c>
      <c r="P247" s="110">
        <v>0</v>
      </c>
      <c r="Q247" s="110">
        <v>0</v>
      </c>
      <c r="R247" s="110">
        <v>0</v>
      </c>
      <c r="S247" s="110">
        <v>0</v>
      </c>
      <c r="T247" s="110">
        <v>0</v>
      </c>
      <c r="U247" s="110">
        <v>0</v>
      </c>
      <c r="V247" s="110">
        <v>0</v>
      </c>
      <c r="W247" s="110">
        <v>0</v>
      </c>
      <c r="X247" s="110">
        <v>0</v>
      </c>
      <c r="Y247" s="110">
        <v>0</v>
      </c>
      <c r="Z247" s="110">
        <v>0</v>
      </c>
      <c r="AA247" s="110">
        <v>0</v>
      </c>
      <c r="AB247" s="110">
        <v>0</v>
      </c>
      <c r="AC247" s="110">
        <v>0</v>
      </c>
      <c r="AD247" s="110">
        <v>0</v>
      </c>
      <c r="AE247" s="110">
        <v>0</v>
      </c>
      <c r="AF247" s="110">
        <v>0</v>
      </c>
      <c r="AG247" s="110">
        <v>0</v>
      </c>
      <c r="AH247" s="110">
        <v>0</v>
      </c>
      <c r="AI247" s="110">
        <v>0</v>
      </c>
      <c r="AJ247" s="110">
        <v>0</v>
      </c>
      <c r="AK247" s="110">
        <v>0</v>
      </c>
      <c r="AL247" s="110">
        <v>0</v>
      </c>
      <c r="AM247" s="110">
        <v>0</v>
      </c>
      <c r="AN247" s="110">
        <v>0</v>
      </c>
      <c r="AO247" s="110">
        <v>0</v>
      </c>
      <c r="AP247" s="110">
        <v>0</v>
      </c>
      <c r="AQ247" s="110">
        <v>0</v>
      </c>
      <c r="AR247" s="110">
        <v>0</v>
      </c>
      <c r="AS247" s="110">
        <v>0</v>
      </c>
      <c r="AT247" s="110">
        <v>0</v>
      </c>
      <c r="AU247" s="110">
        <v>0</v>
      </c>
      <c r="AV247" s="110">
        <v>0</v>
      </c>
      <c r="AW247" s="110">
        <v>0</v>
      </c>
      <c r="AX247" s="110">
        <v>0</v>
      </c>
      <c r="AY247" s="110">
        <v>0</v>
      </c>
    </row>
    <row r="248" spans="1:51">
      <c r="A248" s="109"/>
      <c r="B248" s="130">
        <v>40</v>
      </c>
      <c r="C248" s="106">
        <v>0</v>
      </c>
      <c r="D248" s="110">
        <v>0</v>
      </c>
      <c r="E248" s="110">
        <v>0</v>
      </c>
      <c r="F248" s="110">
        <v>0</v>
      </c>
      <c r="G248" s="110">
        <v>0</v>
      </c>
      <c r="H248" s="110">
        <v>0</v>
      </c>
      <c r="I248" s="110">
        <v>0</v>
      </c>
      <c r="J248" s="110">
        <v>0</v>
      </c>
      <c r="K248" s="110">
        <v>0</v>
      </c>
      <c r="L248" s="110">
        <v>0</v>
      </c>
      <c r="M248" s="110">
        <v>0</v>
      </c>
      <c r="N248" s="110">
        <v>0</v>
      </c>
      <c r="O248" s="110">
        <v>0</v>
      </c>
      <c r="P248" s="110">
        <v>0</v>
      </c>
      <c r="Q248" s="110">
        <v>0</v>
      </c>
      <c r="R248" s="110">
        <v>0</v>
      </c>
      <c r="S248" s="110">
        <v>0</v>
      </c>
      <c r="T248" s="110">
        <v>0</v>
      </c>
      <c r="U248" s="110">
        <v>0</v>
      </c>
      <c r="V248" s="110">
        <v>0</v>
      </c>
      <c r="W248" s="110">
        <v>0</v>
      </c>
      <c r="X248" s="110">
        <v>0</v>
      </c>
      <c r="Y248" s="110">
        <v>0</v>
      </c>
      <c r="Z248" s="110">
        <v>0</v>
      </c>
      <c r="AA248" s="110">
        <v>0</v>
      </c>
      <c r="AB248" s="110">
        <v>0</v>
      </c>
      <c r="AC248" s="110">
        <v>0</v>
      </c>
      <c r="AD248" s="110">
        <v>0</v>
      </c>
      <c r="AE248" s="110">
        <v>0</v>
      </c>
      <c r="AF248" s="110">
        <v>0</v>
      </c>
      <c r="AG248" s="110">
        <v>0</v>
      </c>
      <c r="AH248" s="110">
        <v>0</v>
      </c>
      <c r="AI248" s="110">
        <v>0</v>
      </c>
      <c r="AJ248" s="110">
        <v>0</v>
      </c>
      <c r="AK248" s="110">
        <v>0</v>
      </c>
      <c r="AL248" s="110">
        <v>0</v>
      </c>
      <c r="AM248" s="110">
        <v>0</v>
      </c>
      <c r="AN248" s="110">
        <v>0</v>
      </c>
      <c r="AO248" s="110">
        <v>0</v>
      </c>
      <c r="AP248" s="110">
        <v>0</v>
      </c>
      <c r="AQ248" s="110">
        <v>0</v>
      </c>
      <c r="AR248" s="110">
        <v>0</v>
      </c>
      <c r="AS248" s="110">
        <v>0</v>
      </c>
      <c r="AT248" s="110">
        <v>0</v>
      </c>
      <c r="AU248" s="110">
        <v>0</v>
      </c>
      <c r="AV248" s="110">
        <v>0</v>
      </c>
      <c r="AW248" s="110">
        <v>0</v>
      </c>
      <c r="AX248" s="110">
        <v>0</v>
      </c>
      <c r="AY248" s="110">
        <v>0</v>
      </c>
    </row>
    <row r="249" spans="1:51">
      <c r="A249" s="109"/>
      <c r="B249" s="130">
        <v>41</v>
      </c>
      <c r="C249" s="106">
        <v>0</v>
      </c>
      <c r="D249" s="110">
        <v>0</v>
      </c>
      <c r="E249" s="110">
        <v>0</v>
      </c>
      <c r="F249" s="110">
        <v>0</v>
      </c>
      <c r="G249" s="110">
        <v>0</v>
      </c>
      <c r="H249" s="110">
        <v>0</v>
      </c>
      <c r="I249" s="110">
        <v>0</v>
      </c>
      <c r="J249" s="110">
        <v>0</v>
      </c>
      <c r="K249" s="110">
        <v>0</v>
      </c>
      <c r="L249" s="110">
        <v>0</v>
      </c>
      <c r="M249" s="110">
        <v>0</v>
      </c>
      <c r="N249" s="110">
        <v>0</v>
      </c>
      <c r="O249" s="110">
        <v>0</v>
      </c>
      <c r="P249" s="110">
        <v>0</v>
      </c>
      <c r="Q249" s="110">
        <v>0</v>
      </c>
      <c r="R249" s="110">
        <v>0</v>
      </c>
      <c r="S249" s="110">
        <v>0</v>
      </c>
      <c r="T249" s="110">
        <v>0</v>
      </c>
      <c r="U249" s="110">
        <v>0</v>
      </c>
      <c r="V249" s="110">
        <v>0</v>
      </c>
      <c r="W249" s="110">
        <v>0</v>
      </c>
      <c r="X249" s="110">
        <v>0</v>
      </c>
      <c r="Y249" s="110">
        <v>0</v>
      </c>
      <c r="Z249" s="110">
        <v>0</v>
      </c>
      <c r="AA249" s="110">
        <v>0</v>
      </c>
      <c r="AB249" s="110">
        <v>0</v>
      </c>
      <c r="AC249" s="110">
        <v>0</v>
      </c>
      <c r="AD249" s="110">
        <v>0</v>
      </c>
      <c r="AE249" s="110">
        <v>0</v>
      </c>
      <c r="AF249" s="110">
        <v>0</v>
      </c>
      <c r="AG249" s="110">
        <v>0</v>
      </c>
      <c r="AH249" s="110">
        <v>0</v>
      </c>
      <c r="AI249" s="110">
        <v>0</v>
      </c>
      <c r="AJ249" s="110">
        <v>0</v>
      </c>
      <c r="AK249" s="110">
        <v>0</v>
      </c>
      <c r="AL249" s="110">
        <v>0</v>
      </c>
      <c r="AM249" s="110">
        <v>0</v>
      </c>
      <c r="AN249" s="110">
        <v>0</v>
      </c>
      <c r="AO249" s="110">
        <v>0</v>
      </c>
      <c r="AP249" s="110">
        <v>0</v>
      </c>
      <c r="AQ249" s="110">
        <v>0</v>
      </c>
      <c r="AR249" s="110">
        <v>0</v>
      </c>
      <c r="AS249" s="110">
        <v>0</v>
      </c>
      <c r="AT249" s="110">
        <v>0</v>
      </c>
      <c r="AU249" s="110">
        <v>0</v>
      </c>
      <c r="AV249" s="110">
        <v>0</v>
      </c>
      <c r="AW249" s="110">
        <v>0</v>
      </c>
      <c r="AX249" s="110">
        <v>0</v>
      </c>
      <c r="AY249" s="110">
        <v>0</v>
      </c>
    </row>
    <row r="250" spans="1:51">
      <c r="A250" s="109"/>
      <c r="B250" s="130">
        <v>42</v>
      </c>
      <c r="C250" s="106">
        <v>0</v>
      </c>
      <c r="D250" s="110">
        <v>0</v>
      </c>
      <c r="E250" s="110">
        <v>0</v>
      </c>
      <c r="F250" s="110">
        <v>0</v>
      </c>
      <c r="G250" s="110">
        <v>0</v>
      </c>
      <c r="H250" s="110">
        <v>0</v>
      </c>
      <c r="I250" s="110">
        <v>0</v>
      </c>
      <c r="J250" s="110">
        <v>0</v>
      </c>
      <c r="K250" s="110">
        <v>0</v>
      </c>
      <c r="L250" s="110">
        <v>0</v>
      </c>
      <c r="M250" s="110">
        <v>0</v>
      </c>
      <c r="N250" s="110">
        <v>0</v>
      </c>
      <c r="O250" s="110">
        <v>0</v>
      </c>
      <c r="P250" s="110">
        <v>0</v>
      </c>
      <c r="Q250" s="110">
        <v>0</v>
      </c>
      <c r="R250" s="110">
        <v>0</v>
      </c>
      <c r="S250" s="110">
        <v>0</v>
      </c>
      <c r="T250" s="110">
        <v>0</v>
      </c>
      <c r="U250" s="110">
        <v>0</v>
      </c>
      <c r="V250" s="110">
        <v>0</v>
      </c>
      <c r="W250" s="110">
        <v>0</v>
      </c>
      <c r="X250" s="110">
        <v>0</v>
      </c>
      <c r="Y250" s="110">
        <v>0</v>
      </c>
      <c r="Z250" s="110">
        <v>0</v>
      </c>
      <c r="AA250" s="110">
        <v>0</v>
      </c>
      <c r="AB250" s="110">
        <v>0</v>
      </c>
      <c r="AC250" s="110">
        <v>0</v>
      </c>
      <c r="AD250" s="110">
        <v>0</v>
      </c>
      <c r="AE250" s="110">
        <v>0</v>
      </c>
      <c r="AF250" s="110">
        <v>0</v>
      </c>
      <c r="AG250" s="110">
        <v>0</v>
      </c>
      <c r="AH250" s="110">
        <v>0</v>
      </c>
      <c r="AI250" s="110">
        <v>0</v>
      </c>
      <c r="AJ250" s="110">
        <v>0</v>
      </c>
      <c r="AK250" s="110">
        <v>0</v>
      </c>
      <c r="AL250" s="110">
        <v>0</v>
      </c>
      <c r="AM250" s="110">
        <v>0</v>
      </c>
      <c r="AN250" s="110">
        <v>0</v>
      </c>
      <c r="AO250" s="110">
        <v>0</v>
      </c>
      <c r="AP250" s="110">
        <v>0</v>
      </c>
      <c r="AQ250" s="110">
        <v>0</v>
      </c>
      <c r="AR250" s="110">
        <v>0</v>
      </c>
      <c r="AS250" s="110">
        <v>0</v>
      </c>
      <c r="AT250" s="110">
        <v>0</v>
      </c>
      <c r="AU250" s="110">
        <v>0</v>
      </c>
      <c r="AV250" s="110">
        <v>0</v>
      </c>
      <c r="AW250" s="110">
        <v>0</v>
      </c>
      <c r="AX250" s="110">
        <v>0</v>
      </c>
      <c r="AY250" s="110">
        <v>0</v>
      </c>
    </row>
    <row r="251" spans="1:51">
      <c r="A251" s="109"/>
      <c r="B251" s="130">
        <v>43</v>
      </c>
      <c r="C251" s="106">
        <v>0</v>
      </c>
      <c r="D251" s="110">
        <v>0</v>
      </c>
      <c r="E251" s="110">
        <v>0</v>
      </c>
      <c r="F251" s="110">
        <v>0</v>
      </c>
      <c r="G251" s="110">
        <v>0</v>
      </c>
      <c r="H251" s="110">
        <v>0</v>
      </c>
      <c r="I251" s="110">
        <v>0</v>
      </c>
      <c r="J251" s="110">
        <v>0</v>
      </c>
      <c r="K251" s="110">
        <v>0</v>
      </c>
      <c r="L251" s="110">
        <v>0</v>
      </c>
      <c r="M251" s="110">
        <v>0</v>
      </c>
      <c r="N251" s="110">
        <v>0</v>
      </c>
      <c r="O251" s="110">
        <v>0</v>
      </c>
      <c r="P251" s="110">
        <v>0</v>
      </c>
      <c r="Q251" s="110">
        <v>0</v>
      </c>
      <c r="R251" s="110">
        <v>0</v>
      </c>
      <c r="S251" s="110">
        <v>0</v>
      </c>
      <c r="T251" s="110">
        <v>0</v>
      </c>
      <c r="U251" s="110">
        <v>0</v>
      </c>
      <c r="V251" s="110">
        <v>0</v>
      </c>
      <c r="W251" s="110">
        <v>0</v>
      </c>
      <c r="X251" s="110">
        <v>0</v>
      </c>
      <c r="Y251" s="110">
        <v>0</v>
      </c>
      <c r="Z251" s="110">
        <v>0</v>
      </c>
      <c r="AA251" s="110">
        <v>0</v>
      </c>
      <c r="AB251" s="110">
        <v>0</v>
      </c>
      <c r="AC251" s="110">
        <v>0</v>
      </c>
      <c r="AD251" s="110">
        <v>0</v>
      </c>
      <c r="AE251" s="110">
        <v>0</v>
      </c>
      <c r="AF251" s="110">
        <v>0</v>
      </c>
      <c r="AG251" s="110">
        <v>0</v>
      </c>
      <c r="AH251" s="110">
        <v>0</v>
      </c>
      <c r="AI251" s="110">
        <v>0</v>
      </c>
      <c r="AJ251" s="110">
        <v>0</v>
      </c>
      <c r="AK251" s="110">
        <v>0</v>
      </c>
      <c r="AL251" s="110">
        <v>0</v>
      </c>
      <c r="AM251" s="110">
        <v>0</v>
      </c>
      <c r="AN251" s="110">
        <v>0</v>
      </c>
      <c r="AO251" s="110">
        <v>0</v>
      </c>
      <c r="AP251" s="110">
        <v>0</v>
      </c>
      <c r="AQ251" s="110">
        <v>0</v>
      </c>
      <c r="AR251" s="110">
        <v>0</v>
      </c>
      <c r="AS251" s="110">
        <v>0</v>
      </c>
      <c r="AT251" s="110">
        <v>0</v>
      </c>
      <c r="AU251" s="110">
        <v>0</v>
      </c>
      <c r="AV251" s="110">
        <v>0</v>
      </c>
      <c r="AW251" s="110">
        <v>0</v>
      </c>
      <c r="AX251" s="110">
        <v>0</v>
      </c>
      <c r="AY251" s="110">
        <v>0</v>
      </c>
    </row>
    <row r="252" spans="1:51">
      <c r="A252" s="109"/>
      <c r="B252" s="130">
        <v>44</v>
      </c>
      <c r="C252" s="106">
        <v>0</v>
      </c>
      <c r="D252" s="110">
        <v>0</v>
      </c>
      <c r="E252" s="110">
        <v>0</v>
      </c>
      <c r="F252" s="110">
        <v>0</v>
      </c>
      <c r="G252" s="110">
        <v>0</v>
      </c>
      <c r="H252" s="110">
        <v>0</v>
      </c>
      <c r="I252" s="110">
        <v>0</v>
      </c>
      <c r="J252" s="110">
        <v>0</v>
      </c>
      <c r="K252" s="110">
        <v>0</v>
      </c>
      <c r="L252" s="110">
        <v>0</v>
      </c>
      <c r="M252" s="110">
        <v>0</v>
      </c>
      <c r="N252" s="110">
        <v>0</v>
      </c>
      <c r="O252" s="110">
        <v>0</v>
      </c>
      <c r="P252" s="110">
        <v>0</v>
      </c>
      <c r="Q252" s="110">
        <v>0</v>
      </c>
      <c r="R252" s="110">
        <v>0</v>
      </c>
      <c r="S252" s="110">
        <v>0</v>
      </c>
      <c r="T252" s="110">
        <v>0</v>
      </c>
      <c r="U252" s="110">
        <v>0</v>
      </c>
      <c r="V252" s="110">
        <v>0</v>
      </c>
      <c r="W252" s="110">
        <v>0</v>
      </c>
      <c r="X252" s="110">
        <v>0</v>
      </c>
      <c r="Y252" s="110">
        <v>0</v>
      </c>
      <c r="Z252" s="110">
        <v>0</v>
      </c>
      <c r="AA252" s="110">
        <v>0</v>
      </c>
      <c r="AB252" s="110">
        <v>0</v>
      </c>
      <c r="AC252" s="110">
        <v>0</v>
      </c>
      <c r="AD252" s="110">
        <v>0</v>
      </c>
      <c r="AE252" s="110">
        <v>0</v>
      </c>
      <c r="AF252" s="110">
        <v>0</v>
      </c>
      <c r="AG252" s="110">
        <v>0</v>
      </c>
      <c r="AH252" s="110">
        <v>0</v>
      </c>
      <c r="AI252" s="110">
        <v>0</v>
      </c>
      <c r="AJ252" s="110">
        <v>0</v>
      </c>
      <c r="AK252" s="110">
        <v>0</v>
      </c>
      <c r="AL252" s="110">
        <v>0</v>
      </c>
      <c r="AM252" s="110">
        <v>0</v>
      </c>
      <c r="AN252" s="110">
        <v>0</v>
      </c>
      <c r="AO252" s="110">
        <v>0</v>
      </c>
      <c r="AP252" s="110">
        <v>0</v>
      </c>
      <c r="AQ252" s="110">
        <v>0</v>
      </c>
      <c r="AR252" s="110">
        <v>0</v>
      </c>
      <c r="AS252" s="110">
        <v>0</v>
      </c>
      <c r="AT252" s="110">
        <v>0</v>
      </c>
      <c r="AU252" s="110">
        <v>0</v>
      </c>
      <c r="AV252" s="110">
        <v>0</v>
      </c>
      <c r="AW252" s="110">
        <v>0</v>
      </c>
      <c r="AX252" s="110">
        <v>0</v>
      </c>
      <c r="AY252" s="110">
        <v>0</v>
      </c>
    </row>
    <row r="253" spans="1:51">
      <c r="A253" s="109"/>
      <c r="B253" s="130">
        <v>45</v>
      </c>
      <c r="C253" s="106">
        <v>0</v>
      </c>
      <c r="D253" s="110">
        <v>0</v>
      </c>
      <c r="E253" s="110">
        <v>0</v>
      </c>
      <c r="F253" s="110">
        <v>0</v>
      </c>
      <c r="G253" s="110">
        <v>0</v>
      </c>
      <c r="H253" s="110">
        <v>0</v>
      </c>
      <c r="I253" s="110">
        <v>0</v>
      </c>
      <c r="J253" s="110">
        <v>0</v>
      </c>
      <c r="K253" s="110">
        <v>0</v>
      </c>
      <c r="L253" s="110">
        <v>0</v>
      </c>
      <c r="M253" s="110">
        <v>0</v>
      </c>
      <c r="N253" s="110">
        <v>0</v>
      </c>
      <c r="O253" s="110">
        <v>0</v>
      </c>
      <c r="P253" s="110">
        <v>0</v>
      </c>
      <c r="Q253" s="110">
        <v>0</v>
      </c>
      <c r="R253" s="110">
        <v>0</v>
      </c>
      <c r="S253" s="110">
        <v>0</v>
      </c>
      <c r="T253" s="110">
        <v>0</v>
      </c>
      <c r="U253" s="110">
        <v>0</v>
      </c>
      <c r="V253" s="110">
        <v>0</v>
      </c>
      <c r="W253" s="110">
        <v>0</v>
      </c>
      <c r="X253" s="110">
        <v>0</v>
      </c>
      <c r="Y253" s="110">
        <v>0</v>
      </c>
      <c r="Z253" s="110">
        <v>0</v>
      </c>
      <c r="AA253" s="110">
        <v>0</v>
      </c>
      <c r="AB253" s="110">
        <v>0</v>
      </c>
      <c r="AC253" s="110">
        <v>0</v>
      </c>
      <c r="AD253" s="110">
        <v>0</v>
      </c>
      <c r="AE253" s="110">
        <v>0</v>
      </c>
      <c r="AF253" s="110">
        <v>0</v>
      </c>
      <c r="AG253" s="110">
        <v>0</v>
      </c>
      <c r="AH253" s="110">
        <v>0</v>
      </c>
      <c r="AI253" s="110">
        <v>0</v>
      </c>
      <c r="AJ253" s="110">
        <v>0</v>
      </c>
      <c r="AK253" s="110">
        <v>0</v>
      </c>
      <c r="AL253" s="110">
        <v>0</v>
      </c>
      <c r="AM253" s="110">
        <v>0</v>
      </c>
      <c r="AN253" s="110">
        <v>0</v>
      </c>
      <c r="AO253" s="110">
        <v>0</v>
      </c>
      <c r="AP253" s="110">
        <v>0</v>
      </c>
      <c r="AQ253" s="110">
        <v>0</v>
      </c>
      <c r="AR253" s="110">
        <v>0</v>
      </c>
      <c r="AS253" s="110">
        <v>0</v>
      </c>
      <c r="AT253" s="110">
        <v>0</v>
      </c>
      <c r="AU253" s="110">
        <v>0</v>
      </c>
      <c r="AV253" s="110">
        <v>0</v>
      </c>
      <c r="AW253" s="110">
        <v>0</v>
      </c>
      <c r="AX253" s="110">
        <v>0</v>
      </c>
      <c r="AY253" s="110">
        <v>0</v>
      </c>
    </row>
    <row r="254" spans="1:51">
      <c r="A254" s="109"/>
      <c r="B254" s="130">
        <v>46</v>
      </c>
      <c r="C254" s="106">
        <v>0</v>
      </c>
      <c r="D254" s="110">
        <v>0</v>
      </c>
      <c r="E254" s="110">
        <v>0</v>
      </c>
      <c r="F254" s="110">
        <v>0</v>
      </c>
      <c r="G254" s="110">
        <v>0</v>
      </c>
      <c r="H254" s="110">
        <v>0</v>
      </c>
      <c r="I254" s="110">
        <v>0</v>
      </c>
      <c r="J254" s="110">
        <v>0</v>
      </c>
      <c r="K254" s="110">
        <v>0</v>
      </c>
      <c r="L254" s="110">
        <v>0</v>
      </c>
      <c r="M254" s="110">
        <v>0</v>
      </c>
      <c r="N254" s="110">
        <v>0</v>
      </c>
      <c r="O254" s="110">
        <v>0</v>
      </c>
      <c r="P254" s="110">
        <v>0</v>
      </c>
      <c r="Q254" s="110">
        <v>0</v>
      </c>
      <c r="R254" s="110">
        <v>0</v>
      </c>
      <c r="S254" s="110">
        <v>0</v>
      </c>
      <c r="T254" s="110">
        <v>0</v>
      </c>
      <c r="U254" s="110">
        <v>0</v>
      </c>
      <c r="V254" s="110">
        <v>0</v>
      </c>
      <c r="W254" s="110">
        <v>0</v>
      </c>
      <c r="X254" s="110">
        <v>0</v>
      </c>
      <c r="Y254" s="110">
        <v>0</v>
      </c>
      <c r="Z254" s="110">
        <v>0</v>
      </c>
      <c r="AA254" s="110">
        <v>0</v>
      </c>
      <c r="AB254" s="110">
        <v>0</v>
      </c>
      <c r="AC254" s="110">
        <v>0</v>
      </c>
      <c r="AD254" s="110">
        <v>0</v>
      </c>
      <c r="AE254" s="110">
        <v>0</v>
      </c>
      <c r="AF254" s="110">
        <v>0</v>
      </c>
      <c r="AG254" s="110">
        <v>0</v>
      </c>
      <c r="AH254" s="110">
        <v>0</v>
      </c>
      <c r="AI254" s="110">
        <v>0</v>
      </c>
      <c r="AJ254" s="110">
        <v>0</v>
      </c>
      <c r="AK254" s="110">
        <v>0</v>
      </c>
      <c r="AL254" s="110">
        <v>0</v>
      </c>
      <c r="AM254" s="110">
        <v>0</v>
      </c>
      <c r="AN254" s="110">
        <v>0</v>
      </c>
      <c r="AO254" s="110">
        <v>0</v>
      </c>
      <c r="AP254" s="110">
        <v>0</v>
      </c>
      <c r="AQ254" s="110">
        <v>0</v>
      </c>
      <c r="AR254" s="110">
        <v>0</v>
      </c>
      <c r="AS254" s="110">
        <v>0</v>
      </c>
      <c r="AT254" s="110">
        <v>0</v>
      </c>
      <c r="AU254" s="110">
        <v>0</v>
      </c>
      <c r="AV254" s="110">
        <v>0</v>
      </c>
      <c r="AW254" s="110">
        <v>0</v>
      </c>
      <c r="AX254" s="110">
        <v>0</v>
      </c>
      <c r="AY254" s="110">
        <v>0</v>
      </c>
    </row>
    <row r="255" spans="1:51">
      <c r="A255" s="109"/>
      <c r="B255" s="130">
        <v>47</v>
      </c>
      <c r="C255" s="106">
        <v>0</v>
      </c>
      <c r="D255" s="110">
        <v>0</v>
      </c>
      <c r="E255" s="110">
        <v>0</v>
      </c>
      <c r="F255" s="110">
        <v>0</v>
      </c>
      <c r="G255" s="110">
        <v>0</v>
      </c>
      <c r="H255" s="110">
        <v>0</v>
      </c>
      <c r="I255" s="110">
        <v>0</v>
      </c>
      <c r="J255" s="110">
        <v>0</v>
      </c>
      <c r="K255" s="110">
        <v>0</v>
      </c>
      <c r="L255" s="110">
        <v>0</v>
      </c>
      <c r="M255" s="110">
        <v>0</v>
      </c>
      <c r="N255" s="110">
        <v>0</v>
      </c>
      <c r="O255" s="110">
        <v>0</v>
      </c>
      <c r="P255" s="110">
        <v>0</v>
      </c>
      <c r="Q255" s="110">
        <v>0</v>
      </c>
      <c r="R255" s="110">
        <v>0</v>
      </c>
      <c r="S255" s="110">
        <v>0</v>
      </c>
      <c r="T255" s="110">
        <v>0</v>
      </c>
      <c r="U255" s="110">
        <v>0</v>
      </c>
      <c r="V255" s="110">
        <v>0</v>
      </c>
      <c r="W255" s="110">
        <v>0</v>
      </c>
      <c r="X255" s="110">
        <v>0</v>
      </c>
      <c r="Y255" s="110">
        <v>0</v>
      </c>
      <c r="Z255" s="110">
        <v>0</v>
      </c>
      <c r="AA255" s="110">
        <v>0</v>
      </c>
      <c r="AB255" s="110">
        <v>0</v>
      </c>
      <c r="AC255" s="110">
        <v>0</v>
      </c>
      <c r="AD255" s="110">
        <v>0</v>
      </c>
      <c r="AE255" s="110">
        <v>0</v>
      </c>
      <c r="AF255" s="110">
        <v>0</v>
      </c>
      <c r="AG255" s="110">
        <v>0</v>
      </c>
      <c r="AH255" s="110">
        <v>0</v>
      </c>
      <c r="AI255" s="110">
        <v>0</v>
      </c>
      <c r="AJ255" s="110">
        <v>0</v>
      </c>
      <c r="AK255" s="110">
        <v>0</v>
      </c>
      <c r="AL255" s="110">
        <v>0</v>
      </c>
      <c r="AM255" s="110">
        <v>0</v>
      </c>
      <c r="AN255" s="110">
        <v>0</v>
      </c>
      <c r="AO255" s="110">
        <v>0</v>
      </c>
      <c r="AP255" s="110">
        <v>0</v>
      </c>
      <c r="AQ255" s="110">
        <v>0</v>
      </c>
      <c r="AR255" s="110">
        <v>0</v>
      </c>
      <c r="AS255" s="110">
        <v>0</v>
      </c>
      <c r="AT255" s="110">
        <v>0</v>
      </c>
      <c r="AU255" s="110">
        <v>0</v>
      </c>
      <c r="AV255" s="110">
        <v>0</v>
      </c>
      <c r="AW255" s="110">
        <v>0</v>
      </c>
      <c r="AX255" s="110">
        <v>0</v>
      </c>
      <c r="AY255" s="110">
        <v>0</v>
      </c>
    </row>
    <row r="256" spans="1:51">
      <c r="A256" s="128"/>
      <c r="B256" s="129">
        <v>48</v>
      </c>
      <c r="C256" s="114">
        <v>0</v>
      </c>
      <c r="D256" s="125">
        <v>0</v>
      </c>
      <c r="E256" s="125">
        <v>0</v>
      </c>
      <c r="F256" s="125">
        <v>0</v>
      </c>
      <c r="G256" s="125">
        <v>0</v>
      </c>
      <c r="H256" s="125">
        <v>0</v>
      </c>
      <c r="I256" s="125">
        <v>0</v>
      </c>
      <c r="J256" s="125">
        <v>0</v>
      </c>
      <c r="K256" s="125">
        <v>0</v>
      </c>
      <c r="L256" s="125">
        <v>0</v>
      </c>
      <c r="M256" s="125">
        <v>0</v>
      </c>
      <c r="N256" s="125">
        <v>0</v>
      </c>
      <c r="O256" s="125">
        <v>0</v>
      </c>
      <c r="P256" s="125">
        <v>0</v>
      </c>
      <c r="Q256" s="125">
        <v>0</v>
      </c>
      <c r="R256" s="125">
        <v>0</v>
      </c>
      <c r="S256" s="125">
        <v>0</v>
      </c>
      <c r="T256" s="125">
        <v>0</v>
      </c>
      <c r="U256" s="125">
        <v>0</v>
      </c>
      <c r="V256" s="125">
        <v>0</v>
      </c>
      <c r="W256" s="125">
        <v>0</v>
      </c>
      <c r="X256" s="125">
        <v>0</v>
      </c>
      <c r="Y256" s="125">
        <v>0</v>
      </c>
      <c r="Z256" s="125">
        <v>0</v>
      </c>
      <c r="AA256" s="125">
        <v>0</v>
      </c>
      <c r="AB256" s="125">
        <v>0</v>
      </c>
      <c r="AC256" s="125">
        <v>0</v>
      </c>
      <c r="AD256" s="125">
        <v>0</v>
      </c>
      <c r="AE256" s="125">
        <v>0</v>
      </c>
      <c r="AF256" s="125">
        <v>0</v>
      </c>
      <c r="AG256" s="125">
        <v>0</v>
      </c>
      <c r="AH256" s="125">
        <v>0</v>
      </c>
      <c r="AI256" s="125">
        <v>0</v>
      </c>
      <c r="AJ256" s="125">
        <v>0</v>
      </c>
      <c r="AK256" s="125">
        <v>0</v>
      </c>
      <c r="AL256" s="125">
        <v>0</v>
      </c>
      <c r="AM256" s="125">
        <v>0</v>
      </c>
      <c r="AN256" s="125">
        <v>0</v>
      </c>
      <c r="AO256" s="125">
        <v>0</v>
      </c>
      <c r="AP256" s="125">
        <v>0</v>
      </c>
      <c r="AQ256" s="125">
        <v>0</v>
      </c>
      <c r="AR256" s="125">
        <v>0</v>
      </c>
      <c r="AS256" s="125">
        <v>0</v>
      </c>
      <c r="AT256" s="125">
        <v>0</v>
      </c>
      <c r="AU256" s="125">
        <v>0</v>
      </c>
      <c r="AV256" s="125">
        <v>0</v>
      </c>
      <c r="AW256" s="125">
        <v>0</v>
      </c>
      <c r="AX256" s="125">
        <v>0</v>
      </c>
      <c r="AY256" s="125">
        <v>0</v>
      </c>
    </row>
    <row r="258" spans="1:52">
      <c r="A258" s="102" t="s">
        <v>301</v>
      </c>
    </row>
    <row r="259" spans="1:52">
      <c r="A259" s="137" t="s">
        <v>124</v>
      </c>
      <c r="B259" s="138">
        <v>650</v>
      </c>
      <c r="C259" s="124" t="s">
        <v>293</v>
      </c>
      <c r="D259" s="124">
        <f>E$14*$B$259</f>
        <v>63099.4522667356</v>
      </c>
      <c r="E259" s="124">
        <f t="shared" ref="E259:AX259" si="5">F$14*$B$259</f>
        <v>62341.573448704272</v>
      </c>
      <c r="F259" s="124">
        <f t="shared" si="5"/>
        <v>31783.878844644274</v>
      </c>
      <c r="G259" s="124">
        <f t="shared" si="5"/>
        <v>64398.211518771386</v>
      </c>
      <c r="H259" s="124">
        <f t="shared" si="5"/>
        <v>44309.48717254182</v>
      </c>
      <c r="I259" s="124">
        <f t="shared" si="5"/>
        <v>59706.258498934149</v>
      </c>
      <c r="J259" s="124">
        <f t="shared" si="5"/>
        <v>41676.996260360087</v>
      </c>
      <c r="K259" s="124">
        <f t="shared" si="5"/>
        <v>59706.258498934149</v>
      </c>
      <c r="L259" s="124">
        <f t="shared" si="5"/>
        <v>35911.370897447654</v>
      </c>
      <c r="M259" s="124">
        <f t="shared" si="5"/>
        <v>40770.885168435037</v>
      </c>
      <c r="N259" s="124">
        <f t="shared" si="5"/>
        <v>52480.458723016243</v>
      </c>
      <c r="O259" s="124">
        <f t="shared" si="5"/>
        <v>47808.814698190894</v>
      </c>
      <c r="P259" s="124">
        <f t="shared" si="5"/>
        <v>47808.814698190894</v>
      </c>
      <c r="Q259" s="124">
        <f t="shared" si="5"/>
        <v>35911.370897447654</v>
      </c>
      <c r="R259" s="124">
        <f t="shared" si="5"/>
        <v>59706.258498934149</v>
      </c>
      <c r="S259" s="124">
        <f t="shared" si="5"/>
        <v>47808.814698190894</v>
      </c>
      <c r="T259" s="124">
        <f t="shared" si="5"/>
        <v>51617.201081376596</v>
      </c>
      <c r="U259" s="124">
        <f t="shared" si="5"/>
        <v>36557.952752568519</v>
      </c>
      <c r="V259" s="124">
        <f t="shared" si="5"/>
        <v>47808.814698190894</v>
      </c>
      <c r="W259" s="124">
        <f t="shared" si="5"/>
        <v>59706.258498934149</v>
      </c>
      <c r="X259" s="124">
        <f t="shared" si="5"/>
        <v>47808.814698190894</v>
      </c>
      <c r="Y259" s="124">
        <f t="shared" si="5"/>
        <v>47808.814698190894</v>
      </c>
      <c r="Z259" s="124">
        <f t="shared" si="5"/>
        <v>47808.814698190894</v>
      </c>
      <c r="AA259" s="124">
        <f t="shared" si="5"/>
        <v>47808.814698190894</v>
      </c>
      <c r="AB259" s="124">
        <f t="shared" si="5"/>
        <v>50917.614502906166</v>
      </c>
      <c r="AC259" s="124">
        <f t="shared" si="5"/>
        <v>47808.814698190894</v>
      </c>
      <c r="AD259" s="124">
        <f t="shared" si="5"/>
        <v>47808.814698190894</v>
      </c>
      <c r="AE259" s="124">
        <f t="shared" si="5"/>
        <v>47808.814698190894</v>
      </c>
      <c r="AF259" s="124">
        <f t="shared" si="5"/>
        <v>47808.814698190894</v>
      </c>
      <c r="AG259" s="124">
        <f t="shared" si="5"/>
        <v>48799.067484943153</v>
      </c>
      <c r="AH259" s="124">
        <f t="shared" si="5"/>
        <v>47808.814698190894</v>
      </c>
      <c r="AI259" s="124">
        <f t="shared" si="5"/>
        <v>50011.487748799555</v>
      </c>
      <c r="AJ259" s="124">
        <f t="shared" si="5"/>
        <v>47808.814698190894</v>
      </c>
      <c r="AK259" s="124">
        <f t="shared" si="5"/>
        <v>47808.814698190894</v>
      </c>
      <c r="AL259" s="124">
        <f t="shared" si="5"/>
        <v>47808.814698190894</v>
      </c>
      <c r="AM259" s="124">
        <f t="shared" si="5"/>
        <v>47808.814698190894</v>
      </c>
      <c r="AN259" s="124">
        <f t="shared" si="5"/>
        <v>47808.814698190894</v>
      </c>
      <c r="AO259" s="124">
        <f t="shared" si="5"/>
        <v>35911.370897447654</v>
      </c>
      <c r="AP259" s="124">
        <f t="shared" si="5"/>
        <v>55919.183832834329</v>
      </c>
      <c r="AQ259" s="124">
        <f t="shared" si="5"/>
        <v>48655.857395207619</v>
      </c>
      <c r="AR259" s="124">
        <f t="shared" si="5"/>
        <v>44021.740032091075</v>
      </c>
      <c r="AS259" s="124">
        <f t="shared" si="5"/>
        <v>44021.740032091075</v>
      </c>
      <c r="AT259" s="124">
        <f t="shared" si="5"/>
        <v>45295.276937122129</v>
      </c>
      <c r="AU259" s="124">
        <f t="shared" si="5"/>
        <v>50322.352459259666</v>
      </c>
      <c r="AV259" s="124">
        <f t="shared" si="5"/>
        <v>45295.276937122129</v>
      </c>
      <c r="AW259" s="124">
        <f t="shared" si="5"/>
        <v>31386.979128760566</v>
      </c>
      <c r="AX259" s="124">
        <f t="shared" si="5"/>
        <v>52480.458723016236</v>
      </c>
      <c r="AY259" s="124">
        <f>AZ$14*$B$259</f>
        <v>47808.814698190894</v>
      </c>
      <c r="AZ259" s="139">
        <f>SUM($D259:$AY259)</f>
        <v>2311089.7584050139</v>
      </c>
    </row>
    <row r="260" spans="1:52">
      <c r="A260" s="140" t="s">
        <v>302</v>
      </c>
      <c r="B260" s="114">
        <v>60</v>
      </c>
      <c r="C260" s="125" t="s">
        <v>293</v>
      </c>
      <c r="D260" s="125">
        <f>(D$175-D$176+D$177-D$178+D$179-D$180+D$181-D$182)*$B$260</f>
        <v>28969.04049708707</v>
      </c>
      <c r="E260" s="125">
        <f t="shared" ref="E260:AY260" si="6">(E$175-E$176+E$177-E$178+E$179-E$180+E$181-E$182)*$B$260</f>
        <v>32504.699162439123</v>
      </c>
      <c r="F260" s="125">
        <f t="shared" si="6"/>
        <v>33688.255862320657</v>
      </c>
      <c r="G260" s="125">
        <f t="shared" si="6"/>
        <v>43621.714150088723</v>
      </c>
      <c r="H260" s="125">
        <f t="shared" si="6"/>
        <v>37120.553413178786</v>
      </c>
      <c r="I260" s="125">
        <f t="shared" si="6"/>
        <v>45815.409092577676</v>
      </c>
      <c r="J260" s="125">
        <f t="shared" si="6"/>
        <v>36891.097493733389</v>
      </c>
      <c r="K260" s="125">
        <f t="shared" si="6"/>
        <v>35080.81134974509</v>
      </c>
      <c r="L260" s="125">
        <f t="shared" si="6"/>
        <v>35120.148155181552</v>
      </c>
      <c r="M260" s="125">
        <f t="shared" si="6"/>
        <v>34446.631112541887</v>
      </c>
      <c r="N260" s="125">
        <f t="shared" si="6"/>
        <v>36865.09383617212</v>
      </c>
      <c r="O260" s="125">
        <f t="shared" si="6"/>
        <v>38556.856963298022</v>
      </c>
      <c r="P260" s="125">
        <f t="shared" si="6"/>
        <v>39157.625609229886</v>
      </c>
      <c r="Q260" s="125">
        <f t="shared" si="6"/>
        <v>41645.807925660192</v>
      </c>
      <c r="R260" s="125">
        <f t="shared" si="6"/>
        <v>46604.830478553566</v>
      </c>
      <c r="S260" s="125">
        <f t="shared" si="6"/>
        <v>53367.306506457957</v>
      </c>
      <c r="T260" s="125">
        <f t="shared" si="6"/>
        <v>49980.013594307369</v>
      </c>
      <c r="U260" s="125">
        <f t="shared" si="6"/>
        <v>40607.98044816203</v>
      </c>
      <c r="V260" s="125">
        <f t="shared" si="6"/>
        <v>40198.209635488922</v>
      </c>
      <c r="W260" s="125">
        <f t="shared" si="6"/>
        <v>45779.757690177583</v>
      </c>
      <c r="X260" s="125">
        <f t="shared" si="6"/>
        <v>45841.715542845188</v>
      </c>
      <c r="Y260" s="125">
        <f t="shared" si="6"/>
        <v>43785.447813905725</v>
      </c>
      <c r="Z260" s="125">
        <f t="shared" si="6"/>
        <v>40871.388205381416</v>
      </c>
      <c r="AA260" s="125">
        <f t="shared" si="6"/>
        <v>41701.531833589623</v>
      </c>
      <c r="AB260" s="125">
        <f t="shared" si="6"/>
        <v>42662.223969652034</v>
      </c>
      <c r="AC260" s="125">
        <f t="shared" si="6"/>
        <v>42168.044158683078</v>
      </c>
      <c r="AD260" s="125">
        <f t="shared" si="6"/>
        <v>44024.475262018583</v>
      </c>
      <c r="AE260" s="125">
        <f t="shared" si="6"/>
        <v>49519.684536745175</v>
      </c>
      <c r="AF260" s="125">
        <f t="shared" si="6"/>
        <v>44962.815795672213</v>
      </c>
      <c r="AG260" s="125">
        <f t="shared" si="6"/>
        <v>44611.776429743615</v>
      </c>
      <c r="AH260" s="125">
        <f t="shared" si="6"/>
        <v>39991.493108867566</v>
      </c>
      <c r="AI260" s="125">
        <f t="shared" si="6"/>
        <v>38307.014694925434</v>
      </c>
      <c r="AJ260" s="125">
        <f t="shared" si="6"/>
        <v>42902.223969652034</v>
      </c>
      <c r="AK260" s="125">
        <f t="shared" si="6"/>
        <v>44388.044158683078</v>
      </c>
      <c r="AL260" s="125">
        <f t="shared" si="6"/>
        <v>48033.864347714123</v>
      </c>
      <c r="AM260" s="125">
        <f t="shared" si="6"/>
        <v>48630.295451049627</v>
      </c>
      <c r="AN260" s="125">
        <f t="shared" si="6"/>
        <v>50359.684536745175</v>
      </c>
      <c r="AO260" s="125">
        <f t="shared" si="6"/>
        <v>46939.684536745175</v>
      </c>
      <c r="AP260" s="125">
        <f t="shared" si="6"/>
        <v>50711.115886888598</v>
      </c>
      <c r="AQ260" s="125">
        <f t="shared" si="6"/>
        <v>50752.917582393115</v>
      </c>
      <c r="AR260" s="125">
        <f t="shared" si="6"/>
        <v>48753.864347714123</v>
      </c>
      <c r="AS260" s="125">
        <f t="shared" si="6"/>
        <v>43231.780070440749</v>
      </c>
      <c r="AT260" s="125">
        <f t="shared" si="6"/>
        <v>41762.223969652026</v>
      </c>
      <c r="AU260" s="125">
        <f t="shared" si="6"/>
        <v>39916.403780620982</v>
      </c>
      <c r="AV260" s="125">
        <f t="shared" si="6"/>
        <v>28947.30283546574</v>
      </c>
      <c r="AW260" s="125">
        <f t="shared" si="6"/>
        <v>15617.453814905359</v>
      </c>
      <c r="AX260" s="125">
        <f t="shared" si="6"/>
        <v>1309.1009451552445</v>
      </c>
      <c r="AY260" s="125">
        <f t="shared" si="6"/>
        <v>44.350035970729493</v>
      </c>
      <c r="AZ260" s="141">
        <f>SUM($D260:$AY260)</f>
        <v>1916769.7645982276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A260"/>
  <sheetViews>
    <sheetView workbookViewId="0">
      <pane xSplit="2" ySplit="7" topLeftCell="C166" activePane="bottomRight" state="frozen"/>
      <selection pane="topRight"/>
      <selection pane="bottomLeft"/>
      <selection pane="bottomRight" activeCell="C185" sqref="C185:C256"/>
    </sheetView>
  </sheetViews>
  <sheetFormatPr baseColWidth="10" defaultColWidth="8.83203125" defaultRowHeight="12" x14ac:dyDescent="0"/>
  <cols>
    <col min="1" max="1" width="14.6640625" style="100" customWidth="1"/>
    <col min="2" max="2" width="12.6640625" style="100" customWidth="1"/>
    <col min="3" max="16384" width="8.83203125" style="100"/>
  </cols>
  <sheetData>
    <row r="1" spans="1:53">
      <c r="A1" s="102" t="s">
        <v>284</v>
      </c>
    </row>
    <row r="2" spans="1:53">
      <c r="A2" s="100" t="s">
        <v>285</v>
      </c>
      <c r="B2" s="107" t="s">
        <v>46</v>
      </c>
    </row>
    <row r="3" spans="1:53">
      <c r="A3" s="100" t="s">
        <v>286</v>
      </c>
      <c r="B3" s="108">
        <v>2000</v>
      </c>
      <c r="C3" s="109"/>
    </row>
    <row r="4" spans="1:53">
      <c r="B4" s="110"/>
      <c r="C4" s="110"/>
    </row>
    <row r="5" spans="1:53">
      <c r="C5" s="111" t="s">
        <v>287</v>
      </c>
    </row>
    <row r="6" spans="1:53">
      <c r="C6" s="112">
        <v>0</v>
      </c>
      <c r="D6" s="112">
        <v>1</v>
      </c>
      <c r="E6" s="112">
        <v>2</v>
      </c>
      <c r="F6" s="112">
        <v>3</v>
      </c>
      <c r="G6" s="112">
        <v>4</v>
      </c>
      <c r="H6" s="112">
        <v>5</v>
      </c>
      <c r="I6" s="112">
        <v>6</v>
      </c>
      <c r="J6" s="112">
        <v>7</v>
      </c>
      <c r="K6" s="112">
        <v>8</v>
      </c>
      <c r="L6" s="112">
        <v>9</v>
      </c>
      <c r="M6" s="112">
        <v>10</v>
      </c>
      <c r="N6" s="112">
        <v>11</v>
      </c>
      <c r="O6" s="112">
        <v>12</v>
      </c>
      <c r="P6" s="112">
        <v>13</v>
      </c>
      <c r="Q6" s="112">
        <v>14</v>
      </c>
      <c r="R6" s="112">
        <v>15</v>
      </c>
      <c r="S6" s="112">
        <v>16</v>
      </c>
      <c r="T6" s="112">
        <v>17</v>
      </c>
      <c r="U6" s="112">
        <v>18</v>
      </c>
      <c r="V6" s="112">
        <v>19</v>
      </c>
      <c r="W6" s="112">
        <v>20</v>
      </c>
      <c r="X6" s="112">
        <v>21</v>
      </c>
      <c r="Y6" s="112">
        <v>22</v>
      </c>
      <c r="Z6" s="112">
        <v>23</v>
      </c>
      <c r="AA6" s="112">
        <v>24</v>
      </c>
      <c r="AB6" s="112">
        <v>25</v>
      </c>
      <c r="AC6" s="112">
        <v>26</v>
      </c>
      <c r="AD6" s="112">
        <v>27</v>
      </c>
      <c r="AE6" s="112">
        <v>28</v>
      </c>
      <c r="AF6" s="112">
        <v>29</v>
      </c>
      <c r="AG6" s="112">
        <v>30</v>
      </c>
      <c r="AH6" s="112">
        <v>31</v>
      </c>
      <c r="AI6" s="112">
        <v>32</v>
      </c>
      <c r="AJ6" s="112">
        <v>33</v>
      </c>
      <c r="AK6" s="112">
        <v>34</v>
      </c>
      <c r="AL6" s="112">
        <v>35</v>
      </c>
      <c r="AM6" s="112">
        <v>36</v>
      </c>
      <c r="AN6" s="112">
        <v>37</v>
      </c>
      <c r="AO6" s="112">
        <v>38</v>
      </c>
      <c r="AP6" s="112">
        <v>39</v>
      </c>
      <c r="AQ6" s="112">
        <v>40</v>
      </c>
      <c r="AR6" s="112">
        <v>41</v>
      </c>
      <c r="AS6" s="112">
        <v>42</v>
      </c>
      <c r="AT6" s="112">
        <v>43</v>
      </c>
      <c r="AU6" s="112">
        <v>44</v>
      </c>
      <c r="AV6" s="112">
        <v>45</v>
      </c>
      <c r="AW6" s="112">
        <v>46</v>
      </c>
      <c r="AX6" s="112">
        <v>47</v>
      </c>
      <c r="AY6" s="112">
        <v>48</v>
      </c>
    </row>
    <row r="7" spans="1:53">
      <c r="B7" s="110"/>
      <c r="C7" s="113" t="s">
        <v>288</v>
      </c>
      <c r="D7" s="112" t="s">
        <v>289</v>
      </c>
      <c r="E7" s="112" t="s">
        <v>289</v>
      </c>
      <c r="F7" s="112" t="s">
        <v>289</v>
      </c>
      <c r="G7" s="112" t="s">
        <v>289</v>
      </c>
      <c r="H7" s="112" t="s">
        <v>289</v>
      </c>
      <c r="I7" s="112" t="s">
        <v>289</v>
      </c>
      <c r="J7" s="112" t="s">
        <v>289</v>
      </c>
      <c r="K7" s="112" t="s">
        <v>289</v>
      </c>
      <c r="L7" s="112" t="s">
        <v>289</v>
      </c>
      <c r="M7" s="112" t="s">
        <v>289</v>
      </c>
      <c r="N7" s="112" t="s">
        <v>289</v>
      </c>
      <c r="O7" s="112" t="s">
        <v>289</v>
      </c>
      <c r="P7" s="112" t="s">
        <v>289</v>
      </c>
      <c r="Q7" s="112" t="s">
        <v>289</v>
      </c>
      <c r="R7" s="112" t="s">
        <v>289</v>
      </c>
      <c r="S7" s="112" t="s">
        <v>289</v>
      </c>
      <c r="T7" s="112" t="s">
        <v>289</v>
      </c>
      <c r="U7" s="112" t="s">
        <v>289</v>
      </c>
      <c r="V7" s="112" t="s">
        <v>289</v>
      </c>
      <c r="W7" s="112" t="s">
        <v>289</v>
      </c>
      <c r="X7" s="112" t="s">
        <v>289</v>
      </c>
      <c r="Y7" s="112" t="s">
        <v>289</v>
      </c>
      <c r="Z7" s="112" t="s">
        <v>289</v>
      </c>
      <c r="AA7" s="112" t="s">
        <v>289</v>
      </c>
      <c r="AB7" s="112" t="s">
        <v>289</v>
      </c>
      <c r="AC7" s="112" t="s">
        <v>289</v>
      </c>
      <c r="AD7" s="112" t="s">
        <v>289</v>
      </c>
      <c r="AE7" s="112" t="s">
        <v>289</v>
      </c>
      <c r="AF7" s="112" t="s">
        <v>289</v>
      </c>
      <c r="AG7" s="112" t="s">
        <v>289</v>
      </c>
      <c r="AH7" s="112" t="s">
        <v>289</v>
      </c>
      <c r="AI7" s="112" t="s">
        <v>289</v>
      </c>
      <c r="AJ7" s="112" t="s">
        <v>289</v>
      </c>
      <c r="AK7" s="112" t="s">
        <v>289</v>
      </c>
      <c r="AL7" s="112" t="s">
        <v>289</v>
      </c>
      <c r="AM7" s="112" t="s">
        <v>289</v>
      </c>
      <c r="AN7" s="112" t="s">
        <v>289</v>
      </c>
      <c r="AO7" s="112" t="s">
        <v>289</v>
      </c>
      <c r="AP7" s="112" t="s">
        <v>289</v>
      </c>
      <c r="AQ7" s="112" t="s">
        <v>289</v>
      </c>
      <c r="AR7" s="112" t="s">
        <v>289</v>
      </c>
      <c r="AS7" s="112" t="s">
        <v>289</v>
      </c>
      <c r="AT7" s="112" t="s">
        <v>289</v>
      </c>
      <c r="AU7" s="112" t="s">
        <v>289</v>
      </c>
      <c r="AV7" s="112" t="s">
        <v>289</v>
      </c>
      <c r="AW7" s="112" t="s">
        <v>289</v>
      </c>
      <c r="AX7" s="112" t="s">
        <v>289</v>
      </c>
      <c r="AY7" s="111" t="s">
        <v>290</v>
      </c>
      <c r="AZ7" s="111" t="s">
        <v>291</v>
      </c>
    </row>
    <row r="8" spans="1:53">
      <c r="A8" s="102" t="s">
        <v>292</v>
      </c>
      <c r="B8" s="114"/>
      <c r="AY8" s="110"/>
    </row>
    <row r="9" spans="1:53">
      <c r="A9" s="115" t="s">
        <v>125</v>
      </c>
      <c r="B9" s="116">
        <v>1</v>
      </c>
      <c r="C9" s="117" t="s">
        <v>293</v>
      </c>
      <c r="D9" s="117">
        <v>215.68696842992838</v>
      </c>
      <c r="E9" s="117">
        <v>215.68696842992838</v>
      </c>
      <c r="F9" s="117">
        <v>215.68696842992838</v>
      </c>
      <c r="G9" s="117">
        <v>215.68696842992838</v>
      </c>
      <c r="H9" s="117">
        <v>215.68696842992838</v>
      </c>
      <c r="I9" s="117">
        <v>215.68696842992838</v>
      </c>
      <c r="J9" s="117">
        <v>215.68696842992838</v>
      </c>
      <c r="K9" s="117">
        <v>215.68696842992838</v>
      </c>
      <c r="L9" s="117">
        <v>215.68696842992838</v>
      </c>
      <c r="M9" s="117">
        <v>215.68696842992838</v>
      </c>
      <c r="N9" s="117">
        <v>215.68696842992838</v>
      </c>
      <c r="O9" s="117">
        <v>215.68696842992838</v>
      </c>
      <c r="P9" s="117">
        <v>215.68696842992838</v>
      </c>
      <c r="Q9" s="117">
        <v>215.68696842992838</v>
      </c>
      <c r="R9" s="117">
        <v>215.68696842992838</v>
      </c>
      <c r="S9" s="117">
        <v>215.68696842992838</v>
      </c>
      <c r="T9" s="117">
        <v>215.68696842992838</v>
      </c>
      <c r="U9" s="117">
        <v>215.68696842992838</v>
      </c>
      <c r="V9" s="117">
        <v>215.68696842992838</v>
      </c>
      <c r="W9" s="117">
        <v>215.68696842992838</v>
      </c>
      <c r="X9" s="117">
        <v>215.68696842992838</v>
      </c>
      <c r="Y9" s="117">
        <v>215.68696842992838</v>
      </c>
      <c r="Z9" s="117">
        <v>215.68696842992838</v>
      </c>
      <c r="AA9" s="117">
        <v>215.68696842992838</v>
      </c>
      <c r="AB9" s="117">
        <v>215.68696842992838</v>
      </c>
      <c r="AC9" s="117">
        <v>215.68696842992838</v>
      </c>
      <c r="AD9" s="117">
        <v>215.68696842992838</v>
      </c>
      <c r="AE9" s="117">
        <v>215.68696842992838</v>
      </c>
      <c r="AF9" s="117">
        <v>215.68696842992838</v>
      </c>
      <c r="AG9" s="117">
        <v>215.68696842992838</v>
      </c>
      <c r="AH9" s="117">
        <v>215.68696842992838</v>
      </c>
      <c r="AI9" s="117">
        <v>215.68696842992838</v>
      </c>
      <c r="AJ9" s="117">
        <v>215.68696842992838</v>
      </c>
      <c r="AK9" s="117">
        <v>215.68696842992838</v>
      </c>
      <c r="AL9" s="117">
        <v>215.68696842992838</v>
      </c>
      <c r="AM9" s="117">
        <v>215.68696842992838</v>
      </c>
      <c r="AN9" s="117">
        <v>172.54957474394271</v>
      </c>
      <c r="AO9" s="117">
        <v>172.54957474394271</v>
      </c>
      <c r="AP9" s="117">
        <v>172.54957474394271</v>
      </c>
      <c r="AQ9" s="117">
        <v>172.54957474394271</v>
      </c>
      <c r="AR9" s="117">
        <v>215.68696842992838</v>
      </c>
      <c r="AS9" s="117">
        <v>215.68696842992838</v>
      </c>
      <c r="AT9" s="117">
        <v>215.68696842992838</v>
      </c>
      <c r="AU9" s="117">
        <v>215.68696842992838</v>
      </c>
      <c r="AV9" s="117">
        <v>215.68696842992838</v>
      </c>
      <c r="AW9" s="117">
        <v>215.68696842992838</v>
      </c>
      <c r="AX9" s="117">
        <v>215.68696842992838</v>
      </c>
      <c r="AY9" s="117">
        <v>215.68696842992838</v>
      </c>
    </row>
    <row r="10" spans="1:53">
      <c r="A10" s="118" t="s">
        <v>133</v>
      </c>
      <c r="B10" s="119">
        <v>1</v>
      </c>
      <c r="C10" s="106" t="s">
        <v>293</v>
      </c>
      <c r="D10" s="100">
        <v>153.2586411720383</v>
      </c>
      <c r="E10" s="100">
        <v>188.42880031572949</v>
      </c>
      <c r="F10" s="100">
        <v>0</v>
      </c>
      <c r="G10" s="100">
        <v>151.14021506794327</v>
      </c>
      <c r="H10" s="100">
        <v>151.14021506794327</v>
      </c>
      <c r="I10" s="100">
        <v>151.14021506794327</v>
      </c>
      <c r="J10" s="100">
        <v>37.923800176236398</v>
      </c>
      <c r="K10" s="100">
        <v>151.14021506794327</v>
      </c>
      <c r="L10" s="100">
        <v>151.14021506794327</v>
      </c>
      <c r="M10" s="100">
        <v>0</v>
      </c>
      <c r="N10" s="100">
        <v>188.42880031572949</v>
      </c>
      <c r="O10" s="100">
        <v>151.14021506794327</v>
      </c>
      <c r="P10" s="100">
        <v>151.14021506794327</v>
      </c>
      <c r="Q10" s="100">
        <v>151.14021506794327</v>
      </c>
      <c r="R10" s="100">
        <v>151.14021506794327</v>
      </c>
      <c r="S10" s="100">
        <v>151.14021506794327</v>
      </c>
      <c r="T10" s="100">
        <v>151.14021506794327</v>
      </c>
      <c r="U10" s="100">
        <v>151.14021506794327</v>
      </c>
      <c r="V10" s="100">
        <v>151.14021506794327</v>
      </c>
      <c r="W10" s="100">
        <v>151.14021506794327</v>
      </c>
      <c r="X10" s="100">
        <v>151.14021506794327</v>
      </c>
      <c r="Y10" s="100">
        <v>151.14021506794327</v>
      </c>
      <c r="Z10" s="100">
        <v>151.14021506794327</v>
      </c>
      <c r="AA10" s="100">
        <v>151.14021506794327</v>
      </c>
      <c r="AB10" s="100">
        <v>151.14021506794327</v>
      </c>
      <c r="AC10" s="100">
        <v>37.923800176236398</v>
      </c>
      <c r="AD10" s="100">
        <v>151.14021506794327</v>
      </c>
      <c r="AE10" s="100">
        <v>37.923800176236398</v>
      </c>
      <c r="AF10" s="100">
        <v>151.14021506794327</v>
      </c>
      <c r="AG10" s="100">
        <v>37.923800176236398</v>
      </c>
      <c r="AH10" s="100">
        <v>151.14021506794327</v>
      </c>
      <c r="AI10" s="100">
        <v>151.14021506794327</v>
      </c>
      <c r="AJ10" s="100">
        <v>151.14021506794327</v>
      </c>
      <c r="AK10" s="100">
        <v>37.923800176236398</v>
      </c>
      <c r="AL10" s="100">
        <v>151.14021506794327</v>
      </c>
      <c r="AM10" s="100">
        <v>151.14021506794327</v>
      </c>
      <c r="AN10" s="100">
        <v>151.14021506794327</v>
      </c>
      <c r="AO10" s="100">
        <v>151.14021506794327</v>
      </c>
      <c r="AP10" s="100">
        <v>120.91217205435461</v>
      </c>
      <c r="AQ10" s="100">
        <v>120.91217205435461</v>
      </c>
      <c r="AR10" s="100">
        <v>120.91217205435461</v>
      </c>
      <c r="AS10" s="100">
        <v>120.91217205435461</v>
      </c>
      <c r="AT10" s="100">
        <v>151.14021506794327</v>
      </c>
      <c r="AU10" s="100">
        <v>75.847600352472796</v>
      </c>
      <c r="AV10" s="100">
        <v>132.73330061682739</v>
      </c>
      <c r="AW10" s="100">
        <v>0</v>
      </c>
      <c r="AX10" s="100">
        <v>188.42880031572949</v>
      </c>
      <c r="AY10" s="100">
        <v>0</v>
      </c>
      <c r="AZ10" s="100">
        <v>151.14021506794327</v>
      </c>
    </row>
    <row r="11" spans="1:53">
      <c r="B11" s="119">
        <v>2</v>
      </c>
      <c r="C11" s="106" t="s">
        <v>293</v>
      </c>
      <c r="F11" s="100">
        <v>0</v>
      </c>
      <c r="G11" s="100">
        <v>151.14021506794327</v>
      </c>
      <c r="I11" s="100">
        <v>0</v>
      </c>
      <c r="J11" s="100">
        <v>0</v>
      </c>
      <c r="K11" s="100">
        <v>113.21641489170688</v>
      </c>
      <c r="L11" s="100">
        <v>0</v>
      </c>
      <c r="N11" s="100">
        <v>0</v>
      </c>
      <c r="O11" s="100">
        <v>0</v>
      </c>
      <c r="R11" s="100">
        <v>0</v>
      </c>
      <c r="S11" s="100">
        <v>0</v>
      </c>
      <c r="V11" s="100">
        <v>0</v>
      </c>
      <c r="W11" s="100">
        <v>0</v>
      </c>
      <c r="Y11" s="100">
        <v>0</v>
      </c>
      <c r="Z11" s="100">
        <v>0</v>
      </c>
      <c r="AA11" s="100">
        <v>0</v>
      </c>
      <c r="AB11" s="100">
        <v>0</v>
      </c>
      <c r="AC11" s="100">
        <v>0</v>
      </c>
      <c r="AF11" s="100">
        <v>113.21641489170688</v>
      </c>
      <c r="AH11" s="100">
        <v>113.21641489170688</v>
      </c>
      <c r="AI11" s="100">
        <v>0</v>
      </c>
      <c r="AL11" s="100">
        <v>113.21641489170688</v>
      </c>
      <c r="AR11" s="100">
        <v>0</v>
      </c>
      <c r="AS11" s="100">
        <v>0</v>
      </c>
      <c r="AV11" s="100">
        <v>75.292614715470478</v>
      </c>
      <c r="AW11" s="100">
        <v>18.406914451115881</v>
      </c>
      <c r="AX11" s="100">
        <v>0</v>
      </c>
      <c r="AY11" s="100">
        <v>0</v>
      </c>
      <c r="AZ11" s="100">
        <v>151.14021506794327</v>
      </c>
      <c r="BA11" s="100">
        <v>0</v>
      </c>
    </row>
    <row r="12" spans="1:53">
      <c r="B12" s="120">
        <v>3</v>
      </c>
      <c r="C12" s="106" t="s">
        <v>293</v>
      </c>
      <c r="K12" s="100">
        <v>0</v>
      </c>
      <c r="O12" s="100">
        <v>0</v>
      </c>
      <c r="AE12" s="100">
        <v>113.21641489170688</v>
      </c>
      <c r="AF12" s="100">
        <v>0</v>
      </c>
      <c r="AM12" s="100">
        <v>0</v>
      </c>
      <c r="AU12" s="100">
        <v>0</v>
      </c>
    </row>
    <row r="13" spans="1:53">
      <c r="B13" s="120">
        <v>4</v>
      </c>
      <c r="C13" s="106" t="s">
        <v>293</v>
      </c>
    </row>
    <row r="14" spans="1:53">
      <c r="A14" s="115" t="s">
        <v>134</v>
      </c>
      <c r="B14" s="121">
        <v>1</v>
      </c>
      <c r="C14" s="117" t="s">
        <v>293</v>
      </c>
      <c r="D14" s="117">
        <v>156.04720645243034</v>
      </c>
      <c r="E14" s="117">
        <f t="shared" ref="E14:AZ14" si="0">D$172*SUM(D$122:D$169)</f>
        <v>140.87139429530691</v>
      </c>
      <c r="F14" s="117">
        <f t="shared" si="0"/>
        <v>108.5016202379696</v>
      </c>
      <c r="G14" s="117">
        <f t="shared" si="0"/>
        <v>54.953085402455926</v>
      </c>
      <c r="H14" s="117">
        <f t="shared" si="0"/>
        <v>127.03020115095447</v>
      </c>
      <c r="I14" s="117">
        <f t="shared" si="0"/>
        <v>90.991643276705204</v>
      </c>
      <c r="J14" s="117">
        <f t="shared" si="0"/>
        <v>90.991643276705204</v>
      </c>
      <c r="K14" s="117">
        <f t="shared" si="0"/>
        <v>63.995808193662548</v>
      </c>
      <c r="L14" s="117">
        <f t="shared" si="0"/>
        <v>117.98747835974785</v>
      </c>
      <c r="M14" s="117">
        <f t="shared" si="0"/>
        <v>90.991643276705204</v>
      </c>
      <c r="N14" s="117">
        <f t="shared" si="0"/>
        <v>54.953085402455926</v>
      </c>
      <c r="O14" s="117">
        <f t="shared" si="0"/>
        <v>99.882902541468852</v>
      </c>
      <c r="P14" s="117">
        <f t="shared" si="0"/>
        <v>90.991643276705204</v>
      </c>
      <c r="Q14" s="117">
        <f t="shared" si="0"/>
        <v>90.991643276705204</v>
      </c>
      <c r="R14" s="117">
        <f t="shared" si="0"/>
        <v>90.991643276705204</v>
      </c>
      <c r="S14" s="117">
        <f t="shared" si="0"/>
        <v>90.991643276705204</v>
      </c>
      <c r="T14" s="117">
        <f t="shared" si="0"/>
        <v>90.991643276705204</v>
      </c>
      <c r="U14" s="117">
        <f t="shared" si="0"/>
        <v>90.991643276705204</v>
      </c>
      <c r="V14" s="117">
        <f t="shared" si="0"/>
        <v>90.991643276705204</v>
      </c>
      <c r="W14" s="117">
        <f t="shared" si="0"/>
        <v>90.991643276705204</v>
      </c>
      <c r="X14" s="117">
        <f t="shared" si="0"/>
        <v>90.991643276705204</v>
      </c>
      <c r="Y14" s="117">
        <f t="shared" si="0"/>
        <v>90.991643276705204</v>
      </c>
      <c r="Z14" s="117">
        <f t="shared" si="0"/>
        <v>90.991643276705204</v>
      </c>
      <c r="AA14" s="117">
        <f t="shared" si="0"/>
        <v>90.991643276705204</v>
      </c>
      <c r="AB14" s="117">
        <f t="shared" si="0"/>
        <v>90.991643276705204</v>
      </c>
      <c r="AC14" s="117">
        <f t="shared" si="0"/>
        <v>90.991643276705204</v>
      </c>
      <c r="AD14" s="117">
        <f t="shared" si="0"/>
        <v>63.995808193662548</v>
      </c>
      <c r="AE14" s="117">
        <f t="shared" si="0"/>
        <v>90.991643276705204</v>
      </c>
      <c r="AF14" s="117">
        <f t="shared" si="0"/>
        <v>90.991643276705204</v>
      </c>
      <c r="AG14" s="117">
        <f t="shared" si="0"/>
        <v>117.98747835974785</v>
      </c>
      <c r="AH14" s="117">
        <f t="shared" si="0"/>
        <v>63.995808193662548</v>
      </c>
      <c r="AI14" s="117">
        <f t="shared" si="0"/>
        <v>117.98747835974785</v>
      </c>
      <c r="AJ14" s="117">
        <f t="shared" si="0"/>
        <v>90.991643276705204</v>
      </c>
      <c r="AK14" s="117">
        <f t="shared" si="0"/>
        <v>90.991643276705204</v>
      </c>
      <c r="AL14" s="117">
        <f t="shared" si="0"/>
        <v>63.995808193662548</v>
      </c>
      <c r="AM14" s="117">
        <f t="shared" si="0"/>
        <v>117.98747835974785</v>
      </c>
      <c r="AN14" s="117">
        <f t="shared" si="0"/>
        <v>90.991643276705204</v>
      </c>
      <c r="AO14" s="117">
        <f t="shared" si="0"/>
        <v>90.991643276705204</v>
      </c>
      <c r="AP14" s="117">
        <f t="shared" si="0"/>
        <v>90.991643276705204</v>
      </c>
      <c r="AQ14" s="117">
        <f t="shared" si="0"/>
        <v>83.783931701855352</v>
      </c>
      <c r="AR14" s="117">
        <f t="shared" si="0"/>
        <v>83.783931701855337</v>
      </c>
      <c r="AS14" s="117">
        <f t="shared" si="0"/>
        <v>83.783931701855352</v>
      </c>
      <c r="AT14" s="117">
        <f t="shared" si="0"/>
        <v>83.783931701855337</v>
      </c>
      <c r="AU14" s="117">
        <f t="shared" si="0"/>
        <v>90.991643276705204</v>
      </c>
      <c r="AV14" s="117">
        <f t="shared" si="0"/>
        <v>73.038530984869155</v>
      </c>
      <c r="AW14" s="117">
        <f t="shared" si="0"/>
        <v>104.55572746351511</v>
      </c>
      <c r="AX14" s="117">
        <f t="shared" si="0"/>
        <v>59.342113507482054</v>
      </c>
      <c r="AY14" s="117">
        <f t="shared" si="0"/>
        <v>99.882902541468852</v>
      </c>
      <c r="AZ14" s="110">
        <f t="shared" si="0"/>
        <v>54.953085402455926</v>
      </c>
      <c r="BA14" s="107">
        <f>SUM($E14:$AZ14)</f>
        <v>4315.8246038690977</v>
      </c>
    </row>
    <row r="15" spans="1:53">
      <c r="A15" s="122" t="s">
        <v>123</v>
      </c>
      <c r="B15" s="123">
        <v>1</v>
      </c>
      <c r="C15" s="124" t="s">
        <v>293</v>
      </c>
      <c r="D15" s="124">
        <v>302.93847558855168</v>
      </c>
      <c r="E15" s="124">
        <v>243.84634654810014</v>
      </c>
      <c r="F15" s="124">
        <v>134.15818689661353</v>
      </c>
      <c r="G15" s="124">
        <v>222.13991799267825</v>
      </c>
      <c r="H15" s="124">
        <v>222.13991799267825</v>
      </c>
      <c r="I15" s="124">
        <v>222.13991799267825</v>
      </c>
      <c r="J15" s="124">
        <v>156.23438672037713</v>
      </c>
      <c r="K15" s="124">
        <v>222.13991799267825</v>
      </c>
      <c r="L15" s="124">
        <v>222.13991799267825</v>
      </c>
      <c r="M15" s="124">
        <v>134.15818689661353</v>
      </c>
      <c r="N15" s="124">
        <v>243.84634654810014</v>
      </c>
      <c r="O15" s="124">
        <v>222.13991799267825</v>
      </c>
      <c r="P15" s="124">
        <v>222.13991799267825</v>
      </c>
      <c r="Q15" s="124">
        <v>222.13991799267825</v>
      </c>
      <c r="R15" s="124">
        <v>222.13991799267825</v>
      </c>
      <c r="S15" s="124">
        <v>222.13991799267825</v>
      </c>
      <c r="T15" s="124">
        <v>222.13991799267825</v>
      </c>
      <c r="U15" s="124">
        <v>222.13991799267825</v>
      </c>
      <c r="V15" s="124">
        <v>222.13991799267825</v>
      </c>
      <c r="W15" s="124">
        <v>222.13991799267825</v>
      </c>
      <c r="X15" s="124">
        <v>222.13991799267825</v>
      </c>
      <c r="Y15" s="124">
        <v>222.13991799267825</v>
      </c>
      <c r="Z15" s="124">
        <v>222.13991799267825</v>
      </c>
      <c r="AA15" s="124">
        <v>222.13991799267825</v>
      </c>
      <c r="AB15" s="124">
        <v>222.13991799267825</v>
      </c>
      <c r="AC15" s="124">
        <v>156.23438672037713</v>
      </c>
      <c r="AD15" s="124">
        <v>222.13991799267825</v>
      </c>
      <c r="AE15" s="124">
        <v>156.23438672037713</v>
      </c>
      <c r="AF15" s="124">
        <v>222.13991799267825</v>
      </c>
      <c r="AG15" s="124">
        <v>156.23438672037713</v>
      </c>
      <c r="AH15" s="124">
        <v>222.13991799267825</v>
      </c>
      <c r="AI15" s="124">
        <v>222.13991799267825</v>
      </c>
      <c r="AJ15" s="124">
        <v>222.13991799267825</v>
      </c>
      <c r="AK15" s="124">
        <v>156.23438672037713</v>
      </c>
      <c r="AL15" s="124">
        <v>222.13991799267825</v>
      </c>
      <c r="AM15" s="124">
        <v>222.13991799267825</v>
      </c>
      <c r="AN15" s="124">
        <v>222.13991799267825</v>
      </c>
      <c r="AO15" s="124">
        <v>222.13991799267825</v>
      </c>
      <c r="AP15" s="124">
        <v>204.54357177346532</v>
      </c>
      <c r="AQ15" s="124">
        <v>204.54357177346529</v>
      </c>
      <c r="AR15" s="124">
        <v>204.54357177346532</v>
      </c>
      <c r="AS15" s="124">
        <v>204.54357177346529</v>
      </c>
      <c r="AT15" s="124">
        <v>222.13991799267825</v>
      </c>
      <c r="AU15" s="124">
        <v>178.31058654414073</v>
      </c>
      <c r="AV15" s="124">
        <v>211.42488627978614</v>
      </c>
      <c r="AW15" s="124">
        <v>134.15818689661353</v>
      </c>
      <c r="AX15" s="124">
        <v>243.84634654810014</v>
      </c>
      <c r="AY15" s="124">
        <v>134.15818689661353</v>
      </c>
      <c r="AZ15" s="100">
        <v>87.981731096064721</v>
      </c>
    </row>
    <row r="16" spans="1:53">
      <c r="A16" s="110"/>
      <c r="B16" s="119">
        <v>2</v>
      </c>
      <c r="C16" s="109" t="s">
        <v>293</v>
      </c>
      <c r="D16" s="106"/>
      <c r="E16" s="110"/>
      <c r="F16" s="110">
        <v>0</v>
      </c>
      <c r="G16" s="110">
        <v>87.981731096064721</v>
      </c>
      <c r="H16" s="110"/>
      <c r="I16" s="110">
        <v>0</v>
      </c>
      <c r="J16" s="110">
        <v>0</v>
      </c>
      <c r="K16" s="110">
        <v>65.905531272301118</v>
      </c>
      <c r="L16" s="110">
        <v>0</v>
      </c>
      <c r="M16" s="110"/>
      <c r="N16" s="110">
        <v>0</v>
      </c>
      <c r="O16" s="110">
        <v>0</v>
      </c>
      <c r="P16" s="110"/>
      <c r="Q16" s="110"/>
      <c r="R16" s="110">
        <v>0</v>
      </c>
      <c r="S16" s="110">
        <v>0</v>
      </c>
      <c r="T16" s="110"/>
      <c r="U16" s="110"/>
      <c r="V16" s="110">
        <v>0</v>
      </c>
      <c r="W16" s="110">
        <v>0</v>
      </c>
      <c r="X16" s="110"/>
      <c r="Y16" s="110">
        <v>0</v>
      </c>
      <c r="Z16" s="110">
        <v>0</v>
      </c>
      <c r="AA16" s="110">
        <v>0</v>
      </c>
      <c r="AB16" s="110">
        <v>0</v>
      </c>
      <c r="AC16" s="110">
        <v>0</v>
      </c>
      <c r="AD16" s="110"/>
      <c r="AE16" s="110"/>
      <c r="AF16" s="110">
        <v>65.905531272301118</v>
      </c>
      <c r="AG16" s="110"/>
      <c r="AH16" s="110">
        <v>65.905531272301118</v>
      </c>
      <c r="AI16" s="110">
        <v>0</v>
      </c>
      <c r="AJ16" s="110"/>
      <c r="AK16" s="110"/>
      <c r="AL16" s="110">
        <v>65.905531272301118</v>
      </c>
      <c r="AM16" s="110"/>
      <c r="AN16" s="110"/>
      <c r="AO16" s="110"/>
      <c r="AP16" s="110"/>
      <c r="AQ16" s="110"/>
      <c r="AR16" s="110">
        <v>0</v>
      </c>
      <c r="AS16" s="110">
        <v>0</v>
      </c>
      <c r="AT16" s="110"/>
      <c r="AU16" s="110"/>
      <c r="AV16" s="110">
        <v>43.829331448537516</v>
      </c>
      <c r="AW16" s="110">
        <v>10.715031712892113</v>
      </c>
      <c r="AX16" s="110">
        <v>0</v>
      </c>
      <c r="AY16" s="110">
        <v>0</v>
      </c>
      <c r="AZ16" s="100">
        <v>87.981731096064721</v>
      </c>
      <c r="BA16" s="100">
        <v>0</v>
      </c>
    </row>
    <row r="17" spans="1:51">
      <c r="A17" s="110"/>
      <c r="B17" s="119">
        <v>3</v>
      </c>
      <c r="C17" s="109" t="s">
        <v>293</v>
      </c>
      <c r="D17" s="106"/>
      <c r="E17" s="110"/>
      <c r="F17" s="110"/>
      <c r="G17" s="110"/>
      <c r="H17" s="110"/>
      <c r="I17" s="110"/>
      <c r="J17" s="110"/>
      <c r="K17" s="110">
        <v>0</v>
      </c>
      <c r="L17" s="110"/>
      <c r="M17" s="110"/>
      <c r="N17" s="110"/>
      <c r="O17" s="110">
        <v>0</v>
      </c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110"/>
      <c r="AB17" s="110"/>
      <c r="AC17" s="110"/>
      <c r="AD17" s="110"/>
      <c r="AE17" s="110">
        <v>65.905531272301118</v>
      </c>
      <c r="AF17" s="110">
        <v>0</v>
      </c>
      <c r="AG17" s="110"/>
      <c r="AH17" s="110"/>
      <c r="AI17" s="110"/>
      <c r="AJ17" s="110"/>
      <c r="AK17" s="110"/>
      <c r="AL17" s="110"/>
      <c r="AM17" s="110">
        <v>0</v>
      </c>
      <c r="AN17" s="110"/>
      <c r="AO17" s="110"/>
      <c r="AP17" s="110"/>
      <c r="AQ17" s="110"/>
      <c r="AR17" s="110"/>
      <c r="AS17" s="110"/>
      <c r="AT17" s="110"/>
      <c r="AU17" s="110">
        <v>0</v>
      </c>
      <c r="AV17" s="110"/>
      <c r="AW17" s="110"/>
      <c r="AX17" s="110"/>
      <c r="AY17" s="110"/>
    </row>
    <row r="18" spans="1:51">
      <c r="A18" s="125"/>
      <c r="B18" s="116">
        <v>4</v>
      </c>
      <c r="C18" s="125" t="s">
        <v>293</v>
      </c>
      <c r="D18" s="125"/>
      <c r="E18" s="125"/>
      <c r="F18" s="125"/>
      <c r="G18" s="125"/>
      <c r="H18" s="125"/>
      <c r="I18" s="125"/>
      <c r="J18" s="125"/>
      <c r="K18" s="125"/>
      <c r="L18" s="125"/>
      <c r="M18" s="125"/>
      <c r="N18" s="125"/>
      <c r="O18" s="125"/>
      <c r="P18" s="125"/>
      <c r="Q18" s="125"/>
      <c r="R18" s="125"/>
      <c r="S18" s="125"/>
      <c r="T18" s="125"/>
      <c r="U18" s="125"/>
      <c r="V18" s="125"/>
      <c r="W18" s="125"/>
      <c r="X18" s="125"/>
      <c r="Y18" s="125"/>
      <c r="Z18" s="125"/>
      <c r="AA18" s="125"/>
      <c r="AB18" s="125"/>
      <c r="AC18" s="125"/>
      <c r="AD18" s="125"/>
      <c r="AE18" s="125"/>
      <c r="AF18" s="125"/>
      <c r="AG18" s="125"/>
      <c r="AH18" s="125"/>
      <c r="AI18" s="125"/>
      <c r="AJ18" s="125"/>
      <c r="AK18" s="125"/>
      <c r="AL18" s="125"/>
      <c r="AM18" s="125"/>
      <c r="AN18" s="125"/>
      <c r="AO18" s="125"/>
      <c r="AP18" s="125"/>
      <c r="AQ18" s="125"/>
      <c r="AR18" s="125"/>
      <c r="AS18" s="125"/>
      <c r="AT18" s="125"/>
      <c r="AU18" s="125"/>
      <c r="AV18" s="125"/>
      <c r="AW18" s="125"/>
      <c r="AX18" s="125"/>
      <c r="AY18" s="125"/>
    </row>
    <row r="20" spans="1:51">
      <c r="A20" s="102" t="s">
        <v>294</v>
      </c>
    </row>
    <row r="21" spans="1:51">
      <c r="A21" s="126" t="s">
        <v>125</v>
      </c>
      <c r="B21" s="123">
        <v>1</v>
      </c>
      <c r="C21" s="124" t="s">
        <v>293</v>
      </c>
      <c r="D21" s="124"/>
      <c r="E21" s="124"/>
      <c r="F21" s="124"/>
      <c r="G21" s="124"/>
      <c r="H21" s="124"/>
      <c r="I21" s="124"/>
      <c r="J21" s="124"/>
      <c r="K21" s="124"/>
      <c r="L21" s="124"/>
      <c r="M21" s="124"/>
      <c r="N21" s="124"/>
      <c r="O21" s="124"/>
      <c r="P21" s="124"/>
      <c r="Q21" s="124"/>
      <c r="R21" s="124"/>
      <c r="S21" s="124"/>
      <c r="T21" s="124"/>
      <c r="U21" s="124"/>
      <c r="V21" s="124"/>
      <c r="W21" s="124"/>
      <c r="X21" s="124"/>
      <c r="Y21" s="124"/>
      <c r="Z21" s="124"/>
      <c r="AA21" s="124"/>
      <c r="AB21" s="124"/>
      <c r="AC21" s="124"/>
      <c r="AD21" s="124"/>
      <c r="AE21" s="124"/>
      <c r="AF21" s="124"/>
      <c r="AG21" s="124"/>
      <c r="AH21" s="124"/>
      <c r="AI21" s="124"/>
      <c r="AJ21" s="124"/>
      <c r="AK21" s="124"/>
      <c r="AL21" s="124"/>
      <c r="AM21" s="124"/>
      <c r="AN21" s="124"/>
      <c r="AO21" s="124"/>
      <c r="AP21" s="124"/>
      <c r="AQ21" s="124"/>
      <c r="AR21" s="124"/>
      <c r="AS21" s="124"/>
      <c r="AT21" s="124"/>
      <c r="AU21" s="124"/>
      <c r="AV21" s="124"/>
      <c r="AW21" s="124"/>
      <c r="AX21" s="124"/>
      <c r="AY21" s="124"/>
    </row>
    <row r="22" spans="1:51">
      <c r="A22" s="109"/>
      <c r="B22" s="120">
        <v>2</v>
      </c>
      <c r="C22" s="110" t="s">
        <v>293</v>
      </c>
      <c r="D22" s="110"/>
      <c r="E22" s="110"/>
      <c r="F22" s="110"/>
      <c r="G22" s="110"/>
      <c r="H22" s="110"/>
      <c r="I22" s="110"/>
      <c r="J22" s="110"/>
      <c r="K22" s="110"/>
      <c r="L22" s="110"/>
      <c r="M22" s="110"/>
      <c r="N22" s="110"/>
      <c r="O22" s="110"/>
      <c r="P22" s="110"/>
      <c r="Q22" s="110"/>
      <c r="R22" s="110"/>
      <c r="S22" s="110"/>
      <c r="T22" s="110"/>
      <c r="U22" s="110"/>
      <c r="V22" s="110"/>
      <c r="W22" s="110"/>
      <c r="X22" s="110"/>
      <c r="Y22" s="110"/>
      <c r="Z22" s="110"/>
      <c r="AA22" s="110"/>
      <c r="AB22" s="110"/>
      <c r="AC22" s="110"/>
      <c r="AD22" s="110"/>
      <c r="AE22" s="110"/>
      <c r="AF22" s="110"/>
      <c r="AG22" s="110"/>
      <c r="AH22" s="110"/>
      <c r="AI22" s="110"/>
      <c r="AJ22" s="110"/>
      <c r="AK22" s="110"/>
      <c r="AL22" s="110"/>
      <c r="AM22" s="110"/>
      <c r="AN22" s="110"/>
      <c r="AO22" s="110"/>
      <c r="AP22" s="110"/>
      <c r="AQ22" s="110"/>
      <c r="AR22" s="110"/>
      <c r="AS22" s="110"/>
      <c r="AT22" s="110"/>
      <c r="AU22" s="110"/>
      <c r="AV22" s="110"/>
      <c r="AW22" s="110"/>
      <c r="AX22" s="110"/>
      <c r="AY22" s="110"/>
    </row>
    <row r="23" spans="1:51">
      <c r="A23" s="109"/>
      <c r="B23" s="127">
        <v>3</v>
      </c>
      <c r="C23" s="110" t="s">
        <v>293</v>
      </c>
      <c r="D23" s="110"/>
      <c r="E23" s="110"/>
      <c r="F23" s="110"/>
      <c r="G23" s="110"/>
      <c r="H23" s="110"/>
      <c r="I23" s="110"/>
      <c r="J23" s="110"/>
      <c r="K23" s="110"/>
      <c r="L23" s="110"/>
      <c r="M23" s="110"/>
      <c r="N23" s="110"/>
      <c r="O23" s="110"/>
      <c r="P23" s="110"/>
      <c r="Q23" s="110"/>
      <c r="R23" s="110"/>
      <c r="S23" s="110"/>
      <c r="T23" s="110"/>
      <c r="U23" s="110"/>
      <c r="V23" s="110"/>
      <c r="W23" s="110"/>
      <c r="X23" s="110"/>
      <c r="Y23" s="110"/>
      <c r="Z23" s="110"/>
      <c r="AA23" s="110"/>
      <c r="AB23" s="110"/>
      <c r="AC23" s="110"/>
      <c r="AD23" s="110"/>
      <c r="AE23" s="110"/>
      <c r="AF23" s="110"/>
      <c r="AG23" s="110"/>
      <c r="AH23" s="110"/>
      <c r="AI23" s="110"/>
      <c r="AJ23" s="110"/>
      <c r="AK23" s="110"/>
      <c r="AL23" s="110"/>
      <c r="AM23" s="110"/>
      <c r="AN23" s="110"/>
      <c r="AO23" s="110"/>
      <c r="AP23" s="110"/>
      <c r="AQ23" s="110"/>
      <c r="AR23" s="110"/>
      <c r="AS23" s="110"/>
      <c r="AT23" s="110"/>
      <c r="AU23" s="110"/>
      <c r="AV23" s="110"/>
      <c r="AW23" s="110"/>
      <c r="AX23" s="110"/>
      <c r="AY23" s="110"/>
    </row>
    <row r="24" spans="1:51">
      <c r="A24" s="128"/>
      <c r="B24" s="129">
        <v>4</v>
      </c>
      <c r="C24" s="128" t="s">
        <v>293</v>
      </c>
      <c r="D24" s="125">
        <v>0</v>
      </c>
      <c r="E24" s="125">
        <v>0</v>
      </c>
      <c r="F24" s="125">
        <v>0</v>
      </c>
      <c r="G24" s="125">
        <v>0</v>
      </c>
      <c r="H24" s="125">
        <v>0</v>
      </c>
      <c r="I24" s="125">
        <v>0</v>
      </c>
      <c r="J24" s="125">
        <v>0</v>
      </c>
      <c r="K24" s="125">
        <v>0</v>
      </c>
      <c r="L24" s="125">
        <v>0</v>
      </c>
      <c r="M24" s="125">
        <v>0</v>
      </c>
      <c r="N24" s="125">
        <v>0</v>
      </c>
      <c r="O24" s="125">
        <v>0</v>
      </c>
      <c r="P24" s="125">
        <v>0</v>
      </c>
      <c r="Q24" s="125">
        <v>0</v>
      </c>
      <c r="R24" s="125">
        <v>0</v>
      </c>
      <c r="S24" s="125">
        <v>0</v>
      </c>
      <c r="T24" s="125">
        <v>0</v>
      </c>
      <c r="U24" s="125">
        <v>0</v>
      </c>
      <c r="V24" s="125">
        <v>0</v>
      </c>
      <c r="W24" s="125">
        <v>0</v>
      </c>
      <c r="X24" s="125">
        <v>0</v>
      </c>
      <c r="Y24" s="125">
        <v>0</v>
      </c>
      <c r="Z24" s="125">
        <v>0</v>
      </c>
      <c r="AA24" s="125">
        <v>0</v>
      </c>
      <c r="AB24" s="125">
        <v>0</v>
      </c>
      <c r="AC24" s="125">
        <v>0</v>
      </c>
      <c r="AD24" s="125">
        <v>0</v>
      </c>
      <c r="AE24" s="125">
        <v>0</v>
      </c>
      <c r="AF24" s="125">
        <v>0</v>
      </c>
      <c r="AG24" s="125">
        <v>0</v>
      </c>
      <c r="AH24" s="125">
        <v>0</v>
      </c>
      <c r="AI24" s="125">
        <v>0</v>
      </c>
      <c r="AJ24" s="125">
        <v>0</v>
      </c>
      <c r="AK24" s="125">
        <v>0</v>
      </c>
      <c r="AL24" s="125">
        <v>0</v>
      </c>
      <c r="AM24" s="125">
        <v>0</v>
      </c>
      <c r="AN24" s="125">
        <v>0</v>
      </c>
      <c r="AO24" s="125">
        <v>0</v>
      </c>
      <c r="AP24" s="125">
        <v>0</v>
      </c>
      <c r="AQ24" s="125">
        <v>0</v>
      </c>
      <c r="AR24" s="125">
        <v>0</v>
      </c>
      <c r="AS24" s="125">
        <v>0</v>
      </c>
      <c r="AT24" s="125">
        <v>0</v>
      </c>
      <c r="AU24" s="125">
        <v>0</v>
      </c>
      <c r="AV24" s="125">
        <v>0</v>
      </c>
      <c r="AW24" s="125">
        <v>0</v>
      </c>
      <c r="AX24" s="125">
        <v>0</v>
      </c>
      <c r="AY24" s="125">
        <v>0</v>
      </c>
    </row>
    <row r="25" spans="1:51">
      <c r="A25" s="126" t="s">
        <v>133</v>
      </c>
      <c r="B25" s="123">
        <v>1</v>
      </c>
      <c r="C25" s="109" t="s">
        <v>293</v>
      </c>
      <c r="D25" s="110"/>
      <c r="E25" s="110"/>
      <c r="F25" s="110"/>
      <c r="G25" s="110"/>
      <c r="H25" s="110"/>
      <c r="I25" s="110"/>
      <c r="J25" s="110"/>
      <c r="K25" s="110"/>
      <c r="L25" s="110"/>
      <c r="M25" s="110"/>
      <c r="N25" s="110"/>
      <c r="O25" s="110"/>
      <c r="P25" s="110"/>
      <c r="Q25" s="110"/>
      <c r="R25" s="110"/>
      <c r="S25" s="110"/>
      <c r="T25" s="110"/>
      <c r="U25" s="110"/>
      <c r="V25" s="110"/>
      <c r="W25" s="110"/>
      <c r="X25" s="110"/>
      <c r="Y25" s="110"/>
      <c r="Z25" s="110"/>
      <c r="AA25" s="110"/>
      <c r="AB25" s="110"/>
      <c r="AC25" s="110"/>
      <c r="AD25" s="110"/>
      <c r="AE25" s="110"/>
      <c r="AF25" s="110"/>
      <c r="AG25" s="110"/>
      <c r="AH25" s="110"/>
      <c r="AI25" s="110"/>
      <c r="AJ25" s="110"/>
      <c r="AK25" s="110"/>
      <c r="AL25" s="110"/>
      <c r="AM25" s="110"/>
      <c r="AN25" s="110"/>
      <c r="AO25" s="110"/>
      <c r="AP25" s="110"/>
      <c r="AQ25" s="110"/>
      <c r="AR25" s="110"/>
      <c r="AS25" s="110"/>
      <c r="AT25" s="110"/>
      <c r="AU25" s="110"/>
      <c r="AV25" s="110"/>
      <c r="AW25" s="110"/>
      <c r="AX25" s="110"/>
      <c r="AY25" s="110"/>
    </row>
    <row r="26" spans="1:51">
      <c r="A26" s="109"/>
      <c r="B26" s="119">
        <v>2</v>
      </c>
      <c r="C26" s="109" t="s">
        <v>293</v>
      </c>
      <c r="D26" s="110"/>
      <c r="E26" s="110"/>
      <c r="F26" s="110"/>
      <c r="G26" s="110"/>
      <c r="H26" s="110"/>
      <c r="I26" s="110"/>
      <c r="J26" s="110"/>
      <c r="K26" s="110"/>
      <c r="L26" s="110"/>
      <c r="M26" s="110"/>
      <c r="N26" s="110"/>
      <c r="O26" s="110"/>
      <c r="P26" s="110"/>
      <c r="Q26" s="110"/>
      <c r="R26" s="110"/>
      <c r="S26" s="110"/>
      <c r="T26" s="110"/>
      <c r="U26" s="110"/>
      <c r="V26" s="110"/>
      <c r="W26" s="110"/>
      <c r="X26" s="110"/>
      <c r="Y26" s="110"/>
      <c r="Z26" s="110"/>
      <c r="AA26" s="110"/>
      <c r="AB26" s="110"/>
      <c r="AC26" s="110"/>
      <c r="AD26" s="110"/>
      <c r="AE26" s="110"/>
      <c r="AF26" s="110"/>
      <c r="AG26" s="110"/>
      <c r="AH26" s="110"/>
      <c r="AI26" s="110"/>
      <c r="AJ26" s="110"/>
      <c r="AK26" s="110"/>
      <c r="AL26" s="110"/>
      <c r="AM26" s="110"/>
      <c r="AN26" s="110"/>
      <c r="AO26" s="110"/>
      <c r="AP26" s="110"/>
      <c r="AQ26" s="110"/>
      <c r="AR26" s="110"/>
      <c r="AS26" s="110"/>
      <c r="AT26" s="110"/>
      <c r="AU26" s="110"/>
      <c r="AV26" s="110"/>
      <c r="AW26" s="110"/>
      <c r="AX26" s="110"/>
      <c r="AY26" s="110"/>
    </row>
    <row r="27" spans="1:51">
      <c r="A27" s="109"/>
      <c r="B27" s="120">
        <v>3</v>
      </c>
      <c r="C27" s="109" t="s">
        <v>293</v>
      </c>
      <c r="D27" s="110"/>
      <c r="E27" s="110"/>
      <c r="F27" s="110"/>
      <c r="G27" s="110"/>
      <c r="H27" s="110"/>
      <c r="I27" s="110"/>
      <c r="J27" s="110"/>
      <c r="K27" s="110"/>
      <c r="L27" s="110"/>
      <c r="M27" s="110"/>
      <c r="N27" s="110"/>
      <c r="O27" s="110"/>
      <c r="P27" s="110"/>
      <c r="Q27" s="110"/>
      <c r="R27" s="110"/>
      <c r="S27" s="110"/>
      <c r="T27" s="110"/>
      <c r="U27" s="110"/>
      <c r="V27" s="110"/>
      <c r="W27" s="110"/>
      <c r="X27" s="110"/>
      <c r="Y27" s="110"/>
      <c r="Z27" s="110"/>
      <c r="AA27" s="110"/>
      <c r="AB27" s="110"/>
      <c r="AC27" s="110"/>
      <c r="AD27" s="110"/>
      <c r="AE27" s="110"/>
      <c r="AF27" s="110"/>
      <c r="AG27" s="110"/>
      <c r="AH27" s="110"/>
      <c r="AI27" s="110"/>
      <c r="AJ27" s="110"/>
      <c r="AK27" s="110"/>
      <c r="AL27" s="110"/>
      <c r="AM27" s="110"/>
      <c r="AN27" s="110"/>
      <c r="AO27" s="110"/>
      <c r="AP27" s="110"/>
      <c r="AQ27" s="110"/>
      <c r="AR27" s="110"/>
      <c r="AS27" s="110"/>
      <c r="AT27" s="110"/>
      <c r="AU27" s="110"/>
      <c r="AV27" s="110"/>
      <c r="AW27" s="110"/>
      <c r="AX27" s="110"/>
      <c r="AY27" s="110"/>
    </row>
    <row r="28" spans="1:51">
      <c r="A28" s="109"/>
      <c r="B28" s="120">
        <v>4</v>
      </c>
      <c r="C28" s="109" t="s">
        <v>293</v>
      </c>
      <c r="D28" s="110"/>
      <c r="E28" s="110"/>
      <c r="F28" s="110"/>
      <c r="G28" s="110"/>
      <c r="H28" s="110"/>
      <c r="I28" s="110"/>
      <c r="J28" s="110"/>
      <c r="K28" s="110"/>
      <c r="L28" s="110"/>
      <c r="M28" s="110"/>
      <c r="N28" s="110"/>
      <c r="O28" s="110"/>
      <c r="P28" s="110"/>
      <c r="Q28" s="110"/>
      <c r="R28" s="110"/>
      <c r="S28" s="110"/>
      <c r="T28" s="110"/>
      <c r="U28" s="110"/>
      <c r="V28" s="110"/>
      <c r="W28" s="110"/>
      <c r="X28" s="110"/>
      <c r="Y28" s="110"/>
      <c r="Z28" s="110"/>
      <c r="AA28" s="110"/>
      <c r="AB28" s="110"/>
      <c r="AC28" s="110"/>
      <c r="AD28" s="110"/>
      <c r="AE28" s="110"/>
      <c r="AF28" s="110"/>
      <c r="AG28" s="110"/>
      <c r="AH28" s="110"/>
      <c r="AI28" s="110"/>
      <c r="AJ28" s="110"/>
      <c r="AK28" s="110"/>
      <c r="AL28" s="110"/>
      <c r="AM28" s="110"/>
      <c r="AN28" s="110"/>
      <c r="AO28" s="110"/>
      <c r="AP28" s="110"/>
      <c r="AQ28" s="110"/>
      <c r="AR28" s="110"/>
      <c r="AS28" s="110"/>
      <c r="AT28" s="110"/>
      <c r="AU28" s="110"/>
      <c r="AV28" s="110"/>
      <c r="AW28" s="110"/>
      <c r="AX28" s="110"/>
      <c r="AY28" s="110"/>
    </row>
    <row r="29" spans="1:51">
      <c r="A29" s="109"/>
      <c r="B29" s="127">
        <v>5</v>
      </c>
      <c r="C29" s="109" t="s">
        <v>293</v>
      </c>
      <c r="D29" s="110"/>
      <c r="E29" s="110"/>
      <c r="F29" s="110"/>
      <c r="G29" s="110"/>
      <c r="H29" s="110"/>
      <c r="I29" s="110"/>
      <c r="J29" s="110"/>
      <c r="K29" s="110"/>
      <c r="L29" s="110"/>
      <c r="M29" s="110"/>
      <c r="N29" s="110"/>
      <c r="O29" s="110"/>
      <c r="P29" s="110"/>
      <c r="Q29" s="110"/>
      <c r="R29" s="110"/>
      <c r="S29" s="110"/>
      <c r="T29" s="110"/>
      <c r="U29" s="110"/>
      <c r="V29" s="110"/>
      <c r="W29" s="110"/>
      <c r="X29" s="110"/>
      <c r="Y29" s="110"/>
      <c r="Z29" s="110"/>
      <c r="AA29" s="110"/>
      <c r="AB29" s="110"/>
      <c r="AC29" s="110"/>
      <c r="AD29" s="110"/>
      <c r="AE29" s="110"/>
      <c r="AF29" s="110"/>
      <c r="AG29" s="110"/>
      <c r="AH29" s="110"/>
      <c r="AI29" s="110"/>
      <c r="AJ29" s="110"/>
      <c r="AK29" s="110"/>
      <c r="AL29" s="110"/>
      <c r="AM29" s="110"/>
      <c r="AN29" s="110"/>
      <c r="AO29" s="110"/>
      <c r="AP29" s="110"/>
      <c r="AQ29" s="110"/>
      <c r="AR29" s="110"/>
      <c r="AS29" s="110"/>
      <c r="AT29" s="110"/>
      <c r="AU29" s="110"/>
      <c r="AV29" s="110"/>
      <c r="AW29" s="110"/>
      <c r="AX29" s="110"/>
      <c r="AY29" s="110"/>
    </row>
    <row r="30" spans="1:51">
      <c r="A30" s="109"/>
      <c r="B30" s="127">
        <v>6</v>
      </c>
      <c r="C30" s="109" t="s">
        <v>293</v>
      </c>
      <c r="D30" s="110"/>
      <c r="E30" s="110"/>
      <c r="F30" s="110"/>
      <c r="G30" s="110"/>
      <c r="H30" s="110"/>
      <c r="I30" s="110"/>
      <c r="J30" s="110"/>
      <c r="K30" s="110"/>
      <c r="L30" s="110"/>
      <c r="M30" s="110"/>
      <c r="N30" s="110"/>
      <c r="O30" s="110"/>
      <c r="P30" s="110"/>
      <c r="Q30" s="110"/>
      <c r="R30" s="110"/>
      <c r="S30" s="110"/>
      <c r="T30" s="110"/>
      <c r="U30" s="110"/>
      <c r="V30" s="110"/>
      <c r="W30" s="110"/>
      <c r="X30" s="110"/>
      <c r="Y30" s="110"/>
      <c r="Z30" s="110"/>
      <c r="AA30" s="110"/>
      <c r="AB30" s="110"/>
      <c r="AC30" s="110"/>
      <c r="AD30" s="110"/>
      <c r="AE30" s="110"/>
      <c r="AF30" s="110"/>
      <c r="AG30" s="110"/>
      <c r="AH30" s="110"/>
      <c r="AI30" s="110"/>
      <c r="AJ30" s="110"/>
      <c r="AK30" s="110"/>
      <c r="AL30" s="110"/>
      <c r="AM30" s="110"/>
      <c r="AN30" s="110"/>
      <c r="AO30" s="110"/>
      <c r="AP30" s="110"/>
      <c r="AQ30" s="110"/>
      <c r="AR30" s="110"/>
      <c r="AS30" s="110"/>
      <c r="AT30" s="110"/>
      <c r="AU30" s="110"/>
      <c r="AV30" s="110"/>
      <c r="AW30" s="110"/>
      <c r="AX30" s="110"/>
      <c r="AY30" s="110"/>
    </row>
    <row r="31" spans="1:51">
      <c r="A31" s="109"/>
      <c r="B31" s="130">
        <v>7</v>
      </c>
      <c r="C31" s="109" t="s">
        <v>293</v>
      </c>
      <c r="D31" s="110"/>
      <c r="E31" s="110"/>
      <c r="F31" s="110"/>
      <c r="G31" s="110"/>
      <c r="H31" s="110"/>
      <c r="I31" s="110"/>
      <c r="J31" s="110"/>
      <c r="K31" s="110"/>
      <c r="L31" s="110"/>
      <c r="M31" s="110"/>
      <c r="N31" s="110"/>
      <c r="O31" s="110"/>
      <c r="P31" s="110"/>
      <c r="Q31" s="110"/>
      <c r="R31" s="110"/>
      <c r="S31" s="110"/>
      <c r="T31" s="110"/>
      <c r="U31" s="110"/>
      <c r="V31" s="110"/>
      <c r="W31" s="110"/>
      <c r="X31" s="110"/>
      <c r="Y31" s="110"/>
      <c r="Z31" s="110"/>
      <c r="AA31" s="110"/>
      <c r="AB31" s="110"/>
      <c r="AC31" s="110"/>
      <c r="AD31" s="110"/>
      <c r="AE31" s="110"/>
      <c r="AF31" s="110"/>
      <c r="AG31" s="110"/>
      <c r="AH31" s="110"/>
      <c r="AI31" s="110"/>
      <c r="AJ31" s="110"/>
      <c r="AK31" s="110"/>
      <c r="AL31" s="110"/>
      <c r="AM31" s="110"/>
      <c r="AN31" s="110"/>
      <c r="AO31" s="110"/>
      <c r="AP31" s="110"/>
      <c r="AQ31" s="110"/>
      <c r="AR31" s="110"/>
      <c r="AS31" s="110"/>
      <c r="AT31" s="110"/>
      <c r="AU31" s="110"/>
      <c r="AV31" s="110"/>
      <c r="AW31" s="110"/>
      <c r="AX31" s="110"/>
      <c r="AY31" s="110"/>
    </row>
    <row r="32" spans="1:51">
      <c r="A32" s="128"/>
      <c r="B32" s="129">
        <v>8</v>
      </c>
      <c r="C32" s="128" t="s">
        <v>293</v>
      </c>
      <c r="D32" s="125">
        <v>0</v>
      </c>
      <c r="E32" s="125">
        <v>0</v>
      </c>
      <c r="F32" s="125">
        <v>0</v>
      </c>
      <c r="G32" s="125">
        <v>0</v>
      </c>
      <c r="H32" s="125">
        <v>0</v>
      </c>
      <c r="I32" s="125">
        <v>0</v>
      </c>
      <c r="J32" s="125">
        <v>0</v>
      </c>
      <c r="K32" s="125">
        <v>0</v>
      </c>
      <c r="L32" s="125">
        <v>0</v>
      </c>
      <c r="M32" s="125">
        <v>0</v>
      </c>
      <c r="N32" s="125">
        <v>0</v>
      </c>
      <c r="O32" s="125">
        <v>0</v>
      </c>
      <c r="P32" s="125">
        <v>0</v>
      </c>
      <c r="Q32" s="125">
        <v>0</v>
      </c>
      <c r="R32" s="125">
        <v>0</v>
      </c>
      <c r="S32" s="125">
        <v>0</v>
      </c>
      <c r="T32" s="125">
        <v>0</v>
      </c>
      <c r="U32" s="125">
        <v>0</v>
      </c>
      <c r="V32" s="125">
        <v>0</v>
      </c>
      <c r="W32" s="125">
        <v>0</v>
      </c>
      <c r="X32" s="125">
        <v>0</v>
      </c>
      <c r="Y32" s="125">
        <v>0</v>
      </c>
      <c r="Z32" s="125">
        <v>0</v>
      </c>
      <c r="AA32" s="125">
        <v>0</v>
      </c>
      <c r="AB32" s="125">
        <v>0</v>
      </c>
      <c r="AC32" s="125">
        <v>0</v>
      </c>
      <c r="AD32" s="125">
        <v>0</v>
      </c>
      <c r="AE32" s="125">
        <v>0</v>
      </c>
      <c r="AF32" s="125">
        <v>0</v>
      </c>
      <c r="AG32" s="125">
        <v>0</v>
      </c>
      <c r="AH32" s="125">
        <v>0</v>
      </c>
      <c r="AI32" s="125">
        <v>0</v>
      </c>
      <c r="AJ32" s="125">
        <v>0</v>
      </c>
      <c r="AK32" s="125">
        <v>0</v>
      </c>
      <c r="AL32" s="125">
        <v>0</v>
      </c>
      <c r="AM32" s="125">
        <v>0</v>
      </c>
      <c r="AN32" s="125">
        <v>0</v>
      </c>
      <c r="AO32" s="125">
        <v>0</v>
      </c>
      <c r="AP32" s="125">
        <v>0</v>
      </c>
      <c r="AQ32" s="125">
        <v>0</v>
      </c>
      <c r="AR32" s="125">
        <v>0</v>
      </c>
      <c r="AS32" s="125">
        <v>0</v>
      </c>
      <c r="AT32" s="125">
        <v>0</v>
      </c>
      <c r="AU32" s="125">
        <v>0</v>
      </c>
      <c r="AV32" s="125">
        <v>0</v>
      </c>
      <c r="AW32" s="125">
        <v>0</v>
      </c>
      <c r="AX32" s="125">
        <v>0</v>
      </c>
      <c r="AY32" s="125">
        <v>0</v>
      </c>
    </row>
    <row r="33" spans="1:51">
      <c r="A33" s="131" t="s">
        <v>134</v>
      </c>
      <c r="B33" s="119">
        <v>1</v>
      </c>
      <c r="C33" s="109" t="s">
        <v>293</v>
      </c>
      <c r="D33" s="106"/>
      <c r="E33" s="106"/>
      <c r="F33" s="106"/>
      <c r="G33" s="106"/>
      <c r="H33" s="106"/>
      <c r="I33" s="106"/>
      <c r="J33" s="106"/>
      <c r="K33" s="106"/>
      <c r="L33" s="106"/>
      <c r="M33" s="106"/>
      <c r="N33" s="106"/>
      <c r="O33" s="106"/>
      <c r="P33" s="106"/>
      <c r="Q33" s="106"/>
      <c r="R33" s="106"/>
      <c r="S33" s="106"/>
      <c r="T33" s="106"/>
      <c r="U33" s="106"/>
      <c r="V33" s="106"/>
      <c r="W33" s="106"/>
      <c r="X33" s="106"/>
      <c r="Y33" s="106"/>
      <c r="Z33" s="106"/>
      <c r="AA33" s="106"/>
      <c r="AB33" s="106"/>
      <c r="AC33" s="106"/>
      <c r="AD33" s="106"/>
      <c r="AE33" s="106"/>
      <c r="AF33" s="106"/>
      <c r="AG33" s="106"/>
      <c r="AH33" s="106"/>
      <c r="AI33" s="106"/>
      <c r="AJ33" s="106"/>
      <c r="AK33" s="106"/>
      <c r="AL33" s="106"/>
      <c r="AM33" s="106"/>
      <c r="AN33" s="106"/>
      <c r="AO33" s="106"/>
      <c r="AP33" s="106"/>
      <c r="AQ33" s="106"/>
      <c r="AR33" s="106"/>
      <c r="AS33" s="106"/>
      <c r="AT33" s="106"/>
      <c r="AU33" s="106"/>
      <c r="AV33" s="106"/>
      <c r="AW33" s="106"/>
      <c r="AX33" s="106"/>
      <c r="AY33" s="106"/>
    </row>
    <row r="34" spans="1:51">
      <c r="A34" s="109"/>
      <c r="B34" s="119">
        <v>2</v>
      </c>
      <c r="C34" s="109" t="s">
        <v>293</v>
      </c>
      <c r="D34" s="106"/>
      <c r="E34" s="106"/>
      <c r="F34" s="106"/>
      <c r="G34" s="106"/>
      <c r="H34" s="106"/>
      <c r="I34" s="106"/>
      <c r="J34" s="106"/>
      <c r="K34" s="106"/>
      <c r="L34" s="106"/>
      <c r="M34" s="106"/>
      <c r="N34" s="106"/>
      <c r="O34" s="106"/>
      <c r="P34" s="106"/>
      <c r="Q34" s="106"/>
      <c r="R34" s="106"/>
      <c r="S34" s="106"/>
      <c r="T34" s="106"/>
      <c r="U34" s="106"/>
      <c r="V34" s="106"/>
      <c r="W34" s="106"/>
      <c r="X34" s="106"/>
      <c r="Y34" s="106"/>
      <c r="Z34" s="106"/>
      <c r="AA34" s="106"/>
      <c r="AB34" s="106"/>
      <c r="AC34" s="106"/>
      <c r="AD34" s="106"/>
      <c r="AE34" s="106"/>
      <c r="AF34" s="106"/>
      <c r="AG34" s="106"/>
      <c r="AH34" s="106"/>
      <c r="AI34" s="106"/>
      <c r="AJ34" s="106"/>
      <c r="AK34" s="106"/>
      <c r="AL34" s="106"/>
      <c r="AM34" s="106"/>
      <c r="AN34" s="106"/>
      <c r="AO34" s="106"/>
      <c r="AP34" s="106"/>
      <c r="AQ34" s="106"/>
      <c r="AR34" s="106"/>
      <c r="AS34" s="106"/>
      <c r="AT34" s="106"/>
      <c r="AU34" s="106"/>
      <c r="AV34" s="106"/>
      <c r="AW34" s="106"/>
      <c r="AX34" s="106"/>
      <c r="AY34" s="106"/>
    </row>
    <row r="35" spans="1:51">
      <c r="A35" s="109"/>
      <c r="B35" s="119">
        <v>3</v>
      </c>
      <c r="C35" s="109" t="s">
        <v>293</v>
      </c>
      <c r="D35" s="106"/>
      <c r="E35" s="106"/>
      <c r="F35" s="106"/>
      <c r="G35" s="106"/>
      <c r="H35" s="106"/>
      <c r="I35" s="106"/>
      <c r="J35" s="106"/>
      <c r="K35" s="106"/>
      <c r="L35" s="106"/>
      <c r="M35" s="106"/>
      <c r="N35" s="106"/>
      <c r="O35" s="106"/>
      <c r="P35" s="106"/>
      <c r="Q35" s="106"/>
      <c r="R35" s="106"/>
      <c r="S35" s="106"/>
      <c r="T35" s="106"/>
      <c r="U35" s="106"/>
      <c r="V35" s="106"/>
      <c r="W35" s="106"/>
      <c r="X35" s="106"/>
      <c r="Y35" s="106"/>
      <c r="Z35" s="106"/>
      <c r="AA35" s="106"/>
      <c r="AB35" s="106"/>
      <c r="AC35" s="106"/>
      <c r="AD35" s="106"/>
      <c r="AE35" s="106"/>
      <c r="AF35" s="106"/>
      <c r="AG35" s="106"/>
      <c r="AH35" s="106"/>
      <c r="AI35" s="106"/>
      <c r="AJ35" s="106"/>
      <c r="AK35" s="106"/>
      <c r="AL35" s="106"/>
      <c r="AM35" s="106"/>
      <c r="AN35" s="106"/>
      <c r="AO35" s="106"/>
      <c r="AP35" s="106"/>
      <c r="AQ35" s="106"/>
      <c r="AR35" s="106"/>
      <c r="AS35" s="106"/>
      <c r="AT35" s="106"/>
      <c r="AU35" s="106"/>
      <c r="AV35" s="106"/>
      <c r="AW35" s="106"/>
      <c r="AX35" s="106"/>
      <c r="AY35" s="106"/>
    </row>
    <row r="36" spans="1:51">
      <c r="A36" s="109"/>
      <c r="B36" s="120">
        <v>4</v>
      </c>
      <c r="C36" s="109" t="s">
        <v>293</v>
      </c>
      <c r="D36" s="106"/>
      <c r="E36" s="106"/>
      <c r="F36" s="106"/>
      <c r="G36" s="106"/>
      <c r="H36" s="106"/>
      <c r="I36" s="106"/>
      <c r="J36" s="106"/>
      <c r="K36" s="106"/>
      <c r="L36" s="106"/>
      <c r="M36" s="106"/>
      <c r="N36" s="106"/>
      <c r="O36" s="106"/>
      <c r="P36" s="106"/>
      <c r="Q36" s="106"/>
      <c r="R36" s="106"/>
      <c r="S36" s="106"/>
      <c r="T36" s="106"/>
      <c r="U36" s="106"/>
      <c r="V36" s="106"/>
      <c r="W36" s="106"/>
      <c r="X36" s="106"/>
      <c r="Y36" s="106"/>
      <c r="Z36" s="106"/>
      <c r="AA36" s="106"/>
      <c r="AB36" s="106"/>
      <c r="AC36" s="106"/>
      <c r="AD36" s="106"/>
      <c r="AE36" s="106"/>
      <c r="AF36" s="106"/>
      <c r="AG36" s="106"/>
      <c r="AH36" s="106"/>
      <c r="AI36" s="106"/>
      <c r="AJ36" s="106"/>
      <c r="AK36" s="106"/>
      <c r="AL36" s="106"/>
      <c r="AM36" s="106"/>
      <c r="AN36" s="106"/>
      <c r="AO36" s="106"/>
      <c r="AP36" s="106"/>
      <c r="AQ36" s="106"/>
      <c r="AR36" s="106"/>
      <c r="AS36" s="106"/>
      <c r="AT36" s="106"/>
      <c r="AU36" s="106"/>
      <c r="AV36" s="106"/>
      <c r="AW36" s="106"/>
      <c r="AX36" s="106"/>
      <c r="AY36" s="106"/>
    </row>
    <row r="37" spans="1:51">
      <c r="A37" s="109"/>
      <c r="B37" s="120">
        <v>5</v>
      </c>
      <c r="C37" s="109" t="s">
        <v>293</v>
      </c>
      <c r="D37" s="106"/>
      <c r="E37" s="106"/>
      <c r="F37" s="106"/>
      <c r="G37" s="106"/>
      <c r="H37" s="106"/>
      <c r="I37" s="106"/>
      <c r="J37" s="106"/>
      <c r="K37" s="106"/>
      <c r="L37" s="106"/>
      <c r="M37" s="106"/>
      <c r="N37" s="106"/>
      <c r="O37" s="106"/>
      <c r="P37" s="106"/>
      <c r="Q37" s="106"/>
      <c r="R37" s="106"/>
      <c r="S37" s="106"/>
      <c r="T37" s="106"/>
      <c r="U37" s="106"/>
      <c r="V37" s="106"/>
      <c r="W37" s="106"/>
      <c r="X37" s="106"/>
      <c r="Y37" s="106"/>
      <c r="Z37" s="106"/>
      <c r="AA37" s="106"/>
      <c r="AB37" s="106"/>
      <c r="AC37" s="106"/>
      <c r="AD37" s="106"/>
      <c r="AE37" s="106"/>
      <c r="AF37" s="106"/>
      <c r="AG37" s="106"/>
      <c r="AH37" s="106"/>
      <c r="AI37" s="106"/>
      <c r="AJ37" s="106"/>
      <c r="AK37" s="106"/>
      <c r="AL37" s="106"/>
      <c r="AM37" s="106"/>
      <c r="AN37" s="106"/>
      <c r="AO37" s="106"/>
      <c r="AP37" s="106"/>
      <c r="AQ37" s="106"/>
      <c r="AR37" s="106"/>
      <c r="AS37" s="106"/>
      <c r="AT37" s="106"/>
      <c r="AU37" s="106"/>
      <c r="AV37" s="106"/>
      <c r="AW37" s="106"/>
      <c r="AX37" s="106"/>
      <c r="AY37" s="106"/>
    </row>
    <row r="38" spans="1:51">
      <c r="A38" s="109"/>
      <c r="B38" s="120">
        <v>6</v>
      </c>
      <c r="C38" s="109" t="s">
        <v>293</v>
      </c>
      <c r="D38" s="106"/>
      <c r="E38" s="106"/>
      <c r="F38" s="106"/>
      <c r="G38" s="106"/>
      <c r="H38" s="106"/>
      <c r="I38" s="106"/>
      <c r="J38" s="106"/>
      <c r="K38" s="106"/>
      <c r="L38" s="106"/>
      <c r="M38" s="106"/>
      <c r="N38" s="106"/>
      <c r="O38" s="106"/>
      <c r="P38" s="106"/>
      <c r="Q38" s="106"/>
      <c r="R38" s="106"/>
      <c r="S38" s="106"/>
      <c r="T38" s="106"/>
      <c r="U38" s="106"/>
      <c r="V38" s="106"/>
      <c r="W38" s="106"/>
      <c r="X38" s="106"/>
      <c r="Y38" s="106"/>
      <c r="Z38" s="106"/>
      <c r="AA38" s="106"/>
      <c r="AB38" s="106"/>
      <c r="AC38" s="106"/>
      <c r="AD38" s="106"/>
      <c r="AE38" s="106"/>
      <c r="AF38" s="106"/>
      <c r="AG38" s="106"/>
      <c r="AH38" s="106"/>
      <c r="AI38" s="106"/>
      <c r="AJ38" s="106"/>
      <c r="AK38" s="106"/>
      <c r="AL38" s="106"/>
      <c r="AM38" s="106"/>
      <c r="AN38" s="106"/>
      <c r="AO38" s="106"/>
      <c r="AP38" s="106"/>
      <c r="AQ38" s="106"/>
      <c r="AR38" s="106"/>
      <c r="AS38" s="106"/>
      <c r="AT38" s="106"/>
      <c r="AU38" s="106"/>
      <c r="AV38" s="106"/>
      <c r="AW38" s="106"/>
      <c r="AX38" s="106"/>
      <c r="AY38" s="106"/>
    </row>
    <row r="39" spans="1:51">
      <c r="A39" s="109"/>
      <c r="B39" s="127">
        <v>7</v>
      </c>
      <c r="C39" s="109" t="s">
        <v>293</v>
      </c>
      <c r="D39" s="106"/>
      <c r="E39" s="106"/>
      <c r="F39" s="106"/>
      <c r="G39" s="106"/>
      <c r="H39" s="106"/>
      <c r="I39" s="106"/>
      <c r="J39" s="106"/>
      <c r="K39" s="106"/>
      <c r="L39" s="106"/>
      <c r="M39" s="106"/>
      <c r="N39" s="106"/>
      <c r="O39" s="106"/>
      <c r="P39" s="106"/>
      <c r="Q39" s="106"/>
      <c r="R39" s="106"/>
      <c r="S39" s="106"/>
      <c r="T39" s="106"/>
      <c r="U39" s="106"/>
      <c r="V39" s="106"/>
      <c r="W39" s="106"/>
      <c r="X39" s="106"/>
      <c r="Y39" s="106"/>
      <c r="Z39" s="106"/>
      <c r="AA39" s="106"/>
      <c r="AB39" s="106"/>
      <c r="AC39" s="106"/>
      <c r="AD39" s="106"/>
      <c r="AE39" s="106"/>
      <c r="AF39" s="106"/>
      <c r="AG39" s="106"/>
      <c r="AH39" s="106"/>
      <c r="AI39" s="106"/>
      <c r="AJ39" s="106"/>
      <c r="AK39" s="106"/>
      <c r="AL39" s="106"/>
      <c r="AM39" s="106"/>
      <c r="AN39" s="106"/>
      <c r="AO39" s="106"/>
      <c r="AP39" s="106"/>
      <c r="AQ39" s="106"/>
      <c r="AR39" s="106"/>
      <c r="AS39" s="106"/>
      <c r="AT39" s="106"/>
      <c r="AU39" s="106"/>
      <c r="AV39" s="106"/>
      <c r="AW39" s="106"/>
      <c r="AX39" s="106"/>
      <c r="AY39" s="106"/>
    </row>
    <row r="40" spans="1:51">
      <c r="A40" s="109"/>
      <c r="B40" s="127">
        <v>8</v>
      </c>
      <c r="C40" s="109" t="s">
        <v>293</v>
      </c>
      <c r="D40" s="106"/>
      <c r="E40" s="106"/>
      <c r="F40" s="106"/>
      <c r="G40" s="106"/>
      <c r="H40" s="106"/>
      <c r="I40" s="106"/>
      <c r="J40" s="106"/>
      <c r="K40" s="106"/>
      <c r="L40" s="106"/>
      <c r="M40" s="106"/>
      <c r="N40" s="106"/>
      <c r="O40" s="106"/>
      <c r="P40" s="106"/>
      <c r="Q40" s="106"/>
      <c r="R40" s="106"/>
      <c r="S40" s="106"/>
      <c r="T40" s="106"/>
      <c r="U40" s="106"/>
      <c r="V40" s="106"/>
      <c r="W40" s="106"/>
      <c r="X40" s="106"/>
      <c r="Y40" s="106"/>
      <c r="Z40" s="106"/>
      <c r="AA40" s="106"/>
      <c r="AB40" s="106"/>
      <c r="AC40" s="106"/>
      <c r="AD40" s="106"/>
      <c r="AE40" s="106"/>
      <c r="AF40" s="106"/>
      <c r="AG40" s="106"/>
      <c r="AH40" s="106"/>
      <c r="AI40" s="106"/>
      <c r="AJ40" s="106"/>
      <c r="AK40" s="106"/>
      <c r="AL40" s="106"/>
      <c r="AM40" s="106"/>
      <c r="AN40" s="106"/>
      <c r="AO40" s="106"/>
      <c r="AP40" s="106"/>
      <c r="AQ40" s="106"/>
      <c r="AR40" s="106"/>
      <c r="AS40" s="106"/>
      <c r="AT40" s="106"/>
      <c r="AU40" s="106"/>
      <c r="AV40" s="106"/>
      <c r="AW40" s="106"/>
      <c r="AX40" s="106"/>
      <c r="AY40" s="106"/>
    </row>
    <row r="41" spans="1:51">
      <c r="A41" s="109"/>
      <c r="B41" s="127">
        <v>9</v>
      </c>
      <c r="C41" s="109" t="s">
        <v>293</v>
      </c>
      <c r="D41" s="106"/>
      <c r="E41" s="106"/>
      <c r="F41" s="106"/>
      <c r="G41" s="106"/>
      <c r="H41" s="106"/>
      <c r="I41" s="106"/>
      <c r="J41" s="106"/>
      <c r="K41" s="106"/>
      <c r="L41" s="106"/>
      <c r="M41" s="106"/>
      <c r="N41" s="106"/>
      <c r="O41" s="106"/>
      <c r="P41" s="106"/>
      <c r="Q41" s="106"/>
      <c r="R41" s="106"/>
      <c r="S41" s="106"/>
      <c r="T41" s="106"/>
      <c r="U41" s="106"/>
      <c r="V41" s="106"/>
      <c r="W41" s="106"/>
      <c r="X41" s="106"/>
      <c r="Y41" s="106"/>
      <c r="Z41" s="106"/>
      <c r="AA41" s="106"/>
      <c r="AB41" s="106"/>
      <c r="AC41" s="106"/>
      <c r="AD41" s="106"/>
      <c r="AE41" s="106"/>
      <c r="AF41" s="106"/>
      <c r="AG41" s="106"/>
      <c r="AH41" s="106"/>
      <c r="AI41" s="106"/>
      <c r="AJ41" s="106"/>
      <c r="AK41" s="106"/>
      <c r="AL41" s="106"/>
      <c r="AM41" s="106"/>
      <c r="AN41" s="106"/>
      <c r="AO41" s="106"/>
      <c r="AP41" s="106"/>
      <c r="AQ41" s="106"/>
      <c r="AR41" s="106"/>
      <c r="AS41" s="106"/>
      <c r="AT41" s="106"/>
      <c r="AU41" s="106"/>
      <c r="AV41" s="106"/>
      <c r="AW41" s="106"/>
      <c r="AX41" s="106"/>
      <c r="AY41" s="106"/>
    </row>
    <row r="42" spans="1:51">
      <c r="A42" s="109"/>
      <c r="B42" s="130">
        <v>10</v>
      </c>
      <c r="C42" s="109" t="s">
        <v>293</v>
      </c>
      <c r="D42" s="106"/>
      <c r="E42" s="106"/>
      <c r="F42" s="106"/>
      <c r="G42" s="106"/>
      <c r="H42" s="106"/>
      <c r="I42" s="106"/>
      <c r="J42" s="106"/>
      <c r="K42" s="106"/>
      <c r="L42" s="106"/>
      <c r="M42" s="106"/>
      <c r="N42" s="106"/>
      <c r="O42" s="106"/>
      <c r="P42" s="106"/>
      <c r="Q42" s="106"/>
      <c r="R42" s="106"/>
      <c r="S42" s="106"/>
      <c r="T42" s="106"/>
      <c r="U42" s="106"/>
      <c r="V42" s="106"/>
      <c r="W42" s="106"/>
      <c r="X42" s="106"/>
      <c r="Y42" s="106"/>
      <c r="Z42" s="106"/>
      <c r="AA42" s="106"/>
      <c r="AB42" s="106"/>
      <c r="AC42" s="106"/>
      <c r="AD42" s="106"/>
      <c r="AE42" s="106"/>
      <c r="AF42" s="106"/>
      <c r="AG42" s="106"/>
      <c r="AH42" s="106"/>
      <c r="AI42" s="106"/>
      <c r="AJ42" s="106"/>
      <c r="AK42" s="106"/>
      <c r="AL42" s="106"/>
      <c r="AM42" s="106"/>
      <c r="AN42" s="106"/>
      <c r="AO42" s="106"/>
      <c r="AP42" s="106"/>
      <c r="AQ42" s="106"/>
      <c r="AR42" s="106"/>
      <c r="AS42" s="106"/>
      <c r="AT42" s="106"/>
      <c r="AU42" s="106"/>
      <c r="AV42" s="106"/>
      <c r="AW42" s="106"/>
      <c r="AX42" s="106"/>
      <c r="AY42" s="106"/>
    </row>
    <row r="43" spans="1:51">
      <c r="A43" s="109"/>
      <c r="B43" s="130">
        <v>11</v>
      </c>
      <c r="C43" s="109" t="s">
        <v>293</v>
      </c>
      <c r="D43" s="106"/>
      <c r="E43" s="106"/>
      <c r="F43" s="106"/>
      <c r="G43" s="106"/>
      <c r="H43" s="106"/>
      <c r="I43" s="106"/>
      <c r="J43" s="106"/>
      <c r="K43" s="106"/>
      <c r="L43" s="106"/>
      <c r="M43" s="106"/>
      <c r="N43" s="106"/>
      <c r="O43" s="106"/>
      <c r="P43" s="106"/>
      <c r="Q43" s="106"/>
      <c r="R43" s="106"/>
      <c r="S43" s="106"/>
      <c r="T43" s="106"/>
      <c r="U43" s="106"/>
      <c r="V43" s="106"/>
      <c r="W43" s="106"/>
      <c r="X43" s="106"/>
      <c r="Y43" s="106"/>
      <c r="Z43" s="106"/>
      <c r="AA43" s="106"/>
      <c r="AB43" s="106"/>
      <c r="AC43" s="106"/>
      <c r="AD43" s="106"/>
      <c r="AE43" s="106"/>
      <c r="AF43" s="106"/>
      <c r="AG43" s="106"/>
      <c r="AH43" s="106"/>
      <c r="AI43" s="106"/>
      <c r="AJ43" s="106"/>
      <c r="AK43" s="106"/>
      <c r="AL43" s="106"/>
      <c r="AM43" s="106"/>
      <c r="AN43" s="106"/>
      <c r="AO43" s="106"/>
      <c r="AP43" s="106"/>
      <c r="AQ43" s="106"/>
      <c r="AR43" s="106"/>
      <c r="AS43" s="106"/>
      <c r="AT43" s="106"/>
      <c r="AU43" s="106"/>
      <c r="AV43" s="106"/>
      <c r="AW43" s="106"/>
      <c r="AX43" s="106"/>
      <c r="AY43" s="106"/>
    </row>
    <row r="44" spans="1:51">
      <c r="A44" s="109"/>
      <c r="B44" s="130">
        <v>12</v>
      </c>
      <c r="C44" s="128" t="s">
        <v>293</v>
      </c>
      <c r="D44" s="106">
        <v>0</v>
      </c>
      <c r="E44" s="106">
        <v>0</v>
      </c>
      <c r="F44" s="106">
        <v>0</v>
      </c>
      <c r="G44" s="106">
        <v>0</v>
      </c>
      <c r="H44" s="106">
        <v>0</v>
      </c>
      <c r="I44" s="106">
        <v>0</v>
      </c>
      <c r="J44" s="106">
        <v>0</v>
      </c>
      <c r="K44" s="106">
        <v>0</v>
      </c>
      <c r="L44" s="106">
        <v>0</v>
      </c>
      <c r="M44" s="106">
        <v>0</v>
      </c>
      <c r="N44" s="106">
        <v>0</v>
      </c>
      <c r="O44" s="106">
        <v>0</v>
      </c>
      <c r="P44" s="106">
        <v>0</v>
      </c>
      <c r="Q44" s="106">
        <v>0</v>
      </c>
      <c r="R44" s="106">
        <v>0</v>
      </c>
      <c r="S44" s="106">
        <v>0</v>
      </c>
      <c r="T44" s="106">
        <v>0</v>
      </c>
      <c r="U44" s="106">
        <v>0</v>
      </c>
      <c r="V44" s="106">
        <v>0</v>
      </c>
      <c r="W44" s="106">
        <v>0</v>
      </c>
      <c r="X44" s="106">
        <v>0</v>
      </c>
      <c r="Y44" s="106">
        <v>0</v>
      </c>
      <c r="Z44" s="106">
        <v>0</v>
      </c>
      <c r="AA44" s="106">
        <v>0</v>
      </c>
      <c r="AB44" s="106">
        <v>0</v>
      </c>
      <c r="AC44" s="106">
        <v>0</v>
      </c>
      <c r="AD44" s="106">
        <v>0</v>
      </c>
      <c r="AE44" s="106">
        <v>0</v>
      </c>
      <c r="AF44" s="106">
        <v>0</v>
      </c>
      <c r="AG44" s="106">
        <v>0</v>
      </c>
      <c r="AH44" s="106">
        <v>0</v>
      </c>
      <c r="AI44" s="106">
        <v>0</v>
      </c>
      <c r="AJ44" s="106">
        <v>0</v>
      </c>
      <c r="AK44" s="106">
        <v>0</v>
      </c>
      <c r="AL44" s="106">
        <v>0</v>
      </c>
      <c r="AM44" s="106">
        <v>0</v>
      </c>
      <c r="AN44" s="106">
        <v>0</v>
      </c>
      <c r="AO44" s="106">
        <v>0</v>
      </c>
      <c r="AP44" s="106">
        <v>0</v>
      </c>
      <c r="AQ44" s="106">
        <v>0</v>
      </c>
      <c r="AR44" s="106">
        <v>0</v>
      </c>
      <c r="AS44" s="106">
        <v>0</v>
      </c>
      <c r="AT44" s="106">
        <v>0</v>
      </c>
      <c r="AU44" s="106">
        <v>0</v>
      </c>
      <c r="AV44" s="106">
        <v>0</v>
      </c>
      <c r="AW44" s="106">
        <v>0</v>
      </c>
      <c r="AX44" s="106">
        <v>0</v>
      </c>
      <c r="AY44" s="106">
        <v>0</v>
      </c>
    </row>
    <row r="45" spans="1:51">
      <c r="A45" s="126" t="s">
        <v>123</v>
      </c>
      <c r="B45" s="123">
        <v>1</v>
      </c>
      <c r="C45" s="109" t="s">
        <v>293</v>
      </c>
      <c r="D45" s="124"/>
      <c r="E45" s="124"/>
      <c r="F45" s="124"/>
      <c r="G45" s="124"/>
      <c r="H45" s="124"/>
      <c r="I45" s="124"/>
      <c r="J45" s="124"/>
      <c r="K45" s="124"/>
      <c r="L45" s="124"/>
      <c r="M45" s="124"/>
      <c r="N45" s="124"/>
      <c r="O45" s="124"/>
      <c r="P45" s="124"/>
      <c r="Q45" s="124"/>
      <c r="R45" s="124"/>
      <c r="S45" s="124"/>
      <c r="T45" s="124"/>
      <c r="U45" s="124"/>
      <c r="V45" s="124"/>
      <c r="W45" s="124"/>
      <c r="X45" s="124"/>
      <c r="Y45" s="124"/>
      <c r="Z45" s="124"/>
      <c r="AA45" s="124"/>
      <c r="AB45" s="124"/>
      <c r="AC45" s="124"/>
      <c r="AD45" s="124"/>
      <c r="AE45" s="124"/>
      <c r="AF45" s="124"/>
      <c r="AG45" s="124"/>
      <c r="AH45" s="124"/>
      <c r="AI45" s="124"/>
      <c r="AJ45" s="124"/>
      <c r="AK45" s="124"/>
      <c r="AL45" s="124"/>
      <c r="AM45" s="124"/>
      <c r="AN45" s="124"/>
      <c r="AO45" s="124"/>
      <c r="AP45" s="124"/>
      <c r="AQ45" s="124"/>
      <c r="AR45" s="124"/>
      <c r="AS45" s="124"/>
      <c r="AT45" s="124"/>
      <c r="AU45" s="124"/>
      <c r="AV45" s="124"/>
      <c r="AW45" s="124"/>
      <c r="AX45" s="124"/>
      <c r="AY45" s="124"/>
    </row>
    <row r="46" spans="1:51">
      <c r="A46" s="109"/>
      <c r="B46" s="119">
        <v>2</v>
      </c>
      <c r="C46" s="109" t="s">
        <v>293</v>
      </c>
      <c r="D46" s="110"/>
      <c r="E46" s="110"/>
      <c r="F46" s="110"/>
      <c r="G46" s="110"/>
      <c r="H46" s="110"/>
      <c r="I46" s="110"/>
      <c r="J46" s="110"/>
      <c r="K46" s="110"/>
      <c r="L46" s="110"/>
      <c r="M46" s="110"/>
      <c r="N46" s="110"/>
      <c r="O46" s="110"/>
      <c r="P46" s="110"/>
      <c r="Q46" s="110"/>
      <c r="R46" s="110"/>
      <c r="S46" s="110"/>
      <c r="T46" s="110"/>
      <c r="U46" s="110"/>
      <c r="V46" s="110"/>
      <c r="W46" s="110"/>
      <c r="X46" s="110"/>
      <c r="Y46" s="110"/>
      <c r="Z46" s="110"/>
      <c r="AA46" s="110"/>
      <c r="AB46" s="110"/>
      <c r="AC46" s="110"/>
      <c r="AD46" s="110"/>
      <c r="AE46" s="110"/>
      <c r="AF46" s="110"/>
      <c r="AG46" s="110"/>
      <c r="AH46" s="110"/>
      <c r="AI46" s="110"/>
      <c r="AJ46" s="110"/>
      <c r="AK46" s="110"/>
      <c r="AL46" s="110"/>
      <c r="AM46" s="110"/>
      <c r="AN46" s="110"/>
      <c r="AO46" s="110"/>
      <c r="AP46" s="110"/>
      <c r="AQ46" s="110"/>
      <c r="AR46" s="110"/>
      <c r="AS46" s="110"/>
      <c r="AT46" s="110"/>
      <c r="AU46" s="110"/>
      <c r="AV46" s="110"/>
      <c r="AW46" s="110"/>
      <c r="AX46" s="110"/>
      <c r="AY46" s="110"/>
    </row>
    <row r="47" spans="1:51">
      <c r="A47" s="109"/>
      <c r="B47" s="119">
        <v>3</v>
      </c>
      <c r="C47" s="109" t="s">
        <v>293</v>
      </c>
      <c r="D47" s="110"/>
      <c r="E47" s="110"/>
      <c r="F47" s="110"/>
      <c r="G47" s="110"/>
      <c r="H47" s="110"/>
      <c r="I47" s="110"/>
      <c r="J47" s="110"/>
      <c r="K47" s="110"/>
      <c r="L47" s="110"/>
      <c r="M47" s="110"/>
      <c r="N47" s="110"/>
      <c r="O47" s="110"/>
      <c r="P47" s="110"/>
      <c r="Q47" s="110"/>
      <c r="R47" s="110"/>
      <c r="S47" s="110"/>
      <c r="T47" s="110"/>
      <c r="U47" s="110"/>
      <c r="V47" s="110"/>
      <c r="W47" s="110"/>
      <c r="X47" s="110"/>
      <c r="Y47" s="110"/>
      <c r="Z47" s="110"/>
      <c r="AA47" s="110"/>
      <c r="AB47" s="110"/>
      <c r="AC47" s="110"/>
      <c r="AD47" s="110"/>
      <c r="AE47" s="110"/>
      <c r="AF47" s="110"/>
      <c r="AG47" s="110"/>
      <c r="AH47" s="110"/>
      <c r="AI47" s="110"/>
      <c r="AJ47" s="110"/>
      <c r="AK47" s="110"/>
      <c r="AL47" s="110"/>
      <c r="AM47" s="110"/>
      <c r="AN47" s="110"/>
      <c r="AO47" s="110"/>
      <c r="AP47" s="110"/>
      <c r="AQ47" s="110"/>
      <c r="AR47" s="110"/>
      <c r="AS47" s="110"/>
      <c r="AT47" s="110"/>
      <c r="AU47" s="110"/>
      <c r="AV47" s="110"/>
      <c r="AW47" s="110"/>
      <c r="AX47" s="110"/>
      <c r="AY47" s="110"/>
    </row>
    <row r="48" spans="1:51">
      <c r="A48" s="109"/>
      <c r="B48" s="119">
        <v>4</v>
      </c>
      <c r="C48" s="109" t="s">
        <v>293</v>
      </c>
      <c r="D48" s="110"/>
      <c r="E48" s="110"/>
      <c r="F48" s="110"/>
      <c r="G48" s="110"/>
      <c r="H48" s="110"/>
      <c r="I48" s="110"/>
      <c r="J48" s="110"/>
      <c r="K48" s="110"/>
      <c r="L48" s="110"/>
      <c r="M48" s="110"/>
      <c r="N48" s="110"/>
      <c r="O48" s="110"/>
      <c r="P48" s="110"/>
      <c r="Q48" s="110"/>
      <c r="R48" s="110"/>
      <c r="S48" s="110"/>
      <c r="T48" s="110"/>
      <c r="U48" s="110"/>
      <c r="V48" s="110"/>
      <c r="W48" s="110"/>
      <c r="X48" s="110"/>
      <c r="Y48" s="110"/>
      <c r="Z48" s="110"/>
      <c r="AA48" s="110"/>
      <c r="AB48" s="110"/>
      <c r="AC48" s="110"/>
      <c r="AD48" s="110"/>
      <c r="AE48" s="110"/>
      <c r="AF48" s="110"/>
      <c r="AG48" s="110"/>
      <c r="AH48" s="110"/>
      <c r="AI48" s="110"/>
      <c r="AJ48" s="110"/>
      <c r="AK48" s="110"/>
      <c r="AL48" s="110"/>
      <c r="AM48" s="110"/>
      <c r="AN48" s="110"/>
      <c r="AO48" s="110"/>
      <c r="AP48" s="110"/>
      <c r="AQ48" s="110"/>
      <c r="AR48" s="110"/>
      <c r="AS48" s="110"/>
      <c r="AT48" s="110"/>
      <c r="AU48" s="110"/>
      <c r="AV48" s="110"/>
      <c r="AW48" s="110"/>
      <c r="AX48" s="110"/>
      <c r="AY48" s="110"/>
    </row>
    <row r="49" spans="1:51">
      <c r="A49" s="109"/>
      <c r="B49" s="119">
        <v>5</v>
      </c>
      <c r="C49" s="109" t="s">
        <v>293</v>
      </c>
      <c r="D49" s="110"/>
      <c r="E49" s="110"/>
      <c r="F49" s="110"/>
      <c r="G49" s="110"/>
      <c r="H49" s="110"/>
      <c r="I49" s="110"/>
      <c r="J49" s="110"/>
      <c r="K49" s="110"/>
      <c r="L49" s="110"/>
      <c r="M49" s="110"/>
      <c r="N49" s="110"/>
      <c r="O49" s="110"/>
      <c r="P49" s="110"/>
      <c r="Q49" s="110"/>
      <c r="R49" s="110"/>
      <c r="S49" s="110"/>
      <c r="T49" s="110"/>
      <c r="U49" s="110"/>
      <c r="V49" s="110"/>
      <c r="W49" s="110"/>
      <c r="X49" s="110"/>
      <c r="Y49" s="110"/>
      <c r="Z49" s="110"/>
      <c r="AA49" s="110"/>
      <c r="AB49" s="110"/>
      <c r="AC49" s="110"/>
      <c r="AD49" s="110"/>
      <c r="AE49" s="110"/>
      <c r="AF49" s="110"/>
      <c r="AG49" s="110"/>
      <c r="AH49" s="110"/>
      <c r="AI49" s="110"/>
      <c r="AJ49" s="110"/>
      <c r="AK49" s="110"/>
      <c r="AL49" s="110"/>
      <c r="AM49" s="110"/>
      <c r="AN49" s="110"/>
      <c r="AO49" s="110"/>
      <c r="AP49" s="110"/>
      <c r="AQ49" s="110"/>
      <c r="AR49" s="110"/>
      <c r="AS49" s="110"/>
      <c r="AT49" s="110"/>
      <c r="AU49" s="110"/>
      <c r="AV49" s="110"/>
      <c r="AW49" s="110"/>
      <c r="AX49" s="110"/>
      <c r="AY49" s="110"/>
    </row>
    <row r="50" spans="1:51">
      <c r="A50" s="109"/>
      <c r="B50" s="119">
        <v>6</v>
      </c>
      <c r="C50" s="109" t="s">
        <v>293</v>
      </c>
      <c r="D50" s="110"/>
      <c r="E50" s="110"/>
      <c r="F50" s="110"/>
      <c r="G50" s="110"/>
      <c r="H50" s="110"/>
      <c r="I50" s="110"/>
      <c r="J50" s="110"/>
      <c r="K50" s="110"/>
      <c r="L50" s="110"/>
      <c r="M50" s="110"/>
      <c r="N50" s="110"/>
      <c r="O50" s="110"/>
      <c r="P50" s="110"/>
      <c r="Q50" s="110"/>
      <c r="R50" s="110"/>
      <c r="S50" s="110"/>
      <c r="T50" s="110"/>
      <c r="U50" s="110"/>
      <c r="V50" s="110"/>
      <c r="W50" s="110"/>
      <c r="X50" s="110"/>
      <c r="Y50" s="110"/>
      <c r="Z50" s="110"/>
      <c r="AA50" s="110"/>
      <c r="AB50" s="110"/>
      <c r="AC50" s="110"/>
      <c r="AD50" s="110"/>
      <c r="AE50" s="110"/>
      <c r="AF50" s="110"/>
      <c r="AG50" s="110"/>
      <c r="AH50" s="110"/>
      <c r="AI50" s="110"/>
      <c r="AJ50" s="110"/>
      <c r="AK50" s="110"/>
      <c r="AL50" s="110"/>
      <c r="AM50" s="110"/>
      <c r="AN50" s="110"/>
      <c r="AO50" s="110"/>
      <c r="AP50" s="110"/>
      <c r="AQ50" s="110"/>
      <c r="AR50" s="110"/>
      <c r="AS50" s="110"/>
      <c r="AT50" s="110"/>
      <c r="AU50" s="110"/>
      <c r="AV50" s="110"/>
      <c r="AW50" s="110"/>
      <c r="AX50" s="110"/>
      <c r="AY50" s="110"/>
    </row>
    <row r="51" spans="1:51">
      <c r="A51" s="109"/>
      <c r="B51" s="119">
        <v>7</v>
      </c>
      <c r="C51" s="109" t="s">
        <v>293</v>
      </c>
      <c r="D51" s="110"/>
      <c r="E51" s="110"/>
      <c r="F51" s="110"/>
      <c r="G51" s="110"/>
      <c r="H51" s="110"/>
      <c r="I51" s="110"/>
      <c r="J51" s="110"/>
      <c r="K51" s="110"/>
      <c r="L51" s="110"/>
      <c r="M51" s="110"/>
      <c r="N51" s="110"/>
      <c r="O51" s="110"/>
      <c r="P51" s="110"/>
      <c r="Q51" s="110"/>
      <c r="R51" s="110"/>
      <c r="S51" s="110"/>
      <c r="T51" s="110"/>
      <c r="U51" s="110"/>
      <c r="V51" s="110"/>
      <c r="W51" s="110"/>
      <c r="X51" s="110"/>
      <c r="Y51" s="110"/>
      <c r="Z51" s="110"/>
      <c r="AA51" s="110"/>
      <c r="AB51" s="110"/>
      <c r="AC51" s="110"/>
      <c r="AD51" s="110"/>
      <c r="AE51" s="110"/>
      <c r="AF51" s="110"/>
      <c r="AG51" s="110"/>
      <c r="AH51" s="110"/>
      <c r="AI51" s="110"/>
      <c r="AJ51" s="110"/>
      <c r="AK51" s="110"/>
      <c r="AL51" s="110"/>
      <c r="AM51" s="110"/>
      <c r="AN51" s="110"/>
      <c r="AO51" s="110"/>
      <c r="AP51" s="110"/>
      <c r="AQ51" s="110"/>
      <c r="AR51" s="110"/>
      <c r="AS51" s="110"/>
      <c r="AT51" s="110"/>
      <c r="AU51" s="110"/>
      <c r="AV51" s="110"/>
      <c r="AW51" s="110"/>
      <c r="AX51" s="110"/>
      <c r="AY51" s="110"/>
    </row>
    <row r="52" spans="1:51">
      <c r="A52" s="109"/>
      <c r="B52" s="119">
        <v>8</v>
      </c>
      <c r="C52" s="109" t="s">
        <v>293</v>
      </c>
      <c r="D52" s="110"/>
      <c r="E52" s="110"/>
      <c r="F52" s="110"/>
      <c r="G52" s="110"/>
      <c r="H52" s="110"/>
      <c r="I52" s="110"/>
      <c r="J52" s="110"/>
      <c r="K52" s="110"/>
      <c r="L52" s="110"/>
      <c r="M52" s="110"/>
      <c r="N52" s="110"/>
      <c r="O52" s="110"/>
      <c r="P52" s="110"/>
      <c r="Q52" s="110"/>
      <c r="R52" s="110"/>
      <c r="S52" s="110"/>
      <c r="T52" s="110"/>
      <c r="U52" s="110"/>
      <c r="V52" s="110"/>
      <c r="W52" s="110"/>
      <c r="X52" s="110"/>
      <c r="Y52" s="110"/>
      <c r="Z52" s="110"/>
      <c r="AA52" s="110"/>
      <c r="AB52" s="110"/>
      <c r="AC52" s="110"/>
      <c r="AD52" s="110"/>
      <c r="AE52" s="110"/>
      <c r="AF52" s="110"/>
      <c r="AG52" s="110"/>
      <c r="AH52" s="110"/>
      <c r="AI52" s="110"/>
      <c r="AJ52" s="110"/>
      <c r="AK52" s="110"/>
      <c r="AL52" s="110"/>
      <c r="AM52" s="110"/>
      <c r="AN52" s="110"/>
      <c r="AO52" s="110"/>
      <c r="AP52" s="110"/>
      <c r="AQ52" s="110"/>
      <c r="AR52" s="110"/>
      <c r="AS52" s="110"/>
      <c r="AT52" s="110"/>
      <c r="AU52" s="110"/>
      <c r="AV52" s="110"/>
      <c r="AW52" s="110"/>
      <c r="AX52" s="110"/>
      <c r="AY52" s="110"/>
    </row>
    <row r="53" spans="1:51">
      <c r="A53" s="109"/>
      <c r="B53" s="119">
        <v>9</v>
      </c>
      <c r="C53" s="109" t="s">
        <v>293</v>
      </c>
      <c r="D53" s="110"/>
      <c r="E53" s="110"/>
      <c r="F53" s="110"/>
      <c r="G53" s="110"/>
      <c r="H53" s="110"/>
      <c r="I53" s="110"/>
      <c r="J53" s="110"/>
      <c r="K53" s="110"/>
      <c r="L53" s="110"/>
      <c r="M53" s="110"/>
      <c r="N53" s="110"/>
      <c r="O53" s="110"/>
      <c r="P53" s="110"/>
      <c r="Q53" s="110"/>
      <c r="R53" s="110"/>
      <c r="S53" s="110"/>
      <c r="T53" s="110"/>
      <c r="U53" s="110"/>
      <c r="V53" s="110"/>
      <c r="W53" s="110"/>
      <c r="X53" s="110"/>
      <c r="Y53" s="110"/>
      <c r="Z53" s="110"/>
      <c r="AA53" s="110"/>
      <c r="AB53" s="110"/>
      <c r="AC53" s="110"/>
      <c r="AD53" s="110"/>
      <c r="AE53" s="110"/>
      <c r="AF53" s="110"/>
      <c r="AG53" s="110"/>
      <c r="AH53" s="110"/>
      <c r="AI53" s="110"/>
      <c r="AJ53" s="110"/>
      <c r="AK53" s="110"/>
      <c r="AL53" s="110"/>
      <c r="AM53" s="110"/>
      <c r="AN53" s="110"/>
      <c r="AO53" s="110"/>
      <c r="AP53" s="110"/>
      <c r="AQ53" s="110"/>
      <c r="AR53" s="110"/>
      <c r="AS53" s="110"/>
      <c r="AT53" s="110"/>
      <c r="AU53" s="110"/>
      <c r="AV53" s="110"/>
      <c r="AW53" s="110"/>
      <c r="AX53" s="110"/>
      <c r="AY53" s="110"/>
    </row>
    <row r="54" spans="1:51">
      <c r="A54" s="109"/>
      <c r="B54" s="119">
        <v>10</v>
      </c>
      <c r="C54" s="109" t="s">
        <v>293</v>
      </c>
      <c r="D54" s="110"/>
      <c r="E54" s="110"/>
      <c r="F54" s="110"/>
      <c r="G54" s="110"/>
      <c r="H54" s="110"/>
      <c r="I54" s="110"/>
      <c r="J54" s="110"/>
      <c r="K54" s="110"/>
      <c r="L54" s="110"/>
      <c r="M54" s="110"/>
      <c r="N54" s="110"/>
      <c r="O54" s="110"/>
      <c r="P54" s="110"/>
      <c r="Q54" s="110"/>
      <c r="R54" s="110"/>
      <c r="S54" s="110"/>
      <c r="T54" s="110"/>
      <c r="U54" s="110"/>
      <c r="V54" s="110"/>
      <c r="W54" s="110"/>
      <c r="X54" s="110"/>
      <c r="Y54" s="110"/>
      <c r="Z54" s="110"/>
      <c r="AA54" s="110"/>
      <c r="AB54" s="110"/>
      <c r="AC54" s="110"/>
      <c r="AD54" s="110"/>
      <c r="AE54" s="110"/>
      <c r="AF54" s="110"/>
      <c r="AG54" s="110"/>
      <c r="AH54" s="110"/>
      <c r="AI54" s="110"/>
      <c r="AJ54" s="110"/>
      <c r="AK54" s="110"/>
      <c r="AL54" s="110"/>
      <c r="AM54" s="110"/>
      <c r="AN54" s="110"/>
      <c r="AO54" s="110"/>
      <c r="AP54" s="110"/>
      <c r="AQ54" s="110"/>
      <c r="AR54" s="110"/>
      <c r="AS54" s="110"/>
      <c r="AT54" s="110"/>
      <c r="AU54" s="110"/>
      <c r="AV54" s="110"/>
      <c r="AW54" s="110"/>
      <c r="AX54" s="110"/>
      <c r="AY54" s="110"/>
    </row>
    <row r="55" spans="1:51">
      <c r="A55" s="109"/>
      <c r="B55" s="119">
        <v>11</v>
      </c>
      <c r="C55" s="109" t="s">
        <v>293</v>
      </c>
      <c r="D55" s="110"/>
      <c r="E55" s="110"/>
      <c r="F55" s="110"/>
      <c r="G55" s="110"/>
      <c r="H55" s="110"/>
      <c r="I55" s="110"/>
      <c r="J55" s="110"/>
      <c r="K55" s="110"/>
      <c r="L55" s="110"/>
      <c r="M55" s="110"/>
      <c r="N55" s="110"/>
      <c r="O55" s="110"/>
      <c r="P55" s="110"/>
      <c r="Q55" s="110"/>
      <c r="R55" s="110"/>
      <c r="S55" s="110"/>
      <c r="T55" s="110"/>
      <c r="U55" s="110"/>
      <c r="V55" s="110"/>
      <c r="W55" s="110"/>
      <c r="X55" s="110"/>
      <c r="Y55" s="110"/>
      <c r="Z55" s="110"/>
      <c r="AA55" s="110"/>
      <c r="AB55" s="110"/>
      <c r="AC55" s="110"/>
      <c r="AD55" s="110"/>
      <c r="AE55" s="110"/>
      <c r="AF55" s="110"/>
      <c r="AG55" s="110"/>
      <c r="AH55" s="110"/>
      <c r="AI55" s="110"/>
      <c r="AJ55" s="110"/>
      <c r="AK55" s="110"/>
      <c r="AL55" s="110"/>
      <c r="AM55" s="110"/>
      <c r="AN55" s="110"/>
      <c r="AO55" s="110"/>
      <c r="AP55" s="110"/>
      <c r="AQ55" s="110"/>
      <c r="AR55" s="110"/>
      <c r="AS55" s="110"/>
      <c r="AT55" s="110"/>
      <c r="AU55" s="110"/>
      <c r="AV55" s="110"/>
      <c r="AW55" s="110"/>
      <c r="AX55" s="110"/>
      <c r="AY55" s="110"/>
    </row>
    <row r="56" spans="1:51">
      <c r="A56" s="109"/>
      <c r="B56" s="119">
        <v>12</v>
      </c>
      <c r="C56" s="109" t="s">
        <v>293</v>
      </c>
      <c r="D56" s="110"/>
      <c r="E56" s="110"/>
      <c r="F56" s="110"/>
      <c r="G56" s="110"/>
      <c r="H56" s="110"/>
      <c r="I56" s="110"/>
      <c r="J56" s="110"/>
      <c r="K56" s="110"/>
      <c r="L56" s="110"/>
      <c r="M56" s="110"/>
      <c r="N56" s="110"/>
      <c r="O56" s="110"/>
      <c r="P56" s="110"/>
      <c r="Q56" s="110"/>
      <c r="R56" s="110"/>
      <c r="S56" s="110"/>
      <c r="T56" s="110"/>
      <c r="U56" s="110"/>
      <c r="V56" s="110"/>
      <c r="W56" s="110"/>
      <c r="X56" s="110"/>
      <c r="Y56" s="110"/>
      <c r="Z56" s="110"/>
      <c r="AA56" s="110"/>
      <c r="AB56" s="110"/>
      <c r="AC56" s="110"/>
      <c r="AD56" s="110"/>
      <c r="AE56" s="110"/>
      <c r="AF56" s="110"/>
      <c r="AG56" s="110"/>
      <c r="AH56" s="110"/>
      <c r="AI56" s="110"/>
      <c r="AJ56" s="110"/>
      <c r="AK56" s="110"/>
      <c r="AL56" s="110"/>
      <c r="AM56" s="110"/>
      <c r="AN56" s="110"/>
      <c r="AO56" s="110"/>
      <c r="AP56" s="110"/>
      <c r="AQ56" s="110"/>
      <c r="AR56" s="110"/>
      <c r="AS56" s="110"/>
      <c r="AT56" s="110"/>
      <c r="AU56" s="110"/>
      <c r="AV56" s="110"/>
      <c r="AW56" s="110"/>
      <c r="AX56" s="110"/>
      <c r="AY56" s="110"/>
    </row>
    <row r="57" spans="1:51">
      <c r="A57" s="109"/>
      <c r="B57" s="120">
        <v>13</v>
      </c>
      <c r="C57" s="109" t="s">
        <v>293</v>
      </c>
      <c r="D57" s="110"/>
      <c r="E57" s="110"/>
      <c r="F57" s="110"/>
      <c r="G57" s="110"/>
      <c r="H57" s="110"/>
      <c r="I57" s="110"/>
      <c r="J57" s="110"/>
      <c r="K57" s="110"/>
      <c r="L57" s="110"/>
      <c r="M57" s="110"/>
      <c r="N57" s="110"/>
      <c r="O57" s="110"/>
      <c r="P57" s="110"/>
      <c r="Q57" s="110"/>
      <c r="R57" s="110"/>
      <c r="S57" s="110"/>
      <c r="T57" s="110"/>
      <c r="U57" s="110"/>
      <c r="V57" s="110"/>
      <c r="W57" s="110"/>
      <c r="X57" s="110"/>
      <c r="Y57" s="110"/>
      <c r="Z57" s="110"/>
      <c r="AA57" s="110"/>
      <c r="AB57" s="110"/>
      <c r="AC57" s="110"/>
      <c r="AD57" s="110"/>
      <c r="AE57" s="110"/>
      <c r="AF57" s="110"/>
      <c r="AG57" s="110"/>
      <c r="AH57" s="110"/>
      <c r="AI57" s="110"/>
      <c r="AJ57" s="110"/>
      <c r="AK57" s="110"/>
      <c r="AL57" s="110"/>
      <c r="AM57" s="110"/>
      <c r="AN57" s="110"/>
      <c r="AO57" s="110"/>
      <c r="AP57" s="110"/>
      <c r="AQ57" s="110"/>
      <c r="AR57" s="110"/>
      <c r="AS57" s="110"/>
      <c r="AT57" s="110"/>
      <c r="AU57" s="110"/>
      <c r="AV57" s="110"/>
      <c r="AW57" s="110"/>
      <c r="AX57" s="110"/>
      <c r="AY57" s="110"/>
    </row>
    <row r="58" spans="1:51">
      <c r="A58" s="109"/>
      <c r="B58" s="120">
        <v>14</v>
      </c>
      <c r="C58" s="109" t="s">
        <v>293</v>
      </c>
      <c r="D58" s="110"/>
      <c r="E58" s="110"/>
      <c r="F58" s="110"/>
      <c r="G58" s="110"/>
      <c r="H58" s="110"/>
      <c r="I58" s="110"/>
      <c r="J58" s="110"/>
      <c r="K58" s="110"/>
      <c r="L58" s="110"/>
      <c r="M58" s="110"/>
      <c r="N58" s="110"/>
      <c r="O58" s="110"/>
      <c r="P58" s="110"/>
      <c r="Q58" s="110"/>
      <c r="R58" s="110"/>
      <c r="S58" s="110"/>
      <c r="T58" s="110"/>
      <c r="U58" s="110"/>
      <c r="V58" s="110"/>
      <c r="W58" s="110"/>
      <c r="X58" s="110"/>
      <c r="Y58" s="110"/>
      <c r="Z58" s="110"/>
      <c r="AA58" s="110"/>
      <c r="AB58" s="110"/>
      <c r="AC58" s="110"/>
      <c r="AD58" s="110"/>
      <c r="AE58" s="110"/>
      <c r="AF58" s="110"/>
      <c r="AG58" s="110"/>
      <c r="AH58" s="110"/>
      <c r="AI58" s="110"/>
      <c r="AJ58" s="110"/>
      <c r="AK58" s="110"/>
      <c r="AL58" s="110"/>
      <c r="AM58" s="110"/>
      <c r="AN58" s="110"/>
      <c r="AO58" s="110"/>
      <c r="AP58" s="110"/>
      <c r="AQ58" s="110"/>
      <c r="AR58" s="110"/>
      <c r="AS58" s="110"/>
      <c r="AT58" s="110"/>
      <c r="AU58" s="110"/>
      <c r="AV58" s="110"/>
      <c r="AW58" s="110"/>
      <c r="AX58" s="110"/>
      <c r="AY58" s="110"/>
    </row>
    <row r="59" spans="1:51">
      <c r="A59" s="109"/>
      <c r="B59" s="120">
        <v>15</v>
      </c>
      <c r="C59" s="109" t="s">
        <v>293</v>
      </c>
      <c r="D59" s="110"/>
      <c r="E59" s="110"/>
      <c r="F59" s="110"/>
      <c r="G59" s="110"/>
      <c r="H59" s="110"/>
      <c r="I59" s="110"/>
      <c r="J59" s="110"/>
      <c r="K59" s="110"/>
      <c r="L59" s="110"/>
      <c r="M59" s="110"/>
      <c r="N59" s="110"/>
      <c r="O59" s="110"/>
      <c r="P59" s="110"/>
      <c r="Q59" s="110"/>
      <c r="R59" s="110"/>
      <c r="S59" s="110"/>
      <c r="T59" s="110"/>
      <c r="U59" s="110"/>
      <c r="V59" s="110"/>
      <c r="W59" s="110"/>
      <c r="X59" s="110"/>
      <c r="Y59" s="110"/>
      <c r="Z59" s="110"/>
      <c r="AA59" s="110"/>
      <c r="AB59" s="110"/>
      <c r="AC59" s="110"/>
      <c r="AD59" s="110"/>
      <c r="AE59" s="110"/>
      <c r="AF59" s="110"/>
      <c r="AG59" s="110"/>
      <c r="AH59" s="110"/>
      <c r="AI59" s="110"/>
      <c r="AJ59" s="110"/>
      <c r="AK59" s="110"/>
      <c r="AL59" s="110"/>
      <c r="AM59" s="110"/>
      <c r="AN59" s="110"/>
      <c r="AO59" s="110"/>
      <c r="AP59" s="110"/>
      <c r="AQ59" s="110"/>
      <c r="AR59" s="110"/>
      <c r="AS59" s="110"/>
      <c r="AT59" s="110"/>
      <c r="AU59" s="110"/>
      <c r="AV59" s="110"/>
      <c r="AW59" s="110"/>
      <c r="AX59" s="110"/>
      <c r="AY59" s="110"/>
    </row>
    <row r="60" spans="1:51">
      <c r="A60" s="109"/>
      <c r="B60" s="120">
        <v>16</v>
      </c>
      <c r="C60" s="109" t="s">
        <v>293</v>
      </c>
      <c r="D60" s="110"/>
      <c r="E60" s="110"/>
      <c r="F60" s="110"/>
      <c r="G60" s="110"/>
      <c r="H60" s="110"/>
      <c r="I60" s="110"/>
      <c r="J60" s="110"/>
      <c r="K60" s="110"/>
      <c r="L60" s="110"/>
      <c r="M60" s="110"/>
      <c r="N60" s="110"/>
      <c r="O60" s="110"/>
      <c r="P60" s="110"/>
      <c r="Q60" s="110"/>
      <c r="R60" s="110"/>
      <c r="S60" s="110"/>
      <c r="T60" s="110"/>
      <c r="U60" s="110"/>
      <c r="V60" s="110"/>
      <c r="W60" s="110"/>
      <c r="X60" s="110"/>
      <c r="Y60" s="110"/>
      <c r="Z60" s="110"/>
      <c r="AA60" s="110"/>
      <c r="AB60" s="110"/>
      <c r="AC60" s="110"/>
      <c r="AD60" s="110"/>
      <c r="AE60" s="110"/>
      <c r="AF60" s="110"/>
      <c r="AG60" s="110"/>
      <c r="AH60" s="110"/>
      <c r="AI60" s="110"/>
      <c r="AJ60" s="110"/>
      <c r="AK60" s="110"/>
      <c r="AL60" s="110"/>
      <c r="AM60" s="110"/>
      <c r="AN60" s="110"/>
      <c r="AO60" s="110"/>
      <c r="AP60" s="110"/>
      <c r="AQ60" s="110"/>
      <c r="AR60" s="110"/>
      <c r="AS60" s="110"/>
      <c r="AT60" s="110"/>
      <c r="AU60" s="110"/>
      <c r="AV60" s="110"/>
      <c r="AW60" s="110"/>
      <c r="AX60" s="110"/>
      <c r="AY60" s="110"/>
    </row>
    <row r="61" spans="1:51">
      <c r="A61" s="109"/>
      <c r="B61" s="120">
        <v>17</v>
      </c>
      <c r="C61" s="109" t="s">
        <v>293</v>
      </c>
      <c r="D61" s="110"/>
      <c r="E61" s="110"/>
      <c r="F61" s="110"/>
      <c r="G61" s="110"/>
      <c r="H61" s="110"/>
      <c r="I61" s="110"/>
      <c r="J61" s="110"/>
      <c r="K61" s="110"/>
      <c r="L61" s="110"/>
      <c r="M61" s="110"/>
      <c r="N61" s="110"/>
      <c r="O61" s="110"/>
      <c r="P61" s="110"/>
      <c r="Q61" s="110"/>
      <c r="R61" s="110"/>
      <c r="S61" s="110"/>
      <c r="T61" s="110"/>
      <c r="U61" s="110"/>
      <c r="V61" s="110"/>
      <c r="W61" s="110"/>
      <c r="X61" s="110"/>
      <c r="Y61" s="110"/>
      <c r="Z61" s="110"/>
      <c r="AA61" s="110"/>
      <c r="AB61" s="110"/>
      <c r="AC61" s="110"/>
      <c r="AD61" s="110"/>
      <c r="AE61" s="110"/>
      <c r="AF61" s="110"/>
      <c r="AG61" s="110"/>
      <c r="AH61" s="110"/>
      <c r="AI61" s="110"/>
      <c r="AJ61" s="110"/>
      <c r="AK61" s="110"/>
      <c r="AL61" s="110"/>
      <c r="AM61" s="110"/>
      <c r="AN61" s="110"/>
      <c r="AO61" s="110"/>
      <c r="AP61" s="110"/>
      <c r="AQ61" s="110"/>
      <c r="AR61" s="110"/>
      <c r="AS61" s="110"/>
      <c r="AT61" s="110"/>
      <c r="AU61" s="110"/>
      <c r="AV61" s="110"/>
      <c r="AW61" s="110"/>
      <c r="AX61" s="110"/>
      <c r="AY61" s="110"/>
    </row>
    <row r="62" spans="1:51">
      <c r="A62" s="109"/>
      <c r="B62" s="120">
        <v>18</v>
      </c>
      <c r="C62" s="109" t="s">
        <v>293</v>
      </c>
      <c r="D62" s="110"/>
      <c r="E62" s="110"/>
      <c r="F62" s="110"/>
      <c r="G62" s="110"/>
      <c r="H62" s="110"/>
      <c r="I62" s="110"/>
      <c r="J62" s="110"/>
      <c r="K62" s="110"/>
      <c r="L62" s="110"/>
      <c r="M62" s="110"/>
      <c r="N62" s="110"/>
      <c r="O62" s="110"/>
      <c r="P62" s="110"/>
      <c r="Q62" s="110"/>
      <c r="R62" s="110"/>
      <c r="S62" s="110"/>
      <c r="T62" s="110"/>
      <c r="U62" s="110"/>
      <c r="V62" s="110"/>
      <c r="W62" s="110"/>
      <c r="X62" s="110"/>
      <c r="Y62" s="110"/>
      <c r="Z62" s="110"/>
      <c r="AA62" s="110"/>
      <c r="AB62" s="110"/>
      <c r="AC62" s="110"/>
      <c r="AD62" s="110"/>
      <c r="AE62" s="110"/>
      <c r="AF62" s="110"/>
      <c r="AG62" s="110"/>
      <c r="AH62" s="110"/>
      <c r="AI62" s="110"/>
      <c r="AJ62" s="110"/>
      <c r="AK62" s="110"/>
      <c r="AL62" s="110"/>
      <c r="AM62" s="110"/>
      <c r="AN62" s="110"/>
      <c r="AO62" s="110"/>
      <c r="AP62" s="110"/>
      <c r="AQ62" s="110"/>
      <c r="AR62" s="110"/>
      <c r="AS62" s="110"/>
      <c r="AT62" s="110"/>
      <c r="AU62" s="110"/>
      <c r="AV62" s="110"/>
      <c r="AW62" s="110"/>
      <c r="AX62" s="110"/>
      <c r="AY62" s="110"/>
    </row>
    <row r="63" spans="1:51">
      <c r="A63" s="109"/>
      <c r="B63" s="120">
        <v>19</v>
      </c>
      <c r="C63" s="109" t="s">
        <v>293</v>
      </c>
      <c r="D63" s="110"/>
      <c r="E63" s="110"/>
      <c r="F63" s="110"/>
      <c r="G63" s="110"/>
      <c r="H63" s="110"/>
      <c r="I63" s="110"/>
      <c r="J63" s="110"/>
      <c r="K63" s="110"/>
      <c r="L63" s="110"/>
      <c r="M63" s="110"/>
      <c r="N63" s="110"/>
      <c r="O63" s="110"/>
      <c r="P63" s="110"/>
      <c r="Q63" s="110"/>
      <c r="R63" s="110"/>
      <c r="S63" s="110"/>
      <c r="T63" s="110"/>
      <c r="U63" s="110"/>
      <c r="V63" s="110"/>
      <c r="W63" s="110"/>
      <c r="X63" s="110"/>
      <c r="Y63" s="110"/>
      <c r="Z63" s="110"/>
      <c r="AA63" s="110"/>
      <c r="AB63" s="110"/>
      <c r="AC63" s="110"/>
      <c r="AD63" s="110"/>
      <c r="AE63" s="110"/>
      <c r="AF63" s="110"/>
      <c r="AG63" s="110"/>
      <c r="AH63" s="110"/>
      <c r="AI63" s="110"/>
      <c r="AJ63" s="110"/>
      <c r="AK63" s="110"/>
      <c r="AL63" s="110"/>
      <c r="AM63" s="110"/>
      <c r="AN63" s="110"/>
      <c r="AO63" s="110"/>
      <c r="AP63" s="110"/>
      <c r="AQ63" s="110"/>
      <c r="AR63" s="110"/>
      <c r="AS63" s="110"/>
      <c r="AT63" s="110"/>
      <c r="AU63" s="110"/>
      <c r="AV63" s="110"/>
      <c r="AW63" s="110"/>
      <c r="AX63" s="110"/>
      <c r="AY63" s="110"/>
    </row>
    <row r="64" spans="1:51">
      <c r="A64" s="109"/>
      <c r="B64" s="120">
        <v>20</v>
      </c>
      <c r="C64" s="109" t="s">
        <v>293</v>
      </c>
      <c r="D64" s="110"/>
      <c r="E64" s="110"/>
      <c r="F64" s="110"/>
      <c r="G64" s="110"/>
      <c r="H64" s="110"/>
      <c r="I64" s="110"/>
      <c r="J64" s="110"/>
      <c r="K64" s="110"/>
      <c r="L64" s="110"/>
      <c r="M64" s="110"/>
      <c r="N64" s="110"/>
      <c r="O64" s="110"/>
      <c r="P64" s="110"/>
      <c r="Q64" s="110"/>
      <c r="R64" s="110"/>
      <c r="S64" s="110"/>
      <c r="T64" s="110"/>
      <c r="U64" s="110"/>
      <c r="V64" s="110"/>
      <c r="W64" s="110"/>
      <c r="X64" s="110"/>
      <c r="Y64" s="110"/>
      <c r="Z64" s="110"/>
      <c r="AA64" s="110"/>
      <c r="AB64" s="110"/>
      <c r="AC64" s="110"/>
      <c r="AD64" s="110"/>
      <c r="AE64" s="110"/>
      <c r="AF64" s="110"/>
      <c r="AG64" s="110"/>
      <c r="AH64" s="110"/>
      <c r="AI64" s="110"/>
      <c r="AJ64" s="110"/>
      <c r="AK64" s="110"/>
      <c r="AL64" s="110"/>
      <c r="AM64" s="110"/>
      <c r="AN64" s="110"/>
      <c r="AO64" s="110"/>
      <c r="AP64" s="110"/>
      <c r="AQ64" s="110"/>
      <c r="AR64" s="110"/>
      <c r="AS64" s="110"/>
      <c r="AT64" s="110"/>
      <c r="AU64" s="110"/>
      <c r="AV64" s="110"/>
      <c r="AW64" s="110"/>
      <c r="AX64" s="110"/>
      <c r="AY64" s="110"/>
    </row>
    <row r="65" spans="1:51">
      <c r="A65" s="109"/>
      <c r="B65" s="120">
        <v>21</v>
      </c>
      <c r="C65" s="109" t="s">
        <v>293</v>
      </c>
      <c r="D65" s="110"/>
      <c r="E65" s="110"/>
      <c r="F65" s="110"/>
      <c r="G65" s="110"/>
      <c r="H65" s="110"/>
      <c r="I65" s="110"/>
      <c r="J65" s="110"/>
      <c r="K65" s="110"/>
      <c r="L65" s="110"/>
      <c r="M65" s="110"/>
      <c r="N65" s="110"/>
      <c r="O65" s="110"/>
      <c r="P65" s="110"/>
      <c r="Q65" s="110"/>
      <c r="R65" s="110"/>
      <c r="S65" s="110"/>
      <c r="T65" s="110"/>
      <c r="U65" s="110"/>
      <c r="V65" s="110"/>
      <c r="W65" s="110"/>
      <c r="X65" s="110"/>
      <c r="Y65" s="110"/>
      <c r="Z65" s="110"/>
      <c r="AA65" s="110"/>
      <c r="AB65" s="110"/>
      <c r="AC65" s="110"/>
      <c r="AD65" s="110"/>
      <c r="AE65" s="110"/>
      <c r="AF65" s="110"/>
      <c r="AG65" s="110"/>
      <c r="AH65" s="110"/>
      <c r="AI65" s="110"/>
      <c r="AJ65" s="110"/>
      <c r="AK65" s="110"/>
      <c r="AL65" s="110"/>
      <c r="AM65" s="110"/>
      <c r="AN65" s="110"/>
      <c r="AO65" s="110"/>
      <c r="AP65" s="110"/>
      <c r="AQ65" s="110"/>
      <c r="AR65" s="110"/>
      <c r="AS65" s="110"/>
      <c r="AT65" s="110"/>
      <c r="AU65" s="110"/>
      <c r="AV65" s="110"/>
      <c r="AW65" s="110"/>
      <c r="AX65" s="110"/>
      <c r="AY65" s="110"/>
    </row>
    <row r="66" spans="1:51">
      <c r="A66" s="109"/>
      <c r="B66" s="120">
        <v>22</v>
      </c>
      <c r="C66" s="109" t="s">
        <v>293</v>
      </c>
      <c r="D66" s="110"/>
      <c r="E66" s="110"/>
      <c r="F66" s="110"/>
      <c r="G66" s="110"/>
      <c r="H66" s="110"/>
      <c r="I66" s="110"/>
      <c r="J66" s="110"/>
      <c r="K66" s="110"/>
      <c r="L66" s="110"/>
      <c r="M66" s="110"/>
      <c r="N66" s="110"/>
      <c r="O66" s="110"/>
      <c r="P66" s="110"/>
      <c r="Q66" s="110"/>
      <c r="R66" s="110"/>
      <c r="S66" s="110"/>
      <c r="T66" s="110"/>
      <c r="U66" s="110"/>
      <c r="V66" s="110"/>
      <c r="W66" s="110"/>
      <c r="X66" s="110"/>
      <c r="Y66" s="110"/>
      <c r="Z66" s="110"/>
      <c r="AA66" s="110"/>
      <c r="AB66" s="110"/>
      <c r="AC66" s="110"/>
      <c r="AD66" s="110"/>
      <c r="AE66" s="110"/>
      <c r="AF66" s="110"/>
      <c r="AG66" s="110"/>
      <c r="AH66" s="110"/>
      <c r="AI66" s="110"/>
      <c r="AJ66" s="110"/>
      <c r="AK66" s="110"/>
      <c r="AL66" s="110"/>
      <c r="AM66" s="110"/>
      <c r="AN66" s="110"/>
      <c r="AO66" s="110"/>
      <c r="AP66" s="110"/>
      <c r="AQ66" s="110"/>
      <c r="AR66" s="110"/>
      <c r="AS66" s="110"/>
      <c r="AT66" s="110"/>
      <c r="AU66" s="110"/>
      <c r="AV66" s="110"/>
      <c r="AW66" s="110"/>
      <c r="AX66" s="110"/>
      <c r="AY66" s="110"/>
    </row>
    <row r="67" spans="1:51">
      <c r="A67" s="109"/>
      <c r="B67" s="120">
        <v>23</v>
      </c>
      <c r="C67" s="109" t="s">
        <v>293</v>
      </c>
      <c r="D67" s="110"/>
      <c r="E67" s="110"/>
      <c r="F67" s="110"/>
      <c r="G67" s="110"/>
      <c r="H67" s="110"/>
      <c r="I67" s="110"/>
      <c r="J67" s="110"/>
      <c r="K67" s="110"/>
      <c r="L67" s="110"/>
      <c r="M67" s="110"/>
      <c r="N67" s="110"/>
      <c r="O67" s="110"/>
      <c r="P67" s="110"/>
      <c r="Q67" s="110"/>
      <c r="R67" s="110"/>
      <c r="S67" s="110"/>
      <c r="T67" s="110"/>
      <c r="U67" s="110"/>
      <c r="V67" s="110"/>
      <c r="W67" s="110"/>
      <c r="X67" s="110"/>
      <c r="Y67" s="110"/>
      <c r="Z67" s="110"/>
      <c r="AA67" s="110"/>
      <c r="AB67" s="110"/>
      <c r="AC67" s="110"/>
      <c r="AD67" s="110"/>
      <c r="AE67" s="110"/>
      <c r="AF67" s="110"/>
      <c r="AG67" s="110"/>
      <c r="AH67" s="110"/>
      <c r="AI67" s="110"/>
      <c r="AJ67" s="110"/>
      <c r="AK67" s="110"/>
      <c r="AL67" s="110"/>
      <c r="AM67" s="110"/>
      <c r="AN67" s="110"/>
      <c r="AO67" s="110"/>
      <c r="AP67" s="110"/>
      <c r="AQ67" s="110"/>
      <c r="AR67" s="110"/>
      <c r="AS67" s="110"/>
      <c r="AT67" s="110"/>
      <c r="AU67" s="110"/>
      <c r="AV67" s="110"/>
      <c r="AW67" s="110"/>
      <c r="AX67" s="110"/>
      <c r="AY67" s="110"/>
    </row>
    <row r="68" spans="1:51">
      <c r="A68" s="109"/>
      <c r="B68" s="120">
        <v>24</v>
      </c>
      <c r="C68" s="109" t="s">
        <v>293</v>
      </c>
      <c r="D68" s="110"/>
      <c r="E68" s="110"/>
      <c r="F68" s="110"/>
      <c r="G68" s="110"/>
      <c r="H68" s="110"/>
      <c r="I68" s="110"/>
      <c r="J68" s="110"/>
      <c r="K68" s="110"/>
      <c r="L68" s="110"/>
      <c r="M68" s="110"/>
      <c r="N68" s="110"/>
      <c r="O68" s="110"/>
      <c r="P68" s="110"/>
      <c r="Q68" s="110"/>
      <c r="R68" s="110"/>
      <c r="S68" s="110"/>
      <c r="T68" s="110"/>
      <c r="U68" s="110"/>
      <c r="V68" s="110"/>
      <c r="W68" s="110"/>
      <c r="X68" s="110"/>
      <c r="Y68" s="110"/>
      <c r="Z68" s="110"/>
      <c r="AA68" s="110"/>
      <c r="AB68" s="110"/>
      <c r="AC68" s="110"/>
      <c r="AD68" s="110"/>
      <c r="AE68" s="110"/>
      <c r="AF68" s="110"/>
      <c r="AG68" s="110"/>
      <c r="AH68" s="110"/>
      <c r="AI68" s="110"/>
      <c r="AJ68" s="110"/>
      <c r="AK68" s="110"/>
      <c r="AL68" s="110"/>
      <c r="AM68" s="110"/>
      <c r="AN68" s="110"/>
      <c r="AO68" s="110"/>
      <c r="AP68" s="110"/>
      <c r="AQ68" s="110"/>
      <c r="AR68" s="110"/>
      <c r="AS68" s="110"/>
      <c r="AT68" s="110"/>
      <c r="AU68" s="110"/>
      <c r="AV68" s="110"/>
      <c r="AW68" s="110"/>
      <c r="AX68" s="110"/>
      <c r="AY68" s="110"/>
    </row>
    <row r="69" spans="1:51">
      <c r="A69" s="109"/>
      <c r="B69" s="127">
        <v>25</v>
      </c>
      <c r="C69" s="109" t="s">
        <v>293</v>
      </c>
      <c r="D69" s="110"/>
      <c r="E69" s="110"/>
      <c r="F69" s="110"/>
      <c r="G69" s="110"/>
      <c r="H69" s="110"/>
      <c r="I69" s="110"/>
      <c r="J69" s="110"/>
      <c r="K69" s="110"/>
      <c r="L69" s="110"/>
      <c r="M69" s="110"/>
      <c r="N69" s="110"/>
      <c r="O69" s="110"/>
      <c r="P69" s="110"/>
      <c r="Q69" s="110"/>
      <c r="R69" s="110"/>
      <c r="S69" s="110"/>
      <c r="T69" s="110"/>
      <c r="U69" s="110"/>
      <c r="V69" s="110"/>
      <c r="W69" s="110"/>
      <c r="X69" s="110"/>
      <c r="Y69" s="110"/>
      <c r="Z69" s="110"/>
      <c r="AA69" s="110"/>
      <c r="AB69" s="110"/>
      <c r="AC69" s="110"/>
      <c r="AD69" s="110"/>
      <c r="AE69" s="110"/>
      <c r="AF69" s="110"/>
      <c r="AG69" s="110"/>
      <c r="AH69" s="110"/>
      <c r="AI69" s="110"/>
      <c r="AJ69" s="110"/>
      <c r="AK69" s="110"/>
      <c r="AL69" s="110"/>
      <c r="AM69" s="110"/>
      <c r="AN69" s="110"/>
      <c r="AO69" s="110"/>
      <c r="AP69" s="110"/>
      <c r="AQ69" s="110"/>
      <c r="AR69" s="110"/>
      <c r="AS69" s="110"/>
      <c r="AT69" s="110"/>
      <c r="AU69" s="110"/>
      <c r="AV69" s="110"/>
      <c r="AW69" s="110"/>
      <c r="AX69" s="110"/>
      <c r="AY69" s="110"/>
    </row>
    <row r="70" spans="1:51">
      <c r="A70" s="109"/>
      <c r="B70" s="127">
        <v>26</v>
      </c>
      <c r="C70" s="109" t="s">
        <v>293</v>
      </c>
      <c r="D70" s="110"/>
      <c r="E70" s="110"/>
      <c r="F70" s="110"/>
      <c r="G70" s="110"/>
      <c r="H70" s="110"/>
      <c r="I70" s="110"/>
      <c r="J70" s="110"/>
      <c r="K70" s="110"/>
      <c r="L70" s="110"/>
      <c r="M70" s="110"/>
      <c r="N70" s="110"/>
      <c r="O70" s="110"/>
      <c r="P70" s="110"/>
      <c r="Q70" s="110"/>
      <c r="R70" s="110"/>
      <c r="S70" s="110"/>
      <c r="T70" s="110"/>
      <c r="U70" s="110"/>
      <c r="V70" s="110"/>
      <c r="W70" s="110"/>
      <c r="X70" s="110"/>
      <c r="Y70" s="110"/>
      <c r="Z70" s="110"/>
      <c r="AA70" s="110"/>
      <c r="AB70" s="110"/>
      <c r="AC70" s="110"/>
      <c r="AD70" s="110"/>
      <c r="AE70" s="110"/>
      <c r="AF70" s="110"/>
      <c r="AG70" s="110"/>
      <c r="AH70" s="110"/>
      <c r="AI70" s="110"/>
      <c r="AJ70" s="110"/>
      <c r="AK70" s="110"/>
      <c r="AL70" s="110"/>
      <c r="AM70" s="110"/>
      <c r="AN70" s="110"/>
      <c r="AO70" s="110"/>
      <c r="AP70" s="110"/>
      <c r="AQ70" s="110"/>
      <c r="AR70" s="110"/>
      <c r="AS70" s="110"/>
      <c r="AT70" s="110"/>
      <c r="AU70" s="110"/>
      <c r="AV70" s="110"/>
      <c r="AW70" s="110"/>
      <c r="AX70" s="110"/>
      <c r="AY70" s="110"/>
    </row>
    <row r="71" spans="1:51">
      <c r="A71" s="109"/>
      <c r="B71" s="127">
        <v>27</v>
      </c>
      <c r="C71" s="109" t="s">
        <v>293</v>
      </c>
      <c r="D71" s="110"/>
      <c r="E71" s="110"/>
      <c r="F71" s="110"/>
      <c r="G71" s="110"/>
      <c r="H71" s="110"/>
      <c r="I71" s="110"/>
      <c r="J71" s="110"/>
      <c r="K71" s="110"/>
      <c r="L71" s="110"/>
      <c r="M71" s="110"/>
      <c r="N71" s="110"/>
      <c r="O71" s="110"/>
      <c r="P71" s="110"/>
      <c r="Q71" s="110"/>
      <c r="R71" s="110"/>
      <c r="S71" s="110"/>
      <c r="T71" s="110"/>
      <c r="U71" s="110"/>
      <c r="V71" s="110"/>
      <c r="W71" s="110"/>
      <c r="X71" s="110"/>
      <c r="Y71" s="110"/>
      <c r="Z71" s="110"/>
      <c r="AA71" s="110"/>
      <c r="AB71" s="110"/>
      <c r="AC71" s="110"/>
      <c r="AD71" s="110"/>
      <c r="AE71" s="110"/>
      <c r="AF71" s="110"/>
      <c r="AG71" s="110"/>
      <c r="AH71" s="110"/>
      <c r="AI71" s="110"/>
      <c r="AJ71" s="110"/>
      <c r="AK71" s="110"/>
      <c r="AL71" s="110"/>
      <c r="AM71" s="110"/>
      <c r="AN71" s="110"/>
      <c r="AO71" s="110"/>
      <c r="AP71" s="110"/>
      <c r="AQ71" s="110"/>
      <c r="AR71" s="110"/>
      <c r="AS71" s="110"/>
      <c r="AT71" s="110"/>
      <c r="AU71" s="110"/>
      <c r="AV71" s="110"/>
      <c r="AW71" s="110"/>
      <c r="AX71" s="110"/>
      <c r="AY71" s="110"/>
    </row>
    <row r="72" spans="1:51">
      <c r="A72" s="109"/>
      <c r="B72" s="127">
        <v>28</v>
      </c>
      <c r="C72" s="109" t="s">
        <v>293</v>
      </c>
      <c r="D72" s="110"/>
      <c r="E72" s="110"/>
      <c r="F72" s="110"/>
      <c r="G72" s="110"/>
      <c r="H72" s="110"/>
      <c r="I72" s="110"/>
      <c r="J72" s="110"/>
      <c r="K72" s="110"/>
      <c r="L72" s="110"/>
      <c r="M72" s="110"/>
      <c r="N72" s="110"/>
      <c r="O72" s="110"/>
      <c r="P72" s="110"/>
      <c r="Q72" s="110"/>
      <c r="R72" s="110"/>
      <c r="S72" s="110"/>
      <c r="T72" s="110"/>
      <c r="U72" s="110"/>
      <c r="V72" s="110"/>
      <c r="W72" s="110"/>
      <c r="X72" s="110"/>
      <c r="Y72" s="110"/>
      <c r="Z72" s="110"/>
      <c r="AA72" s="110"/>
      <c r="AB72" s="110"/>
      <c r="AC72" s="110"/>
      <c r="AD72" s="110"/>
      <c r="AE72" s="110"/>
      <c r="AF72" s="110"/>
      <c r="AG72" s="110"/>
      <c r="AH72" s="110"/>
      <c r="AI72" s="110"/>
      <c r="AJ72" s="110"/>
      <c r="AK72" s="110"/>
      <c r="AL72" s="110"/>
      <c r="AM72" s="110"/>
      <c r="AN72" s="110"/>
      <c r="AO72" s="110"/>
      <c r="AP72" s="110"/>
      <c r="AQ72" s="110"/>
      <c r="AR72" s="110"/>
      <c r="AS72" s="110"/>
      <c r="AT72" s="110"/>
      <c r="AU72" s="110"/>
      <c r="AV72" s="110"/>
      <c r="AW72" s="110"/>
      <c r="AX72" s="110"/>
      <c r="AY72" s="110"/>
    </row>
    <row r="73" spans="1:51">
      <c r="A73" s="109"/>
      <c r="B73" s="127">
        <v>29</v>
      </c>
      <c r="C73" s="109" t="s">
        <v>293</v>
      </c>
      <c r="D73" s="110"/>
      <c r="E73" s="110"/>
      <c r="F73" s="110"/>
      <c r="G73" s="110"/>
      <c r="H73" s="110"/>
      <c r="I73" s="110"/>
      <c r="J73" s="110"/>
      <c r="K73" s="110"/>
      <c r="L73" s="110"/>
      <c r="M73" s="110"/>
      <c r="N73" s="110"/>
      <c r="O73" s="110"/>
      <c r="P73" s="110"/>
      <c r="Q73" s="110"/>
      <c r="R73" s="110"/>
      <c r="S73" s="110"/>
      <c r="T73" s="110"/>
      <c r="U73" s="110"/>
      <c r="V73" s="110"/>
      <c r="W73" s="110"/>
      <c r="X73" s="110"/>
      <c r="Y73" s="110"/>
      <c r="Z73" s="110"/>
      <c r="AA73" s="110"/>
      <c r="AB73" s="110"/>
      <c r="AC73" s="110"/>
      <c r="AD73" s="110"/>
      <c r="AE73" s="110"/>
      <c r="AF73" s="110"/>
      <c r="AG73" s="110"/>
      <c r="AH73" s="110"/>
      <c r="AI73" s="110"/>
      <c r="AJ73" s="110"/>
      <c r="AK73" s="110"/>
      <c r="AL73" s="110"/>
      <c r="AM73" s="110"/>
      <c r="AN73" s="110"/>
      <c r="AO73" s="110"/>
      <c r="AP73" s="110"/>
      <c r="AQ73" s="110"/>
      <c r="AR73" s="110"/>
      <c r="AS73" s="110"/>
      <c r="AT73" s="110"/>
      <c r="AU73" s="110"/>
      <c r="AV73" s="110"/>
      <c r="AW73" s="110"/>
      <c r="AX73" s="110"/>
      <c r="AY73" s="110"/>
    </row>
    <row r="74" spans="1:51">
      <c r="A74" s="109"/>
      <c r="B74" s="127">
        <v>30</v>
      </c>
      <c r="C74" s="109" t="s">
        <v>293</v>
      </c>
      <c r="D74" s="110"/>
      <c r="E74" s="110"/>
      <c r="F74" s="110"/>
      <c r="G74" s="110"/>
      <c r="H74" s="110"/>
      <c r="I74" s="110"/>
      <c r="J74" s="110"/>
      <c r="K74" s="110"/>
      <c r="L74" s="110"/>
      <c r="M74" s="110"/>
      <c r="N74" s="110"/>
      <c r="O74" s="110"/>
      <c r="P74" s="110"/>
      <c r="Q74" s="110"/>
      <c r="R74" s="110"/>
      <c r="S74" s="110"/>
      <c r="T74" s="110"/>
      <c r="U74" s="110"/>
      <c r="V74" s="110"/>
      <c r="W74" s="110"/>
      <c r="X74" s="110"/>
      <c r="Y74" s="110"/>
      <c r="Z74" s="110"/>
      <c r="AA74" s="110"/>
      <c r="AB74" s="110"/>
      <c r="AC74" s="110"/>
      <c r="AD74" s="110"/>
      <c r="AE74" s="110"/>
      <c r="AF74" s="110"/>
      <c r="AG74" s="110"/>
      <c r="AH74" s="110"/>
      <c r="AI74" s="110"/>
      <c r="AJ74" s="110"/>
      <c r="AK74" s="110"/>
      <c r="AL74" s="110"/>
      <c r="AM74" s="110"/>
      <c r="AN74" s="110"/>
      <c r="AO74" s="110"/>
      <c r="AP74" s="110"/>
      <c r="AQ74" s="110"/>
      <c r="AR74" s="110"/>
      <c r="AS74" s="110"/>
      <c r="AT74" s="110"/>
      <c r="AU74" s="110"/>
      <c r="AV74" s="110"/>
      <c r="AW74" s="110"/>
      <c r="AX74" s="110"/>
      <c r="AY74" s="110"/>
    </row>
    <row r="75" spans="1:51">
      <c r="A75" s="109"/>
      <c r="B75" s="127">
        <v>31</v>
      </c>
      <c r="C75" s="109" t="s">
        <v>293</v>
      </c>
      <c r="D75" s="110"/>
      <c r="E75" s="110"/>
      <c r="F75" s="110"/>
      <c r="G75" s="110"/>
      <c r="H75" s="110"/>
      <c r="I75" s="110"/>
      <c r="J75" s="110"/>
      <c r="K75" s="110"/>
      <c r="L75" s="110"/>
      <c r="M75" s="110"/>
      <c r="N75" s="110"/>
      <c r="O75" s="110"/>
      <c r="P75" s="110"/>
      <c r="Q75" s="110"/>
      <c r="R75" s="110"/>
      <c r="S75" s="110"/>
      <c r="T75" s="110"/>
      <c r="U75" s="110"/>
      <c r="V75" s="110"/>
      <c r="W75" s="110"/>
      <c r="X75" s="110"/>
      <c r="Y75" s="110"/>
      <c r="Z75" s="110"/>
      <c r="AA75" s="110"/>
      <c r="AB75" s="110"/>
      <c r="AC75" s="110"/>
      <c r="AD75" s="110"/>
      <c r="AE75" s="110"/>
      <c r="AF75" s="110"/>
      <c r="AG75" s="110"/>
      <c r="AH75" s="110"/>
      <c r="AI75" s="110"/>
      <c r="AJ75" s="110"/>
      <c r="AK75" s="110"/>
      <c r="AL75" s="110"/>
      <c r="AM75" s="110"/>
      <c r="AN75" s="110"/>
      <c r="AO75" s="110"/>
      <c r="AP75" s="110"/>
      <c r="AQ75" s="110"/>
      <c r="AR75" s="110"/>
      <c r="AS75" s="110"/>
      <c r="AT75" s="110"/>
      <c r="AU75" s="110"/>
      <c r="AV75" s="110"/>
      <c r="AW75" s="110"/>
      <c r="AX75" s="110"/>
      <c r="AY75" s="110"/>
    </row>
    <row r="76" spans="1:51">
      <c r="A76" s="109"/>
      <c r="B76" s="127">
        <v>32</v>
      </c>
      <c r="C76" s="109" t="s">
        <v>293</v>
      </c>
      <c r="D76" s="110"/>
      <c r="E76" s="110"/>
      <c r="F76" s="110"/>
      <c r="G76" s="110"/>
      <c r="H76" s="110"/>
      <c r="I76" s="110"/>
      <c r="J76" s="110"/>
      <c r="K76" s="110"/>
      <c r="L76" s="110"/>
      <c r="M76" s="110"/>
      <c r="N76" s="110"/>
      <c r="O76" s="110"/>
      <c r="P76" s="110"/>
      <c r="Q76" s="110"/>
      <c r="R76" s="110"/>
      <c r="S76" s="110"/>
      <c r="T76" s="110"/>
      <c r="U76" s="110"/>
      <c r="V76" s="110"/>
      <c r="W76" s="110"/>
      <c r="X76" s="110"/>
      <c r="Y76" s="110"/>
      <c r="Z76" s="110"/>
      <c r="AA76" s="110"/>
      <c r="AB76" s="110"/>
      <c r="AC76" s="110"/>
      <c r="AD76" s="110"/>
      <c r="AE76" s="110"/>
      <c r="AF76" s="110"/>
      <c r="AG76" s="110"/>
      <c r="AH76" s="110"/>
      <c r="AI76" s="110"/>
      <c r="AJ76" s="110"/>
      <c r="AK76" s="110"/>
      <c r="AL76" s="110"/>
      <c r="AM76" s="110"/>
      <c r="AN76" s="110"/>
      <c r="AO76" s="110"/>
      <c r="AP76" s="110"/>
      <c r="AQ76" s="110"/>
      <c r="AR76" s="110"/>
      <c r="AS76" s="110"/>
      <c r="AT76" s="110"/>
      <c r="AU76" s="110"/>
      <c r="AV76" s="110"/>
      <c r="AW76" s="110"/>
      <c r="AX76" s="110"/>
      <c r="AY76" s="110"/>
    </row>
    <row r="77" spans="1:51">
      <c r="A77" s="109"/>
      <c r="B77" s="127">
        <v>33</v>
      </c>
      <c r="C77" s="109" t="s">
        <v>293</v>
      </c>
      <c r="D77" s="110"/>
      <c r="E77" s="110"/>
      <c r="F77" s="110"/>
      <c r="G77" s="110"/>
      <c r="H77" s="110"/>
      <c r="I77" s="110"/>
      <c r="J77" s="110"/>
      <c r="K77" s="110"/>
      <c r="L77" s="110"/>
      <c r="M77" s="110"/>
      <c r="N77" s="110"/>
      <c r="O77" s="110"/>
      <c r="P77" s="110"/>
      <c r="Q77" s="110"/>
      <c r="R77" s="110"/>
      <c r="S77" s="110"/>
      <c r="T77" s="110"/>
      <c r="U77" s="110"/>
      <c r="V77" s="110"/>
      <c r="W77" s="110"/>
      <c r="X77" s="110"/>
      <c r="Y77" s="110"/>
      <c r="Z77" s="110"/>
      <c r="AA77" s="110"/>
      <c r="AB77" s="110"/>
      <c r="AC77" s="110"/>
      <c r="AD77" s="110"/>
      <c r="AE77" s="110"/>
      <c r="AF77" s="110"/>
      <c r="AG77" s="110"/>
      <c r="AH77" s="110"/>
      <c r="AI77" s="110"/>
      <c r="AJ77" s="110"/>
      <c r="AK77" s="110"/>
      <c r="AL77" s="110"/>
      <c r="AM77" s="110"/>
      <c r="AN77" s="110"/>
      <c r="AO77" s="110"/>
      <c r="AP77" s="110"/>
      <c r="AQ77" s="110"/>
      <c r="AR77" s="110"/>
      <c r="AS77" s="110"/>
      <c r="AT77" s="110"/>
      <c r="AU77" s="110"/>
      <c r="AV77" s="110"/>
      <c r="AW77" s="110"/>
      <c r="AX77" s="110"/>
      <c r="AY77" s="110"/>
    </row>
    <row r="78" spans="1:51">
      <c r="A78" s="109"/>
      <c r="B78" s="127">
        <v>34</v>
      </c>
      <c r="C78" s="109" t="s">
        <v>293</v>
      </c>
      <c r="D78" s="110"/>
      <c r="E78" s="110"/>
      <c r="F78" s="110"/>
      <c r="G78" s="110"/>
      <c r="H78" s="110"/>
      <c r="I78" s="110"/>
      <c r="J78" s="110"/>
      <c r="K78" s="110"/>
      <c r="L78" s="110"/>
      <c r="M78" s="110"/>
      <c r="N78" s="110"/>
      <c r="O78" s="110"/>
      <c r="P78" s="110"/>
      <c r="Q78" s="110"/>
      <c r="R78" s="110"/>
      <c r="S78" s="110"/>
      <c r="T78" s="110"/>
      <c r="U78" s="110"/>
      <c r="V78" s="110"/>
      <c r="W78" s="110"/>
      <c r="X78" s="110"/>
      <c r="Y78" s="110"/>
      <c r="Z78" s="110"/>
      <c r="AA78" s="110"/>
      <c r="AB78" s="110"/>
      <c r="AC78" s="110"/>
      <c r="AD78" s="110"/>
      <c r="AE78" s="110"/>
      <c r="AF78" s="110"/>
      <c r="AG78" s="110"/>
      <c r="AH78" s="110"/>
      <c r="AI78" s="110"/>
      <c r="AJ78" s="110"/>
      <c r="AK78" s="110"/>
      <c r="AL78" s="110"/>
      <c r="AM78" s="110"/>
      <c r="AN78" s="110"/>
      <c r="AO78" s="110"/>
      <c r="AP78" s="110"/>
      <c r="AQ78" s="110"/>
      <c r="AR78" s="110"/>
      <c r="AS78" s="110"/>
      <c r="AT78" s="110"/>
      <c r="AU78" s="110"/>
      <c r="AV78" s="110"/>
      <c r="AW78" s="110"/>
      <c r="AX78" s="110"/>
      <c r="AY78" s="110"/>
    </row>
    <row r="79" spans="1:51">
      <c r="A79" s="109"/>
      <c r="B79" s="127">
        <v>35</v>
      </c>
      <c r="C79" s="109" t="s">
        <v>293</v>
      </c>
      <c r="D79" s="110"/>
      <c r="E79" s="110"/>
      <c r="F79" s="110"/>
      <c r="G79" s="110"/>
      <c r="H79" s="110"/>
      <c r="I79" s="110"/>
      <c r="J79" s="110"/>
      <c r="K79" s="110"/>
      <c r="L79" s="110"/>
      <c r="M79" s="110"/>
      <c r="N79" s="110"/>
      <c r="O79" s="110"/>
      <c r="P79" s="110"/>
      <c r="Q79" s="110"/>
      <c r="R79" s="110"/>
      <c r="S79" s="110"/>
      <c r="T79" s="110"/>
      <c r="U79" s="110"/>
      <c r="V79" s="110"/>
      <c r="W79" s="110"/>
      <c r="X79" s="110"/>
      <c r="Y79" s="110"/>
      <c r="Z79" s="110"/>
      <c r="AA79" s="110"/>
      <c r="AB79" s="110"/>
      <c r="AC79" s="110"/>
      <c r="AD79" s="110"/>
      <c r="AE79" s="110"/>
      <c r="AF79" s="110"/>
      <c r="AG79" s="110"/>
      <c r="AH79" s="110"/>
      <c r="AI79" s="110"/>
      <c r="AJ79" s="110"/>
      <c r="AK79" s="110"/>
      <c r="AL79" s="110"/>
      <c r="AM79" s="110"/>
      <c r="AN79" s="110"/>
      <c r="AO79" s="110"/>
      <c r="AP79" s="110"/>
      <c r="AQ79" s="110"/>
      <c r="AR79" s="110"/>
      <c r="AS79" s="110"/>
      <c r="AT79" s="110"/>
      <c r="AU79" s="110"/>
      <c r="AV79" s="110"/>
      <c r="AW79" s="110"/>
      <c r="AX79" s="110"/>
      <c r="AY79" s="110"/>
    </row>
    <row r="80" spans="1:51">
      <c r="A80" s="109"/>
      <c r="B80" s="127">
        <v>36</v>
      </c>
      <c r="C80" s="109" t="s">
        <v>293</v>
      </c>
      <c r="D80" s="110"/>
      <c r="E80" s="110"/>
      <c r="F80" s="110"/>
      <c r="G80" s="110"/>
      <c r="H80" s="110"/>
      <c r="I80" s="110"/>
      <c r="J80" s="110"/>
      <c r="K80" s="110"/>
      <c r="L80" s="110"/>
      <c r="M80" s="110"/>
      <c r="N80" s="110"/>
      <c r="O80" s="110"/>
      <c r="P80" s="110"/>
      <c r="Q80" s="110"/>
      <c r="R80" s="110"/>
      <c r="S80" s="110"/>
      <c r="T80" s="110"/>
      <c r="U80" s="110"/>
      <c r="V80" s="110"/>
      <c r="W80" s="110"/>
      <c r="X80" s="110"/>
      <c r="Y80" s="110"/>
      <c r="Z80" s="110"/>
      <c r="AA80" s="110"/>
      <c r="AB80" s="110"/>
      <c r="AC80" s="110"/>
      <c r="AD80" s="110"/>
      <c r="AE80" s="110"/>
      <c r="AF80" s="110"/>
      <c r="AG80" s="110"/>
      <c r="AH80" s="110"/>
      <c r="AI80" s="110"/>
      <c r="AJ80" s="110"/>
      <c r="AK80" s="110"/>
      <c r="AL80" s="110"/>
      <c r="AM80" s="110"/>
      <c r="AN80" s="110"/>
      <c r="AO80" s="110"/>
      <c r="AP80" s="110"/>
      <c r="AQ80" s="110"/>
      <c r="AR80" s="110"/>
      <c r="AS80" s="110"/>
      <c r="AT80" s="110"/>
      <c r="AU80" s="110"/>
      <c r="AV80" s="110"/>
      <c r="AW80" s="110"/>
      <c r="AX80" s="110"/>
      <c r="AY80" s="110"/>
    </row>
    <row r="81" spans="1:52">
      <c r="A81" s="109"/>
      <c r="B81" s="130">
        <v>37</v>
      </c>
      <c r="C81" s="109" t="s">
        <v>293</v>
      </c>
      <c r="D81" s="110"/>
      <c r="E81" s="110"/>
      <c r="F81" s="110"/>
      <c r="G81" s="110"/>
      <c r="H81" s="110"/>
      <c r="I81" s="110"/>
      <c r="J81" s="110"/>
      <c r="K81" s="110"/>
      <c r="L81" s="110"/>
      <c r="M81" s="110"/>
      <c r="N81" s="110"/>
      <c r="O81" s="110"/>
      <c r="P81" s="110"/>
      <c r="Q81" s="110"/>
      <c r="R81" s="110"/>
      <c r="S81" s="110"/>
      <c r="T81" s="110"/>
      <c r="U81" s="110"/>
      <c r="V81" s="110"/>
      <c r="W81" s="110"/>
      <c r="X81" s="110"/>
      <c r="Y81" s="110"/>
      <c r="Z81" s="110"/>
      <c r="AA81" s="110"/>
      <c r="AB81" s="110"/>
      <c r="AC81" s="110"/>
      <c r="AD81" s="110"/>
      <c r="AE81" s="110"/>
      <c r="AF81" s="110"/>
      <c r="AG81" s="110"/>
      <c r="AH81" s="110"/>
      <c r="AI81" s="110"/>
      <c r="AJ81" s="110"/>
      <c r="AK81" s="110"/>
      <c r="AL81" s="110"/>
      <c r="AM81" s="110"/>
      <c r="AN81" s="110"/>
      <c r="AO81" s="110"/>
      <c r="AP81" s="110"/>
      <c r="AQ81" s="110"/>
      <c r="AR81" s="110"/>
      <c r="AS81" s="110"/>
      <c r="AT81" s="110"/>
      <c r="AU81" s="110"/>
      <c r="AV81" s="110"/>
      <c r="AW81" s="110"/>
      <c r="AX81" s="110"/>
      <c r="AY81" s="110"/>
    </row>
    <row r="82" spans="1:52">
      <c r="A82" s="109"/>
      <c r="B82" s="130">
        <v>38</v>
      </c>
      <c r="C82" s="109" t="s">
        <v>293</v>
      </c>
      <c r="D82" s="110"/>
      <c r="E82" s="110"/>
      <c r="F82" s="110"/>
      <c r="G82" s="110"/>
      <c r="H82" s="110"/>
      <c r="I82" s="110"/>
      <c r="J82" s="110"/>
      <c r="K82" s="110"/>
      <c r="L82" s="110"/>
      <c r="M82" s="110"/>
      <c r="N82" s="110"/>
      <c r="O82" s="110"/>
      <c r="P82" s="110"/>
      <c r="Q82" s="110"/>
      <c r="R82" s="110"/>
      <c r="S82" s="110"/>
      <c r="T82" s="110"/>
      <c r="U82" s="110"/>
      <c r="V82" s="110"/>
      <c r="W82" s="110"/>
      <c r="X82" s="110"/>
      <c r="Y82" s="110"/>
      <c r="Z82" s="110"/>
      <c r="AA82" s="110"/>
      <c r="AB82" s="110"/>
      <c r="AC82" s="110"/>
      <c r="AD82" s="110"/>
      <c r="AE82" s="110"/>
      <c r="AF82" s="110"/>
      <c r="AG82" s="110"/>
      <c r="AH82" s="110"/>
      <c r="AI82" s="110"/>
      <c r="AJ82" s="110"/>
      <c r="AK82" s="110"/>
      <c r="AL82" s="110"/>
      <c r="AM82" s="110"/>
      <c r="AN82" s="110"/>
      <c r="AO82" s="110"/>
      <c r="AP82" s="110"/>
      <c r="AQ82" s="110"/>
      <c r="AR82" s="110"/>
      <c r="AS82" s="110"/>
      <c r="AT82" s="110"/>
      <c r="AU82" s="110"/>
      <c r="AV82" s="110"/>
      <c r="AW82" s="110"/>
      <c r="AX82" s="110"/>
      <c r="AY82" s="110"/>
    </row>
    <row r="83" spans="1:52">
      <c r="A83" s="109"/>
      <c r="B83" s="130">
        <v>39</v>
      </c>
      <c r="C83" s="109" t="s">
        <v>293</v>
      </c>
      <c r="D83" s="110"/>
      <c r="E83" s="110"/>
      <c r="F83" s="110"/>
      <c r="G83" s="110"/>
      <c r="H83" s="110"/>
      <c r="I83" s="110"/>
      <c r="J83" s="110"/>
      <c r="K83" s="110"/>
      <c r="L83" s="110"/>
      <c r="M83" s="110"/>
      <c r="N83" s="110"/>
      <c r="O83" s="110"/>
      <c r="P83" s="110"/>
      <c r="Q83" s="110"/>
      <c r="R83" s="110"/>
      <c r="S83" s="110"/>
      <c r="T83" s="110"/>
      <c r="U83" s="110"/>
      <c r="V83" s="110"/>
      <c r="W83" s="110"/>
      <c r="X83" s="110"/>
      <c r="Y83" s="110"/>
      <c r="Z83" s="110"/>
      <c r="AA83" s="110"/>
      <c r="AB83" s="110"/>
      <c r="AC83" s="110"/>
      <c r="AD83" s="110"/>
      <c r="AE83" s="110"/>
      <c r="AF83" s="110"/>
      <c r="AG83" s="110"/>
      <c r="AH83" s="110"/>
      <c r="AI83" s="110"/>
      <c r="AJ83" s="110"/>
      <c r="AK83" s="110"/>
      <c r="AL83" s="110"/>
      <c r="AM83" s="110"/>
      <c r="AN83" s="110"/>
      <c r="AO83" s="110"/>
      <c r="AP83" s="110"/>
      <c r="AQ83" s="110"/>
      <c r="AR83" s="110"/>
      <c r="AS83" s="110"/>
      <c r="AT83" s="110"/>
      <c r="AU83" s="110"/>
      <c r="AV83" s="110"/>
      <c r="AW83" s="110"/>
      <c r="AX83" s="110"/>
      <c r="AY83" s="110"/>
    </row>
    <row r="84" spans="1:52">
      <c r="A84" s="109"/>
      <c r="B84" s="130">
        <v>40</v>
      </c>
      <c r="C84" s="109" t="s">
        <v>293</v>
      </c>
      <c r="D84" s="110"/>
      <c r="E84" s="110"/>
      <c r="F84" s="110"/>
      <c r="G84" s="110"/>
      <c r="H84" s="110"/>
      <c r="I84" s="110"/>
      <c r="J84" s="110"/>
      <c r="K84" s="110"/>
      <c r="L84" s="110"/>
      <c r="M84" s="110"/>
      <c r="N84" s="110"/>
      <c r="O84" s="110"/>
      <c r="P84" s="110"/>
      <c r="Q84" s="110"/>
      <c r="R84" s="110"/>
      <c r="S84" s="110"/>
      <c r="T84" s="110"/>
      <c r="U84" s="110"/>
      <c r="V84" s="110"/>
      <c r="W84" s="110"/>
      <c r="X84" s="110"/>
      <c r="Y84" s="110"/>
      <c r="Z84" s="110"/>
      <c r="AA84" s="110"/>
      <c r="AB84" s="110"/>
      <c r="AC84" s="110"/>
      <c r="AD84" s="110"/>
      <c r="AE84" s="110"/>
      <c r="AF84" s="110"/>
      <c r="AG84" s="110"/>
      <c r="AH84" s="110"/>
      <c r="AI84" s="110"/>
      <c r="AJ84" s="110"/>
      <c r="AK84" s="110"/>
      <c r="AL84" s="110"/>
      <c r="AM84" s="110"/>
      <c r="AN84" s="110"/>
      <c r="AO84" s="110"/>
      <c r="AP84" s="110"/>
      <c r="AQ84" s="110"/>
      <c r="AR84" s="110"/>
      <c r="AS84" s="110"/>
      <c r="AT84" s="110"/>
      <c r="AU84" s="110"/>
      <c r="AV84" s="110"/>
      <c r="AW84" s="110"/>
      <c r="AX84" s="110"/>
      <c r="AY84" s="110"/>
    </row>
    <row r="85" spans="1:52">
      <c r="A85" s="109"/>
      <c r="B85" s="130">
        <v>41</v>
      </c>
      <c r="C85" s="109" t="s">
        <v>293</v>
      </c>
      <c r="D85" s="110"/>
      <c r="E85" s="110"/>
      <c r="F85" s="110"/>
      <c r="G85" s="110"/>
      <c r="H85" s="110"/>
      <c r="I85" s="110"/>
      <c r="J85" s="110"/>
      <c r="K85" s="110"/>
      <c r="L85" s="110"/>
      <c r="M85" s="110"/>
      <c r="N85" s="110"/>
      <c r="O85" s="110"/>
      <c r="P85" s="110"/>
      <c r="Q85" s="110"/>
      <c r="R85" s="110"/>
      <c r="S85" s="110"/>
      <c r="T85" s="110"/>
      <c r="U85" s="110"/>
      <c r="V85" s="110"/>
      <c r="W85" s="110"/>
      <c r="X85" s="110"/>
      <c r="Y85" s="110"/>
      <c r="Z85" s="110"/>
      <c r="AA85" s="110"/>
      <c r="AB85" s="110"/>
      <c r="AC85" s="110"/>
      <c r="AD85" s="110"/>
      <c r="AE85" s="110"/>
      <c r="AF85" s="110"/>
      <c r="AG85" s="110"/>
      <c r="AH85" s="110"/>
      <c r="AI85" s="110"/>
      <c r="AJ85" s="110"/>
      <c r="AK85" s="110"/>
      <c r="AL85" s="110"/>
      <c r="AM85" s="110"/>
      <c r="AN85" s="110"/>
      <c r="AO85" s="110"/>
      <c r="AP85" s="110"/>
      <c r="AQ85" s="110"/>
      <c r="AR85" s="110"/>
      <c r="AS85" s="110"/>
      <c r="AT85" s="110"/>
      <c r="AU85" s="110"/>
      <c r="AV85" s="110"/>
      <c r="AW85" s="110"/>
      <c r="AX85" s="110"/>
      <c r="AY85" s="110"/>
    </row>
    <row r="86" spans="1:52">
      <c r="A86" s="109"/>
      <c r="B86" s="130">
        <v>42</v>
      </c>
      <c r="C86" s="109" t="s">
        <v>293</v>
      </c>
      <c r="D86" s="110"/>
      <c r="E86" s="110"/>
      <c r="F86" s="110"/>
      <c r="G86" s="110"/>
      <c r="H86" s="110"/>
      <c r="I86" s="110"/>
      <c r="J86" s="110"/>
      <c r="K86" s="110"/>
      <c r="L86" s="110"/>
      <c r="M86" s="110"/>
      <c r="N86" s="110"/>
      <c r="O86" s="110"/>
      <c r="P86" s="110"/>
      <c r="Q86" s="110"/>
      <c r="R86" s="110"/>
      <c r="S86" s="110"/>
      <c r="T86" s="110"/>
      <c r="U86" s="110"/>
      <c r="V86" s="110"/>
      <c r="W86" s="110"/>
      <c r="X86" s="110"/>
      <c r="Y86" s="110"/>
      <c r="Z86" s="110"/>
      <c r="AA86" s="110"/>
      <c r="AB86" s="110"/>
      <c r="AC86" s="110"/>
      <c r="AD86" s="110"/>
      <c r="AE86" s="110"/>
      <c r="AF86" s="110"/>
      <c r="AG86" s="110"/>
      <c r="AH86" s="110"/>
      <c r="AI86" s="110"/>
      <c r="AJ86" s="110"/>
      <c r="AK86" s="110"/>
      <c r="AL86" s="110"/>
      <c r="AM86" s="110"/>
      <c r="AN86" s="110"/>
      <c r="AO86" s="110"/>
      <c r="AP86" s="110"/>
      <c r="AQ86" s="110"/>
      <c r="AR86" s="110"/>
      <c r="AS86" s="110"/>
      <c r="AT86" s="110"/>
      <c r="AU86" s="110"/>
      <c r="AV86" s="110"/>
      <c r="AW86" s="110"/>
      <c r="AX86" s="110"/>
      <c r="AY86" s="110"/>
    </row>
    <row r="87" spans="1:52">
      <c r="A87" s="109"/>
      <c r="B87" s="130">
        <v>43</v>
      </c>
      <c r="C87" s="109" t="s">
        <v>293</v>
      </c>
      <c r="D87" s="110"/>
      <c r="E87" s="110"/>
      <c r="F87" s="110"/>
      <c r="G87" s="110"/>
      <c r="H87" s="110"/>
      <c r="I87" s="110"/>
      <c r="J87" s="110"/>
      <c r="K87" s="110"/>
      <c r="L87" s="110"/>
      <c r="M87" s="110"/>
      <c r="N87" s="110"/>
      <c r="O87" s="110"/>
      <c r="P87" s="110"/>
      <c r="Q87" s="110"/>
      <c r="R87" s="110"/>
      <c r="S87" s="110"/>
      <c r="T87" s="110"/>
      <c r="U87" s="110"/>
      <c r="V87" s="110"/>
      <c r="W87" s="110"/>
      <c r="X87" s="110"/>
      <c r="Y87" s="110"/>
      <c r="Z87" s="110"/>
      <c r="AA87" s="110"/>
      <c r="AB87" s="110"/>
      <c r="AC87" s="110"/>
      <c r="AD87" s="110"/>
      <c r="AE87" s="110"/>
      <c r="AF87" s="110"/>
      <c r="AG87" s="110"/>
      <c r="AH87" s="110"/>
      <c r="AI87" s="110"/>
      <c r="AJ87" s="110"/>
      <c r="AK87" s="110"/>
      <c r="AL87" s="110"/>
      <c r="AM87" s="110"/>
      <c r="AN87" s="110"/>
      <c r="AO87" s="110"/>
      <c r="AP87" s="110"/>
      <c r="AQ87" s="110"/>
      <c r="AR87" s="110"/>
      <c r="AS87" s="110"/>
      <c r="AT87" s="110"/>
      <c r="AU87" s="110"/>
      <c r="AV87" s="110"/>
      <c r="AW87" s="110"/>
      <c r="AX87" s="110"/>
      <c r="AY87" s="110"/>
    </row>
    <row r="88" spans="1:52">
      <c r="A88" s="109"/>
      <c r="B88" s="130">
        <v>44</v>
      </c>
      <c r="C88" s="109" t="s">
        <v>293</v>
      </c>
      <c r="D88" s="110"/>
      <c r="E88" s="110"/>
      <c r="F88" s="110"/>
      <c r="G88" s="110"/>
      <c r="H88" s="110"/>
      <c r="I88" s="110"/>
      <c r="J88" s="110"/>
      <c r="K88" s="110"/>
      <c r="L88" s="110"/>
      <c r="M88" s="110"/>
      <c r="N88" s="110"/>
      <c r="O88" s="110"/>
      <c r="P88" s="110"/>
      <c r="Q88" s="110"/>
      <c r="R88" s="110"/>
      <c r="S88" s="110"/>
      <c r="T88" s="110"/>
      <c r="U88" s="110"/>
      <c r="V88" s="110"/>
      <c r="W88" s="110"/>
      <c r="X88" s="110"/>
      <c r="Y88" s="110"/>
      <c r="Z88" s="110"/>
      <c r="AA88" s="110"/>
      <c r="AB88" s="110"/>
      <c r="AC88" s="110"/>
      <c r="AD88" s="110"/>
      <c r="AE88" s="110"/>
      <c r="AF88" s="110"/>
      <c r="AG88" s="110"/>
      <c r="AH88" s="110"/>
      <c r="AI88" s="110"/>
      <c r="AJ88" s="110"/>
      <c r="AK88" s="110"/>
      <c r="AL88" s="110"/>
      <c r="AM88" s="110"/>
      <c r="AN88" s="110"/>
      <c r="AO88" s="110"/>
      <c r="AP88" s="110"/>
      <c r="AQ88" s="110"/>
      <c r="AR88" s="110"/>
      <c r="AS88" s="110"/>
      <c r="AT88" s="110"/>
      <c r="AU88" s="110"/>
      <c r="AV88" s="110"/>
      <c r="AW88" s="110"/>
      <c r="AX88" s="110"/>
      <c r="AY88" s="110"/>
    </row>
    <row r="89" spans="1:52">
      <c r="A89" s="109"/>
      <c r="B89" s="130">
        <v>45</v>
      </c>
      <c r="C89" s="109" t="s">
        <v>293</v>
      </c>
      <c r="D89" s="110"/>
      <c r="E89" s="110"/>
      <c r="F89" s="110"/>
      <c r="G89" s="110"/>
      <c r="H89" s="110"/>
      <c r="I89" s="110"/>
      <c r="J89" s="110"/>
      <c r="K89" s="110"/>
      <c r="L89" s="110"/>
      <c r="M89" s="110"/>
      <c r="N89" s="110"/>
      <c r="O89" s="110"/>
      <c r="P89" s="110"/>
      <c r="Q89" s="110"/>
      <c r="R89" s="110"/>
      <c r="S89" s="110"/>
      <c r="T89" s="110"/>
      <c r="U89" s="110"/>
      <c r="V89" s="110"/>
      <c r="W89" s="110"/>
      <c r="X89" s="110"/>
      <c r="Y89" s="110"/>
      <c r="Z89" s="110"/>
      <c r="AA89" s="110"/>
      <c r="AB89" s="110"/>
      <c r="AC89" s="110"/>
      <c r="AD89" s="110"/>
      <c r="AE89" s="110"/>
      <c r="AF89" s="110"/>
      <c r="AG89" s="110"/>
      <c r="AH89" s="110"/>
      <c r="AI89" s="110"/>
      <c r="AJ89" s="110"/>
      <c r="AK89" s="110"/>
      <c r="AL89" s="110"/>
      <c r="AM89" s="110"/>
      <c r="AN89" s="110"/>
      <c r="AO89" s="110"/>
      <c r="AP89" s="110"/>
      <c r="AQ89" s="110"/>
      <c r="AR89" s="110"/>
      <c r="AS89" s="110"/>
      <c r="AT89" s="110"/>
      <c r="AU89" s="110"/>
      <c r="AV89" s="110"/>
      <c r="AW89" s="110"/>
      <c r="AX89" s="110"/>
      <c r="AY89" s="110"/>
    </row>
    <row r="90" spans="1:52">
      <c r="A90" s="109"/>
      <c r="B90" s="130">
        <v>46</v>
      </c>
      <c r="C90" s="109" t="s">
        <v>293</v>
      </c>
      <c r="D90" s="110"/>
      <c r="E90" s="110"/>
      <c r="F90" s="110"/>
      <c r="G90" s="110"/>
      <c r="H90" s="110"/>
      <c r="I90" s="110"/>
      <c r="J90" s="110"/>
      <c r="K90" s="110"/>
      <c r="L90" s="110"/>
      <c r="M90" s="110"/>
      <c r="N90" s="110"/>
      <c r="O90" s="110"/>
      <c r="P90" s="110"/>
      <c r="Q90" s="110"/>
      <c r="R90" s="110"/>
      <c r="S90" s="110"/>
      <c r="T90" s="110"/>
      <c r="U90" s="110"/>
      <c r="V90" s="110"/>
      <c r="W90" s="110"/>
      <c r="X90" s="110"/>
      <c r="Y90" s="110"/>
      <c r="Z90" s="110"/>
      <c r="AA90" s="110"/>
      <c r="AB90" s="110"/>
      <c r="AC90" s="110"/>
      <c r="AD90" s="110"/>
      <c r="AE90" s="110"/>
      <c r="AF90" s="110"/>
      <c r="AG90" s="110"/>
      <c r="AH90" s="110"/>
      <c r="AI90" s="110"/>
      <c r="AJ90" s="110"/>
      <c r="AK90" s="110"/>
      <c r="AL90" s="110"/>
      <c r="AM90" s="110"/>
      <c r="AN90" s="110"/>
      <c r="AO90" s="110"/>
      <c r="AP90" s="110"/>
      <c r="AQ90" s="110"/>
      <c r="AR90" s="110"/>
      <c r="AS90" s="110"/>
      <c r="AT90" s="110"/>
      <c r="AU90" s="110"/>
      <c r="AV90" s="110"/>
      <c r="AW90" s="110"/>
      <c r="AX90" s="110"/>
      <c r="AY90" s="110"/>
    </row>
    <row r="91" spans="1:52">
      <c r="A91" s="109"/>
      <c r="B91" s="130">
        <v>47</v>
      </c>
      <c r="C91" s="109" t="s">
        <v>293</v>
      </c>
      <c r="D91" s="110"/>
      <c r="E91" s="110"/>
      <c r="F91" s="110"/>
      <c r="G91" s="110"/>
      <c r="H91" s="110"/>
      <c r="I91" s="110"/>
      <c r="J91" s="110"/>
      <c r="K91" s="110"/>
      <c r="L91" s="110"/>
      <c r="M91" s="110"/>
      <c r="N91" s="110"/>
      <c r="O91" s="110"/>
      <c r="P91" s="110"/>
      <c r="Q91" s="110"/>
      <c r="R91" s="110"/>
      <c r="S91" s="110"/>
      <c r="T91" s="110"/>
      <c r="U91" s="110"/>
      <c r="V91" s="110"/>
      <c r="W91" s="110"/>
      <c r="X91" s="110"/>
      <c r="Y91" s="110"/>
      <c r="Z91" s="110"/>
      <c r="AA91" s="110"/>
      <c r="AB91" s="110"/>
      <c r="AC91" s="110"/>
      <c r="AD91" s="110"/>
      <c r="AE91" s="110"/>
      <c r="AF91" s="110"/>
      <c r="AG91" s="110"/>
      <c r="AH91" s="110"/>
      <c r="AI91" s="110"/>
      <c r="AJ91" s="110"/>
      <c r="AK91" s="110"/>
      <c r="AL91" s="110"/>
      <c r="AM91" s="110"/>
      <c r="AN91" s="110"/>
      <c r="AO91" s="110"/>
      <c r="AP91" s="110"/>
      <c r="AQ91" s="110"/>
      <c r="AR91" s="110"/>
      <c r="AS91" s="110"/>
      <c r="AT91" s="110"/>
      <c r="AU91" s="110"/>
      <c r="AV91" s="110"/>
      <c r="AW91" s="110"/>
      <c r="AX91" s="110"/>
      <c r="AY91" s="110"/>
    </row>
    <row r="92" spans="1:52">
      <c r="A92" s="128"/>
      <c r="B92" s="129">
        <v>48</v>
      </c>
      <c r="C92" s="128" t="s">
        <v>293</v>
      </c>
      <c r="D92" s="125">
        <v>0</v>
      </c>
      <c r="E92" s="125">
        <v>0</v>
      </c>
      <c r="F92" s="125">
        <v>0</v>
      </c>
      <c r="G92" s="125">
        <v>0</v>
      </c>
      <c r="H92" s="125">
        <v>0</v>
      </c>
      <c r="I92" s="125">
        <v>0</v>
      </c>
      <c r="J92" s="125">
        <v>0</v>
      </c>
      <c r="K92" s="125">
        <v>0</v>
      </c>
      <c r="L92" s="125">
        <v>0</v>
      </c>
      <c r="M92" s="125">
        <v>0</v>
      </c>
      <c r="N92" s="125">
        <v>0</v>
      </c>
      <c r="O92" s="125">
        <v>0</v>
      </c>
      <c r="P92" s="125">
        <v>0</v>
      </c>
      <c r="Q92" s="125">
        <v>0</v>
      </c>
      <c r="R92" s="125">
        <v>0</v>
      </c>
      <c r="S92" s="125">
        <v>0</v>
      </c>
      <c r="T92" s="125">
        <v>0</v>
      </c>
      <c r="U92" s="125">
        <v>0</v>
      </c>
      <c r="V92" s="125">
        <v>0</v>
      </c>
      <c r="W92" s="125">
        <v>0</v>
      </c>
      <c r="X92" s="125">
        <v>0</v>
      </c>
      <c r="Y92" s="125">
        <v>0</v>
      </c>
      <c r="Z92" s="125">
        <v>0</v>
      </c>
      <c r="AA92" s="125">
        <v>0</v>
      </c>
      <c r="AB92" s="125">
        <v>0</v>
      </c>
      <c r="AC92" s="125">
        <v>0</v>
      </c>
      <c r="AD92" s="125">
        <v>0</v>
      </c>
      <c r="AE92" s="125">
        <v>0</v>
      </c>
      <c r="AF92" s="125">
        <v>0</v>
      </c>
      <c r="AG92" s="125">
        <v>0</v>
      </c>
      <c r="AH92" s="125">
        <v>0</v>
      </c>
      <c r="AI92" s="125">
        <v>0</v>
      </c>
      <c r="AJ92" s="125">
        <v>0</v>
      </c>
      <c r="AK92" s="125">
        <v>0</v>
      </c>
      <c r="AL92" s="125">
        <v>0</v>
      </c>
      <c r="AM92" s="125">
        <v>0</v>
      </c>
      <c r="AN92" s="125">
        <v>0</v>
      </c>
      <c r="AO92" s="125">
        <v>0</v>
      </c>
      <c r="AP92" s="125">
        <v>0</v>
      </c>
      <c r="AQ92" s="125">
        <v>0</v>
      </c>
      <c r="AR92" s="125">
        <v>0</v>
      </c>
      <c r="AS92" s="125">
        <v>0</v>
      </c>
      <c r="AT92" s="125">
        <v>0</v>
      </c>
      <c r="AU92" s="125">
        <v>0</v>
      </c>
      <c r="AV92" s="125">
        <v>0</v>
      </c>
      <c r="AW92" s="125">
        <v>0</v>
      </c>
      <c r="AX92" s="125">
        <v>0</v>
      </c>
      <c r="AY92" s="125">
        <v>0</v>
      </c>
      <c r="AZ92" s="107">
        <f>SUM(D21:AY92)</f>
        <v>0</v>
      </c>
    </row>
    <row r="94" spans="1:52">
      <c r="A94" s="102" t="s">
        <v>295</v>
      </c>
      <c r="B94" s="106"/>
      <c r="C94" s="106"/>
      <c r="D94" s="114"/>
      <c r="E94" s="114"/>
      <c r="F94" s="114"/>
      <c r="G94" s="114"/>
      <c r="H94" s="114"/>
      <c r="I94" s="114"/>
      <c r="J94" s="114"/>
      <c r="K94" s="114"/>
      <c r="L94" s="114"/>
      <c r="M94" s="114"/>
      <c r="N94" s="114"/>
      <c r="O94" s="114"/>
      <c r="P94" s="114"/>
      <c r="Q94" s="114"/>
      <c r="R94" s="114"/>
      <c r="S94" s="114"/>
      <c r="T94" s="114"/>
      <c r="U94" s="114"/>
      <c r="V94" s="114"/>
      <c r="W94" s="114"/>
      <c r="X94" s="114"/>
      <c r="Y94" s="114"/>
      <c r="Z94" s="114"/>
      <c r="AA94" s="114"/>
      <c r="AB94" s="114"/>
      <c r="AC94" s="114"/>
      <c r="AD94" s="114"/>
      <c r="AE94" s="114"/>
      <c r="AF94" s="114"/>
      <c r="AG94" s="114"/>
      <c r="AH94" s="114"/>
      <c r="AI94" s="114"/>
      <c r="AJ94" s="114"/>
      <c r="AK94" s="114"/>
      <c r="AL94" s="114"/>
      <c r="AM94" s="114"/>
      <c r="AN94" s="114"/>
      <c r="AO94" s="114"/>
      <c r="AP94" s="114"/>
      <c r="AQ94" s="114"/>
      <c r="AR94" s="114"/>
      <c r="AS94" s="114"/>
      <c r="AT94" s="114"/>
      <c r="AU94" s="114"/>
      <c r="AV94" s="114"/>
      <c r="AW94" s="114"/>
      <c r="AX94" s="114"/>
      <c r="AY94" s="114"/>
    </row>
    <row r="95" spans="1:52">
      <c r="A95" s="126" t="s">
        <v>125</v>
      </c>
      <c r="B95" s="123">
        <v>1</v>
      </c>
      <c r="C95" s="124">
        <v>215.15335703879308</v>
      </c>
      <c r="D95" s="110">
        <v>215.68696842992838</v>
      </c>
      <c r="E95" s="110">
        <v>215.68696842992838</v>
      </c>
      <c r="F95" s="110">
        <v>215.68696842992838</v>
      </c>
      <c r="G95" s="110">
        <v>215.68696842992838</v>
      </c>
      <c r="H95" s="110">
        <v>215.68696842992838</v>
      </c>
      <c r="I95" s="110">
        <v>215.68696842992838</v>
      </c>
      <c r="J95" s="110">
        <v>215.68696842992838</v>
      </c>
      <c r="K95" s="110">
        <v>215.68696842992838</v>
      </c>
      <c r="L95" s="110">
        <v>215.68696842992838</v>
      </c>
      <c r="M95" s="110">
        <v>215.68696842992838</v>
      </c>
      <c r="N95" s="110">
        <v>215.68696842992838</v>
      </c>
      <c r="O95" s="110">
        <v>215.68696842992838</v>
      </c>
      <c r="P95" s="110">
        <v>215.68696842992838</v>
      </c>
      <c r="Q95" s="110">
        <v>215.68696842992838</v>
      </c>
      <c r="R95" s="110">
        <v>215.68696842992838</v>
      </c>
      <c r="S95" s="110">
        <v>215.68696842992838</v>
      </c>
      <c r="T95" s="110">
        <v>215.68696842992838</v>
      </c>
      <c r="U95" s="110">
        <v>215.68696842992838</v>
      </c>
      <c r="V95" s="110">
        <v>215.68696842992838</v>
      </c>
      <c r="W95" s="110">
        <v>215.68696842992838</v>
      </c>
      <c r="X95" s="110">
        <v>215.68696842992838</v>
      </c>
      <c r="Y95" s="110">
        <v>215.68696842992838</v>
      </c>
      <c r="Z95" s="110">
        <v>215.68696842992838</v>
      </c>
      <c r="AA95" s="110">
        <v>215.68696842992838</v>
      </c>
      <c r="AB95" s="110">
        <v>215.68696842992838</v>
      </c>
      <c r="AC95" s="110">
        <v>215.68696842992838</v>
      </c>
      <c r="AD95" s="110">
        <v>215.68696842992838</v>
      </c>
      <c r="AE95" s="110">
        <v>215.68696842992838</v>
      </c>
      <c r="AF95" s="110">
        <v>215.68696842992838</v>
      </c>
      <c r="AG95" s="110">
        <v>215.68696842992838</v>
      </c>
      <c r="AH95" s="110">
        <v>215.68696842992838</v>
      </c>
      <c r="AI95" s="110">
        <v>215.68696842992838</v>
      </c>
      <c r="AJ95" s="110">
        <v>215.68696842992838</v>
      </c>
      <c r="AK95" s="110">
        <v>215.68696842992838</v>
      </c>
      <c r="AL95" s="110">
        <v>215.68696842992838</v>
      </c>
      <c r="AM95" s="110">
        <v>215.68696842992838</v>
      </c>
      <c r="AN95" s="110">
        <v>172.54957474394271</v>
      </c>
      <c r="AO95" s="110">
        <v>172.54957474394271</v>
      </c>
      <c r="AP95" s="110">
        <v>172.54957474394271</v>
      </c>
      <c r="AQ95" s="110">
        <v>172.54957474394271</v>
      </c>
      <c r="AR95" s="110">
        <v>215.68696842992838</v>
      </c>
      <c r="AS95" s="110">
        <v>215.68696842992838</v>
      </c>
      <c r="AT95" s="110">
        <v>215.68696842992838</v>
      </c>
      <c r="AU95" s="110">
        <v>215.68696842992838</v>
      </c>
      <c r="AV95" s="110">
        <v>215.68696842992838</v>
      </c>
      <c r="AW95" s="110">
        <v>215.68696842992838</v>
      </c>
      <c r="AX95" s="110">
        <v>215.68696842992838</v>
      </c>
      <c r="AY95" s="110">
        <v>215.68696842992838</v>
      </c>
    </row>
    <row r="96" spans="1:52">
      <c r="A96" s="109"/>
      <c r="B96" s="120">
        <v>2</v>
      </c>
      <c r="C96" s="110">
        <v>215.15335703879308</v>
      </c>
      <c r="D96" s="110">
        <v>215.15335703879308</v>
      </c>
      <c r="E96" s="110">
        <v>215.68696842992838</v>
      </c>
      <c r="F96" s="110">
        <v>215.68696842992838</v>
      </c>
      <c r="G96" s="110">
        <v>215.68696842992838</v>
      </c>
      <c r="H96" s="110">
        <v>215.68696842992838</v>
      </c>
      <c r="I96" s="110">
        <v>215.68696842992838</v>
      </c>
      <c r="J96" s="110">
        <v>215.68696842992838</v>
      </c>
      <c r="K96" s="110">
        <v>215.68696842992838</v>
      </c>
      <c r="L96" s="110">
        <v>215.68696842992838</v>
      </c>
      <c r="M96" s="110">
        <v>215.68696842992838</v>
      </c>
      <c r="N96" s="110">
        <v>215.68696842992838</v>
      </c>
      <c r="O96" s="110">
        <v>215.68696842992838</v>
      </c>
      <c r="P96" s="110">
        <v>215.68696842992838</v>
      </c>
      <c r="Q96" s="110">
        <v>215.68696842992838</v>
      </c>
      <c r="R96" s="110">
        <v>215.68696842992838</v>
      </c>
      <c r="S96" s="110">
        <v>215.68696842992838</v>
      </c>
      <c r="T96" s="110">
        <v>215.68696842992838</v>
      </c>
      <c r="U96" s="110">
        <v>215.68696842992838</v>
      </c>
      <c r="V96" s="110">
        <v>215.68696842992838</v>
      </c>
      <c r="W96" s="110">
        <v>215.68696842992838</v>
      </c>
      <c r="X96" s="110">
        <v>215.68696842992838</v>
      </c>
      <c r="Y96" s="110">
        <v>215.68696842992838</v>
      </c>
      <c r="Z96" s="110">
        <v>215.68696842992838</v>
      </c>
      <c r="AA96" s="110">
        <v>215.68696842992838</v>
      </c>
      <c r="AB96" s="110">
        <v>215.68696842992838</v>
      </c>
      <c r="AC96" s="110">
        <v>215.68696842992838</v>
      </c>
      <c r="AD96" s="110">
        <v>215.68696842992838</v>
      </c>
      <c r="AE96" s="110">
        <v>215.68696842992838</v>
      </c>
      <c r="AF96" s="110">
        <v>215.68696842992838</v>
      </c>
      <c r="AG96" s="110">
        <v>215.68696842992838</v>
      </c>
      <c r="AH96" s="110">
        <v>215.68696842992838</v>
      </c>
      <c r="AI96" s="110">
        <v>215.68696842992838</v>
      </c>
      <c r="AJ96" s="110">
        <v>215.68696842992838</v>
      </c>
      <c r="AK96" s="110">
        <v>215.68696842992838</v>
      </c>
      <c r="AL96" s="110">
        <v>215.68696842992838</v>
      </c>
      <c r="AM96" s="110">
        <v>215.68696842992838</v>
      </c>
      <c r="AN96" s="110">
        <v>215.68696842992838</v>
      </c>
      <c r="AO96" s="110">
        <v>172.54957474394271</v>
      </c>
      <c r="AP96" s="110">
        <v>172.54957474394271</v>
      </c>
      <c r="AQ96" s="110">
        <v>172.54957474394271</v>
      </c>
      <c r="AR96" s="110">
        <v>172.54957474394271</v>
      </c>
      <c r="AS96" s="110">
        <v>215.68696842992838</v>
      </c>
      <c r="AT96" s="110">
        <v>215.68696842992838</v>
      </c>
      <c r="AU96" s="110">
        <v>215.68696842992838</v>
      </c>
      <c r="AV96" s="110">
        <v>215.68696842992838</v>
      </c>
      <c r="AW96" s="110">
        <v>215.68696842992838</v>
      </c>
      <c r="AX96" s="110">
        <v>215.68696842992838</v>
      </c>
      <c r="AY96" s="110">
        <v>215.68696842992838</v>
      </c>
    </row>
    <row r="97" spans="1:52">
      <c r="A97" s="109"/>
      <c r="B97" s="127">
        <v>3</v>
      </c>
      <c r="C97" s="110">
        <v>215.15335703879308</v>
      </c>
      <c r="D97" s="110">
        <v>215.15335703879308</v>
      </c>
      <c r="E97" s="110">
        <v>215.15335703879308</v>
      </c>
      <c r="F97" s="110">
        <v>215.68696842992838</v>
      </c>
      <c r="G97" s="110">
        <v>215.68696842992838</v>
      </c>
      <c r="H97" s="110">
        <v>215.68696842992838</v>
      </c>
      <c r="I97" s="110">
        <v>215.68696842992838</v>
      </c>
      <c r="J97" s="110">
        <v>215.68696842992838</v>
      </c>
      <c r="K97" s="110">
        <v>215.68696842992838</v>
      </c>
      <c r="L97" s="110">
        <v>215.68696842992838</v>
      </c>
      <c r="M97" s="110">
        <v>215.68696842992838</v>
      </c>
      <c r="N97" s="110">
        <v>215.68696842992838</v>
      </c>
      <c r="O97" s="110">
        <v>215.68696842992838</v>
      </c>
      <c r="P97" s="110">
        <v>215.68696842992838</v>
      </c>
      <c r="Q97" s="110">
        <v>215.68696842992838</v>
      </c>
      <c r="R97" s="110">
        <v>215.68696842992838</v>
      </c>
      <c r="S97" s="110">
        <v>215.68696842992838</v>
      </c>
      <c r="T97" s="110">
        <v>215.68696842992838</v>
      </c>
      <c r="U97" s="110">
        <v>215.68696842992838</v>
      </c>
      <c r="V97" s="110">
        <v>215.68696842992838</v>
      </c>
      <c r="W97" s="110">
        <v>215.68696842992838</v>
      </c>
      <c r="X97" s="110">
        <v>215.68696842992838</v>
      </c>
      <c r="Y97" s="110">
        <v>215.68696842992838</v>
      </c>
      <c r="Z97" s="110">
        <v>215.68696842992838</v>
      </c>
      <c r="AA97" s="110">
        <v>215.68696842992838</v>
      </c>
      <c r="AB97" s="110">
        <v>215.68696842992838</v>
      </c>
      <c r="AC97" s="110">
        <v>215.68696842992838</v>
      </c>
      <c r="AD97" s="110">
        <v>215.68696842992838</v>
      </c>
      <c r="AE97" s="110">
        <v>215.68696842992838</v>
      </c>
      <c r="AF97" s="110">
        <v>215.68696842992838</v>
      </c>
      <c r="AG97" s="110">
        <v>215.68696842992838</v>
      </c>
      <c r="AH97" s="110">
        <v>215.68696842992838</v>
      </c>
      <c r="AI97" s="110">
        <v>215.68696842992838</v>
      </c>
      <c r="AJ97" s="110">
        <v>215.68696842992838</v>
      </c>
      <c r="AK97" s="110">
        <v>215.68696842992838</v>
      </c>
      <c r="AL97" s="110">
        <v>215.68696842992838</v>
      </c>
      <c r="AM97" s="110">
        <v>215.68696842992838</v>
      </c>
      <c r="AN97" s="110">
        <v>215.68696842992838</v>
      </c>
      <c r="AO97" s="110">
        <v>215.68696842992838</v>
      </c>
      <c r="AP97" s="110">
        <v>172.54957474394271</v>
      </c>
      <c r="AQ97" s="110">
        <v>172.54957474394271</v>
      </c>
      <c r="AR97" s="110">
        <v>172.54957474394271</v>
      </c>
      <c r="AS97" s="110">
        <v>172.54957474394271</v>
      </c>
      <c r="AT97" s="110">
        <v>215.68696842992838</v>
      </c>
      <c r="AU97" s="110">
        <v>215.68696842992838</v>
      </c>
      <c r="AV97" s="110">
        <v>215.68696842992838</v>
      </c>
      <c r="AW97" s="110">
        <v>215.68696842992838</v>
      </c>
      <c r="AX97" s="110">
        <v>215.68696842992838</v>
      </c>
      <c r="AY97" s="110">
        <v>215.68696842992838</v>
      </c>
    </row>
    <row r="98" spans="1:52">
      <c r="A98" s="109"/>
      <c r="B98" s="130">
        <v>4</v>
      </c>
      <c r="C98" s="106">
        <v>38.797186848059539</v>
      </c>
      <c r="D98" s="110">
        <v>64.950543886852614</v>
      </c>
      <c r="E98" s="110">
        <v>137.10390092564569</v>
      </c>
      <c r="F98" s="110">
        <v>185.25725796443876</v>
      </c>
      <c r="G98" s="110">
        <v>215.68696842992838</v>
      </c>
      <c r="H98" s="110">
        <v>215.68696842992838</v>
      </c>
      <c r="I98" s="110">
        <v>215.68696842992838</v>
      </c>
      <c r="J98" s="110">
        <v>215.68696842992838</v>
      </c>
      <c r="K98" s="110">
        <v>215.68696842992838</v>
      </c>
      <c r="L98" s="110">
        <v>215.68696842992838</v>
      </c>
      <c r="M98" s="110">
        <v>200.37393685985677</v>
      </c>
      <c r="N98" s="110">
        <v>215.68696842992838</v>
      </c>
      <c r="O98" s="110">
        <v>211.37393685985677</v>
      </c>
      <c r="P98" s="110">
        <v>202.06090528978515</v>
      </c>
      <c r="Q98" s="110">
        <v>212.74787371971354</v>
      </c>
      <c r="R98" s="110">
        <v>215.68696842992838</v>
      </c>
      <c r="S98" s="110">
        <v>215.68696842992838</v>
      </c>
      <c r="T98" s="110">
        <v>215.68696842992838</v>
      </c>
      <c r="U98" s="110">
        <v>215.68696842992838</v>
      </c>
      <c r="V98" s="110">
        <v>215.68696842992838</v>
      </c>
      <c r="W98" s="110">
        <v>215.68696842992838</v>
      </c>
      <c r="X98" s="110">
        <v>215.68696842992838</v>
      </c>
      <c r="Y98" s="110">
        <v>215.68696842992838</v>
      </c>
      <c r="Z98" s="110">
        <v>215.68696842992838</v>
      </c>
      <c r="AA98" s="110">
        <v>215.68696842992838</v>
      </c>
      <c r="AB98" s="110">
        <v>198.37393685985677</v>
      </c>
      <c r="AC98" s="110">
        <v>215.68696842992838</v>
      </c>
      <c r="AD98" s="110">
        <v>205.37393685985677</v>
      </c>
      <c r="AE98" s="110">
        <v>215.68696842992838</v>
      </c>
      <c r="AF98" s="110">
        <v>215.68696842992838</v>
      </c>
      <c r="AG98" s="110">
        <v>215.68696842992838</v>
      </c>
      <c r="AH98" s="110">
        <v>215.68696842992838</v>
      </c>
      <c r="AI98" s="110">
        <v>213.37393685985677</v>
      </c>
      <c r="AJ98" s="110">
        <v>215.68696842992838</v>
      </c>
      <c r="AK98" s="110">
        <v>215.68696842992838</v>
      </c>
      <c r="AL98" s="110">
        <v>215.68696842992838</v>
      </c>
      <c r="AM98" s="110">
        <v>212.37393685985677</v>
      </c>
      <c r="AN98" s="110">
        <v>215.68696842992838</v>
      </c>
      <c r="AO98" s="110">
        <v>215.68696842992838</v>
      </c>
      <c r="AP98" s="110">
        <v>215.68696842992838</v>
      </c>
      <c r="AQ98" s="110">
        <v>163.2365431738711</v>
      </c>
      <c r="AR98" s="110">
        <v>125.78611791781381</v>
      </c>
      <c r="AS98" s="110">
        <v>155.33569266175653</v>
      </c>
      <c r="AT98" s="110">
        <v>94.885267405699238</v>
      </c>
      <c r="AU98" s="110">
        <v>112.57223583562762</v>
      </c>
      <c r="AV98" s="110">
        <v>108.25920426555601</v>
      </c>
      <c r="AW98" s="110">
        <v>106.94617269548439</v>
      </c>
      <c r="AX98" s="110">
        <v>150.63314112541278</v>
      </c>
      <c r="AY98" s="110">
        <v>180.32010955534116</v>
      </c>
    </row>
    <row r="99" spans="1:52">
      <c r="A99" s="128"/>
      <c r="B99" s="132" t="s">
        <v>296</v>
      </c>
      <c r="C99" s="125">
        <v>0</v>
      </c>
      <c r="D99" s="125">
        <v>0</v>
      </c>
      <c r="E99" s="125">
        <v>0</v>
      </c>
      <c r="F99" s="125">
        <v>0</v>
      </c>
      <c r="G99" s="125">
        <v>6.2572579644387645</v>
      </c>
      <c r="H99" s="125">
        <v>78.686968429928385</v>
      </c>
      <c r="I99" s="125">
        <v>28.686968429928385</v>
      </c>
      <c r="J99" s="125">
        <v>7.6869684299283847</v>
      </c>
      <c r="K99" s="125">
        <v>73.686968429928385</v>
      </c>
      <c r="L99" s="125">
        <v>20.686968429928385</v>
      </c>
      <c r="M99" s="125">
        <v>0</v>
      </c>
      <c r="N99" s="125">
        <v>20.373936859856769</v>
      </c>
      <c r="O99" s="125">
        <v>0</v>
      </c>
      <c r="P99" s="125">
        <v>0</v>
      </c>
      <c r="Q99" s="125">
        <v>0</v>
      </c>
      <c r="R99" s="125">
        <v>37.747873719713539</v>
      </c>
      <c r="S99" s="125">
        <v>34.686968429928385</v>
      </c>
      <c r="T99" s="125">
        <v>16.686968429928385</v>
      </c>
      <c r="U99" s="125">
        <v>36.686968429928385</v>
      </c>
      <c r="V99" s="125">
        <v>39.686968429928385</v>
      </c>
      <c r="W99" s="125">
        <v>16.686968429928385</v>
      </c>
      <c r="X99" s="125">
        <v>27.686968429928385</v>
      </c>
      <c r="Y99" s="125">
        <v>46.686968429928385</v>
      </c>
      <c r="Z99" s="125">
        <v>57.686968429928385</v>
      </c>
      <c r="AA99" s="125">
        <v>8.6869684299283847</v>
      </c>
      <c r="AB99" s="125">
        <v>0</v>
      </c>
      <c r="AC99" s="125">
        <v>18.373936859856769</v>
      </c>
      <c r="AD99" s="125">
        <v>0</v>
      </c>
      <c r="AE99" s="125">
        <v>20.373936859856769</v>
      </c>
      <c r="AF99" s="125">
        <v>42.686968429928385</v>
      </c>
      <c r="AG99" s="125">
        <v>28.686968429928385</v>
      </c>
      <c r="AH99" s="125">
        <v>30.686968429928385</v>
      </c>
      <c r="AI99" s="125">
        <v>0</v>
      </c>
      <c r="AJ99" s="125">
        <v>16.373936859856769</v>
      </c>
      <c r="AK99" s="125">
        <v>5.6869684299283847</v>
      </c>
      <c r="AL99" s="125">
        <v>39.686968429928385</v>
      </c>
      <c r="AM99" s="125">
        <v>0</v>
      </c>
      <c r="AN99" s="125">
        <v>19.373936859856769</v>
      </c>
      <c r="AO99" s="125">
        <v>38.686968429928385</v>
      </c>
      <c r="AP99" s="125">
        <v>26.686968429928385</v>
      </c>
      <c r="AQ99" s="125">
        <v>0</v>
      </c>
      <c r="AR99" s="125">
        <v>0</v>
      </c>
      <c r="AS99" s="125">
        <v>0</v>
      </c>
      <c r="AT99" s="125">
        <v>0</v>
      </c>
      <c r="AU99" s="125">
        <v>0</v>
      </c>
      <c r="AV99" s="125">
        <v>0</v>
      </c>
      <c r="AW99" s="125">
        <v>0</v>
      </c>
      <c r="AX99" s="125">
        <v>0</v>
      </c>
      <c r="AY99" s="125">
        <v>0</v>
      </c>
      <c r="AZ99" s="107">
        <f>SUM($D99:$AY99)</f>
        <v>846.30115301193155</v>
      </c>
    </row>
    <row r="100" spans="1:52">
      <c r="A100" s="131" t="s">
        <v>133</v>
      </c>
      <c r="B100" s="119">
        <v>1</v>
      </c>
      <c r="C100" s="106">
        <v>153.2586411720383</v>
      </c>
      <c r="D100" s="106">
        <v>153.2586411720383</v>
      </c>
      <c r="E100" s="106">
        <v>188.42880031572949</v>
      </c>
      <c r="F100" s="106">
        <v>0</v>
      </c>
      <c r="G100" s="106">
        <v>151.14021506794327</v>
      </c>
      <c r="H100" s="106">
        <v>151.14021506794327</v>
      </c>
      <c r="I100" s="106">
        <v>151.14021506794327</v>
      </c>
      <c r="J100" s="106">
        <v>37.923800176236398</v>
      </c>
      <c r="K100" s="106">
        <v>151.14021506794327</v>
      </c>
      <c r="L100" s="106">
        <v>151.14021506794327</v>
      </c>
      <c r="M100" s="106">
        <v>0</v>
      </c>
      <c r="N100" s="106">
        <v>188.42880031572949</v>
      </c>
      <c r="O100" s="106">
        <v>151.14021506794327</v>
      </c>
      <c r="P100" s="106">
        <v>151.14021506794327</v>
      </c>
      <c r="Q100" s="106">
        <v>151.14021506794327</v>
      </c>
      <c r="R100" s="106">
        <v>151.14021506794327</v>
      </c>
      <c r="S100" s="106">
        <v>151.14021506794327</v>
      </c>
      <c r="T100" s="106">
        <v>151.14021506794327</v>
      </c>
      <c r="U100" s="106">
        <v>151.14021506794327</v>
      </c>
      <c r="V100" s="106">
        <v>151.14021506794327</v>
      </c>
      <c r="W100" s="106">
        <v>151.14021506794327</v>
      </c>
      <c r="X100" s="106">
        <v>151.14021506794327</v>
      </c>
      <c r="Y100" s="106">
        <v>151.14021506794327</v>
      </c>
      <c r="Z100" s="106">
        <v>151.14021506794327</v>
      </c>
      <c r="AA100" s="106">
        <v>151.14021506794327</v>
      </c>
      <c r="AB100" s="106">
        <v>151.14021506794327</v>
      </c>
      <c r="AC100" s="106">
        <v>37.923800176236398</v>
      </c>
      <c r="AD100" s="106">
        <v>151.14021506794327</v>
      </c>
      <c r="AE100" s="106">
        <v>37.923800176236398</v>
      </c>
      <c r="AF100" s="106">
        <v>151.14021506794327</v>
      </c>
      <c r="AG100" s="106">
        <v>37.923800176236398</v>
      </c>
      <c r="AH100" s="106">
        <v>151.14021506794327</v>
      </c>
      <c r="AI100" s="106">
        <v>151.14021506794327</v>
      </c>
      <c r="AJ100" s="106">
        <v>151.14021506794327</v>
      </c>
      <c r="AK100" s="106">
        <v>37.923800176236398</v>
      </c>
      <c r="AL100" s="106">
        <v>151.14021506794327</v>
      </c>
      <c r="AM100" s="106">
        <v>151.14021506794327</v>
      </c>
      <c r="AN100" s="106">
        <v>151.14021506794327</v>
      </c>
      <c r="AO100" s="106">
        <v>151.14021506794327</v>
      </c>
      <c r="AP100" s="106">
        <v>120.91217205435461</v>
      </c>
      <c r="AQ100" s="106">
        <v>120.91217205435461</v>
      </c>
      <c r="AR100" s="106">
        <v>120.91217205435461</v>
      </c>
      <c r="AS100" s="106">
        <v>120.91217205435461</v>
      </c>
      <c r="AT100" s="106">
        <v>151.14021506794327</v>
      </c>
      <c r="AU100" s="106">
        <v>75.847600352472796</v>
      </c>
      <c r="AV100" s="106">
        <v>132.73330061682739</v>
      </c>
      <c r="AW100" s="106">
        <v>0</v>
      </c>
      <c r="AX100" s="106">
        <v>188.42880031572949</v>
      </c>
      <c r="AY100" s="106">
        <v>0</v>
      </c>
    </row>
    <row r="101" spans="1:52">
      <c r="A101" s="109"/>
      <c r="B101" s="119">
        <v>2</v>
      </c>
      <c r="C101" s="106">
        <v>138.98161187901724</v>
      </c>
      <c r="D101" s="106">
        <v>94.240253051055532</v>
      </c>
      <c r="E101" s="106">
        <v>93.498894223093828</v>
      </c>
      <c r="F101" s="106">
        <v>126.92769453882332</v>
      </c>
      <c r="G101" s="106">
        <v>151.14021506794327</v>
      </c>
      <c r="H101" s="106">
        <v>130.28043013588655</v>
      </c>
      <c r="I101" s="106">
        <v>91.420645203829821</v>
      </c>
      <c r="J101" s="106">
        <v>53.560860271773095</v>
      </c>
      <c r="K101" s="106">
        <v>113.21641489170688</v>
      </c>
      <c r="L101" s="106">
        <v>69.356629959650149</v>
      </c>
      <c r="M101" s="106">
        <v>41.496845027593423</v>
      </c>
      <c r="N101" s="106">
        <v>0</v>
      </c>
      <c r="O101" s="106">
        <v>12.42880031572949</v>
      </c>
      <c r="P101" s="106">
        <v>0</v>
      </c>
      <c r="Q101" s="106">
        <v>0</v>
      </c>
      <c r="R101" s="106">
        <v>0</v>
      </c>
      <c r="S101" s="106">
        <v>0</v>
      </c>
      <c r="T101" s="106">
        <v>0</v>
      </c>
      <c r="U101" s="106">
        <v>0</v>
      </c>
      <c r="V101" s="106">
        <v>0</v>
      </c>
      <c r="W101" s="106">
        <v>0</v>
      </c>
      <c r="X101" s="106">
        <v>0</v>
      </c>
      <c r="Y101" s="106">
        <v>0</v>
      </c>
      <c r="Z101" s="106">
        <v>0</v>
      </c>
      <c r="AA101" s="106">
        <v>0</v>
      </c>
      <c r="AB101" s="106">
        <v>0.14021506794327365</v>
      </c>
      <c r="AC101" s="106">
        <v>0</v>
      </c>
      <c r="AD101" s="106">
        <v>0</v>
      </c>
      <c r="AE101" s="106">
        <v>0</v>
      </c>
      <c r="AF101" s="106">
        <v>113.21641489170688</v>
      </c>
      <c r="AG101" s="106">
        <v>96.356629959650149</v>
      </c>
      <c r="AH101" s="106">
        <v>113.21641489170688</v>
      </c>
      <c r="AI101" s="106">
        <v>113.35662995965015</v>
      </c>
      <c r="AJ101" s="106">
        <v>82.496845027593423</v>
      </c>
      <c r="AK101" s="106">
        <v>0</v>
      </c>
      <c r="AL101" s="106">
        <v>113.21641489170688</v>
      </c>
      <c r="AM101" s="106">
        <v>98.356629959650149</v>
      </c>
      <c r="AN101" s="106">
        <v>29.496845027593423</v>
      </c>
      <c r="AO101" s="106">
        <v>0</v>
      </c>
      <c r="AP101" s="106">
        <v>0</v>
      </c>
      <c r="AQ101" s="106">
        <v>0</v>
      </c>
      <c r="AR101" s="106">
        <v>0</v>
      </c>
      <c r="AS101" s="106">
        <v>0</v>
      </c>
      <c r="AT101" s="106">
        <v>0</v>
      </c>
      <c r="AU101" s="106">
        <v>0</v>
      </c>
      <c r="AV101" s="106">
        <v>75.292614715470478</v>
      </c>
      <c r="AW101" s="106">
        <v>41.432829783413752</v>
      </c>
      <c r="AX101" s="106">
        <v>0</v>
      </c>
      <c r="AY101" s="106">
        <v>0</v>
      </c>
    </row>
    <row r="102" spans="1:52">
      <c r="A102" s="109"/>
      <c r="B102" s="120">
        <v>3</v>
      </c>
      <c r="C102" s="106">
        <v>0</v>
      </c>
      <c r="D102" s="106">
        <v>0</v>
      </c>
      <c r="E102" s="106">
        <v>0</v>
      </c>
      <c r="F102" s="106">
        <v>0</v>
      </c>
      <c r="G102" s="106">
        <v>0</v>
      </c>
      <c r="H102" s="106">
        <v>0</v>
      </c>
      <c r="I102" s="106">
        <v>0</v>
      </c>
      <c r="J102" s="106">
        <v>0</v>
      </c>
      <c r="K102" s="106">
        <v>0</v>
      </c>
      <c r="L102" s="106">
        <v>0</v>
      </c>
      <c r="M102" s="106">
        <v>0</v>
      </c>
      <c r="N102" s="106">
        <v>0</v>
      </c>
      <c r="O102" s="106">
        <v>0</v>
      </c>
      <c r="P102" s="106">
        <v>0</v>
      </c>
      <c r="Q102" s="106">
        <v>0</v>
      </c>
      <c r="R102" s="106">
        <v>0</v>
      </c>
      <c r="S102" s="106">
        <v>0</v>
      </c>
      <c r="T102" s="106">
        <v>0</v>
      </c>
      <c r="U102" s="106">
        <v>0</v>
      </c>
      <c r="V102" s="106">
        <v>0</v>
      </c>
      <c r="W102" s="106">
        <v>0</v>
      </c>
      <c r="X102" s="106">
        <v>0</v>
      </c>
      <c r="Y102" s="106">
        <v>0</v>
      </c>
      <c r="Z102" s="106">
        <v>0</v>
      </c>
      <c r="AA102" s="106">
        <v>0</v>
      </c>
      <c r="AB102" s="106">
        <v>0</v>
      </c>
      <c r="AC102" s="106">
        <v>0</v>
      </c>
      <c r="AD102" s="106">
        <v>0</v>
      </c>
      <c r="AE102" s="106">
        <v>113.21641489170688</v>
      </c>
      <c r="AF102" s="106">
        <v>0</v>
      </c>
      <c r="AG102" s="106">
        <v>0</v>
      </c>
      <c r="AH102" s="106">
        <v>0</v>
      </c>
      <c r="AI102" s="106">
        <v>0</v>
      </c>
      <c r="AJ102" s="106">
        <v>0</v>
      </c>
      <c r="AK102" s="106">
        <v>0</v>
      </c>
      <c r="AL102" s="106">
        <v>0</v>
      </c>
      <c r="AM102" s="106">
        <v>0</v>
      </c>
      <c r="AN102" s="106">
        <v>0</v>
      </c>
      <c r="AO102" s="106">
        <v>0</v>
      </c>
      <c r="AP102" s="106">
        <v>0</v>
      </c>
      <c r="AQ102" s="106">
        <v>0</v>
      </c>
      <c r="AR102" s="106">
        <v>0</v>
      </c>
      <c r="AS102" s="106">
        <v>0</v>
      </c>
      <c r="AT102" s="106">
        <v>0</v>
      </c>
      <c r="AU102" s="106">
        <v>0</v>
      </c>
      <c r="AV102" s="106">
        <v>0</v>
      </c>
      <c r="AW102" s="106">
        <v>0</v>
      </c>
      <c r="AX102" s="106">
        <v>0</v>
      </c>
      <c r="AY102" s="106">
        <v>0</v>
      </c>
    </row>
    <row r="103" spans="1:52">
      <c r="A103" s="109"/>
      <c r="B103" s="120">
        <v>4</v>
      </c>
      <c r="C103" s="106">
        <v>0</v>
      </c>
      <c r="D103" s="106">
        <v>0</v>
      </c>
      <c r="E103" s="106">
        <v>0</v>
      </c>
      <c r="F103" s="106">
        <v>0</v>
      </c>
      <c r="G103" s="106">
        <v>0</v>
      </c>
      <c r="H103" s="106">
        <v>0</v>
      </c>
      <c r="I103" s="106">
        <v>0</v>
      </c>
      <c r="J103" s="106">
        <v>0</v>
      </c>
      <c r="K103" s="106">
        <v>0</v>
      </c>
      <c r="L103" s="106">
        <v>0</v>
      </c>
      <c r="M103" s="106">
        <v>0</v>
      </c>
      <c r="N103" s="106">
        <v>0</v>
      </c>
      <c r="O103" s="106">
        <v>0</v>
      </c>
      <c r="P103" s="106">
        <v>0</v>
      </c>
      <c r="Q103" s="106">
        <v>0</v>
      </c>
      <c r="R103" s="106">
        <v>0</v>
      </c>
      <c r="S103" s="106">
        <v>0</v>
      </c>
      <c r="T103" s="106">
        <v>0</v>
      </c>
      <c r="U103" s="106">
        <v>0</v>
      </c>
      <c r="V103" s="106">
        <v>0</v>
      </c>
      <c r="W103" s="106">
        <v>0</v>
      </c>
      <c r="X103" s="106">
        <v>0</v>
      </c>
      <c r="Y103" s="106">
        <v>0</v>
      </c>
      <c r="Z103" s="106">
        <v>0</v>
      </c>
      <c r="AA103" s="106">
        <v>0</v>
      </c>
      <c r="AB103" s="106">
        <v>0</v>
      </c>
      <c r="AC103" s="106">
        <v>0</v>
      </c>
      <c r="AD103" s="106">
        <v>0</v>
      </c>
      <c r="AE103" s="106">
        <v>0</v>
      </c>
      <c r="AF103" s="106">
        <v>0</v>
      </c>
      <c r="AG103" s="106">
        <v>0</v>
      </c>
      <c r="AH103" s="106">
        <v>0</v>
      </c>
      <c r="AI103" s="106">
        <v>0</v>
      </c>
      <c r="AJ103" s="106">
        <v>0</v>
      </c>
      <c r="AK103" s="106">
        <v>0</v>
      </c>
      <c r="AL103" s="106">
        <v>0</v>
      </c>
      <c r="AM103" s="106">
        <v>0</v>
      </c>
      <c r="AN103" s="106">
        <v>0</v>
      </c>
      <c r="AO103" s="106">
        <v>0</v>
      </c>
      <c r="AP103" s="106">
        <v>0</v>
      </c>
      <c r="AQ103" s="106">
        <v>0</v>
      </c>
      <c r="AR103" s="106">
        <v>0</v>
      </c>
      <c r="AS103" s="106">
        <v>0</v>
      </c>
      <c r="AT103" s="106">
        <v>0</v>
      </c>
      <c r="AU103" s="106">
        <v>0</v>
      </c>
      <c r="AV103" s="106">
        <v>0</v>
      </c>
      <c r="AW103" s="106">
        <v>0</v>
      </c>
      <c r="AX103" s="106">
        <v>0</v>
      </c>
      <c r="AY103" s="106">
        <v>0</v>
      </c>
    </row>
    <row r="104" spans="1:52">
      <c r="A104" s="109"/>
      <c r="B104" s="127">
        <v>5</v>
      </c>
      <c r="C104" s="106">
        <v>0</v>
      </c>
      <c r="D104" s="106">
        <v>0</v>
      </c>
      <c r="E104" s="106">
        <v>0</v>
      </c>
      <c r="F104" s="106">
        <v>0</v>
      </c>
      <c r="G104" s="106">
        <v>0</v>
      </c>
      <c r="H104" s="106">
        <v>0</v>
      </c>
      <c r="I104" s="106">
        <v>0</v>
      </c>
      <c r="J104" s="106">
        <v>0</v>
      </c>
      <c r="K104" s="106">
        <v>0</v>
      </c>
      <c r="L104" s="106">
        <v>0</v>
      </c>
      <c r="M104" s="106">
        <v>0</v>
      </c>
      <c r="N104" s="106">
        <v>0</v>
      </c>
      <c r="O104" s="106">
        <v>0</v>
      </c>
      <c r="P104" s="106">
        <v>0</v>
      </c>
      <c r="Q104" s="106">
        <v>0</v>
      </c>
      <c r="R104" s="106">
        <v>0</v>
      </c>
      <c r="S104" s="106">
        <v>0</v>
      </c>
      <c r="T104" s="106">
        <v>0</v>
      </c>
      <c r="U104" s="106">
        <v>0</v>
      </c>
      <c r="V104" s="106">
        <v>0</v>
      </c>
      <c r="W104" s="106">
        <v>0</v>
      </c>
      <c r="X104" s="106">
        <v>0</v>
      </c>
      <c r="Y104" s="106">
        <v>0</v>
      </c>
      <c r="Z104" s="106">
        <v>0</v>
      </c>
      <c r="AA104" s="106">
        <v>0</v>
      </c>
      <c r="AB104" s="106">
        <v>0</v>
      </c>
      <c r="AC104" s="106">
        <v>0</v>
      </c>
      <c r="AD104" s="106">
        <v>0</v>
      </c>
      <c r="AE104" s="106">
        <v>0</v>
      </c>
      <c r="AF104" s="106">
        <v>0</v>
      </c>
      <c r="AG104" s="106">
        <v>0</v>
      </c>
      <c r="AH104" s="106">
        <v>0</v>
      </c>
      <c r="AI104" s="106">
        <v>0</v>
      </c>
      <c r="AJ104" s="106">
        <v>0</v>
      </c>
      <c r="AK104" s="106">
        <v>0</v>
      </c>
      <c r="AL104" s="106">
        <v>0</v>
      </c>
      <c r="AM104" s="106">
        <v>0</v>
      </c>
      <c r="AN104" s="106">
        <v>0</v>
      </c>
      <c r="AO104" s="106">
        <v>0</v>
      </c>
      <c r="AP104" s="106">
        <v>0</v>
      </c>
      <c r="AQ104" s="106">
        <v>0</v>
      </c>
      <c r="AR104" s="106">
        <v>0</v>
      </c>
      <c r="AS104" s="106">
        <v>0</v>
      </c>
      <c r="AT104" s="106">
        <v>0</v>
      </c>
      <c r="AU104" s="106">
        <v>0</v>
      </c>
      <c r="AV104" s="106">
        <v>0</v>
      </c>
      <c r="AW104" s="106">
        <v>0</v>
      </c>
      <c r="AX104" s="106">
        <v>0</v>
      </c>
      <c r="AY104" s="106">
        <v>0</v>
      </c>
    </row>
    <row r="105" spans="1:52">
      <c r="A105" s="109"/>
      <c r="B105" s="127">
        <v>6</v>
      </c>
      <c r="C105" s="106">
        <v>0</v>
      </c>
      <c r="D105" s="106">
        <v>0</v>
      </c>
      <c r="E105" s="106">
        <v>0</v>
      </c>
      <c r="F105" s="106">
        <v>0</v>
      </c>
      <c r="G105" s="106">
        <v>0</v>
      </c>
      <c r="H105" s="106">
        <v>0</v>
      </c>
      <c r="I105" s="106">
        <v>0</v>
      </c>
      <c r="J105" s="106">
        <v>0</v>
      </c>
      <c r="K105" s="106">
        <v>0</v>
      </c>
      <c r="L105" s="106">
        <v>0</v>
      </c>
      <c r="M105" s="106">
        <v>0</v>
      </c>
      <c r="N105" s="106">
        <v>0</v>
      </c>
      <c r="O105" s="106">
        <v>0</v>
      </c>
      <c r="P105" s="106">
        <v>0</v>
      </c>
      <c r="Q105" s="106">
        <v>0</v>
      </c>
      <c r="R105" s="106">
        <v>0</v>
      </c>
      <c r="S105" s="106">
        <v>0</v>
      </c>
      <c r="T105" s="106">
        <v>0</v>
      </c>
      <c r="U105" s="106">
        <v>0</v>
      </c>
      <c r="V105" s="106">
        <v>0</v>
      </c>
      <c r="W105" s="106">
        <v>0</v>
      </c>
      <c r="X105" s="106">
        <v>0</v>
      </c>
      <c r="Y105" s="106">
        <v>0</v>
      </c>
      <c r="Z105" s="106">
        <v>0</v>
      </c>
      <c r="AA105" s="106">
        <v>0</v>
      </c>
      <c r="AB105" s="106">
        <v>0</v>
      </c>
      <c r="AC105" s="106">
        <v>0</v>
      </c>
      <c r="AD105" s="106">
        <v>0</v>
      </c>
      <c r="AE105" s="106">
        <v>0</v>
      </c>
      <c r="AF105" s="106">
        <v>0</v>
      </c>
      <c r="AG105" s="106">
        <v>0</v>
      </c>
      <c r="AH105" s="106">
        <v>0</v>
      </c>
      <c r="AI105" s="106">
        <v>0</v>
      </c>
      <c r="AJ105" s="106">
        <v>0</v>
      </c>
      <c r="AK105" s="106">
        <v>0</v>
      </c>
      <c r="AL105" s="106">
        <v>0</v>
      </c>
      <c r="AM105" s="106">
        <v>0</v>
      </c>
      <c r="AN105" s="106">
        <v>0</v>
      </c>
      <c r="AO105" s="106">
        <v>0</v>
      </c>
      <c r="AP105" s="106">
        <v>0</v>
      </c>
      <c r="AQ105" s="106">
        <v>0</v>
      </c>
      <c r="AR105" s="106">
        <v>0</v>
      </c>
      <c r="AS105" s="106">
        <v>0</v>
      </c>
      <c r="AT105" s="106">
        <v>0</v>
      </c>
      <c r="AU105" s="106">
        <v>0</v>
      </c>
      <c r="AV105" s="106">
        <v>0</v>
      </c>
      <c r="AW105" s="106">
        <v>0</v>
      </c>
      <c r="AX105" s="106">
        <v>0</v>
      </c>
      <c r="AY105" s="106">
        <v>0</v>
      </c>
    </row>
    <row r="106" spans="1:52">
      <c r="A106" s="109"/>
      <c r="B106" s="130">
        <v>7</v>
      </c>
      <c r="C106" s="106">
        <v>0</v>
      </c>
      <c r="D106" s="106">
        <v>0</v>
      </c>
      <c r="E106" s="106">
        <v>0</v>
      </c>
      <c r="F106" s="106">
        <v>0</v>
      </c>
      <c r="G106" s="106">
        <v>0</v>
      </c>
      <c r="H106" s="106">
        <v>0</v>
      </c>
      <c r="I106" s="106">
        <v>0</v>
      </c>
      <c r="J106" s="106">
        <v>0</v>
      </c>
      <c r="K106" s="106">
        <v>0</v>
      </c>
      <c r="L106" s="106">
        <v>0</v>
      </c>
      <c r="M106" s="106">
        <v>0</v>
      </c>
      <c r="N106" s="106">
        <v>0</v>
      </c>
      <c r="O106" s="106">
        <v>0</v>
      </c>
      <c r="P106" s="106">
        <v>0</v>
      </c>
      <c r="Q106" s="106">
        <v>0</v>
      </c>
      <c r="R106" s="106">
        <v>0</v>
      </c>
      <c r="S106" s="106">
        <v>0</v>
      </c>
      <c r="T106" s="106">
        <v>0</v>
      </c>
      <c r="U106" s="106">
        <v>0</v>
      </c>
      <c r="V106" s="106">
        <v>0</v>
      </c>
      <c r="W106" s="106">
        <v>0</v>
      </c>
      <c r="X106" s="106">
        <v>0</v>
      </c>
      <c r="Y106" s="106">
        <v>0</v>
      </c>
      <c r="Z106" s="106">
        <v>0</v>
      </c>
      <c r="AA106" s="106">
        <v>0</v>
      </c>
      <c r="AB106" s="106">
        <v>0</v>
      </c>
      <c r="AC106" s="106">
        <v>0</v>
      </c>
      <c r="AD106" s="106">
        <v>0</v>
      </c>
      <c r="AE106" s="106">
        <v>0</v>
      </c>
      <c r="AF106" s="106">
        <v>0</v>
      </c>
      <c r="AG106" s="106">
        <v>0</v>
      </c>
      <c r="AH106" s="106">
        <v>0</v>
      </c>
      <c r="AI106" s="106">
        <v>0</v>
      </c>
      <c r="AJ106" s="106">
        <v>0</v>
      </c>
      <c r="AK106" s="106">
        <v>0</v>
      </c>
      <c r="AL106" s="106">
        <v>0</v>
      </c>
      <c r="AM106" s="106">
        <v>0</v>
      </c>
      <c r="AN106" s="106">
        <v>0</v>
      </c>
      <c r="AO106" s="106">
        <v>0</v>
      </c>
      <c r="AP106" s="106">
        <v>0</v>
      </c>
      <c r="AQ106" s="106">
        <v>0</v>
      </c>
      <c r="AR106" s="106">
        <v>0</v>
      </c>
      <c r="AS106" s="106">
        <v>0</v>
      </c>
      <c r="AT106" s="106">
        <v>0</v>
      </c>
      <c r="AU106" s="106">
        <v>0</v>
      </c>
      <c r="AV106" s="106">
        <v>0</v>
      </c>
      <c r="AW106" s="106">
        <v>0</v>
      </c>
      <c r="AX106" s="106">
        <v>0</v>
      </c>
      <c r="AY106" s="106">
        <v>0</v>
      </c>
    </row>
    <row r="107" spans="1:52">
      <c r="A107" s="109"/>
      <c r="B107" s="130">
        <v>8</v>
      </c>
      <c r="C107" s="106">
        <v>0</v>
      </c>
      <c r="D107" s="106">
        <v>0</v>
      </c>
      <c r="E107" s="106">
        <v>0</v>
      </c>
      <c r="F107" s="106">
        <v>0</v>
      </c>
      <c r="G107" s="106">
        <v>0</v>
      </c>
      <c r="H107" s="106">
        <v>0</v>
      </c>
      <c r="I107" s="106">
        <v>0</v>
      </c>
      <c r="J107" s="106">
        <v>0</v>
      </c>
      <c r="K107" s="106">
        <v>0</v>
      </c>
      <c r="L107" s="106">
        <v>0</v>
      </c>
      <c r="M107" s="106">
        <v>0</v>
      </c>
      <c r="N107" s="106">
        <v>0</v>
      </c>
      <c r="O107" s="106">
        <v>0</v>
      </c>
      <c r="P107" s="106">
        <v>0</v>
      </c>
      <c r="Q107" s="106">
        <v>0</v>
      </c>
      <c r="R107" s="106">
        <v>0</v>
      </c>
      <c r="S107" s="106">
        <v>0</v>
      </c>
      <c r="T107" s="106">
        <v>0</v>
      </c>
      <c r="U107" s="106">
        <v>0</v>
      </c>
      <c r="V107" s="106">
        <v>0</v>
      </c>
      <c r="W107" s="106">
        <v>0</v>
      </c>
      <c r="X107" s="106">
        <v>0</v>
      </c>
      <c r="Y107" s="106">
        <v>0</v>
      </c>
      <c r="Z107" s="106">
        <v>0</v>
      </c>
      <c r="AA107" s="106">
        <v>0</v>
      </c>
      <c r="AB107" s="106">
        <v>0</v>
      </c>
      <c r="AC107" s="106">
        <v>0</v>
      </c>
      <c r="AD107" s="106">
        <v>0</v>
      </c>
      <c r="AE107" s="106">
        <v>0</v>
      </c>
      <c r="AF107" s="106">
        <v>0</v>
      </c>
      <c r="AG107" s="106">
        <v>0</v>
      </c>
      <c r="AH107" s="106">
        <v>0</v>
      </c>
      <c r="AI107" s="106">
        <v>0</v>
      </c>
      <c r="AJ107" s="106">
        <v>0</v>
      </c>
      <c r="AK107" s="106">
        <v>0</v>
      </c>
      <c r="AL107" s="106">
        <v>0</v>
      </c>
      <c r="AM107" s="106">
        <v>0</v>
      </c>
      <c r="AN107" s="106">
        <v>0</v>
      </c>
      <c r="AO107" s="106">
        <v>0</v>
      </c>
      <c r="AP107" s="106">
        <v>0</v>
      </c>
      <c r="AQ107" s="106">
        <v>0</v>
      </c>
      <c r="AR107" s="106">
        <v>0</v>
      </c>
      <c r="AS107" s="106">
        <v>0</v>
      </c>
      <c r="AT107" s="106">
        <v>0</v>
      </c>
      <c r="AU107" s="106">
        <v>0</v>
      </c>
      <c r="AV107" s="106">
        <v>0</v>
      </c>
      <c r="AW107" s="106">
        <v>0</v>
      </c>
      <c r="AX107" s="106">
        <v>0</v>
      </c>
      <c r="AY107" s="106">
        <v>0</v>
      </c>
    </row>
    <row r="108" spans="1:52">
      <c r="A108" s="128"/>
      <c r="B108" s="132" t="s">
        <v>296</v>
      </c>
      <c r="C108" s="114">
        <v>0</v>
      </c>
      <c r="D108" s="125">
        <v>0</v>
      </c>
      <c r="E108" s="125">
        <v>0</v>
      </c>
      <c r="F108" s="125">
        <v>0</v>
      </c>
      <c r="G108" s="125">
        <v>0</v>
      </c>
      <c r="H108" s="125">
        <v>0</v>
      </c>
      <c r="I108" s="125">
        <v>0</v>
      </c>
      <c r="J108" s="125">
        <v>0</v>
      </c>
      <c r="K108" s="125">
        <v>0</v>
      </c>
      <c r="L108" s="125">
        <v>0</v>
      </c>
      <c r="M108" s="125">
        <v>0</v>
      </c>
      <c r="N108" s="125">
        <v>0</v>
      </c>
      <c r="O108" s="125">
        <v>0</v>
      </c>
      <c r="P108" s="125">
        <v>0</v>
      </c>
      <c r="Q108" s="125">
        <v>0</v>
      </c>
      <c r="R108" s="125">
        <v>0</v>
      </c>
      <c r="S108" s="125">
        <v>0</v>
      </c>
      <c r="T108" s="125">
        <v>0</v>
      </c>
      <c r="U108" s="125">
        <v>0</v>
      </c>
      <c r="V108" s="125">
        <v>0</v>
      </c>
      <c r="W108" s="125">
        <v>0</v>
      </c>
      <c r="X108" s="125">
        <v>0</v>
      </c>
      <c r="Y108" s="125">
        <v>0</v>
      </c>
      <c r="Z108" s="125">
        <v>0</v>
      </c>
      <c r="AA108" s="125">
        <v>0</v>
      </c>
      <c r="AB108" s="125">
        <v>0</v>
      </c>
      <c r="AC108" s="125">
        <v>0</v>
      </c>
      <c r="AD108" s="125">
        <v>0</v>
      </c>
      <c r="AE108" s="125">
        <v>0</v>
      </c>
      <c r="AF108" s="125">
        <v>0</v>
      </c>
      <c r="AG108" s="125">
        <v>0</v>
      </c>
      <c r="AH108" s="125">
        <v>0</v>
      </c>
      <c r="AI108" s="125">
        <v>0</v>
      </c>
      <c r="AJ108" s="125">
        <v>0</v>
      </c>
      <c r="AK108" s="125">
        <v>0</v>
      </c>
      <c r="AL108" s="125">
        <v>0</v>
      </c>
      <c r="AM108" s="125">
        <v>0</v>
      </c>
      <c r="AN108" s="125">
        <v>0</v>
      </c>
      <c r="AO108" s="125">
        <v>0</v>
      </c>
      <c r="AP108" s="125">
        <v>0</v>
      </c>
      <c r="AQ108" s="125">
        <v>0</v>
      </c>
      <c r="AR108" s="125">
        <v>0</v>
      </c>
      <c r="AS108" s="125">
        <v>0</v>
      </c>
      <c r="AT108" s="125">
        <v>0</v>
      </c>
      <c r="AU108" s="125">
        <v>0</v>
      </c>
      <c r="AV108" s="125">
        <v>0</v>
      </c>
      <c r="AW108" s="125">
        <v>0</v>
      </c>
      <c r="AX108" s="125">
        <v>0</v>
      </c>
      <c r="AY108" s="125">
        <v>0</v>
      </c>
      <c r="AZ108" s="107">
        <f>SUM($D108:$AY108)</f>
        <v>0</v>
      </c>
    </row>
    <row r="109" spans="1:52">
      <c r="A109" s="131" t="s">
        <v>134</v>
      </c>
      <c r="B109" s="119">
        <v>1</v>
      </c>
      <c r="C109" s="106">
        <v>29.9881925505528</v>
      </c>
      <c r="D109" s="106">
        <v>156.04720645243034</v>
      </c>
      <c r="E109" s="106">
        <v>140.87139429530691</v>
      </c>
      <c r="F109" s="106">
        <v>108.5016202379696</v>
      </c>
      <c r="G109" s="106">
        <v>54.953085402455926</v>
      </c>
      <c r="H109" s="106">
        <v>127.03020115095447</v>
      </c>
      <c r="I109" s="106">
        <v>90.991643276705204</v>
      </c>
      <c r="J109" s="106">
        <v>90.991643276705204</v>
      </c>
      <c r="K109" s="106">
        <v>63.995808193662548</v>
      </c>
      <c r="L109" s="106">
        <v>117.98747835974785</v>
      </c>
      <c r="M109" s="106">
        <v>90.991643276705204</v>
      </c>
      <c r="N109" s="106">
        <v>54.953085402455926</v>
      </c>
      <c r="O109" s="106">
        <v>99.882902541468852</v>
      </c>
      <c r="P109" s="106">
        <v>90.991643276705204</v>
      </c>
      <c r="Q109" s="106">
        <v>90.991643276705204</v>
      </c>
      <c r="R109" s="106">
        <v>90.991643276705204</v>
      </c>
      <c r="S109" s="106">
        <v>90.991643276705204</v>
      </c>
      <c r="T109" s="106">
        <v>90.991643276705204</v>
      </c>
      <c r="U109" s="106">
        <v>90.991643276705204</v>
      </c>
      <c r="V109" s="106">
        <v>90.991643276705204</v>
      </c>
      <c r="W109" s="106">
        <v>90.991643276705204</v>
      </c>
      <c r="X109" s="106">
        <v>90.991643276705204</v>
      </c>
      <c r="Y109" s="106">
        <v>90.991643276705204</v>
      </c>
      <c r="Z109" s="106">
        <v>90.991643276705204</v>
      </c>
      <c r="AA109" s="106">
        <v>90.991643276705204</v>
      </c>
      <c r="AB109" s="106">
        <v>90.991643276705204</v>
      </c>
      <c r="AC109" s="106">
        <v>90.991643276705204</v>
      </c>
      <c r="AD109" s="106">
        <v>63.995808193662548</v>
      </c>
      <c r="AE109" s="106">
        <v>90.991643276705204</v>
      </c>
      <c r="AF109" s="106">
        <v>90.991643276705204</v>
      </c>
      <c r="AG109" s="106">
        <v>117.98747835974785</v>
      </c>
      <c r="AH109" s="106">
        <v>63.995808193662548</v>
      </c>
      <c r="AI109" s="106">
        <v>117.98747835974785</v>
      </c>
      <c r="AJ109" s="106">
        <v>90.991643276705204</v>
      </c>
      <c r="AK109" s="106">
        <v>90.991643276705204</v>
      </c>
      <c r="AL109" s="106">
        <v>63.995808193662548</v>
      </c>
      <c r="AM109" s="106">
        <v>117.98747835974785</v>
      </c>
      <c r="AN109" s="106">
        <v>90.991643276705204</v>
      </c>
      <c r="AO109" s="106">
        <v>90.991643276705204</v>
      </c>
      <c r="AP109" s="106">
        <v>90.991643276705204</v>
      </c>
      <c r="AQ109" s="106">
        <v>83.783931701855352</v>
      </c>
      <c r="AR109" s="106">
        <v>83.783931701855337</v>
      </c>
      <c r="AS109" s="106">
        <v>83.783931701855352</v>
      </c>
      <c r="AT109" s="106">
        <v>83.783931701855337</v>
      </c>
      <c r="AU109" s="106">
        <v>90.991643276705204</v>
      </c>
      <c r="AV109" s="106">
        <v>73.038530984869155</v>
      </c>
      <c r="AW109" s="106">
        <v>104.55572746351511</v>
      </c>
      <c r="AX109" s="106">
        <v>59.342113507482054</v>
      </c>
      <c r="AY109" s="106">
        <v>99.882902541468852</v>
      </c>
    </row>
    <row r="110" spans="1:52">
      <c r="A110" s="109"/>
      <c r="B110" s="119">
        <v>2</v>
      </c>
      <c r="C110" s="106">
        <v>0</v>
      </c>
      <c r="D110" s="106">
        <v>0</v>
      </c>
      <c r="E110" s="106">
        <v>12.047206452430345</v>
      </c>
      <c r="F110" s="106">
        <v>13.918600747737258</v>
      </c>
      <c r="G110" s="106">
        <v>0</v>
      </c>
      <c r="H110" s="106">
        <v>0</v>
      </c>
      <c r="I110" s="106">
        <v>0</v>
      </c>
      <c r="J110" s="106">
        <v>0</v>
      </c>
      <c r="K110" s="106">
        <v>0</v>
      </c>
      <c r="L110" s="106">
        <v>0</v>
      </c>
      <c r="M110" s="106">
        <v>0</v>
      </c>
      <c r="N110" s="106">
        <v>0</v>
      </c>
      <c r="O110" s="106">
        <v>0</v>
      </c>
      <c r="P110" s="106">
        <v>0</v>
      </c>
      <c r="Q110" s="106">
        <v>0</v>
      </c>
      <c r="R110" s="106">
        <v>0</v>
      </c>
      <c r="S110" s="106">
        <v>0</v>
      </c>
      <c r="T110" s="106">
        <v>0</v>
      </c>
      <c r="U110" s="106">
        <v>0</v>
      </c>
      <c r="V110" s="106">
        <v>0</v>
      </c>
      <c r="W110" s="106">
        <v>0</v>
      </c>
      <c r="X110" s="106">
        <v>0</v>
      </c>
      <c r="Y110" s="106">
        <v>0</v>
      </c>
      <c r="Z110" s="106">
        <v>0</v>
      </c>
      <c r="AA110" s="106">
        <v>0</v>
      </c>
      <c r="AB110" s="106">
        <v>0</v>
      </c>
      <c r="AC110" s="106">
        <v>0</v>
      </c>
      <c r="AD110" s="106">
        <v>0</v>
      </c>
      <c r="AE110" s="106">
        <v>0</v>
      </c>
      <c r="AF110" s="106">
        <v>0</v>
      </c>
      <c r="AG110" s="106">
        <v>0</v>
      </c>
      <c r="AH110" s="106">
        <v>0.48699505458576198</v>
      </c>
      <c r="AI110" s="106">
        <v>7.1054273576010019E-15</v>
      </c>
      <c r="AJ110" s="106">
        <v>0</v>
      </c>
      <c r="AK110" s="106">
        <v>0</v>
      </c>
      <c r="AL110" s="106">
        <v>0</v>
      </c>
      <c r="AM110" s="106">
        <v>0</v>
      </c>
      <c r="AN110" s="106">
        <v>0</v>
      </c>
      <c r="AO110" s="106">
        <v>0</v>
      </c>
      <c r="AP110" s="106">
        <v>0</v>
      </c>
      <c r="AQ110" s="106">
        <v>0</v>
      </c>
      <c r="AR110" s="106">
        <v>0</v>
      </c>
      <c r="AS110" s="106">
        <v>0</v>
      </c>
      <c r="AT110" s="106">
        <v>0</v>
      </c>
      <c r="AU110" s="106">
        <v>0</v>
      </c>
      <c r="AV110" s="106">
        <v>0</v>
      </c>
      <c r="AW110" s="106">
        <v>0</v>
      </c>
      <c r="AX110" s="106">
        <v>0</v>
      </c>
      <c r="AY110" s="106">
        <v>0</v>
      </c>
    </row>
    <row r="111" spans="1:52">
      <c r="A111" s="109"/>
      <c r="B111" s="119">
        <v>3</v>
      </c>
      <c r="C111" s="106">
        <v>0</v>
      </c>
      <c r="D111" s="106">
        <v>0</v>
      </c>
      <c r="E111" s="106">
        <v>0</v>
      </c>
      <c r="F111" s="106">
        <v>0</v>
      </c>
      <c r="G111" s="106">
        <v>0</v>
      </c>
      <c r="H111" s="106">
        <v>0</v>
      </c>
      <c r="I111" s="106">
        <v>0</v>
      </c>
      <c r="J111" s="106">
        <v>0</v>
      </c>
      <c r="K111" s="106">
        <v>0</v>
      </c>
      <c r="L111" s="106">
        <v>0</v>
      </c>
      <c r="M111" s="106">
        <v>0</v>
      </c>
      <c r="N111" s="106">
        <v>0</v>
      </c>
      <c r="O111" s="106">
        <v>0</v>
      </c>
      <c r="P111" s="106">
        <v>0</v>
      </c>
      <c r="Q111" s="106">
        <v>0</v>
      </c>
      <c r="R111" s="106">
        <v>0</v>
      </c>
      <c r="S111" s="106">
        <v>0</v>
      </c>
      <c r="T111" s="106">
        <v>0</v>
      </c>
      <c r="U111" s="106">
        <v>0</v>
      </c>
      <c r="V111" s="106">
        <v>0</v>
      </c>
      <c r="W111" s="106">
        <v>0</v>
      </c>
      <c r="X111" s="106">
        <v>0</v>
      </c>
      <c r="Y111" s="106">
        <v>0</v>
      </c>
      <c r="Z111" s="106">
        <v>0</v>
      </c>
      <c r="AA111" s="106">
        <v>0</v>
      </c>
      <c r="AB111" s="106">
        <v>0</v>
      </c>
      <c r="AC111" s="106">
        <v>0</v>
      </c>
      <c r="AD111" s="106">
        <v>0</v>
      </c>
      <c r="AE111" s="106">
        <v>0</v>
      </c>
      <c r="AF111" s="106">
        <v>0</v>
      </c>
      <c r="AG111" s="106">
        <v>0</v>
      </c>
      <c r="AH111" s="106">
        <v>0</v>
      </c>
      <c r="AI111" s="106">
        <v>0</v>
      </c>
      <c r="AJ111" s="106">
        <v>0</v>
      </c>
      <c r="AK111" s="106">
        <v>0</v>
      </c>
      <c r="AL111" s="106">
        <v>0</v>
      </c>
      <c r="AM111" s="106">
        <v>0</v>
      </c>
      <c r="AN111" s="106">
        <v>0</v>
      </c>
      <c r="AO111" s="106">
        <v>0</v>
      </c>
      <c r="AP111" s="106">
        <v>0</v>
      </c>
      <c r="AQ111" s="106">
        <v>0</v>
      </c>
      <c r="AR111" s="106">
        <v>0</v>
      </c>
      <c r="AS111" s="106">
        <v>0</v>
      </c>
      <c r="AT111" s="106">
        <v>0</v>
      </c>
      <c r="AU111" s="106">
        <v>0</v>
      </c>
      <c r="AV111" s="106">
        <v>0</v>
      </c>
      <c r="AW111" s="106">
        <v>0</v>
      </c>
      <c r="AX111" s="106">
        <v>0</v>
      </c>
      <c r="AY111" s="106">
        <v>0</v>
      </c>
    </row>
    <row r="112" spans="1:52">
      <c r="A112" s="109"/>
      <c r="B112" s="120">
        <v>4</v>
      </c>
      <c r="C112" s="106">
        <v>0</v>
      </c>
      <c r="D112" s="106">
        <v>0</v>
      </c>
      <c r="E112" s="106">
        <v>0</v>
      </c>
      <c r="F112" s="106">
        <v>0</v>
      </c>
      <c r="G112" s="106">
        <v>0</v>
      </c>
      <c r="H112" s="106">
        <v>0</v>
      </c>
      <c r="I112" s="106">
        <v>0</v>
      </c>
      <c r="J112" s="106">
        <v>0</v>
      </c>
      <c r="K112" s="106">
        <v>0</v>
      </c>
      <c r="L112" s="106">
        <v>0</v>
      </c>
      <c r="M112" s="106">
        <v>0</v>
      </c>
      <c r="N112" s="106">
        <v>0</v>
      </c>
      <c r="O112" s="106">
        <v>0</v>
      </c>
      <c r="P112" s="106">
        <v>0</v>
      </c>
      <c r="Q112" s="106">
        <v>0</v>
      </c>
      <c r="R112" s="106">
        <v>0</v>
      </c>
      <c r="S112" s="106">
        <v>0</v>
      </c>
      <c r="T112" s="106">
        <v>0</v>
      </c>
      <c r="U112" s="106">
        <v>0</v>
      </c>
      <c r="V112" s="106">
        <v>0</v>
      </c>
      <c r="W112" s="106">
        <v>0</v>
      </c>
      <c r="X112" s="106">
        <v>0</v>
      </c>
      <c r="Y112" s="106">
        <v>0</v>
      </c>
      <c r="Z112" s="106">
        <v>0</v>
      </c>
      <c r="AA112" s="106">
        <v>0</v>
      </c>
      <c r="AB112" s="106">
        <v>0</v>
      </c>
      <c r="AC112" s="106">
        <v>0</v>
      </c>
      <c r="AD112" s="106">
        <v>0</v>
      </c>
      <c r="AE112" s="106">
        <v>0</v>
      </c>
      <c r="AF112" s="106">
        <v>0</v>
      </c>
      <c r="AG112" s="106">
        <v>0</v>
      </c>
      <c r="AH112" s="106">
        <v>0</v>
      </c>
      <c r="AI112" s="106">
        <v>0</v>
      </c>
      <c r="AJ112" s="106">
        <v>0</v>
      </c>
      <c r="AK112" s="106">
        <v>0</v>
      </c>
      <c r="AL112" s="106">
        <v>0</v>
      </c>
      <c r="AM112" s="106">
        <v>0</v>
      </c>
      <c r="AN112" s="106">
        <v>0</v>
      </c>
      <c r="AO112" s="106">
        <v>0</v>
      </c>
      <c r="AP112" s="106">
        <v>0</v>
      </c>
      <c r="AQ112" s="106">
        <v>0</v>
      </c>
      <c r="AR112" s="106">
        <v>0</v>
      </c>
      <c r="AS112" s="106">
        <v>0</v>
      </c>
      <c r="AT112" s="106">
        <v>0</v>
      </c>
      <c r="AU112" s="106">
        <v>0</v>
      </c>
      <c r="AV112" s="106">
        <v>0</v>
      </c>
      <c r="AW112" s="106">
        <v>0</v>
      </c>
      <c r="AX112" s="106">
        <v>0</v>
      </c>
      <c r="AY112" s="106">
        <v>0</v>
      </c>
    </row>
    <row r="113" spans="1:52">
      <c r="A113" s="109"/>
      <c r="B113" s="120">
        <v>5</v>
      </c>
      <c r="C113" s="106">
        <v>0</v>
      </c>
      <c r="D113" s="106">
        <v>0</v>
      </c>
      <c r="E113" s="106">
        <v>0</v>
      </c>
      <c r="F113" s="106">
        <v>0</v>
      </c>
      <c r="G113" s="106">
        <v>0</v>
      </c>
      <c r="H113" s="106">
        <v>0</v>
      </c>
      <c r="I113" s="106">
        <v>0</v>
      </c>
      <c r="J113" s="106">
        <v>0</v>
      </c>
      <c r="K113" s="106">
        <v>0</v>
      </c>
      <c r="L113" s="106">
        <v>0</v>
      </c>
      <c r="M113" s="106">
        <v>0</v>
      </c>
      <c r="N113" s="106">
        <v>0</v>
      </c>
      <c r="O113" s="106">
        <v>0</v>
      </c>
      <c r="P113" s="106">
        <v>0</v>
      </c>
      <c r="Q113" s="106">
        <v>0</v>
      </c>
      <c r="R113" s="106">
        <v>0</v>
      </c>
      <c r="S113" s="106">
        <v>0</v>
      </c>
      <c r="T113" s="106">
        <v>0</v>
      </c>
      <c r="U113" s="106">
        <v>0</v>
      </c>
      <c r="V113" s="106">
        <v>0</v>
      </c>
      <c r="W113" s="106">
        <v>0</v>
      </c>
      <c r="X113" s="106">
        <v>0</v>
      </c>
      <c r="Y113" s="106">
        <v>0</v>
      </c>
      <c r="Z113" s="106">
        <v>0</v>
      </c>
      <c r="AA113" s="106">
        <v>0</v>
      </c>
      <c r="AB113" s="106">
        <v>0</v>
      </c>
      <c r="AC113" s="106">
        <v>0</v>
      </c>
      <c r="AD113" s="106">
        <v>0</v>
      </c>
      <c r="AE113" s="106">
        <v>0</v>
      </c>
      <c r="AF113" s="106">
        <v>0</v>
      </c>
      <c r="AG113" s="106">
        <v>0</v>
      </c>
      <c r="AH113" s="106">
        <v>0</v>
      </c>
      <c r="AI113" s="106">
        <v>0</v>
      </c>
      <c r="AJ113" s="106">
        <v>0</v>
      </c>
      <c r="AK113" s="106">
        <v>0</v>
      </c>
      <c r="AL113" s="106">
        <v>0</v>
      </c>
      <c r="AM113" s="106">
        <v>0</v>
      </c>
      <c r="AN113" s="106">
        <v>0</v>
      </c>
      <c r="AO113" s="106">
        <v>0</v>
      </c>
      <c r="AP113" s="106">
        <v>0</v>
      </c>
      <c r="AQ113" s="106">
        <v>0</v>
      </c>
      <c r="AR113" s="106">
        <v>0</v>
      </c>
      <c r="AS113" s="106">
        <v>0</v>
      </c>
      <c r="AT113" s="106">
        <v>0</v>
      </c>
      <c r="AU113" s="106">
        <v>0</v>
      </c>
      <c r="AV113" s="106">
        <v>0</v>
      </c>
      <c r="AW113" s="106">
        <v>0</v>
      </c>
      <c r="AX113" s="106">
        <v>0</v>
      </c>
      <c r="AY113" s="106">
        <v>0</v>
      </c>
    </row>
    <row r="114" spans="1:52">
      <c r="A114" s="109"/>
      <c r="B114" s="120">
        <v>6</v>
      </c>
      <c r="C114" s="106">
        <v>0</v>
      </c>
      <c r="D114" s="106">
        <v>0</v>
      </c>
      <c r="E114" s="106">
        <v>0</v>
      </c>
      <c r="F114" s="106">
        <v>0</v>
      </c>
      <c r="G114" s="106">
        <v>0</v>
      </c>
      <c r="H114" s="106">
        <v>0</v>
      </c>
      <c r="I114" s="106">
        <v>0</v>
      </c>
      <c r="J114" s="106">
        <v>0</v>
      </c>
      <c r="K114" s="106">
        <v>0</v>
      </c>
      <c r="L114" s="106">
        <v>0</v>
      </c>
      <c r="M114" s="106">
        <v>0</v>
      </c>
      <c r="N114" s="106">
        <v>0</v>
      </c>
      <c r="O114" s="106">
        <v>0</v>
      </c>
      <c r="P114" s="106">
        <v>0</v>
      </c>
      <c r="Q114" s="106">
        <v>0</v>
      </c>
      <c r="R114" s="106">
        <v>0</v>
      </c>
      <c r="S114" s="106">
        <v>0</v>
      </c>
      <c r="T114" s="106">
        <v>0</v>
      </c>
      <c r="U114" s="106">
        <v>0</v>
      </c>
      <c r="V114" s="106">
        <v>0</v>
      </c>
      <c r="W114" s="106">
        <v>0</v>
      </c>
      <c r="X114" s="106">
        <v>0</v>
      </c>
      <c r="Y114" s="106">
        <v>0</v>
      </c>
      <c r="Z114" s="106">
        <v>0</v>
      </c>
      <c r="AA114" s="106">
        <v>0</v>
      </c>
      <c r="AB114" s="106">
        <v>0</v>
      </c>
      <c r="AC114" s="106">
        <v>0</v>
      </c>
      <c r="AD114" s="106">
        <v>0</v>
      </c>
      <c r="AE114" s="106">
        <v>0</v>
      </c>
      <c r="AF114" s="106">
        <v>0</v>
      </c>
      <c r="AG114" s="106">
        <v>0</v>
      </c>
      <c r="AH114" s="106">
        <v>0</v>
      </c>
      <c r="AI114" s="106">
        <v>0</v>
      </c>
      <c r="AJ114" s="106">
        <v>0</v>
      </c>
      <c r="AK114" s="106">
        <v>0</v>
      </c>
      <c r="AL114" s="106">
        <v>0</v>
      </c>
      <c r="AM114" s="106">
        <v>0</v>
      </c>
      <c r="AN114" s="106">
        <v>0</v>
      </c>
      <c r="AO114" s="106">
        <v>0</v>
      </c>
      <c r="AP114" s="106">
        <v>0</v>
      </c>
      <c r="AQ114" s="106">
        <v>0</v>
      </c>
      <c r="AR114" s="106">
        <v>0</v>
      </c>
      <c r="AS114" s="106">
        <v>0</v>
      </c>
      <c r="AT114" s="106">
        <v>0</v>
      </c>
      <c r="AU114" s="106">
        <v>0</v>
      </c>
      <c r="AV114" s="106">
        <v>0</v>
      </c>
      <c r="AW114" s="106">
        <v>0</v>
      </c>
      <c r="AX114" s="106">
        <v>0</v>
      </c>
      <c r="AY114" s="106">
        <v>0</v>
      </c>
    </row>
    <row r="115" spans="1:52">
      <c r="A115" s="109"/>
      <c r="B115" s="127">
        <v>7</v>
      </c>
      <c r="C115" s="106">
        <v>0</v>
      </c>
      <c r="D115" s="106">
        <v>0</v>
      </c>
      <c r="E115" s="106">
        <v>0</v>
      </c>
      <c r="F115" s="106">
        <v>0</v>
      </c>
      <c r="G115" s="106">
        <v>0</v>
      </c>
      <c r="H115" s="106">
        <v>0</v>
      </c>
      <c r="I115" s="106">
        <v>0</v>
      </c>
      <c r="J115" s="106">
        <v>0</v>
      </c>
      <c r="K115" s="106">
        <v>0</v>
      </c>
      <c r="L115" s="106">
        <v>0</v>
      </c>
      <c r="M115" s="106">
        <v>0</v>
      </c>
      <c r="N115" s="106">
        <v>0</v>
      </c>
      <c r="O115" s="106">
        <v>0</v>
      </c>
      <c r="P115" s="106">
        <v>0</v>
      </c>
      <c r="Q115" s="106">
        <v>0</v>
      </c>
      <c r="R115" s="106">
        <v>0</v>
      </c>
      <c r="S115" s="106">
        <v>0</v>
      </c>
      <c r="T115" s="106">
        <v>0</v>
      </c>
      <c r="U115" s="106">
        <v>0</v>
      </c>
      <c r="V115" s="106">
        <v>0</v>
      </c>
      <c r="W115" s="106">
        <v>0</v>
      </c>
      <c r="X115" s="106">
        <v>0</v>
      </c>
      <c r="Y115" s="106">
        <v>0</v>
      </c>
      <c r="Z115" s="106">
        <v>0</v>
      </c>
      <c r="AA115" s="106">
        <v>0</v>
      </c>
      <c r="AB115" s="106">
        <v>0</v>
      </c>
      <c r="AC115" s="106">
        <v>0</v>
      </c>
      <c r="AD115" s="106">
        <v>0</v>
      </c>
      <c r="AE115" s="106">
        <v>0</v>
      </c>
      <c r="AF115" s="106">
        <v>0</v>
      </c>
      <c r="AG115" s="106">
        <v>0</v>
      </c>
      <c r="AH115" s="106">
        <v>0</v>
      </c>
      <c r="AI115" s="106">
        <v>0</v>
      </c>
      <c r="AJ115" s="106">
        <v>0</v>
      </c>
      <c r="AK115" s="106">
        <v>0</v>
      </c>
      <c r="AL115" s="106">
        <v>0</v>
      </c>
      <c r="AM115" s="106">
        <v>0</v>
      </c>
      <c r="AN115" s="106">
        <v>0</v>
      </c>
      <c r="AO115" s="106">
        <v>0</v>
      </c>
      <c r="AP115" s="106">
        <v>0</v>
      </c>
      <c r="AQ115" s="106">
        <v>0</v>
      </c>
      <c r="AR115" s="106">
        <v>0</v>
      </c>
      <c r="AS115" s="106">
        <v>0</v>
      </c>
      <c r="AT115" s="106">
        <v>0</v>
      </c>
      <c r="AU115" s="106">
        <v>0</v>
      </c>
      <c r="AV115" s="106">
        <v>0</v>
      </c>
      <c r="AW115" s="106">
        <v>0</v>
      </c>
      <c r="AX115" s="106">
        <v>0</v>
      </c>
      <c r="AY115" s="106">
        <v>0</v>
      </c>
    </row>
    <row r="116" spans="1:52">
      <c r="A116" s="109"/>
      <c r="B116" s="127">
        <v>8</v>
      </c>
      <c r="C116" s="106">
        <v>0</v>
      </c>
      <c r="D116" s="106">
        <v>0</v>
      </c>
      <c r="E116" s="106">
        <v>0</v>
      </c>
      <c r="F116" s="106">
        <v>0</v>
      </c>
      <c r="G116" s="106">
        <v>0</v>
      </c>
      <c r="H116" s="106">
        <v>0</v>
      </c>
      <c r="I116" s="106">
        <v>0</v>
      </c>
      <c r="J116" s="106">
        <v>0</v>
      </c>
      <c r="K116" s="106">
        <v>0</v>
      </c>
      <c r="L116" s="106">
        <v>0</v>
      </c>
      <c r="M116" s="106">
        <v>0</v>
      </c>
      <c r="N116" s="106">
        <v>0</v>
      </c>
      <c r="O116" s="106">
        <v>0</v>
      </c>
      <c r="P116" s="106">
        <v>0</v>
      </c>
      <c r="Q116" s="106">
        <v>0</v>
      </c>
      <c r="R116" s="106">
        <v>0</v>
      </c>
      <c r="S116" s="106">
        <v>0</v>
      </c>
      <c r="T116" s="106">
        <v>0</v>
      </c>
      <c r="U116" s="106">
        <v>0</v>
      </c>
      <c r="V116" s="106">
        <v>0</v>
      </c>
      <c r="W116" s="106">
        <v>0</v>
      </c>
      <c r="X116" s="106">
        <v>0</v>
      </c>
      <c r="Y116" s="106">
        <v>0</v>
      </c>
      <c r="Z116" s="106">
        <v>0</v>
      </c>
      <c r="AA116" s="106">
        <v>0</v>
      </c>
      <c r="AB116" s="106">
        <v>0</v>
      </c>
      <c r="AC116" s="106">
        <v>0</v>
      </c>
      <c r="AD116" s="106">
        <v>0</v>
      </c>
      <c r="AE116" s="106">
        <v>0</v>
      </c>
      <c r="AF116" s="106">
        <v>0</v>
      </c>
      <c r="AG116" s="106">
        <v>0</v>
      </c>
      <c r="AH116" s="106">
        <v>0</v>
      </c>
      <c r="AI116" s="106">
        <v>0</v>
      </c>
      <c r="AJ116" s="106">
        <v>0</v>
      </c>
      <c r="AK116" s="106">
        <v>0</v>
      </c>
      <c r="AL116" s="106">
        <v>0</v>
      </c>
      <c r="AM116" s="106">
        <v>0</v>
      </c>
      <c r="AN116" s="106">
        <v>0</v>
      </c>
      <c r="AO116" s="106">
        <v>0</v>
      </c>
      <c r="AP116" s="106">
        <v>0</v>
      </c>
      <c r="AQ116" s="106">
        <v>0</v>
      </c>
      <c r="AR116" s="106">
        <v>0</v>
      </c>
      <c r="AS116" s="106">
        <v>0</v>
      </c>
      <c r="AT116" s="106">
        <v>0</v>
      </c>
      <c r="AU116" s="106">
        <v>0</v>
      </c>
      <c r="AV116" s="106">
        <v>0</v>
      </c>
      <c r="AW116" s="106">
        <v>0</v>
      </c>
      <c r="AX116" s="106">
        <v>0</v>
      </c>
      <c r="AY116" s="106">
        <v>0</v>
      </c>
    </row>
    <row r="117" spans="1:52">
      <c r="A117" s="109"/>
      <c r="B117" s="127">
        <v>9</v>
      </c>
      <c r="C117" s="106">
        <v>0</v>
      </c>
      <c r="D117" s="106">
        <v>0</v>
      </c>
      <c r="E117" s="106">
        <v>0</v>
      </c>
      <c r="F117" s="106">
        <v>0</v>
      </c>
      <c r="G117" s="106">
        <v>0</v>
      </c>
      <c r="H117" s="106">
        <v>0</v>
      </c>
      <c r="I117" s="106">
        <v>0</v>
      </c>
      <c r="J117" s="106">
        <v>0</v>
      </c>
      <c r="K117" s="106">
        <v>0</v>
      </c>
      <c r="L117" s="106">
        <v>0</v>
      </c>
      <c r="M117" s="106">
        <v>0</v>
      </c>
      <c r="N117" s="106">
        <v>0</v>
      </c>
      <c r="O117" s="106">
        <v>0</v>
      </c>
      <c r="P117" s="106">
        <v>0</v>
      </c>
      <c r="Q117" s="106">
        <v>0</v>
      </c>
      <c r="R117" s="106">
        <v>0</v>
      </c>
      <c r="S117" s="106">
        <v>0</v>
      </c>
      <c r="T117" s="106">
        <v>0</v>
      </c>
      <c r="U117" s="106">
        <v>0</v>
      </c>
      <c r="V117" s="106">
        <v>0</v>
      </c>
      <c r="W117" s="106">
        <v>0</v>
      </c>
      <c r="X117" s="106">
        <v>0</v>
      </c>
      <c r="Y117" s="106">
        <v>0</v>
      </c>
      <c r="Z117" s="106">
        <v>0</v>
      </c>
      <c r="AA117" s="106">
        <v>0</v>
      </c>
      <c r="AB117" s="106">
        <v>0</v>
      </c>
      <c r="AC117" s="106">
        <v>0</v>
      </c>
      <c r="AD117" s="106">
        <v>0</v>
      </c>
      <c r="AE117" s="106">
        <v>0</v>
      </c>
      <c r="AF117" s="106">
        <v>0</v>
      </c>
      <c r="AG117" s="106">
        <v>0</v>
      </c>
      <c r="AH117" s="106">
        <v>0</v>
      </c>
      <c r="AI117" s="106">
        <v>0</v>
      </c>
      <c r="AJ117" s="106">
        <v>0</v>
      </c>
      <c r="AK117" s="106">
        <v>0</v>
      </c>
      <c r="AL117" s="106">
        <v>0</v>
      </c>
      <c r="AM117" s="106">
        <v>0</v>
      </c>
      <c r="AN117" s="106">
        <v>0</v>
      </c>
      <c r="AO117" s="106">
        <v>0</v>
      </c>
      <c r="AP117" s="106">
        <v>0</v>
      </c>
      <c r="AQ117" s="106">
        <v>0</v>
      </c>
      <c r="AR117" s="106">
        <v>0</v>
      </c>
      <c r="AS117" s="106">
        <v>0</v>
      </c>
      <c r="AT117" s="106">
        <v>0</v>
      </c>
      <c r="AU117" s="106">
        <v>0</v>
      </c>
      <c r="AV117" s="106">
        <v>0</v>
      </c>
      <c r="AW117" s="106">
        <v>0</v>
      </c>
      <c r="AX117" s="106">
        <v>0</v>
      </c>
      <c r="AY117" s="106">
        <v>0</v>
      </c>
    </row>
    <row r="118" spans="1:52">
      <c r="A118" s="109"/>
      <c r="B118" s="130">
        <v>10</v>
      </c>
      <c r="C118" s="106">
        <v>0</v>
      </c>
      <c r="D118" s="106">
        <v>0</v>
      </c>
      <c r="E118" s="106">
        <v>0</v>
      </c>
      <c r="F118" s="106">
        <v>0</v>
      </c>
      <c r="G118" s="106">
        <v>0</v>
      </c>
      <c r="H118" s="106">
        <v>0</v>
      </c>
      <c r="I118" s="106">
        <v>0</v>
      </c>
      <c r="J118" s="106">
        <v>0</v>
      </c>
      <c r="K118" s="106">
        <v>0</v>
      </c>
      <c r="L118" s="106">
        <v>0</v>
      </c>
      <c r="M118" s="106">
        <v>0</v>
      </c>
      <c r="N118" s="106">
        <v>0</v>
      </c>
      <c r="O118" s="106">
        <v>0</v>
      </c>
      <c r="P118" s="106">
        <v>0</v>
      </c>
      <c r="Q118" s="106">
        <v>0</v>
      </c>
      <c r="R118" s="106">
        <v>0</v>
      </c>
      <c r="S118" s="106">
        <v>0</v>
      </c>
      <c r="T118" s="106">
        <v>0</v>
      </c>
      <c r="U118" s="106">
        <v>0</v>
      </c>
      <c r="V118" s="106">
        <v>0</v>
      </c>
      <c r="W118" s="106">
        <v>0</v>
      </c>
      <c r="X118" s="106">
        <v>0</v>
      </c>
      <c r="Y118" s="106">
        <v>0</v>
      </c>
      <c r="Z118" s="106">
        <v>0</v>
      </c>
      <c r="AA118" s="106">
        <v>0</v>
      </c>
      <c r="AB118" s="106">
        <v>0</v>
      </c>
      <c r="AC118" s="106">
        <v>0</v>
      </c>
      <c r="AD118" s="106">
        <v>0</v>
      </c>
      <c r="AE118" s="106">
        <v>0</v>
      </c>
      <c r="AF118" s="106">
        <v>0</v>
      </c>
      <c r="AG118" s="106">
        <v>0</v>
      </c>
      <c r="AH118" s="106">
        <v>0</v>
      </c>
      <c r="AI118" s="106">
        <v>0</v>
      </c>
      <c r="AJ118" s="106">
        <v>0</v>
      </c>
      <c r="AK118" s="106">
        <v>0</v>
      </c>
      <c r="AL118" s="106">
        <v>0</v>
      </c>
      <c r="AM118" s="106">
        <v>0</v>
      </c>
      <c r="AN118" s="106">
        <v>0</v>
      </c>
      <c r="AO118" s="106">
        <v>0</v>
      </c>
      <c r="AP118" s="106">
        <v>0</v>
      </c>
      <c r="AQ118" s="106">
        <v>0</v>
      </c>
      <c r="AR118" s="106">
        <v>0</v>
      </c>
      <c r="AS118" s="106">
        <v>0</v>
      </c>
      <c r="AT118" s="106">
        <v>0</v>
      </c>
      <c r="AU118" s="106">
        <v>0</v>
      </c>
      <c r="AV118" s="106">
        <v>0</v>
      </c>
      <c r="AW118" s="106">
        <v>0</v>
      </c>
      <c r="AX118" s="106">
        <v>0</v>
      </c>
      <c r="AY118" s="106">
        <v>0</v>
      </c>
    </row>
    <row r="119" spans="1:52">
      <c r="A119" s="109"/>
      <c r="B119" s="130">
        <v>11</v>
      </c>
      <c r="C119" s="106">
        <v>0</v>
      </c>
      <c r="D119" s="106">
        <v>0</v>
      </c>
      <c r="E119" s="106">
        <v>0</v>
      </c>
      <c r="F119" s="106">
        <v>0</v>
      </c>
      <c r="G119" s="106">
        <v>0</v>
      </c>
      <c r="H119" s="106">
        <v>0</v>
      </c>
      <c r="I119" s="106">
        <v>0</v>
      </c>
      <c r="J119" s="106">
        <v>0</v>
      </c>
      <c r="K119" s="106">
        <v>0</v>
      </c>
      <c r="L119" s="106">
        <v>0</v>
      </c>
      <c r="M119" s="106">
        <v>0</v>
      </c>
      <c r="N119" s="106">
        <v>0</v>
      </c>
      <c r="O119" s="106">
        <v>0</v>
      </c>
      <c r="P119" s="106">
        <v>0</v>
      </c>
      <c r="Q119" s="106">
        <v>0</v>
      </c>
      <c r="R119" s="106">
        <v>0</v>
      </c>
      <c r="S119" s="106">
        <v>0</v>
      </c>
      <c r="T119" s="106">
        <v>0</v>
      </c>
      <c r="U119" s="106">
        <v>0</v>
      </c>
      <c r="V119" s="106">
        <v>0</v>
      </c>
      <c r="W119" s="106">
        <v>0</v>
      </c>
      <c r="X119" s="106">
        <v>0</v>
      </c>
      <c r="Y119" s="106">
        <v>0</v>
      </c>
      <c r="Z119" s="106">
        <v>0</v>
      </c>
      <c r="AA119" s="106">
        <v>0</v>
      </c>
      <c r="AB119" s="106">
        <v>0</v>
      </c>
      <c r="AC119" s="106">
        <v>0</v>
      </c>
      <c r="AD119" s="106">
        <v>0</v>
      </c>
      <c r="AE119" s="106">
        <v>0</v>
      </c>
      <c r="AF119" s="106">
        <v>0</v>
      </c>
      <c r="AG119" s="106">
        <v>0</v>
      </c>
      <c r="AH119" s="106">
        <v>0</v>
      </c>
      <c r="AI119" s="106">
        <v>0</v>
      </c>
      <c r="AJ119" s="106">
        <v>0</v>
      </c>
      <c r="AK119" s="106">
        <v>0</v>
      </c>
      <c r="AL119" s="106">
        <v>0</v>
      </c>
      <c r="AM119" s="106">
        <v>0</v>
      </c>
      <c r="AN119" s="106">
        <v>0</v>
      </c>
      <c r="AO119" s="106">
        <v>0</v>
      </c>
      <c r="AP119" s="106">
        <v>0</v>
      </c>
      <c r="AQ119" s="106">
        <v>0</v>
      </c>
      <c r="AR119" s="106">
        <v>0</v>
      </c>
      <c r="AS119" s="106">
        <v>0</v>
      </c>
      <c r="AT119" s="106">
        <v>0</v>
      </c>
      <c r="AU119" s="106">
        <v>0</v>
      </c>
      <c r="AV119" s="106">
        <v>0</v>
      </c>
      <c r="AW119" s="106">
        <v>0</v>
      </c>
      <c r="AX119" s="106">
        <v>0</v>
      </c>
      <c r="AY119" s="106">
        <v>0</v>
      </c>
    </row>
    <row r="120" spans="1:52">
      <c r="A120" s="109"/>
      <c r="B120" s="130">
        <v>12</v>
      </c>
      <c r="C120" s="106">
        <v>0</v>
      </c>
      <c r="D120" s="106">
        <v>0</v>
      </c>
      <c r="E120" s="106">
        <v>0</v>
      </c>
      <c r="F120" s="106">
        <v>0</v>
      </c>
      <c r="G120" s="106">
        <v>0</v>
      </c>
      <c r="H120" s="106">
        <v>0</v>
      </c>
      <c r="I120" s="106">
        <v>0</v>
      </c>
      <c r="J120" s="106">
        <v>0</v>
      </c>
      <c r="K120" s="106">
        <v>0</v>
      </c>
      <c r="L120" s="106">
        <v>0</v>
      </c>
      <c r="M120" s="106">
        <v>0</v>
      </c>
      <c r="N120" s="106">
        <v>0</v>
      </c>
      <c r="O120" s="106">
        <v>0</v>
      </c>
      <c r="P120" s="106">
        <v>0</v>
      </c>
      <c r="Q120" s="106">
        <v>0</v>
      </c>
      <c r="R120" s="106">
        <v>0</v>
      </c>
      <c r="S120" s="106">
        <v>0</v>
      </c>
      <c r="T120" s="106">
        <v>0</v>
      </c>
      <c r="U120" s="106">
        <v>0</v>
      </c>
      <c r="V120" s="106">
        <v>0</v>
      </c>
      <c r="W120" s="106">
        <v>0</v>
      </c>
      <c r="X120" s="106">
        <v>0</v>
      </c>
      <c r="Y120" s="106">
        <v>0</v>
      </c>
      <c r="Z120" s="106">
        <v>0</v>
      </c>
      <c r="AA120" s="106">
        <v>0</v>
      </c>
      <c r="AB120" s="106">
        <v>0</v>
      </c>
      <c r="AC120" s="106">
        <v>0</v>
      </c>
      <c r="AD120" s="106">
        <v>0</v>
      </c>
      <c r="AE120" s="106">
        <v>0</v>
      </c>
      <c r="AF120" s="106">
        <v>0</v>
      </c>
      <c r="AG120" s="106">
        <v>0</v>
      </c>
      <c r="AH120" s="106">
        <v>0</v>
      </c>
      <c r="AI120" s="106">
        <v>0</v>
      </c>
      <c r="AJ120" s="106">
        <v>0</v>
      </c>
      <c r="AK120" s="106">
        <v>0</v>
      </c>
      <c r="AL120" s="106">
        <v>0</v>
      </c>
      <c r="AM120" s="106">
        <v>0</v>
      </c>
      <c r="AN120" s="106">
        <v>0</v>
      </c>
      <c r="AO120" s="106">
        <v>0</v>
      </c>
      <c r="AP120" s="106">
        <v>0</v>
      </c>
      <c r="AQ120" s="106">
        <v>0</v>
      </c>
      <c r="AR120" s="106">
        <v>0</v>
      </c>
      <c r="AS120" s="106">
        <v>0</v>
      </c>
      <c r="AT120" s="106">
        <v>0</v>
      </c>
      <c r="AU120" s="106">
        <v>0</v>
      </c>
      <c r="AV120" s="106">
        <v>0</v>
      </c>
      <c r="AW120" s="106">
        <v>0</v>
      </c>
      <c r="AX120" s="106">
        <v>0</v>
      </c>
      <c r="AY120" s="106">
        <v>0</v>
      </c>
    </row>
    <row r="121" spans="1:52">
      <c r="A121" s="128"/>
      <c r="B121" s="132" t="s">
        <v>296</v>
      </c>
      <c r="C121" s="114">
        <v>0</v>
      </c>
      <c r="D121" s="125">
        <v>0</v>
      </c>
      <c r="E121" s="125">
        <v>0</v>
      </c>
      <c r="F121" s="125">
        <v>0</v>
      </c>
      <c r="G121" s="125">
        <v>0</v>
      </c>
      <c r="H121" s="125">
        <v>0</v>
      </c>
      <c r="I121" s="125">
        <v>0</v>
      </c>
      <c r="J121" s="125">
        <v>0</v>
      </c>
      <c r="K121" s="125">
        <v>0</v>
      </c>
      <c r="L121" s="125">
        <v>0</v>
      </c>
      <c r="M121" s="125">
        <v>0</v>
      </c>
      <c r="N121" s="125">
        <v>0</v>
      </c>
      <c r="O121" s="125">
        <v>0</v>
      </c>
      <c r="P121" s="125">
        <v>0</v>
      </c>
      <c r="Q121" s="125">
        <v>0</v>
      </c>
      <c r="R121" s="125">
        <v>0</v>
      </c>
      <c r="S121" s="125">
        <v>0</v>
      </c>
      <c r="T121" s="125">
        <v>0</v>
      </c>
      <c r="U121" s="125">
        <v>0</v>
      </c>
      <c r="V121" s="125">
        <v>0</v>
      </c>
      <c r="W121" s="125">
        <v>0</v>
      </c>
      <c r="X121" s="125">
        <v>0</v>
      </c>
      <c r="Y121" s="125">
        <v>0</v>
      </c>
      <c r="Z121" s="125">
        <v>0</v>
      </c>
      <c r="AA121" s="125">
        <v>0</v>
      </c>
      <c r="AB121" s="125">
        <v>0</v>
      </c>
      <c r="AC121" s="125">
        <v>0</v>
      </c>
      <c r="AD121" s="125">
        <v>0</v>
      </c>
      <c r="AE121" s="125">
        <v>0</v>
      </c>
      <c r="AF121" s="125">
        <v>0</v>
      </c>
      <c r="AG121" s="125">
        <v>0</v>
      </c>
      <c r="AH121" s="125">
        <v>0</v>
      </c>
      <c r="AI121" s="125">
        <v>0</v>
      </c>
      <c r="AJ121" s="125">
        <v>0</v>
      </c>
      <c r="AK121" s="125">
        <v>0</v>
      </c>
      <c r="AL121" s="125">
        <v>0</v>
      </c>
      <c r="AM121" s="125">
        <v>0</v>
      </c>
      <c r="AN121" s="125">
        <v>0</v>
      </c>
      <c r="AO121" s="125">
        <v>0</v>
      </c>
      <c r="AP121" s="125">
        <v>0</v>
      </c>
      <c r="AQ121" s="125">
        <v>0</v>
      </c>
      <c r="AR121" s="125">
        <v>0</v>
      </c>
      <c r="AS121" s="125">
        <v>0</v>
      </c>
      <c r="AT121" s="125">
        <v>0</v>
      </c>
      <c r="AU121" s="125">
        <v>0</v>
      </c>
      <c r="AV121" s="125">
        <v>0</v>
      </c>
      <c r="AW121" s="125">
        <v>0</v>
      </c>
      <c r="AX121" s="125">
        <v>0</v>
      </c>
      <c r="AY121" s="125">
        <v>0</v>
      </c>
      <c r="AZ121" s="107">
        <f>SUM($D121:$AY121)</f>
        <v>0</v>
      </c>
    </row>
    <row r="122" spans="1:52">
      <c r="A122" s="131" t="s">
        <v>123</v>
      </c>
      <c r="B122" s="119">
        <v>1</v>
      </c>
      <c r="C122" s="106">
        <v>225.87896208534642</v>
      </c>
      <c r="D122" s="106">
        <v>302.93847558855168</v>
      </c>
      <c r="E122" s="106">
        <v>243.84634654810014</v>
      </c>
      <c r="F122" s="106">
        <v>134.15818689661353</v>
      </c>
      <c r="G122" s="106">
        <v>222.13991799267825</v>
      </c>
      <c r="H122" s="106">
        <v>222.13991799267825</v>
      </c>
      <c r="I122" s="106">
        <v>222.13991799267825</v>
      </c>
      <c r="J122" s="106">
        <v>156.23438672037713</v>
      </c>
      <c r="K122" s="106">
        <v>222.13991799267825</v>
      </c>
      <c r="L122" s="106">
        <v>222.13991799267825</v>
      </c>
      <c r="M122" s="106">
        <v>134.15818689661353</v>
      </c>
      <c r="N122" s="106">
        <v>243.84634654810014</v>
      </c>
      <c r="O122" s="106">
        <v>222.13991799267825</v>
      </c>
      <c r="P122" s="106">
        <v>222.13991799267825</v>
      </c>
      <c r="Q122" s="106">
        <v>222.13991799267825</v>
      </c>
      <c r="R122" s="106">
        <v>222.13991799267825</v>
      </c>
      <c r="S122" s="106">
        <v>222.13991799267825</v>
      </c>
      <c r="T122" s="106">
        <v>222.13991799267825</v>
      </c>
      <c r="U122" s="106">
        <v>222.13991799267825</v>
      </c>
      <c r="V122" s="106">
        <v>222.13991799267825</v>
      </c>
      <c r="W122" s="106">
        <v>222.13991799267825</v>
      </c>
      <c r="X122" s="106">
        <v>222.13991799267825</v>
      </c>
      <c r="Y122" s="106">
        <v>222.13991799267825</v>
      </c>
      <c r="Z122" s="106">
        <v>222.13991799267825</v>
      </c>
      <c r="AA122" s="106">
        <v>222.13991799267825</v>
      </c>
      <c r="AB122" s="106">
        <v>222.13991799267825</v>
      </c>
      <c r="AC122" s="106">
        <v>156.23438672037713</v>
      </c>
      <c r="AD122" s="106">
        <v>222.13991799267825</v>
      </c>
      <c r="AE122" s="106">
        <v>156.23438672037713</v>
      </c>
      <c r="AF122" s="106">
        <v>222.13991799267825</v>
      </c>
      <c r="AG122" s="106">
        <v>156.23438672037713</v>
      </c>
      <c r="AH122" s="106">
        <v>222.13991799267825</v>
      </c>
      <c r="AI122" s="106">
        <v>222.13991799267825</v>
      </c>
      <c r="AJ122" s="106">
        <v>222.13991799267825</v>
      </c>
      <c r="AK122" s="106">
        <v>156.23438672037713</v>
      </c>
      <c r="AL122" s="106">
        <v>222.13991799267825</v>
      </c>
      <c r="AM122" s="106">
        <v>222.13991799267825</v>
      </c>
      <c r="AN122" s="106">
        <v>222.13991799267825</v>
      </c>
      <c r="AO122" s="106">
        <v>222.13991799267825</v>
      </c>
      <c r="AP122" s="106">
        <v>204.54357177346532</v>
      </c>
      <c r="AQ122" s="106">
        <v>204.54357177346529</v>
      </c>
      <c r="AR122" s="106">
        <v>204.54357177346532</v>
      </c>
      <c r="AS122" s="106">
        <v>204.54357177346529</v>
      </c>
      <c r="AT122" s="106">
        <v>222.13991799267825</v>
      </c>
      <c r="AU122" s="106">
        <v>178.31058654414073</v>
      </c>
      <c r="AV122" s="106">
        <v>211.42488627978614</v>
      </c>
      <c r="AW122" s="106">
        <v>134.15818689661353</v>
      </c>
      <c r="AX122" s="106">
        <v>243.84634654810014</v>
      </c>
      <c r="AY122" s="106">
        <v>134.15818689661353</v>
      </c>
    </row>
    <row r="123" spans="1:52">
      <c r="A123" s="109"/>
      <c r="B123" s="119">
        <v>2</v>
      </c>
      <c r="C123" s="106">
        <v>153.05731798495918</v>
      </c>
      <c r="D123" s="106">
        <v>40.973985483410232</v>
      </c>
      <c r="E123" s="106">
        <v>21.041066776654986</v>
      </c>
      <c r="F123" s="106">
        <v>0</v>
      </c>
      <c r="G123" s="106">
        <v>87.981731096064706</v>
      </c>
      <c r="H123" s="106">
        <v>0</v>
      </c>
      <c r="I123" s="106">
        <v>0</v>
      </c>
      <c r="J123" s="106">
        <v>0</v>
      </c>
      <c r="K123" s="106">
        <v>65.905531272301133</v>
      </c>
      <c r="L123" s="106">
        <v>0</v>
      </c>
      <c r="M123" s="106">
        <v>0</v>
      </c>
      <c r="N123" s="106">
        <v>0</v>
      </c>
      <c r="O123" s="106">
        <v>0</v>
      </c>
      <c r="P123" s="106">
        <v>0</v>
      </c>
      <c r="Q123" s="106">
        <v>0</v>
      </c>
      <c r="R123" s="106">
        <v>0</v>
      </c>
      <c r="S123" s="106">
        <v>0</v>
      </c>
      <c r="T123" s="106">
        <v>0</v>
      </c>
      <c r="U123" s="106">
        <v>0</v>
      </c>
      <c r="V123" s="106">
        <v>0</v>
      </c>
      <c r="W123" s="106">
        <v>0</v>
      </c>
      <c r="X123" s="106">
        <v>0</v>
      </c>
      <c r="Y123" s="106">
        <v>0</v>
      </c>
      <c r="Z123" s="106">
        <v>0</v>
      </c>
      <c r="AA123" s="106">
        <v>0</v>
      </c>
      <c r="AB123" s="106">
        <v>0</v>
      </c>
      <c r="AC123" s="106">
        <v>0</v>
      </c>
      <c r="AD123" s="106">
        <v>0</v>
      </c>
      <c r="AE123" s="106">
        <v>0</v>
      </c>
      <c r="AF123" s="106">
        <v>65.905531272301133</v>
      </c>
      <c r="AG123" s="106">
        <v>0</v>
      </c>
      <c r="AH123" s="106">
        <v>65.905531272301133</v>
      </c>
      <c r="AI123" s="106">
        <v>0</v>
      </c>
      <c r="AJ123" s="106">
        <v>0</v>
      </c>
      <c r="AK123" s="106">
        <v>0</v>
      </c>
      <c r="AL123" s="106">
        <v>65.905531272301133</v>
      </c>
      <c r="AM123" s="106">
        <v>0</v>
      </c>
      <c r="AN123" s="106">
        <v>0</v>
      </c>
      <c r="AO123" s="106">
        <v>0</v>
      </c>
      <c r="AP123" s="106">
        <v>0</v>
      </c>
      <c r="AQ123" s="106">
        <v>0</v>
      </c>
      <c r="AR123" s="106">
        <v>0</v>
      </c>
      <c r="AS123" s="106">
        <v>0</v>
      </c>
      <c r="AT123" s="106">
        <v>0</v>
      </c>
      <c r="AU123" s="106">
        <v>0</v>
      </c>
      <c r="AV123" s="106">
        <v>43.829331448537502</v>
      </c>
      <c r="AW123" s="106">
        <v>10.715031712892113</v>
      </c>
      <c r="AX123" s="106">
        <v>0</v>
      </c>
      <c r="AY123" s="106">
        <v>0</v>
      </c>
    </row>
    <row r="124" spans="1:52">
      <c r="A124" s="109"/>
      <c r="B124" s="119">
        <v>3</v>
      </c>
      <c r="C124" s="106">
        <v>0</v>
      </c>
      <c r="D124" s="106">
        <v>0</v>
      </c>
      <c r="E124" s="106">
        <v>0</v>
      </c>
      <c r="F124" s="106">
        <v>0</v>
      </c>
      <c r="G124" s="106">
        <v>0</v>
      </c>
      <c r="H124" s="106">
        <v>0</v>
      </c>
      <c r="I124" s="106">
        <v>0</v>
      </c>
      <c r="J124" s="106">
        <v>0</v>
      </c>
      <c r="K124" s="106">
        <v>0</v>
      </c>
      <c r="L124" s="106">
        <v>0</v>
      </c>
      <c r="M124" s="106">
        <v>0</v>
      </c>
      <c r="N124" s="106">
        <v>0</v>
      </c>
      <c r="O124" s="106">
        <v>0</v>
      </c>
      <c r="P124" s="106">
        <v>0</v>
      </c>
      <c r="Q124" s="106">
        <v>0</v>
      </c>
      <c r="R124" s="106">
        <v>0</v>
      </c>
      <c r="S124" s="106">
        <v>0</v>
      </c>
      <c r="T124" s="106">
        <v>0</v>
      </c>
      <c r="U124" s="106">
        <v>0</v>
      </c>
      <c r="V124" s="106">
        <v>0</v>
      </c>
      <c r="W124" s="106">
        <v>0</v>
      </c>
      <c r="X124" s="106">
        <v>0</v>
      </c>
      <c r="Y124" s="106">
        <v>0</v>
      </c>
      <c r="Z124" s="106">
        <v>0</v>
      </c>
      <c r="AA124" s="106">
        <v>0</v>
      </c>
      <c r="AB124" s="106">
        <v>0</v>
      </c>
      <c r="AC124" s="106">
        <v>0</v>
      </c>
      <c r="AD124" s="106">
        <v>0</v>
      </c>
      <c r="AE124" s="106">
        <v>65.905531272301118</v>
      </c>
      <c r="AF124" s="106">
        <v>0</v>
      </c>
      <c r="AG124" s="106">
        <v>0</v>
      </c>
      <c r="AH124" s="106">
        <v>0</v>
      </c>
      <c r="AI124" s="106">
        <v>0</v>
      </c>
      <c r="AJ124" s="106">
        <v>0</v>
      </c>
      <c r="AK124" s="106">
        <v>0</v>
      </c>
      <c r="AL124" s="106">
        <v>0</v>
      </c>
      <c r="AM124" s="106">
        <v>0</v>
      </c>
      <c r="AN124" s="106">
        <v>0</v>
      </c>
      <c r="AO124" s="106">
        <v>0</v>
      </c>
      <c r="AP124" s="106">
        <v>0</v>
      </c>
      <c r="AQ124" s="106">
        <v>0</v>
      </c>
      <c r="AR124" s="106">
        <v>0</v>
      </c>
      <c r="AS124" s="106">
        <v>0</v>
      </c>
      <c r="AT124" s="106">
        <v>0</v>
      </c>
      <c r="AU124" s="106">
        <v>0</v>
      </c>
      <c r="AV124" s="106">
        <v>0</v>
      </c>
      <c r="AW124" s="106">
        <v>0</v>
      </c>
      <c r="AX124" s="106">
        <v>0</v>
      </c>
      <c r="AY124" s="106">
        <v>0</v>
      </c>
    </row>
    <row r="125" spans="1:52">
      <c r="A125" s="109"/>
      <c r="B125" s="119">
        <v>4</v>
      </c>
      <c r="C125" s="106">
        <v>0</v>
      </c>
      <c r="D125" s="106">
        <v>0</v>
      </c>
      <c r="E125" s="106">
        <v>0</v>
      </c>
      <c r="F125" s="106">
        <v>0</v>
      </c>
      <c r="G125" s="106">
        <v>0</v>
      </c>
      <c r="H125" s="106">
        <v>0</v>
      </c>
      <c r="I125" s="106">
        <v>0</v>
      </c>
      <c r="J125" s="106">
        <v>0</v>
      </c>
      <c r="K125" s="106">
        <v>0</v>
      </c>
      <c r="L125" s="106">
        <v>0</v>
      </c>
      <c r="M125" s="106">
        <v>0</v>
      </c>
      <c r="N125" s="106">
        <v>0</v>
      </c>
      <c r="O125" s="106">
        <v>0</v>
      </c>
      <c r="P125" s="106">
        <v>0</v>
      </c>
      <c r="Q125" s="106">
        <v>0</v>
      </c>
      <c r="R125" s="106">
        <v>0</v>
      </c>
      <c r="S125" s="106">
        <v>0</v>
      </c>
      <c r="T125" s="106">
        <v>0</v>
      </c>
      <c r="U125" s="106">
        <v>0</v>
      </c>
      <c r="V125" s="106">
        <v>0</v>
      </c>
      <c r="W125" s="106">
        <v>0</v>
      </c>
      <c r="X125" s="106">
        <v>0</v>
      </c>
      <c r="Y125" s="106">
        <v>0</v>
      </c>
      <c r="Z125" s="106">
        <v>0</v>
      </c>
      <c r="AA125" s="106">
        <v>0</v>
      </c>
      <c r="AB125" s="106">
        <v>0</v>
      </c>
      <c r="AC125" s="106">
        <v>0</v>
      </c>
      <c r="AD125" s="106">
        <v>0</v>
      </c>
      <c r="AE125" s="106">
        <v>0</v>
      </c>
      <c r="AF125" s="106">
        <v>0</v>
      </c>
      <c r="AG125" s="106">
        <v>0</v>
      </c>
      <c r="AH125" s="106">
        <v>0</v>
      </c>
      <c r="AI125" s="106">
        <v>0</v>
      </c>
      <c r="AJ125" s="106">
        <v>0</v>
      </c>
      <c r="AK125" s="106">
        <v>0</v>
      </c>
      <c r="AL125" s="106">
        <v>0</v>
      </c>
      <c r="AM125" s="106">
        <v>0</v>
      </c>
      <c r="AN125" s="106">
        <v>0</v>
      </c>
      <c r="AO125" s="106">
        <v>0</v>
      </c>
      <c r="AP125" s="106">
        <v>0</v>
      </c>
      <c r="AQ125" s="106">
        <v>0</v>
      </c>
      <c r="AR125" s="106">
        <v>0</v>
      </c>
      <c r="AS125" s="106">
        <v>0</v>
      </c>
      <c r="AT125" s="106">
        <v>0</v>
      </c>
      <c r="AU125" s="106">
        <v>0</v>
      </c>
      <c r="AV125" s="106">
        <v>0</v>
      </c>
      <c r="AW125" s="106">
        <v>0</v>
      </c>
      <c r="AX125" s="106">
        <v>0</v>
      </c>
      <c r="AY125" s="106">
        <v>0</v>
      </c>
    </row>
    <row r="126" spans="1:52">
      <c r="A126" s="109"/>
      <c r="B126" s="119">
        <v>5</v>
      </c>
      <c r="C126" s="106">
        <v>0</v>
      </c>
      <c r="D126" s="106">
        <v>0</v>
      </c>
      <c r="E126" s="106">
        <v>0</v>
      </c>
      <c r="F126" s="106">
        <v>0</v>
      </c>
      <c r="G126" s="106">
        <v>0</v>
      </c>
      <c r="H126" s="106">
        <v>0</v>
      </c>
      <c r="I126" s="106">
        <v>0</v>
      </c>
      <c r="J126" s="106">
        <v>0</v>
      </c>
      <c r="K126" s="106">
        <v>0</v>
      </c>
      <c r="L126" s="106">
        <v>0</v>
      </c>
      <c r="M126" s="106">
        <v>0</v>
      </c>
      <c r="N126" s="106">
        <v>0</v>
      </c>
      <c r="O126" s="106">
        <v>0</v>
      </c>
      <c r="P126" s="106">
        <v>0</v>
      </c>
      <c r="Q126" s="106">
        <v>0</v>
      </c>
      <c r="R126" s="106">
        <v>0</v>
      </c>
      <c r="S126" s="106">
        <v>0</v>
      </c>
      <c r="T126" s="106">
        <v>0</v>
      </c>
      <c r="U126" s="106">
        <v>0</v>
      </c>
      <c r="V126" s="106">
        <v>0</v>
      </c>
      <c r="W126" s="106">
        <v>0</v>
      </c>
      <c r="X126" s="106">
        <v>0</v>
      </c>
      <c r="Y126" s="106">
        <v>0</v>
      </c>
      <c r="Z126" s="106">
        <v>0</v>
      </c>
      <c r="AA126" s="106">
        <v>0</v>
      </c>
      <c r="AB126" s="106">
        <v>0</v>
      </c>
      <c r="AC126" s="106">
        <v>0</v>
      </c>
      <c r="AD126" s="106">
        <v>0</v>
      </c>
      <c r="AE126" s="106">
        <v>0</v>
      </c>
      <c r="AF126" s="106">
        <v>0</v>
      </c>
      <c r="AG126" s="106">
        <v>0</v>
      </c>
      <c r="AH126" s="106">
        <v>0</v>
      </c>
      <c r="AI126" s="106">
        <v>0</v>
      </c>
      <c r="AJ126" s="106">
        <v>0</v>
      </c>
      <c r="AK126" s="106">
        <v>0</v>
      </c>
      <c r="AL126" s="106">
        <v>0</v>
      </c>
      <c r="AM126" s="106">
        <v>0</v>
      </c>
      <c r="AN126" s="106">
        <v>0</v>
      </c>
      <c r="AO126" s="106">
        <v>0</v>
      </c>
      <c r="AP126" s="106">
        <v>0</v>
      </c>
      <c r="AQ126" s="106">
        <v>0</v>
      </c>
      <c r="AR126" s="106">
        <v>0</v>
      </c>
      <c r="AS126" s="106">
        <v>0</v>
      </c>
      <c r="AT126" s="106">
        <v>0</v>
      </c>
      <c r="AU126" s="106">
        <v>0</v>
      </c>
      <c r="AV126" s="106">
        <v>0</v>
      </c>
      <c r="AW126" s="106">
        <v>0</v>
      </c>
      <c r="AX126" s="106">
        <v>0</v>
      </c>
      <c r="AY126" s="106">
        <v>0</v>
      </c>
    </row>
    <row r="127" spans="1:52">
      <c r="A127" s="109"/>
      <c r="B127" s="119">
        <v>6</v>
      </c>
      <c r="C127" s="106">
        <v>0</v>
      </c>
      <c r="D127" s="106">
        <v>0</v>
      </c>
      <c r="E127" s="106">
        <v>0</v>
      </c>
      <c r="F127" s="106">
        <v>0</v>
      </c>
      <c r="G127" s="106">
        <v>0</v>
      </c>
      <c r="H127" s="106">
        <v>0</v>
      </c>
      <c r="I127" s="106">
        <v>0</v>
      </c>
      <c r="J127" s="106">
        <v>0</v>
      </c>
      <c r="K127" s="106">
        <v>0</v>
      </c>
      <c r="L127" s="106">
        <v>0</v>
      </c>
      <c r="M127" s="106">
        <v>0</v>
      </c>
      <c r="N127" s="106">
        <v>0</v>
      </c>
      <c r="O127" s="106">
        <v>0</v>
      </c>
      <c r="P127" s="106">
        <v>0</v>
      </c>
      <c r="Q127" s="106">
        <v>0</v>
      </c>
      <c r="R127" s="106">
        <v>0</v>
      </c>
      <c r="S127" s="106">
        <v>0</v>
      </c>
      <c r="T127" s="106">
        <v>0</v>
      </c>
      <c r="U127" s="106">
        <v>0</v>
      </c>
      <c r="V127" s="106">
        <v>0</v>
      </c>
      <c r="W127" s="106">
        <v>0</v>
      </c>
      <c r="X127" s="106">
        <v>0</v>
      </c>
      <c r="Y127" s="106">
        <v>0</v>
      </c>
      <c r="Z127" s="106">
        <v>0</v>
      </c>
      <c r="AA127" s="106">
        <v>0</v>
      </c>
      <c r="AB127" s="106">
        <v>0</v>
      </c>
      <c r="AC127" s="106">
        <v>0</v>
      </c>
      <c r="AD127" s="106">
        <v>0</v>
      </c>
      <c r="AE127" s="106">
        <v>0</v>
      </c>
      <c r="AF127" s="106">
        <v>0</v>
      </c>
      <c r="AG127" s="106">
        <v>0</v>
      </c>
      <c r="AH127" s="106">
        <v>0</v>
      </c>
      <c r="AI127" s="106">
        <v>0</v>
      </c>
      <c r="AJ127" s="106">
        <v>0</v>
      </c>
      <c r="AK127" s="106">
        <v>0</v>
      </c>
      <c r="AL127" s="106">
        <v>0</v>
      </c>
      <c r="AM127" s="106">
        <v>0</v>
      </c>
      <c r="AN127" s="106">
        <v>0</v>
      </c>
      <c r="AO127" s="106">
        <v>0</v>
      </c>
      <c r="AP127" s="106">
        <v>0</v>
      </c>
      <c r="AQ127" s="106">
        <v>0</v>
      </c>
      <c r="AR127" s="106">
        <v>0</v>
      </c>
      <c r="AS127" s="106">
        <v>0</v>
      </c>
      <c r="AT127" s="106">
        <v>0</v>
      </c>
      <c r="AU127" s="106">
        <v>0</v>
      </c>
      <c r="AV127" s="106">
        <v>0</v>
      </c>
      <c r="AW127" s="106">
        <v>0</v>
      </c>
      <c r="AX127" s="106">
        <v>0</v>
      </c>
      <c r="AY127" s="106">
        <v>0</v>
      </c>
    </row>
    <row r="128" spans="1:52">
      <c r="A128" s="109"/>
      <c r="B128" s="119">
        <v>7</v>
      </c>
      <c r="C128" s="106">
        <v>0</v>
      </c>
      <c r="D128" s="106">
        <v>0</v>
      </c>
      <c r="E128" s="106">
        <v>0</v>
      </c>
      <c r="F128" s="106">
        <v>0</v>
      </c>
      <c r="G128" s="106">
        <v>0</v>
      </c>
      <c r="H128" s="106">
        <v>0</v>
      </c>
      <c r="I128" s="106">
        <v>0</v>
      </c>
      <c r="J128" s="106">
        <v>0</v>
      </c>
      <c r="K128" s="106">
        <v>0</v>
      </c>
      <c r="L128" s="106">
        <v>0</v>
      </c>
      <c r="M128" s="106">
        <v>0</v>
      </c>
      <c r="N128" s="106">
        <v>0</v>
      </c>
      <c r="O128" s="106">
        <v>0</v>
      </c>
      <c r="P128" s="106">
        <v>0</v>
      </c>
      <c r="Q128" s="106">
        <v>0</v>
      </c>
      <c r="R128" s="106">
        <v>0</v>
      </c>
      <c r="S128" s="106">
        <v>0</v>
      </c>
      <c r="T128" s="106">
        <v>0</v>
      </c>
      <c r="U128" s="106">
        <v>0</v>
      </c>
      <c r="V128" s="106">
        <v>0</v>
      </c>
      <c r="W128" s="106">
        <v>0</v>
      </c>
      <c r="X128" s="106">
        <v>0</v>
      </c>
      <c r="Y128" s="106">
        <v>0</v>
      </c>
      <c r="Z128" s="106">
        <v>0</v>
      </c>
      <c r="AA128" s="106">
        <v>0</v>
      </c>
      <c r="AB128" s="106">
        <v>0</v>
      </c>
      <c r="AC128" s="106">
        <v>0</v>
      </c>
      <c r="AD128" s="106">
        <v>0</v>
      </c>
      <c r="AE128" s="106">
        <v>0</v>
      </c>
      <c r="AF128" s="106">
        <v>0</v>
      </c>
      <c r="AG128" s="106">
        <v>0</v>
      </c>
      <c r="AH128" s="106">
        <v>0</v>
      </c>
      <c r="AI128" s="106">
        <v>0</v>
      </c>
      <c r="AJ128" s="106">
        <v>0</v>
      </c>
      <c r="AK128" s="106">
        <v>0</v>
      </c>
      <c r="AL128" s="106">
        <v>0</v>
      </c>
      <c r="AM128" s="106">
        <v>0</v>
      </c>
      <c r="AN128" s="106">
        <v>0</v>
      </c>
      <c r="AO128" s="106">
        <v>0</v>
      </c>
      <c r="AP128" s="106">
        <v>0</v>
      </c>
      <c r="AQ128" s="106">
        <v>0</v>
      </c>
      <c r="AR128" s="106">
        <v>0</v>
      </c>
      <c r="AS128" s="106">
        <v>0</v>
      </c>
      <c r="AT128" s="106">
        <v>0</v>
      </c>
      <c r="AU128" s="106">
        <v>0</v>
      </c>
      <c r="AV128" s="106">
        <v>0</v>
      </c>
      <c r="AW128" s="106">
        <v>0</v>
      </c>
      <c r="AX128" s="106">
        <v>0</v>
      </c>
      <c r="AY128" s="106">
        <v>0</v>
      </c>
    </row>
    <row r="129" spans="1:51">
      <c r="A129" s="109"/>
      <c r="B129" s="119">
        <v>8</v>
      </c>
      <c r="C129" s="106">
        <v>0</v>
      </c>
      <c r="D129" s="106">
        <v>0</v>
      </c>
      <c r="E129" s="106">
        <v>0</v>
      </c>
      <c r="F129" s="106">
        <v>0</v>
      </c>
      <c r="G129" s="106">
        <v>0</v>
      </c>
      <c r="H129" s="106">
        <v>0</v>
      </c>
      <c r="I129" s="106">
        <v>0</v>
      </c>
      <c r="J129" s="106">
        <v>0</v>
      </c>
      <c r="K129" s="106">
        <v>0</v>
      </c>
      <c r="L129" s="106">
        <v>0</v>
      </c>
      <c r="M129" s="106">
        <v>0</v>
      </c>
      <c r="N129" s="106">
        <v>0</v>
      </c>
      <c r="O129" s="106">
        <v>0</v>
      </c>
      <c r="P129" s="106">
        <v>0</v>
      </c>
      <c r="Q129" s="106">
        <v>0</v>
      </c>
      <c r="R129" s="106">
        <v>0</v>
      </c>
      <c r="S129" s="106">
        <v>0</v>
      </c>
      <c r="T129" s="106">
        <v>0</v>
      </c>
      <c r="U129" s="106">
        <v>0</v>
      </c>
      <c r="V129" s="106">
        <v>0</v>
      </c>
      <c r="W129" s="106">
        <v>0</v>
      </c>
      <c r="X129" s="106">
        <v>0</v>
      </c>
      <c r="Y129" s="106">
        <v>0</v>
      </c>
      <c r="Z129" s="106">
        <v>0</v>
      </c>
      <c r="AA129" s="106">
        <v>0</v>
      </c>
      <c r="AB129" s="106">
        <v>0</v>
      </c>
      <c r="AC129" s="106">
        <v>0</v>
      </c>
      <c r="AD129" s="106">
        <v>0</v>
      </c>
      <c r="AE129" s="106">
        <v>0</v>
      </c>
      <c r="AF129" s="106">
        <v>0</v>
      </c>
      <c r="AG129" s="106">
        <v>0</v>
      </c>
      <c r="AH129" s="106">
        <v>0</v>
      </c>
      <c r="AI129" s="106">
        <v>0</v>
      </c>
      <c r="AJ129" s="106">
        <v>0</v>
      </c>
      <c r="AK129" s="106">
        <v>0</v>
      </c>
      <c r="AL129" s="106">
        <v>0</v>
      </c>
      <c r="AM129" s="106">
        <v>0</v>
      </c>
      <c r="AN129" s="106">
        <v>0</v>
      </c>
      <c r="AO129" s="106">
        <v>0</v>
      </c>
      <c r="AP129" s="106">
        <v>0</v>
      </c>
      <c r="AQ129" s="106">
        <v>0</v>
      </c>
      <c r="AR129" s="106">
        <v>0</v>
      </c>
      <c r="AS129" s="106">
        <v>0</v>
      </c>
      <c r="AT129" s="106">
        <v>0</v>
      </c>
      <c r="AU129" s="106">
        <v>0</v>
      </c>
      <c r="AV129" s="106">
        <v>0</v>
      </c>
      <c r="AW129" s="106">
        <v>0</v>
      </c>
      <c r="AX129" s="106">
        <v>0</v>
      </c>
      <c r="AY129" s="106">
        <v>0</v>
      </c>
    </row>
    <row r="130" spans="1:51">
      <c r="A130" s="109"/>
      <c r="B130" s="119">
        <v>9</v>
      </c>
      <c r="C130" s="106">
        <v>0</v>
      </c>
      <c r="D130" s="106">
        <v>0</v>
      </c>
      <c r="E130" s="106">
        <v>0</v>
      </c>
      <c r="F130" s="106">
        <v>0</v>
      </c>
      <c r="G130" s="106">
        <v>0</v>
      </c>
      <c r="H130" s="106">
        <v>0</v>
      </c>
      <c r="I130" s="106">
        <v>0</v>
      </c>
      <c r="J130" s="106">
        <v>0</v>
      </c>
      <c r="K130" s="106">
        <v>0</v>
      </c>
      <c r="L130" s="106">
        <v>0</v>
      </c>
      <c r="M130" s="106">
        <v>0</v>
      </c>
      <c r="N130" s="106">
        <v>0</v>
      </c>
      <c r="O130" s="106">
        <v>0</v>
      </c>
      <c r="P130" s="106">
        <v>0</v>
      </c>
      <c r="Q130" s="106">
        <v>0</v>
      </c>
      <c r="R130" s="106">
        <v>0</v>
      </c>
      <c r="S130" s="106">
        <v>0</v>
      </c>
      <c r="T130" s="106">
        <v>0</v>
      </c>
      <c r="U130" s="106">
        <v>0</v>
      </c>
      <c r="V130" s="106">
        <v>0</v>
      </c>
      <c r="W130" s="106">
        <v>0</v>
      </c>
      <c r="X130" s="106">
        <v>0</v>
      </c>
      <c r="Y130" s="106">
        <v>0</v>
      </c>
      <c r="Z130" s="106">
        <v>0</v>
      </c>
      <c r="AA130" s="106">
        <v>0</v>
      </c>
      <c r="AB130" s="106">
        <v>0</v>
      </c>
      <c r="AC130" s="106">
        <v>0</v>
      </c>
      <c r="AD130" s="106">
        <v>0</v>
      </c>
      <c r="AE130" s="106">
        <v>0</v>
      </c>
      <c r="AF130" s="106">
        <v>0</v>
      </c>
      <c r="AG130" s="106">
        <v>0</v>
      </c>
      <c r="AH130" s="106">
        <v>0</v>
      </c>
      <c r="AI130" s="106">
        <v>0</v>
      </c>
      <c r="AJ130" s="106">
        <v>0</v>
      </c>
      <c r="AK130" s="106">
        <v>0</v>
      </c>
      <c r="AL130" s="106">
        <v>0</v>
      </c>
      <c r="AM130" s="106">
        <v>0</v>
      </c>
      <c r="AN130" s="106">
        <v>0</v>
      </c>
      <c r="AO130" s="106">
        <v>0</v>
      </c>
      <c r="AP130" s="106">
        <v>0</v>
      </c>
      <c r="AQ130" s="106">
        <v>0</v>
      </c>
      <c r="AR130" s="106">
        <v>0</v>
      </c>
      <c r="AS130" s="106">
        <v>0</v>
      </c>
      <c r="AT130" s="106">
        <v>0</v>
      </c>
      <c r="AU130" s="106">
        <v>0</v>
      </c>
      <c r="AV130" s="106">
        <v>0</v>
      </c>
      <c r="AW130" s="106">
        <v>0</v>
      </c>
      <c r="AX130" s="106">
        <v>0</v>
      </c>
      <c r="AY130" s="106">
        <v>0</v>
      </c>
    </row>
    <row r="131" spans="1:51">
      <c r="A131" s="109"/>
      <c r="B131" s="119">
        <v>10</v>
      </c>
      <c r="C131" s="106">
        <v>0</v>
      </c>
      <c r="D131" s="106">
        <v>0</v>
      </c>
      <c r="E131" s="106">
        <v>0</v>
      </c>
      <c r="F131" s="106">
        <v>0</v>
      </c>
      <c r="G131" s="106">
        <v>0</v>
      </c>
      <c r="H131" s="106">
        <v>0</v>
      </c>
      <c r="I131" s="106">
        <v>0</v>
      </c>
      <c r="J131" s="106">
        <v>0</v>
      </c>
      <c r="K131" s="106">
        <v>0</v>
      </c>
      <c r="L131" s="106">
        <v>0</v>
      </c>
      <c r="M131" s="106">
        <v>0</v>
      </c>
      <c r="N131" s="106">
        <v>0</v>
      </c>
      <c r="O131" s="106">
        <v>0</v>
      </c>
      <c r="P131" s="106">
        <v>0</v>
      </c>
      <c r="Q131" s="106">
        <v>0</v>
      </c>
      <c r="R131" s="106">
        <v>0</v>
      </c>
      <c r="S131" s="106">
        <v>0</v>
      </c>
      <c r="T131" s="106">
        <v>0</v>
      </c>
      <c r="U131" s="106">
        <v>0</v>
      </c>
      <c r="V131" s="106">
        <v>0</v>
      </c>
      <c r="W131" s="106">
        <v>0</v>
      </c>
      <c r="X131" s="106">
        <v>0</v>
      </c>
      <c r="Y131" s="106">
        <v>0</v>
      </c>
      <c r="Z131" s="106">
        <v>0</v>
      </c>
      <c r="AA131" s="106">
        <v>0</v>
      </c>
      <c r="AB131" s="106">
        <v>0</v>
      </c>
      <c r="AC131" s="106">
        <v>0</v>
      </c>
      <c r="AD131" s="106">
        <v>0</v>
      </c>
      <c r="AE131" s="106">
        <v>0</v>
      </c>
      <c r="AF131" s="106">
        <v>0</v>
      </c>
      <c r="AG131" s="106">
        <v>0</v>
      </c>
      <c r="AH131" s="106">
        <v>0</v>
      </c>
      <c r="AI131" s="106">
        <v>0</v>
      </c>
      <c r="AJ131" s="106">
        <v>0</v>
      </c>
      <c r="AK131" s="106">
        <v>0</v>
      </c>
      <c r="AL131" s="106">
        <v>0</v>
      </c>
      <c r="AM131" s="106">
        <v>0</v>
      </c>
      <c r="AN131" s="106">
        <v>0</v>
      </c>
      <c r="AO131" s="106">
        <v>0</v>
      </c>
      <c r="AP131" s="106">
        <v>0</v>
      </c>
      <c r="AQ131" s="106">
        <v>0</v>
      </c>
      <c r="AR131" s="106">
        <v>0</v>
      </c>
      <c r="AS131" s="106">
        <v>0</v>
      </c>
      <c r="AT131" s="106">
        <v>0</v>
      </c>
      <c r="AU131" s="106">
        <v>0</v>
      </c>
      <c r="AV131" s="106">
        <v>0</v>
      </c>
      <c r="AW131" s="106">
        <v>0</v>
      </c>
      <c r="AX131" s="106">
        <v>0</v>
      </c>
      <c r="AY131" s="106">
        <v>0</v>
      </c>
    </row>
    <row r="132" spans="1:51">
      <c r="A132" s="109"/>
      <c r="B132" s="119">
        <v>11</v>
      </c>
      <c r="C132" s="106">
        <v>0</v>
      </c>
      <c r="D132" s="106">
        <v>0</v>
      </c>
      <c r="E132" s="106">
        <v>0</v>
      </c>
      <c r="F132" s="106">
        <v>0</v>
      </c>
      <c r="G132" s="106">
        <v>0</v>
      </c>
      <c r="H132" s="106">
        <v>0</v>
      </c>
      <c r="I132" s="106">
        <v>0</v>
      </c>
      <c r="J132" s="106">
        <v>0</v>
      </c>
      <c r="K132" s="106">
        <v>0</v>
      </c>
      <c r="L132" s="106">
        <v>0</v>
      </c>
      <c r="M132" s="106">
        <v>0</v>
      </c>
      <c r="N132" s="106">
        <v>0</v>
      </c>
      <c r="O132" s="106">
        <v>0</v>
      </c>
      <c r="P132" s="106">
        <v>0</v>
      </c>
      <c r="Q132" s="106">
        <v>0</v>
      </c>
      <c r="R132" s="106">
        <v>0</v>
      </c>
      <c r="S132" s="106">
        <v>0</v>
      </c>
      <c r="T132" s="106">
        <v>0</v>
      </c>
      <c r="U132" s="106">
        <v>0</v>
      </c>
      <c r="V132" s="106">
        <v>0</v>
      </c>
      <c r="W132" s="106">
        <v>0</v>
      </c>
      <c r="X132" s="106">
        <v>0</v>
      </c>
      <c r="Y132" s="106">
        <v>0</v>
      </c>
      <c r="Z132" s="106">
        <v>0</v>
      </c>
      <c r="AA132" s="106">
        <v>0</v>
      </c>
      <c r="AB132" s="106">
        <v>0</v>
      </c>
      <c r="AC132" s="106">
        <v>0</v>
      </c>
      <c r="AD132" s="106">
        <v>0</v>
      </c>
      <c r="AE132" s="106">
        <v>0</v>
      </c>
      <c r="AF132" s="106">
        <v>0</v>
      </c>
      <c r="AG132" s="106">
        <v>0</v>
      </c>
      <c r="AH132" s="106">
        <v>0</v>
      </c>
      <c r="AI132" s="106">
        <v>0</v>
      </c>
      <c r="AJ132" s="106">
        <v>0</v>
      </c>
      <c r="AK132" s="106">
        <v>0</v>
      </c>
      <c r="AL132" s="106">
        <v>0</v>
      </c>
      <c r="AM132" s="106">
        <v>0</v>
      </c>
      <c r="AN132" s="106">
        <v>0</v>
      </c>
      <c r="AO132" s="106">
        <v>0</v>
      </c>
      <c r="AP132" s="106">
        <v>0</v>
      </c>
      <c r="AQ132" s="106">
        <v>0</v>
      </c>
      <c r="AR132" s="106">
        <v>0</v>
      </c>
      <c r="AS132" s="106">
        <v>0</v>
      </c>
      <c r="AT132" s="106">
        <v>0</v>
      </c>
      <c r="AU132" s="106">
        <v>0</v>
      </c>
      <c r="AV132" s="106">
        <v>0</v>
      </c>
      <c r="AW132" s="106">
        <v>0</v>
      </c>
      <c r="AX132" s="106">
        <v>0</v>
      </c>
      <c r="AY132" s="106">
        <v>0</v>
      </c>
    </row>
    <row r="133" spans="1:51">
      <c r="A133" s="109"/>
      <c r="B133" s="119">
        <v>12</v>
      </c>
      <c r="C133" s="106">
        <v>0</v>
      </c>
      <c r="D133" s="106">
        <v>0</v>
      </c>
      <c r="E133" s="106">
        <v>0</v>
      </c>
      <c r="F133" s="106">
        <v>0</v>
      </c>
      <c r="G133" s="106">
        <v>0</v>
      </c>
      <c r="H133" s="106">
        <v>0</v>
      </c>
      <c r="I133" s="106">
        <v>0</v>
      </c>
      <c r="J133" s="106">
        <v>0</v>
      </c>
      <c r="K133" s="106">
        <v>0</v>
      </c>
      <c r="L133" s="106">
        <v>0</v>
      </c>
      <c r="M133" s="106">
        <v>0</v>
      </c>
      <c r="N133" s="106">
        <v>0</v>
      </c>
      <c r="O133" s="106">
        <v>0</v>
      </c>
      <c r="P133" s="106">
        <v>0</v>
      </c>
      <c r="Q133" s="106">
        <v>0</v>
      </c>
      <c r="R133" s="106">
        <v>0</v>
      </c>
      <c r="S133" s="106">
        <v>0</v>
      </c>
      <c r="T133" s="106">
        <v>0</v>
      </c>
      <c r="U133" s="106">
        <v>0</v>
      </c>
      <c r="V133" s="106">
        <v>0</v>
      </c>
      <c r="W133" s="106">
        <v>0</v>
      </c>
      <c r="X133" s="106">
        <v>0</v>
      </c>
      <c r="Y133" s="106">
        <v>0</v>
      </c>
      <c r="Z133" s="106">
        <v>0</v>
      </c>
      <c r="AA133" s="106">
        <v>0</v>
      </c>
      <c r="AB133" s="106">
        <v>0</v>
      </c>
      <c r="AC133" s="106">
        <v>0</v>
      </c>
      <c r="AD133" s="106">
        <v>0</v>
      </c>
      <c r="AE133" s="106">
        <v>0</v>
      </c>
      <c r="AF133" s="106">
        <v>0</v>
      </c>
      <c r="AG133" s="106">
        <v>0</v>
      </c>
      <c r="AH133" s="106">
        <v>0</v>
      </c>
      <c r="AI133" s="106">
        <v>0</v>
      </c>
      <c r="AJ133" s="106">
        <v>0</v>
      </c>
      <c r="AK133" s="106">
        <v>0</v>
      </c>
      <c r="AL133" s="106">
        <v>0</v>
      </c>
      <c r="AM133" s="106">
        <v>0</v>
      </c>
      <c r="AN133" s="106">
        <v>0</v>
      </c>
      <c r="AO133" s="106">
        <v>0</v>
      </c>
      <c r="AP133" s="106">
        <v>0</v>
      </c>
      <c r="AQ133" s="106">
        <v>0</v>
      </c>
      <c r="AR133" s="106">
        <v>0</v>
      </c>
      <c r="AS133" s="106">
        <v>0</v>
      </c>
      <c r="AT133" s="106">
        <v>0</v>
      </c>
      <c r="AU133" s="106">
        <v>0</v>
      </c>
      <c r="AV133" s="106">
        <v>0</v>
      </c>
      <c r="AW133" s="106">
        <v>0</v>
      </c>
      <c r="AX133" s="106">
        <v>0</v>
      </c>
      <c r="AY133" s="106">
        <v>0</v>
      </c>
    </row>
    <row r="134" spans="1:51">
      <c r="A134" s="109"/>
      <c r="B134" s="120">
        <v>13</v>
      </c>
      <c r="C134" s="106">
        <v>0</v>
      </c>
      <c r="D134" s="106">
        <v>0</v>
      </c>
      <c r="E134" s="106">
        <v>0</v>
      </c>
      <c r="F134" s="106">
        <v>0</v>
      </c>
      <c r="G134" s="106">
        <v>0</v>
      </c>
      <c r="H134" s="106">
        <v>0</v>
      </c>
      <c r="I134" s="106">
        <v>0</v>
      </c>
      <c r="J134" s="106">
        <v>0</v>
      </c>
      <c r="K134" s="106">
        <v>0</v>
      </c>
      <c r="L134" s="106">
        <v>0</v>
      </c>
      <c r="M134" s="106">
        <v>0</v>
      </c>
      <c r="N134" s="106">
        <v>0</v>
      </c>
      <c r="O134" s="106">
        <v>0</v>
      </c>
      <c r="P134" s="106">
        <v>0</v>
      </c>
      <c r="Q134" s="106">
        <v>0</v>
      </c>
      <c r="R134" s="106">
        <v>0</v>
      </c>
      <c r="S134" s="106">
        <v>0</v>
      </c>
      <c r="T134" s="106">
        <v>0</v>
      </c>
      <c r="U134" s="106">
        <v>0</v>
      </c>
      <c r="V134" s="106">
        <v>0</v>
      </c>
      <c r="W134" s="106">
        <v>0</v>
      </c>
      <c r="X134" s="106">
        <v>0</v>
      </c>
      <c r="Y134" s="106">
        <v>0</v>
      </c>
      <c r="Z134" s="106">
        <v>0</v>
      </c>
      <c r="AA134" s="106">
        <v>0</v>
      </c>
      <c r="AB134" s="106">
        <v>0</v>
      </c>
      <c r="AC134" s="106">
        <v>0</v>
      </c>
      <c r="AD134" s="106">
        <v>0</v>
      </c>
      <c r="AE134" s="106">
        <v>0</v>
      </c>
      <c r="AF134" s="106">
        <v>0</v>
      </c>
      <c r="AG134" s="106">
        <v>0</v>
      </c>
      <c r="AH134" s="106">
        <v>0</v>
      </c>
      <c r="AI134" s="106">
        <v>0</v>
      </c>
      <c r="AJ134" s="106">
        <v>0</v>
      </c>
      <c r="AK134" s="106">
        <v>0</v>
      </c>
      <c r="AL134" s="106">
        <v>0</v>
      </c>
      <c r="AM134" s="106">
        <v>0</v>
      </c>
      <c r="AN134" s="106">
        <v>0</v>
      </c>
      <c r="AO134" s="106">
        <v>0</v>
      </c>
      <c r="AP134" s="106">
        <v>0</v>
      </c>
      <c r="AQ134" s="106">
        <v>0</v>
      </c>
      <c r="AR134" s="106">
        <v>0</v>
      </c>
      <c r="AS134" s="106">
        <v>0</v>
      </c>
      <c r="AT134" s="106">
        <v>0</v>
      </c>
      <c r="AU134" s="106">
        <v>0</v>
      </c>
      <c r="AV134" s="106">
        <v>0</v>
      </c>
      <c r="AW134" s="106">
        <v>0</v>
      </c>
      <c r="AX134" s="106">
        <v>0</v>
      </c>
      <c r="AY134" s="106">
        <v>0</v>
      </c>
    </row>
    <row r="135" spans="1:51">
      <c r="A135" s="109"/>
      <c r="B135" s="120">
        <v>14</v>
      </c>
      <c r="C135" s="106">
        <v>0</v>
      </c>
      <c r="D135" s="106">
        <v>0</v>
      </c>
      <c r="E135" s="106">
        <v>0</v>
      </c>
      <c r="F135" s="106">
        <v>0</v>
      </c>
      <c r="G135" s="106">
        <v>0</v>
      </c>
      <c r="H135" s="106">
        <v>0</v>
      </c>
      <c r="I135" s="106">
        <v>0</v>
      </c>
      <c r="J135" s="106">
        <v>0</v>
      </c>
      <c r="K135" s="106">
        <v>0</v>
      </c>
      <c r="L135" s="106">
        <v>0</v>
      </c>
      <c r="M135" s="106">
        <v>0</v>
      </c>
      <c r="N135" s="106">
        <v>0</v>
      </c>
      <c r="O135" s="106">
        <v>0</v>
      </c>
      <c r="P135" s="106">
        <v>0</v>
      </c>
      <c r="Q135" s="106">
        <v>0</v>
      </c>
      <c r="R135" s="106">
        <v>0</v>
      </c>
      <c r="S135" s="106">
        <v>0</v>
      </c>
      <c r="T135" s="106">
        <v>0</v>
      </c>
      <c r="U135" s="106">
        <v>0</v>
      </c>
      <c r="V135" s="106">
        <v>0</v>
      </c>
      <c r="W135" s="106">
        <v>0</v>
      </c>
      <c r="X135" s="106">
        <v>0</v>
      </c>
      <c r="Y135" s="106">
        <v>0</v>
      </c>
      <c r="Z135" s="106">
        <v>0</v>
      </c>
      <c r="AA135" s="106">
        <v>0</v>
      </c>
      <c r="AB135" s="106">
        <v>0</v>
      </c>
      <c r="AC135" s="106">
        <v>0</v>
      </c>
      <c r="AD135" s="106">
        <v>0</v>
      </c>
      <c r="AE135" s="106">
        <v>0</v>
      </c>
      <c r="AF135" s="106">
        <v>0</v>
      </c>
      <c r="AG135" s="106">
        <v>0</v>
      </c>
      <c r="AH135" s="106">
        <v>0</v>
      </c>
      <c r="AI135" s="106">
        <v>0</v>
      </c>
      <c r="AJ135" s="106">
        <v>0</v>
      </c>
      <c r="AK135" s="106">
        <v>0</v>
      </c>
      <c r="AL135" s="106">
        <v>0</v>
      </c>
      <c r="AM135" s="106">
        <v>0</v>
      </c>
      <c r="AN135" s="106">
        <v>0</v>
      </c>
      <c r="AO135" s="106">
        <v>0</v>
      </c>
      <c r="AP135" s="106">
        <v>0</v>
      </c>
      <c r="AQ135" s="106">
        <v>0</v>
      </c>
      <c r="AR135" s="106">
        <v>0</v>
      </c>
      <c r="AS135" s="106">
        <v>0</v>
      </c>
      <c r="AT135" s="106">
        <v>0</v>
      </c>
      <c r="AU135" s="106">
        <v>0</v>
      </c>
      <c r="AV135" s="106">
        <v>0</v>
      </c>
      <c r="AW135" s="106">
        <v>0</v>
      </c>
      <c r="AX135" s="106">
        <v>0</v>
      </c>
      <c r="AY135" s="106">
        <v>0</v>
      </c>
    </row>
    <row r="136" spans="1:51">
      <c r="A136" s="109"/>
      <c r="B136" s="120">
        <v>15</v>
      </c>
      <c r="C136" s="106">
        <v>0</v>
      </c>
      <c r="D136" s="106">
        <v>0</v>
      </c>
      <c r="E136" s="106">
        <v>0</v>
      </c>
      <c r="F136" s="106">
        <v>0</v>
      </c>
      <c r="G136" s="106">
        <v>0</v>
      </c>
      <c r="H136" s="106">
        <v>0</v>
      </c>
      <c r="I136" s="106">
        <v>0</v>
      </c>
      <c r="J136" s="106">
        <v>0</v>
      </c>
      <c r="K136" s="106">
        <v>0</v>
      </c>
      <c r="L136" s="106">
        <v>0</v>
      </c>
      <c r="M136" s="106">
        <v>0</v>
      </c>
      <c r="N136" s="106">
        <v>0</v>
      </c>
      <c r="O136" s="106">
        <v>0</v>
      </c>
      <c r="P136" s="106">
        <v>0</v>
      </c>
      <c r="Q136" s="106">
        <v>0</v>
      </c>
      <c r="R136" s="106">
        <v>0</v>
      </c>
      <c r="S136" s="106">
        <v>0</v>
      </c>
      <c r="T136" s="106">
        <v>0</v>
      </c>
      <c r="U136" s="106">
        <v>0</v>
      </c>
      <c r="V136" s="106">
        <v>0</v>
      </c>
      <c r="W136" s="106">
        <v>0</v>
      </c>
      <c r="X136" s="106">
        <v>0</v>
      </c>
      <c r="Y136" s="106">
        <v>0</v>
      </c>
      <c r="Z136" s="106">
        <v>0</v>
      </c>
      <c r="AA136" s="106">
        <v>0</v>
      </c>
      <c r="AB136" s="106">
        <v>0</v>
      </c>
      <c r="AC136" s="106">
        <v>0</v>
      </c>
      <c r="AD136" s="106">
        <v>0</v>
      </c>
      <c r="AE136" s="106">
        <v>0</v>
      </c>
      <c r="AF136" s="106">
        <v>0</v>
      </c>
      <c r="AG136" s="106">
        <v>0</v>
      </c>
      <c r="AH136" s="106">
        <v>0</v>
      </c>
      <c r="AI136" s="106">
        <v>0</v>
      </c>
      <c r="AJ136" s="106">
        <v>0</v>
      </c>
      <c r="AK136" s="106">
        <v>0</v>
      </c>
      <c r="AL136" s="106">
        <v>0</v>
      </c>
      <c r="AM136" s="106">
        <v>0</v>
      </c>
      <c r="AN136" s="106">
        <v>0</v>
      </c>
      <c r="AO136" s="106">
        <v>0</v>
      </c>
      <c r="AP136" s="106">
        <v>0</v>
      </c>
      <c r="AQ136" s="106">
        <v>0</v>
      </c>
      <c r="AR136" s="106">
        <v>0</v>
      </c>
      <c r="AS136" s="106">
        <v>0</v>
      </c>
      <c r="AT136" s="106">
        <v>0</v>
      </c>
      <c r="AU136" s="106">
        <v>0</v>
      </c>
      <c r="AV136" s="106">
        <v>0</v>
      </c>
      <c r="AW136" s="106">
        <v>0</v>
      </c>
      <c r="AX136" s="106">
        <v>0</v>
      </c>
      <c r="AY136" s="106">
        <v>0</v>
      </c>
    </row>
    <row r="137" spans="1:51">
      <c r="A137" s="109"/>
      <c r="B137" s="120">
        <v>16</v>
      </c>
      <c r="C137" s="106">
        <v>0</v>
      </c>
      <c r="D137" s="106">
        <v>0</v>
      </c>
      <c r="E137" s="106">
        <v>0</v>
      </c>
      <c r="F137" s="106">
        <v>0</v>
      </c>
      <c r="G137" s="106">
        <v>0</v>
      </c>
      <c r="H137" s="106">
        <v>0</v>
      </c>
      <c r="I137" s="106">
        <v>0</v>
      </c>
      <c r="J137" s="106">
        <v>0</v>
      </c>
      <c r="K137" s="106">
        <v>0</v>
      </c>
      <c r="L137" s="106">
        <v>0</v>
      </c>
      <c r="M137" s="106">
        <v>0</v>
      </c>
      <c r="N137" s="106">
        <v>0</v>
      </c>
      <c r="O137" s="106">
        <v>0</v>
      </c>
      <c r="P137" s="106">
        <v>0</v>
      </c>
      <c r="Q137" s="106">
        <v>0</v>
      </c>
      <c r="R137" s="106">
        <v>0</v>
      </c>
      <c r="S137" s="106">
        <v>0</v>
      </c>
      <c r="T137" s="106">
        <v>0</v>
      </c>
      <c r="U137" s="106">
        <v>0</v>
      </c>
      <c r="V137" s="106">
        <v>0</v>
      </c>
      <c r="W137" s="106">
        <v>0</v>
      </c>
      <c r="X137" s="106">
        <v>0</v>
      </c>
      <c r="Y137" s="106">
        <v>0</v>
      </c>
      <c r="Z137" s="106">
        <v>0</v>
      </c>
      <c r="AA137" s="106">
        <v>0</v>
      </c>
      <c r="AB137" s="106">
        <v>0</v>
      </c>
      <c r="AC137" s="106">
        <v>0</v>
      </c>
      <c r="AD137" s="106">
        <v>0</v>
      </c>
      <c r="AE137" s="106">
        <v>0</v>
      </c>
      <c r="AF137" s="106">
        <v>0</v>
      </c>
      <c r="AG137" s="106">
        <v>0</v>
      </c>
      <c r="AH137" s="106">
        <v>0</v>
      </c>
      <c r="AI137" s="106">
        <v>0</v>
      </c>
      <c r="AJ137" s="106">
        <v>0</v>
      </c>
      <c r="AK137" s="106">
        <v>0</v>
      </c>
      <c r="AL137" s="106">
        <v>0</v>
      </c>
      <c r="AM137" s="106">
        <v>0</v>
      </c>
      <c r="AN137" s="106">
        <v>0</v>
      </c>
      <c r="AO137" s="106">
        <v>0</v>
      </c>
      <c r="AP137" s="106">
        <v>0</v>
      </c>
      <c r="AQ137" s="106">
        <v>0</v>
      </c>
      <c r="AR137" s="106">
        <v>0</v>
      </c>
      <c r="AS137" s="106">
        <v>0</v>
      </c>
      <c r="AT137" s="106">
        <v>0</v>
      </c>
      <c r="AU137" s="106">
        <v>0</v>
      </c>
      <c r="AV137" s="106">
        <v>0</v>
      </c>
      <c r="AW137" s="106">
        <v>0</v>
      </c>
      <c r="AX137" s="106">
        <v>0</v>
      </c>
      <c r="AY137" s="106">
        <v>0</v>
      </c>
    </row>
    <row r="138" spans="1:51">
      <c r="A138" s="109"/>
      <c r="B138" s="120">
        <v>17</v>
      </c>
      <c r="C138" s="106">
        <v>0</v>
      </c>
      <c r="D138" s="106">
        <v>0</v>
      </c>
      <c r="E138" s="106">
        <v>0</v>
      </c>
      <c r="F138" s="106">
        <v>0</v>
      </c>
      <c r="G138" s="106">
        <v>0</v>
      </c>
      <c r="H138" s="106">
        <v>0</v>
      </c>
      <c r="I138" s="106">
        <v>0</v>
      </c>
      <c r="J138" s="106">
        <v>0</v>
      </c>
      <c r="K138" s="106">
        <v>0</v>
      </c>
      <c r="L138" s="106">
        <v>0</v>
      </c>
      <c r="M138" s="106">
        <v>0</v>
      </c>
      <c r="N138" s="106">
        <v>0</v>
      </c>
      <c r="O138" s="106">
        <v>0</v>
      </c>
      <c r="P138" s="106">
        <v>0</v>
      </c>
      <c r="Q138" s="106">
        <v>0</v>
      </c>
      <c r="R138" s="106">
        <v>0</v>
      </c>
      <c r="S138" s="106">
        <v>0</v>
      </c>
      <c r="T138" s="106">
        <v>0</v>
      </c>
      <c r="U138" s="106">
        <v>0</v>
      </c>
      <c r="V138" s="106">
        <v>0</v>
      </c>
      <c r="W138" s="106">
        <v>0</v>
      </c>
      <c r="X138" s="106">
        <v>0</v>
      </c>
      <c r="Y138" s="106">
        <v>0</v>
      </c>
      <c r="Z138" s="106">
        <v>0</v>
      </c>
      <c r="AA138" s="106">
        <v>0</v>
      </c>
      <c r="AB138" s="106">
        <v>0</v>
      </c>
      <c r="AC138" s="106">
        <v>0</v>
      </c>
      <c r="AD138" s="106">
        <v>0</v>
      </c>
      <c r="AE138" s="106">
        <v>0</v>
      </c>
      <c r="AF138" s="106">
        <v>0</v>
      </c>
      <c r="AG138" s="106">
        <v>0</v>
      </c>
      <c r="AH138" s="106">
        <v>0</v>
      </c>
      <c r="AI138" s="106">
        <v>0</v>
      </c>
      <c r="AJ138" s="106">
        <v>0</v>
      </c>
      <c r="AK138" s="106">
        <v>0</v>
      </c>
      <c r="AL138" s="106">
        <v>0</v>
      </c>
      <c r="AM138" s="106">
        <v>0</v>
      </c>
      <c r="AN138" s="106">
        <v>0</v>
      </c>
      <c r="AO138" s="106">
        <v>0</v>
      </c>
      <c r="AP138" s="106">
        <v>0</v>
      </c>
      <c r="AQ138" s="106">
        <v>0</v>
      </c>
      <c r="AR138" s="106">
        <v>0</v>
      </c>
      <c r="AS138" s="106">
        <v>0</v>
      </c>
      <c r="AT138" s="106">
        <v>0</v>
      </c>
      <c r="AU138" s="106">
        <v>0</v>
      </c>
      <c r="AV138" s="106">
        <v>0</v>
      </c>
      <c r="AW138" s="106">
        <v>0</v>
      </c>
      <c r="AX138" s="106">
        <v>0</v>
      </c>
      <c r="AY138" s="106">
        <v>0</v>
      </c>
    </row>
    <row r="139" spans="1:51">
      <c r="A139" s="109"/>
      <c r="B139" s="120">
        <v>18</v>
      </c>
      <c r="C139" s="106">
        <v>0</v>
      </c>
      <c r="D139" s="106">
        <v>0</v>
      </c>
      <c r="E139" s="106">
        <v>0</v>
      </c>
      <c r="F139" s="106">
        <v>0</v>
      </c>
      <c r="G139" s="106">
        <v>0</v>
      </c>
      <c r="H139" s="106">
        <v>0</v>
      </c>
      <c r="I139" s="106">
        <v>0</v>
      </c>
      <c r="J139" s="106">
        <v>0</v>
      </c>
      <c r="K139" s="106">
        <v>0</v>
      </c>
      <c r="L139" s="106">
        <v>0</v>
      </c>
      <c r="M139" s="106">
        <v>0</v>
      </c>
      <c r="N139" s="106">
        <v>0</v>
      </c>
      <c r="O139" s="106">
        <v>0</v>
      </c>
      <c r="P139" s="106">
        <v>0</v>
      </c>
      <c r="Q139" s="106">
        <v>0</v>
      </c>
      <c r="R139" s="106">
        <v>0</v>
      </c>
      <c r="S139" s="106">
        <v>0</v>
      </c>
      <c r="T139" s="106">
        <v>0</v>
      </c>
      <c r="U139" s="106">
        <v>0</v>
      </c>
      <c r="V139" s="106">
        <v>0</v>
      </c>
      <c r="W139" s="106">
        <v>0</v>
      </c>
      <c r="X139" s="106">
        <v>0</v>
      </c>
      <c r="Y139" s="106">
        <v>0</v>
      </c>
      <c r="Z139" s="106">
        <v>0</v>
      </c>
      <c r="AA139" s="106">
        <v>0</v>
      </c>
      <c r="AB139" s="106">
        <v>0</v>
      </c>
      <c r="AC139" s="106">
        <v>0</v>
      </c>
      <c r="AD139" s="106">
        <v>0</v>
      </c>
      <c r="AE139" s="106">
        <v>0</v>
      </c>
      <c r="AF139" s="106">
        <v>0</v>
      </c>
      <c r="AG139" s="106">
        <v>0</v>
      </c>
      <c r="AH139" s="106">
        <v>0</v>
      </c>
      <c r="AI139" s="106">
        <v>0</v>
      </c>
      <c r="AJ139" s="106">
        <v>0</v>
      </c>
      <c r="AK139" s="106">
        <v>0</v>
      </c>
      <c r="AL139" s="106">
        <v>0</v>
      </c>
      <c r="AM139" s="106">
        <v>0</v>
      </c>
      <c r="AN139" s="106">
        <v>0</v>
      </c>
      <c r="AO139" s="106">
        <v>0</v>
      </c>
      <c r="AP139" s="106">
        <v>0</v>
      </c>
      <c r="AQ139" s="106">
        <v>0</v>
      </c>
      <c r="AR139" s="106">
        <v>0</v>
      </c>
      <c r="AS139" s="106">
        <v>0</v>
      </c>
      <c r="AT139" s="106">
        <v>0</v>
      </c>
      <c r="AU139" s="106">
        <v>0</v>
      </c>
      <c r="AV139" s="106">
        <v>0</v>
      </c>
      <c r="AW139" s="106">
        <v>0</v>
      </c>
      <c r="AX139" s="106">
        <v>0</v>
      </c>
      <c r="AY139" s="106">
        <v>0</v>
      </c>
    </row>
    <row r="140" spans="1:51">
      <c r="A140" s="109"/>
      <c r="B140" s="120">
        <v>19</v>
      </c>
      <c r="C140" s="106">
        <v>0</v>
      </c>
      <c r="D140" s="106">
        <v>0</v>
      </c>
      <c r="E140" s="106">
        <v>0</v>
      </c>
      <c r="F140" s="106">
        <v>0</v>
      </c>
      <c r="G140" s="106">
        <v>0</v>
      </c>
      <c r="H140" s="106">
        <v>0</v>
      </c>
      <c r="I140" s="106">
        <v>0</v>
      </c>
      <c r="J140" s="106">
        <v>0</v>
      </c>
      <c r="K140" s="106">
        <v>0</v>
      </c>
      <c r="L140" s="106">
        <v>0</v>
      </c>
      <c r="M140" s="106">
        <v>0</v>
      </c>
      <c r="N140" s="106">
        <v>0</v>
      </c>
      <c r="O140" s="106">
        <v>0</v>
      </c>
      <c r="P140" s="106">
        <v>0</v>
      </c>
      <c r="Q140" s="106">
        <v>0</v>
      </c>
      <c r="R140" s="106">
        <v>0</v>
      </c>
      <c r="S140" s="106">
        <v>0</v>
      </c>
      <c r="T140" s="106">
        <v>0</v>
      </c>
      <c r="U140" s="106">
        <v>0</v>
      </c>
      <c r="V140" s="106">
        <v>0</v>
      </c>
      <c r="W140" s="106">
        <v>0</v>
      </c>
      <c r="X140" s="106">
        <v>0</v>
      </c>
      <c r="Y140" s="106">
        <v>0</v>
      </c>
      <c r="Z140" s="106">
        <v>0</v>
      </c>
      <c r="AA140" s="106">
        <v>0</v>
      </c>
      <c r="AB140" s="106">
        <v>0</v>
      </c>
      <c r="AC140" s="106">
        <v>0</v>
      </c>
      <c r="AD140" s="106">
        <v>0</v>
      </c>
      <c r="AE140" s="106">
        <v>0</v>
      </c>
      <c r="AF140" s="106">
        <v>0</v>
      </c>
      <c r="AG140" s="106">
        <v>0</v>
      </c>
      <c r="AH140" s="106">
        <v>0</v>
      </c>
      <c r="AI140" s="106">
        <v>0</v>
      </c>
      <c r="AJ140" s="106">
        <v>0</v>
      </c>
      <c r="AK140" s="106">
        <v>0</v>
      </c>
      <c r="AL140" s="106">
        <v>0</v>
      </c>
      <c r="AM140" s="106">
        <v>0</v>
      </c>
      <c r="AN140" s="106">
        <v>0</v>
      </c>
      <c r="AO140" s="106">
        <v>0</v>
      </c>
      <c r="AP140" s="106">
        <v>0</v>
      </c>
      <c r="AQ140" s="106">
        <v>0</v>
      </c>
      <c r="AR140" s="106">
        <v>0</v>
      </c>
      <c r="AS140" s="106">
        <v>0</v>
      </c>
      <c r="AT140" s="106">
        <v>0</v>
      </c>
      <c r="AU140" s="106">
        <v>0</v>
      </c>
      <c r="AV140" s="106">
        <v>0</v>
      </c>
      <c r="AW140" s="106">
        <v>0</v>
      </c>
      <c r="AX140" s="106">
        <v>0</v>
      </c>
      <c r="AY140" s="106">
        <v>0</v>
      </c>
    </row>
    <row r="141" spans="1:51">
      <c r="A141" s="109"/>
      <c r="B141" s="120">
        <v>20</v>
      </c>
      <c r="C141" s="106">
        <v>0</v>
      </c>
      <c r="D141" s="106">
        <v>0</v>
      </c>
      <c r="E141" s="106">
        <v>0</v>
      </c>
      <c r="F141" s="106">
        <v>0</v>
      </c>
      <c r="G141" s="106">
        <v>0</v>
      </c>
      <c r="H141" s="106">
        <v>0</v>
      </c>
      <c r="I141" s="106">
        <v>0</v>
      </c>
      <c r="J141" s="106">
        <v>0</v>
      </c>
      <c r="K141" s="106">
        <v>0</v>
      </c>
      <c r="L141" s="106">
        <v>0</v>
      </c>
      <c r="M141" s="106">
        <v>0</v>
      </c>
      <c r="N141" s="106">
        <v>0</v>
      </c>
      <c r="O141" s="106">
        <v>0</v>
      </c>
      <c r="P141" s="106">
        <v>0</v>
      </c>
      <c r="Q141" s="106">
        <v>0</v>
      </c>
      <c r="R141" s="106">
        <v>0</v>
      </c>
      <c r="S141" s="106">
        <v>0</v>
      </c>
      <c r="T141" s="106">
        <v>0</v>
      </c>
      <c r="U141" s="106">
        <v>0</v>
      </c>
      <c r="V141" s="106">
        <v>0</v>
      </c>
      <c r="W141" s="106">
        <v>0</v>
      </c>
      <c r="X141" s="106">
        <v>0</v>
      </c>
      <c r="Y141" s="106">
        <v>0</v>
      </c>
      <c r="Z141" s="106">
        <v>0</v>
      </c>
      <c r="AA141" s="106">
        <v>0</v>
      </c>
      <c r="AB141" s="106">
        <v>0</v>
      </c>
      <c r="AC141" s="106">
        <v>0</v>
      </c>
      <c r="AD141" s="106">
        <v>0</v>
      </c>
      <c r="AE141" s="106">
        <v>0</v>
      </c>
      <c r="AF141" s="106">
        <v>0</v>
      </c>
      <c r="AG141" s="106">
        <v>0</v>
      </c>
      <c r="AH141" s="106">
        <v>0</v>
      </c>
      <c r="AI141" s="106">
        <v>0</v>
      </c>
      <c r="AJ141" s="106">
        <v>0</v>
      </c>
      <c r="AK141" s="106">
        <v>0</v>
      </c>
      <c r="AL141" s="106">
        <v>0</v>
      </c>
      <c r="AM141" s="106">
        <v>0</v>
      </c>
      <c r="AN141" s="106">
        <v>0</v>
      </c>
      <c r="AO141" s="106">
        <v>0</v>
      </c>
      <c r="AP141" s="106">
        <v>0</v>
      </c>
      <c r="AQ141" s="106">
        <v>0</v>
      </c>
      <c r="AR141" s="106">
        <v>0</v>
      </c>
      <c r="AS141" s="106">
        <v>0</v>
      </c>
      <c r="AT141" s="106">
        <v>0</v>
      </c>
      <c r="AU141" s="106">
        <v>0</v>
      </c>
      <c r="AV141" s="106">
        <v>0</v>
      </c>
      <c r="AW141" s="106">
        <v>0</v>
      </c>
      <c r="AX141" s="106">
        <v>0</v>
      </c>
      <c r="AY141" s="106">
        <v>0</v>
      </c>
    </row>
    <row r="142" spans="1:51">
      <c r="A142" s="109"/>
      <c r="B142" s="120">
        <v>21</v>
      </c>
      <c r="C142" s="106">
        <v>0</v>
      </c>
      <c r="D142" s="106">
        <v>0</v>
      </c>
      <c r="E142" s="106">
        <v>0</v>
      </c>
      <c r="F142" s="106">
        <v>0</v>
      </c>
      <c r="G142" s="106">
        <v>0</v>
      </c>
      <c r="H142" s="106">
        <v>0</v>
      </c>
      <c r="I142" s="106">
        <v>0</v>
      </c>
      <c r="J142" s="106">
        <v>0</v>
      </c>
      <c r="K142" s="106">
        <v>0</v>
      </c>
      <c r="L142" s="106">
        <v>0</v>
      </c>
      <c r="M142" s="106">
        <v>0</v>
      </c>
      <c r="N142" s="106">
        <v>0</v>
      </c>
      <c r="O142" s="106">
        <v>0</v>
      </c>
      <c r="P142" s="106">
        <v>0</v>
      </c>
      <c r="Q142" s="106">
        <v>0</v>
      </c>
      <c r="R142" s="106">
        <v>0</v>
      </c>
      <c r="S142" s="106">
        <v>0</v>
      </c>
      <c r="T142" s="106">
        <v>0</v>
      </c>
      <c r="U142" s="106">
        <v>0</v>
      </c>
      <c r="V142" s="106">
        <v>0</v>
      </c>
      <c r="W142" s="106">
        <v>0</v>
      </c>
      <c r="X142" s="106">
        <v>0</v>
      </c>
      <c r="Y142" s="106">
        <v>0</v>
      </c>
      <c r="Z142" s="106">
        <v>0</v>
      </c>
      <c r="AA142" s="106">
        <v>0</v>
      </c>
      <c r="AB142" s="106">
        <v>0</v>
      </c>
      <c r="AC142" s="106">
        <v>0</v>
      </c>
      <c r="AD142" s="106">
        <v>0</v>
      </c>
      <c r="AE142" s="106">
        <v>0</v>
      </c>
      <c r="AF142" s="106">
        <v>0</v>
      </c>
      <c r="AG142" s="106">
        <v>0</v>
      </c>
      <c r="AH142" s="106">
        <v>0</v>
      </c>
      <c r="AI142" s="106">
        <v>0</v>
      </c>
      <c r="AJ142" s="106">
        <v>0</v>
      </c>
      <c r="AK142" s="106">
        <v>0</v>
      </c>
      <c r="AL142" s="106">
        <v>0</v>
      </c>
      <c r="AM142" s="106">
        <v>0</v>
      </c>
      <c r="AN142" s="106">
        <v>0</v>
      </c>
      <c r="AO142" s="106">
        <v>0</v>
      </c>
      <c r="AP142" s="106">
        <v>0</v>
      </c>
      <c r="AQ142" s="106">
        <v>0</v>
      </c>
      <c r="AR142" s="106">
        <v>0</v>
      </c>
      <c r="AS142" s="106">
        <v>0</v>
      </c>
      <c r="AT142" s="106">
        <v>0</v>
      </c>
      <c r="AU142" s="106">
        <v>0</v>
      </c>
      <c r="AV142" s="106">
        <v>0</v>
      </c>
      <c r="AW142" s="106">
        <v>0</v>
      </c>
      <c r="AX142" s="106">
        <v>0</v>
      </c>
      <c r="AY142" s="106">
        <v>0</v>
      </c>
    </row>
    <row r="143" spans="1:51">
      <c r="A143" s="109"/>
      <c r="B143" s="120">
        <v>22</v>
      </c>
      <c r="C143" s="106">
        <v>0</v>
      </c>
      <c r="D143" s="106">
        <v>0</v>
      </c>
      <c r="E143" s="106">
        <v>0</v>
      </c>
      <c r="F143" s="106">
        <v>0</v>
      </c>
      <c r="G143" s="106">
        <v>0</v>
      </c>
      <c r="H143" s="106">
        <v>0</v>
      </c>
      <c r="I143" s="106">
        <v>0</v>
      </c>
      <c r="J143" s="106">
        <v>0</v>
      </c>
      <c r="K143" s="106">
        <v>0</v>
      </c>
      <c r="L143" s="106">
        <v>0</v>
      </c>
      <c r="M143" s="106">
        <v>0</v>
      </c>
      <c r="N143" s="106">
        <v>0</v>
      </c>
      <c r="O143" s="106">
        <v>0</v>
      </c>
      <c r="P143" s="106">
        <v>0</v>
      </c>
      <c r="Q143" s="106">
        <v>0</v>
      </c>
      <c r="R143" s="106">
        <v>0</v>
      </c>
      <c r="S143" s="106">
        <v>0</v>
      </c>
      <c r="T143" s="106">
        <v>0</v>
      </c>
      <c r="U143" s="106">
        <v>0</v>
      </c>
      <c r="V143" s="106">
        <v>0</v>
      </c>
      <c r="W143" s="106">
        <v>0</v>
      </c>
      <c r="X143" s="106">
        <v>0</v>
      </c>
      <c r="Y143" s="106">
        <v>0</v>
      </c>
      <c r="Z143" s="106">
        <v>0</v>
      </c>
      <c r="AA143" s="106">
        <v>0</v>
      </c>
      <c r="AB143" s="106">
        <v>0</v>
      </c>
      <c r="AC143" s="106">
        <v>0</v>
      </c>
      <c r="AD143" s="106">
        <v>0</v>
      </c>
      <c r="AE143" s="106">
        <v>0</v>
      </c>
      <c r="AF143" s="106">
        <v>0</v>
      </c>
      <c r="AG143" s="106">
        <v>0</v>
      </c>
      <c r="AH143" s="106">
        <v>0</v>
      </c>
      <c r="AI143" s="106">
        <v>0</v>
      </c>
      <c r="AJ143" s="106">
        <v>0</v>
      </c>
      <c r="AK143" s="106">
        <v>0</v>
      </c>
      <c r="AL143" s="106">
        <v>0</v>
      </c>
      <c r="AM143" s="106">
        <v>0</v>
      </c>
      <c r="AN143" s="106">
        <v>0</v>
      </c>
      <c r="AO143" s="106">
        <v>0</v>
      </c>
      <c r="AP143" s="106">
        <v>0</v>
      </c>
      <c r="AQ143" s="106">
        <v>0</v>
      </c>
      <c r="AR143" s="106">
        <v>0</v>
      </c>
      <c r="AS143" s="106">
        <v>0</v>
      </c>
      <c r="AT143" s="106">
        <v>0</v>
      </c>
      <c r="AU143" s="106">
        <v>0</v>
      </c>
      <c r="AV143" s="106">
        <v>0</v>
      </c>
      <c r="AW143" s="106">
        <v>0</v>
      </c>
      <c r="AX143" s="106">
        <v>0</v>
      </c>
      <c r="AY143" s="106">
        <v>0</v>
      </c>
    </row>
    <row r="144" spans="1:51">
      <c r="A144" s="109"/>
      <c r="B144" s="120">
        <v>23</v>
      </c>
      <c r="C144" s="106">
        <v>0</v>
      </c>
      <c r="D144" s="106">
        <v>0</v>
      </c>
      <c r="E144" s="106">
        <v>0</v>
      </c>
      <c r="F144" s="106">
        <v>0</v>
      </c>
      <c r="G144" s="106">
        <v>0</v>
      </c>
      <c r="H144" s="106">
        <v>0</v>
      </c>
      <c r="I144" s="106">
        <v>0</v>
      </c>
      <c r="J144" s="106">
        <v>0</v>
      </c>
      <c r="K144" s="106">
        <v>0</v>
      </c>
      <c r="L144" s="106">
        <v>0</v>
      </c>
      <c r="M144" s="106">
        <v>0</v>
      </c>
      <c r="N144" s="106">
        <v>0</v>
      </c>
      <c r="O144" s="106">
        <v>0</v>
      </c>
      <c r="P144" s="106">
        <v>0</v>
      </c>
      <c r="Q144" s="106">
        <v>0</v>
      </c>
      <c r="R144" s="106">
        <v>0</v>
      </c>
      <c r="S144" s="106">
        <v>0</v>
      </c>
      <c r="T144" s="106">
        <v>0</v>
      </c>
      <c r="U144" s="106">
        <v>0</v>
      </c>
      <c r="V144" s="106">
        <v>0</v>
      </c>
      <c r="W144" s="106">
        <v>0</v>
      </c>
      <c r="X144" s="106">
        <v>0</v>
      </c>
      <c r="Y144" s="106">
        <v>0</v>
      </c>
      <c r="Z144" s="106">
        <v>0</v>
      </c>
      <c r="AA144" s="106">
        <v>0</v>
      </c>
      <c r="AB144" s="106">
        <v>0</v>
      </c>
      <c r="AC144" s="106">
        <v>0</v>
      </c>
      <c r="AD144" s="106">
        <v>0</v>
      </c>
      <c r="AE144" s="106">
        <v>0</v>
      </c>
      <c r="AF144" s="106">
        <v>0</v>
      </c>
      <c r="AG144" s="106">
        <v>0</v>
      </c>
      <c r="AH144" s="106">
        <v>0</v>
      </c>
      <c r="AI144" s="106">
        <v>0</v>
      </c>
      <c r="AJ144" s="106">
        <v>0</v>
      </c>
      <c r="AK144" s="106">
        <v>0</v>
      </c>
      <c r="AL144" s="106">
        <v>0</v>
      </c>
      <c r="AM144" s="106">
        <v>0</v>
      </c>
      <c r="AN144" s="106">
        <v>0</v>
      </c>
      <c r="AO144" s="106">
        <v>0</v>
      </c>
      <c r="AP144" s="106">
        <v>0</v>
      </c>
      <c r="AQ144" s="106">
        <v>0</v>
      </c>
      <c r="AR144" s="106">
        <v>0</v>
      </c>
      <c r="AS144" s="106">
        <v>0</v>
      </c>
      <c r="AT144" s="106">
        <v>0</v>
      </c>
      <c r="AU144" s="106">
        <v>0</v>
      </c>
      <c r="AV144" s="106">
        <v>0</v>
      </c>
      <c r="AW144" s="106">
        <v>0</v>
      </c>
      <c r="AX144" s="106">
        <v>0</v>
      </c>
      <c r="AY144" s="106">
        <v>0</v>
      </c>
    </row>
    <row r="145" spans="1:51">
      <c r="A145" s="109"/>
      <c r="B145" s="120">
        <v>24</v>
      </c>
      <c r="C145" s="106">
        <v>0</v>
      </c>
      <c r="D145" s="106">
        <v>0</v>
      </c>
      <c r="E145" s="106">
        <v>0</v>
      </c>
      <c r="F145" s="106">
        <v>0</v>
      </c>
      <c r="G145" s="106">
        <v>0</v>
      </c>
      <c r="H145" s="106">
        <v>0</v>
      </c>
      <c r="I145" s="106">
        <v>0</v>
      </c>
      <c r="J145" s="106">
        <v>0</v>
      </c>
      <c r="K145" s="106">
        <v>0</v>
      </c>
      <c r="L145" s="106">
        <v>0</v>
      </c>
      <c r="M145" s="106">
        <v>0</v>
      </c>
      <c r="N145" s="106">
        <v>0</v>
      </c>
      <c r="O145" s="106">
        <v>0</v>
      </c>
      <c r="P145" s="106">
        <v>0</v>
      </c>
      <c r="Q145" s="106">
        <v>0</v>
      </c>
      <c r="R145" s="106">
        <v>0</v>
      </c>
      <c r="S145" s="106">
        <v>0</v>
      </c>
      <c r="T145" s="106">
        <v>0</v>
      </c>
      <c r="U145" s="106">
        <v>0</v>
      </c>
      <c r="V145" s="106">
        <v>0</v>
      </c>
      <c r="W145" s="106">
        <v>0</v>
      </c>
      <c r="X145" s="106">
        <v>0</v>
      </c>
      <c r="Y145" s="106">
        <v>0</v>
      </c>
      <c r="Z145" s="106">
        <v>0</v>
      </c>
      <c r="AA145" s="106">
        <v>0</v>
      </c>
      <c r="AB145" s="106">
        <v>0</v>
      </c>
      <c r="AC145" s="106">
        <v>0</v>
      </c>
      <c r="AD145" s="106">
        <v>0</v>
      </c>
      <c r="AE145" s="106">
        <v>0</v>
      </c>
      <c r="AF145" s="106">
        <v>0</v>
      </c>
      <c r="AG145" s="106">
        <v>0</v>
      </c>
      <c r="AH145" s="106">
        <v>0</v>
      </c>
      <c r="AI145" s="106">
        <v>0</v>
      </c>
      <c r="AJ145" s="106">
        <v>0</v>
      </c>
      <c r="AK145" s="106">
        <v>0</v>
      </c>
      <c r="AL145" s="106">
        <v>0</v>
      </c>
      <c r="AM145" s="106">
        <v>0</v>
      </c>
      <c r="AN145" s="106">
        <v>0</v>
      </c>
      <c r="AO145" s="106">
        <v>0</v>
      </c>
      <c r="AP145" s="106">
        <v>0</v>
      </c>
      <c r="AQ145" s="106">
        <v>0</v>
      </c>
      <c r="AR145" s="106">
        <v>0</v>
      </c>
      <c r="AS145" s="106">
        <v>0</v>
      </c>
      <c r="AT145" s="106">
        <v>0</v>
      </c>
      <c r="AU145" s="106">
        <v>0</v>
      </c>
      <c r="AV145" s="106">
        <v>0</v>
      </c>
      <c r="AW145" s="106">
        <v>0</v>
      </c>
      <c r="AX145" s="106">
        <v>0</v>
      </c>
      <c r="AY145" s="106">
        <v>0</v>
      </c>
    </row>
    <row r="146" spans="1:51">
      <c r="A146" s="109"/>
      <c r="B146" s="127">
        <v>25</v>
      </c>
      <c r="C146" s="106">
        <v>0</v>
      </c>
      <c r="D146" s="106">
        <v>0</v>
      </c>
      <c r="E146" s="106">
        <v>0</v>
      </c>
      <c r="F146" s="106">
        <v>0</v>
      </c>
      <c r="G146" s="106">
        <v>0</v>
      </c>
      <c r="H146" s="106">
        <v>0</v>
      </c>
      <c r="I146" s="106">
        <v>0</v>
      </c>
      <c r="J146" s="106">
        <v>0</v>
      </c>
      <c r="K146" s="106">
        <v>0</v>
      </c>
      <c r="L146" s="106">
        <v>0</v>
      </c>
      <c r="M146" s="106">
        <v>0</v>
      </c>
      <c r="N146" s="106">
        <v>0</v>
      </c>
      <c r="O146" s="106">
        <v>0</v>
      </c>
      <c r="P146" s="106">
        <v>0</v>
      </c>
      <c r="Q146" s="106">
        <v>0</v>
      </c>
      <c r="R146" s="106">
        <v>0</v>
      </c>
      <c r="S146" s="106">
        <v>0</v>
      </c>
      <c r="T146" s="106">
        <v>0</v>
      </c>
      <c r="U146" s="106">
        <v>0</v>
      </c>
      <c r="V146" s="106">
        <v>0</v>
      </c>
      <c r="W146" s="106">
        <v>0</v>
      </c>
      <c r="X146" s="106">
        <v>0</v>
      </c>
      <c r="Y146" s="106">
        <v>0</v>
      </c>
      <c r="Z146" s="106">
        <v>0</v>
      </c>
      <c r="AA146" s="106">
        <v>0</v>
      </c>
      <c r="AB146" s="106">
        <v>0</v>
      </c>
      <c r="AC146" s="106">
        <v>0</v>
      </c>
      <c r="AD146" s="106">
        <v>0</v>
      </c>
      <c r="AE146" s="106">
        <v>0</v>
      </c>
      <c r="AF146" s="106">
        <v>0</v>
      </c>
      <c r="AG146" s="106">
        <v>0</v>
      </c>
      <c r="AH146" s="106">
        <v>0</v>
      </c>
      <c r="AI146" s="106">
        <v>0</v>
      </c>
      <c r="AJ146" s="106">
        <v>0</v>
      </c>
      <c r="AK146" s="106">
        <v>0</v>
      </c>
      <c r="AL146" s="106">
        <v>0</v>
      </c>
      <c r="AM146" s="106">
        <v>0</v>
      </c>
      <c r="AN146" s="106">
        <v>0</v>
      </c>
      <c r="AO146" s="106">
        <v>0</v>
      </c>
      <c r="AP146" s="106">
        <v>0</v>
      </c>
      <c r="AQ146" s="106">
        <v>0</v>
      </c>
      <c r="AR146" s="106">
        <v>0</v>
      </c>
      <c r="AS146" s="106">
        <v>0</v>
      </c>
      <c r="AT146" s="106">
        <v>0</v>
      </c>
      <c r="AU146" s="106">
        <v>0</v>
      </c>
      <c r="AV146" s="106">
        <v>0</v>
      </c>
      <c r="AW146" s="106">
        <v>0</v>
      </c>
      <c r="AX146" s="106">
        <v>0</v>
      </c>
      <c r="AY146" s="106">
        <v>0</v>
      </c>
    </row>
    <row r="147" spans="1:51">
      <c r="A147" s="109"/>
      <c r="B147" s="127">
        <v>26</v>
      </c>
      <c r="C147" s="106">
        <v>0</v>
      </c>
      <c r="D147" s="106">
        <v>0</v>
      </c>
      <c r="E147" s="106">
        <v>0</v>
      </c>
      <c r="F147" s="106">
        <v>0</v>
      </c>
      <c r="G147" s="106">
        <v>0</v>
      </c>
      <c r="H147" s="106">
        <v>0</v>
      </c>
      <c r="I147" s="106">
        <v>0</v>
      </c>
      <c r="J147" s="106">
        <v>0</v>
      </c>
      <c r="K147" s="106">
        <v>0</v>
      </c>
      <c r="L147" s="106">
        <v>0</v>
      </c>
      <c r="M147" s="106">
        <v>0</v>
      </c>
      <c r="N147" s="106">
        <v>0</v>
      </c>
      <c r="O147" s="106">
        <v>0</v>
      </c>
      <c r="P147" s="106">
        <v>0</v>
      </c>
      <c r="Q147" s="106">
        <v>0</v>
      </c>
      <c r="R147" s="106">
        <v>0</v>
      </c>
      <c r="S147" s="106">
        <v>0</v>
      </c>
      <c r="T147" s="106">
        <v>0</v>
      </c>
      <c r="U147" s="106">
        <v>0</v>
      </c>
      <c r="V147" s="106">
        <v>0</v>
      </c>
      <c r="W147" s="106">
        <v>0</v>
      </c>
      <c r="X147" s="106">
        <v>0</v>
      </c>
      <c r="Y147" s="106">
        <v>0</v>
      </c>
      <c r="Z147" s="106">
        <v>0</v>
      </c>
      <c r="AA147" s="106">
        <v>0</v>
      </c>
      <c r="AB147" s="106">
        <v>0</v>
      </c>
      <c r="AC147" s="106">
        <v>0</v>
      </c>
      <c r="AD147" s="106">
        <v>0</v>
      </c>
      <c r="AE147" s="106">
        <v>0</v>
      </c>
      <c r="AF147" s="106">
        <v>0</v>
      </c>
      <c r="AG147" s="106">
        <v>0</v>
      </c>
      <c r="AH147" s="106">
        <v>0</v>
      </c>
      <c r="AI147" s="106">
        <v>0</v>
      </c>
      <c r="AJ147" s="106">
        <v>0</v>
      </c>
      <c r="AK147" s="106">
        <v>0</v>
      </c>
      <c r="AL147" s="106">
        <v>0</v>
      </c>
      <c r="AM147" s="106">
        <v>0</v>
      </c>
      <c r="AN147" s="106">
        <v>0</v>
      </c>
      <c r="AO147" s="106">
        <v>0</v>
      </c>
      <c r="AP147" s="106">
        <v>0</v>
      </c>
      <c r="AQ147" s="106">
        <v>0</v>
      </c>
      <c r="AR147" s="106">
        <v>0</v>
      </c>
      <c r="AS147" s="106">
        <v>0</v>
      </c>
      <c r="AT147" s="106">
        <v>0</v>
      </c>
      <c r="AU147" s="106">
        <v>0</v>
      </c>
      <c r="AV147" s="106">
        <v>0</v>
      </c>
      <c r="AW147" s="106">
        <v>0</v>
      </c>
      <c r="AX147" s="106">
        <v>0</v>
      </c>
      <c r="AY147" s="106">
        <v>0</v>
      </c>
    </row>
    <row r="148" spans="1:51">
      <c r="A148" s="109"/>
      <c r="B148" s="127">
        <v>27</v>
      </c>
      <c r="C148" s="106">
        <v>0</v>
      </c>
      <c r="D148" s="106">
        <v>0</v>
      </c>
      <c r="E148" s="106">
        <v>0</v>
      </c>
      <c r="F148" s="106">
        <v>0</v>
      </c>
      <c r="G148" s="106">
        <v>0</v>
      </c>
      <c r="H148" s="106">
        <v>0</v>
      </c>
      <c r="I148" s="106">
        <v>0</v>
      </c>
      <c r="J148" s="106">
        <v>0</v>
      </c>
      <c r="K148" s="106">
        <v>0</v>
      </c>
      <c r="L148" s="106">
        <v>0</v>
      </c>
      <c r="M148" s="106">
        <v>0</v>
      </c>
      <c r="N148" s="106">
        <v>0</v>
      </c>
      <c r="O148" s="106">
        <v>0</v>
      </c>
      <c r="P148" s="106">
        <v>0</v>
      </c>
      <c r="Q148" s="106">
        <v>0</v>
      </c>
      <c r="R148" s="106">
        <v>0</v>
      </c>
      <c r="S148" s="106">
        <v>0</v>
      </c>
      <c r="T148" s="106">
        <v>0</v>
      </c>
      <c r="U148" s="106">
        <v>0</v>
      </c>
      <c r="V148" s="106">
        <v>0</v>
      </c>
      <c r="W148" s="106">
        <v>0</v>
      </c>
      <c r="X148" s="106">
        <v>0</v>
      </c>
      <c r="Y148" s="106">
        <v>0</v>
      </c>
      <c r="Z148" s="106">
        <v>0</v>
      </c>
      <c r="AA148" s="106">
        <v>0</v>
      </c>
      <c r="AB148" s="106">
        <v>0</v>
      </c>
      <c r="AC148" s="106">
        <v>0</v>
      </c>
      <c r="AD148" s="106">
        <v>0</v>
      </c>
      <c r="AE148" s="106">
        <v>0</v>
      </c>
      <c r="AF148" s="106">
        <v>0</v>
      </c>
      <c r="AG148" s="106">
        <v>0</v>
      </c>
      <c r="AH148" s="106">
        <v>0</v>
      </c>
      <c r="AI148" s="106">
        <v>0</v>
      </c>
      <c r="AJ148" s="106">
        <v>0</v>
      </c>
      <c r="AK148" s="106">
        <v>0</v>
      </c>
      <c r="AL148" s="106">
        <v>0</v>
      </c>
      <c r="AM148" s="106">
        <v>0</v>
      </c>
      <c r="AN148" s="106">
        <v>0</v>
      </c>
      <c r="AO148" s="106">
        <v>0</v>
      </c>
      <c r="AP148" s="106">
        <v>0</v>
      </c>
      <c r="AQ148" s="106">
        <v>0</v>
      </c>
      <c r="AR148" s="106">
        <v>0</v>
      </c>
      <c r="AS148" s="106">
        <v>0</v>
      </c>
      <c r="AT148" s="106">
        <v>0</v>
      </c>
      <c r="AU148" s="106">
        <v>0</v>
      </c>
      <c r="AV148" s="106">
        <v>0</v>
      </c>
      <c r="AW148" s="106">
        <v>0</v>
      </c>
      <c r="AX148" s="106">
        <v>0</v>
      </c>
      <c r="AY148" s="106">
        <v>0</v>
      </c>
    </row>
    <row r="149" spans="1:51">
      <c r="A149" s="109"/>
      <c r="B149" s="127">
        <v>28</v>
      </c>
      <c r="C149" s="106">
        <v>0</v>
      </c>
      <c r="D149" s="106">
        <v>0</v>
      </c>
      <c r="E149" s="106">
        <v>0</v>
      </c>
      <c r="F149" s="106">
        <v>0</v>
      </c>
      <c r="G149" s="106">
        <v>0</v>
      </c>
      <c r="H149" s="106">
        <v>0</v>
      </c>
      <c r="I149" s="106">
        <v>0</v>
      </c>
      <c r="J149" s="106">
        <v>0</v>
      </c>
      <c r="K149" s="106">
        <v>0</v>
      </c>
      <c r="L149" s="106">
        <v>0</v>
      </c>
      <c r="M149" s="106">
        <v>0</v>
      </c>
      <c r="N149" s="106">
        <v>0</v>
      </c>
      <c r="O149" s="106">
        <v>0</v>
      </c>
      <c r="P149" s="106">
        <v>0</v>
      </c>
      <c r="Q149" s="106">
        <v>0</v>
      </c>
      <c r="R149" s="106">
        <v>0</v>
      </c>
      <c r="S149" s="106">
        <v>0</v>
      </c>
      <c r="T149" s="106">
        <v>0</v>
      </c>
      <c r="U149" s="106">
        <v>0</v>
      </c>
      <c r="V149" s="106">
        <v>0</v>
      </c>
      <c r="W149" s="106">
        <v>0</v>
      </c>
      <c r="X149" s="106">
        <v>0</v>
      </c>
      <c r="Y149" s="106">
        <v>0</v>
      </c>
      <c r="Z149" s="106">
        <v>0</v>
      </c>
      <c r="AA149" s="106">
        <v>0</v>
      </c>
      <c r="AB149" s="106">
        <v>0</v>
      </c>
      <c r="AC149" s="106">
        <v>0</v>
      </c>
      <c r="AD149" s="106">
        <v>0</v>
      </c>
      <c r="AE149" s="106">
        <v>0</v>
      </c>
      <c r="AF149" s="106">
        <v>0</v>
      </c>
      <c r="AG149" s="106">
        <v>0</v>
      </c>
      <c r="AH149" s="106">
        <v>0</v>
      </c>
      <c r="AI149" s="106">
        <v>0</v>
      </c>
      <c r="AJ149" s="106">
        <v>0</v>
      </c>
      <c r="AK149" s="106">
        <v>0</v>
      </c>
      <c r="AL149" s="106">
        <v>0</v>
      </c>
      <c r="AM149" s="106">
        <v>0</v>
      </c>
      <c r="AN149" s="106">
        <v>0</v>
      </c>
      <c r="AO149" s="106">
        <v>0</v>
      </c>
      <c r="AP149" s="106">
        <v>0</v>
      </c>
      <c r="AQ149" s="106">
        <v>0</v>
      </c>
      <c r="AR149" s="106">
        <v>0</v>
      </c>
      <c r="AS149" s="106">
        <v>0</v>
      </c>
      <c r="AT149" s="106">
        <v>0</v>
      </c>
      <c r="AU149" s="106">
        <v>0</v>
      </c>
      <c r="AV149" s="106">
        <v>0</v>
      </c>
      <c r="AW149" s="106">
        <v>0</v>
      </c>
      <c r="AX149" s="106">
        <v>0</v>
      </c>
      <c r="AY149" s="106">
        <v>0</v>
      </c>
    </row>
    <row r="150" spans="1:51">
      <c r="A150" s="109"/>
      <c r="B150" s="127">
        <v>29</v>
      </c>
      <c r="C150" s="106">
        <v>0</v>
      </c>
      <c r="D150" s="106">
        <v>0</v>
      </c>
      <c r="E150" s="106">
        <v>0</v>
      </c>
      <c r="F150" s="106">
        <v>0</v>
      </c>
      <c r="G150" s="106">
        <v>0</v>
      </c>
      <c r="H150" s="106">
        <v>0</v>
      </c>
      <c r="I150" s="106">
        <v>0</v>
      </c>
      <c r="J150" s="106">
        <v>0</v>
      </c>
      <c r="K150" s="106">
        <v>0</v>
      </c>
      <c r="L150" s="106">
        <v>0</v>
      </c>
      <c r="M150" s="106">
        <v>0</v>
      </c>
      <c r="N150" s="106">
        <v>0</v>
      </c>
      <c r="O150" s="106">
        <v>0</v>
      </c>
      <c r="P150" s="106">
        <v>0</v>
      </c>
      <c r="Q150" s="106">
        <v>0</v>
      </c>
      <c r="R150" s="106">
        <v>0</v>
      </c>
      <c r="S150" s="106">
        <v>0</v>
      </c>
      <c r="T150" s="106">
        <v>0</v>
      </c>
      <c r="U150" s="106">
        <v>0</v>
      </c>
      <c r="V150" s="106">
        <v>0</v>
      </c>
      <c r="W150" s="106">
        <v>0</v>
      </c>
      <c r="X150" s="106">
        <v>0</v>
      </c>
      <c r="Y150" s="106">
        <v>0</v>
      </c>
      <c r="Z150" s="106">
        <v>0</v>
      </c>
      <c r="AA150" s="106">
        <v>0</v>
      </c>
      <c r="AB150" s="106">
        <v>0</v>
      </c>
      <c r="AC150" s="106">
        <v>0</v>
      </c>
      <c r="AD150" s="106">
        <v>0</v>
      </c>
      <c r="AE150" s="106">
        <v>0</v>
      </c>
      <c r="AF150" s="106">
        <v>0</v>
      </c>
      <c r="AG150" s="106">
        <v>0</v>
      </c>
      <c r="AH150" s="106">
        <v>0</v>
      </c>
      <c r="AI150" s="106">
        <v>0</v>
      </c>
      <c r="AJ150" s="106">
        <v>0</v>
      </c>
      <c r="AK150" s="106">
        <v>0</v>
      </c>
      <c r="AL150" s="106">
        <v>0</v>
      </c>
      <c r="AM150" s="106">
        <v>0</v>
      </c>
      <c r="AN150" s="106">
        <v>0</v>
      </c>
      <c r="AO150" s="106">
        <v>0</v>
      </c>
      <c r="AP150" s="106">
        <v>0</v>
      </c>
      <c r="AQ150" s="106">
        <v>0</v>
      </c>
      <c r="AR150" s="106">
        <v>0</v>
      </c>
      <c r="AS150" s="106">
        <v>0</v>
      </c>
      <c r="AT150" s="106">
        <v>0</v>
      </c>
      <c r="AU150" s="106">
        <v>0</v>
      </c>
      <c r="AV150" s="106">
        <v>0</v>
      </c>
      <c r="AW150" s="106">
        <v>0</v>
      </c>
      <c r="AX150" s="106">
        <v>0</v>
      </c>
      <c r="AY150" s="106">
        <v>0</v>
      </c>
    </row>
    <row r="151" spans="1:51">
      <c r="A151" s="109"/>
      <c r="B151" s="127">
        <v>30</v>
      </c>
      <c r="C151" s="106">
        <v>0</v>
      </c>
      <c r="D151" s="106">
        <v>0</v>
      </c>
      <c r="E151" s="106">
        <v>0</v>
      </c>
      <c r="F151" s="106">
        <v>0</v>
      </c>
      <c r="G151" s="106">
        <v>0</v>
      </c>
      <c r="H151" s="106">
        <v>0</v>
      </c>
      <c r="I151" s="106">
        <v>0</v>
      </c>
      <c r="J151" s="106">
        <v>0</v>
      </c>
      <c r="K151" s="106">
        <v>0</v>
      </c>
      <c r="L151" s="106">
        <v>0</v>
      </c>
      <c r="M151" s="106">
        <v>0</v>
      </c>
      <c r="N151" s="106">
        <v>0</v>
      </c>
      <c r="O151" s="106">
        <v>0</v>
      </c>
      <c r="P151" s="106">
        <v>0</v>
      </c>
      <c r="Q151" s="106">
        <v>0</v>
      </c>
      <c r="R151" s="106">
        <v>0</v>
      </c>
      <c r="S151" s="106">
        <v>0</v>
      </c>
      <c r="T151" s="106">
        <v>0</v>
      </c>
      <c r="U151" s="106">
        <v>0</v>
      </c>
      <c r="V151" s="106">
        <v>0</v>
      </c>
      <c r="W151" s="106">
        <v>0</v>
      </c>
      <c r="X151" s="106">
        <v>0</v>
      </c>
      <c r="Y151" s="106">
        <v>0</v>
      </c>
      <c r="Z151" s="106">
        <v>0</v>
      </c>
      <c r="AA151" s="106">
        <v>0</v>
      </c>
      <c r="AB151" s="106">
        <v>0</v>
      </c>
      <c r="AC151" s="106">
        <v>0</v>
      </c>
      <c r="AD151" s="106">
        <v>0</v>
      </c>
      <c r="AE151" s="106">
        <v>0</v>
      </c>
      <c r="AF151" s="106">
        <v>0</v>
      </c>
      <c r="AG151" s="106">
        <v>0</v>
      </c>
      <c r="AH151" s="106">
        <v>0</v>
      </c>
      <c r="AI151" s="106">
        <v>0</v>
      </c>
      <c r="AJ151" s="106">
        <v>0</v>
      </c>
      <c r="AK151" s="106">
        <v>0</v>
      </c>
      <c r="AL151" s="106">
        <v>0</v>
      </c>
      <c r="AM151" s="106">
        <v>0</v>
      </c>
      <c r="AN151" s="106">
        <v>0</v>
      </c>
      <c r="AO151" s="106">
        <v>0</v>
      </c>
      <c r="AP151" s="106">
        <v>0</v>
      </c>
      <c r="AQ151" s="106">
        <v>0</v>
      </c>
      <c r="AR151" s="106">
        <v>0</v>
      </c>
      <c r="AS151" s="106">
        <v>0</v>
      </c>
      <c r="AT151" s="106">
        <v>0</v>
      </c>
      <c r="AU151" s="106">
        <v>0</v>
      </c>
      <c r="AV151" s="106">
        <v>0</v>
      </c>
      <c r="AW151" s="106">
        <v>0</v>
      </c>
      <c r="AX151" s="106">
        <v>0</v>
      </c>
      <c r="AY151" s="106">
        <v>0</v>
      </c>
    </row>
    <row r="152" spans="1:51">
      <c r="A152" s="109"/>
      <c r="B152" s="127">
        <v>31</v>
      </c>
      <c r="C152" s="106">
        <v>0</v>
      </c>
      <c r="D152" s="106">
        <v>0</v>
      </c>
      <c r="E152" s="106">
        <v>0</v>
      </c>
      <c r="F152" s="106">
        <v>0</v>
      </c>
      <c r="G152" s="106">
        <v>0</v>
      </c>
      <c r="H152" s="106">
        <v>0</v>
      </c>
      <c r="I152" s="106">
        <v>0</v>
      </c>
      <c r="J152" s="106">
        <v>0</v>
      </c>
      <c r="K152" s="106">
        <v>0</v>
      </c>
      <c r="L152" s="106">
        <v>0</v>
      </c>
      <c r="M152" s="106">
        <v>0</v>
      </c>
      <c r="N152" s="106">
        <v>0</v>
      </c>
      <c r="O152" s="106">
        <v>0</v>
      </c>
      <c r="P152" s="106">
        <v>0</v>
      </c>
      <c r="Q152" s="106">
        <v>0</v>
      </c>
      <c r="R152" s="106">
        <v>0</v>
      </c>
      <c r="S152" s="106">
        <v>0</v>
      </c>
      <c r="T152" s="106">
        <v>0</v>
      </c>
      <c r="U152" s="106">
        <v>0</v>
      </c>
      <c r="V152" s="106">
        <v>0</v>
      </c>
      <c r="W152" s="106">
        <v>0</v>
      </c>
      <c r="X152" s="106">
        <v>0</v>
      </c>
      <c r="Y152" s="106">
        <v>0</v>
      </c>
      <c r="Z152" s="106">
        <v>0</v>
      </c>
      <c r="AA152" s="106">
        <v>0</v>
      </c>
      <c r="AB152" s="106">
        <v>0</v>
      </c>
      <c r="AC152" s="106">
        <v>0</v>
      </c>
      <c r="AD152" s="106">
        <v>0</v>
      </c>
      <c r="AE152" s="106">
        <v>0</v>
      </c>
      <c r="AF152" s="106">
        <v>0</v>
      </c>
      <c r="AG152" s="106">
        <v>0</v>
      </c>
      <c r="AH152" s="106">
        <v>0</v>
      </c>
      <c r="AI152" s="106">
        <v>0</v>
      </c>
      <c r="AJ152" s="106">
        <v>0</v>
      </c>
      <c r="AK152" s="106">
        <v>0</v>
      </c>
      <c r="AL152" s="106">
        <v>0</v>
      </c>
      <c r="AM152" s="106">
        <v>0</v>
      </c>
      <c r="AN152" s="106">
        <v>0</v>
      </c>
      <c r="AO152" s="106">
        <v>0</v>
      </c>
      <c r="AP152" s="106">
        <v>0</v>
      </c>
      <c r="AQ152" s="106">
        <v>0</v>
      </c>
      <c r="AR152" s="106">
        <v>0</v>
      </c>
      <c r="AS152" s="106">
        <v>0</v>
      </c>
      <c r="AT152" s="106">
        <v>0</v>
      </c>
      <c r="AU152" s="106">
        <v>0</v>
      </c>
      <c r="AV152" s="106">
        <v>0</v>
      </c>
      <c r="AW152" s="106">
        <v>0</v>
      </c>
      <c r="AX152" s="106">
        <v>0</v>
      </c>
      <c r="AY152" s="106">
        <v>0</v>
      </c>
    </row>
    <row r="153" spans="1:51">
      <c r="A153" s="109"/>
      <c r="B153" s="127">
        <v>32</v>
      </c>
      <c r="C153" s="106">
        <v>0</v>
      </c>
      <c r="D153" s="106">
        <v>0</v>
      </c>
      <c r="E153" s="106">
        <v>0</v>
      </c>
      <c r="F153" s="106">
        <v>0</v>
      </c>
      <c r="G153" s="106">
        <v>0</v>
      </c>
      <c r="H153" s="106">
        <v>0</v>
      </c>
      <c r="I153" s="106">
        <v>0</v>
      </c>
      <c r="J153" s="106">
        <v>0</v>
      </c>
      <c r="K153" s="106">
        <v>0</v>
      </c>
      <c r="L153" s="106">
        <v>0</v>
      </c>
      <c r="M153" s="106">
        <v>0</v>
      </c>
      <c r="N153" s="106">
        <v>0</v>
      </c>
      <c r="O153" s="106">
        <v>0</v>
      </c>
      <c r="P153" s="106">
        <v>0</v>
      </c>
      <c r="Q153" s="106">
        <v>0</v>
      </c>
      <c r="R153" s="106">
        <v>0</v>
      </c>
      <c r="S153" s="106">
        <v>0</v>
      </c>
      <c r="T153" s="106">
        <v>0</v>
      </c>
      <c r="U153" s="106">
        <v>0</v>
      </c>
      <c r="V153" s="106">
        <v>0</v>
      </c>
      <c r="W153" s="106">
        <v>0</v>
      </c>
      <c r="X153" s="106">
        <v>0</v>
      </c>
      <c r="Y153" s="106">
        <v>0</v>
      </c>
      <c r="Z153" s="106">
        <v>0</v>
      </c>
      <c r="AA153" s="106">
        <v>0</v>
      </c>
      <c r="AB153" s="106">
        <v>0</v>
      </c>
      <c r="AC153" s="106">
        <v>0</v>
      </c>
      <c r="AD153" s="106">
        <v>0</v>
      </c>
      <c r="AE153" s="106">
        <v>0</v>
      </c>
      <c r="AF153" s="106">
        <v>0</v>
      </c>
      <c r="AG153" s="106">
        <v>0</v>
      </c>
      <c r="AH153" s="106">
        <v>0</v>
      </c>
      <c r="AI153" s="106">
        <v>0</v>
      </c>
      <c r="AJ153" s="106">
        <v>0</v>
      </c>
      <c r="AK153" s="106">
        <v>0</v>
      </c>
      <c r="AL153" s="106">
        <v>0</v>
      </c>
      <c r="AM153" s="106">
        <v>0</v>
      </c>
      <c r="AN153" s="106">
        <v>0</v>
      </c>
      <c r="AO153" s="106">
        <v>0</v>
      </c>
      <c r="AP153" s="106">
        <v>0</v>
      </c>
      <c r="AQ153" s="106">
        <v>0</v>
      </c>
      <c r="AR153" s="106">
        <v>0</v>
      </c>
      <c r="AS153" s="106">
        <v>0</v>
      </c>
      <c r="AT153" s="106">
        <v>0</v>
      </c>
      <c r="AU153" s="106">
        <v>0</v>
      </c>
      <c r="AV153" s="106">
        <v>0</v>
      </c>
      <c r="AW153" s="106">
        <v>0</v>
      </c>
      <c r="AX153" s="106">
        <v>0</v>
      </c>
      <c r="AY153" s="106">
        <v>0</v>
      </c>
    </row>
    <row r="154" spans="1:51">
      <c r="A154" s="109"/>
      <c r="B154" s="127">
        <v>33</v>
      </c>
      <c r="C154" s="106">
        <v>0</v>
      </c>
      <c r="D154" s="106">
        <v>0</v>
      </c>
      <c r="E154" s="106">
        <v>0</v>
      </c>
      <c r="F154" s="106">
        <v>0</v>
      </c>
      <c r="G154" s="106">
        <v>0</v>
      </c>
      <c r="H154" s="106">
        <v>0</v>
      </c>
      <c r="I154" s="106">
        <v>0</v>
      </c>
      <c r="J154" s="106">
        <v>0</v>
      </c>
      <c r="K154" s="106">
        <v>0</v>
      </c>
      <c r="L154" s="106">
        <v>0</v>
      </c>
      <c r="M154" s="106">
        <v>0</v>
      </c>
      <c r="N154" s="106">
        <v>0</v>
      </c>
      <c r="O154" s="106">
        <v>0</v>
      </c>
      <c r="P154" s="106">
        <v>0</v>
      </c>
      <c r="Q154" s="106">
        <v>0</v>
      </c>
      <c r="R154" s="106">
        <v>0</v>
      </c>
      <c r="S154" s="106">
        <v>0</v>
      </c>
      <c r="T154" s="106">
        <v>0</v>
      </c>
      <c r="U154" s="106">
        <v>0</v>
      </c>
      <c r="V154" s="106">
        <v>0</v>
      </c>
      <c r="W154" s="106">
        <v>0</v>
      </c>
      <c r="X154" s="106">
        <v>0</v>
      </c>
      <c r="Y154" s="106">
        <v>0</v>
      </c>
      <c r="Z154" s="106">
        <v>0</v>
      </c>
      <c r="AA154" s="106">
        <v>0</v>
      </c>
      <c r="AB154" s="106">
        <v>0</v>
      </c>
      <c r="AC154" s="106">
        <v>0</v>
      </c>
      <c r="AD154" s="106">
        <v>0</v>
      </c>
      <c r="AE154" s="106">
        <v>0</v>
      </c>
      <c r="AF154" s="106">
        <v>0</v>
      </c>
      <c r="AG154" s="106">
        <v>0</v>
      </c>
      <c r="AH154" s="106">
        <v>0</v>
      </c>
      <c r="AI154" s="106">
        <v>0</v>
      </c>
      <c r="AJ154" s="106">
        <v>0</v>
      </c>
      <c r="AK154" s="106">
        <v>0</v>
      </c>
      <c r="AL154" s="106">
        <v>0</v>
      </c>
      <c r="AM154" s="106">
        <v>0</v>
      </c>
      <c r="AN154" s="106">
        <v>0</v>
      </c>
      <c r="AO154" s="106">
        <v>0</v>
      </c>
      <c r="AP154" s="106">
        <v>0</v>
      </c>
      <c r="AQ154" s="106">
        <v>0</v>
      </c>
      <c r="AR154" s="106">
        <v>0</v>
      </c>
      <c r="AS154" s="106">
        <v>0</v>
      </c>
      <c r="AT154" s="106">
        <v>0</v>
      </c>
      <c r="AU154" s="106">
        <v>0</v>
      </c>
      <c r="AV154" s="106">
        <v>0</v>
      </c>
      <c r="AW154" s="106">
        <v>0</v>
      </c>
      <c r="AX154" s="106">
        <v>0</v>
      </c>
      <c r="AY154" s="106">
        <v>0</v>
      </c>
    </row>
    <row r="155" spans="1:51">
      <c r="A155" s="109"/>
      <c r="B155" s="127">
        <v>34</v>
      </c>
      <c r="C155" s="106">
        <v>0</v>
      </c>
      <c r="D155" s="106">
        <v>0</v>
      </c>
      <c r="E155" s="106">
        <v>0</v>
      </c>
      <c r="F155" s="106">
        <v>0</v>
      </c>
      <c r="G155" s="106">
        <v>0</v>
      </c>
      <c r="H155" s="106">
        <v>0</v>
      </c>
      <c r="I155" s="106">
        <v>0</v>
      </c>
      <c r="J155" s="106">
        <v>0</v>
      </c>
      <c r="K155" s="106">
        <v>0</v>
      </c>
      <c r="L155" s="106">
        <v>0</v>
      </c>
      <c r="M155" s="106">
        <v>0</v>
      </c>
      <c r="N155" s="106">
        <v>0</v>
      </c>
      <c r="O155" s="106">
        <v>0</v>
      </c>
      <c r="P155" s="106">
        <v>0</v>
      </c>
      <c r="Q155" s="106">
        <v>0</v>
      </c>
      <c r="R155" s="106">
        <v>0</v>
      </c>
      <c r="S155" s="106">
        <v>0</v>
      </c>
      <c r="T155" s="106">
        <v>0</v>
      </c>
      <c r="U155" s="106">
        <v>0</v>
      </c>
      <c r="V155" s="106">
        <v>0</v>
      </c>
      <c r="W155" s="106">
        <v>0</v>
      </c>
      <c r="X155" s="106">
        <v>0</v>
      </c>
      <c r="Y155" s="106">
        <v>0</v>
      </c>
      <c r="Z155" s="106">
        <v>0</v>
      </c>
      <c r="AA155" s="106">
        <v>0</v>
      </c>
      <c r="AB155" s="106">
        <v>0</v>
      </c>
      <c r="AC155" s="106">
        <v>0</v>
      </c>
      <c r="AD155" s="106">
        <v>0</v>
      </c>
      <c r="AE155" s="106">
        <v>0</v>
      </c>
      <c r="AF155" s="106">
        <v>0</v>
      </c>
      <c r="AG155" s="106">
        <v>0</v>
      </c>
      <c r="AH155" s="106">
        <v>0</v>
      </c>
      <c r="AI155" s="106">
        <v>0</v>
      </c>
      <c r="AJ155" s="106">
        <v>0</v>
      </c>
      <c r="AK155" s="106">
        <v>0</v>
      </c>
      <c r="AL155" s="106">
        <v>0</v>
      </c>
      <c r="AM155" s="106">
        <v>0</v>
      </c>
      <c r="AN155" s="106">
        <v>0</v>
      </c>
      <c r="AO155" s="106">
        <v>0</v>
      </c>
      <c r="AP155" s="106">
        <v>0</v>
      </c>
      <c r="AQ155" s="106">
        <v>0</v>
      </c>
      <c r="AR155" s="106">
        <v>0</v>
      </c>
      <c r="AS155" s="106">
        <v>0</v>
      </c>
      <c r="AT155" s="106">
        <v>0</v>
      </c>
      <c r="AU155" s="106">
        <v>0</v>
      </c>
      <c r="AV155" s="106">
        <v>0</v>
      </c>
      <c r="AW155" s="106">
        <v>0</v>
      </c>
      <c r="AX155" s="106">
        <v>0</v>
      </c>
      <c r="AY155" s="106">
        <v>0</v>
      </c>
    </row>
    <row r="156" spans="1:51">
      <c r="A156" s="109"/>
      <c r="B156" s="127">
        <v>35</v>
      </c>
      <c r="C156" s="106">
        <v>0</v>
      </c>
      <c r="D156" s="106">
        <v>0</v>
      </c>
      <c r="E156" s="106">
        <v>0</v>
      </c>
      <c r="F156" s="106">
        <v>0</v>
      </c>
      <c r="G156" s="106">
        <v>0</v>
      </c>
      <c r="H156" s="106">
        <v>0</v>
      </c>
      <c r="I156" s="106">
        <v>0</v>
      </c>
      <c r="J156" s="106">
        <v>0</v>
      </c>
      <c r="K156" s="106">
        <v>0</v>
      </c>
      <c r="L156" s="106">
        <v>0</v>
      </c>
      <c r="M156" s="106">
        <v>0</v>
      </c>
      <c r="N156" s="106">
        <v>0</v>
      </c>
      <c r="O156" s="106">
        <v>0</v>
      </c>
      <c r="P156" s="106">
        <v>0</v>
      </c>
      <c r="Q156" s="106">
        <v>0</v>
      </c>
      <c r="R156" s="106">
        <v>0</v>
      </c>
      <c r="S156" s="106">
        <v>0</v>
      </c>
      <c r="T156" s="106">
        <v>0</v>
      </c>
      <c r="U156" s="106">
        <v>0</v>
      </c>
      <c r="V156" s="106">
        <v>0</v>
      </c>
      <c r="W156" s="106">
        <v>0</v>
      </c>
      <c r="X156" s="106">
        <v>0</v>
      </c>
      <c r="Y156" s="106">
        <v>0</v>
      </c>
      <c r="Z156" s="106">
        <v>0</v>
      </c>
      <c r="AA156" s="106">
        <v>0</v>
      </c>
      <c r="AB156" s="106">
        <v>0</v>
      </c>
      <c r="AC156" s="106">
        <v>0</v>
      </c>
      <c r="AD156" s="106">
        <v>0</v>
      </c>
      <c r="AE156" s="106">
        <v>0</v>
      </c>
      <c r="AF156" s="106">
        <v>0</v>
      </c>
      <c r="AG156" s="106">
        <v>0</v>
      </c>
      <c r="AH156" s="106">
        <v>0</v>
      </c>
      <c r="AI156" s="106">
        <v>0</v>
      </c>
      <c r="AJ156" s="106">
        <v>0</v>
      </c>
      <c r="AK156" s="106">
        <v>0</v>
      </c>
      <c r="AL156" s="106">
        <v>0</v>
      </c>
      <c r="AM156" s="106">
        <v>0</v>
      </c>
      <c r="AN156" s="106">
        <v>0</v>
      </c>
      <c r="AO156" s="106">
        <v>0</v>
      </c>
      <c r="AP156" s="106">
        <v>0</v>
      </c>
      <c r="AQ156" s="106">
        <v>0</v>
      </c>
      <c r="AR156" s="106">
        <v>0</v>
      </c>
      <c r="AS156" s="106">
        <v>0</v>
      </c>
      <c r="AT156" s="106">
        <v>0</v>
      </c>
      <c r="AU156" s="106">
        <v>0</v>
      </c>
      <c r="AV156" s="106">
        <v>0</v>
      </c>
      <c r="AW156" s="106">
        <v>0</v>
      </c>
      <c r="AX156" s="106">
        <v>0</v>
      </c>
      <c r="AY156" s="106">
        <v>0</v>
      </c>
    </row>
    <row r="157" spans="1:51">
      <c r="A157" s="109"/>
      <c r="B157" s="127">
        <v>36</v>
      </c>
      <c r="C157" s="106">
        <v>0</v>
      </c>
      <c r="D157" s="106">
        <v>0</v>
      </c>
      <c r="E157" s="106">
        <v>0</v>
      </c>
      <c r="F157" s="106">
        <v>0</v>
      </c>
      <c r="G157" s="106">
        <v>0</v>
      </c>
      <c r="H157" s="106">
        <v>0</v>
      </c>
      <c r="I157" s="106">
        <v>0</v>
      </c>
      <c r="J157" s="106">
        <v>0</v>
      </c>
      <c r="K157" s="106">
        <v>0</v>
      </c>
      <c r="L157" s="106">
        <v>0</v>
      </c>
      <c r="M157" s="106">
        <v>0</v>
      </c>
      <c r="N157" s="106">
        <v>0</v>
      </c>
      <c r="O157" s="106">
        <v>0</v>
      </c>
      <c r="P157" s="106">
        <v>0</v>
      </c>
      <c r="Q157" s="106">
        <v>0</v>
      </c>
      <c r="R157" s="106">
        <v>0</v>
      </c>
      <c r="S157" s="106">
        <v>0</v>
      </c>
      <c r="T157" s="106">
        <v>0</v>
      </c>
      <c r="U157" s="106">
        <v>0</v>
      </c>
      <c r="V157" s="106">
        <v>0</v>
      </c>
      <c r="W157" s="106">
        <v>0</v>
      </c>
      <c r="X157" s="106">
        <v>0</v>
      </c>
      <c r="Y157" s="106">
        <v>0</v>
      </c>
      <c r="Z157" s="106">
        <v>0</v>
      </c>
      <c r="AA157" s="106">
        <v>0</v>
      </c>
      <c r="AB157" s="106">
        <v>0</v>
      </c>
      <c r="AC157" s="106">
        <v>0</v>
      </c>
      <c r="AD157" s="106">
        <v>0</v>
      </c>
      <c r="AE157" s="106">
        <v>0</v>
      </c>
      <c r="AF157" s="106">
        <v>0</v>
      </c>
      <c r="AG157" s="106">
        <v>0</v>
      </c>
      <c r="AH157" s="106">
        <v>0</v>
      </c>
      <c r="AI157" s="106">
        <v>0</v>
      </c>
      <c r="AJ157" s="106">
        <v>0</v>
      </c>
      <c r="AK157" s="106">
        <v>0</v>
      </c>
      <c r="AL157" s="106">
        <v>0</v>
      </c>
      <c r="AM157" s="106">
        <v>0</v>
      </c>
      <c r="AN157" s="106">
        <v>0</v>
      </c>
      <c r="AO157" s="106">
        <v>0</v>
      </c>
      <c r="AP157" s="106">
        <v>0</v>
      </c>
      <c r="AQ157" s="106">
        <v>0</v>
      </c>
      <c r="AR157" s="106">
        <v>0</v>
      </c>
      <c r="AS157" s="106">
        <v>0</v>
      </c>
      <c r="AT157" s="106">
        <v>0</v>
      </c>
      <c r="AU157" s="106">
        <v>0</v>
      </c>
      <c r="AV157" s="106">
        <v>0</v>
      </c>
      <c r="AW157" s="106">
        <v>0</v>
      </c>
      <c r="AX157" s="106">
        <v>0</v>
      </c>
      <c r="AY157" s="106">
        <v>0</v>
      </c>
    </row>
    <row r="158" spans="1:51">
      <c r="A158" s="109"/>
      <c r="B158" s="130">
        <v>37</v>
      </c>
      <c r="C158" s="106">
        <v>0</v>
      </c>
      <c r="D158" s="106">
        <v>0</v>
      </c>
      <c r="E158" s="106">
        <v>0</v>
      </c>
      <c r="F158" s="106">
        <v>0</v>
      </c>
      <c r="G158" s="106">
        <v>0</v>
      </c>
      <c r="H158" s="106">
        <v>0</v>
      </c>
      <c r="I158" s="106">
        <v>0</v>
      </c>
      <c r="J158" s="106">
        <v>0</v>
      </c>
      <c r="K158" s="106">
        <v>0</v>
      </c>
      <c r="L158" s="106">
        <v>0</v>
      </c>
      <c r="M158" s="106">
        <v>0</v>
      </c>
      <c r="N158" s="106">
        <v>0</v>
      </c>
      <c r="O158" s="106">
        <v>0</v>
      </c>
      <c r="P158" s="106">
        <v>0</v>
      </c>
      <c r="Q158" s="106">
        <v>0</v>
      </c>
      <c r="R158" s="106">
        <v>0</v>
      </c>
      <c r="S158" s="106">
        <v>0</v>
      </c>
      <c r="T158" s="106">
        <v>0</v>
      </c>
      <c r="U158" s="106">
        <v>0</v>
      </c>
      <c r="V158" s="106">
        <v>0</v>
      </c>
      <c r="W158" s="106">
        <v>0</v>
      </c>
      <c r="X158" s="106">
        <v>0</v>
      </c>
      <c r="Y158" s="106">
        <v>0</v>
      </c>
      <c r="Z158" s="106">
        <v>0</v>
      </c>
      <c r="AA158" s="106">
        <v>0</v>
      </c>
      <c r="AB158" s="106">
        <v>0</v>
      </c>
      <c r="AC158" s="106">
        <v>0</v>
      </c>
      <c r="AD158" s="106">
        <v>0</v>
      </c>
      <c r="AE158" s="106">
        <v>0</v>
      </c>
      <c r="AF158" s="106">
        <v>0</v>
      </c>
      <c r="AG158" s="106">
        <v>0</v>
      </c>
      <c r="AH158" s="106">
        <v>0</v>
      </c>
      <c r="AI158" s="106">
        <v>0</v>
      </c>
      <c r="AJ158" s="106">
        <v>0</v>
      </c>
      <c r="AK158" s="106">
        <v>0</v>
      </c>
      <c r="AL158" s="106">
        <v>0</v>
      </c>
      <c r="AM158" s="106">
        <v>0</v>
      </c>
      <c r="AN158" s="106">
        <v>0</v>
      </c>
      <c r="AO158" s="106">
        <v>0</v>
      </c>
      <c r="AP158" s="106">
        <v>0</v>
      </c>
      <c r="AQ158" s="106">
        <v>0</v>
      </c>
      <c r="AR158" s="106">
        <v>0</v>
      </c>
      <c r="AS158" s="106">
        <v>0</v>
      </c>
      <c r="AT158" s="106">
        <v>0</v>
      </c>
      <c r="AU158" s="106">
        <v>0</v>
      </c>
      <c r="AV158" s="106">
        <v>0</v>
      </c>
      <c r="AW158" s="106">
        <v>0</v>
      </c>
      <c r="AX158" s="106">
        <v>0</v>
      </c>
      <c r="AY158" s="106">
        <v>0</v>
      </c>
    </row>
    <row r="159" spans="1:51">
      <c r="A159" s="109"/>
      <c r="B159" s="130">
        <v>38</v>
      </c>
      <c r="C159" s="106">
        <v>0</v>
      </c>
      <c r="D159" s="106">
        <v>0</v>
      </c>
      <c r="E159" s="106">
        <v>0</v>
      </c>
      <c r="F159" s="106">
        <v>0</v>
      </c>
      <c r="G159" s="106">
        <v>0</v>
      </c>
      <c r="H159" s="106">
        <v>0</v>
      </c>
      <c r="I159" s="106">
        <v>0</v>
      </c>
      <c r="J159" s="106">
        <v>0</v>
      </c>
      <c r="K159" s="106">
        <v>0</v>
      </c>
      <c r="L159" s="106">
        <v>0</v>
      </c>
      <c r="M159" s="106">
        <v>0</v>
      </c>
      <c r="N159" s="106">
        <v>0</v>
      </c>
      <c r="O159" s="106">
        <v>0</v>
      </c>
      <c r="P159" s="106">
        <v>0</v>
      </c>
      <c r="Q159" s="106">
        <v>0</v>
      </c>
      <c r="R159" s="106">
        <v>0</v>
      </c>
      <c r="S159" s="106">
        <v>0</v>
      </c>
      <c r="T159" s="106">
        <v>0</v>
      </c>
      <c r="U159" s="106">
        <v>0</v>
      </c>
      <c r="V159" s="106">
        <v>0</v>
      </c>
      <c r="W159" s="106">
        <v>0</v>
      </c>
      <c r="X159" s="106">
        <v>0</v>
      </c>
      <c r="Y159" s="106">
        <v>0</v>
      </c>
      <c r="Z159" s="106">
        <v>0</v>
      </c>
      <c r="AA159" s="106">
        <v>0</v>
      </c>
      <c r="AB159" s="106">
        <v>0</v>
      </c>
      <c r="AC159" s="106">
        <v>0</v>
      </c>
      <c r="AD159" s="106">
        <v>0</v>
      </c>
      <c r="AE159" s="106">
        <v>0</v>
      </c>
      <c r="AF159" s="106">
        <v>0</v>
      </c>
      <c r="AG159" s="106">
        <v>0</v>
      </c>
      <c r="AH159" s="106">
        <v>0</v>
      </c>
      <c r="AI159" s="106">
        <v>0</v>
      </c>
      <c r="AJ159" s="106">
        <v>0</v>
      </c>
      <c r="AK159" s="106">
        <v>0</v>
      </c>
      <c r="AL159" s="106">
        <v>0</v>
      </c>
      <c r="AM159" s="106">
        <v>0</v>
      </c>
      <c r="AN159" s="106">
        <v>0</v>
      </c>
      <c r="AO159" s="106">
        <v>0</v>
      </c>
      <c r="AP159" s="106">
        <v>0</v>
      </c>
      <c r="AQ159" s="106">
        <v>0</v>
      </c>
      <c r="AR159" s="106">
        <v>0</v>
      </c>
      <c r="AS159" s="106">
        <v>0</v>
      </c>
      <c r="AT159" s="106">
        <v>0</v>
      </c>
      <c r="AU159" s="106">
        <v>0</v>
      </c>
      <c r="AV159" s="106">
        <v>0</v>
      </c>
      <c r="AW159" s="106">
        <v>0</v>
      </c>
      <c r="AX159" s="106">
        <v>0</v>
      </c>
      <c r="AY159" s="106">
        <v>0</v>
      </c>
    </row>
    <row r="160" spans="1:51">
      <c r="A160" s="109"/>
      <c r="B160" s="130">
        <v>39</v>
      </c>
      <c r="C160" s="106">
        <v>0</v>
      </c>
      <c r="D160" s="106">
        <v>0</v>
      </c>
      <c r="E160" s="106">
        <v>0</v>
      </c>
      <c r="F160" s="106">
        <v>0</v>
      </c>
      <c r="G160" s="106">
        <v>0</v>
      </c>
      <c r="H160" s="106">
        <v>0</v>
      </c>
      <c r="I160" s="106">
        <v>0</v>
      </c>
      <c r="J160" s="106">
        <v>0</v>
      </c>
      <c r="K160" s="106">
        <v>0</v>
      </c>
      <c r="L160" s="106">
        <v>0</v>
      </c>
      <c r="M160" s="106">
        <v>0</v>
      </c>
      <c r="N160" s="106">
        <v>0</v>
      </c>
      <c r="O160" s="106">
        <v>0</v>
      </c>
      <c r="P160" s="106">
        <v>0</v>
      </c>
      <c r="Q160" s="106">
        <v>0</v>
      </c>
      <c r="R160" s="106">
        <v>0</v>
      </c>
      <c r="S160" s="106">
        <v>0</v>
      </c>
      <c r="T160" s="106">
        <v>0</v>
      </c>
      <c r="U160" s="106">
        <v>0</v>
      </c>
      <c r="V160" s="106">
        <v>0</v>
      </c>
      <c r="W160" s="106">
        <v>0</v>
      </c>
      <c r="X160" s="106">
        <v>0</v>
      </c>
      <c r="Y160" s="106">
        <v>0</v>
      </c>
      <c r="Z160" s="106">
        <v>0</v>
      </c>
      <c r="AA160" s="106">
        <v>0</v>
      </c>
      <c r="AB160" s="106">
        <v>0</v>
      </c>
      <c r="AC160" s="106">
        <v>0</v>
      </c>
      <c r="AD160" s="106">
        <v>0</v>
      </c>
      <c r="AE160" s="106">
        <v>0</v>
      </c>
      <c r="AF160" s="106">
        <v>0</v>
      </c>
      <c r="AG160" s="106">
        <v>0</v>
      </c>
      <c r="AH160" s="106">
        <v>0</v>
      </c>
      <c r="AI160" s="106">
        <v>0</v>
      </c>
      <c r="AJ160" s="106">
        <v>0</v>
      </c>
      <c r="AK160" s="106">
        <v>0</v>
      </c>
      <c r="AL160" s="106">
        <v>0</v>
      </c>
      <c r="AM160" s="106">
        <v>0</v>
      </c>
      <c r="AN160" s="106">
        <v>0</v>
      </c>
      <c r="AO160" s="106">
        <v>0</v>
      </c>
      <c r="AP160" s="106">
        <v>0</v>
      </c>
      <c r="AQ160" s="106">
        <v>0</v>
      </c>
      <c r="AR160" s="106">
        <v>0</v>
      </c>
      <c r="AS160" s="106">
        <v>0</v>
      </c>
      <c r="AT160" s="106">
        <v>0</v>
      </c>
      <c r="AU160" s="106">
        <v>0</v>
      </c>
      <c r="AV160" s="106">
        <v>0</v>
      </c>
      <c r="AW160" s="106">
        <v>0</v>
      </c>
      <c r="AX160" s="106">
        <v>0</v>
      </c>
      <c r="AY160" s="106">
        <v>0</v>
      </c>
    </row>
    <row r="161" spans="1:52">
      <c r="A161" s="109"/>
      <c r="B161" s="130">
        <v>40</v>
      </c>
      <c r="C161" s="106">
        <v>0</v>
      </c>
      <c r="D161" s="106">
        <v>0</v>
      </c>
      <c r="E161" s="106">
        <v>0</v>
      </c>
      <c r="F161" s="106">
        <v>0</v>
      </c>
      <c r="G161" s="106">
        <v>0</v>
      </c>
      <c r="H161" s="106">
        <v>0</v>
      </c>
      <c r="I161" s="106">
        <v>0</v>
      </c>
      <c r="J161" s="106">
        <v>0</v>
      </c>
      <c r="K161" s="106">
        <v>0</v>
      </c>
      <c r="L161" s="106">
        <v>0</v>
      </c>
      <c r="M161" s="106">
        <v>0</v>
      </c>
      <c r="N161" s="106">
        <v>0</v>
      </c>
      <c r="O161" s="106">
        <v>0</v>
      </c>
      <c r="P161" s="106">
        <v>0</v>
      </c>
      <c r="Q161" s="106">
        <v>0</v>
      </c>
      <c r="R161" s="106">
        <v>0</v>
      </c>
      <c r="S161" s="106">
        <v>0</v>
      </c>
      <c r="T161" s="106">
        <v>0</v>
      </c>
      <c r="U161" s="106">
        <v>0</v>
      </c>
      <c r="V161" s="106">
        <v>0</v>
      </c>
      <c r="W161" s="106">
        <v>0</v>
      </c>
      <c r="X161" s="106">
        <v>0</v>
      </c>
      <c r="Y161" s="106">
        <v>0</v>
      </c>
      <c r="Z161" s="106">
        <v>0</v>
      </c>
      <c r="AA161" s="106">
        <v>0</v>
      </c>
      <c r="AB161" s="106">
        <v>0</v>
      </c>
      <c r="AC161" s="106">
        <v>0</v>
      </c>
      <c r="AD161" s="106">
        <v>0</v>
      </c>
      <c r="AE161" s="106">
        <v>0</v>
      </c>
      <c r="AF161" s="106">
        <v>0</v>
      </c>
      <c r="AG161" s="106">
        <v>0</v>
      </c>
      <c r="AH161" s="106">
        <v>0</v>
      </c>
      <c r="AI161" s="106">
        <v>0</v>
      </c>
      <c r="AJ161" s="106">
        <v>0</v>
      </c>
      <c r="AK161" s="106">
        <v>0</v>
      </c>
      <c r="AL161" s="106">
        <v>0</v>
      </c>
      <c r="AM161" s="106">
        <v>0</v>
      </c>
      <c r="AN161" s="106">
        <v>0</v>
      </c>
      <c r="AO161" s="106">
        <v>0</v>
      </c>
      <c r="AP161" s="106">
        <v>0</v>
      </c>
      <c r="AQ161" s="106">
        <v>0</v>
      </c>
      <c r="AR161" s="106">
        <v>0</v>
      </c>
      <c r="AS161" s="106">
        <v>0</v>
      </c>
      <c r="AT161" s="106">
        <v>0</v>
      </c>
      <c r="AU161" s="106">
        <v>0</v>
      </c>
      <c r="AV161" s="106">
        <v>0</v>
      </c>
      <c r="AW161" s="106">
        <v>0</v>
      </c>
      <c r="AX161" s="106">
        <v>0</v>
      </c>
      <c r="AY161" s="106">
        <v>0</v>
      </c>
    </row>
    <row r="162" spans="1:52">
      <c r="A162" s="109"/>
      <c r="B162" s="130">
        <v>41</v>
      </c>
      <c r="C162" s="106">
        <v>0</v>
      </c>
      <c r="D162" s="106">
        <v>0</v>
      </c>
      <c r="E162" s="106">
        <v>0</v>
      </c>
      <c r="F162" s="106">
        <v>0</v>
      </c>
      <c r="G162" s="106">
        <v>0</v>
      </c>
      <c r="H162" s="106">
        <v>0</v>
      </c>
      <c r="I162" s="106">
        <v>0</v>
      </c>
      <c r="J162" s="106">
        <v>0</v>
      </c>
      <c r="K162" s="106">
        <v>0</v>
      </c>
      <c r="L162" s="106">
        <v>0</v>
      </c>
      <c r="M162" s="106">
        <v>0</v>
      </c>
      <c r="N162" s="106">
        <v>0</v>
      </c>
      <c r="O162" s="106">
        <v>0</v>
      </c>
      <c r="P162" s="106">
        <v>0</v>
      </c>
      <c r="Q162" s="106">
        <v>0</v>
      </c>
      <c r="R162" s="106">
        <v>0</v>
      </c>
      <c r="S162" s="106">
        <v>0</v>
      </c>
      <c r="T162" s="106">
        <v>0</v>
      </c>
      <c r="U162" s="106">
        <v>0</v>
      </c>
      <c r="V162" s="106">
        <v>0</v>
      </c>
      <c r="W162" s="106">
        <v>0</v>
      </c>
      <c r="X162" s="106">
        <v>0</v>
      </c>
      <c r="Y162" s="106">
        <v>0</v>
      </c>
      <c r="Z162" s="106">
        <v>0</v>
      </c>
      <c r="AA162" s="106">
        <v>0</v>
      </c>
      <c r="AB162" s="106">
        <v>0</v>
      </c>
      <c r="AC162" s="106">
        <v>0</v>
      </c>
      <c r="AD162" s="106">
        <v>0</v>
      </c>
      <c r="AE162" s="106">
        <v>0</v>
      </c>
      <c r="AF162" s="106">
        <v>0</v>
      </c>
      <c r="AG162" s="106">
        <v>0</v>
      </c>
      <c r="AH162" s="106">
        <v>0</v>
      </c>
      <c r="AI162" s="106">
        <v>0</v>
      </c>
      <c r="AJ162" s="106">
        <v>0</v>
      </c>
      <c r="AK162" s="106">
        <v>0</v>
      </c>
      <c r="AL162" s="106">
        <v>0</v>
      </c>
      <c r="AM162" s="106">
        <v>0</v>
      </c>
      <c r="AN162" s="106">
        <v>0</v>
      </c>
      <c r="AO162" s="106">
        <v>0</v>
      </c>
      <c r="AP162" s="106">
        <v>0</v>
      </c>
      <c r="AQ162" s="106">
        <v>0</v>
      </c>
      <c r="AR162" s="106">
        <v>0</v>
      </c>
      <c r="AS162" s="106">
        <v>0</v>
      </c>
      <c r="AT162" s="106">
        <v>0</v>
      </c>
      <c r="AU162" s="106">
        <v>0</v>
      </c>
      <c r="AV162" s="106">
        <v>0</v>
      </c>
      <c r="AW162" s="106">
        <v>0</v>
      </c>
      <c r="AX162" s="106">
        <v>0</v>
      </c>
      <c r="AY162" s="106">
        <v>0</v>
      </c>
    </row>
    <row r="163" spans="1:52">
      <c r="A163" s="109"/>
      <c r="B163" s="130">
        <v>42</v>
      </c>
      <c r="C163" s="106">
        <v>0</v>
      </c>
      <c r="D163" s="106">
        <v>0</v>
      </c>
      <c r="E163" s="106">
        <v>0</v>
      </c>
      <c r="F163" s="106">
        <v>0</v>
      </c>
      <c r="G163" s="106">
        <v>0</v>
      </c>
      <c r="H163" s="106">
        <v>0</v>
      </c>
      <c r="I163" s="106">
        <v>0</v>
      </c>
      <c r="J163" s="106">
        <v>0</v>
      </c>
      <c r="K163" s="106">
        <v>0</v>
      </c>
      <c r="L163" s="106">
        <v>0</v>
      </c>
      <c r="M163" s="106">
        <v>0</v>
      </c>
      <c r="N163" s="106">
        <v>0</v>
      </c>
      <c r="O163" s="106">
        <v>0</v>
      </c>
      <c r="P163" s="106">
        <v>0</v>
      </c>
      <c r="Q163" s="106">
        <v>0</v>
      </c>
      <c r="R163" s="106">
        <v>0</v>
      </c>
      <c r="S163" s="106">
        <v>0</v>
      </c>
      <c r="T163" s="106">
        <v>0</v>
      </c>
      <c r="U163" s="106">
        <v>0</v>
      </c>
      <c r="V163" s="106">
        <v>0</v>
      </c>
      <c r="W163" s="106">
        <v>0</v>
      </c>
      <c r="X163" s="106">
        <v>0</v>
      </c>
      <c r="Y163" s="106">
        <v>0</v>
      </c>
      <c r="Z163" s="106">
        <v>0</v>
      </c>
      <c r="AA163" s="106">
        <v>0</v>
      </c>
      <c r="AB163" s="106">
        <v>0</v>
      </c>
      <c r="AC163" s="106">
        <v>0</v>
      </c>
      <c r="AD163" s="106">
        <v>0</v>
      </c>
      <c r="AE163" s="106">
        <v>0</v>
      </c>
      <c r="AF163" s="106">
        <v>0</v>
      </c>
      <c r="AG163" s="106">
        <v>0</v>
      </c>
      <c r="AH163" s="106">
        <v>0</v>
      </c>
      <c r="AI163" s="106">
        <v>0</v>
      </c>
      <c r="AJ163" s="106">
        <v>0</v>
      </c>
      <c r="AK163" s="106">
        <v>0</v>
      </c>
      <c r="AL163" s="106">
        <v>0</v>
      </c>
      <c r="AM163" s="106">
        <v>0</v>
      </c>
      <c r="AN163" s="106">
        <v>0</v>
      </c>
      <c r="AO163" s="106">
        <v>0</v>
      </c>
      <c r="AP163" s="106">
        <v>0</v>
      </c>
      <c r="AQ163" s="106">
        <v>0</v>
      </c>
      <c r="AR163" s="106">
        <v>0</v>
      </c>
      <c r="AS163" s="106">
        <v>0</v>
      </c>
      <c r="AT163" s="106">
        <v>0</v>
      </c>
      <c r="AU163" s="106">
        <v>0</v>
      </c>
      <c r="AV163" s="106">
        <v>0</v>
      </c>
      <c r="AW163" s="106">
        <v>0</v>
      </c>
      <c r="AX163" s="106">
        <v>0</v>
      </c>
      <c r="AY163" s="106">
        <v>0</v>
      </c>
    </row>
    <row r="164" spans="1:52">
      <c r="A164" s="109"/>
      <c r="B164" s="130">
        <v>43</v>
      </c>
      <c r="C164" s="106">
        <v>0</v>
      </c>
      <c r="D164" s="106">
        <v>0</v>
      </c>
      <c r="E164" s="106">
        <v>0</v>
      </c>
      <c r="F164" s="106">
        <v>0</v>
      </c>
      <c r="G164" s="106">
        <v>0</v>
      </c>
      <c r="H164" s="106">
        <v>0</v>
      </c>
      <c r="I164" s="106">
        <v>0</v>
      </c>
      <c r="J164" s="106">
        <v>0</v>
      </c>
      <c r="K164" s="106">
        <v>0</v>
      </c>
      <c r="L164" s="106">
        <v>0</v>
      </c>
      <c r="M164" s="106">
        <v>0</v>
      </c>
      <c r="N164" s="106">
        <v>0</v>
      </c>
      <c r="O164" s="106">
        <v>0</v>
      </c>
      <c r="P164" s="106">
        <v>0</v>
      </c>
      <c r="Q164" s="106">
        <v>0</v>
      </c>
      <c r="R164" s="106">
        <v>0</v>
      </c>
      <c r="S164" s="106">
        <v>0</v>
      </c>
      <c r="T164" s="106">
        <v>0</v>
      </c>
      <c r="U164" s="106">
        <v>0</v>
      </c>
      <c r="V164" s="106">
        <v>0</v>
      </c>
      <c r="W164" s="106">
        <v>0</v>
      </c>
      <c r="X164" s="106">
        <v>0</v>
      </c>
      <c r="Y164" s="106">
        <v>0</v>
      </c>
      <c r="Z164" s="106">
        <v>0</v>
      </c>
      <c r="AA164" s="106">
        <v>0</v>
      </c>
      <c r="AB164" s="106">
        <v>0</v>
      </c>
      <c r="AC164" s="106">
        <v>0</v>
      </c>
      <c r="AD164" s="106">
        <v>0</v>
      </c>
      <c r="AE164" s="106">
        <v>0</v>
      </c>
      <c r="AF164" s="106">
        <v>0</v>
      </c>
      <c r="AG164" s="106">
        <v>0</v>
      </c>
      <c r="AH164" s="106">
        <v>0</v>
      </c>
      <c r="AI164" s="106">
        <v>0</v>
      </c>
      <c r="AJ164" s="106">
        <v>0</v>
      </c>
      <c r="AK164" s="106">
        <v>0</v>
      </c>
      <c r="AL164" s="106">
        <v>0</v>
      </c>
      <c r="AM164" s="106">
        <v>0</v>
      </c>
      <c r="AN164" s="106">
        <v>0</v>
      </c>
      <c r="AO164" s="106">
        <v>0</v>
      </c>
      <c r="AP164" s="106">
        <v>0</v>
      </c>
      <c r="AQ164" s="106">
        <v>0</v>
      </c>
      <c r="AR164" s="106">
        <v>0</v>
      </c>
      <c r="AS164" s="106">
        <v>0</v>
      </c>
      <c r="AT164" s="106">
        <v>0</v>
      </c>
      <c r="AU164" s="106">
        <v>0</v>
      </c>
      <c r="AV164" s="106">
        <v>0</v>
      </c>
      <c r="AW164" s="106">
        <v>0</v>
      </c>
      <c r="AX164" s="106">
        <v>0</v>
      </c>
      <c r="AY164" s="106">
        <v>0</v>
      </c>
    </row>
    <row r="165" spans="1:52">
      <c r="A165" s="109"/>
      <c r="B165" s="130">
        <v>44</v>
      </c>
      <c r="C165" s="106">
        <v>0</v>
      </c>
      <c r="D165" s="106">
        <v>0</v>
      </c>
      <c r="E165" s="106">
        <v>0</v>
      </c>
      <c r="F165" s="106">
        <v>0</v>
      </c>
      <c r="G165" s="106">
        <v>0</v>
      </c>
      <c r="H165" s="106">
        <v>0</v>
      </c>
      <c r="I165" s="106">
        <v>0</v>
      </c>
      <c r="J165" s="106">
        <v>0</v>
      </c>
      <c r="K165" s="106">
        <v>0</v>
      </c>
      <c r="L165" s="106">
        <v>0</v>
      </c>
      <c r="M165" s="106">
        <v>0</v>
      </c>
      <c r="N165" s="106">
        <v>0</v>
      </c>
      <c r="O165" s="106">
        <v>0</v>
      </c>
      <c r="P165" s="106">
        <v>0</v>
      </c>
      <c r="Q165" s="106">
        <v>0</v>
      </c>
      <c r="R165" s="106">
        <v>0</v>
      </c>
      <c r="S165" s="106">
        <v>0</v>
      </c>
      <c r="T165" s="106">
        <v>0</v>
      </c>
      <c r="U165" s="106">
        <v>0</v>
      </c>
      <c r="V165" s="106">
        <v>0</v>
      </c>
      <c r="W165" s="106">
        <v>0</v>
      </c>
      <c r="X165" s="106">
        <v>0</v>
      </c>
      <c r="Y165" s="106">
        <v>0</v>
      </c>
      <c r="Z165" s="106">
        <v>0</v>
      </c>
      <c r="AA165" s="106">
        <v>0</v>
      </c>
      <c r="AB165" s="106">
        <v>0</v>
      </c>
      <c r="AC165" s="106">
        <v>0</v>
      </c>
      <c r="AD165" s="106">
        <v>0</v>
      </c>
      <c r="AE165" s="106">
        <v>0</v>
      </c>
      <c r="AF165" s="106">
        <v>0</v>
      </c>
      <c r="AG165" s="106">
        <v>0</v>
      </c>
      <c r="AH165" s="106">
        <v>0</v>
      </c>
      <c r="AI165" s="106">
        <v>0</v>
      </c>
      <c r="AJ165" s="106">
        <v>0</v>
      </c>
      <c r="AK165" s="106">
        <v>0</v>
      </c>
      <c r="AL165" s="106">
        <v>0</v>
      </c>
      <c r="AM165" s="106">
        <v>0</v>
      </c>
      <c r="AN165" s="106">
        <v>0</v>
      </c>
      <c r="AO165" s="106">
        <v>0</v>
      </c>
      <c r="AP165" s="106">
        <v>0</v>
      </c>
      <c r="AQ165" s="106">
        <v>0</v>
      </c>
      <c r="AR165" s="106">
        <v>0</v>
      </c>
      <c r="AS165" s="106">
        <v>0</v>
      </c>
      <c r="AT165" s="106">
        <v>0</v>
      </c>
      <c r="AU165" s="106">
        <v>0</v>
      </c>
      <c r="AV165" s="106">
        <v>0</v>
      </c>
      <c r="AW165" s="106">
        <v>0</v>
      </c>
      <c r="AX165" s="106">
        <v>0</v>
      </c>
      <c r="AY165" s="106">
        <v>0</v>
      </c>
    </row>
    <row r="166" spans="1:52">
      <c r="A166" s="109"/>
      <c r="B166" s="130">
        <v>45</v>
      </c>
      <c r="C166" s="106">
        <v>0</v>
      </c>
      <c r="D166" s="106">
        <v>0</v>
      </c>
      <c r="E166" s="106">
        <v>0</v>
      </c>
      <c r="F166" s="106">
        <v>0</v>
      </c>
      <c r="G166" s="106">
        <v>0</v>
      </c>
      <c r="H166" s="106">
        <v>0</v>
      </c>
      <c r="I166" s="106">
        <v>0</v>
      </c>
      <c r="J166" s="106">
        <v>0</v>
      </c>
      <c r="K166" s="106">
        <v>0</v>
      </c>
      <c r="L166" s="106">
        <v>0</v>
      </c>
      <c r="M166" s="106">
        <v>0</v>
      </c>
      <c r="N166" s="106">
        <v>0</v>
      </c>
      <c r="O166" s="106">
        <v>0</v>
      </c>
      <c r="P166" s="106">
        <v>0</v>
      </c>
      <c r="Q166" s="106">
        <v>0</v>
      </c>
      <c r="R166" s="106">
        <v>0</v>
      </c>
      <c r="S166" s="106">
        <v>0</v>
      </c>
      <c r="T166" s="106">
        <v>0</v>
      </c>
      <c r="U166" s="106">
        <v>0</v>
      </c>
      <c r="V166" s="106">
        <v>0</v>
      </c>
      <c r="W166" s="106">
        <v>0</v>
      </c>
      <c r="X166" s="106">
        <v>0</v>
      </c>
      <c r="Y166" s="106">
        <v>0</v>
      </c>
      <c r="Z166" s="106">
        <v>0</v>
      </c>
      <c r="AA166" s="106">
        <v>0</v>
      </c>
      <c r="AB166" s="106">
        <v>0</v>
      </c>
      <c r="AC166" s="106">
        <v>0</v>
      </c>
      <c r="AD166" s="106">
        <v>0</v>
      </c>
      <c r="AE166" s="106">
        <v>0</v>
      </c>
      <c r="AF166" s="106">
        <v>0</v>
      </c>
      <c r="AG166" s="106">
        <v>0</v>
      </c>
      <c r="AH166" s="106">
        <v>0</v>
      </c>
      <c r="AI166" s="106">
        <v>0</v>
      </c>
      <c r="AJ166" s="106">
        <v>0</v>
      </c>
      <c r="AK166" s="106">
        <v>0</v>
      </c>
      <c r="AL166" s="106">
        <v>0</v>
      </c>
      <c r="AM166" s="106">
        <v>0</v>
      </c>
      <c r="AN166" s="106">
        <v>0</v>
      </c>
      <c r="AO166" s="106">
        <v>0</v>
      </c>
      <c r="AP166" s="106">
        <v>0</v>
      </c>
      <c r="AQ166" s="106">
        <v>0</v>
      </c>
      <c r="AR166" s="106">
        <v>0</v>
      </c>
      <c r="AS166" s="106">
        <v>0</v>
      </c>
      <c r="AT166" s="106">
        <v>0</v>
      </c>
      <c r="AU166" s="106">
        <v>0</v>
      </c>
      <c r="AV166" s="106">
        <v>0</v>
      </c>
      <c r="AW166" s="106">
        <v>0</v>
      </c>
      <c r="AX166" s="106">
        <v>0</v>
      </c>
      <c r="AY166" s="106">
        <v>0</v>
      </c>
    </row>
    <row r="167" spans="1:52">
      <c r="A167" s="109"/>
      <c r="B167" s="130">
        <v>46</v>
      </c>
      <c r="C167" s="106">
        <v>0</v>
      </c>
      <c r="D167" s="106">
        <v>0</v>
      </c>
      <c r="E167" s="106">
        <v>0</v>
      </c>
      <c r="F167" s="106">
        <v>0</v>
      </c>
      <c r="G167" s="106">
        <v>0</v>
      </c>
      <c r="H167" s="106">
        <v>0</v>
      </c>
      <c r="I167" s="106">
        <v>0</v>
      </c>
      <c r="J167" s="106">
        <v>0</v>
      </c>
      <c r="K167" s="106">
        <v>0</v>
      </c>
      <c r="L167" s="106">
        <v>0</v>
      </c>
      <c r="M167" s="106">
        <v>0</v>
      </c>
      <c r="N167" s="106">
        <v>0</v>
      </c>
      <c r="O167" s="106">
        <v>0</v>
      </c>
      <c r="P167" s="106">
        <v>0</v>
      </c>
      <c r="Q167" s="106">
        <v>0</v>
      </c>
      <c r="R167" s="106">
        <v>0</v>
      </c>
      <c r="S167" s="106">
        <v>0</v>
      </c>
      <c r="T167" s="106">
        <v>0</v>
      </c>
      <c r="U167" s="106">
        <v>0</v>
      </c>
      <c r="V167" s="106">
        <v>0</v>
      </c>
      <c r="W167" s="106">
        <v>0</v>
      </c>
      <c r="X167" s="106">
        <v>0</v>
      </c>
      <c r="Y167" s="106">
        <v>0</v>
      </c>
      <c r="Z167" s="106">
        <v>0</v>
      </c>
      <c r="AA167" s="106">
        <v>0</v>
      </c>
      <c r="AB167" s="106">
        <v>0</v>
      </c>
      <c r="AC167" s="106">
        <v>0</v>
      </c>
      <c r="AD167" s="106">
        <v>0</v>
      </c>
      <c r="AE167" s="106">
        <v>0</v>
      </c>
      <c r="AF167" s="106">
        <v>0</v>
      </c>
      <c r="AG167" s="106">
        <v>0</v>
      </c>
      <c r="AH167" s="106">
        <v>0</v>
      </c>
      <c r="AI167" s="106">
        <v>0</v>
      </c>
      <c r="AJ167" s="106">
        <v>0</v>
      </c>
      <c r="AK167" s="106">
        <v>0</v>
      </c>
      <c r="AL167" s="106">
        <v>0</v>
      </c>
      <c r="AM167" s="106">
        <v>0</v>
      </c>
      <c r="AN167" s="106">
        <v>0</v>
      </c>
      <c r="AO167" s="106">
        <v>0</v>
      </c>
      <c r="AP167" s="106">
        <v>0</v>
      </c>
      <c r="AQ167" s="106">
        <v>0</v>
      </c>
      <c r="AR167" s="106">
        <v>0</v>
      </c>
      <c r="AS167" s="106">
        <v>0</v>
      </c>
      <c r="AT167" s="106">
        <v>0</v>
      </c>
      <c r="AU167" s="106">
        <v>0</v>
      </c>
      <c r="AV167" s="106">
        <v>0</v>
      </c>
      <c r="AW167" s="106">
        <v>0</v>
      </c>
      <c r="AX167" s="106">
        <v>0</v>
      </c>
      <c r="AY167" s="106">
        <v>0</v>
      </c>
    </row>
    <row r="168" spans="1:52">
      <c r="A168" s="109"/>
      <c r="B168" s="130">
        <v>47</v>
      </c>
      <c r="C168" s="106">
        <v>0</v>
      </c>
      <c r="D168" s="106">
        <v>0</v>
      </c>
      <c r="E168" s="106">
        <v>0</v>
      </c>
      <c r="F168" s="106">
        <v>0</v>
      </c>
      <c r="G168" s="106">
        <v>0</v>
      </c>
      <c r="H168" s="106">
        <v>0</v>
      </c>
      <c r="I168" s="106">
        <v>0</v>
      </c>
      <c r="J168" s="106">
        <v>0</v>
      </c>
      <c r="K168" s="106">
        <v>0</v>
      </c>
      <c r="L168" s="106">
        <v>0</v>
      </c>
      <c r="M168" s="106">
        <v>0</v>
      </c>
      <c r="N168" s="106">
        <v>0</v>
      </c>
      <c r="O168" s="106">
        <v>0</v>
      </c>
      <c r="P168" s="106">
        <v>0</v>
      </c>
      <c r="Q168" s="106">
        <v>0</v>
      </c>
      <c r="R168" s="106">
        <v>0</v>
      </c>
      <c r="S168" s="106">
        <v>0</v>
      </c>
      <c r="T168" s="106">
        <v>0</v>
      </c>
      <c r="U168" s="106">
        <v>0</v>
      </c>
      <c r="V168" s="106">
        <v>0</v>
      </c>
      <c r="W168" s="106">
        <v>0</v>
      </c>
      <c r="X168" s="106">
        <v>0</v>
      </c>
      <c r="Y168" s="106">
        <v>0</v>
      </c>
      <c r="Z168" s="106">
        <v>0</v>
      </c>
      <c r="AA168" s="106">
        <v>0</v>
      </c>
      <c r="AB168" s="106">
        <v>0</v>
      </c>
      <c r="AC168" s="106">
        <v>0</v>
      </c>
      <c r="AD168" s="106">
        <v>0</v>
      </c>
      <c r="AE168" s="106">
        <v>0</v>
      </c>
      <c r="AF168" s="106">
        <v>0</v>
      </c>
      <c r="AG168" s="106">
        <v>0</v>
      </c>
      <c r="AH168" s="106">
        <v>0</v>
      </c>
      <c r="AI168" s="106">
        <v>0</v>
      </c>
      <c r="AJ168" s="106">
        <v>0</v>
      </c>
      <c r="AK168" s="106">
        <v>0</v>
      </c>
      <c r="AL168" s="106">
        <v>0</v>
      </c>
      <c r="AM168" s="106">
        <v>0</v>
      </c>
      <c r="AN168" s="106">
        <v>0</v>
      </c>
      <c r="AO168" s="106">
        <v>0</v>
      </c>
      <c r="AP168" s="106">
        <v>0</v>
      </c>
      <c r="AQ168" s="106">
        <v>0</v>
      </c>
      <c r="AR168" s="106">
        <v>0</v>
      </c>
      <c r="AS168" s="106">
        <v>0</v>
      </c>
      <c r="AT168" s="106">
        <v>0</v>
      </c>
      <c r="AU168" s="106">
        <v>0</v>
      </c>
      <c r="AV168" s="106">
        <v>0</v>
      </c>
      <c r="AW168" s="106">
        <v>0</v>
      </c>
      <c r="AX168" s="106">
        <v>0</v>
      </c>
      <c r="AY168" s="106">
        <v>0</v>
      </c>
    </row>
    <row r="169" spans="1:52">
      <c r="A169" s="109"/>
      <c r="B169" s="130">
        <v>48</v>
      </c>
      <c r="C169" s="106">
        <v>0</v>
      </c>
      <c r="D169" s="106">
        <v>0</v>
      </c>
      <c r="E169" s="106">
        <v>0</v>
      </c>
      <c r="F169" s="106">
        <v>0</v>
      </c>
      <c r="G169" s="106">
        <v>0</v>
      </c>
      <c r="H169" s="106">
        <v>0</v>
      </c>
      <c r="I169" s="106">
        <v>0</v>
      </c>
      <c r="J169" s="106">
        <v>0</v>
      </c>
      <c r="K169" s="106">
        <v>0</v>
      </c>
      <c r="L169" s="106">
        <v>0</v>
      </c>
      <c r="M169" s="106">
        <v>0</v>
      </c>
      <c r="N169" s="106">
        <v>0</v>
      </c>
      <c r="O169" s="106">
        <v>0</v>
      </c>
      <c r="P169" s="106">
        <v>0</v>
      </c>
      <c r="Q169" s="106">
        <v>0</v>
      </c>
      <c r="R169" s="106">
        <v>0</v>
      </c>
      <c r="S169" s="106">
        <v>0</v>
      </c>
      <c r="T169" s="106">
        <v>0</v>
      </c>
      <c r="U169" s="106">
        <v>0</v>
      </c>
      <c r="V169" s="106">
        <v>0</v>
      </c>
      <c r="W169" s="106">
        <v>0</v>
      </c>
      <c r="X169" s="106">
        <v>0</v>
      </c>
      <c r="Y169" s="106">
        <v>0</v>
      </c>
      <c r="Z169" s="106">
        <v>0</v>
      </c>
      <c r="AA169" s="106">
        <v>0</v>
      </c>
      <c r="AB169" s="106">
        <v>0</v>
      </c>
      <c r="AC169" s="106">
        <v>0</v>
      </c>
      <c r="AD169" s="106">
        <v>0</v>
      </c>
      <c r="AE169" s="106">
        <v>0</v>
      </c>
      <c r="AF169" s="106">
        <v>0</v>
      </c>
      <c r="AG169" s="106">
        <v>0</v>
      </c>
      <c r="AH169" s="106">
        <v>0</v>
      </c>
      <c r="AI169" s="106">
        <v>0</v>
      </c>
      <c r="AJ169" s="106">
        <v>0</v>
      </c>
      <c r="AK169" s="106">
        <v>0</v>
      </c>
      <c r="AL169" s="106">
        <v>0</v>
      </c>
      <c r="AM169" s="106">
        <v>0</v>
      </c>
      <c r="AN169" s="106">
        <v>0</v>
      </c>
      <c r="AO169" s="106">
        <v>0</v>
      </c>
      <c r="AP169" s="106">
        <v>0</v>
      </c>
      <c r="AQ169" s="106">
        <v>0</v>
      </c>
      <c r="AR169" s="106">
        <v>0</v>
      </c>
      <c r="AS169" s="106">
        <v>0</v>
      </c>
      <c r="AT169" s="106">
        <v>0</v>
      </c>
      <c r="AU169" s="106">
        <v>0</v>
      </c>
      <c r="AV169" s="106">
        <v>0</v>
      </c>
      <c r="AW169" s="106">
        <v>0</v>
      </c>
      <c r="AX169" s="106">
        <v>0</v>
      </c>
      <c r="AY169" s="106">
        <v>0</v>
      </c>
    </row>
    <row r="170" spans="1:52">
      <c r="A170" s="128"/>
      <c r="B170" s="132" t="s">
        <v>296</v>
      </c>
      <c r="C170" s="114">
        <v>0</v>
      </c>
      <c r="D170" s="125">
        <v>0</v>
      </c>
      <c r="E170" s="125">
        <v>0</v>
      </c>
      <c r="F170" s="125">
        <v>0</v>
      </c>
      <c r="G170" s="125">
        <v>0</v>
      </c>
      <c r="H170" s="125">
        <v>0</v>
      </c>
      <c r="I170" s="125">
        <v>0</v>
      </c>
      <c r="J170" s="125">
        <v>0</v>
      </c>
      <c r="K170" s="125">
        <v>0</v>
      </c>
      <c r="L170" s="125">
        <v>0</v>
      </c>
      <c r="M170" s="125">
        <v>0</v>
      </c>
      <c r="N170" s="125">
        <v>0</v>
      </c>
      <c r="O170" s="125">
        <v>0</v>
      </c>
      <c r="P170" s="125">
        <v>0</v>
      </c>
      <c r="Q170" s="125">
        <v>0</v>
      </c>
      <c r="R170" s="125">
        <v>0</v>
      </c>
      <c r="S170" s="125">
        <v>0</v>
      </c>
      <c r="T170" s="125">
        <v>0</v>
      </c>
      <c r="U170" s="125">
        <v>0</v>
      </c>
      <c r="V170" s="125">
        <v>0</v>
      </c>
      <c r="W170" s="125">
        <v>0</v>
      </c>
      <c r="X170" s="125">
        <v>0</v>
      </c>
      <c r="Y170" s="125">
        <v>0</v>
      </c>
      <c r="Z170" s="125">
        <v>0</v>
      </c>
      <c r="AA170" s="125">
        <v>0</v>
      </c>
      <c r="AB170" s="125">
        <v>0</v>
      </c>
      <c r="AC170" s="125">
        <v>0</v>
      </c>
      <c r="AD170" s="125">
        <v>0</v>
      </c>
      <c r="AE170" s="125">
        <v>0</v>
      </c>
      <c r="AF170" s="125">
        <v>0</v>
      </c>
      <c r="AG170" s="125">
        <v>0</v>
      </c>
      <c r="AH170" s="125">
        <v>0</v>
      </c>
      <c r="AI170" s="125">
        <v>0</v>
      </c>
      <c r="AJ170" s="125">
        <v>0</v>
      </c>
      <c r="AK170" s="125">
        <v>0</v>
      </c>
      <c r="AL170" s="125">
        <v>0</v>
      </c>
      <c r="AM170" s="125">
        <v>0</v>
      </c>
      <c r="AN170" s="125">
        <v>0</v>
      </c>
      <c r="AO170" s="125">
        <v>0</v>
      </c>
      <c r="AP170" s="125">
        <v>0</v>
      </c>
      <c r="AQ170" s="125">
        <v>0</v>
      </c>
      <c r="AR170" s="125">
        <v>0</v>
      </c>
      <c r="AS170" s="125">
        <v>0</v>
      </c>
      <c r="AT170" s="125">
        <v>0</v>
      </c>
      <c r="AU170" s="125">
        <v>0</v>
      </c>
      <c r="AV170" s="125">
        <v>0</v>
      </c>
      <c r="AW170" s="125">
        <v>0</v>
      </c>
      <c r="AX170" s="125">
        <v>0</v>
      </c>
      <c r="AY170" s="125">
        <v>0</v>
      </c>
      <c r="AZ170" s="107">
        <f>SUM($D170:$AY170)</f>
        <v>0</v>
      </c>
    </row>
    <row r="172" spans="1:52">
      <c r="A172" s="102" t="s">
        <v>124</v>
      </c>
      <c r="B172" s="133" t="s">
        <v>297</v>
      </c>
      <c r="C172" s="134">
        <v>0.41180328899486285</v>
      </c>
      <c r="D172" s="134">
        <v>0.40961410312442942</v>
      </c>
      <c r="E172" s="134">
        <v>0.40961410312442942</v>
      </c>
      <c r="F172" s="134">
        <v>0.40961410312442942</v>
      </c>
      <c r="G172" s="134">
        <v>0.40961410312442942</v>
      </c>
      <c r="H172" s="134">
        <v>0.40961410312442942</v>
      </c>
      <c r="I172" s="134">
        <v>0.40961410312442942</v>
      </c>
      <c r="J172" s="134">
        <v>0.40961410312442942</v>
      </c>
      <c r="K172" s="134">
        <v>0.40961410312442942</v>
      </c>
      <c r="L172" s="134">
        <v>0.40961410312442942</v>
      </c>
      <c r="M172" s="134">
        <v>0.40961410312442942</v>
      </c>
      <c r="N172" s="134">
        <v>0.40961410312442942</v>
      </c>
      <c r="O172" s="134">
        <v>0.40961410312442942</v>
      </c>
      <c r="P172" s="134">
        <v>0.40961410312442942</v>
      </c>
      <c r="Q172" s="134">
        <v>0.40961410312442942</v>
      </c>
      <c r="R172" s="134">
        <v>0.40961410312442942</v>
      </c>
      <c r="S172" s="134">
        <v>0.40961410312442942</v>
      </c>
      <c r="T172" s="134">
        <v>0.40961410312442942</v>
      </c>
      <c r="U172" s="134">
        <v>0.40961410312442942</v>
      </c>
      <c r="V172" s="134">
        <v>0.40961410312442942</v>
      </c>
      <c r="W172" s="134">
        <v>0.40961410312442942</v>
      </c>
      <c r="X172" s="134">
        <v>0.40961410312442942</v>
      </c>
      <c r="Y172" s="134">
        <v>0.40961410312442942</v>
      </c>
      <c r="Z172" s="134">
        <v>0.40961410312442942</v>
      </c>
      <c r="AA172" s="134">
        <v>0.40961410312442942</v>
      </c>
      <c r="AB172" s="134">
        <v>0.40961410312442942</v>
      </c>
      <c r="AC172" s="134">
        <v>0.40961410312442942</v>
      </c>
      <c r="AD172" s="134">
        <v>0.40961410312442942</v>
      </c>
      <c r="AE172" s="134">
        <v>0.40961410312442942</v>
      </c>
      <c r="AF172" s="134">
        <v>0.40961410312442942</v>
      </c>
      <c r="AG172" s="134">
        <v>0.40961410312442942</v>
      </c>
      <c r="AH172" s="134">
        <v>0.40961410312442942</v>
      </c>
      <c r="AI172" s="134">
        <v>0.40961410312442942</v>
      </c>
      <c r="AJ172" s="134">
        <v>0.40961410312442942</v>
      </c>
      <c r="AK172" s="134">
        <v>0.40961410312442942</v>
      </c>
      <c r="AL172" s="134">
        <v>0.40961410312442942</v>
      </c>
      <c r="AM172" s="134">
        <v>0.40961410312442942</v>
      </c>
      <c r="AN172" s="134">
        <v>0.40961410312442942</v>
      </c>
      <c r="AO172" s="134">
        <v>0.40961410312442942</v>
      </c>
      <c r="AP172" s="134">
        <v>0.40961410312442942</v>
      </c>
      <c r="AQ172" s="134">
        <v>0.40961410312442942</v>
      </c>
      <c r="AR172" s="134">
        <v>0.40961410312442942</v>
      </c>
      <c r="AS172" s="134">
        <v>0.40961410312442942</v>
      </c>
      <c r="AT172" s="134">
        <v>0.40961410312442942</v>
      </c>
      <c r="AU172" s="134">
        <v>0.40961410312442942</v>
      </c>
      <c r="AV172" s="134">
        <v>0.40961410312442942</v>
      </c>
      <c r="AW172" s="134">
        <v>0.40961410312442942</v>
      </c>
      <c r="AX172" s="134">
        <v>0.40961410312442942</v>
      </c>
      <c r="AY172" s="134">
        <v>0.40961410312442942</v>
      </c>
    </row>
    <row r="174" spans="1:52">
      <c r="A174" s="102" t="s">
        <v>272</v>
      </c>
    </row>
    <row r="175" spans="1:52">
      <c r="A175" s="135" t="s">
        <v>125</v>
      </c>
      <c r="B175" s="135" t="s">
        <v>298</v>
      </c>
      <c r="C175" s="124" t="s">
        <v>293</v>
      </c>
      <c r="D175" s="124">
        <f t="shared" ref="D175:AY175" si="1">SUM(D95:D98)</f>
        <v>710.94422639436721</v>
      </c>
      <c r="E175" s="124">
        <f t="shared" si="1"/>
        <v>783.63119482429556</v>
      </c>
      <c r="F175" s="124">
        <f t="shared" si="1"/>
        <v>832.31816325422392</v>
      </c>
      <c r="G175" s="124">
        <f t="shared" si="1"/>
        <v>862.74787371971354</v>
      </c>
      <c r="H175" s="124">
        <f t="shared" si="1"/>
        <v>862.74787371971354</v>
      </c>
      <c r="I175" s="124">
        <f t="shared" si="1"/>
        <v>862.74787371971354</v>
      </c>
      <c r="J175" s="124">
        <f t="shared" si="1"/>
        <v>862.74787371971354</v>
      </c>
      <c r="K175" s="124">
        <f t="shared" si="1"/>
        <v>862.74787371971354</v>
      </c>
      <c r="L175" s="124">
        <f t="shared" si="1"/>
        <v>862.74787371971354</v>
      </c>
      <c r="M175" s="124">
        <f t="shared" si="1"/>
        <v>847.43484214964201</v>
      </c>
      <c r="N175" s="124">
        <f t="shared" si="1"/>
        <v>862.74787371971354</v>
      </c>
      <c r="O175" s="124">
        <f t="shared" si="1"/>
        <v>858.43484214964201</v>
      </c>
      <c r="P175" s="124">
        <f t="shared" si="1"/>
        <v>849.12181057957037</v>
      </c>
      <c r="Q175" s="124">
        <f t="shared" si="1"/>
        <v>859.80877900949872</v>
      </c>
      <c r="R175" s="124">
        <f t="shared" si="1"/>
        <v>862.74787371971354</v>
      </c>
      <c r="S175" s="124">
        <f t="shared" si="1"/>
        <v>862.74787371971354</v>
      </c>
      <c r="T175" s="124">
        <f t="shared" si="1"/>
        <v>862.74787371971354</v>
      </c>
      <c r="U175" s="124">
        <f t="shared" si="1"/>
        <v>862.74787371971354</v>
      </c>
      <c r="V175" s="124">
        <f t="shared" si="1"/>
        <v>862.74787371971354</v>
      </c>
      <c r="W175" s="124">
        <f t="shared" si="1"/>
        <v>862.74787371971354</v>
      </c>
      <c r="X175" s="124">
        <f t="shared" si="1"/>
        <v>862.74787371971354</v>
      </c>
      <c r="Y175" s="124">
        <f t="shared" si="1"/>
        <v>862.74787371971354</v>
      </c>
      <c r="Z175" s="124">
        <f t="shared" si="1"/>
        <v>862.74787371971354</v>
      </c>
      <c r="AA175" s="124">
        <f t="shared" si="1"/>
        <v>862.74787371971354</v>
      </c>
      <c r="AB175" s="124">
        <f t="shared" si="1"/>
        <v>845.43484214964201</v>
      </c>
      <c r="AC175" s="124">
        <f t="shared" si="1"/>
        <v>862.74787371971354</v>
      </c>
      <c r="AD175" s="124">
        <f t="shared" si="1"/>
        <v>852.43484214964201</v>
      </c>
      <c r="AE175" s="124">
        <f t="shared" si="1"/>
        <v>862.74787371971354</v>
      </c>
      <c r="AF175" s="124">
        <f t="shared" si="1"/>
        <v>862.74787371971354</v>
      </c>
      <c r="AG175" s="124">
        <f t="shared" si="1"/>
        <v>862.74787371971354</v>
      </c>
      <c r="AH175" s="124">
        <f t="shared" si="1"/>
        <v>862.74787371971354</v>
      </c>
      <c r="AI175" s="124">
        <f t="shared" si="1"/>
        <v>860.43484214964201</v>
      </c>
      <c r="AJ175" s="124">
        <f t="shared" si="1"/>
        <v>862.74787371971354</v>
      </c>
      <c r="AK175" s="124">
        <f t="shared" si="1"/>
        <v>862.74787371971354</v>
      </c>
      <c r="AL175" s="124">
        <f t="shared" si="1"/>
        <v>862.74787371971354</v>
      </c>
      <c r="AM175" s="124">
        <f t="shared" si="1"/>
        <v>859.43484214964201</v>
      </c>
      <c r="AN175" s="124">
        <f t="shared" si="1"/>
        <v>819.61048003372787</v>
      </c>
      <c r="AO175" s="124">
        <f t="shared" si="1"/>
        <v>776.4730863477422</v>
      </c>
      <c r="AP175" s="124">
        <f t="shared" si="1"/>
        <v>733.33569266175653</v>
      </c>
      <c r="AQ175" s="124">
        <f t="shared" si="1"/>
        <v>680.88526740569932</v>
      </c>
      <c r="AR175" s="124">
        <f t="shared" si="1"/>
        <v>686.57223583562768</v>
      </c>
      <c r="AS175" s="124">
        <f t="shared" si="1"/>
        <v>759.25920426555604</v>
      </c>
      <c r="AT175" s="124">
        <f t="shared" si="1"/>
        <v>741.94617269548439</v>
      </c>
      <c r="AU175" s="124">
        <f t="shared" si="1"/>
        <v>759.63314112541275</v>
      </c>
      <c r="AV175" s="124">
        <f t="shared" si="1"/>
        <v>755.32010955534122</v>
      </c>
      <c r="AW175" s="124">
        <f t="shared" si="1"/>
        <v>754.00707798526958</v>
      </c>
      <c r="AX175" s="124">
        <f t="shared" si="1"/>
        <v>797.69404641519793</v>
      </c>
      <c r="AY175" s="124">
        <f t="shared" si="1"/>
        <v>827.3810148451264</v>
      </c>
    </row>
    <row r="176" spans="1:52">
      <c r="A176" s="125"/>
      <c r="B176" s="136" t="s">
        <v>299</v>
      </c>
      <c r="C176" s="125" t="s">
        <v>293</v>
      </c>
      <c r="D176" s="125">
        <v>143</v>
      </c>
      <c r="E176" s="125">
        <v>167</v>
      </c>
      <c r="F176" s="125">
        <v>179</v>
      </c>
      <c r="G176" s="125">
        <v>137</v>
      </c>
      <c r="H176" s="125">
        <v>187</v>
      </c>
      <c r="I176" s="125">
        <v>208</v>
      </c>
      <c r="J176" s="125">
        <v>142</v>
      </c>
      <c r="K176" s="125">
        <v>195</v>
      </c>
      <c r="L176" s="125">
        <v>231</v>
      </c>
      <c r="M176" s="125">
        <v>180</v>
      </c>
      <c r="N176" s="125">
        <v>220</v>
      </c>
      <c r="O176" s="125">
        <v>225</v>
      </c>
      <c r="P176" s="125">
        <v>205</v>
      </c>
      <c r="Q176" s="125">
        <v>175</v>
      </c>
      <c r="R176" s="125">
        <v>181</v>
      </c>
      <c r="S176" s="125">
        <v>199</v>
      </c>
      <c r="T176" s="125">
        <v>179</v>
      </c>
      <c r="U176" s="125">
        <v>176</v>
      </c>
      <c r="V176" s="125">
        <v>199</v>
      </c>
      <c r="W176" s="125">
        <v>188</v>
      </c>
      <c r="X176" s="125">
        <v>169</v>
      </c>
      <c r="Y176" s="125">
        <v>158</v>
      </c>
      <c r="Z176" s="125">
        <v>207</v>
      </c>
      <c r="AA176" s="125">
        <v>233</v>
      </c>
      <c r="AB176" s="125">
        <v>180</v>
      </c>
      <c r="AC176" s="125">
        <v>226</v>
      </c>
      <c r="AD176" s="125">
        <v>185</v>
      </c>
      <c r="AE176" s="125">
        <v>173</v>
      </c>
      <c r="AF176" s="125">
        <v>187</v>
      </c>
      <c r="AG176" s="125">
        <v>185</v>
      </c>
      <c r="AH176" s="125">
        <v>218</v>
      </c>
      <c r="AI176" s="125">
        <v>197</v>
      </c>
      <c r="AJ176" s="125">
        <v>210</v>
      </c>
      <c r="AK176" s="125">
        <v>176</v>
      </c>
      <c r="AL176" s="125">
        <v>219</v>
      </c>
      <c r="AM176" s="125">
        <v>193</v>
      </c>
      <c r="AN176" s="125">
        <v>177</v>
      </c>
      <c r="AO176" s="125">
        <v>189</v>
      </c>
      <c r="AP176" s="125">
        <v>225</v>
      </c>
      <c r="AQ176" s="125">
        <v>210</v>
      </c>
      <c r="AR176" s="125">
        <v>143</v>
      </c>
      <c r="AS176" s="125">
        <v>233</v>
      </c>
      <c r="AT176" s="125">
        <v>198</v>
      </c>
      <c r="AU176" s="125">
        <v>220</v>
      </c>
      <c r="AV176" s="125">
        <v>217</v>
      </c>
      <c r="AW176" s="125">
        <v>172</v>
      </c>
      <c r="AX176" s="125">
        <v>186</v>
      </c>
      <c r="AY176" s="125">
        <v>241</v>
      </c>
    </row>
    <row r="177" spans="1:51">
      <c r="A177" s="135" t="s">
        <v>133</v>
      </c>
      <c r="B177" s="135" t="s">
        <v>298</v>
      </c>
      <c r="C177" s="124" t="s">
        <v>293</v>
      </c>
      <c r="D177" s="124">
        <f t="shared" ref="D177:AY177" si="2">SUM(D100:D107)</f>
        <v>247.49889422309383</v>
      </c>
      <c r="E177" s="124">
        <f t="shared" si="2"/>
        <v>281.92769453882329</v>
      </c>
      <c r="F177" s="124">
        <f t="shared" si="2"/>
        <v>126.92769453882332</v>
      </c>
      <c r="G177" s="124">
        <f t="shared" si="2"/>
        <v>302.28043013588655</v>
      </c>
      <c r="H177" s="124">
        <f t="shared" si="2"/>
        <v>281.42064520382985</v>
      </c>
      <c r="I177" s="124">
        <f t="shared" si="2"/>
        <v>242.56086027177309</v>
      </c>
      <c r="J177" s="124">
        <f t="shared" si="2"/>
        <v>91.484660448009492</v>
      </c>
      <c r="K177" s="124">
        <f t="shared" si="2"/>
        <v>264.35662995965015</v>
      </c>
      <c r="L177" s="124">
        <f t="shared" si="2"/>
        <v>220.49684502759342</v>
      </c>
      <c r="M177" s="124">
        <f t="shared" si="2"/>
        <v>41.496845027593423</v>
      </c>
      <c r="N177" s="124">
        <f t="shared" si="2"/>
        <v>188.42880031572949</v>
      </c>
      <c r="O177" s="124">
        <f t="shared" si="2"/>
        <v>163.56901538367276</v>
      </c>
      <c r="P177" s="124">
        <f t="shared" si="2"/>
        <v>151.14021506794327</v>
      </c>
      <c r="Q177" s="124">
        <f t="shared" si="2"/>
        <v>151.14021506794327</v>
      </c>
      <c r="R177" s="124">
        <f t="shared" si="2"/>
        <v>151.14021506794327</v>
      </c>
      <c r="S177" s="124">
        <f t="shared" si="2"/>
        <v>151.14021506794327</v>
      </c>
      <c r="T177" s="124">
        <f t="shared" si="2"/>
        <v>151.14021506794327</v>
      </c>
      <c r="U177" s="124">
        <f t="shared" si="2"/>
        <v>151.14021506794327</v>
      </c>
      <c r="V177" s="124">
        <f t="shared" si="2"/>
        <v>151.14021506794327</v>
      </c>
      <c r="W177" s="124">
        <f t="shared" si="2"/>
        <v>151.14021506794327</v>
      </c>
      <c r="X177" s="124">
        <f t="shared" si="2"/>
        <v>151.14021506794327</v>
      </c>
      <c r="Y177" s="124">
        <f t="shared" si="2"/>
        <v>151.14021506794327</v>
      </c>
      <c r="Z177" s="124">
        <f t="shared" si="2"/>
        <v>151.14021506794327</v>
      </c>
      <c r="AA177" s="124">
        <f t="shared" si="2"/>
        <v>151.14021506794327</v>
      </c>
      <c r="AB177" s="124">
        <f t="shared" si="2"/>
        <v>151.28043013588655</v>
      </c>
      <c r="AC177" s="124">
        <f t="shared" si="2"/>
        <v>37.923800176236398</v>
      </c>
      <c r="AD177" s="124">
        <f t="shared" si="2"/>
        <v>151.14021506794327</v>
      </c>
      <c r="AE177" s="124">
        <f t="shared" si="2"/>
        <v>151.14021506794327</v>
      </c>
      <c r="AF177" s="124">
        <f t="shared" si="2"/>
        <v>264.35662995965015</v>
      </c>
      <c r="AG177" s="124">
        <f t="shared" si="2"/>
        <v>134.28043013588655</v>
      </c>
      <c r="AH177" s="124">
        <f t="shared" si="2"/>
        <v>264.35662995965015</v>
      </c>
      <c r="AI177" s="124">
        <f t="shared" si="2"/>
        <v>264.49684502759339</v>
      </c>
      <c r="AJ177" s="124">
        <f t="shared" si="2"/>
        <v>233.6370600955367</v>
      </c>
      <c r="AK177" s="124">
        <f t="shared" si="2"/>
        <v>37.923800176236398</v>
      </c>
      <c r="AL177" s="124">
        <f t="shared" si="2"/>
        <v>264.35662995965015</v>
      </c>
      <c r="AM177" s="124">
        <f t="shared" si="2"/>
        <v>249.49684502759342</v>
      </c>
      <c r="AN177" s="124">
        <f t="shared" si="2"/>
        <v>180.6370600955367</v>
      </c>
      <c r="AO177" s="124">
        <f t="shared" si="2"/>
        <v>151.14021506794327</v>
      </c>
      <c r="AP177" s="124">
        <f t="shared" si="2"/>
        <v>120.91217205435461</v>
      </c>
      <c r="AQ177" s="124">
        <f t="shared" si="2"/>
        <v>120.91217205435461</v>
      </c>
      <c r="AR177" s="124">
        <f t="shared" si="2"/>
        <v>120.91217205435461</v>
      </c>
      <c r="AS177" s="124">
        <f t="shared" si="2"/>
        <v>120.91217205435461</v>
      </c>
      <c r="AT177" s="124">
        <f t="shared" si="2"/>
        <v>151.14021506794327</v>
      </c>
      <c r="AU177" s="124">
        <f t="shared" si="2"/>
        <v>75.847600352472796</v>
      </c>
      <c r="AV177" s="124">
        <f t="shared" si="2"/>
        <v>208.02591533229787</v>
      </c>
      <c r="AW177" s="124">
        <f t="shared" si="2"/>
        <v>41.432829783413752</v>
      </c>
      <c r="AX177" s="124">
        <f t="shared" si="2"/>
        <v>188.42880031572949</v>
      </c>
      <c r="AY177" s="124">
        <f t="shared" si="2"/>
        <v>0</v>
      </c>
    </row>
    <row r="178" spans="1:51">
      <c r="A178" s="125"/>
      <c r="B178" s="136" t="s">
        <v>299</v>
      </c>
      <c r="C178" s="125" t="s">
        <v>293</v>
      </c>
      <c r="D178" s="125">
        <v>154</v>
      </c>
      <c r="E178" s="125">
        <v>155</v>
      </c>
      <c r="F178" s="125">
        <v>126.92769453882332</v>
      </c>
      <c r="G178" s="125">
        <v>172</v>
      </c>
      <c r="H178" s="125">
        <v>190</v>
      </c>
      <c r="I178" s="125">
        <v>189</v>
      </c>
      <c r="J178" s="125">
        <v>91.484660448009492</v>
      </c>
      <c r="K178" s="125">
        <v>195</v>
      </c>
      <c r="L178" s="125">
        <v>179</v>
      </c>
      <c r="M178" s="125">
        <v>41.496845027593423</v>
      </c>
      <c r="N178" s="125">
        <v>176</v>
      </c>
      <c r="O178" s="125">
        <v>163.56901538367276</v>
      </c>
      <c r="P178" s="125">
        <v>151.14021506794327</v>
      </c>
      <c r="Q178" s="125">
        <v>151.14021506794327</v>
      </c>
      <c r="R178" s="125">
        <v>151.14021506794327</v>
      </c>
      <c r="S178" s="125">
        <v>151.14021506794327</v>
      </c>
      <c r="T178" s="125">
        <v>151.14021506794327</v>
      </c>
      <c r="U178" s="125">
        <v>151.14021506794327</v>
      </c>
      <c r="V178" s="125">
        <v>151.14021506794327</v>
      </c>
      <c r="W178" s="125">
        <v>151.14021506794327</v>
      </c>
      <c r="X178" s="125">
        <v>151.14021506794327</v>
      </c>
      <c r="Y178" s="125">
        <v>151.14021506794327</v>
      </c>
      <c r="Z178" s="125">
        <v>151.14021506794327</v>
      </c>
      <c r="AA178" s="125">
        <v>151</v>
      </c>
      <c r="AB178" s="125">
        <v>151.28043013588655</v>
      </c>
      <c r="AC178" s="125">
        <v>37.923800176236398</v>
      </c>
      <c r="AD178" s="125">
        <v>151.14021506794327</v>
      </c>
      <c r="AE178" s="125">
        <v>151.14021506794327</v>
      </c>
      <c r="AF178" s="125">
        <v>168</v>
      </c>
      <c r="AG178" s="125">
        <v>134.28043013588655</v>
      </c>
      <c r="AH178" s="125">
        <v>151</v>
      </c>
      <c r="AI178" s="125">
        <v>182</v>
      </c>
      <c r="AJ178" s="125">
        <v>233.6370600955367</v>
      </c>
      <c r="AK178" s="125">
        <v>37.923800176236398</v>
      </c>
      <c r="AL178" s="125">
        <v>166</v>
      </c>
      <c r="AM178" s="125">
        <v>220</v>
      </c>
      <c r="AN178" s="125">
        <v>180.6370600955367</v>
      </c>
      <c r="AO178" s="125">
        <v>151.14021506794327</v>
      </c>
      <c r="AP178" s="125">
        <v>120.91217205435461</v>
      </c>
      <c r="AQ178" s="125">
        <v>120.91217205435461</v>
      </c>
      <c r="AR178" s="125">
        <v>120.91217205435461</v>
      </c>
      <c r="AS178" s="125">
        <v>120.91217205435461</v>
      </c>
      <c r="AT178" s="125">
        <v>151.14021506794327</v>
      </c>
      <c r="AU178" s="125">
        <v>75.847600352472796</v>
      </c>
      <c r="AV178" s="125">
        <v>185</v>
      </c>
      <c r="AW178" s="125">
        <v>41.432829783413752</v>
      </c>
      <c r="AX178" s="125">
        <v>188.42880031572949</v>
      </c>
      <c r="AY178" s="125">
        <v>0</v>
      </c>
    </row>
    <row r="179" spans="1:51">
      <c r="A179" s="135" t="s">
        <v>134</v>
      </c>
      <c r="B179" s="135" t="s">
        <v>298</v>
      </c>
      <c r="C179" s="124" t="s">
        <v>293</v>
      </c>
      <c r="D179" s="124">
        <f t="shared" ref="D179:AY179" si="3">SUM(D109:D120)</f>
        <v>156.04720645243034</v>
      </c>
      <c r="E179" s="124">
        <f t="shared" si="3"/>
        <v>152.91860074773726</v>
      </c>
      <c r="F179" s="124">
        <f t="shared" si="3"/>
        <v>122.42022098570686</v>
      </c>
      <c r="G179" s="124">
        <f t="shared" si="3"/>
        <v>54.953085402455926</v>
      </c>
      <c r="H179" s="124">
        <f t="shared" si="3"/>
        <v>127.03020115095447</v>
      </c>
      <c r="I179" s="124">
        <f t="shared" si="3"/>
        <v>90.991643276705204</v>
      </c>
      <c r="J179" s="124">
        <f t="shared" si="3"/>
        <v>90.991643276705204</v>
      </c>
      <c r="K179" s="124">
        <f t="shared" si="3"/>
        <v>63.995808193662548</v>
      </c>
      <c r="L179" s="124">
        <f t="shared" si="3"/>
        <v>117.98747835974785</v>
      </c>
      <c r="M179" s="124">
        <f t="shared" si="3"/>
        <v>90.991643276705204</v>
      </c>
      <c r="N179" s="124">
        <f t="shared" si="3"/>
        <v>54.953085402455926</v>
      </c>
      <c r="O179" s="124">
        <f t="shared" si="3"/>
        <v>99.882902541468852</v>
      </c>
      <c r="P179" s="124">
        <f t="shared" si="3"/>
        <v>90.991643276705204</v>
      </c>
      <c r="Q179" s="124">
        <f t="shared" si="3"/>
        <v>90.991643276705204</v>
      </c>
      <c r="R179" s="124">
        <f t="shared" si="3"/>
        <v>90.991643276705204</v>
      </c>
      <c r="S179" s="124">
        <f t="shared" si="3"/>
        <v>90.991643276705204</v>
      </c>
      <c r="T179" s="124">
        <f t="shared" si="3"/>
        <v>90.991643276705204</v>
      </c>
      <c r="U179" s="124">
        <f t="shared" si="3"/>
        <v>90.991643276705204</v>
      </c>
      <c r="V179" s="124">
        <f t="shared" si="3"/>
        <v>90.991643276705204</v>
      </c>
      <c r="W179" s="124">
        <f t="shared" si="3"/>
        <v>90.991643276705204</v>
      </c>
      <c r="X179" s="124">
        <f t="shared" si="3"/>
        <v>90.991643276705204</v>
      </c>
      <c r="Y179" s="124">
        <f t="shared" si="3"/>
        <v>90.991643276705204</v>
      </c>
      <c r="Z179" s="124">
        <f t="shared" si="3"/>
        <v>90.991643276705204</v>
      </c>
      <c r="AA179" s="124">
        <f t="shared" si="3"/>
        <v>90.991643276705204</v>
      </c>
      <c r="AB179" s="124">
        <f t="shared" si="3"/>
        <v>90.991643276705204</v>
      </c>
      <c r="AC179" s="124">
        <f t="shared" si="3"/>
        <v>90.991643276705204</v>
      </c>
      <c r="AD179" s="124">
        <f t="shared" si="3"/>
        <v>63.995808193662548</v>
      </c>
      <c r="AE179" s="124">
        <f t="shared" si="3"/>
        <v>90.991643276705204</v>
      </c>
      <c r="AF179" s="124">
        <f t="shared" si="3"/>
        <v>90.991643276705204</v>
      </c>
      <c r="AG179" s="124">
        <f t="shared" si="3"/>
        <v>117.98747835974785</v>
      </c>
      <c r="AH179" s="124">
        <f t="shared" si="3"/>
        <v>64.482803248248302</v>
      </c>
      <c r="AI179" s="124">
        <f t="shared" si="3"/>
        <v>117.98747835974785</v>
      </c>
      <c r="AJ179" s="124">
        <f t="shared" si="3"/>
        <v>90.991643276705204</v>
      </c>
      <c r="AK179" s="124">
        <f t="shared" si="3"/>
        <v>90.991643276705204</v>
      </c>
      <c r="AL179" s="124">
        <f t="shared" si="3"/>
        <v>63.995808193662548</v>
      </c>
      <c r="AM179" s="124">
        <f t="shared" si="3"/>
        <v>117.98747835974785</v>
      </c>
      <c r="AN179" s="124">
        <f t="shared" si="3"/>
        <v>90.991643276705204</v>
      </c>
      <c r="AO179" s="124">
        <f t="shared" si="3"/>
        <v>90.991643276705204</v>
      </c>
      <c r="AP179" s="124">
        <f t="shared" si="3"/>
        <v>90.991643276705204</v>
      </c>
      <c r="AQ179" s="124">
        <f t="shared" si="3"/>
        <v>83.783931701855352</v>
      </c>
      <c r="AR179" s="124">
        <f t="shared" si="3"/>
        <v>83.783931701855337</v>
      </c>
      <c r="AS179" s="124">
        <f t="shared" si="3"/>
        <v>83.783931701855352</v>
      </c>
      <c r="AT179" s="124">
        <f t="shared" si="3"/>
        <v>83.783931701855337</v>
      </c>
      <c r="AU179" s="124">
        <f t="shared" si="3"/>
        <v>90.991643276705204</v>
      </c>
      <c r="AV179" s="124">
        <f t="shared" si="3"/>
        <v>73.038530984869155</v>
      </c>
      <c r="AW179" s="124">
        <f t="shared" si="3"/>
        <v>104.55572746351511</v>
      </c>
      <c r="AX179" s="124">
        <f t="shared" si="3"/>
        <v>59.342113507482054</v>
      </c>
      <c r="AY179" s="124">
        <f t="shared" si="3"/>
        <v>99.882902541468852</v>
      </c>
    </row>
    <row r="180" spans="1:51">
      <c r="A180" s="125"/>
      <c r="B180" s="136" t="s">
        <v>299</v>
      </c>
      <c r="C180" s="125" t="s">
        <v>293</v>
      </c>
      <c r="D180" s="125">
        <v>144</v>
      </c>
      <c r="E180" s="125">
        <v>139</v>
      </c>
      <c r="F180" s="125">
        <v>122.42022098570686</v>
      </c>
      <c r="G180" s="125">
        <v>54.953085402455926</v>
      </c>
      <c r="H180" s="125">
        <v>127.03020115095447</v>
      </c>
      <c r="I180" s="125">
        <v>90.991643276705204</v>
      </c>
      <c r="J180" s="125">
        <v>90.991643276705204</v>
      </c>
      <c r="K180" s="125">
        <v>63.995808193662548</v>
      </c>
      <c r="L180" s="125">
        <v>117.98747835974785</v>
      </c>
      <c r="M180" s="125">
        <v>90.991643276705204</v>
      </c>
      <c r="N180" s="125">
        <v>54.953085402455926</v>
      </c>
      <c r="O180" s="125">
        <v>99.882902541468852</v>
      </c>
      <c r="P180" s="125">
        <v>90.991643276705204</v>
      </c>
      <c r="Q180" s="125">
        <v>90.991643276705204</v>
      </c>
      <c r="R180" s="125">
        <v>90.991643276705204</v>
      </c>
      <c r="S180" s="125">
        <v>90.991643276705204</v>
      </c>
      <c r="T180" s="125">
        <v>90.991643276705204</v>
      </c>
      <c r="U180" s="125">
        <v>90.991643276705204</v>
      </c>
      <c r="V180" s="125">
        <v>90.991643276705204</v>
      </c>
      <c r="W180" s="125">
        <v>90.991643276705204</v>
      </c>
      <c r="X180" s="125">
        <v>90.991643276705204</v>
      </c>
      <c r="Y180" s="125">
        <v>90.991643276705204</v>
      </c>
      <c r="Z180" s="125">
        <v>90.991643276705204</v>
      </c>
      <c r="AA180" s="125">
        <v>90.991643276705204</v>
      </c>
      <c r="AB180" s="125">
        <v>90.991643276705204</v>
      </c>
      <c r="AC180" s="125">
        <v>90.991643276705204</v>
      </c>
      <c r="AD180" s="125">
        <v>63.995808193662548</v>
      </c>
      <c r="AE180" s="125">
        <v>90.991643276705204</v>
      </c>
      <c r="AF180" s="125">
        <v>90.991643276705204</v>
      </c>
      <c r="AG180" s="125">
        <v>117.50048330516209</v>
      </c>
      <c r="AH180" s="125">
        <v>64.482803248248302</v>
      </c>
      <c r="AI180" s="125">
        <v>117.98747835974785</v>
      </c>
      <c r="AJ180" s="125">
        <v>90.991643276705204</v>
      </c>
      <c r="AK180" s="125">
        <v>90.991643276705204</v>
      </c>
      <c r="AL180" s="125">
        <v>63.995808193662548</v>
      </c>
      <c r="AM180" s="125">
        <v>117.98747835974785</v>
      </c>
      <c r="AN180" s="125">
        <v>90.991643276705204</v>
      </c>
      <c r="AO180" s="125">
        <v>90.991643276705204</v>
      </c>
      <c r="AP180" s="125">
        <v>90.991643276705204</v>
      </c>
      <c r="AQ180" s="125">
        <v>83.783931701855352</v>
      </c>
      <c r="AR180" s="125">
        <v>83.783931701855337</v>
      </c>
      <c r="AS180" s="125">
        <v>83.783931701855352</v>
      </c>
      <c r="AT180" s="125">
        <v>83.783931701855337</v>
      </c>
      <c r="AU180" s="125">
        <v>90.991643276705204</v>
      </c>
      <c r="AV180" s="125">
        <v>73.038530984869155</v>
      </c>
      <c r="AW180" s="125">
        <v>104.55572746351511</v>
      </c>
      <c r="AX180" s="125">
        <v>59.342113507482054</v>
      </c>
      <c r="AY180" s="125">
        <v>99.882902541468852</v>
      </c>
    </row>
    <row r="181" spans="1:51">
      <c r="A181" s="135" t="s">
        <v>123</v>
      </c>
      <c r="B181" s="135" t="s">
        <v>298</v>
      </c>
      <c r="C181" s="124" t="s">
        <v>293</v>
      </c>
      <c r="D181" s="124">
        <f t="shared" ref="D181:AY181" si="4">(1-D172)*SUM(D122:D169)</f>
        <v>203.04106677665499</v>
      </c>
      <c r="E181" s="124">
        <f t="shared" si="4"/>
        <v>156.38579308678553</v>
      </c>
      <c r="F181" s="124">
        <f t="shared" si="4"/>
        <v>79.205101494157603</v>
      </c>
      <c r="G181" s="124">
        <f t="shared" si="4"/>
        <v>183.0914479377885</v>
      </c>
      <c r="H181" s="124">
        <f t="shared" si="4"/>
        <v>131.14827471597306</v>
      </c>
      <c r="I181" s="124">
        <f t="shared" si="4"/>
        <v>131.14827471597306</v>
      </c>
      <c r="J181" s="124">
        <f t="shared" si="4"/>
        <v>92.238578526714591</v>
      </c>
      <c r="K181" s="124">
        <f t="shared" si="4"/>
        <v>170.05797090523151</v>
      </c>
      <c r="L181" s="124">
        <f t="shared" si="4"/>
        <v>131.14827471597306</v>
      </c>
      <c r="M181" s="124">
        <f t="shared" si="4"/>
        <v>79.205101494157603</v>
      </c>
      <c r="N181" s="124">
        <f t="shared" si="4"/>
        <v>143.96344400663131</v>
      </c>
      <c r="O181" s="124">
        <f t="shared" si="4"/>
        <v>131.14827471597306</v>
      </c>
      <c r="P181" s="124">
        <f t="shared" si="4"/>
        <v>131.14827471597306</v>
      </c>
      <c r="Q181" s="124">
        <f t="shared" si="4"/>
        <v>131.14827471597306</v>
      </c>
      <c r="R181" s="124">
        <f t="shared" si="4"/>
        <v>131.14827471597306</v>
      </c>
      <c r="S181" s="124">
        <f t="shared" si="4"/>
        <v>131.14827471597306</v>
      </c>
      <c r="T181" s="124">
        <f t="shared" si="4"/>
        <v>131.14827471597306</v>
      </c>
      <c r="U181" s="124">
        <f t="shared" si="4"/>
        <v>131.14827471597306</v>
      </c>
      <c r="V181" s="124">
        <f t="shared" si="4"/>
        <v>131.14827471597306</v>
      </c>
      <c r="W181" s="124">
        <f t="shared" si="4"/>
        <v>131.14827471597306</v>
      </c>
      <c r="X181" s="124">
        <f t="shared" si="4"/>
        <v>131.14827471597306</v>
      </c>
      <c r="Y181" s="124">
        <f t="shared" si="4"/>
        <v>131.14827471597306</v>
      </c>
      <c r="Z181" s="124">
        <f t="shared" si="4"/>
        <v>131.14827471597306</v>
      </c>
      <c r="AA181" s="124">
        <f t="shared" si="4"/>
        <v>131.14827471597306</v>
      </c>
      <c r="AB181" s="124">
        <f t="shared" si="4"/>
        <v>131.14827471597306</v>
      </c>
      <c r="AC181" s="124">
        <f t="shared" si="4"/>
        <v>92.238578526714591</v>
      </c>
      <c r="AD181" s="124">
        <f t="shared" si="4"/>
        <v>131.14827471597306</v>
      </c>
      <c r="AE181" s="124">
        <f t="shared" si="4"/>
        <v>131.14827471597306</v>
      </c>
      <c r="AF181" s="124">
        <f t="shared" si="4"/>
        <v>170.05797090523151</v>
      </c>
      <c r="AG181" s="124">
        <f t="shared" si="4"/>
        <v>92.238578526714591</v>
      </c>
      <c r="AH181" s="124">
        <f t="shared" si="4"/>
        <v>170.05797090523151</v>
      </c>
      <c r="AI181" s="124">
        <f t="shared" si="4"/>
        <v>131.14827471597306</v>
      </c>
      <c r="AJ181" s="124">
        <f t="shared" si="4"/>
        <v>131.14827471597306</v>
      </c>
      <c r="AK181" s="124">
        <f t="shared" si="4"/>
        <v>92.238578526714591</v>
      </c>
      <c r="AL181" s="124">
        <f t="shared" si="4"/>
        <v>170.05797090523151</v>
      </c>
      <c r="AM181" s="124">
        <f t="shared" si="4"/>
        <v>131.14827471597306</v>
      </c>
      <c r="AN181" s="124">
        <f t="shared" si="4"/>
        <v>131.14827471597306</v>
      </c>
      <c r="AO181" s="124">
        <f t="shared" si="4"/>
        <v>131.14827471597306</v>
      </c>
      <c r="AP181" s="124">
        <f t="shared" si="4"/>
        <v>120.75964007160998</v>
      </c>
      <c r="AQ181" s="124">
        <f t="shared" si="4"/>
        <v>120.75964007160997</v>
      </c>
      <c r="AR181" s="124">
        <f t="shared" si="4"/>
        <v>120.75964007160998</v>
      </c>
      <c r="AS181" s="124">
        <f t="shared" si="4"/>
        <v>120.75964007160997</v>
      </c>
      <c r="AT181" s="124">
        <f t="shared" si="4"/>
        <v>131.14827471597306</v>
      </c>
      <c r="AU181" s="124">
        <f t="shared" si="4"/>
        <v>105.27205555927158</v>
      </c>
      <c r="AV181" s="124">
        <f t="shared" si="4"/>
        <v>150.69849026480853</v>
      </c>
      <c r="AW181" s="124">
        <f t="shared" si="4"/>
        <v>85.531105102023602</v>
      </c>
      <c r="AX181" s="124">
        <f t="shared" si="4"/>
        <v>143.96344400663131</v>
      </c>
      <c r="AY181" s="124">
        <f t="shared" si="4"/>
        <v>79.205101494157603</v>
      </c>
    </row>
    <row r="182" spans="1:51">
      <c r="A182" s="125"/>
      <c r="B182" s="136" t="s">
        <v>299</v>
      </c>
      <c r="C182" s="125" t="s">
        <v>293</v>
      </c>
      <c r="D182" s="125">
        <v>182</v>
      </c>
      <c r="E182" s="125">
        <v>156.38579308678553</v>
      </c>
      <c r="F182" s="125">
        <v>79.205101494157603</v>
      </c>
      <c r="G182" s="125">
        <v>183.0914479377885</v>
      </c>
      <c r="H182" s="125">
        <v>131.14827471597306</v>
      </c>
      <c r="I182" s="125">
        <v>131.14827471597306</v>
      </c>
      <c r="J182" s="125">
        <v>92.238578526714591</v>
      </c>
      <c r="K182" s="125">
        <v>170.05797090523151</v>
      </c>
      <c r="L182" s="125">
        <v>131.14827471597306</v>
      </c>
      <c r="M182" s="125">
        <v>79.205101494157603</v>
      </c>
      <c r="N182" s="125">
        <v>143.96344400663131</v>
      </c>
      <c r="O182" s="125">
        <v>131.14827471597306</v>
      </c>
      <c r="P182" s="125">
        <v>131.14827471597306</v>
      </c>
      <c r="Q182" s="125">
        <v>131.14827471597306</v>
      </c>
      <c r="R182" s="125">
        <v>131.14827471597306</v>
      </c>
      <c r="S182" s="125">
        <v>131.14827471597306</v>
      </c>
      <c r="T182" s="125">
        <v>131.14827471597306</v>
      </c>
      <c r="U182" s="125">
        <v>131.14827471597306</v>
      </c>
      <c r="V182" s="125">
        <v>131.14827471597306</v>
      </c>
      <c r="W182" s="125">
        <v>131.14827471597306</v>
      </c>
      <c r="X182" s="125">
        <v>131.14827471597306</v>
      </c>
      <c r="Y182" s="125">
        <v>131.14827471597306</v>
      </c>
      <c r="Z182" s="125">
        <v>131.14827471597306</v>
      </c>
      <c r="AA182" s="125">
        <v>131.14827471597306</v>
      </c>
      <c r="AB182" s="125">
        <v>131.14827471597306</v>
      </c>
      <c r="AC182" s="125">
        <v>92.238578526714591</v>
      </c>
      <c r="AD182" s="125">
        <v>131.14827471597306</v>
      </c>
      <c r="AE182" s="125">
        <v>131.14827471597306</v>
      </c>
      <c r="AF182" s="125">
        <v>170.05797090523151</v>
      </c>
      <c r="AG182" s="125">
        <v>92.238578526714591</v>
      </c>
      <c r="AH182" s="125">
        <v>170.05797090523151</v>
      </c>
      <c r="AI182" s="125">
        <v>131.14827471597306</v>
      </c>
      <c r="AJ182" s="125">
        <v>131.14827471597306</v>
      </c>
      <c r="AK182" s="125">
        <v>92.238578526714591</v>
      </c>
      <c r="AL182" s="125">
        <v>170.05797090523151</v>
      </c>
      <c r="AM182" s="125">
        <v>131.14827471597306</v>
      </c>
      <c r="AN182" s="125">
        <v>131.14827471597306</v>
      </c>
      <c r="AO182" s="125">
        <v>131.14827471597306</v>
      </c>
      <c r="AP182" s="125">
        <v>120.75964007160998</v>
      </c>
      <c r="AQ182" s="125">
        <v>120.75964007160997</v>
      </c>
      <c r="AR182" s="125">
        <v>120.75964007160998</v>
      </c>
      <c r="AS182" s="125">
        <v>120.75964007160997</v>
      </c>
      <c r="AT182" s="125">
        <v>131.14827471597306</v>
      </c>
      <c r="AU182" s="125">
        <v>105.27205555927158</v>
      </c>
      <c r="AV182" s="125">
        <v>150.69849026480853</v>
      </c>
      <c r="AW182" s="125">
        <v>85.531105102023602</v>
      </c>
      <c r="AX182" s="125">
        <v>143.96344400663131</v>
      </c>
      <c r="AY182" s="125">
        <v>79.205101494157603</v>
      </c>
    </row>
    <row r="184" spans="1:51">
      <c r="A184" s="102" t="s">
        <v>300</v>
      </c>
    </row>
    <row r="185" spans="1:51">
      <c r="A185" s="126" t="s">
        <v>125</v>
      </c>
      <c r="B185" s="123">
        <v>1</v>
      </c>
      <c r="C185" s="124">
        <v>0</v>
      </c>
      <c r="D185" s="124">
        <v>0</v>
      </c>
      <c r="E185" s="124">
        <v>0</v>
      </c>
      <c r="F185" s="124">
        <v>0</v>
      </c>
      <c r="G185" s="124">
        <v>0</v>
      </c>
      <c r="H185" s="124">
        <v>0</v>
      </c>
      <c r="I185" s="124">
        <v>0</v>
      </c>
      <c r="J185" s="124">
        <v>0</v>
      </c>
      <c r="K185" s="124">
        <v>0</v>
      </c>
      <c r="L185" s="124">
        <v>0</v>
      </c>
      <c r="M185" s="124">
        <v>0</v>
      </c>
      <c r="N185" s="124">
        <v>0</v>
      </c>
      <c r="O185" s="124">
        <v>0</v>
      </c>
      <c r="P185" s="124">
        <v>0</v>
      </c>
      <c r="Q185" s="124">
        <v>0</v>
      </c>
      <c r="R185" s="124">
        <v>0</v>
      </c>
      <c r="S185" s="124">
        <v>0</v>
      </c>
      <c r="T185" s="124">
        <v>0</v>
      </c>
      <c r="U185" s="124">
        <v>0</v>
      </c>
      <c r="V185" s="124">
        <v>0</v>
      </c>
      <c r="W185" s="124">
        <v>0</v>
      </c>
      <c r="X185" s="124">
        <v>0</v>
      </c>
      <c r="Y185" s="124">
        <v>0</v>
      </c>
      <c r="Z185" s="124">
        <v>0</v>
      </c>
      <c r="AA185" s="124">
        <v>0</v>
      </c>
      <c r="AB185" s="124">
        <v>0</v>
      </c>
      <c r="AC185" s="124">
        <v>0</v>
      </c>
      <c r="AD185" s="124">
        <v>0</v>
      </c>
      <c r="AE185" s="124">
        <v>0</v>
      </c>
      <c r="AF185" s="124">
        <v>0</v>
      </c>
      <c r="AG185" s="124">
        <v>0</v>
      </c>
      <c r="AH185" s="124">
        <v>0</v>
      </c>
      <c r="AI185" s="124">
        <v>0</v>
      </c>
      <c r="AJ185" s="124">
        <v>0</v>
      </c>
      <c r="AK185" s="124">
        <v>0</v>
      </c>
      <c r="AL185" s="124">
        <v>0</v>
      </c>
      <c r="AM185" s="124">
        <v>0</v>
      </c>
      <c r="AN185" s="124">
        <v>0</v>
      </c>
      <c r="AO185" s="124">
        <v>0</v>
      </c>
      <c r="AP185" s="124">
        <v>0</v>
      </c>
      <c r="AQ185" s="124">
        <v>0</v>
      </c>
      <c r="AR185" s="124">
        <v>0</v>
      </c>
      <c r="AS185" s="124">
        <v>0</v>
      </c>
      <c r="AT185" s="124">
        <v>0</v>
      </c>
      <c r="AU185" s="124">
        <v>0</v>
      </c>
      <c r="AV185" s="124">
        <v>0</v>
      </c>
      <c r="AW185" s="124">
        <v>0</v>
      </c>
      <c r="AX185" s="124">
        <v>0</v>
      </c>
      <c r="AY185" s="124">
        <v>0</v>
      </c>
    </row>
    <row r="186" spans="1:51">
      <c r="A186" s="109"/>
      <c r="B186" s="120">
        <v>2</v>
      </c>
      <c r="C186" s="106">
        <v>0</v>
      </c>
      <c r="D186" s="106">
        <v>0</v>
      </c>
      <c r="E186" s="106">
        <v>0</v>
      </c>
      <c r="F186" s="106">
        <v>0</v>
      </c>
      <c r="G186" s="106">
        <v>0</v>
      </c>
      <c r="H186" s="106">
        <v>0</v>
      </c>
      <c r="I186" s="106">
        <v>0</v>
      </c>
      <c r="J186" s="106">
        <v>0</v>
      </c>
      <c r="K186" s="106">
        <v>0</v>
      </c>
      <c r="L186" s="106">
        <v>0</v>
      </c>
      <c r="M186" s="106">
        <v>0</v>
      </c>
      <c r="N186" s="106">
        <v>0</v>
      </c>
      <c r="O186" s="106">
        <v>0</v>
      </c>
      <c r="P186" s="106">
        <v>0</v>
      </c>
      <c r="Q186" s="106">
        <v>0</v>
      </c>
      <c r="R186" s="106">
        <v>0</v>
      </c>
      <c r="S186" s="106">
        <v>0</v>
      </c>
      <c r="T186" s="106">
        <v>0</v>
      </c>
      <c r="U186" s="106">
        <v>0</v>
      </c>
      <c r="V186" s="106">
        <v>0</v>
      </c>
      <c r="W186" s="106">
        <v>0</v>
      </c>
      <c r="X186" s="106">
        <v>0</v>
      </c>
      <c r="Y186" s="106">
        <v>0</v>
      </c>
      <c r="Z186" s="106">
        <v>0</v>
      </c>
      <c r="AA186" s="106">
        <v>0</v>
      </c>
      <c r="AB186" s="106">
        <v>0</v>
      </c>
      <c r="AC186" s="106">
        <v>0</v>
      </c>
      <c r="AD186" s="106">
        <v>0</v>
      </c>
      <c r="AE186" s="106">
        <v>0</v>
      </c>
      <c r="AF186" s="106">
        <v>0</v>
      </c>
      <c r="AG186" s="106">
        <v>0</v>
      </c>
      <c r="AH186" s="106">
        <v>0</v>
      </c>
      <c r="AI186" s="106">
        <v>0</v>
      </c>
      <c r="AJ186" s="106">
        <v>0</v>
      </c>
      <c r="AK186" s="106">
        <v>0</v>
      </c>
      <c r="AL186" s="106">
        <v>0</v>
      </c>
      <c r="AM186" s="106">
        <v>0</v>
      </c>
      <c r="AN186" s="106">
        <v>0</v>
      </c>
      <c r="AO186" s="106">
        <v>0</v>
      </c>
      <c r="AP186" s="106">
        <v>0</v>
      </c>
      <c r="AQ186" s="106">
        <v>0</v>
      </c>
      <c r="AR186" s="106">
        <v>0</v>
      </c>
      <c r="AS186" s="106">
        <v>0</v>
      </c>
      <c r="AT186" s="106">
        <v>0</v>
      </c>
      <c r="AU186" s="106">
        <v>0</v>
      </c>
      <c r="AV186" s="106">
        <v>0</v>
      </c>
      <c r="AW186" s="106">
        <v>0</v>
      </c>
      <c r="AX186" s="106">
        <v>0</v>
      </c>
      <c r="AY186" s="106">
        <v>0</v>
      </c>
    </row>
    <row r="187" spans="1:51">
      <c r="A187" s="109"/>
      <c r="B187" s="127">
        <v>3</v>
      </c>
      <c r="C187" s="106">
        <v>150.20281315194046</v>
      </c>
      <c r="D187" s="106">
        <v>78.049456113147386</v>
      </c>
      <c r="E187" s="106">
        <v>29.896099074354311</v>
      </c>
      <c r="F187" s="106">
        <v>0</v>
      </c>
      <c r="G187" s="106">
        <v>0</v>
      </c>
      <c r="H187" s="106">
        <v>0</v>
      </c>
      <c r="I187" s="106">
        <v>0</v>
      </c>
      <c r="J187" s="106">
        <v>0</v>
      </c>
      <c r="K187" s="106">
        <v>0</v>
      </c>
      <c r="L187" s="106">
        <v>15.313031570071615</v>
      </c>
      <c r="M187" s="106">
        <v>0</v>
      </c>
      <c r="N187" s="106">
        <v>4.3130315700716153</v>
      </c>
      <c r="O187" s="106">
        <v>13.626063140143231</v>
      </c>
      <c r="P187" s="106">
        <v>2.9390947102148459</v>
      </c>
      <c r="Q187" s="106">
        <v>0</v>
      </c>
      <c r="R187" s="106">
        <v>0</v>
      </c>
      <c r="S187" s="106">
        <v>0</v>
      </c>
      <c r="T187" s="106">
        <v>0</v>
      </c>
      <c r="U187" s="106">
        <v>0</v>
      </c>
      <c r="V187" s="106">
        <v>0</v>
      </c>
      <c r="W187" s="106">
        <v>0</v>
      </c>
      <c r="X187" s="106">
        <v>0</v>
      </c>
      <c r="Y187" s="106">
        <v>0</v>
      </c>
      <c r="Z187" s="106">
        <v>0</v>
      </c>
      <c r="AA187" s="106">
        <v>17.313031570071615</v>
      </c>
      <c r="AB187" s="106">
        <v>0</v>
      </c>
      <c r="AC187" s="106">
        <v>10.313031570071615</v>
      </c>
      <c r="AD187" s="106">
        <v>0</v>
      </c>
      <c r="AE187" s="106">
        <v>0</v>
      </c>
      <c r="AF187" s="106">
        <v>0</v>
      </c>
      <c r="AG187" s="106">
        <v>0</v>
      </c>
      <c r="AH187" s="106">
        <v>2.3130315700716153</v>
      </c>
      <c r="AI187" s="106">
        <v>0</v>
      </c>
      <c r="AJ187" s="106">
        <v>0</v>
      </c>
      <c r="AK187" s="106">
        <v>0</v>
      </c>
      <c r="AL187" s="106">
        <v>3.3130315700716153</v>
      </c>
      <c r="AM187" s="106">
        <v>0</v>
      </c>
      <c r="AN187" s="106">
        <v>0</v>
      </c>
      <c r="AO187" s="106">
        <v>0</v>
      </c>
      <c r="AP187" s="106">
        <v>9.3130315700716153</v>
      </c>
      <c r="AQ187" s="106">
        <v>46.763456826128902</v>
      </c>
      <c r="AR187" s="106">
        <v>17.213882082186188</v>
      </c>
      <c r="AS187" s="106">
        <v>77.664307338243475</v>
      </c>
      <c r="AT187" s="106">
        <v>103.11473259430076</v>
      </c>
      <c r="AU187" s="106">
        <v>107.42776416437238</v>
      </c>
      <c r="AV187" s="106">
        <v>108.74079573444399</v>
      </c>
      <c r="AW187" s="106">
        <v>65.053827304515607</v>
      </c>
      <c r="AX187" s="106">
        <v>35.366858874587223</v>
      </c>
      <c r="AY187" s="106">
        <v>60.679890444658838</v>
      </c>
    </row>
    <row r="188" spans="1:51">
      <c r="A188" s="128"/>
      <c r="B188" s="129">
        <v>4</v>
      </c>
      <c r="C188" s="106">
        <v>38.797186848059539</v>
      </c>
      <c r="D188" s="106">
        <v>64.950543886852614</v>
      </c>
      <c r="E188" s="106">
        <v>137.10390092564569</v>
      </c>
      <c r="F188" s="106">
        <v>179</v>
      </c>
      <c r="G188" s="106">
        <v>137</v>
      </c>
      <c r="H188" s="106">
        <v>187</v>
      </c>
      <c r="I188" s="106">
        <v>208</v>
      </c>
      <c r="J188" s="106">
        <v>142</v>
      </c>
      <c r="K188" s="106">
        <v>195</v>
      </c>
      <c r="L188" s="106">
        <v>215.68696842992838</v>
      </c>
      <c r="M188" s="106">
        <v>180</v>
      </c>
      <c r="N188" s="106">
        <v>215.68696842992838</v>
      </c>
      <c r="O188" s="106">
        <v>211.37393685985677</v>
      </c>
      <c r="P188" s="106">
        <v>202.06090528978515</v>
      </c>
      <c r="Q188" s="106">
        <v>175</v>
      </c>
      <c r="R188" s="106">
        <v>181</v>
      </c>
      <c r="S188" s="106">
        <v>199</v>
      </c>
      <c r="T188" s="106">
        <v>179</v>
      </c>
      <c r="U188" s="106">
        <v>176</v>
      </c>
      <c r="V188" s="106">
        <v>199</v>
      </c>
      <c r="W188" s="106">
        <v>188</v>
      </c>
      <c r="X188" s="106">
        <v>169</v>
      </c>
      <c r="Y188" s="106">
        <v>158</v>
      </c>
      <c r="Z188" s="106">
        <v>207</v>
      </c>
      <c r="AA188" s="106">
        <v>215.68696842992838</v>
      </c>
      <c r="AB188" s="106">
        <v>180</v>
      </c>
      <c r="AC188" s="106">
        <v>215.68696842992838</v>
      </c>
      <c r="AD188" s="106">
        <v>185</v>
      </c>
      <c r="AE188" s="106">
        <v>173</v>
      </c>
      <c r="AF188" s="106">
        <v>187</v>
      </c>
      <c r="AG188" s="106">
        <v>185</v>
      </c>
      <c r="AH188" s="106">
        <v>215.68696842992838</v>
      </c>
      <c r="AI188" s="106">
        <v>197</v>
      </c>
      <c r="AJ188" s="106">
        <v>210</v>
      </c>
      <c r="AK188" s="106">
        <v>176</v>
      </c>
      <c r="AL188" s="106">
        <v>215.68696842992838</v>
      </c>
      <c r="AM188" s="106">
        <v>193</v>
      </c>
      <c r="AN188" s="106">
        <v>177</v>
      </c>
      <c r="AO188" s="106">
        <v>189</v>
      </c>
      <c r="AP188" s="106">
        <v>215.68696842992838</v>
      </c>
      <c r="AQ188" s="106">
        <v>163.2365431738711</v>
      </c>
      <c r="AR188" s="106">
        <v>125.78611791781381</v>
      </c>
      <c r="AS188" s="106">
        <v>155.33569266175653</v>
      </c>
      <c r="AT188" s="106">
        <v>94.885267405699238</v>
      </c>
      <c r="AU188" s="106">
        <v>112.57223583562762</v>
      </c>
      <c r="AV188" s="106">
        <v>108.25920426555601</v>
      </c>
      <c r="AW188" s="106">
        <v>106.94617269548439</v>
      </c>
      <c r="AX188" s="106">
        <v>150.63314112541278</v>
      </c>
      <c r="AY188" s="106">
        <v>180.32010955534116</v>
      </c>
    </row>
    <row r="189" spans="1:51">
      <c r="A189" s="126" t="s">
        <v>133</v>
      </c>
      <c r="B189" s="123">
        <v>1</v>
      </c>
      <c r="C189" s="124">
        <v>59.018388120982763</v>
      </c>
      <c r="D189" s="124">
        <v>59.759746948944468</v>
      </c>
      <c r="E189" s="124">
        <v>61.501105776906172</v>
      </c>
      <c r="F189" s="124">
        <v>0</v>
      </c>
      <c r="G189" s="124">
        <v>20.859784932056726</v>
      </c>
      <c r="H189" s="124">
        <v>59.719569864113453</v>
      </c>
      <c r="I189" s="124">
        <v>97.579354796170179</v>
      </c>
      <c r="J189" s="124">
        <v>37.923800176236398</v>
      </c>
      <c r="K189" s="124">
        <v>81.783585108293124</v>
      </c>
      <c r="L189" s="124">
        <v>109.64337004034985</v>
      </c>
      <c r="M189" s="124">
        <v>0</v>
      </c>
      <c r="N189" s="124">
        <v>176</v>
      </c>
      <c r="O189" s="124">
        <v>151.14021506794327</v>
      </c>
      <c r="P189" s="124">
        <v>151.14021506794327</v>
      </c>
      <c r="Q189" s="124">
        <v>151.14021506794327</v>
      </c>
      <c r="R189" s="124">
        <v>151.14021506794327</v>
      </c>
      <c r="S189" s="124">
        <v>151.14021506794327</v>
      </c>
      <c r="T189" s="124">
        <v>151.14021506794327</v>
      </c>
      <c r="U189" s="124">
        <v>151.14021506794327</v>
      </c>
      <c r="V189" s="124">
        <v>151.14021506794327</v>
      </c>
      <c r="W189" s="124">
        <v>151.14021506794327</v>
      </c>
      <c r="X189" s="124">
        <v>151.14021506794327</v>
      </c>
      <c r="Y189" s="124">
        <v>151.14021506794327</v>
      </c>
      <c r="Z189" s="124">
        <v>151.14021506794327</v>
      </c>
      <c r="AA189" s="124">
        <v>151</v>
      </c>
      <c r="AB189" s="124">
        <v>151.14021506794327</v>
      </c>
      <c r="AC189" s="124">
        <v>37.923800176236398</v>
      </c>
      <c r="AD189" s="124">
        <v>151.14021506794327</v>
      </c>
      <c r="AE189" s="124">
        <v>37.923800176236398</v>
      </c>
      <c r="AF189" s="124">
        <v>54.783585108293124</v>
      </c>
      <c r="AG189" s="124">
        <v>37.923800176236398</v>
      </c>
      <c r="AH189" s="124">
        <v>37.783585108293124</v>
      </c>
      <c r="AI189" s="124">
        <v>68.643370040349851</v>
      </c>
      <c r="AJ189" s="124">
        <v>151.14021506794327</v>
      </c>
      <c r="AK189" s="124">
        <v>37.923800176236398</v>
      </c>
      <c r="AL189" s="124">
        <v>52.783585108293124</v>
      </c>
      <c r="AM189" s="124">
        <v>121.64337004034985</v>
      </c>
      <c r="AN189" s="124">
        <v>151.14021506794327</v>
      </c>
      <c r="AO189" s="124">
        <v>151.14021506794327</v>
      </c>
      <c r="AP189" s="124">
        <v>120.91217205435461</v>
      </c>
      <c r="AQ189" s="124">
        <v>120.91217205435461</v>
      </c>
      <c r="AR189" s="124">
        <v>120.91217205435461</v>
      </c>
      <c r="AS189" s="124">
        <v>120.91217205435461</v>
      </c>
      <c r="AT189" s="124">
        <v>151.14021506794327</v>
      </c>
      <c r="AU189" s="124">
        <v>75.847600352472796</v>
      </c>
      <c r="AV189" s="124">
        <v>109.70738528452952</v>
      </c>
      <c r="AW189" s="124">
        <v>0</v>
      </c>
      <c r="AX189" s="124">
        <v>188.42880031572949</v>
      </c>
      <c r="AY189" s="124">
        <v>0</v>
      </c>
    </row>
    <row r="190" spans="1:51">
      <c r="A190" s="109"/>
      <c r="B190" s="119">
        <v>2</v>
      </c>
      <c r="C190" s="106">
        <v>138.98161187901724</v>
      </c>
      <c r="D190" s="106">
        <v>94.240253051055532</v>
      </c>
      <c r="E190" s="106">
        <v>93.498894223093828</v>
      </c>
      <c r="F190" s="106">
        <v>126.92769453882332</v>
      </c>
      <c r="G190" s="106">
        <v>151.14021506794327</v>
      </c>
      <c r="H190" s="106">
        <v>130.28043013588655</v>
      </c>
      <c r="I190" s="106">
        <v>91.420645203829821</v>
      </c>
      <c r="J190" s="106">
        <v>53.560860271773095</v>
      </c>
      <c r="K190" s="106">
        <v>113.21641489170688</v>
      </c>
      <c r="L190" s="106">
        <v>69.356629959650149</v>
      </c>
      <c r="M190" s="106">
        <v>41.496845027593423</v>
      </c>
      <c r="N190" s="106">
        <v>0</v>
      </c>
      <c r="O190" s="106">
        <v>12.42880031572949</v>
      </c>
      <c r="P190" s="106">
        <v>0</v>
      </c>
      <c r="Q190" s="106">
        <v>0</v>
      </c>
      <c r="R190" s="106">
        <v>0</v>
      </c>
      <c r="S190" s="106">
        <v>0</v>
      </c>
      <c r="T190" s="106">
        <v>0</v>
      </c>
      <c r="U190" s="106">
        <v>0</v>
      </c>
      <c r="V190" s="106">
        <v>0</v>
      </c>
      <c r="W190" s="106">
        <v>0</v>
      </c>
      <c r="X190" s="106">
        <v>0</v>
      </c>
      <c r="Y190" s="106">
        <v>0</v>
      </c>
      <c r="Z190" s="106">
        <v>0</v>
      </c>
      <c r="AA190" s="106">
        <v>0</v>
      </c>
      <c r="AB190" s="106">
        <v>0.14021506794327365</v>
      </c>
      <c r="AC190" s="106">
        <v>0</v>
      </c>
      <c r="AD190" s="106">
        <v>0</v>
      </c>
      <c r="AE190" s="106">
        <v>0</v>
      </c>
      <c r="AF190" s="106">
        <v>113.21641489170688</v>
      </c>
      <c r="AG190" s="106">
        <v>96.356629959650149</v>
      </c>
      <c r="AH190" s="106">
        <v>113.21641489170688</v>
      </c>
      <c r="AI190" s="106">
        <v>113.35662995965015</v>
      </c>
      <c r="AJ190" s="106">
        <v>82.496845027593423</v>
      </c>
      <c r="AK190" s="106">
        <v>0</v>
      </c>
      <c r="AL190" s="106">
        <v>113.21641489170688</v>
      </c>
      <c r="AM190" s="106">
        <v>98.356629959650149</v>
      </c>
      <c r="AN190" s="106">
        <v>29.496845027593423</v>
      </c>
      <c r="AO190" s="106">
        <v>0</v>
      </c>
      <c r="AP190" s="106">
        <v>0</v>
      </c>
      <c r="AQ190" s="106">
        <v>0</v>
      </c>
      <c r="AR190" s="106">
        <v>0</v>
      </c>
      <c r="AS190" s="106">
        <v>0</v>
      </c>
      <c r="AT190" s="106">
        <v>0</v>
      </c>
      <c r="AU190" s="106">
        <v>0</v>
      </c>
      <c r="AV190" s="106">
        <v>75.292614715470478</v>
      </c>
      <c r="AW190" s="106">
        <v>41.432829783413752</v>
      </c>
      <c r="AX190" s="106">
        <v>0</v>
      </c>
      <c r="AY190" s="106">
        <v>0</v>
      </c>
    </row>
    <row r="191" spans="1:51">
      <c r="A191" s="109"/>
      <c r="B191" s="120">
        <v>3</v>
      </c>
      <c r="C191" s="106">
        <v>0</v>
      </c>
      <c r="D191" s="106">
        <v>0</v>
      </c>
      <c r="E191" s="106">
        <v>0</v>
      </c>
      <c r="F191" s="106">
        <v>0</v>
      </c>
      <c r="G191" s="106">
        <v>0</v>
      </c>
      <c r="H191" s="106">
        <v>0</v>
      </c>
      <c r="I191" s="106">
        <v>0</v>
      </c>
      <c r="J191" s="106">
        <v>0</v>
      </c>
      <c r="K191" s="106">
        <v>0</v>
      </c>
      <c r="L191" s="106">
        <v>0</v>
      </c>
      <c r="M191" s="106">
        <v>0</v>
      </c>
      <c r="N191" s="106">
        <v>0</v>
      </c>
      <c r="O191" s="106">
        <v>0</v>
      </c>
      <c r="P191" s="106">
        <v>0</v>
      </c>
      <c r="Q191" s="106">
        <v>0</v>
      </c>
      <c r="R191" s="106">
        <v>0</v>
      </c>
      <c r="S191" s="106">
        <v>0</v>
      </c>
      <c r="T191" s="106">
        <v>0</v>
      </c>
      <c r="U191" s="106">
        <v>0</v>
      </c>
      <c r="V191" s="106">
        <v>0</v>
      </c>
      <c r="W191" s="106">
        <v>0</v>
      </c>
      <c r="X191" s="106">
        <v>0</v>
      </c>
      <c r="Y191" s="106">
        <v>0</v>
      </c>
      <c r="Z191" s="106">
        <v>0</v>
      </c>
      <c r="AA191" s="106">
        <v>0</v>
      </c>
      <c r="AB191" s="106">
        <v>0</v>
      </c>
      <c r="AC191" s="106">
        <v>0</v>
      </c>
      <c r="AD191" s="106">
        <v>0</v>
      </c>
      <c r="AE191" s="106">
        <v>113.21641489170688</v>
      </c>
      <c r="AF191" s="106">
        <v>0</v>
      </c>
      <c r="AG191" s="106">
        <v>0</v>
      </c>
      <c r="AH191" s="106">
        <v>0</v>
      </c>
      <c r="AI191" s="106">
        <v>0</v>
      </c>
      <c r="AJ191" s="106">
        <v>0</v>
      </c>
      <c r="AK191" s="106">
        <v>0</v>
      </c>
      <c r="AL191" s="106">
        <v>0</v>
      </c>
      <c r="AM191" s="106">
        <v>0</v>
      </c>
      <c r="AN191" s="106">
        <v>0</v>
      </c>
      <c r="AO191" s="106">
        <v>0</v>
      </c>
      <c r="AP191" s="106">
        <v>0</v>
      </c>
      <c r="AQ191" s="106">
        <v>0</v>
      </c>
      <c r="AR191" s="106">
        <v>0</v>
      </c>
      <c r="AS191" s="106">
        <v>0</v>
      </c>
      <c r="AT191" s="106">
        <v>0</v>
      </c>
      <c r="AU191" s="106">
        <v>0</v>
      </c>
      <c r="AV191" s="106">
        <v>0</v>
      </c>
      <c r="AW191" s="106">
        <v>0</v>
      </c>
      <c r="AX191" s="106">
        <v>0</v>
      </c>
      <c r="AY191" s="106">
        <v>0</v>
      </c>
    </row>
    <row r="192" spans="1:51">
      <c r="A192" s="109"/>
      <c r="B192" s="120">
        <v>4</v>
      </c>
      <c r="C192" s="106">
        <v>0</v>
      </c>
      <c r="D192" s="106">
        <v>0</v>
      </c>
      <c r="E192" s="106">
        <v>0</v>
      </c>
      <c r="F192" s="106">
        <v>0</v>
      </c>
      <c r="G192" s="106">
        <v>0</v>
      </c>
      <c r="H192" s="106">
        <v>0</v>
      </c>
      <c r="I192" s="106">
        <v>0</v>
      </c>
      <c r="J192" s="106">
        <v>0</v>
      </c>
      <c r="K192" s="106">
        <v>0</v>
      </c>
      <c r="L192" s="106">
        <v>0</v>
      </c>
      <c r="M192" s="106">
        <v>0</v>
      </c>
      <c r="N192" s="106">
        <v>0</v>
      </c>
      <c r="O192" s="106">
        <v>0</v>
      </c>
      <c r="P192" s="106">
        <v>0</v>
      </c>
      <c r="Q192" s="106">
        <v>0</v>
      </c>
      <c r="R192" s="106">
        <v>0</v>
      </c>
      <c r="S192" s="106">
        <v>0</v>
      </c>
      <c r="T192" s="106">
        <v>0</v>
      </c>
      <c r="U192" s="106">
        <v>0</v>
      </c>
      <c r="V192" s="106">
        <v>0</v>
      </c>
      <c r="W192" s="106">
        <v>0</v>
      </c>
      <c r="X192" s="106">
        <v>0</v>
      </c>
      <c r="Y192" s="106">
        <v>0</v>
      </c>
      <c r="Z192" s="106">
        <v>0</v>
      </c>
      <c r="AA192" s="106">
        <v>0</v>
      </c>
      <c r="AB192" s="106">
        <v>0</v>
      </c>
      <c r="AC192" s="106">
        <v>0</v>
      </c>
      <c r="AD192" s="106">
        <v>0</v>
      </c>
      <c r="AE192" s="106">
        <v>0</v>
      </c>
      <c r="AF192" s="106">
        <v>0</v>
      </c>
      <c r="AG192" s="106">
        <v>0</v>
      </c>
      <c r="AH192" s="106">
        <v>0</v>
      </c>
      <c r="AI192" s="106">
        <v>0</v>
      </c>
      <c r="AJ192" s="106">
        <v>0</v>
      </c>
      <c r="AK192" s="106">
        <v>0</v>
      </c>
      <c r="AL192" s="106">
        <v>0</v>
      </c>
      <c r="AM192" s="106">
        <v>0</v>
      </c>
      <c r="AN192" s="106">
        <v>0</v>
      </c>
      <c r="AO192" s="106">
        <v>0</v>
      </c>
      <c r="AP192" s="106">
        <v>0</v>
      </c>
      <c r="AQ192" s="106">
        <v>0</v>
      </c>
      <c r="AR192" s="106">
        <v>0</v>
      </c>
      <c r="AS192" s="106">
        <v>0</v>
      </c>
      <c r="AT192" s="106">
        <v>0</v>
      </c>
      <c r="AU192" s="106">
        <v>0</v>
      </c>
      <c r="AV192" s="106">
        <v>0</v>
      </c>
      <c r="AW192" s="106">
        <v>0</v>
      </c>
      <c r="AX192" s="106">
        <v>0</v>
      </c>
      <c r="AY192" s="106">
        <v>0</v>
      </c>
    </row>
    <row r="193" spans="1:51">
      <c r="A193" s="109"/>
      <c r="B193" s="127">
        <v>5</v>
      </c>
      <c r="C193" s="106">
        <v>0</v>
      </c>
      <c r="D193" s="106">
        <v>0</v>
      </c>
      <c r="E193" s="106">
        <v>0</v>
      </c>
      <c r="F193" s="106">
        <v>0</v>
      </c>
      <c r="G193" s="106">
        <v>0</v>
      </c>
      <c r="H193" s="106">
        <v>0</v>
      </c>
      <c r="I193" s="106">
        <v>0</v>
      </c>
      <c r="J193" s="106">
        <v>0</v>
      </c>
      <c r="K193" s="106">
        <v>0</v>
      </c>
      <c r="L193" s="106">
        <v>0</v>
      </c>
      <c r="M193" s="106">
        <v>0</v>
      </c>
      <c r="N193" s="106">
        <v>0</v>
      </c>
      <c r="O193" s="106">
        <v>0</v>
      </c>
      <c r="P193" s="106">
        <v>0</v>
      </c>
      <c r="Q193" s="106">
        <v>0</v>
      </c>
      <c r="R193" s="106">
        <v>0</v>
      </c>
      <c r="S193" s="106">
        <v>0</v>
      </c>
      <c r="T193" s="106">
        <v>0</v>
      </c>
      <c r="U193" s="106">
        <v>0</v>
      </c>
      <c r="V193" s="106">
        <v>0</v>
      </c>
      <c r="W193" s="106">
        <v>0</v>
      </c>
      <c r="X193" s="106">
        <v>0</v>
      </c>
      <c r="Y193" s="106">
        <v>0</v>
      </c>
      <c r="Z193" s="106">
        <v>0</v>
      </c>
      <c r="AA193" s="106">
        <v>0</v>
      </c>
      <c r="AB193" s="106">
        <v>0</v>
      </c>
      <c r="AC193" s="106">
        <v>0</v>
      </c>
      <c r="AD193" s="106">
        <v>0</v>
      </c>
      <c r="AE193" s="106">
        <v>0</v>
      </c>
      <c r="AF193" s="106">
        <v>0</v>
      </c>
      <c r="AG193" s="106">
        <v>0</v>
      </c>
      <c r="AH193" s="106">
        <v>0</v>
      </c>
      <c r="AI193" s="106">
        <v>0</v>
      </c>
      <c r="AJ193" s="106">
        <v>0</v>
      </c>
      <c r="AK193" s="106">
        <v>0</v>
      </c>
      <c r="AL193" s="106">
        <v>0</v>
      </c>
      <c r="AM193" s="106">
        <v>0</v>
      </c>
      <c r="AN193" s="106">
        <v>0</v>
      </c>
      <c r="AO193" s="106">
        <v>0</v>
      </c>
      <c r="AP193" s="106">
        <v>0</v>
      </c>
      <c r="AQ193" s="106">
        <v>0</v>
      </c>
      <c r="AR193" s="106">
        <v>0</v>
      </c>
      <c r="AS193" s="106">
        <v>0</v>
      </c>
      <c r="AT193" s="106">
        <v>0</v>
      </c>
      <c r="AU193" s="106">
        <v>0</v>
      </c>
      <c r="AV193" s="106">
        <v>0</v>
      </c>
      <c r="AW193" s="106">
        <v>0</v>
      </c>
      <c r="AX193" s="106">
        <v>0</v>
      </c>
      <c r="AY193" s="106">
        <v>0</v>
      </c>
    </row>
    <row r="194" spans="1:51">
      <c r="A194" s="109"/>
      <c r="B194" s="127">
        <v>6</v>
      </c>
      <c r="C194" s="106">
        <v>0</v>
      </c>
      <c r="D194" s="106">
        <v>0</v>
      </c>
      <c r="E194" s="106">
        <v>0</v>
      </c>
      <c r="F194" s="106">
        <v>0</v>
      </c>
      <c r="G194" s="106">
        <v>0</v>
      </c>
      <c r="H194" s="106">
        <v>0</v>
      </c>
      <c r="I194" s="106">
        <v>0</v>
      </c>
      <c r="J194" s="106">
        <v>0</v>
      </c>
      <c r="K194" s="106">
        <v>0</v>
      </c>
      <c r="L194" s="106">
        <v>0</v>
      </c>
      <c r="M194" s="106">
        <v>0</v>
      </c>
      <c r="N194" s="106">
        <v>0</v>
      </c>
      <c r="O194" s="106">
        <v>0</v>
      </c>
      <c r="P194" s="106">
        <v>0</v>
      </c>
      <c r="Q194" s="106">
        <v>0</v>
      </c>
      <c r="R194" s="106">
        <v>0</v>
      </c>
      <c r="S194" s="106">
        <v>0</v>
      </c>
      <c r="T194" s="106">
        <v>0</v>
      </c>
      <c r="U194" s="106">
        <v>0</v>
      </c>
      <c r="V194" s="106">
        <v>0</v>
      </c>
      <c r="W194" s="106">
        <v>0</v>
      </c>
      <c r="X194" s="106">
        <v>0</v>
      </c>
      <c r="Y194" s="106">
        <v>0</v>
      </c>
      <c r="Z194" s="106">
        <v>0</v>
      </c>
      <c r="AA194" s="106">
        <v>0</v>
      </c>
      <c r="AB194" s="106">
        <v>0</v>
      </c>
      <c r="AC194" s="106">
        <v>0</v>
      </c>
      <c r="AD194" s="106">
        <v>0</v>
      </c>
      <c r="AE194" s="106">
        <v>0</v>
      </c>
      <c r="AF194" s="106">
        <v>0</v>
      </c>
      <c r="AG194" s="106">
        <v>0</v>
      </c>
      <c r="AH194" s="106">
        <v>0</v>
      </c>
      <c r="AI194" s="106">
        <v>0</v>
      </c>
      <c r="AJ194" s="106">
        <v>0</v>
      </c>
      <c r="AK194" s="106">
        <v>0</v>
      </c>
      <c r="AL194" s="106">
        <v>0</v>
      </c>
      <c r="AM194" s="106">
        <v>0</v>
      </c>
      <c r="AN194" s="106">
        <v>0</v>
      </c>
      <c r="AO194" s="106">
        <v>0</v>
      </c>
      <c r="AP194" s="106">
        <v>0</v>
      </c>
      <c r="AQ194" s="106">
        <v>0</v>
      </c>
      <c r="AR194" s="106">
        <v>0</v>
      </c>
      <c r="AS194" s="106">
        <v>0</v>
      </c>
      <c r="AT194" s="106">
        <v>0</v>
      </c>
      <c r="AU194" s="106">
        <v>0</v>
      </c>
      <c r="AV194" s="106">
        <v>0</v>
      </c>
      <c r="AW194" s="106">
        <v>0</v>
      </c>
      <c r="AX194" s="106">
        <v>0</v>
      </c>
      <c r="AY194" s="106">
        <v>0</v>
      </c>
    </row>
    <row r="195" spans="1:51">
      <c r="A195" s="109"/>
      <c r="B195" s="130">
        <v>7</v>
      </c>
      <c r="C195" s="106">
        <v>0</v>
      </c>
      <c r="D195" s="106">
        <v>0</v>
      </c>
      <c r="E195" s="106">
        <v>0</v>
      </c>
      <c r="F195" s="106">
        <v>0</v>
      </c>
      <c r="G195" s="106">
        <v>0</v>
      </c>
      <c r="H195" s="106">
        <v>0</v>
      </c>
      <c r="I195" s="106">
        <v>0</v>
      </c>
      <c r="J195" s="106">
        <v>0</v>
      </c>
      <c r="K195" s="106">
        <v>0</v>
      </c>
      <c r="L195" s="106">
        <v>0</v>
      </c>
      <c r="M195" s="106">
        <v>0</v>
      </c>
      <c r="N195" s="106">
        <v>0</v>
      </c>
      <c r="O195" s="106">
        <v>0</v>
      </c>
      <c r="P195" s="106">
        <v>0</v>
      </c>
      <c r="Q195" s="106">
        <v>0</v>
      </c>
      <c r="R195" s="106">
        <v>0</v>
      </c>
      <c r="S195" s="106">
        <v>0</v>
      </c>
      <c r="T195" s="106">
        <v>0</v>
      </c>
      <c r="U195" s="106">
        <v>0</v>
      </c>
      <c r="V195" s="106">
        <v>0</v>
      </c>
      <c r="W195" s="106">
        <v>0</v>
      </c>
      <c r="X195" s="106">
        <v>0</v>
      </c>
      <c r="Y195" s="106">
        <v>0</v>
      </c>
      <c r="Z195" s="106">
        <v>0</v>
      </c>
      <c r="AA195" s="106">
        <v>0</v>
      </c>
      <c r="AB195" s="106">
        <v>0</v>
      </c>
      <c r="AC195" s="106">
        <v>0</v>
      </c>
      <c r="AD195" s="106">
        <v>0</v>
      </c>
      <c r="AE195" s="106">
        <v>0</v>
      </c>
      <c r="AF195" s="106">
        <v>0</v>
      </c>
      <c r="AG195" s="106">
        <v>0</v>
      </c>
      <c r="AH195" s="106">
        <v>0</v>
      </c>
      <c r="AI195" s="106">
        <v>0</v>
      </c>
      <c r="AJ195" s="106">
        <v>0</v>
      </c>
      <c r="AK195" s="106">
        <v>0</v>
      </c>
      <c r="AL195" s="106">
        <v>0</v>
      </c>
      <c r="AM195" s="106">
        <v>0</v>
      </c>
      <c r="AN195" s="106">
        <v>0</v>
      </c>
      <c r="AO195" s="106">
        <v>0</v>
      </c>
      <c r="AP195" s="106">
        <v>0</v>
      </c>
      <c r="AQ195" s="106">
        <v>0</v>
      </c>
      <c r="AR195" s="106">
        <v>0</v>
      </c>
      <c r="AS195" s="106">
        <v>0</v>
      </c>
      <c r="AT195" s="106">
        <v>0</v>
      </c>
      <c r="AU195" s="106">
        <v>0</v>
      </c>
      <c r="AV195" s="106">
        <v>0</v>
      </c>
      <c r="AW195" s="106">
        <v>0</v>
      </c>
      <c r="AX195" s="106">
        <v>0</v>
      </c>
      <c r="AY195" s="106">
        <v>0</v>
      </c>
    </row>
    <row r="196" spans="1:51">
      <c r="A196" s="128"/>
      <c r="B196" s="129">
        <v>8</v>
      </c>
      <c r="C196" s="114">
        <v>0</v>
      </c>
      <c r="D196" s="114">
        <v>0</v>
      </c>
      <c r="E196" s="114">
        <v>0</v>
      </c>
      <c r="F196" s="114">
        <v>0</v>
      </c>
      <c r="G196" s="114">
        <v>0</v>
      </c>
      <c r="H196" s="114">
        <v>0</v>
      </c>
      <c r="I196" s="114">
        <v>0</v>
      </c>
      <c r="J196" s="114">
        <v>0</v>
      </c>
      <c r="K196" s="114">
        <v>0</v>
      </c>
      <c r="L196" s="114">
        <v>0</v>
      </c>
      <c r="M196" s="114">
        <v>0</v>
      </c>
      <c r="N196" s="114">
        <v>0</v>
      </c>
      <c r="O196" s="114">
        <v>0</v>
      </c>
      <c r="P196" s="114">
        <v>0</v>
      </c>
      <c r="Q196" s="114">
        <v>0</v>
      </c>
      <c r="R196" s="114">
        <v>0</v>
      </c>
      <c r="S196" s="114">
        <v>0</v>
      </c>
      <c r="T196" s="114">
        <v>0</v>
      </c>
      <c r="U196" s="114">
        <v>0</v>
      </c>
      <c r="V196" s="114">
        <v>0</v>
      </c>
      <c r="W196" s="114">
        <v>0</v>
      </c>
      <c r="X196" s="114">
        <v>0</v>
      </c>
      <c r="Y196" s="114">
        <v>0</v>
      </c>
      <c r="Z196" s="114">
        <v>0</v>
      </c>
      <c r="AA196" s="114">
        <v>0</v>
      </c>
      <c r="AB196" s="114">
        <v>0</v>
      </c>
      <c r="AC196" s="114">
        <v>0</v>
      </c>
      <c r="AD196" s="114">
        <v>0</v>
      </c>
      <c r="AE196" s="114">
        <v>0</v>
      </c>
      <c r="AF196" s="114">
        <v>0</v>
      </c>
      <c r="AG196" s="114">
        <v>0</v>
      </c>
      <c r="AH196" s="114">
        <v>0</v>
      </c>
      <c r="AI196" s="114">
        <v>0</v>
      </c>
      <c r="AJ196" s="114">
        <v>0</v>
      </c>
      <c r="AK196" s="114">
        <v>0</v>
      </c>
      <c r="AL196" s="114">
        <v>0</v>
      </c>
      <c r="AM196" s="114">
        <v>0</v>
      </c>
      <c r="AN196" s="114">
        <v>0</v>
      </c>
      <c r="AO196" s="114">
        <v>0</v>
      </c>
      <c r="AP196" s="114">
        <v>0</v>
      </c>
      <c r="AQ196" s="114">
        <v>0</v>
      </c>
      <c r="AR196" s="114">
        <v>0</v>
      </c>
      <c r="AS196" s="114">
        <v>0</v>
      </c>
      <c r="AT196" s="114">
        <v>0</v>
      </c>
      <c r="AU196" s="114">
        <v>0</v>
      </c>
      <c r="AV196" s="114">
        <v>0</v>
      </c>
      <c r="AW196" s="114">
        <v>0</v>
      </c>
      <c r="AX196" s="114">
        <v>0</v>
      </c>
      <c r="AY196" s="114">
        <v>0</v>
      </c>
    </row>
    <row r="197" spans="1:51">
      <c r="A197" s="131" t="s">
        <v>134</v>
      </c>
      <c r="B197" s="119">
        <v>1</v>
      </c>
      <c r="C197" s="106">
        <v>29.9881925505528</v>
      </c>
      <c r="D197" s="106">
        <v>144</v>
      </c>
      <c r="E197" s="106">
        <v>126.95279354756966</v>
      </c>
      <c r="F197" s="106">
        <v>108.5016202379696</v>
      </c>
      <c r="G197" s="106">
        <v>54.953085402455926</v>
      </c>
      <c r="H197" s="106">
        <v>127.03020115095447</v>
      </c>
      <c r="I197" s="106">
        <v>90.991643276705204</v>
      </c>
      <c r="J197" s="106">
        <v>90.991643276705204</v>
      </c>
      <c r="K197" s="106">
        <v>63.995808193662548</v>
      </c>
      <c r="L197" s="106">
        <v>117.98747835974785</v>
      </c>
      <c r="M197" s="106">
        <v>90.991643276705204</v>
      </c>
      <c r="N197" s="106">
        <v>54.953085402455926</v>
      </c>
      <c r="O197" s="106">
        <v>99.882902541468852</v>
      </c>
      <c r="P197" s="106">
        <v>90.991643276705204</v>
      </c>
      <c r="Q197" s="106">
        <v>90.991643276705204</v>
      </c>
      <c r="R197" s="106">
        <v>90.991643276705204</v>
      </c>
      <c r="S197" s="106">
        <v>90.991643276705204</v>
      </c>
      <c r="T197" s="106">
        <v>90.991643276705204</v>
      </c>
      <c r="U197" s="106">
        <v>90.991643276705204</v>
      </c>
      <c r="V197" s="106">
        <v>90.991643276705204</v>
      </c>
      <c r="W197" s="106">
        <v>90.991643276705204</v>
      </c>
      <c r="X197" s="106">
        <v>90.991643276705204</v>
      </c>
      <c r="Y197" s="106">
        <v>90.991643276705204</v>
      </c>
      <c r="Z197" s="106">
        <v>90.991643276705204</v>
      </c>
      <c r="AA197" s="106">
        <v>90.991643276705204</v>
      </c>
      <c r="AB197" s="106">
        <v>90.991643276705204</v>
      </c>
      <c r="AC197" s="106">
        <v>90.991643276705204</v>
      </c>
      <c r="AD197" s="106">
        <v>63.995808193662548</v>
      </c>
      <c r="AE197" s="106">
        <v>90.991643276705204</v>
      </c>
      <c r="AF197" s="106">
        <v>90.991643276705204</v>
      </c>
      <c r="AG197" s="106">
        <v>117.50048330516209</v>
      </c>
      <c r="AH197" s="106">
        <v>63.99580819366254</v>
      </c>
      <c r="AI197" s="106">
        <v>117.98747835974785</v>
      </c>
      <c r="AJ197" s="106">
        <v>90.991643276705204</v>
      </c>
      <c r="AK197" s="106">
        <v>90.991643276705204</v>
      </c>
      <c r="AL197" s="106">
        <v>63.995808193662548</v>
      </c>
      <c r="AM197" s="106">
        <v>117.98747835974785</v>
      </c>
      <c r="AN197" s="106">
        <v>90.991643276705204</v>
      </c>
      <c r="AO197" s="106">
        <v>90.991643276705204</v>
      </c>
      <c r="AP197" s="106">
        <v>90.991643276705204</v>
      </c>
      <c r="AQ197" s="106">
        <v>83.783931701855352</v>
      </c>
      <c r="AR197" s="106">
        <v>83.783931701855337</v>
      </c>
      <c r="AS197" s="106">
        <v>83.783931701855352</v>
      </c>
      <c r="AT197" s="106">
        <v>83.783931701855337</v>
      </c>
      <c r="AU197" s="106">
        <v>90.991643276705204</v>
      </c>
      <c r="AV197" s="106">
        <v>73.038530984869155</v>
      </c>
      <c r="AW197" s="106">
        <v>104.55572746351511</v>
      </c>
      <c r="AX197" s="106">
        <v>59.342113507482054</v>
      </c>
      <c r="AY197" s="106">
        <v>99.882902541468852</v>
      </c>
    </row>
    <row r="198" spans="1:51">
      <c r="A198" s="109"/>
      <c r="B198" s="119">
        <v>2</v>
      </c>
      <c r="C198" s="106">
        <v>0</v>
      </c>
      <c r="D198" s="106">
        <v>0</v>
      </c>
      <c r="E198" s="106">
        <v>12.047206452430345</v>
      </c>
      <c r="F198" s="106">
        <v>13.918600747737258</v>
      </c>
      <c r="G198" s="106">
        <v>0</v>
      </c>
      <c r="H198" s="106">
        <v>0</v>
      </c>
      <c r="I198" s="106">
        <v>0</v>
      </c>
      <c r="J198" s="106">
        <v>0</v>
      </c>
      <c r="K198" s="106">
        <v>0</v>
      </c>
      <c r="L198" s="106">
        <v>0</v>
      </c>
      <c r="M198" s="106">
        <v>0</v>
      </c>
      <c r="N198" s="106">
        <v>0</v>
      </c>
      <c r="O198" s="106">
        <v>0</v>
      </c>
      <c r="P198" s="106">
        <v>0</v>
      </c>
      <c r="Q198" s="106">
        <v>0</v>
      </c>
      <c r="R198" s="106">
        <v>0</v>
      </c>
      <c r="S198" s="106">
        <v>0</v>
      </c>
      <c r="T198" s="106">
        <v>0</v>
      </c>
      <c r="U198" s="106">
        <v>0</v>
      </c>
      <c r="V198" s="106">
        <v>0</v>
      </c>
      <c r="W198" s="106">
        <v>0</v>
      </c>
      <c r="X198" s="106">
        <v>0</v>
      </c>
      <c r="Y198" s="106">
        <v>0</v>
      </c>
      <c r="Z198" s="106">
        <v>0</v>
      </c>
      <c r="AA198" s="106">
        <v>0</v>
      </c>
      <c r="AB198" s="106">
        <v>0</v>
      </c>
      <c r="AC198" s="106">
        <v>0</v>
      </c>
      <c r="AD198" s="106">
        <v>0</v>
      </c>
      <c r="AE198" s="106">
        <v>0</v>
      </c>
      <c r="AF198" s="106">
        <v>0</v>
      </c>
      <c r="AG198" s="106">
        <v>0</v>
      </c>
      <c r="AH198" s="106">
        <v>0.48699505458576198</v>
      </c>
      <c r="AI198" s="106">
        <v>7.1054273576010019E-15</v>
      </c>
      <c r="AJ198" s="106">
        <v>0</v>
      </c>
      <c r="AK198" s="106">
        <v>0</v>
      </c>
      <c r="AL198" s="106">
        <v>0</v>
      </c>
      <c r="AM198" s="106">
        <v>0</v>
      </c>
      <c r="AN198" s="106">
        <v>0</v>
      </c>
      <c r="AO198" s="106">
        <v>0</v>
      </c>
      <c r="AP198" s="106">
        <v>0</v>
      </c>
      <c r="AQ198" s="106">
        <v>0</v>
      </c>
      <c r="AR198" s="106">
        <v>0</v>
      </c>
      <c r="AS198" s="106">
        <v>0</v>
      </c>
      <c r="AT198" s="106">
        <v>0</v>
      </c>
      <c r="AU198" s="106">
        <v>0</v>
      </c>
      <c r="AV198" s="106">
        <v>0</v>
      </c>
      <c r="AW198" s="106">
        <v>0</v>
      </c>
      <c r="AX198" s="106">
        <v>0</v>
      </c>
      <c r="AY198" s="106">
        <v>0</v>
      </c>
    </row>
    <row r="199" spans="1:51">
      <c r="A199" s="109"/>
      <c r="B199" s="119">
        <v>3</v>
      </c>
      <c r="C199" s="106">
        <v>0</v>
      </c>
      <c r="D199" s="106">
        <v>0</v>
      </c>
      <c r="E199" s="106">
        <v>0</v>
      </c>
      <c r="F199" s="106">
        <v>0</v>
      </c>
      <c r="G199" s="106">
        <v>0</v>
      </c>
      <c r="H199" s="106">
        <v>0</v>
      </c>
      <c r="I199" s="106">
        <v>0</v>
      </c>
      <c r="J199" s="106">
        <v>0</v>
      </c>
      <c r="K199" s="106">
        <v>0</v>
      </c>
      <c r="L199" s="106">
        <v>0</v>
      </c>
      <c r="M199" s="106">
        <v>0</v>
      </c>
      <c r="N199" s="106">
        <v>0</v>
      </c>
      <c r="O199" s="106">
        <v>0</v>
      </c>
      <c r="P199" s="106">
        <v>0</v>
      </c>
      <c r="Q199" s="106">
        <v>0</v>
      </c>
      <c r="R199" s="106">
        <v>0</v>
      </c>
      <c r="S199" s="106">
        <v>0</v>
      </c>
      <c r="T199" s="106">
        <v>0</v>
      </c>
      <c r="U199" s="106">
        <v>0</v>
      </c>
      <c r="V199" s="106">
        <v>0</v>
      </c>
      <c r="W199" s="106">
        <v>0</v>
      </c>
      <c r="X199" s="106">
        <v>0</v>
      </c>
      <c r="Y199" s="106">
        <v>0</v>
      </c>
      <c r="Z199" s="106">
        <v>0</v>
      </c>
      <c r="AA199" s="106">
        <v>0</v>
      </c>
      <c r="AB199" s="106">
        <v>0</v>
      </c>
      <c r="AC199" s="106">
        <v>0</v>
      </c>
      <c r="AD199" s="106">
        <v>0</v>
      </c>
      <c r="AE199" s="106">
        <v>0</v>
      </c>
      <c r="AF199" s="106">
        <v>0</v>
      </c>
      <c r="AG199" s="106">
        <v>0</v>
      </c>
      <c r="AH199" s="106">
        <v>0</v>
      </c>
      <c r="AI199" s="106">
        <v>0</v>
      </c>
      <c r="AJ199" s="106">
        <v>0</v>
      </c>
      <c r="AK199" s="106">
        <v>0</v>
      </c>
      <c r="AL199" s="106">
        <v>0</v>
      </c>
      <c r="AM199" s="106">
        <v>0</v>
      </c>
      <c r="AN199" s="106">
        <v>0</v>
      </c>
      <c r="AO199" s="106">
        <v>0</v>
      </c>
      <c r="AP199" s="106">
        <v>0</v>
      </c>
      <c r="AQ199" s="106">
        <v>0</v>
      </c>
      <c r="AR199" s="106">
        <v>0</v>
      </c>
      <c r="AS199" s="106">
        <v>0</v>
      </c>
      <c r="AT199" s="106">
        <v>0</v>
      </c>
      <c r="AU199" s="106">
        <v>0</v>
      </c>
      <c r="AV199" s="106">
        <v>0</v>
      </c>
      <c r="AW199" s="106">
        <v>0</v>
      </c>
      <c r="AX199" s="106">
        <v>0</v>
      </c>
      <c r="AY199" s="106">
        <v>0</v>
      </c>
    </row>
    <row r="200" spans="1:51">
      <c r="A200" s="109"/>
      <c r="B200" s="120">
        <v>4</v>
      </c>
      <c r="C200" s="106">
        <v>0</v>
      </c>
      <c r="D200" s="106">
        <v>0</v>
      </c>
      <c r="E200" s="106">
        <v>0</v>
      </c>
      <c r="F200" s="106">
        <v>0</v>
      </c>
      <c r="G200" s="106">
        <v>0</v>
      </c>
      <c r="H200" s="106">
        <v>0</v>
      </c>
      <c r="I200" s="106">
        <v>0</v>
      </c>
      <c r="J200" s="106">
        <v>0</v>
      </c>
      <c r="K200" s="106">
        <v>0</v>
      </c>
      <c r="L200" s="106">
        <v>0</v>
      </c>
      <c r="M200" s="106">
        <v>0</v>
      </c>
      <c r="N200" s="106">
        <v>0</v>
      </c>
      <c r="O200" s="106">
        <v>0</v>
      </c>
      <c r="P200" s="106">
        <v>0</v>
      </c>
      <c r="Q200" s="106">
        <v>0</v>
      </c>
      <c r="R200" s="106">
        <v>0</v>
      </c>
      <c r="S200" s="106">
        <v>0</v>
      </c>
      <c r="T200" s="106">
        <v>0</v>
      </c>
      <c r="U200" s="106">
        <v>0</v>
      </c>
      <c r="V200" s="106">
        <v>0</v>
      </c>
      <c r="W200" s="106">
        <v>0</v>
      </c>
      <c r="X200" s="106">
        <v>0</v>
      </c>
      <c r="Y200" s="106">
        <v>0</v>
      </c>
      <c r="Z200" s="106">
        <v>0</v>
      </c>
      <c r="AA200" s="106">
        <v>0</v>
      </c>
      <c r="AB200" s="106">
        <v>0</v>
      </c>
      <c r="AC200" s="106">
        <v>0</v>
      </c>
      <c r="AD200" s="106">
        <v>0</v>
      </c>
      <c r="AE200" s="106">
        <v>0</v>
      </c>
      <c r="AF200" s="106">
        <v>0</v>
      </c>
      <c r="AG200" s="106">
        <v>0</v>
      </c>
      <c r="AH200" s="106">
        <v>0</v>
      </c>
      <c r="AI200" s="106">
        <v>0</v>
      </c>
      <c r="AJ200" s="106">
        <v>0</v>
      </c>
      <c r="AK200" s="106">
        <v>0</v>
      </c>
      <c r="AL200" s="106">
        <v>0</v>
      </c>
      <c r="AM200" s="106">
        <v>0</v>
      </c>
      <c r="AN200" s="106">
        <v>0</v>
      </c>
      <c r="AO200" s="106">
        <v>0</v>
      </c>
      <c r="AP200" s="106">
        <v>0</v>
      </c>
      <c r="AQ200" s="106">
        <v>0</v>
      </c>
      <c r="AR200" s="106">
        <v>0</v>
      </c>
      <c r="AS200" s="106">
        <v>0</v>
      </c>
      <c r="AT200" s="106">
        <v>0</v>
      </c>
      <c r="AU200" s="106">
        <v>0</v>
      </c>
      <c r="AV200" s="106">
        <v>0</v>
      </c>
      <c r="AW200" s="106">
        <v>0</v>
      </c>
      <c r="AX200" s="106">
        <v>0</v>
      </c>
      <c r="AY200" s="106">
        <v>0</v>
      </c>
    </row>
    <row r="201" spans="1:51">
      <c r="A201" s="109"/>
      <c r="B201" s="120">
        <v>5</v>
      </c>
      <c r="C201" s="106">
        <v>0</v>
      </c>
      <c r="D201" s="106">
        <v>0</v>
      </c>
      <c r="E201" s="106">
        <v>0</v>
      </c>
      <c r="F201" s="106">
        <v>0</v>
      </c>
      <c r="G201" s="106">
        <v>0</v>
      </c>
      <c r="H201" s="106">
        <v>0</v>
      </c>
      <c r="I201" s="106">
        <v>0</v>
      </c>
      <c r="J201" s="106">
        <v>0</v>
      </c>
      <c r="K201" s="106">
        <v>0</v>
      </c>
      <c r="L201" s="106">
        <v>0</v>
      </c>
      <c r="M201" s="106">
        <v>0</v>
      </c>
      <c r="N201" s="106">
        <v>0</v>
      </c>
      <c r="O201" s="106">
        <v>0</v>
      </c>
      <c r="P201" s="106">
        <v>0</v>
      </c>
      <c r="Q201" s="106">
        <v>0</v>
      </c>
      <c r="R201" s="106">
        <v>0</v>
      </c>
      <c r="S201" s="106">
        <v>0</v>
      </c>
      <c r="T201" s="106">
        <v>0</v>
      </c>
      <c r="U201" s="106">
        <v>0</v>
      </c>
      <c r="V201" s="106">
        <v>0</v>
      </c>
      <c r="W201" s="106">
        <v>0</v>
      </c>
      <c r="X201" s="106">
        <v>0</v>
      </c>
      <c r="Y201" s="106">
        <v>0</v>
      </c>
      <c r="Z201" s="106">
        <v>0</v>
      </c>
      <c r="AA201" s="106">
        <v>0</v>
      </c>
      <c r="AB201" s="106">
        <v>0</v>
      </c>
      <c r="AC201" s="106">
        <v>0</v>
      </c>
      <c r="AD201" s="106">
        <v>0</v>
      </c>
      <c r="AE201" s="106">
        <v>0</v>
      </c>
      <c r="AF201" s="106">
        <v>0</v>
      </c>
      <c r="AG201" s="106">
        <v>0</v>
      </c>
      <c r="AH201" s="106">
        <v>0</v>
      </c>
      <c r="AI201" s="106">
        <v>0</v>
      </c>
      <c r="AJ201" s="106">
        <v>0</v>
      </c>
      <c r="AK201" s="106">
        <v>0</v>
      </c>
      <c r="AL201" s="106">
        <v>0</v>
      </c>
      <c r="AM201" s="106">
        <v>0</v>
      </c>
      <c r="AN201" s="106">
        <v>0</v>
      </c>
      <c r="AO201" s="106">
        <v>0</v>
      </c>
      <c r="AP201" s="106">
        <v>0</v>
      </c>
      <c r="AQ201" s="106">
        <v>0</v>
      </c>
      <c r="AR201" s="106">
        <v>0</v>
      </c>
      <c r="AS201" s="106">
        <v>0</v>
      </c>
      <c r="AT201" s="106">
        <v>0</v>
      </c>
      <c r="AU201" s="106">
        <v>0</v>
      </c>
      <c r="AV201" s="106">
        <v>0</v>
      </c>
      <c r="AW201" s="106">
        <v>0</v>
      </c>
      <c r="AX201" s="106">
        <v>0</v>
      </c>
      <c r="AY201" s="106">
        <v>0</v>
      </c>
    </row>
    <row r="202" spans="1:51">
      <c r="A202" s="109"/>
      <c r="B202" s="120">
        <v>6</v>
      </c>
      <c r="C202" s="106">
        <v>0</v>
      </c>
      <c r="D202" s="106">
        <v>0</v>
      </c>
      <c r="E202" s="106">
        <v>0</v>
      </c>
      <c r="F202" s="106">
        <v>0</v>
      </c>
      <c r="G202" s="106">
        <v>0</v>
      </c>
      <c r="H202" s="106">
        <v>0</v>
      </c>
      <c r="I202" s="106">
        <v>0</v>
      </c>
      <c r="J202" s="106">
        <v>0</v>
      </c>
      <c r="K202" s="106">
        <v>0</v>
      </c>
      <c r="L202" s="106">
        <v>0</v>
      </c>
      <c r="M202" s="106">
        <v>0</v>
      </c>
      <c r="N202" s="106">
        <v>0</v>
      </c>
      <c r="O202" s="106">
        <v>0</v>
      </c>
      <c r="P202" s="106">
        <v>0</v>
      </c>
      <c r="Q202" s="106">
        <v>0</v>
      </c>
      <c r="R202" s="106">
        <v>0</v>
      </c>
      <c r="S202" s="106">
        <v>0</v>
      </c>
      <c r="T202" s="106">
        <v>0</v>
      </c>
      <c r="U202" s="106">
        <v>0</v>
      </c>
      <c r="V202" s="106">
        <v>0</v>
      </c>
      <c r="W202" s="106">
        <v>0</v>
      </c>
      <c r="X202" s="106">
        <v>0</v>
      </c>
      <c r="Y202" s="106">
        <v>0</v>
      </c>
      <c r="Z202" s="106">
        <v>0</v>
      </c>
      <c r="AA202" s="106">
        <v>0</v>
      </c>
      <c r="AB202" s="106">
        <v>0</v>
      </c>
      <c r="AC202" s="106">
        <v>0</v>
      </c>
      <c r="AD202" s="106">
        <v>0</v>
      </c>
      <c r="AE202" s="106">
        <v>0</v>
      </c>
      <c r="AF202" s="106">
        <v>0</v>
      </c>
      <c r="AG202" s="106">
        <v>0</v>
      </c>
      <c r="AH202" s="106">
        <v>0</v>
      </c>
      <c r="AI202" s="106">
        <v>0</v>
      </c>
      <c r="AJ202" s="106">
        <v>0</v>
      </c>
      <c r="AK202" s="106">
        <v>0</v>
      </c>
      <c r="AL202" s="106">
        <v>0</v>
      </c>
      <c r="AM202" s="106">
        <v>0</v>
      </c>
      <c r="AN202" s="106">
        <v>0</v>
      </c>
      <c r="AO202" s="106">
        <v>0</v>
      </c>
      <c r="AP202" s="106">
        <v>0</v>
      </c>
      <c r="AQ202" s="106">
        <v>0</v>
      </c>
      <c r="AR202" s="106">
        <v>0</v>
      </c>
      <c r="AS202" s="106">
        <v>0</v>
      </c>
      <c r="AT202" s="106">
        <v>0</v>
      </c>
      <c r="AU202" s="106">
        <v>0</v>
      </c>
      <c r="AV202" s="106">
        <v>0</v>
      </c>
      <c r="AW202" s="106">
        <v>0</v>
      </c>
      <c r="AX202" s="106">
        <v>0</v>
      </c>
      <c r="AY202" s="106">
        <v>0</v>
      </c>
    </row>
    <row r="203" spans="1:51">
      <c r="A203" s="109"/>
      <c r="B203" s="127">
        <v>7</v>
      </c>
      <c r="C203" s="106">
        <v>0</v>
      </c>
      <c r="D203" s="106">
        <v>0</v>
      </c>
      <c r="E203" s="106">
        <v>0</v>
      </c>
      <c r="F203" s="106">
        <v>0</v>
      </c>
      <c r="G203" s="106">
        <v>0</v>
      </c>
      <c r="H203" s="106">
        <v>0</v>
      </c>
      <c r="I203" s="106">
        <v>0</v>
      </c>
      <c r="J203" s="106">
        <v>0</v>
      </c>
      <c r="K203" s="106">
        <v>0</v>
      </c>
      <c r="L203" s="106">
        <v>0</v>
      </c>
      <c r="M203" s="106">
        <v>0</v>
      </c>
      <c r="N203" s="106">
        <v>0</v>
      </c>
      <c r="O203" s="106">
        <v>0</v>
      </c>
      <c r="P203" s="106">
        <v>0</v>
      </c>
      <c r="Q203" s="106">
        <v>0</v>
      </c>
      <c r="R203" s="106">
        <v>0</v>
      </c>
      <c r="S203" s="106">
        <v>0</v>
      </c>
      <c r="T203" s="106">
        <v>0</v>
      </c>
      <c r="U203" s="106">
        <v>0</v>
      </c>
      <c r="V203" s="106">
        <v>0</v>
      </c>
      <c r="W203" s="106">
        <v>0</v>
      </c>
      <c r="X203" s="106">
        <v>0</v>
      </c>
      <c r="Y203" s="106">
        <v>0</v>
      </c>
      <c r="Z203" s="106">
        <v>0</v>
      </c>
      <c r="AA203" s="106">
        <v>0</v>
      </c>
      <c r="AB203" s="106">
        <v>0</v>
      </c>
      <c r="AC203" s="106">
        <v>0</v>
      </c>
      <c r="AD203" s="106">
        <v>0</v>
      </c>
      <c r="AE203" s="106">
        <v>0</v>
      </c>
      <c r="AF203" s="106">
        <v>0</v>
      </c>
      <c r="AG203" s="106">
        <v>0</v>
      </c>
      <c r="AH203" s="106">
        <v>0</v>
      </c>
      <c r="AI203" s="106">
        <v>0</v>
      </c>
      <c r="AJ203" s="106">
        <v>0</v>
      </c>
      <c r="AK203" s="106">
        <v>0</v>
      </c>
      <c r="AL203" s="106">
        <v>0</v>
      </c>
      <c r="AM203" s="106">
        <v>0</v>
      </c>
      <c r="AN203" s="106">
        <v>0</v>
      </c>
      <c r="AO203" s="106">
        <v>0</v>
      </c>
      <c r="AP203" s="106">
        <v>0</v>
      </c>
      <c r="AQ203" s="106">
        <v>0</v>
      </c>
      <c r="AR203" s="106">
        <v>0</v>
      </c>
      <c r="AS203" s="106">
        <v>0</v>
      </c>
      <c r="AT203" s="106">
        <v>0</v>
      </c>
      <c r="AU203" s="106">
        <v>0</v>
      </c>
      <c r="AV203" s="106">
        <v>0</v>
      </c>
      <c r="AW203" s="106">
        <v>0</v>
      </c>
      <c r="AX203" s="106">
        <v>0</v>
      </c>
      <c r="AY203" s="106">
        <v>0</v>
      </c>
    </row>
    <row r="204" spans="1:51">
      <c r="A204" s="109"/>
      <c r="B204" s="127">
        <v>8</v>
      </c>
      <c r="C204" s="106">
        <v>0</v>
      </c>
      <c r="D204" s="106">
        <v>0</v>
      </c>
      <c r="E204" s="106">
        <v>0</v>
      </c>
      <c r="F204" s="106">
        <v>0</v>
      </c>
      <c r="G204" s="106">
        <v>0</v>
      </c>
      <c r="H204" s="106">
        <v>0</v>
      </c>
      <c r="I204" s="106">
        <v>0</v>
      </c>
      <c r="J204" s="106">
        <v>0</v>
      </c>
      <c r="K204" s="106">
        <v>0</v>
      </c>
      <c r="L204" s="106">
        <v>0</v>
      </c>
      <c r="M204" s="106">
        <v>0</v>
      </c>
      <c r="N204" s="106">
        <v>0</v>
      </c>
      <c r="O204" s="106">
        <v>0</v>
      </c>
      <c r="P204" s="106">
        <v>0</v>
      </c>
      <c r="Q204" s="106">
        <v>0</v>
      </c>
      <c r="R204" s="106">
        <v>0</v>
      </c>
      <c r="S204" s="106">
        <v>0</v>
      </c>
      <c r="T204" s="106">
        <v>0</v>
      </c>
      <c r="U204" s="106">
        <v>0</v>
      </c>
      <c r="V204" s="106">
        <v>0</v>
      </c>
      <c r="W204" s="106">
        <v>0</v>
      </c>
      <c r="X204" s="106">
        <v>0</v>
      </c>
      <c r="Y204" s="106">
        <v>0</v>
      </c>
      <c r="Z204" s="106">
        <v>0</v>
      </c>
      <c r="AA204" s="106">
        <v>0</v>
      </c>
      <c r="AB204" s="106">
        <v>0</v>
      </c>
      <c r="AC204" s="106">
        <v>0</v>
      </c>
      <c r="AD204" s="106">
        <v>0</v>
      </c>
      <c r="AE204" s="106">
        <v>0</v>
      </c>
      <c r="AF204" s="106">
        <v>0</v>
      </c>
      <c r="AG204" s="106">
        <v>0</v>
      </c>
      <c r="AH204" s="106">
        <v>0</v>
      </c>
      <c r="AI204" s="106">
        <v>0</v>
      </c>
      <c r="AJ204" s="106">
        <v>0</v>
      </c>
      <c r="AK204" s="106">
        <v>0</v>
      </c>
      <c r="AL204" s="106">
        <v>0</v>
      </c>
      <c r="AM204" s="106">
        <v>0</v>
      </c>
      <c r="AN204" s="106">
        <v>0</v>
      </c>
      <c r="AO204" s="106">
        <v>0</v>
      </c>
      <c r="AP204" s="106">
        <v>0</v>
      </c>
      <c r="AQ204" s="106">
        <v>0</v>
      </c>
      <c r="AR204" s="106">
        <v>0</v>
      </c>
      <c r="AS204" s="106">
        <v>0</v>
      </c>
      <c r="AT204" s="106">
        <v>0</v>
      </c>
      <c r="AU204" s="106">
        <v>0</v>
      </c>
      <c r="AV204" s="106">
        <v>0</v>
      </c>
      <c r="AW204" s="106">
        <v>0</v>
      </c>
      <c r="AX204" s="106">
        <v>0</v>
      </c>
      <c r="AY204" s="106">
        <v>0</v>
      </c>
    </row>
    <row r="205" spans="1:51">
      <c r="A205" s="109"/>
      <c r="B205" s="127">
        <v>9</v>
      </c>
      <c r="C205" s="106">
        <v>0</v>
      </c>
      <c r="D205" s="106">
        <v>0</v>
      </c>
      <c r="E205" s="106">
        <v>0</v>
      </c>
      <c r="F205" s="106">
        <v>0</v>
      </c>
      <c r="G205" s="106">
        <v>0</v>
      </c>
      <c r="H205" s="106">
        <v>0</v>
      </c>
      <c r="I205" s="106">
        <v>0</v>
      </c>
      <c r="J205" s="106">
        <v>0</v>
      </c>
      <c r="K205" s="106">
        <v>0</v>
      </c>
      <c r="L205" s="106">
        <v>0</v>
      </c>
      <c r="M205" s="106">
        <v>0</v>
      </c>
      <c r="N205" s="106">
        <v>0</v>
      </c>
      <c r="O205" s="106">
        <v>0</v>
      </c>
      <c r="P205" s="106">
        <v>0</v>
      </c>
      <c r="Q205" s="106">
        <v>0</v>
      </c>
      <c r="R205" s="106">
        <v>0</v>
      </c>
      <c r="S205" s="106">
        <v>0</v>
      </c>
      <c r="T205" s="106">
        <v>0</v>
      </c>
      <c r="U205" s="106">
        <v>0</v>
      </c>
      <c r="V205" s="106">
        <v>0</v>
      </c>
      <c r="W205" s="106">
        <v>0</v>
      </c>
      <c r="X205" s="106">
        <v>0</v>
      </c>
      <c r="Y205" s="106">
        <v>0</v>
      </c>
      <c r="Z205" s="106">
        <v>0</v>
      </c>
      <c r="AA205" s="106">
        <v>0</v>
      </c>
      <c r="AB205" s="106">
        <v>0</v>
      </c>
      <c r="AC205" s="106">
        <v>0</v>
      </c>
      <c r="AD205" s="106">
        <v>0</v>
      </c>
      <c r="AE205" s="106">
        <v>0</v>
      </c>
      <c r="AF205" s="106">
        <v>0</v>
      </c>
      <c r="AG205" s="106">
        <v>0</v>
      </c>
      <c r="AH205" s="106">
        <v>0</v>
      </c>
      <c r="AI205" s="106">
        <v>0</v>
      </c>
      <c r="AJ205" s="106">
        <v>0</v>
      </c>
      <c r="AK205" s="106">
        <v>0</v>
      </c>
      <c r="AL205" s="106">
        <v>0</v>
      </c>
      <c r="AM205" s="106">
        <v>0</v>
      </c>
      <c r="AN205" s="106">
        <v>0</v>
      </c>
      <c r="AO205" s="106">
        <v>0</v>
      </c>
      <c r="AP205" s="106">
        <v>0</v>
      </c>
      <c r="AQ205" s="106">
        <v>0</v>
      </c>
      <c r="AR205" s="106">
        <v>0</v>
      </c>
      <c r="AS205" s="106">
        <v>0</v>
      </c>
      <c r="AT205" s="106">
        <v>0</v>
      </c>
      <c r="AU205" s="106">
        <v>0</v>
      </c>
      <c r="AV205" s="106">
        <v>0</v>
      </c>
      <c r="AW205" s="106">
        <v>0</v>
      </c>
      <c r="AX205" s="106">
        <v>0</v>
      </c>
      <c r="AY205" s="106">
        <v>0</v>
      </c>
    </row>
    <row r="206" spans="1:51">
      <c r="A206" s="109"/>
      <c r="B206" s="130">
        <v>10</v>
      </c>
      <c r="C206" s="106">
        <v>0</v>
      </c>
      <c r="D206" s="106">
        <v>0</v>
      </c>
      <c r="E206" s="106">
        <v>0</v>
      </c>
      <c r="F206" s="106">
        <v>0</v>
      </c>
      <c r="G206" s="106">
        <v>0</v>
      </c>
      <c r="H206" s="106">
        <v>0</v>
      </c>
      <c r="I206" s="106">
        <v>0</v>
      </c>
      <c r="J206" s="106">
        <v>0</v>
      </c>
      <c r="K206" s="106">
        <v>0</v>
      </c>
      <c r="L206" s="106">
        <v>0</v>
      </c>
      <c r="M206" s="106">
        <v>0</v>
      </c>
      <c r="N206" s="106">
        <v>0</v>
      </c>
      <c r="O206" s="106">
        <v>0</v>
      </c>
      <c r="P206" s="106">
        <v>0</v>
      </c>
      <c r="Q206" s="106">
        <v>0</v>
      </c>
      <c r="R206" s="106">
        <v>0</v>
      </c>
      <c r="S206" s="106">
        <v>0</v>
      </c>
      <c r="T206" s="106">
        <v>0</v>
      </c>
      <c r="U206" s="106">
        <v>0</v>
      </c>
      <c r="V206" s="106">
        <v>0</v>
      </c>
      <c r="W206" s="106">
        <v>0</v>
      </c>
      <c r="X206" s="106">
        <v>0</v>
      </c>
      <c r="Y206" s="106">
        <v>0</v>
      </c>
      <c r="Z206" s="106">
        <v>0</v>
      </c>
      <c r="AA206" s="106">
        <v>0</v>
      </c>
      <c r="AB206" s="106">
        <v>0</v>
      </c>
      <c r="AC206" s="106">
        <v>0</v>
      </c>
      <c r="AD206" s="106">
        <v>0</v>
      </c>
      <c r="AE206" s="106">
        <v>0</v>
      </c>
      <c r="AF206" s="106">
        <v>0</v>
      </c>
      <c r="AG206" s="106">
        <v>0</v>
      </c>
      <c r="AH206" s="106">
        <v>0</v>
      </c>
      <c r="AI206" s="106">
        <v>0</v>
      </c>
      <c r="AJ206" s="106">
        <v>0</v>
      </c>
      <c r="AK206" s="106">
        <v>0</v>
      </c>
      <c r="AL206" s="106">
        <v>0</v>
      </c>
      <c r="AM206" s="106">
        <v>0</v>
      </c>
      <c r="AN206" s="106">
        <v>0</v>
      </c>
      <c r="AO206" s="106">
        <v>0</v>
      </c>
      <c r="AP206" s="106">
        <v>0</v>
      </c>
      <c r="AQ206" s="106">
        <v>0</v>
      </c>
      <c r="AR206" s="106">
        <v>0</v>
      </c>
      <c r="AS206" s="106">
        <v>0</v>
      </c>
      <c r="AT206" s="106">
        <v>0</v>
      </c>
      <c r="AU206" s="106">
        <v>0</v>
      </c>
      <c r="AV206" s="106">
        <v>0</v>
      </c>
      <c r="AW206" s="106">
        <v>0</v>
      </c>
      <c r="AX206" s="106">
        <v>0</v>
      </c>
      <c r="AY206" s="106">
        <v>0</v>
      </c>
    </row>
    <row r="207" spans="1:51">
      <c r="A207" s="109"/>
      <c r="B207" s="130">
        <v>11</v>
      </c>
      <c r="C207" s="106">
        <v>0</v>
      </c>
      <c r="D207" s="106">
        <v>0</v>
      </c>
      <c r="E207" s="106">
        <v>0</v>
      </c>
      <c r="F207" s="106">
        <v>0</v>
      </c>
      <c r="G207" s="106">
        <v>0</v>
      </c>
      <c r="H207" s="106">
        <v>0</v>
      </c>
      <c r="I207" s="106">
        <v>0</v>
      </c>
      <c r="J207" s="106">
        <v>0</v>
      </c>
      <c r="K207" s="106">
        <v>0</v>
      </c>
      <c r="L207" s="106">
        <v>0</v>
      </c>
      <c r="M207" s="106">
        <v>0</v>
      </c>
      <c r="N207" s="106">
        <v>0</v>
      </c>
      <c r="O207" s="106">
        <v>0</v>
      </c>
      <c r="P207" s="106">
        <v>0</v>
      </c>
      <c r="Q207" s="106">
        <v>0</v>
      </c>
      <c r="R207" s="106">
        <v>0</v>
      </c>
      <c r="S207" s="106">
        <v>0</v>
      </c>
      <c r="T207" s="106">
        <v>0</v>
      </c>
      <c r="U207" s="106">
        <v>0</v>
      </c>
      <c r="V207" s="106">
        <v>0</v>
      </c>
      <c r="W207" s="106">
        <v>0</v>
      </c>
      <c r="X207" s="106">
        <v>0</v>
      </c>
      <c r="Y207" s="106">
        <v>0</v>
      </c>
      <c r="Z207" s="106">
        <v>0</v>
      </c>
      <c r="AA207" s="106">
        <v>0</v>
      </c>
      <c r="AB207" s="106">
        <v>0</v>
      </c>
      <c r="AC207" s="106">
        <v>0</v>
      </c>
      <c r="AD207" s="106">
        <v>0</v>
      </c>
      <c r="AE207" s="106">
        <v>0</v>
      </c>
      <c r="AF207" s="106">
        <v>0</v>
      </c>
      <c r="AG207" s="106">
        <v>0</v>
      </c>
      <c r="AH207" s="106">
        <v>0</v>
      </c>
      <c r="AI207" s="106">
        <v>0</v>
      </c>
      <c r="AJ207" s="106">
        <v>0</v>
      </c>
      <c r="AK207" s="106">
        <v>0</v>
      </c>
      <c r="AL207" s="106">
        <v>0</v>
      </c>
      <c r="AM207" s="106">
        <v>0</v>
      </c>
      <c r="AN207" s="106">
        <v>0</v>
      </c>
      <c r="AO207" s="106">
        <v>0</v>
      </c>
      <c r="AP207" s="106">
        <v>0</v>
      </c>
      <c r="AQ207" s="106">
        <v>0</v>
      </c>
      <c r="AR207" s="106">
        <v>0</v>
      </c>
      <c r="AS207" s="106">
        <v>0</v>
      </c>
      <c r="AT207" s="106">
        <v>0</v>
      </c>
      <c r="AU207" s="106">
        <v>0</v>
      </c>
      <c r="AV207" s="106">
        <v>0</v>
      </c>
      <c r="AW207" s="106">
        <v>0</v>
      </c>
      <c r="AX207" s="106">
        <v>0</v>
      </c>
      <c r="AY207" s="106">
        <v>0</v>
      </c>
    </row>
    <row r="208" spans="1:51">
      <c r="A208" s="109"/>
      <c r="B208" s="130">
        <v>12</v>
      </c>
      <c r="C208" s="106">
        <v>0</v>
      </c>
      <c r="D208" s="106">
        <v>0</v>
      </c>
      <c r="E208" s="106">
        <v>0</v>
      </c>
      <c r="F208" s="106">
        <v>0</v>
      </c>
      <c r="G208" s="106">
        <v>0</v>
      </c>
      <c r="H208" s="106">
        <v>0</v>
      </c>
      <c r="I208" s="106">
        <v>0</v>
      </c>
      <c r="J208" s="106">
        <v>0</v>
      </c>
      <c r="K208" s="106">
        <v>0</v>
      </c>
      <c r="L208" s="106">
        <v>0</v>
      </c>
      <c r="M208" s="106">
        <v>0</v>
      </c>
      <c r="N208" s="106">
        <v>0</v>
      </c>
      <c r="O208" s="106">
        <v>0</v>
      </c>
      <c r="P208" s="106">
        <v>0</v>
      </c>
      <c r="Q208" s="106">
        <v>0</v>
      </c>
      <c r="R208" s="106">
        <v>0</v>
      </c>
      <c r="S208" s="106">
        <v>0</v>
      </c>
      <c r="T208" s="106">
        <v>0</v>
      </c>
      <c r="U208" s="106">
        <v>0</v>
      </c>
      <c r="V208" s="106">
        <v>0</v>
      </c>
      <c r="W208" s="106">
        <v>0</v>
      </c>
      <c r="X208" s="106">
        <v>0</v>
      </c>
      <c r="Y208" s="106">
        <v>0</v>
      </c>
      <c r="Z208" s="106">
        <v>0</v>
      </c>
      <c r="AA208" s="106">
        <v>0</v>
      </c>
      <c r="AB208" s="106">
        <v>0</v>
      </c>
      <c r="AC208" s="106">
        <v>0</v>
      </c>
      <c r="AD208" s="106">
        <v>0</v>
      </c>
      <c r="AE208" s="106">
        <v>0</v>
      </c>
      <c r="AF208" s="106">
        <v>0</v>
      </c>
      <c r="AG208" s="106">
        <v>0</v>
      </c>
      <c r="AH208" s="106">
        <v>0</v>
      </c>
      <c r="AI208" s="106">
        <v>0</v>
      </c>
      <c r="AJ208" s="106">
        <v>0</v>
      </c>
      <c r="AK208" s="106">
        <v>0</v>
      </c>
      <c r="AL208" s="106">
        <v>0</v>
      </c>
      <c r="AM208" s="106">
        <v>0</v>
      </c>
      <c r="AN208" s="106">
        <v>0</v>
      </c>
      <c r="AO208" s="106">
        <v>0</v>
      </c>
      <c r="AP208" s="106">
        <v>0</v>
      </c>
      <c r="AQ208" s="106">
        <v>0</v>
      </c>
      <c r="AR208" s="106">
        <v>0</v>
      </c>
      <c r="AS208" s="106">
        <v>0</v>
      </c>
      <c r="AT208" s="106">
        <v>0</v>
      </c>
      <c r="AU208" s="106">
        <v>0</v>
      </c>
      <c r="AV208" s="106">
        <v>0</v>
      </c>
      <c r="AW208" s="106">
        <v>0</v>
      </c>
      <c r="AX208" s="106">
        <v>0</v>
      </c>
      <c r="AY208" s="106">
        <v>0</v>
      </c>
    </row>
    <row r="209" spans="1:51">
      <c r="A209" s="126" t="s">
        <v>123</v>
      </c>
      <c r="B209" s="123">
        <v>1</v>
      </c>
      <c r="C209" s="124">
        <v>91.887277100444592</v>
      </c>
      <c r="D209" s="124">
        <v>157.80953683181025</v>
      </c>
      <c r="E209" s="124">
        <v>143.96344400663131</v>
      </c>
      <c r="F209" s="124">
        <v>79.205101494157603</v>
      </c>
      <c r="G209" s="124">
        <v>131.14827471597306</v>
      </c>
      <c r="H209" s="124">
        <v>131.14827471597306</v>
      </c>
      <c r="I209" s="124">
        <v>131.14827471597306</v>
      </c>
      <c r="J209" s="124">
        <v>92.238578526714591</v>
      </c>
      <c r="K209" s="124">
        <v>131.14827471597306</v>
      </c>
      <c r="L209" s="124">
        <v>131.14827471597306</v>
      </c>
      <c r="M209" s="124">
        <v>79.205101494157603</v>
      </c>
      <c r="N209" s="124">
        <v>143.96344400663131</v>
      </c>
      <c r="O209" s="124">
        <v>131.14827471597306</v>
      </c>
      <c r="P209" s="124">
        <v>131.14827471597306</v>
      </c>
      <c r="Q209" s="124">
        <v>131.14827471597306</v>
      </c>
      <c r="R209" s="124">
        <v>131.14827471597306</v>
      </c>
      <c r="S209" s="124">
        <v>131.14827471597306</v>
      </c>
      <c r="T209" s="124">
        <v>131.14827471597306</v>
      </c>
      <c r="U209" s="124">
        <v>131.14827471597306</v>
      </c>
      <c r="V209" s="124">
        <v>131.14827471597306</v>
      </c>
      <c r="W209" s="124">
        <v>131.14827471597306</v>
      </c>
      <c r="X209" s="124">
        <v>131.14827471597306</v>
      </c>
      <c r="Y209" s="124">
        <v>131.14827471597306</v>
      </c>
      <c r="Z209" s="124">
        <v>131.14827471597306</v>
      </c>
      <c r="AA209" s="124">
        <v>131.14827471597306</v>
      </c>
      <c r="AB209" s="124">
        <v>131.14827471597306</v>
      </c>
      <c r="AC209" s="124">
        <v>92.238578526714591</v>
      </c>
      <c r="AD209" s="124">
        <v>131.14827471597306</v>
      </c>
      <c r="AE209" s="124">
        <v>92.238578526714591</v>
      </c>
      <c r="AF209" s="124">
        <v>131.14827471597306</v>
      </c>
      <c r="AG209" s="124">
        <v>92.238578526714591</v>
      </c>
      <c r="AH209" s="124">
        <v>131.14827471597306</v>
      </c>
      <c r="AI209" s="124">
        <v>131.14827471597306</v>
      </c>
      <c r="AJ209" s="124">
        <v>131.14827471597306</v>
      </c>
      <c r="AK209" s="124">
        <v>92.238578526714591</v>
      </c>
      <c r="AL209" s="124">
        <v>131.14827471597306</v>
      </c>
      <c r="AM209" s="124">
        <v>131.14827471597306</v>
      </c>
      <c r="AN209" s="124">
        <v>131.14827471597306</v>
      </c>
      <c r="AO209" s="124">
        <v>131.14827471597306</v>
      </c>
      <c r="AP209" s="124">
        <v>120.75964007160998</v>
      </c>
      <c r="AQ209" s="124">
        <v>120.75964007160997</v>
      </c>
      <c r="AR209" s="124">
        <v>120.75964007160998</v>
      </c>
      <c r="AS209" s="124">
        <v>120.75964007160997</v>
      </c>
      <c r="AT209" s="124">
        <v>131.14827471597306</v>
      </c>
      <c r="AU209" s="124">
        <v>105.27205555927158</v>
      </c>
      <c r="AV209" s="124">
        <v>124.82227110810706</v>
      </c>
      <c r="AW209" s="124">
        <v>79.205101494157603</v>
      </c>
      <c r="AX209" s="124">
        <v>143.96344400663131</v>
      </c>
      <c r="AY209" s="124">
        <v>79.205101494157603</v>
      </c>
    </row>
    <row r="210" spans="1:51">
      <c r="A210" s="109"/>
      <c r="B210" s="119">
        <v>2</v>
      </c>
      <c r="C210" s="106">
        <v>90.027811034020417</v>
      </c>
      <c r="D210" s="110">
        <v>24.190463168189762</v>
      </c>
      <c r="E210" s="110">
        <v>12.422349080154227</v>
      </c>
      <c r="F210" s="110">
        <v>0</v>
      </c>
      <c r="G210" s="110">
        <v>51.943173221815442</v>
      </c>
      <c r="H210" s="110">
        <v>0</v>
      </c>
      <c r="I210" s="110">
        <v>0</v>
      </c>
      <c r="J210" s="110">
        <v>0</v>
      </c>
      <c r="K210" s="110">
        <v>38.909696189258469</v>
      </c>
      <c r="L210" s="110">
        <v>0</v>
      </c>
      <c r="M210" s="110">
        <v>0</v>
      </c>
      <c r="N210" s="110">
        <v>0</v>
      </c>
      <c r="O210" s="110">
        <v>0</v>
      </c>
      <c r="P210" s="110">
        <v>0</v>
      </c>
      <c r="Q210" s="110">
        <v>0</v>
      </c>
      <c r="R210" s="110">
        <v>0</v>
      </c>
      <c r="S210" s="110">
        <v>0</v>
      </c>
      <c r="T210" s="110">
        <v>0</v>
      </c>
      <c r="U210" s="110">
        <v>0</v>
      </c>
      <c r="V210" s="110">
        <v>0</v>
      </c>
      <c r="W210" s="110">
        <v>0</v>
      </c>
      <c r="X210" s="110">
        <v>0</v>
      </c>
      <c r="Y210" s="110">
        <v>0</v>
      </c>
      <c r="Z210" s="110">
        <v>0</v>
      </c>
      <c r="AA210" s="110">
        <v>0</v>
      </c>
      <c r="AB210" s="110">
        <v>0</v>
      </c>
      <c r="AC210" s="110">
        <v>0</v>
      </c>
      <c r="AD210" s="110">
        <v>0</v>
      </c>
      <c r="AE210" s="110">
        <v>0</v>
      </c>
      <c r="AF210" s="110">
        <v>38.909696189258469</v>
      </c>
      <c r="AG210" s="110">
        <v>0</v>
      </c>
      <c r="AH210" s="110">
        <v>38.909696189258469</v>
      </c>
      <c r="AI210" s="110">
        <v>0</v>
      </c>
      <c r="AJ210" s="110">
        <v>0</v>
      </c>
      <c r="AK210" s="110">
        <v>0</v>
      </c>
      <c r="AL210" s="110">
        <v>38.909696189258469</v>
      </c>
      <c r="AM210" s="110">
        <v>0</v>
      </c>
      <c r="AN210" s="110">
        <v>0</v>
      </c>
      <c r="AO210" s="110">
        <v>0</v>
      </c>
      <c r="AP210" s="110">
        <v>0</v>
      </c>
      <c r="AQ210" s="110">
        <v>0</v>
      </c>
      <c r="AR210" s="110">
        <v>0</v>
      </c>
      <c r="AS210" s="110">
        <v>0</v>
      </c>
      <c r="AT210" s="110">
        <v>0</v>
      </c>
      <c r="AU210" s="110">
        <v>0</v>
      </c>
      <c r="AV210" s="110">
        <v>25.876219156701467</v>
      </c>
      <c r="AW210" s="110">
        <v>6.3260036078659923</v>
      </c>
      <c r="AX210" s="110">
        <v>0</v>
      </c>
      <c r="AY210" s="110">
        <v>0</v>
      </c>
    </row>
    <row r="211" spans="1:51">
      <c r="A211" s="109"/>
      <c r="B211" s="119">
        <v>3</v>
      </c>
      <c r="C211" s="106">
        <v>0</v>
      </c>
      <c r="D211" s="110">
        <v>0</v>
      </c>
      <c r="E211" s="110">
        <v>0</v>
      </c>
      <c r="F211" s="110">
        <v>0</v>
      </c>
      <c r="G211" s="110">
        <v>0</v>
      </c>
      <c r="H211" s="110">
        <v>0</v>
      </c>
      <c r="I211" s="110">
        <v>0</v>
      </c>
      <c r="J211" s="110">
        <v>0</v>
      </c>
      <c r="K211" s="110">
        <v>0</v>
      </c>
      <c r="L211" s="110">
        <v>0</v>
      </c>
      <c r="M211" s="110">
        <v>0</v>
      </c>
      <c r="N211" s="110">
        <v>0</v>
      </c>
      <c r="O211" s="110">
        <v>0</v>
      </c>
      <c r="P211" s="110">
        <v>0</v>
      </c>
      <c r="Q211" s="110">
        <v>0</v>
      </c>
      <c r="R211" s="110">
        <v>0</v>
      </c>
      <c r="S211" s="110">
        <v>0</v>
      </c>
      <c r="T211" s="110">
        <v>0</v>
      </c>
      <c r="U211" s="110">
        <v>0</v>
      </c>
      <c r="V211" s="110">
        <v>0</v>
      </c>
      <c r="W211" s="110">
        <v>0</v>
      </c>
      <c r="X211" s="110">
        <v>0</v>
      </c>
      <c r="Y211" s="110">
        <v>0</v>
      </c>
      <c r="Z211" s="110">
        <v>0</v>
      </c>
      <c r="AA211" s="110">
        <v>0</v>
      </c>
      <c r="AB211" s="110">
        <v>0</v>
      </c>
      <c r="AC211" s="110">
        <v>0</v>
      </c>
      <c r="AD211" s="110">
        <v>0</v>
      </c>
      <c r="AE211" s="110">
        <v>38.909696189258462</v>
      </c>
      <c r="AF211" s="110">
        <v>0</v>
      </c>
      <c r="AG211" s="110">
        <v>0</v>
      </c>
      <c r="AH211" s="110">
        <v>0</v>
      </c>
      <c r="AI211" s="110">
        <v>0</v>
      </c>
      <c r="AJ211" s="110">
        <v>0</v>
      </c>
      <c r="AK211" s="110">
        <v>0</v>
      </c>
      <c r="AL211" s="110">
        <v>0</v>
      </c>
      <c r="AM211" s="110">
        <v>0</v>
      </c>
      <c r="AN211" s="110">
        <v>0</v>
      </c>
      <c r="AO211" s="110">
        <v>0</v>
      </c>
      <c r="AP211" s="110">
        <v>0</v>
      </c>
      <c r="AQ211" s="110">
        <v>0</v>
      </c>
      <c r="AR211" s="110">
        <v>0</v>
      </c>
      <c r="AS211" s="110">
        <v>0</v>
      </c>
      <c r="AT211" s="110">
        <v>0</v>
      </c>
      <c r="AU211" s="110">
        <v>0</v>
      </c>
      <c r="AV211" s="110">
        <v>0</v>
      </c>
      <c r="AW211" s="110">
        <v>0</v>
      </c>
      <c r="AX211" s="110">
        <v>0</v>
      </c>
      <c r="AY211" s="110">
        <v>0</v>
      </c>
    </row>
    <row r="212" spans="1:51">
      <c r="A212" s="109"/>
      <c r="B212" s="119">
        <v>4</v>
      </c>
      <c r="C212" s="106">
        <v>0</v>
      </c>
      <c r="D212" s="110">
        <v>0</v>
      </c>
      <c r="E212" s="110">
        <v>0</v>
      </c>
      <c r="F212" s="110">
        <v>0</v>
      </c>
      <c r="G212" s="110">
        <v>0</v>
      </c>
      <c r="H212" s="110">
        <v>0</v>
      </c>
      <c r="I212" s="110">
        <v>0</v>
      </c>
      <c r="J212" s="110">
        <v>0</v>
      </c>
      <c r="K212" s="110">
        <v>0</v>
      </c>
      <c r="L212" s="110">
        <v>0</v>
      </c>
      <c r="M212" s="110">
        <v>0</v>
      </c>
      <c r="N212" s="110">
        <v>0</v>
      </c>
      <c r="O212" s="110">
        <v>0</v>
      </c>
      <c r="P212" s="110">
        <v>0</v>
      </c>
      <c r="Q212" s="110">
        <v>0</v>
      </c>
      <c r="R212" s="110">
        <v>0</v>
      </c>
      <c r="S212" s="110">
        <v>0</v>
      </c>
      <c r="T212" s="110">
        <v>0</v>
      </c>
      <c r="U212" s="110">
        <v>0</v>
      </c>
      <c r="V212" s="110">
        <v>0</v>
      </c>
      <c r="W212" s="110">
        <v>0</v>
      </c>
      <c r="X212" s="110">
        <v>0</v>
      </c>
      <c r="Y212" s="110">
        <v>0</v>
      </c>
      <c r="Z212" s="110">
        <v>0</v>
      </c>
      <c r="AA212" s="110">
        <v>0</v>
      </c>
      <c r="AB212" s="110">
        <v>0</v>
      </c>
      <c r="AC212" s="110">
        <v>0</v>
      </c>
      <c r="AD212" s="110">
        <v>0</v>
      </c>
      <c r="AE212" s="110">
        <v>0</v>
      </c>
      <c r="AF212" s="110">
        <v>0</v>
      </c>
      <c r="AG212" s="110">
        <v>0</v>
      </c>
      <c r="AH212" s="110">
        <v>0</v>
      </c>
      <c r="AI212" s="110">
        <v>0</v>
      </c>
      <c r="AJ212" s="110">
        <v>0</v>
      </c>
      <c r="AK212" s="110">
        <v>0</v>
      </c>
      <c r="AL212" s="110">
        <v>0</v>
      </c>
      <c r="AM212" s="110">
        <v>0</v>
      </c>
      <c r="AN212" s="110">
        <v>0</v>
      </c>
      <c r="AO212" s="110">
        <v>0</v>
      </c>
      <c r="AP212" s="110">
        <v>0</v>
      </c>
      <c r="AQ212" s="110">
        <v>0</v>
      </c>
      <c r="AR212" s="110">
        <v>0</v>
      </c>
      <c r="AS212" s="110">
        <v>0</v>
      </c>
      <c r="AT212" s="110">
        <v>0</v>
      </c>
      <c r="AU212" s="110">
        <v>0</v>
      </c>
      <c r="AV212" s="110">
        <v>0</v>
      </c>
      <c r="AW212" s="110">
        <v>0</v>
      </c>
      <c r="AX212" s="110">
        <v>0</v>
      </c>
      <c r="AY212" s="110">
        <v>0</v>
      </c>
    </row>
    <row r="213" spans="1:51">
      <c r="A213" s="109"/>
      <c r="B213" s="119">
        <v>5</v>
      </c>
      <c r="C213" s="106">
        <v>0</v>
      </c>
      <c r="D213" s="110">
        <v>0</v>
      </c>
      <c r="E213" s="110">
        <v>0</v>
      </c>
      <c r="F213" s="110">
        <v>0</v>
      </c>
      <c r="G213" s="110">
        <v>0</v>
      </c>
      <c r="H213" s="110">
        <v>0</v>
      </c>
      <c r="I213" s="110">
        <v>0</v>
      </c>
      <c r="J213" s="110">
        <v>0</v>
      </c>
      <c r="K213" s="110">
        <v>0</v>
      </c>
      <c r="L213" s="110">
        <v>0</v>
      </c>
      <c r="M213" s="110">
        <v>0</v>
      </c>
      <c r="N213" s="110">
        <v>0</v>
      </c>
      <c r="O213" s="110">
        <v>0</v>
      </c>
      <c r="P213" s="110">
        <v>0</v>
      </c>
      <c r="Q213" s="110">
        <v>0</v>
      </c>
      <c r="R213" s="110">
        <v>0</v>
      </c>
      <c r="S213" s="110">
        <v>0</v>
      </c>
      <c r="T213" s="110">
        <v>0</v>
      </c>
      <c r="U213" s="110">
        <v>0</v>
      </c>
      <c r="V213" s="110">
        <v>0</v>
      </c>
      <c r="W213" s="110">
        <v>0</v>
      </c>
      <c r="X213" s="110">
        <v>0</v>
      </c>
      <c r="Y213" s="110">
        <v>0</v>
      </c>
      <c r="Z213" s="110">
        <v>0</v>
      </c>
      <c r="AA213" s="110">
        <v>0</v>
      </c>
      <c r="AB213" s="110">
        <v>0</v>
      </c>
      <c r="AC213" s="110">
        <v>0</v>
      </c>
      <c r="AD213" s="110">
        <v>0</v>
      </c>
      <c r="AE213" s="110">
        <v>0</v>
      </c>
      <c r="AF213" s="110">
        <v>0</v>
      </c>
      <c r="AG213" s="110">
        <v>0</v>
      </c>
      <c r="AH213" s="110">
        <v>0</v>
      </c>
      <c r="AI213" s="110">
        <v>0</v>
      </c>
      <c r="AJ213" s="110">
        <v>0</v>
      </c>
      <c r="AK213" s="110">
        <v>0</v>
      </c>
      <c r="AL213" s="110">
        <v>0</v>
      </c>
      <c r="AM213" s="110">
        <v>0</v>
      </c>
      <c r="AN213" s="110">
        <v>0</v>
      </c>
      <c r="AO213" s="110">
        <v>0</v>
      </c>
      <c r="AP213" s="110">
        <v>0</v>
      </c>
      <c r="AQ213" s="110">
        <v>0</v>
      </c>
      <c r="AR213" s="110">
        <v>0</v>
      </c>
      <c r="AS213" s="110">
        <v>0</v>
      </c>
      <c r="AT213" s="110">
        <v>0</v>
      </c>
      <c r="AU213" s="110">
        <v>0</v>
      </c>
      <c r="AV213" s="110">
        <v>0</v>
      </c>
      <c r="AW213" s="110">
        <v>0</v>
      </c>
      <c r="AX213" s="110">
        <v>0</v>
      </c>
      <c r="AY213" s="110">
        <v>0</v>
      </c>
    </row>
    <row r="214" spans="1:51">
      <c r="A214" s="109"/>
      <c r="B214" s="119">
        <v>6</v>
      </c>
      <c r="C214" s="106">
        <v>0</v>
      </c>
      <c r="D214" s="110">
        <v>0</v>
      </c>
      <c r="E214" s="110">
        <v>0</v>
      </c>
      <c r="F214" s="110">
        <v>0</v>
      </c>
      <c r="G214" s="110">
        <v>0</v>
      </c>
      <c r="H214" s="110">
        <v>0</v>
      </c>
      <c r="I214" s="110">
        <v>0</v>
      </c>
      <c r="J214" s="110">
        <v>0</v>
      </c>
      <c r="K214" s="110">
        <v>0</v>
      </c>
      <c r="L214" s="110">
        <v>0</v>
      </c>
      <c r="M214" s="110">
        <v>0</v>
      </c>
      <c r="N214" s="110">
        <v>0</v>
      </c>
      <c r="O214" s="110">
        <v>0</v>
      </c>
      <c r="P214" s="110">
        <v>0</v>
      </c>
      <c r="Q214" s="110">
        <v>0</v>
      </c>
      <c r="R214" s="110">
        <v>0</v>
      </c>
      <c r="S214" s="110">
        <v>0</v>
      </c>
      <c r="T214" s="110">
        <v>0</v>
      </c>
      <c r="U214" s="110">
        <v>0</v>
      </c>
      <c r="V214" s="110">
        <v>0</v>
      </c>
      <c r="W214" s="110">
        <v>0</v>
      </c>
      <c r="X214" s="110">
        <v>0</v>
      </c>
      <c r="Y214" s="110">
        <v>0</v>
      </c>
      <c r="Z214" s="110">
        <v>0</v>
      </c>
      <c r="AA214" s="110">
        <v>0</v>
      </c>
      <c r="AB214" s="110">
        <v>0</v>
      </c>
      <c r="AC214" s="110">
        <v>0</v>
      </c>
      <c r="AD214" s="110">
        <v>0</v>
      </c>
      <c r="AE214" s="110">
        <v>0</v>
      </c>
      <c r="AF214" s="110">
        <v>0</v>
      </c>
      <c r="AG214" s="110">
        <v>0</v>
      </c>
      <c r="AH214" s="110">
        <v>0</v>
      </c>
      <c r="AI214" s="110">
        <v>0</v>
      </c>
      <c r="AJ214" s="110">
        <v>0</v>
      </c>
      <c r="AK214" s="110">
        <v>0</v>
      </c>
      <c r="AL214" s="110">
        <v>0</v>
      </c>
      <c r="AM214" s="110">
        <v>0</v>
      </c>
      <c r="AN214" s="110">
        <v>0</v>
      </c>
      <c r="AO214" s="110">
        <v>0</v>
      </c>
      <c r="AP214" s="110">
        <v>0</v>
      </c>
      <c r="AQ214" s="110">
        <v>0</v>
      </c>
      <c r="AR214" s="110">
        <v>0</v>
      </c>
      <c r="AS214" s="110">
        <v>0</v>
      </c>
      <c r="AT214" s="110">
        <v>0</v>
      </c>
      <c r="AU214" s="110">
        <v>0</v>
      </c>
      <c r="AV214" s="110">
        <v>0</v>
      </c>
      <c r="AW214" s="110">
        <v>0</v>
      </c>
      <c r="AX214" s="110">
        <v>0</v>
      </c>
      <c r="AY214" s="110">
        <v>0</v>
      </c>
    </row>
    <row r="215" spans="1:51">
      <c r="A215" s="109"/>
      <c r="B215" s="119">
        <v>7</v>
      </c>
      <c r="C215" s="106">
        <v>0</v>
      </c>
      <c r="D215" s="110">
        <v>0</v>
      </c>
      <c r="E215" s="110">
        <v>0</v>
      </c>
      <c r="F215" s="110">
        <v>0</v>
      </c>
      <c r="G215" s="110">
        <v>0</v>
      </c>
      <c r="H215" s="110">
        <v>0</v>
      </c>
      <c r="I215" s="110">
        <v>0</v>
      </c>
      <c r="J215" s="110">
        <v>0</v>
      </c>
      <c r="K215" s="110">
        <v>0</v>
      </c>
      <c r="L215" s="110">
        <v>0</v>
      </c>
      <c r="M215" s="110">
        <v>0</v>
      </c>
      <c r="N215" s="110">
        <v>0</v>
      </c>
      <c r="O215" s="110">
        <v>0</v>
      </c>
      <c r="P215" s="110">
        <v>0</v>
      </c>
      <c r="Q215" s="110">
        <v>0</v>
      </c>
      <c r="R215" s="110">
        <v>0</v>
      </c>
      <c r="S215" s="110">
        <v>0</v>
      </c>
      <c r="T215" s="110">
        <v>0</v>
      </c>
      <c r="U215" s="110">
        <v>0</v>
      </c>
      <c r="V215" s="110">
        <v>0</v>
      </c>
      <c r="W215" s="110">
        <v>0</v>
      </c>
      <c r="X215" s="110">
        <v>0</v>
      </c>
      <c r="Y215" s="110">
        <v>0</v>
      </c>
      <c r="Z215" s="110">
        <v>0</v>
      </c>
      <c r="AA215" s="110">
        <v>0</v>
      </c>
      <c r="AB215" s="110">
        <v>0</v>
      </c>
      <c r="AC215" s="110">
        <v>0</v>
      </c>
      <c r="AD215" s="110">
        <v>0</v>
      </c>
      <c r="AE215" s="110">
        <v>0</v>
      </c>
      <c r="AF215" s="110">
        <v>0</v>
      </c>
      <c r="AG215" s="110">
        <v>0</v>
      </c>
      <c r="AH215" s="110">
        <v>0</v>
      </c>
      <c r="AI215" s="110">
        <v>0</v>
      </c>
      <c r="AJ215" s="110">
        <v>0</v>
      </c>
      <c r="AK215" s="110">
        <v>0</v>
      </c>
      <c r="AL215" s="110">
        <v>0</v>
      </c>
      <c r="AM215" s="110">
        <v>0</v>
      </c>
      <c r="AN215" s="110">
        <v>0</v>
      </c>
      <c r="AO215" s="110">
        <v>0</v>
      </c>
      <c r="AP215" s="110">
        <v>0</v>
      </c>
      <c r="AQ215" s="110">
        <v>0</v>
      </c>
      <c r="AR215" s="110">
        <v>0</v>
      </c>
      <c r="AS215" s="110">
        <v>0</v>
      </c>
      <c r="AT215" s="110">
        <v>0</v>
      </c>
      <c r="AU215" s="110">
        <v>0</v>
      </c>
      <c r="AV215" s="110">
        <v>0</v>
      </c>
      <c r="AW215" s="110">
        <v>0</v>
      </c>
      <c r="AX215" s="110">
        <v>0</v>
      </c>
      <c r="AY215" s="110">
        <v>0</v>
      </c>
    </row>
    <row r="216" spans="1:51">
      <c r="A216" s="109"/>
      <c r="B216" s="119">
        <v>8</v>
      </c>
      <c r="C216" s="106">
        <v>0</v>
      </c>
      <c r="D216" s="110">
        <v>0</v>
      </c>
      <c r="E216" s="110">
        <v>0</v>
      </c>
      <c r="F216" s="110">
        <v>0</v>
      </c>
      <c r="G216" s="110">
        <v>0</v>
      </c>
      <c r="H216" s="110">
        <v>0</v>
      </c>
      <c r="I216" s="110">
        <v>0</v>
      </c>
      <c r="J216" s="110">
        <v>0</v>
      </c>
      <c r="K216" s="110">
        <v>0</v>
      </c>
      <c r="L216" s="110">
        <v>0</v>
      </c>
      <c r="M216" s="110">
        <v>0</v>
      </c>
      <c r="N216" s="110">
        <v>0</v>
      </c>
      <c r="O216" s="110">
        <v>0</v>
      </c>
      <c r="P216" s="110">
        <v>0</v>
      </c>
      <c r="Q216" s="110">
        <v>0</v>
      </c>
      <c r="R216" s="110">
        <v>0</v>
      </c>
      <c r="S216" s="110">
        <v>0</v>
      </c>
      <c r="T216" s="110">
        <v>0</v>
      </c>
      <c r="U216" s="110">
        <v>0</v>
      </c>
      <c r="V216" s="110">
        <v>0</v>
      </c>
      <c r="W216" s="110">
        <v>0</v>
      </c>
      <c r="X216" s="110">
        <v>0</v>
      </c>
      <c r="Y216" s="110">
        <v>0</v>
      </c>
      <c r="Z216" s="110">
        <v>0</v>
      </c>
      <c r="AA216" s="110">
        <v>0</v>
      </c>
      <c r="AB216" s="110">
        <v>0</v>
      </c>
      <c r="AC216" s="110">
        <v>0</v>
      </c>
      <c r="AD216" s="110">
        <v>0</v>
      </c>
      <c r="AE216" s="110">
        <v>0</v>
      </c>
      <c r="AF216" s="110">
        <v>0</v>
      </c>
      <c r="AG216" s="110">
        <v>0</v>
      </c>
      <c r="AH216" s="110">
        <v>0</v>
      </c>
      <c r="AI216" s="110">
        <v>0</v>
      </c>
      <c r="AJ216" s="110">
        <v>0</v>
      </c>
      <c r="AK216" s="110">
        <v>0</v>
      </c>
      <c r="AL216" s="110">
        <v>0</v>
      </c>
      <c r="AM216" s="110">
        <v>0</v>
      </c>
      <c r="AN216" s="110">
        <v>0</v>
      </c>
      <c r="AO216" s="110">
        <v>0</v>
      </c>
      <c r="AP216" s="110">
        <v>0</v>
      </c>
      <c r="AQ216" s="110">
        <v>0</v>
      </c>
      <c r="AR216" s="110">
        <v>0</v>
      </c>
      <c r="AS216" s="110">
        <v>0</v>
      </c>
      <c r="AT216" s="110">
        <v>0</v>
      </c>
      <c r="AU216" s="110">
        <v>0</v>
      </c>
      <c r="AV216" s="110">
        <v>0</v>
      </c>
      <c r="AW216" s="110">
        <v>0</v>
      </c>
      <c r="AX216" s="110">
        <v>0</v>
      </c>
      <c r="AY216" s="110">
        <v>0</v>
      </c>
    </row>
    <row r="217" spans="1:51">
      <c r="A217" s="109"/>
      <c r="B217" s="119">
        <v>9</v>
      </c>
      <c r="C217" s="106">
        <v>0</v>
      </c>
      <c r="D217" s="110">
        <v>0</v>
      </c>
      <c r="E217" s="110">
        <v>0</v>
      </c>
      <c r="F217" s="110">
        <v>0</v>
      </c>
      <c r="G217" s="110">
        <v>0</v>
      </c>
      <c r="H217" s="110">
        <v>0</v>
      </c>
      <c r="I217" s="110">
        <v>0</v>
      </c>
      <c r="J217" s="110">
        <v>0</v>
      </c>
      <c r="K217" s="110">
        <v>0</v>
      </c>
      <c r="L217" s="110">
        <v>0</v>
      </c>
      <c r="M217" s="110">
        <v>0</v>
      </c>
      <c r="N217" s="110">
        <v>0</v>
      </c>
      <c r="O217" s="110">
        <v>0</v>
      </c>
      <c r="P217" s="110">
        <v>0</v>
      </c>
      <c r="Q217" s="110">
        <v>0</v>
      </c>
      <c r="R217" s="110">
        <v>0</v>
      </c>
      <c r="S217" s="110">
        <v>0</v>
      </c>
      <c r="T217" s="110">
        <v>0</v>
      </c>
      <c r="U217" s="110">
        <v>0</v>
      </c>
      <c r="V217" s="110">
        <v>0</v>
      </c>
      <c r="W217" s="110">
        <v>0</v>
      </c>
      <c r="X217" s="110">
        <v>0</v>
      </c>
      <c r="Y217" s="110">
        <v>0</v>
      </c>
      <c r="Z217" s="110">
        <v>0</v>
      </c>
      <c r="AA217" s="110">
        <v>0</v>
      </c>
      <c r="AB217" s="110">
        <v>0</v>
      </c>
      <c r="AC217" s="110">
        <v>0</v>
      </c>
      <c r="AD217" s="110">
        <v>0</v>
      </c>
      <c r="AE217" s="110">
        <v>0</v>
      </c>
      <c r="AF217" s="110">
        <v>0</v>
      </c>
      <c r="AG217" s="110">
        <v>0</v>
      </c>
      <c r="AH217" s="110">
        <v>0</v>
      </c>
      <c r="AI217" s="110">
        <v>0</v>
      </c>
      <c r="AJ217" s="110">
        <v>0</v>
      </c>
      <c r="AK217" s="110">
        <v>0</v>
      </c>
      <c r="AL217" s="110">
        <v>0</v>
      </c>
      <c r="AM217" s="110">
        <v>0</v>
      </c>
      <c r="AN217" s="110">
        <v>0</v>
      </c>
      <c r="AO217" s="110">
        <v>0</v>
      </c>
      <c r="AP217" s="110">
        <v>0</v>
      </c>
      <c r="AQ217" s="110">
        <v>0</v>
      </c>
      <c r="AR217" s="110">
        <v>0</v>
      </c>
      <c r="AS217" s="110">
        <v>0</v>
      </c>
      <c r="AT217" s="110">
        <v>0</v>
      </c>
      <c r="AU217" s="110">
        <v>0</v>
      </c>
      <c r="AV217" s="110">
        <v>0</v>
      </c>
      <c r="AW217" s="110">
        <v>0</v>
      </c>
      <c r="AX217" s="110">
        <v>0</v>
      </c>
      <c r="AY217" s="110">
        <v>0</v>
      </c>
    </row>
    <row r="218" spans="1:51">
      <c r="A218" s="109"/>
      <c r="B218" s="119">
        <v>10</v>
      </c>
      <c r="C218" s="106">
        <v>0</v>
      </c>
      <c r="D218" s="110">
        <v>0</v>
      </c>
      <c r="E218" s="110">
        <v>0</v>
      </c>
      <c r="F218" s="110">
        <v>0</v>
      </c>
      <c r="G218" s="110">
        <v>0</v>
      </c>
      <c r="H218" s="110">
        <v>0</v>
      </c>
      <c r="I218" s="110">
        <v>0</v>
      </c>
      <c r="J218" s="110">
        <v>0</v>
      </c>
      <c r="K218" s="110">
        <v>0</v>
      </c>
      <c r="L218" s="110">
        <v>0</v>
      </c>
      <c r="M218" s="110">
        <v>0</v>
      </c>
      <c r="N218" s="110">
        <v>0</v>
      </c>
      <c r="O218" s="110">
        <v>0</v>
      </c>
      <c r="P218" s="110">
        <v>0</v>
      </c>
      <c r="Q218" s="110">
        <v>0</v>
      </c>
      <c r="R218" s="110">
        <v>0</v>
      </c>
      <c r="S218" s="110">
        <v>0</v>
      </c>
      <c r="T218" s="110">
        <v>0</v>
      </c>
      <c r="U218" s="110">
        <v>0</v>
      </c>
      <c r="V218" s="110">
        <v>0</v>
      </c>
      <c r="W218" s="110">
        <v>0</v>
      </c>
      <c r="X218" s="110">
        <v>0</v>
      </c>
      <c r="Y218" s="110">
        <v>0</v>
      </c>
      <c r="Z218" s="110">
        <v>0</v>
      </c>
      <c r="AA218" s="110">
        <v>0</v>
      </c>
      <c r="AB218" s="110">
        <v>0</v>
      </c>
      <c r="AC218" s="110">
        <v>0</v>
      </c>
      <c r="AD218" s="110">
        <v>0</v>
      </c>
      <c r="AE218" s="110">
        <v>0</v>
      </c>
      <c r="AF218" s="110">
        <v>0</v>
      </c>
      <c r="AG218" s="110">
        <v>0</v>
      </c>
      <c r="AH218" s="110">
        <v>0</v>
      </c>
      <c r="AI218" s="110">
        <v>0</v>
      </c>
      <c r="AJ218" s="110">
        <v>0</v>
      </c>
      <c r="AK218" s="110">
        <v>0</v>
      </c>
      <c r="AL218" s="110">
        <v>0</v>
      </c>
      <c r="AM218" s="110">
        <v>0</v>
      </c>
      <c r="AN218" s="110">
        <v>0</v>
      </c>
      <c r="AO218" s="110">
        <v>0</v>
      </c>
      <c r="AP218" s="110">
        <v>0</v>
      </c>
      <c r="AQ218" s="110">
        <v>0</v>
      </c>
      <c r="AR218" s="110">
        <v>0</v>
      </c>
      <c r="AS218" s="110">
        <v>0</v>
      </c>
      <c r="AT218" s="110">
        <v>0</v>
      </c>
      <c r="AU218" s="110">
        <v>0</v>
      </c>
      <c r="AV218" s="110">
        <v>0</v>
      </c>
      <c r="AW218" s="110">
        <v>0</v>
      </c>
      <c r="AX218" s="110">
        <v>0</v>
      </c>
      <c r="AY218" s="110">
        <v>0</v>
      </c>
    </row>
    <row r="219" spans="1:51">
      <c r="A219" s="109"/>
      <c r="B219" s="119">
        <v>11</v>
      </c>
      <c r="C219" s="106">
        <v>0</v>
      </c>
      <c r="D219" s="110">
        <v>0</v>
      </c>
      <c r="E219" s="110">
        <v>0</v>
      </c>
      <c r="F219" s="110">
        <v>0</v>
      </c>
      <c r="G219" s="110">
        <v>0</v>
      </c>
      <c r="H219" s="110">
        <v>0</v>
      </c>
      <c r="I219" s="110">
        <v>0</v>
      </c>
      <c r="J219" s="110">
        <v>0</v>
      </c>
      <c r="K219" s="110">
        <v>0</v>
      </c>
      <c r="L219" s="110">
        <v>0</v>
      </c>
      <c r="M219" s="110">
        <v>0</v>
      </c>
      <c r="N219" s="110">
        <v>0</v>
      </c>
      <c r="O219" s="110">
        <v>0</v>
      </c>
      <c r="P219" s="110">
        <v>0</v>
      </c>
      <c r="Q219" s="110">
        <v>0</v>
      </c>
      <c r="R219" s="110">
        <v>0</v>
      </c>
      <c r="S219" s="110">
        <v>0</v>
      </c>
      <c r="T219" s="110">
        <v>0</v>
      </c>
      <c r="U219" s="110">
        <v>0</v>
      </c>
      <c r="V219" s="110">
        <v>0</v>
      </c>
      <c r="W219" s="110">
        <v>0</v>
      </c>
      <c r="X219" s="110">
        <v>0</v>
      </c>
      <c r="Y219" s="110">
        <v>0</v>
      </c>
      <c r="Z219" s="110">
        <v>0</v>
      </c>
      <c r="AA219" s="110">
        <v>0</v>
      </c>
      <c r="AB219" s="110">
        <v>0</v>
      </c>
      <c r="AC219" s="110">
        <v>0</v>
      </c>
      <c r="AD219" s="110">
        <v>0</v>
      </c>
      <c r="AE219" s="110">
        <v>0</v>
      </c>
      <c r="AF219" s="110">
        <v>0</v>
      </c>
      <c r="AG219" s="110">
        <v>0</v>
      </c>
      <c r="AH219" s="110">
        <v>0</v>
      </c>
      <c r="AI219" s="110">
        <v>0</v>
      </c>
      <c r="AJ219" s="110">
        <v>0</v>
      </c>
      <c r="AK219" s="110">
        <v>0</v>
      </c>
      <c r="AL219" s="110">
        <v>0</v>
      </c>
      <c r="AM219" s="110">
        <v>0</v>
      </c>
      <c r="AN219" s="110">
        <v>0</v>
      </c>
      <c r="AO219" s="110">
        <v>0</v>
      </c>
      <c r="AP219" s="110">
        <v>0</v>
      </c>
      <c r="AQ219" s="110">
        <v>0</v>
      </c>
      <c r="AR219" s="110">
        <v>0</v>
      </c>
      <c r="AS219" s="110">
        <v>0</v>
      </c>
      <c r="AT219" s="110">
        <v>0</v>
      </c>
      <c r="AU219" s="110">
        <v>0</v>
      </c>
      <c r="AV219" s="110">
        <v>0</v>
      </c>
      <c r="AW219" s="110">
        <v>0</v>
      </c>
      <c r="AX219" s="110">
        <v>0</v>
      </c>
      <c r="AY219" s="110">
        <v>0</v>
      </c>
    </row>
    <row r="220" spans="1:51">
      <c r="A220" s="109"/>
      <c r="B220" s="119">
        <v>12</v>
      </c>
      <c r="C220" s="106">
        <v>0</v>
      </c>
      <c r="D220" s="110">
        <v>0</v>
      </c>
      <c r="E220" s="110">
        <v>0</v>
      </c>
      <c r="F220" s="110">
        <v>0</v>
      </c>
      <c r="G220" s="110">
        <v>0</v>
      </c>
      <c r="H220" s="110">
        <v>0</v>
      </c>
      <c r="I220" s="110">
        <v>0</v>
      </c>
      <c r="J220" s="110">
        <v>0</v>
      </c>
      <c r="K220" s="110">
        <v>0</v>
      </c>
      <c r="L220" s="110">
        <v>0</v>
      </c>
      <c r="M220" s="110">
        <v>0</v>
      </c>
      <c r="N220" s="110">
        <v>0</v>
      </c>
      <c r="O220" s="110">
        <v>0</v>
      </c>
      <c r="P220" s="110">
        <v>0</v>
      </c>
      <c r="Q220" s="110">
        <v>0</v>
      </c>
      <c r="R220" s="110">
        <v>0</v>
      </c>
      <c r="S220" s="110">
        <v>0</v>
      </c>
      <c r="T220" s="110">
        <v>0</v>
      </c>
      <c r="U220" s="110">
        <v>0</v>
      </c>
      <c r="V220" s="110">
        <v>0</v>
      </c>
      <c r="W220" s="110">
        <v>0</v>
      </c>
      <c r="X220" s="110">
        <v>0</v>
      </c>
      <c r="Y220" s="110">
        <v>0</v>
      </c>
      <c r="Z220" s="110">
        <v>0</v>
      </c>
      <c r="AA220" s="110">
        <v>0</v>
      </c>
      <c r="AB220" s="110">
        <v>0</v>
      </c>
      <c r="AC220" s="110">
        <v>0</v>
      </c>
      <c r="AD220" s="110">
        <v>0</v>
      </c>
      <c r="AE220" s="110">
        <v>0</v>
      </c>
      <c r="AF220" s="110">
        <v>0</v>
      </c>
      <c r="AG220" s="110">
        <v>0</v>
      </c>
      <c r="AH220" s="110">
        <v>0</v>
      </c>
      <c r="AI220" s="110">
        <v>0</v>
      </c>
      <c r="AJ220" s="110">
        <v>0</v>
      </c>
      <c r="AK220" s="110">
        <v>0</v>
      </c>
      <c r="AL220" s="110">
        <v>0</v>
      </c>
      <c r="AM220" s="110">
        <v>0</v>
      </c>
      <c r="AN220" s="110">
        <v>0</v>
      </c>
      <c r="AO220" s="110">
        <v>0</v>
      </c>
      <c r="AP220" s="110">
        <v>0</v>
      </c>
      <c r="AQ220" s="110">
        <v>0</v>
      </c>
      <c r="AR220" s="110">
        <v>0</v>
      </c>
      <c r="AS220" s="110">
        <v>0</v>
      </c>
      <c r="AT220" s="110">
        <v>0</v>
      </c>
      <c r="AU220" s="110">
        <v>0</v>
      </c>
      <c r="AV220" s="110">
        <v>0</v>
      </c>
      <c r="AW220" s="110">
        <v>0</v>
      </c>
      <c r="AX220" s="110">
        <v>0</v>
      </c>
      <c r="AY220" s="110">
        <v>0</v>
      </c>
    </row>
    <row r="221" spans="1:51">
      <c r="A221" s="109"/>
      <c r="B221" s="120">
        <v>13</v>
      </c>
      <c r="C221" s="106">
        <v>0</v>
      </c>
      <c r="D221" s="110">
        <v>0</v>
      </c>
      <c r="E221" s="110">
        <v>0</v>
      </c>
      <c r="F221" s="110">
        <v>0</v>
      </c>
      <c r="G221" s="110">
        <v>0</v>
      </c>
      <c r="H221" s="110">
        <v>0</v>
      </c>
      <c r="I221" s="110">
        <v>0</v>
      </c>
      <c r="J221" s="110">
        <v>0</v>
      </c>
      <c r="K221" s="110">
        <v>0</v>
      </c>
      <c r="L221" s="110">
        <v>0</v>
      </c>
      <c r="M221" s="110">
        <v>0</v>
      </c>
      <c r="N221" s="110">
        <v>0</v>
      </c>
      <c r="O221" s="110">
        <v>0</v>
      </c>
      <c r="P221" s="110">
        <v>0</v>
      </c>
      <c r="Q221" s="110">
        <v>0</v>
      </c>
      <c r="R221" s="110">
        <v>0</v>
      </c>
      <c r="S221" s="110">
        <v>0</v>
      </c>
      <c r="T221" s="110">
        <v>0</v>
      </c>
      <c r="U221" s="110">
        <v>0</v>
      </c>
      <c r="V221" s="110">
        <v>0</v>
      </c>
      <c r="W221" s="110">
        <v>0</v>
      </c>
      <c r="X221" s="110">
        <v>0</v>
      </c>
      <c r="Y221" s="110">
        <v>0</v>
      </c>
      <c r="Z221" s="110">
        <v>0</v>
      </c>
      <c r="AA221" s="110">
        <v>0</v>
      </c>
      <c r="AB221" s="110">
        <v>0</v>
      </c>
      <c r="AC221" s="110">
        <v>0</v>
      </c>
      <c r="AD221" s="110">
        <v>0</v>
      </c>
      <c r="AE221" s="110">
        <v>0</v>
      </c>
      <c r="AF221" s="110">
        <v>0</v>
      </c>
      <c r="AG221" s="110">
        <v>0</v>
      </c>
      <c r="AH221" s="110">
        <v>0</v>
      </c>
      <c r="AI221" s="110">
        <v>0</v>
      </c>
      <c r="AJ221" s="110">
        <v>0</v>
      </c>
      <c r="AK221" s="110">
        <v>0</v>
      </c>
      <c r="AL221" s="110">
        <v>0</v>
      </c>
      <c r="AM221" s="110">
        <v>0</v>
      </c>
      <c r="AN221" s="110">
        <v>0</v>
      </c>
      <c r="AO221" s="110">
        <v>0</v>
      </c>
      <c r="AP221" s="110">
        <v>0</v>
      </c>
      <c r="AQ221" s="110">
        <v>0</v>
      </c>
      <c r="AR221" s="110">
        <v>0</v>
      </c>
      <c r="AS221" s="110">
        <v>0</v>
      </c>
      <c r="AT221" s="110">
        <v>0</v>
      </c>
      <c r="AU221" s="110">
        <v>0</v>
      </c>
      <c r="AV221" s="110">
        <v>0</v>
      </c>
      <c r="AW221" s="110">
        <v>0</v>
      </c>
      <c r="AX221" s="110">
        <v>0</v>
      </c>
      <c r="AY221" s="110">
        <v>0</v>
      </c>
    </row>
    <row r="222" spans="1:51">
      <c r="A222" s="109"/>
      <c r="B222" s="120">
        <v>14</v>
      </c>
      <c r="C222" s="106">
        <v>0</v>
      </c>
      <c r="D222" s="110">
        <v>0</v>
      </c>
      <c r="E222" s="110">
        <v>0</v>
      </c>
      <c r="F222" s="110">
        <v>0</v>
      </c>
      <c r="G222" s="110">
        <v>0</v>
      </c>
      <c r="H222" s="110">
        <v>0</v>
      </c>
      <c r="I222" s="110">
        <v>0</v>
      </c>
      <c r="J222" s="110">
        <v>0</v>
      </c>
      <c r="K222" s="110">
        <v>0</v>
      </c>
      <c r="L222" s="110">
        <v>0</v>
      </c>
      <c r="M222" s="110">
        <v>0</v>
      </c>
      <c r="N222" s="110">
        <v>0</v>
      </c>
      <c r="O222" s="110">
        <v>0</v>
      </c>
      <c r="P222" s="110">
        <v>0</v>
      </c>
      <c r="Q222" s="110">
        <v>0</v>
      </c>
      <c r="R222" s="110">
        <v>0</v>
      </c>
      <c r="S222" s="110">
        <v>0</v>
      </c>
      <c r="T222" s="110">
        <v>0</v>
      </c>
      <c r="U222" s="110">
        <v>0</v>
      </c>
      <c r="V222" s="110">
        <v>0</v>
      </c>
      <c r="W222" s="110">
        <v>0</v>
      </c>
      <c r="X222" s="110">
        <v>0</v>
      </c>
      <c r="Y222" s="110">
        <v>0</v>
      </c>
      <c r="Z222" s="110">
        <v>0</v>
      </c>
      <c r="AA222" s="110">
        <v>0</v>
      </c>
      <c r="AB222" s="110">
        <v>0</v>
      </c>
      <c r="AC222" s="110">
        <v>0</v>
      </c>
      <c r="AD222" s="110">
        <v>0</v>
      </c>
      <c r="AE222" s="110">
        <v>0</v>
      </c>
      <c r="AF222" s="110">
        <v>0</v>
      </c>
      <c r="AG222" s="110">
        <v>0</v>
      </c>
      <c r="AH222" s="110">
        <v>0</v>
      </c>
      <c r="AI222" s="110">
        <v>0</v>
      </c>
      <c r="AJ222" s="110">
        <v>0</v>
      </c>
      <c r="AK222" s="110">
        <v>0</v>
      </c>
      <c r="AL222" s="110">
        <v>0</v>
      </c>
      <c r="AM222" s="110">
        <v>0</v>
      </c>
      <c r="AN222" s="110">
        <v>0</v>
      </c>
      <c r="AO222" s="110">
        <v>0</v>
      </c>
      <c r="AP222" s="110">
        <v>0</v>
      </c>
      <c r="AQ222" s="110">
        <v>0</v>
      </c>
      <c r="AR222" s="110">
        <v>0</v>
      </c>
      <c r="AS222" s="110">
        <v>0</v>
      </c>
      <c r="AT222" s="110">
        <v>0</v>
      </c>
      <c r="AU222" s="110">
        <v>0</v>
      </c>
      <c r="AV222" s="110">
        <v>0</v>
      </c>
      <c r="AW222" s="110">
        <v>0</v>
      </c>
      <c r="AX222" s="110">
        <v>0</v>
      </c>
      <c r="AY222" s="110">
        <v>0</v>
      </c>
    </row>
    <row r="223" spans="1:51">
      <c r="A223" s="109"/>
      <c r="B223" s="120">
        <v>15</v>
      </c>
      <c r="C223" s="106">
        <v>0</v>
      </c>
      <c r="D223" s="110">
        <v>0</v>
      </c>
      <c r="E223" s="110">
        <v>0</v>
      </c>
      <c r="F223" s="110">
        <v>0</v>
      </c>
      <c r="G223" s="110">
        <v>0</v>
      </c>
      <c r="H223" s="110">
        <v>0</v>
      </c>
      <c r="I223" s="110">
        <v>0</v>
      </c>
      <c r="J223" s="110">
        <v>0</v>
      </c>
      <c r="K223" s="110">
        <v>0</v>
      </c>
      <c r="L223" s="110">
        <v>0</v>
      </c>
      <c r="M223" s="110">
        <v>0</v>
      </c>
      <c r="N223" s="110">
        <v>0</v>
      </c>
      <c r="O223" s="110">
        <v>0</v>
      </c>
      <c r="P223" s="110">
        <v>0</v>
      </c>
      <c r="Q223" s="110">
        <v>0</v>
      </c>
      <c r="R223" s="110">
        <v>0</v>
      </c>
      <c r="S223" s="110">
        <v>0</v>
      </c>
      <c r="T223" s="110">
        <v>0</v>
      </c>
      <c r="U223" s="110">
        <v>0</v>
      </c>
      <c r="V223" s="110">
        <v>0</v>
      </c>
      <c r="W223" s="110">
        <v>0</v>
      </c>
      <c r="X223" s="110">
        <v>0</v>
      </c>
      <c r="Y223" s="110">
        <v>0</v>
      </c>
      <c r="Z223" s="110">
        <v>0</v>
      </c>
      <c r="AA223" s="110">
        <v>0</v>
      </c>
      <c r="AB223" s="110">
        <v>0</v>
      </c>
      <c r="AC223" s="110">
        <v>0</v>
      </c>
      <c r="AD223" s="110">
        <v>0</v>
      </c>
      <c r="AE223" s="110">
        <v>0</v>
      </c>
      <c r="AF223" s="110">
        <v>0</v>
      </c>
      <c r="AG223" s="110">
        <v>0</v>
      </c>
      <c r="AH223" s="110">
        <v>0</v>
      </c>
      <c r="AI223" s="110">
        <v>0</v>
      </c>
      <c r="AJ223" s="110">
        <v>0</v>
      </c>
      <c r="AK223" s="110">
        <v>0</v>
      </c>
      <c r="AL223" s="110">
        <v>0</v>
      </c>
      <c r="AM223" s="110">
        <v>0</v>
      </c>
      <c r="AN223" s="110">
        <v>0</v>
      </c>
      <c r="AO223" s="110">
        <v>0</v>
      </c>
      <c r="AP223" s="110">
        <v>0</v>
      </c>
      <c r="AQ223" s="110">
        <v>0</v>
      </c>
      <c r="AR223" s="110">
        <v>0</v>
      </c>
      <c r="AS223" s="110">
        <v>0</v>
      </c>
      <c r="AT223" s="110">
        <v>0</v>
      </c>
      <c r="AU223" s="110">
        <v>0</v>
      </c>
      <c r="AV223" s="110">
        <v>0</v>
      </c>
      <c r="AW223" s="110">
        <v>0</v>
      </c>
      <c r="AX223" s="110">
        <v>0</v>
      </c>
      <c r="AY223" s="110">
        <v>0</v>
      </c>
    </row>
    <row r="224" spans="1:51">
      <c r="A224" s="109"/>
      <c r="B224" s="120">
        <v>16</v>
      </c>
      <c r="C224" s="106">
        <v>0</v>
      </c>
      <c r="D224" s="110">
        <v>0</v>
      </c>
      <c r="E224" s="110">
        <v>0</v>
      </c>
      <c r="F224" s="110">
        <v>0</v>
      </c>
      <c r="G224" s="110">
        <v>0</v>
      </c>
      <c r="H224" s="110">
        <v>0</v>
      </c>
      <c r="I224" s="110">
        <v>0</v>
      </c>
      <c r="J224" s="110">
        <v>0</v>
      </c>
      <c r="K224" s="110">
        <v>0</v>
      </c>
      <c r="L224" s="110">
        <v>0</v>
      </c>
      <c r="M224" s="110">
        <v>0</v>
      </c>
      <c r="N224" s="110">
        <v>0</v>
      </c>
      <c r="O224" s="110">
        <v>0</v>
      </c>
      <c r="P224" s="110">
        <v>0</v>
      </c>
      <c r="Q224" s="110">
        <v>0</v>
      </c>
      <c r="R224" s="110">
        <v>0</v>
      </c>
      <c r="S224" s="110">
        <v>0</v>
      </c>
      <c r="T224" s="110">
        <v>0</v>
      </c>
      <c r="U224" s="110">
        <v>0</v>
      </c>
      <c r="V224" s="110">
        <v>0</v>
      </c>
      <c r="W224" s="110">
        <v>0</v>
      </c>
      <c r="X224" s="110">
        <v>0</v>
      </c>
      <c r="Y224" s="110">
        <v>0</v>
      </c>
      <c r="Z224" s="110">
        <v>0</v>
      </c>
      <c r="AA224" s="110">
        <v>0</v>
      </c>
      <c r="AB224" s="110">
        <v>0</v>
      </c>
      <c r="AC224" s="110">
        <v>0</v>
      </c>
      <c r="AD224" s="110">
        <v>0</v>
      </c>
      <c r="AE224" s="110">
        <v>0</v>
      </c>
      <c r="AF224" s="110">
        <v>0</v>
      </c>
      <c r="AG224" s="110">
        <v>0</v>
      </c>
      <c r="AH224" s="110">
        <v>0</v>
      </c>
      <c r="AI224" s="110">
        <v>0</v>
      </c>
      <c r="AJ224" s="110">
        <v>0</v>
      </c>
      <c r="AK224" s="110">
        <v>0</v>
      </c>
      <c r="AL224" s="110">
        <v>0</v>
      </c>
      <c r="AM224" s="110">
        <v>0</v>
      </c>
      <c r="AN224" s="110">
        <v>0</v>
      </c>
      <c r="AO224" s="110">
        <v>0</v>
      </c>
      <c r="AP224" s="110">
        <v>0</v>
      </c>
      <c r="AQ224" s="110">
        <v>0</v>
      </c>
      <c r="AR224" s="110">
        <v>0</v>
      </c>
      <c r="AS224" s="110">
        <v>0</v>
      </c>
      <c r="AT224" s="110">
        <v>0</v>
      </c>
      <c r="AU224" s="110">
        <v>0</v>
      </c>
      <c r="AV224" s="110">
        <v>0</v>
      </c>
      <c r="AW224" s="110">
        <v>0</v>
      </c>
      <c r="AX224" s="110">
        <v>0</v>
      </c>
      <c r="AY224" s="110">
        <v>0</v>
      </c>
    </row>
    <row r="225" spans="1:51">
      <c r="A225" s="109"/>
      <c r="B225" s="120">
        <v>17</v>
      </c>
      <c r="C225" s="106">
        <v>0</v>
      </c>
      <c r="D225" s="110">
        <v>0</v>
      </c>
      <c r="E225" s="110">
        <v>0</v>
      </c>
      <c r="F225" s="110">
        <v>0</v>
      </c>
      <c r="G225" s="110">
        <v>0</v>
      </c>
      <c r="H225" s="110">
        <v>0</v>
      </c>
      <c r="I225" s="110">
        <v>0</v>
      </c>
      <c r="J225" s="110">
        <v>0</v>
      </c>
      <c r="K225" s="110">
        <v>0</v>
      </c>
      <c r="L225" s="110">
        <v>0</v>
      </c>
      <c r="M225" s="110">
        <v>0</v>
      </c>
      <c r="N225" s="110">
        <v>0</v>
      </c>
      <c r="O225" s="110">
        <v>0</v>
      </c>
      <c r="P225" s="110">
        <v>0</v>
      </c>
      <c r="Q225" s="110">
        <v>0</v>
      </c>
      <c r="R225" s="110">
        <v>0</v>
      </c>
      <c r="S225" s="110">
        <v>0</v>
      </c>
      <c r="T225" s="110">
        <v>0</v>
      </c>
      <c r="U225" s="110">
        <v>0</v>
      </c>
      <c r="V225" s="110">
        <v>0</v>
      </c>
      <c r="W225" s="110">
        <v>0</v>
      </c>
      <c r="X225" s="110">
        <v>0</v>
      </c>
      <c r="Y225" s="110">
        <v>0</v>
      </c>
      <c r="Z225" s="110">
        <v>0</v>
      </c>
      <c r="AA225" s="110">
        <v>0</v>
      </c>
      <c r="AB225" s="110">
        <v>0</v>
      </c>
      <c r="AC225" s="110">
        <v>0</v>
      </c>
      <c r="AD225" s="110">
        <v>0</v>
      </c>
      <c r="AE225" s="110">
        <v>0</v>
      </c>
      <c r="AF225" s="110">
        <v>0</v>
      </c>
      <c r="AG225" s="110">
        <v>0</v>
      </c>
      <c r="AH225" s="110">
        <v>0</v>
      </c>
      <c r="AI225" s="110">
        <v>0</v>
      </c>
      <c r="AJ225" s="110">
        <v>0</v>
      </c>
      <c r="AK225" s="110">
        <v>0</v>
      </c>
      <c r="AL225" s="110">
        <v>0</v>
      </c>
      <c r="AM225" s="110">
        <v>0</v>
      </c>
      <c r="AN225" s="110">
        <v>0</v>
      </c>
      <c r="AO225" s="110">
        <v>0</v>
      </c>
      <c r="AP225" s="110">
        <v>0</v>
      </c>
      <c r="AQ225" s="110">
        <v>0</v>
      </c>
      <c r="AR225" s="110">
        <v>0</v>
      </c>
      <c r="AS225" s="110">
        <v>0</v>
      </c>
      <c r="AT225" s="110">
        <v>0</v>
      </c>
      <c r="AU225" s="110">
        <v>0</v>
      </c>
      <c r="AV225" s="110">
        <v>0</v>
      </c>
      <c r="AW225" s="110">
        <v>0</v>
      </c>
      <c r="AX225" s="110">
        <v>0</v>
      </c>
      <c r="AY225" s="110">
        <v>0</v>
      </c>
    </row>
    <row r="226" spans="1:51">
      <c r="A226" s="109"/>
      <c r="B226" s="120">
        <v>18</v>
      </c>
      <c r="C226" s="106">
        <v>0</v>
      </c>
      <c r="D226" s="110">
        <v>0</v>
      </c>
      <c r="E226" s="110">
        <v>0</v>
      </c>
      <c r="F226" s="110">
        <v>0</v>
      </c>
      <c r="G226" s="110">
        <v>0</v>
      </c>
      <c r="H226" s="110">
        <v>0</v>
      </c>
      <c r="I226" s="110">
        <v>0</v>
      </c>
      <c r="J226" s="110">
        <v>0</v>
      </c>
      <c r="K226" s="110">
        <v>0</v>
      </c>
      <c r="L226" s="110">
        <v>0</v>
      </c>
      <c r="M226" s="110">
        <v>0</v>
      </c>
      <c r="N226" s="110">
        <v>0</v>
      </c>
      <c r="O226" s="110">
        <v>0</v>
      </c>
      <c r="P226" s="110">
        <v>0</v>
      </c>
      <c r="Q226" s="110">
        <v>0</v>
      </c>
      <c r="R226" s="110">
        <v>0</v>
      </c>
      <c r="S226" s="110">
        <v>0</v>
      </c>
      <c r="T226" s="110">
        <v>0</v>
      </c>
      <c r="U226" s="110">
        <v>0</v>
      </c>
      <c r="V226" s="110">
        <v>0</v>
      </c>
      <c r="W226" s="110">
        <v>0</v>
      </c>
      <c r="X226" s="110">
        <v>0</v>
      </c>
      <c r="Y226" s="110">
        <v>0</v>
      </c>
      <c r="Z226" s="110">
        <v>0</v>
      </c>
      <c r="AA226" s="110">
        <v>0</v>
      </c>
      <c r="AB226" s="110">
        <v>0</v>
      </c>
      <c r="AC226" s="110">
        <v>0</v>
      </c>
      <c r="AD226" s="110">
        <v>0</v>
      </c>
      <c r="AE226" s="110">
        <v>0</v>
      </c>
      <c r="AF226" s="110">
        <v>0</v>
      </c>
      <c r="AG226" s="110">
        <v>0</v>
      </c>
      <c r="AH226" s="110">
        <v>0</v>
      </c>
      <c r="AI226" s="110">
        <v>0</v>
      </c>
      <c r="AJ226" s="110">
        <v>0</v>
      </c>
      <c r="AK226" s="110">
        <v>0</v>
      </c>
      <c r="AL226" s="110">
        <v>0</v>
      </c>
      <c r="AM226" s="110">
        <v>0</v>
      </c>
      <c r="AN226" s="110">
        <v>0</v>
      </c>
      <c r="AO226" s="110">
        <v>0</v>
      </c>
      <c r="AP226" s="110">
        <v>0</v>
      </c>
      <c r="AQ226" s="110">
        <v>0</v>
      </c>
      <c r="AR226" s="110">
        <v>0</v>
      </c>
      <c r="AS226" s="110">
        <v>0</v>
      </c>
      <c r="AT226" s="110">
        <v>0</v>
      </c>
      <c r="AU226" s="110">
        <v>0</v>
      </c>
      <c r="AV226" s="110">
        <v>0</v>
      </c>
      <c r="AW226" s="110">
        <v>0</v>
      </c>
      <c r="AX226" s="110">
        <v>0</v>
      </c>
      <c r="AY226" s="110">
        <v>0</v>
      </c>
    </row>
    <row r="227" spans="1:51">
      <c r="A227" s="109"/>
      <c r="B227" s="120">
        <v>19</v>
      </c>
      <c r="C227" s="106">
        <v>0</v>
      </c>
      <c r="D227" s="110">
        <v>0</v>
      </c>
      <c r="E227" s="110">
        <v>0</v>
      </c>
      <c r="F227" s="110">
        <v>0</v>
      </c>
      <c r="G227" s="110">
        <v>0</v>
      </c>
      <c r="H227" s="110">
        <v>0</v>
      </c>
      <c r="I227" s="110">
        <v>0</v>
      </c>
      <c r="J227" s="110">
        <v>0</v>
      </c>
      <c r="K227" s="110">
        <v>0</v>
      </c>
      <c r="L227" s="110">
        <v>0</v>
      </c>
      <c r="M227" s="110">
        <v>0</v>
      </c>
      <c r="N227" s="110">
        <v>0</v>
      </c>
      <c r="O227" s="110">
        <v>0</v>
      </c>
      <c r="P227" s="110">
        <v>0</v>
      </c>
      <c r="Q227" s="110">
        <v>0</v>
      </c>
      <c r="R227" s="110">
        <v>0</v>
      </c>
      <c r="S227" s="110">
        <v>0</v>
      </c>
      <c r="T227" s="110">
        <v>0</v>
      </c>
      <c r="U227" s="110">
        <v>0</v>
      </c>
      <c r="V227" s="110">
        <v>0</v>
      </c>
      <c r="W227" s="110">
        <v>0</v>
      </c>
      <c r="X227" s="110">
        <v>0</v>
      </c>
      <c r="Y227" s="110">
        <v>0</v>
      </c>
      <c r="Z227" s="110">
        <v>0</v>
      </c>
      <c r="AA227" s="110">
        <v>0</v>
      </c>
      <c r="AB227" s="110">
        <v>0</v>
      </c>
      <c r="AC227" s="110">
        <v>0</v>
      </c>
      <c r="AD227" s="110">
        <v>0</v>
      </c>
      <c r="AE227" s="110">
        <v>0</v>
      </c>
      <c r="AF227" s="110">
        <v>0</v>
      </c>
      <c r="AG227" s="110">
        <v>0</v>
      </c>
      <c r="AH227" s="110">
        <v>0</v>
      </c>
      <c r="AI227" s="110">
        <v>0</v>
      </c>
      <c r="AJ227" s="110">
        <v>0</v>
      </c>
      <c r="AK227" s="110">
        <v>0</v>
      </c>
      <c r="AL227" s="110">
        <v>0</v>
      </c>
      <c r="AM227" s="110">
        <v>0</v>
      </c>
      <c r="AN227" s="110">
        <v>0</v>
      </c>
      <c r="AO227" s="110">
        <v>0</v>
      </c>
      <c r="AP227" s="110">
        <v>0</v>
      </c>
      <c r="AQ227" s="110">
        <v>0</v>
      </c>
      <c r="AR227" s="110">
        <v>0</v>
      </c>
      <c r="AS227" s="110">
        <v>0</v>
      </c>
      <c r="AT227" s="110">
        <v>0</v>
      </c>
      <c r="AU227" s="110">
        <v>0</v>
      </c>
      <c r="AV227" s="110">
        <v>0</v>
      </c>
      <c r="AW227" s="110">
        <v>0</v>
      </c>
      <c r="AX227" s="110">
        <v>0</v>
      </c>
      <c r="AY227" s="110">
        <v>0</v>
      </c>
    </row>
    <row r="228" spans="1:51">
      <c r="A228" s="109"/>
      <c r="B228" s="120">
        <v>20</v>
      </c>
      <c r="C228" s="106">
        <v>0</v>
      </c>
      <c r="D228" s="110">
        <v>0</v>
      </c>
      <c r="E228" s="110">
        <v>0</v>
      </c>
      <c r="F228" s="110">
        <v>0</v>
      </c>
      <c r="G228" s="110">
        <v>0</v>
      </c>
      <c r="H228" s="110">
        <v>0</v>
      </c>
      <c r="I228" s="110">
        <v>0</v>
      </c>
      <c r="J228" s="110">
        <v>0</v>
      </c>
      <c r="K228" s="110">
        <v>0</v>
      </c>
      <c r="L228" s="110">
        <v>0</v>
      </c>
      <c r="M228" s="110">
        <v>0</v>
      </c>
      <c r="N228" s="110">
        <v>0</v>
      </c>
      <c r="O228" s="110">
        <v>0</v>
      </c>
      <c r="P228" s="110">
        <v>0</v>
      </c>
      <c r="Q228" s="110">
        <v>0</v>
      </c>
      <c r="R228" s="110">
        <v>0</v>
      </c>
      <c r="S228" s="110">
        <v>0</v>
      </c>
      <c r="T228" s="110">
        <v>0</v>
      </c>
      <c r="U228" s="110">
        <v>0</v>
      </c>
      <c r="V228" s="110">
        <v>0</v>
      </c>
      <c r="W228" s="110">
        <v>0</v>
      </c>
      <c r="X228" s="110">
        <v>0</v>
      </c>
      <c r="Y228" s="110">
        <v>0</v>
      </c>
      <c r="Z228" s="110">
        <v>0</v>
      </c>
      <c r="AA228" s="110">
        <v>0</v>
      </c>
      <c r="AB228" s="110">
        <v>0</v>
      </c>
      <c r="AC228" s="110">
        <v>0</v>
      </c>
      <c r="AD228" s="110">
        <v>0</v>
      </c>
      <c r="AE228" s="110">
        <v>0</v>
      </c>
      <c r="AF228" s="110">
        <v>0</v>
      </c>
      <c r="AG228" s="110">
        <v>0</v>
      </c>
      <c r="AH228" s="110">
        <v>0</v>
      </c>
      <c r="AI228" s="110">
        <v>0</v>
      </c>
      <c r="AJ228" s="110">
        <v>0</v>
      </c>
      <c r="AK228" s="110">
        <v>0</v>
      </c>
      <c r="AL228" s="110">
        <v>0</v>
      </c>
      <c r="AM228" s="110">
        <v>0</v>
      </c>
      <c r="AN228" s="110">
        <v>0</v>
      </c>
      <c r="AO228" s="110">
        <v>0</v>
      </c>
      <c r="AP228" s="110">
        <v>0</v>
      </c>
      <c r="AQ228" s="110">
        <v>0</v>
      </c>
      <c r="AR228" s="110">
        <v>0</v>
      </c>
      <c r="AS228" s="110">
        <v>0</v>
      </c>
      <c r="AT228" s="110">
        <v>0</v>
      </c>
      <c r="AU228" s="110">
        <v>0</v>
      </c>
      <c r="AV228" s="110">
        <v>0</v>
      </c>
      <c r="AW228" s="110">
        <v>0</v>
      </c>
      <c r="AX228" s="110">
        <v>0</v>
      </c>
      <c r="AY228" s="110">
        <v>0</v>
      </c>
    </row>
    <row r="229" spans="1:51">
      <c r="A229" s="109"/>
      <c r="B229" s="120">
        <v>21</v>
      </c>
      <c r="C229" s="106">
        <v>0</v>
      </c>
      <c r="D229" s="110">
        <v>0</v>
      </c>
      <c r="E229" s="110">
        <v>0</v>
      </c>
      <c r="F229" s="110">
        <v>0</v>
      </c>
      <c r="G229" s="110">
        <v>0</v>
      </c>
      <c r="H229" s="110">
        <v>0</v>
      </c>
      <c r="I229" s="110">
        <v>0</v>
      </c>
      <c r="J229" s="110">
        <v>0</v>
      </c>
      <c r="K229" s="110">
        <v>0</v>
      </c>
      <c r="L229" s="110">
        <v>0</v>
      </c>
      <c r="M229" s="110">
        <v>0</v>
      </c>
      <c r="N229" s="110">
        <v>0</v>
      </c>
      <c r="O229" s="110">
        <v>0</v>
      </c>
      <c r="P229" s="110">
        <v>0</v>
      </c>
      <c r="Q229" s="110">
        <v>0</v>
      </c>
      <c r="R229" s="110">
        <v>0</v>
      </c>
      <c r="S229" s="110">
        <v>0</v>
      </c>
      <c r="T229" s="110">
        <v>0</v>
      </c>
      <c r="U229" s="110">
        <v>0</v>
      </c>
      <c r="V229" s="110">
        <v>0</v>
      </c>
      <c r="W229" s="110">
        <v>0</v>
      </c>
      <c r="X229" s="110">
        <v>0</v>
      </c>
      <c r="Y229" s="110">
        <v>0</v>
      </c>
      <c r="Z229" s="110">
        <v>0</v>
      </c>
      <c r="AA229" s="110">
        <v>0</v>
      </c>
      <c r="AB229" s="110">
        <v>0</v>
      </c>
      <c r="AC229" s="110">
        <v>0</v>
      </c>
      <c r="AD229" s="110">
        <v>0</v>
      </c>
      <c r="AE229" s="110">
        <v>0</v>
      </c>
      <c r="AF229" s="110">
        <v>0</v>
      </c>
      <c r="AG229" s="110">
        <v>0</v>
      </c>
      <c r="AH229" s="110">
        <v>0</v>
      </c>
      <c r="AI229" s="110">
        <v>0</v>
      </c>
      <c r="AJ229" s="110">
        <v>0</v>
      </c>
      <c r="AK229" s="110">
        <v>0</v>
      </c>
      <c r="AL229" s="110">
        <v>0</v>
      </c>
      <c r="AM229" s="110">
        <v>0</v>
      </c>
      <c r="AN229" s="110">
        <v>0</v>
      </c>
      <c r="AO229" s="110">
        <v>0</v>
      </c>
      <c r="AP229" s="110">
        <v>0</v>
      </c>
      <c r="AQ229" s="110">
        <v>0</v>
      </c>
      <c r="AR229" s="110">
        <v>0</v>
      </c>
      <c r="AS229" s="110">
        <v>0</v>
      </c>
      <c r="AT229" s="110">
        <v>0</v>
      </c>
      <c r="AU229" s="110">
        <v>0</v>
      </c>
      <c r="AV229" s="110">
        <v>0</v>
      </c>
      <c r="AW229" s="110">
        <v>0</v>
      </c>
      <c r="AX229" s="110">
        <v>0</v>
      </c>
      <c r="AY229" s="110">
        <v>0</v>
      </c>
    </row>
    <row r="230" spans="1:51">
      <c r="A230" s="109"/>
      <c r="B230" s="120">
        <v>22</v>
      </c>
      <c r="C230" s="106">
        <v>0</v>
      </c>
      <c r="D230" s="110">
        <v>0</v>
      </c>
      <c r="E230" s="110">
        <v>0</v>
      </c>
      <c r="F230" s="110">
        <v>0</v>
      </c>
      <c r="G230" s="110">
        <v>0</v>
      </c>
      <c r="H230" s="110">
        <v>0</v>
      </c>
      <c r="I230" s="110">
        <v>0</v>
      </c>
      <c r="J230" s="110">
        <v>0</v>
      </c>
      <c r="K230" s="110">
        <v>0</v>
      </c>
      <c r="L230" s="110">
        <v>0</v>
      </c>
      <c r="M230" s="110">
        <v>0</v>
      </c>
      <c r="N230" s="110">
        <v>0</v>
      </c>
      <c r="O230" s="110">
        <v>0</v>
      </c>
      <c r="P230" s="110">
        <v>0</v>
      </c>
      <c r="Q230" s="110">
        <v>0</v>
      </c>
      <c r="R230" s="110">
        <v>0</v>
      </c>
      <c r="S230" s="110">
        <v>0</v>
      </c>
      <c r="T230" s="110">
        <v>0</v>
      </c>
      <c r="U230" s="110">
        <v>0</v>
      </c>
      <c r="V230" s="110">
        <v>0</v>
      </c>
      <c r="W230" s="110">
        <v>0</v>
      </c>
      <c r="X230" s="110">
        <v>0</v>
      </c>
      <c r="Y230" s="110">
        <v>0</v>
      </c>
      <c r="Z230" s="110">
        <v>0</v>
      </c>
      <c r="AA230" s="110">
        <v>0</v>
      </c>
      <c r="AB230" s="110">
        <v>0</v>
      </c>
      <c r="AC230" s="110">
        <v>0</v>
      </c>
      <c r="AD230" s="110">
        <v>0</v>
      </c>
      <c r="AE230" s="110">
        <v>0</v>
      </c>
      <c r="AF230" s="110">
        <v>0</v>
      </c>
      <c r="AG230" s="110">
        <v>0</v>
      </c>
      <c r="AH230" s="110">
        <v>0</v>
      </c>
      <c r="AI230" s="110">
        <v>0</v>
      </c>
      <c r="AJ230" s="110">
        <v>0</v>
      </c>
      <c r="AK230" s="110">
        <v>0</v>
      </c>
      <c r="AL230" s="110">
        <v>0</v>
      </c>
      <c r="AM230" s="110">
        <v>0</v>
      </c>
      <c r="AN230" s="110">
        <v>0</v>
      </c>
      <c r="AO230" s="110">
        <v>0</v>
      </c>
      <c r="AP230" s="110">
        <v>0</v>
      </c>
      <c r="AQ230" s="110">
        <v>0</v>
      </c>
      <c r="AR230" s="110">
        <v>0</v>
      </c>
      <c r="AS230" s="110">
        <v>0</v>
      </c>
      <c r="AT230" s="110">
        <v>0</v>
      </c>
      <c r="AU230" s="110">
        <v>0</v>
      </c>
      <c r="AV230" s="110">
        <v>0</v>
      </c>
      <c r="AW230" s="110">
        <v>0</v>
      </c>
      <c r="AX230" s="110">
        <v>0</v>
      </c>
      <c r="AY230" s="110">
        <v>0</v>
      </c>
    </row>
    <row r="231" spans="1:51">
      <c r="A231" s="109"/>
      <c r="B231" s="120">
        <v>23</v>
      </c>
      <c r="C231" s="106">
        <v>0</v>
      </c>
      <c r="D231" s="110">
        <v>0</v>
      </c>
      <c r="E231" s="110">
        <v>0</v>
      </c>
      <c r="F231" s="110">
        <v>0</v>
      </c>
      <c r="G231" s="110">
        <v>0</v>
      </c>
      <c r="H231" s="110">
        <v>0</v>
      </c>
      <c r="I231" s="110">
        <v>0</v>
      </c>
      <c r="J231" s="110">
        <v>0</v>
      </c>
      <c r="K231" s="110">
        <v>0</v>
      </c>
      <c r="L231" s="110">
        <v>0</v>
      </c>
      <c r="M231" s="110">
        <v>0</v>
      </c>
      <c r="N231" s="110">
        <v>0</v>
      </c>
      <c r="O231" s="110">
        <v>0</v>
      </c>
      <c r="P231" s="110">
        <v>0</v>
      </c>
      <c r="Q231" s="110">
        <v>0</v>
      </c>
      <c r="R231" s="110">
        <v>0</v>
      </c>
      <c r="S231" s="110">
        <v>0</v>
      </c>
      <c r="T231" s="110">
        <v>0</v>
      </c>
      <c r="U231" s="110">
        <v>0</v>
      </c>
      <c r="V231" s="110">
        <v>0</v>
      </c>
      <c r="W231" s="110">
        <v>0</v>
      </c>
      <c r="X231" s="110">
        <v>0</v>
      </c>
      <c r="Y231" s="110">
        <v>0</v>
      </c>
      <c r="Z231" s="110">
        <v>0</v>
      </c>
      <c r="AA231" s="110">
        <v>0</v>
      </c>
      <c r="AB231" s="110">
        <v>0</v>
      </c>
      <c r="AC231" s="110">
        <v>0</v>
      </c>
      <c r="AD231" s="110">
        <v>0</v>
      </c>
      <c r="AE231" s="110">
        <v>0</v>
      </c>
      <c r="AF231" s="110">
        <v>0</v>
      </c>
      <c r="AG231" s="110">
        <v>0</v>
      </c>
      <c r="AH231" s="110">
        <v>0</v>
      </c>
      <c r="AI231" s="110">
        <v>0</v>
      </c>
      <c r="AJ231" s="110">
        <v>0</v>
      </c>
      <c r="AK231" s="110">
        <v>0</v>
      </c>
      <c r="AL231" s="110">
        <v>0</v>
      </c>
      <c r="AM231" s="110">
        <v>0</v>
      </c>
      <c r="AN231" s="110">
        <v>0</v>
      </c>
      <c r="AO231" s="110">
        <v>0</v>
      </c>
      <c r="AP231" s="110">
        <v>0</v>
      </c>
      <c r="AQ231" s="110">
        <v>0</v>
      </c>
      <c r="AR231" s="110">
        <v>0</v>
      </c>
      <c r="AS231" s="110">
        <v>0</v>
      </c>
      <c r="AT231" s="110">
        <v>0</v>
      </c>
      <c r="AU231" s="110">
        <v>0</v>
      </c>
      <c r="AV231" s="110">
        <v>0</v>
      </c>
      <c r="AW231" s="110">
        <v>0</v>
      </c>
      <c r="AX231" s="110">
        <v>0</v>
      </c>
      <c r="AY231" s="110">
        <v>0</v>
      </c>
    </row>
    <row r="232" spans="1:51">
      <c r="A232" s="109"/>
      <c r="B232" s="120">
        <v>24</v>
      </c>
      <c r="C232" s="106">
        <v>0</v>
      </c>
      <c r="D232" s="110">
        <v>0</v>
      </c>
      <c r="E232" s="110">
        <v>0</v>
      </c>
      <c r="F232" s="110">
        <v>0</v>
      </c>
      <c r="G232" s="110">
        <v>0</v>
      </c>
      <c r="H232" s="110">
        <v>0</v>
      </c>
      <c r="I232" s="110">
        <v>0</v>
      </c>
      <c r="J232" s="110">
        <v>0</v>
      </c>
      <c r="K232" s="110">
        <v>0</v>
      </c>
      <c r="L232" s="110">
        <v>0</v>
      </c>
      <c r="M232" s="110">
        <v>0</v>
      </c>
      <c r="N232" s="110">
        <v>0</v>
      </c>
      <c r="O232" s="110">
        <v>0</v>
      </c>
      <c r="P232" s="110">
        <v>0</v>
      </c>
      <c r="Q232" s="110">
        <v>0</v>
      </c>
      <c r="R232" s="110">
        <v>0</v>
      </c>
      <c r="S232" s="110">
        <v>0</v>
      </c>
      <c r="T232" s="110">
        <v>0</v>
      </c>
      <c r="U232" s="110">
        <v>0</v>
      </c>
      <c r="V232" s="110">
        <v>0</v>
      </c>
      <c r="W232" s="110">
        <v>0</v>
      </c>
      <c r="X232" s="110">
        <v>0</v>
      </c>
      <c r="Y232" s="110">
        <v>0</v>
      </c>
      <c r="Z232" s="110">
        <v>0</v>
      </c>
      <c r="AA232" s="110">
        <v>0</v>
      </c>
      <c r="AB232" s="110">
        <v>0</v>
      </c>
      <c r="AC232" s="110">
        <v>0</v>
      </c>
      <c r="AD232" s="110">
        <v>0</v>
      </c>
      <c r="AE232" s="110">
        <v>0</v>
      </c>
      <c r="AF232" s="110">
        <v>0</v>
      </c>
      <c r="AG232" s="110">
        <v>0</v>
      </c>
      <c r="AH232" s="110">
        <v>0</v>
      </c>
      <c r="AI232" s="110">
        <v>0</v>
      </c>
      <c r="AJ232" s="110">
        <v>0</v>
      </c>
      <c r="AK232" s="110">
        <v>0</v>
      </c>
      <c r="AL232" s="110">
        <v>0</v>
      </c>
      <c r="AM232" s="110">
        <v>0</v>
      </c>
      <c r="AN232" s="110">
        <v>0</v>
      </c>
      <c r="AO232" s="110">
        <v>0</v>
      </c>
      <c r="AP232" s="110">
        <v>0</v>
      </c>
      <c r="AQ232" s="110">
        <v>0</v>
      </c>
      <c r="AR232" s="110">
        <v>0</v>
      </c>
      <c r="AS232" s="110">
        <v>0</v>
      </c>
      <c r="AT232" s="110">
        <v>0</v>
      </c>
      <c r="AU232" s="110">
        <v>0</v>
      </c>
      <c r="AV232" s="110">
        <v>0</v>
      </c>
      <c r="AW232" s="110">
        <v>0</v>
      </c>
      <c r="AX232" s="110">
        <v>0</v>
      </c>
      <c r="AY232" s="110">
        <v>0</v>
      </c>
    </row>
    <row r="233" spans="1:51">
      <c r="A233" s="109"/>
      <c r="B233" s="127">
        <v>25</v>
      </c>
      <c r="C233" s="106">
        <v>0</v>
      </c>
      <c r="D233" s="110">
        <v>0</v>
      </c>
      <c r="E233" s="110">
        <v>0</v>
      </c>
      <c r="F233" s="110">
        <v>0</v>
      </c>
      <c r="G233" s="110">
        <v>0</v>
      </c>
      <c r="H233" s="110">
        <v>0</v>
      </c>
      <c r="I233" s="110">
        <v>0</v>
      </c>
      <c r="J233" s="110">
        <v>0</v>
      </c>
      <c r="K233" s="110">
        <v>0</v>
      </c>
      <c r="L233" s="110">
        <v>0</v>
      </c>
      <c r="M233" s="110">
        <v>0</v>
      </c>
      <c r="N233" s="110">
        <v>0</v>
      </c>
      <c r="O233" s="110">
        <v>0</v>
      </c>
      <c r="P233" s="110">
        <v>0</v>
      </c>
      <c r="Q233" s="110">
        <v>0</v>
      </c>
      <c r="R233" s="110">
        <v>0</v>
      </c>
      <c r="S233" s="110">
        <v>0</v>
      </c>
      <c r="T233" s="110">
        <v>0</v>
      </c>
      <c r="U233" s="110">
        <v>0</v>
      </c>
      <c r="V233" s="110">
        <v>0</v>
      </c>
      <c r="W233" s="110">
        <v>0</v>
      </c>
      <c r="X233" s="110">
        <v>0</v>
      </c>
      <c r="Y233" s="110">
        <v>0</v>
      </c>
      <c r="Z233" s="110">
        <v>0</v>
      </c>
      <c r="AA233" s="110">
        <v>0</v>
      </c>
      <c r="AB233" s="110">
        <v>0</v>
      </c>
      <c r="AC233" s="110">
        <v>0</v>
      </c>
      <c r="AD233" s="110">
        <v>0</v>
      </c>
      <c r="AE233" s="110">
        <v>0</v>
      </c>
      <c r="AF233" s="110">
        <v>0</v>
      </c>
      <c r="AG233" s="110">
        <v>0</v>
      </c>
      <c r="AH233" s="110">
        <v>0</v>
      </c>
      <c r="AI233" s="110">
        <v>0</v>
      </c>
      <c r="AJ233" s="110">
        <v>0</v>
      </c>
      <c r="AK233" s="110">
        <v>0</v>
      </c>
      <c r="AL233" s="110">
        <v>0</v>
      </c>
      <c r="AM233" s="110">
        <v>0</v>
      </c>
      <c r="AN233" s="110">
        <v>0</v>
      </c>
      <c r="AO233" s="110">
        <v>0</v>
      </c>
      <c r="AP233" s="110">
        <v>0</v>
      </c>
      <c r="AQ233" s="110">
        <v>0</v>
      </c>
      <c r="AR233" s="110">
        <v>0</v>
      </c>
      <c r="AS233" s="110">
        <v>0</v>
      </c>
      <c r="AT233" s="110">
        <v>0</v>
      </c>
      <c r="AU233" s="110">
        <v>0</v>
      </c>
      <c r="AV233" s="110">
        <v>0</v>
      </c>
      <c r="AW233" s="110">
        <v>0</v>
      </c>
      <c r="AX233" s="110">
        <v>0</v>
      </c>
      <c r="AY233" s="110">
        <v>0</v>
      </c>
    </row>
    <row r="234" spans="1:51">
      <c r="A234" s="109"/>
      <c r="B234" s="127">
        <v>26</v>
      </c>
      <c r="C234" s="106">
        <v>0</v>
      </c>
      <c r="D234" s="110">
        <v>0</v>
      </c>
      <c r="E234" s="110">
        <v>0</v>
      </c>
      <c r="F234" s="110">
        <v>0</v>
      </c>
      <c r="G234" s="110">
        <v>0</v>
      </c>
      <c r="H234" s="110">
        <v>0</v>
      </c>
      <c r="I234" s="110">
        <v>0</v>
      </c>
      <c r="J234" s="110">
        <v>0</v>
      </c>
      <c r="K234" s="110">
        <v>0</v>
      </c>
      <c r="L234" s="110">
        <v>0</v>
      </c>
      <c r="M234" s="110">
        <v>0</v>
      </c>
      <c r="N234" s="110">
        <v>0</v>
      </c>
      <c r="O234" s="110">
        <v>0</v>
      </c>
      <c r="P234" s="110">
        <v>0</v>
      </c>
      <c r="Q234" s="110">
        <v>0</v>
      </c>
      <c r="R234" s="110">
        <v>0</v>
      </c>
      <c r="S234" s="110">
        <v>0</v>
      </c>
      <c r="T234" s="110">
        <v>0</v>
      </c>
      <c r="U234" s="110">
        <v>0</v>
      </c>
      <c r="V234" s="110">
        <v>0</v>
      </c>
      <c r="W234" s="110">
        <v>0</v>
      </c>
      <c r="X234" s="110">
        <v>0</v>
      </c>
      <c r="Y234" s="110">
        <v>0</v>
      </c>
      <c r="Z234" s="110">
        <v>0</v>
      </c>
      <c r="AA234" s="110">
        <v>0</v>
      </c>
      <c r="AB234" s="110">
        <v>0</v>
      </c>
      <c r="AC234" s="110">
        <v>0</v>
      </c>
      <c r="AD234" s="110">
        <v>0</v>
      </c>
      <c r="AE234" s="110">
        <v>0</v>
      </c>
      <c r="AF234" s="110">
        <v>0</v>
      </c>
      <c r="AG234" s="110">
        <v>0</v>
      </c>
      <c r="AH234" s="110">
        <v>0</v>
      </c>
      <c r="AI234" s="110">
        <v>0</v>
      </c>
      <c r="AJ234" s="110">
        <v>0</v>
      </c>
      <c r="AK234" s="110">
        <v>0</v>
      </c>
      <c r="AL234" s="110">
        <v>0</v>
      </c>
      <c r="AM234" s="110">
        <v>0</v>
      </c>
      <c r="AN234" s="110">
        <v>0</v>
      </c>
      <c r="AO234" s="110">
        <v>0</v>
      </c>
      <c r="AP234" s="110">
        <v>0</v>
      </c>
      <c r="AQ234" s="110">
        <v>0</v>
      </c>
      <c r="AR234" s="110">
        <v>0</v>
      </c>
      <c r="AS234" s="110">
        <v>0</v>
      </c>
      <c r="AT234" s="110">
        <v>0</v>
      </c>
      <c r="AU234" s="110">
        <v>0</v>
      </c>
      <c r="AV234" s="110">
        <v>0</v>
      </c>
      <c r="AW234" s="110">
        <v>0</v>
      </c>
      <c r="AX234" s="110">
        <v>0</v>
      </c>
      <c r="AY234" s="110">
        <v>0</v>
      </c>
    </row>
    <row r="235" spans="1:51">
      <c r="A235" s="109"/>
      <c r="B235" s="127">
        <v>27</v>
      </c>
      <c r="C235" s="106">
        <v>0</v>
      </c>
      <c r="D235" s="110">
        <v>0</v>
      </c>
      <c r="E235" s="110">
        <v>0</v>
      </c>
      <c r="F235" s="110">
        <v>0</v>
      </c>
      <c r="G235" s="110">
        <v>0</v>
      </c>
      <c r="H235" s="110">
        <v>0</v>
      </c>
      <c r="I235" s="110">
        <v>0</v>
      </c>
      <c r="J235" s="110">
        <v>0</v>
      </c>
      <c r="K235" s="110">
        <v>0</v>
      </c>
      <c r="L235" s="110">
        <v>0</v>
      </c>
      <c r="M235" s="110">
        <v>0</v>
      </c>
      <c r="N235" s="110">
        <v>0</v>
      </c>
      <c r="O235" s="110">
        <v>0</v>
      </c>
      <c r="P235" s="110">
        <v>0</v>
      </c>
      <c r="Q235" s="110">
        <v>0</v>
      </c>
      <c r="R235" s="110">
        <v>0</v>
      </c>
      <c r="S235" s="110">
        <v>0</v>
      </c>
      <c r="T235" s="110">
        <v>0</v>
      </c>
      <c r="U235" s="110">
        <v>0</v>
      </c>
      <c r="V235" s="110">
        <v>0</v>
      </c>
      <c r="W235" s="110">
        <v>0</v>
      </c>
      <c r="X235" s="110">
        <v>0</v>
      </c>
      <c r="Y235" s="110">
        <v>0</v>
      </c>
      <c r="Z235" s="110">
        <v>0</v>
      </c>
      <c r="AA235" s="110">
        <v>0</v>
      </c>
      <c r="AB235" s="110">
        <v>0</v>
      </c>
      <c r="AC235" s="110">
        <v>0</v>
      </c>
      <c r="AD235" s="110">
        <v>0</v>
      </c>
      <c r="AE235" s="110">
        <v>0</v>
      </c>
      <c r="AF235" s="110">
        <v>0</v>
      </c>
      <c r="AG235" s="110">
        <v>0</v>
      </c>
      <c r="AH235" s="110">
        <v>0</v>
      </c>
      <c r="AI235" s="110">
        <v>0</v>
      </c>
      <c r="AJ235" s="110">
        <v>0</v>
      </c>
      <c r="AK235" s="110">
        <v>0</v>
      </c>
      <c r="AL235" s="110">
        <v>0</v>
      </c>
      <c r="AM235" s="110">
        <v>0</v>
      </c>
      <c r="AN235" s="110">
        <v>0</v>
      </c>
      <c r="AO235" s="110">
        <v>0</v>
      </c>
      <c r="AP235" s="110">
        <v>0</v>
      </c>
      <c r="AQ235" s="110">
        <v>0</v>
      </c>
      <c r="AR235" s="110">
        <v>0</v>
      </c>
      <c r="AS235" s="110">
        <v>0</v>
      </c>
      <c r="AT235" s="110">
        <v>0</v>
      </c>
      <c r="AU235" s="110">
        <v>0</v>
      </c>
      <c r="AV235" s="110">
        <v>0</v>
      </c>
      <c r="AW235" s="110">
        <v>0</v>
      </c>
      <c r="AX235" s="110">
        <v>0</v>
      </c>
      <c r="AY235" s="110">
        <v>0</v>
      </c>
    </row>
    <row r="236" spans="1:51">
      <c r="A236" s="109"/>
      <c r="B236" s="127">
        <v>28</v>
      </c>
      <c r="C236" s="106">
        <v>0</v>
      </c>
      <c r="D236" s="110">
        <v>0</v>
      </c>
      <c r="E236" s="110">
        <v>0</v>
      </c>
      <c r="F236" s="110">
        <v>0</v>
      </c>
      <c r="G236" s="110">
        <v>0</v>
      </c>
      <c r="H236" s="110">
        <v>0</v>
      </c>
      <c r="I236" s="110">
        <v>0</v>
      </c>
      <c r="J236" s="110">
        <v>0</v>
      </c>
      <c r="K236" s="110">
        <v>0</v>
      </c>
      <c r="L236" s="110">
        <v>0</v>
      </c>
      <c r="M236" s="110">
        <v>0</v>
      </c>
      <c r="N236" s="110">
        <v>0</v>
      </c>
      <c r="O236" s="110">
        <v>0</v>
      </c>
      <c r="P236" s="110">
        <v>0</v>
      </c>
      <c r="Q236" s="110">
        <v>0</v>
      </c>
      <c r="R236" s="110">
        <v>0</v>
      </c>
      <c r="S236" s="110">
        <v>0</v>
      </c>
      <c r="T236" s="110">
        <v>0</v>
      </c>
      <c r="U236" s="110">
        <v>0</v>
      </c>
      <c r="V236" s="110">
        <v>0</v>
      </c>
      <c r="W236" s="110">
        <v>0</v>
      </c>
      <c r="X236" s="110">
        <v>0</v>
      </c>
      <c r="Y236" s="110">
        <v>0</v>
      </c>
      <c r="Z236" s="110">
        <v>0</v>
      </c>
      <c r="AA236" s="110">
        <v>0</v>
      </c>
      <c r="AB236" s="110">
        <v>0</v>
      </c>
      <c r="AC236" s="110">
        <v>0</v>
      </c>
      <c r="AD236" s="110">
        <v>0</v>
      </c>
      <c r="AE236" s="110">
        <v>0</v>
      </c>
      <c r="AF236" s="110">
        <v>0</v>
      </c>
      <c r="AG236" s="110">
        <v>0</v>
      </c>
      <c r="AH236" s="110">
        <v>0</v>
      </c>
      <c r="AI236" s="110">
        <v>0</v>
      </c>
      <c r="AJ236" s="110">
        <v>0</v>
      </c>
      <c r="AK236" s="110">
        <v>0</v>
      </c>
      <c r="AL236" s="110">
        <v>0</v>
      </c>
      <c r="AM236" s="110">
        <v>0</v>
      </c>
      <c r="AN236" s="110">
        <v>0</v>
      </c>
      <c r="AO236" s="110">
        <v>0</v>
      </c>
      <c r="AP236" s="110">
        <v>0</v>
      </c>
      <c r="AQ236" s="110">
        <v>0</v>
      </c>
      <c r="AR236" s="110">
        <v>0</v>
      </c>
      <c r="AS236" s="110">
        <v>0</v>
      </c>
      <c r="AT236" s="110">
        <v>0</v>
      </c>
      <c r="AU236" s="110">
        <v>0</v>
      </c>
      <c r="AV236" s="110">
        <v>0</v>
      </c>
      <c r="AW236" s="110">
        <v>0</v>
      </c>
      <c r="AX236" s="110">
        <v>0</v>
      </c>
      <c r="AY236" s="110">
        <v>0</v>
      </c>
    </row>
    <row r="237" spans="1:51">
      <c r="A237" s="109"/>
      <c r="B237" s="127">
        <v>29</v>
      </c>
      <c r="C237" s="106">
        <v>0</v>
      </c>
      <c r="D237" s="110">
        <v>0</v>
      </c>
      <c r="E237" s="110">
        <v>0</v>
      </c>
      <c r="F237" s="110">
        <v>0</v>
      </c>
      <c r="G237" s="110">
        <v>0</v>
      </c>
      <c r="H237" s="110">
        <v>0</v>
      </c>
      <c r="I237" s="110">
        <v>0</v>
      </c>
      <c r="J237" s="110">
        <v>0</v>
      </c>
      <c r="K237" s="110">
        <v>0</v>
      </c>
      <c r="L237" s="110">
        <v>0</v>
      </c>
      <c r="M237" s="110">
        <v>0</v>
      </c>
      <c r="N237" s="110">
        <v>0</v>
      </c>
      <c r="O237" s="110">
        <v>0</v>
      </c>
      <c r="P237" s="110">
        <v>0</v>
      </c>
      <c r="Q237" s="110">
        <v>0</v>
      </c>
      <c r="R237" s="110">
        <v>0</v>
      </c>
      <c r="S237" s="110">
        <v>0</v>
      </c>
      <c r="T237" s="110">
        <v>0</v>
      </c>
      <c r="U237" s="110">
        <v>0</v>
      </c>
      <c r="V237" s="110">
        <v>0</v>
      </c>
      <c r="W237" s="110">
        <v>0</v>
      </c>
      <c r="X237" s="110">
        <v>0</v>
      </c>
      <c r="Y237" s="110">
        <v>0</v>
      </c>
      <c r="Z237" s="110">
        <v>0</v>
      </c>
      <c r="AA237" s="110">
        <v>0</v>
      </c>
      <c r="AB237" s="110">
        <v>0</v>
      </c>
      <c r="AC237" s="110">
        <v>0</v>
      </c>
      <c r="AD237" s="110">
        <v>0</v>
      </c>
      <c r="AE237" s="110">
        <v>0</v>
      </c>
      <c r="AF237" s="110">
        <v>0</v>
      </c>
      <c r="AG237" s="110">
        <v>0</v>
      </c>
      <c r="AH237" s="110">
        <v>0</v>
      </c>
      <c r="AI237" s="110">
        <v>0</v>
      </c>
      <c r="AJ237" s="110">
        <v>0</v>
      </c>
      <c r="AK237" s="110">
        <v>0</v>
      </c>
      <c r="AL237" s="110">
        <v>0</v>
      </c>
      <c r="AM237" s="110">
        <v>0</v>
      </c>
      <c r="AN237" s="110">
        <v>0</v>
      </c>
      <c r="AO237" s="110">
        <v>0</v>
      </c>
      <c r="AP237" s="110">
        <v>0</v>
      </c>
      <c r="AQ237" s="110">
        <v>0</v>
      </c>
      <c r="AR237" s="110">
        <v>0</v>
      </c>
      <c r="AS237" s="110">
        <v>0</v>
      </c>
      <c r="AT237" s="110">
        <v>0</v>
      </c>
      <c r="AU237" s="110">
        <v>0</v>
      </c>
      <c r="AV237" s="110">
        <v>0</v>
      </c>
      <c r="AW237" s="110">
        <v>0</v>
      </c>
      <c r="AX237" s="110">
        <v>0</v>
      </c>
      <c r="AY237" s="110">
        <v>0</v>
      </c>
    </row>
    <row r="238" spans="1:51">
      <c r="A238" s="109"/>
      <c r="B238" s="127">
        <v>30</v>
      </c>
      <c r="C238" s="106">
        <v>0</v>
      </c>
      <c r="D238" s="110">
        <v>0</v>
      </c>
      <c r="E238" s="110">
        <v>0</v>
      </c>
      <c r="F238" s="110">
        <v>0</v>
      </c>
      <c r="G238" s="110">
        <v>0</v>
      </c>
      <c r="H238" s="110">
        <v>0</v>
      </c>
      <c r="I238" s="110">
        <v>0</v>
      </c>
      <c r="J238" s="110">
        <v>0</v>
      </c>
      <c r="K238" s="110">
        <v>0</v>
      </c>
      <c r="L238" s="110">
        <v>0</v>
      </c>
      <c r="M238" s="110">
        <v>0</v>
      </c>
      <c r="N238" s="110">
        <v>0</v>
      </c>
      <c r="O238" s="110">
        <v>0</v>
      </c>
      <c r="P238" s="110">
        <v>0</v>
      </c>
      <c r="Q238" s="110">
        <v>0</v>
      </c>
      <c r="R238" s="110">
        <v>0</v>
      </c>
      <c r="S238" s="110">
        <v>0</v>
      </c>
      <c r="T238" s="110">
        <v>0</v>
      </c>
      <c r="U238" s="110">
        <v>0</v>
      </c>
      <c r="V238" s="110">
        <v>0</v>
      </c>
      <c r="W238" s="110">
        <v>0</v>
      </c>
      <c r="X238" s="110">
        <v>0</v>
      </c>
      <c r="Y238" s="110">
        <v>0</v>
      </c>
      <c r="Z238" s="110">
        <v>0</v>
      </c>
      <c r="AA238" s="110">
        <v>0</v>
      </c>
      <c r="AB238" s="110">
        <v>0</v>
      </c>
      <c r="AC238" s="110">
        <v>0</v>
      </c>
      <c r="AD238" s="110">
        <v>0</v>
      </c>
      <c r="AE238" s="110">
        <v>0</v>
      </c>
      <c r="AF238" s="110">
        <v>0</v>
      </c>
      <c r="AG238" s="110">
        <v>0</v>
      </c>
      <c r="AH238" s="110">
        <v>0</v>
      </c>
      <c r="AI238" s="110">
        <v>0</v>
      </c>
      <c r="AJ238" s="110">
        <v>0</v>
      </c>
      <c r="AK238" s="110">
        <v>0</v>
      </c>
      <c r="AL238" s="110">
        <v>0</v>
      </c>
      <c r="AM238" s="110">
        <v>0</v>
      </c>
      <c r="AN238" s="110">
        <v>0</v>
      </c>
      <c r="AO238" s="110">
        <v>0</v>
      </c>
      <c r="AP238" s="110">
        <v>0</v>
      </c>
      <c r="AQ238" s="110">
        <v>0</v>
      </c>
      <c r="AR238" s="110">
        <v>0</v>
      </c>
      <c r="AS238" s="110">
        <v>0</v>
      </c>
      <c r="AT238" s="110">
        <v>0</v>
      </c>
      <c r="AU238" s="110">
        <v>0</v>
      </c>
      <c r="AV238" s="110">
        <v>0</v>
      </c>
      <c r="AW238" s="110">
        <v>0</v>
      </c>
      <c r="AX238" s="110">
        <v>0</v>
      </c>
      <c r="AY238" s="110">
        <v>0</v>
      </c>
    </row>
    <row r="239" spans="1:51">
      <c r="A239" s="109"/>
      <c r="B239" s="127">
        <v>31</v>
      </c>
      <c r="C239" s="106">
        <v>0</v>
      </c>
      <c r="D239" s="110">
        <v>0</v>
      </c>
      <c r="E239" s="110">
        <v>0</v>
      </c>
      <c r="F239" s="110">
        <v>0</v>
      </c>
      <c r="G239" s="110">
        <v>0</v>
      </c>
      <c r="H239" s="110">
        <v>0</v>
      </c>
      <c r="I239" s="110">
        <v>0</v>
      </c>
      <c r="J239" s="110">
        <v>0</v>
      </c>
      <c r="K239" s="110">
        <v>0</v>
      </c>
      <c r="L239" s="110">
        <v>0</v>
      </c>
      <c r="M239" s="110">
        <v>0</v>
      </c>
      <c r="N239" s="110">
        <v>0</v>
      </c>
      <c r="O239" s="110">
        <v>0</v>
      </c>
      <c r="P239" s="110">
        <v>0</v>
      </c>
      <c r="Q239" s="110">
        <v>0</v>
      </c>
      <c r="R239" s="110">
        <v>0</v>
      </c>
      <c r="S239" s="110">
        <v>0</v>
      </c>
      <c r="T239" s="110">
        <v>0</v>
      </c>
      <c r="U239" s="110">
        <v>0</v>
      </c>
      <c r="V239" s="110">
        <v>0</v>
      </c>
      <c r="W239" s="110">
        <v>0</v>
      </c>
      <c r="X239" s="110">
        <v>0</v>
      </c>
      <c r="Y239" s="110">
        <v>0</v>
      </c>
      <c r="Z239" s="110">
        <v>0</v>
      </c>
      <c r="AA239" s="110">
        <v>0</v>
      </c>
      <c r="AB239" s="110">
        <v>0</v>
      </c>
      <c r="AC239" s="110">
        <v>0</v>
      </c>
      <c r="AD239" s="110">
        <v>0</v>
      </c>
      <c r="AE239" s="110">
        <v>0</v>
      </c>
      <c r="AF239" s="110">
        <v>0</v>
      </c>
      <c r="AG239" s="110">
        <v>0</v>
      </c>
      <c r="AH239" s="110">
        <v>0</v>
      </c>
      <c r="AI239" s="110">
        <v>0</v>
      </c>
      <c r="AJ239" s="110">
        <v>0</v>
      </c>
      <c r="AK239" s="110">
        <v>0</v>
      </c>
      <c r="AL239" s="110">
        <v>0</v>
      </c>
      <c r="AM239" s="110">
        <v>0</v>
      </c>
      <c r="AN239" s="110">
        <v>0</v>
      </c>
      <c r="AO239" s="110">
        <v>0</v>
      </c>
      <c r="AP239" s="110">
        <v>0</v>
      </c>
      <c r="AQ239" s="110">
        <v>0</v>
      </c>
      <c r="AR239" s="110">
        <v>0</v>
      </c>
      <c r="AS239" s="110">
        <v>0</v>
      </c>
      <c r="AT239" s="110">
        <v>0</v>
      </c>
      <c r="AU239" s="110">
        <v>0</v>
      </c>
      <c r="AV239" s="110">
        <v>0</v>
      </c>
      <c r="AW239" s="110">
        <v>0</v>
      </c>
      <c r="AX239" s="110">
        <v>0</v>
      </c>
      <c r="AY239" s="110">
        <v>0</v>
      </c>
    </row>
    <row r="240" spans="1:51">
      <c r="A240" s="109"/>
      <c r="B240" s="127">
        <v>32</v>
      </c>
      <c r="C240" s="106">
        <v>0</v>
      </c>
      <c r="D240" s="110">
        <v>0</v>
      </c>
      <c r="E240" s="110">
        <v>0</v>
      </c>
      <c r="F240" s="110">
        <v>0</v>
      </c>
      <c r="G240" s="110">
        <v>0</v>
      </c>
      <c r="H240" s="110">
        <v>0</v>
      </c>
      <c r="I240" s="110">
        <v>0</v>
      </c>
      <c r="J240" s="110">
        <v>0</v>
      </c>
      <c r="K240" s="110">
        <v>0</v>
      </c>
      <c r="L240" s="110">
        <v>0</v>
      </c>
      <c r="M240" s="110">
        <v>0</v>
      </c>
      <c r="N240" s="110">
        <v>0</v>
      </c>
      <c r="O240" s="110">
        <v>0</v>
      </c>
      <c r="P240" s="110">
        <v>0</v>
      </c>
      <c r="Q240" s="110">
        <v>0</v>
      </c>
      <c r="R240" s="110">
        <v>0</v>
      </c>
      <c r="S240" s="110">
        <v>0</v>
      </c>
      <c r="T240" s="110">
        <v>0</v>
      </c>
      <c r="U240" s="110">
        <v>0</v>
      </c>
      <c r="V240" s="110">
        <v>0</v>
      </c>
      <c r="W240" s="110">
        <v>0</v>
      </c>
      <c r="X240" s="110">
        <v>0</v>
      </c>
      <c r="Y240" s="110">
        <v>0</v>
      </c>
      <c r="Z240" s="110">
        <v>0</v>
      </c>
      <c r="AA240" s="110">
        <v>0</v>
      </c>
      <c r="AB240" s="110">
        <v>0</v>
      </c>
      <c r="AC240" s="110">
        <v>0</v>
      </c>
      <c r="AD240" s="110">
        <v>0</v>
      </c>
      <c r="AE240" s="110">
        <v>0</v>
      </c>
      <c r="AF240" s="110">
        <v>0</v>
      </c>
      <c r="AG240" s="110">
        <v>0</v>
      </c>
      <c r="AH240" s="110">
        <v>0</v>
      </c>
      <c r="AI240" s="110">
        <v>0</v>
      </c>
      <c r="AJ240" s="110">
        <v>0</v>
      </c>
      <c r="AK240" s="110">
        <v>0</v>
      </c>
      <c r="AL240" s="110">
        <v>0</v>
      </c>
      <c r="AM240" s="110">
        <v>0</v>
      </c>
      <c r="AN240" s="110">
        <v>0</v>
      </c>
      <c r="AO240" s="110">
        <v>0</v>
      </c>
      <c r="AP240" s="110">
        <v>0</v>
      </c>
      <c r="AQ240" s="110">
        <v>0</v>
      </c>
      <c r="AR240" s="110">
        <v>0</v>
      </c>
      <c r="AS240" s="110">
        <v>0</v>
      </c>
      <c r="AT240" s="110">
        <v>0</v>
      </c>
      <c r="AU240" s="110">
        <v>0</v>
      </c>
      <c r="AV240" s="110">
        <v>0</v>
      </c>
      <c r="AW240" s="110">
        <v>0</v>
      </c>
      <c r="AX240" s="110">
        <v>0</v>
      </c>
      <c r="AY240" s="110">
        <v>0</v>
      </c>
    </row>
    <row r="241" spans="1:51">
      <c r="A241" s="109"/>
      <c r="B241" s="127">
        <v>33</v>
      </c>
      <c r="C241" s="106">
        <v>0</v>
      </c>
      <c r="D241" s="110">
        <v>0</v>
      </c>
      <c r="E241" s="110">
        <v>0</v>
      </c>
      <c r="F241" s="110">
        <v>0</v>
      </c>
      <c r="G241" s="110">
        <v>0</v>
      </c>
      <c r="H241" s="110">
        <v>0</v>
      </c>
      <c r="I241" s="110">
        <v>0</v>
      </c>
      <c r="J241" s="110">
        <v>0</v>
      </c>
      <c r="K241" s="110">
        <v>0</v>
      </c>
      <c r="L241" s="110">
        <v>0</v>
      </c>
      <c r="M241" s="110">
        <v>0</v>
      </c>
      <c r="N241" s="110">
        <v>0</v>
      </c>
      <c r="O241" s="110">
        <v>0</v>
      </c>
      <c r="P241" s="110">
        <v>0</v>
      </c>
      <c r="Q241" s="110">
        <v>0</v>
      </c>
      <c r="R241" s="110">
        <v>0</v>
      </c>
      <c r="S241" s="110">
        <v>0</v>
      </c>
      <c r="T241" s="110">
        <v>0</v>
      </c>
      <c r="U241" s="110">
        <v>0</v>
      </c>
      <c r="V241" s="110">
        <v>0</v>
      </c>
      <c r="W241" s="110">
        <v>0</v>
      </c>
      <c r="X241" s="110">
        <v>0</v>
      </c>
      <c r="Y241" s="110">
        <v>0</v>
      </c>
      <c r="Z241" s="110">
        <v>0</v>
      </c>
      <c r="AA241" s="110">
        <v>0</v>
      </c>
      <c r="AB241" s="110">
        <v>0</v>
      </c>
      <c r="AC241" s="110">
        <v>0</v>
      </c>
      <c r="AD241" s="110">
        <v>0</v>
      </c>
      <c r="AE241" s="110">
        <v>0</v>
      </c>
      <c r="AF241" s="110">
        <v>0</v>
      </c>
      <c r="AG241" s="110">
        <v>0</v>
      </c>
      <c r="AH241" s="110">
        <v>0</v>
      </c>
      <c r="AI241" s="110">
        <v>0</v>
      </c>
      <c r="AJ241" s="110">
        <v>0</v>
      </c>
      <c r="AK241" s="110">
        <v>0</v>
      </c>
      <c r="AL241" s="110">
        <v>0</v>
      </c>
      <c r="AM241" s="110">
        <v>0</v>
      </c>
      <c r="AN241" s="110">
        <v>0</v>
      </c>
      <c r="AO241" s="110">
        <v>0</v>
      </c>
      <c r="AP241" s="110">
        <v>0</v>
      </c>
      <c r="AQ241" s="110">
        <v>0</v>
      </c>
      <c r="AR241" s="110">
        <v>0</v>
      </c>
      <c r="AS241" s="110">
        <v>0</v>
      </c>
      <c r="AT241" s="110">
        <v>0</v>
      </c>
      <c r="AU241" s="110">
        <v>0</v>
      </c>
      <c r="AV241" s="110">
        <v>0</v>
      </c>
      <c r="AW241" s="110">
        <v>0</v>
      </c>
      <c r="AX241" s="110">
        <v>0</v>
      </c>
      <c r="AY241" s="110">
        <v>0</v>
      </c>
    </row>
    <row r="242" spans="1:51">
      <c r="A242" s="109"/>
      <c r="B242" s="127">
        <v>34</v>
      </c>
      <c r="C242" s="106">
        <v>0</v>
      </c>
      <c r="D242" s="110">
        <v>0</v>
      </c>
      <c r="E242" s="110">
        <v>0</v>
      </c>
      <c r="F242" s="110">
        <v>0</v>
      </c>
      <c r="G242" s="110">
        <v>0</v>
      </c>
      <c r="H242" s="110">
        <v>0</v>
      </c>
      <c r="I242" s="110">
        <v>0</v>
      </c>
      <c r="J242" s="110">
        <v>0</v>
      </c>
      <c r="K242" s="110">
        <v>0</v>
      </c>
      <c r="L242" s="110">
        <v>0</v>
      </c>
      <c r="M242" s="110">
        <v>0</v>
      </c>
      <c r="N242" s="110">
        <v>0</v>
      </c>
      <c r="O242" s="110">
        <v>0</v>
      </c>
      <c r="P242" s="110">
        <v>0</v>
      </c>
      <c r="Q242" s="110">
        <v>0</v>
      </c>
      <c r="R242" s="110">
        <v>0</v>
      </c>
      <c r="S242" s="110">
        <v>0</v>
      </c>
      <c r="T242" s="110">
        <v>0</v>
      </c>
      <c r="U242" s="110">
        <v>0</v>
      </c>
      <c r="V242" s="110">
        <v>0</v>
      </c>
      <c r="W242" s="110">
        <v>0</v>
      </c>
      <c r="X242" s="110">
        <v>0</v>
      </c>
      <c r="Y242" s="110">
        <v>0</v>
      </c>
      <c r="Z242" s="110">
        <v>0</v>
      </c>
      <c r="AA242" s="110">
        <v>0</v>
      </c>
      <c r="AB242" s="110">
        <v>0</v>
      </c>
      <c r="AC242" s="110">
        <v>0</v>
      </c>
      <c r="AD242" s="110">
        <v>0</v>
      </c>
      <c r="AE242" s="110">
        <v>0</v>
      </c>
      <c r="AF242" s="110">
        <v>0</v>
      </c>
      <c r="AG242" s="110">
        <v>0</v>
      </c>
      <c r="AH242" s="110">
        <v>0</v>
      </c>
      <c r="AI242" s="110">
        <v>0</v>
      </c>
      <c r="AJ242" s="110">
        <v>0</v>
      </c>
      <c r="AK242" s="110">
        <v>0</v>
      </c>
      <c r="AL242" s="110">
        <v>0</v>
      </c>
      <c r="AM242" s="110">
        <v>0</v>
      </c>
      <c r="AN242" s="110">
        <v>0</v>
      </c>
      <c r="AO242" s="110">
        <v>0</v>
      </c>
      <c r="AP242" s="110">
        <v>0</v>
      </c>
      <c r="AQ242" s="110">
        <v>0</v>
      </c>
      <c r="AR242" s="110">
        <v>0</v>
      </c>
      <c r="AS242" s="110">
        <v>0</v>
      </c>
      <c r="AT242" s="110">
        <v>0</v>
      </c>
      <c r="AU242" s="110">
        <v>0</v>
      </c>
      <c r="AV242" s="110">
        <v>0</v>
      </c>
      <c r="AW242" s="110">
        <v>0</v>
      </c>
      <c r="AX242" s="110">
        <v>0</v>
      </c>
      <c r="AY242" s="110">
        <v>0</v>
      </c>
    </row>
    <row r="243" spans="1:51">
      <c r="A243" s="109"/>
      <c r="B243" s="127">
        <v>35</v>
      </c>
      <c r="C243" s="106">
        <v>0</v>
      </c>
      <c r="D243" s="110">
        <v>0</v>
      </c>
      <c r="E243" s="110">
        <v>0</v>
      </c>
      <c r="F243" s="110">
        <v>0</v>
      </c>
      <c r="G243" s="110">
        <v>0</v>
      </c>
      <c r="H243" s="110">
        <v>0</v>
      </c>
      <c r="I243" s="110">
        <v>0</v>
      </c>
      <c r="J243" s="110">
        <v>0</v>
      </c>
      <c r="K243" s="110">
        <v>0</v>
      </c>
      <c r="L243" s="110">
        <v>0</v>
      </c>
      <c r="M243" s="110">
        <v>0</v>
      </c>
      <c r="N243" s="110">
        <v>0</v>
      </c>
      <c r="O243" s="110">
        <v>0</v>
      </c>
      <c r="P243" s="110">
        <v>0</v>
      </c>
      <c r="Q243" s="110">
        <v>0</v>
      </c>
      <c r="R243" s="110">
        <v>0</v>
      </c>
      <c r="S243" s="110">
        <v>0</v>
      </c>
      <c r="T243" s="110">
        <v>0</v>
      </c>
      <c r="U243" s="110">
        <v>0</v>
      </c>
      <c r="V243" s="110">
        <v>0</v>
      </c>
      <c r="W243" s="110">
        <v>0</v>
      </c>
      <c r="X243" s="110">
        <v>0</v>
      </c>
      <c r="Y243" s="110">
        <v>0</v>
      </c>
      <c r="Z243" s="110">
        <v>0</v>
      </c>
      <c r="AA243" s="110">
        <v>0</v>
      </c>
      <c r="AB243" s="110">
        <v>0</v>
      </c>
      <c r="AC243" s="110">
        <v>0</v>
      </c>
      <c r="AD243" s="110">
        <v>0</v>
      </c>
      <c r="AE243" s="110">
        <v>0</v>
      </c>
      <c r="AF243" s="110">
        <v>0</v>
      </c>
      <c r="AG243" s="110">
        <v>0</v>
      </c>
      <c r="AH243" s="110">
        <v>0</v>
      </c>
      <c r="AI243" s="110">
        <v>0</v>
      </c>
      <c r="AJ243" s="110">
        <v>0</v>
      </c>
      <c r="AK243" s="110">
        <v>0</v>
      </c>
      <c r="AL243" s="110">
        <v>0</v>
      </c>
      <c r="AM243" s="110">
        <v>0</v>
      </c>
      <c r="AN243" s="110">
        <v>0</v>
      </c>
      <c r="AO243" s="110">
        <v>0</v>
      </c>
      <c r="AP243" s="110">
        <v>0</v>
      </c>
      <c r="AQ243" s="110">
        <v>0</v>
      </c>
      <c r="AR243" s="110">
        <v>0</v>
      </c>
      <c r="AS243" s="110">
        <v>0</v>
      </c>
      <c r="AT243" s="110">
        <v>0</v>
      </c>
      <c r="AU243" s="110">
        <v>0</v>
      </c>
      <c r="AV243" s="110">
        <v>0</v>
      </c>
      <c r="AW243" s="110">
        <v>0</v>
      </c>
      <c r="AX243" s="110">
        <v>0</v>
      </c>
      <c r="AY243" s="110">
        <v>0</v>
      </c>
    </row>
    <row r="244" spans="1:51">
      <c r="A244" s="109"/>
      <c r="B244" s="127">
        <v>36</v>
      </c>
      <c r="C244" s="106">
        <v>0</v>
      </c>
      <c r="D244" s="110">
        <v>0</v>
      </c>
      <c r="E244" s="110">
        <v>0</v>
      </c>
      <c r="F244" s="110">
        <v>0</v>
      </c>
      <c r="G244" s="110">
        <v>0</v>
      </c>
      <c r="H244" s="110">
        <v>0</v>
      </c>
      <c r="I244" s="110">
        <v>0</v>
      </c>
      <c r="J244" s="110">
        <v>0</v>
      </c>
      <c r="K244" s="110">
        <v>0</v>
      </c>
      <c r="L244" s="110">
        <v>0</v>
      </c>
      <c r="M244" s="110">
        <v>0</v>
      </c>
      <c r="N244" s="110">
        <v>0</v>
      </c>
      <c r="O244" s="110">
        <v>0</v>
      </c>
      <c r="P244" s="110">
        <v>0</v>
      </c>
      <c r="Q244" s="110">
        <v>0</v>
      </c>
      <c r="R244" s="110">
        <v>0</v>
      </c>
      <c r="S244" s="110">
        <v>0</v>
      </c>
      <c r="T244" s="110">
        <v>0</v>
      </c>
      <c r="U244" s="110">
        <v>0</v>
      </c>
      <c r="V244" s="110">
        <v>0</v>
      </c>
      <c r="W244" s="110">
        <v>0</v>
      </c>
      <c r="X244" s="110">
        <v>0</v>
      </c>
      <c r="Y244" s="110">
        <v>0</v>
      </c>
      <c r="Z244" s="110">
        <v>0</v>
      </c>
      <c r="AA244" s="110">
        <v>0</v>
      </c>
      <c r="AB244" s="110">
        <v>0</v>
      </c>
      <c r="AC244" s="110">
        <v>0</v>
      </c>
      <c r="AD244" s="110">
        <v>0</v>
      </c>
      <c r="AE244" s="110">
        <v>0</v>
      </c>
      <c r="AF244" s="110">
        <v>0</v>
      </c>
      <c r="AG244" s="110">
        <v>0</v>
      </c>
      <c r="AH244" s="110">
        <v>0</v>
      </c>
      <c r="AI244" s="110">
        <v>0</v>
      </c>
      <c r="AJ244" s="110">
        <v>0</v>
      </c>
      <c r="AK244" s="110">
        <v>0</v>
      </c>
      <c r="AL244" s="110">
        <v>0</v>
      </c>
      <c r="AM244" s="110">
        <v>0</v>
      </c>
      <c r="AN244" s="110">
        <v>0</v>
      </c>
      <c r="AO244" s="110">
        <v>0</v>
      </c>
      <c r="AP244" s="110">
        <v>0</v>
      </c>
      <c r="AQ244" s="110">
        <v>0</v>
      </c>
      <c r="AR244" s="110">
        <v>0</v>
      </c>
      <c r="AS244" s="110">
        <v>0</v>
      </c>
      <c r="AT244" s="110">
        <v>0</v>
      </c>
      <c r="AU244" s="110">
        <v>0</v>
      </c>
      <c r="AV244" s="110">
        <v>0</v>
      </c>
      <c r="AW244" s="110">
        <v>0</v>
      </c>
      <c r="AX244" s="110">
        <v>0</v>
      </c>
      <c r="AY244" s="110">
        <v>0</v>
      </c>
    </row>
    <row r="245" spans="1:51">
      <c r="A245" s="109"/>
      <c r="B245" s="130">
        <v>37</v>
      </c>
      <c r="C245" s="106">
        <v>0</v>
      </c>
      <c r="D245" s="110">
        <v>0</v>
      </c>
      <c r="E245" s="110">
        <v>0</v>
      </c>
      <c r="F245" s="110">
        <v>0</v>
      </c>
      <c r="G245" s="110">
        <v>0</v>
      </c>
      <c r="H245" s="110">
        <v>0</v>
      </c>
      <c r="I245" s="110">
        <v>0</v>
      </c>
      <c r="J245" s="110">
        <v>0</v>
      </c>
      <c r="K245" s="110">
        <v>0</v>
      </c>
      <c r="L245" s="110">
        <v>0</v>
      </c>
      <c r="M245" s="110">
        <v>0</v>
      </c>
      <c r="N245" s="110">
        <v>0</v>
      </c>
      <c r="O245" s="110">
        <v>0</v>
      </c>
      <c r="P245" s="110">
        <v>0</v>
      </c>
      <c r="Q245" s="110">
        <v>0</v>
      </c>
      <c r="R245" s="110">
        <v>0</v>
      </c>
      <c r="S245" s="110">
        <v>0</v>
      </c>
      <c r="T245" s="110">
        <v>0</v>
      </c>
      <c r="U245" s="110">
        <v>0</v>
      </c>
      <c r="V245" s="110">
        <v>0</v>
      </c>
      <c r="W245" s="110">
        <v>0</v>
      </c>
      <c r="X245" s="110">
        <v>0</v>
      </c>
      <c r="Y245" s="110">
        <v>0</v>
      </c>
      <c r="Z245" s="110">
        <v>0</v>
      </c>
      <c r="AA245" s="110">
        <v>0</v>
      </c>
      <c r="AB245" s="110">
        <v>0</v>
      </c>
      <c r="AC245" s="110">
        <v>0</v>
      </c>
      <c r="AD245" s="110">
        <v>0</v>
      </c>
      <c r="AE245" s="110">
        <v>0</v>
      </c>
      <c r="AF245" s="110">
        <v>0</v>
      </c>
      <c r="AG245" s="110">
        <v>0</v>
      </c>
      <c r="AH245" s="110">
        <v>0</v>
      </c>
      <c r="AI245" s="110">
        <v>0</v>
      </c>
      <c r="AJ245" s="110">
        <v>0</v>
      </c>
      <c r="AK245" s="110">
        <v>0</v>
      </c>
      <c r="AL245" s="110">
        <v>0</v>
      </c>
      <c r="AM245" s="110">
        <v>0</v>
      </c>
      <c r="AN245" s="110">
        <v>0</v>
      </c>
      <c r="AO245" s="110">
        <v>0</v>
      </c>
      <c r="AP245" s="110">
        <v>0</v>
      </c>
      <c r="AQ245" s="110">
        <v>0</v>
      </c>
      <c r="AR245" s="110">
        <v>0</v>
      </c>
      <c r="AS245" s="110">
        <v>0</v>
      </c>
      <c r="AT245" s="110">
        <v>0</v>
      </c>
      <c r="AU245" s="110">
        <v>0</v>
      </c>
      <c r="AV245" s="110">
        <v>0</v>
      </c>
      <c r="AW245" s="110">
        <v>0</v>
      </c>
      <c r="AX245" s="110">
        <v>0</v>
      </c>
      <c r="AY245" s="110">
        <v>0</v>
      </c>
    </row>
    <row r="246" spans="1:51">
      <c r="A246" s="109"/>
      <c r="B246" s="130">
        <v>38</v>
      </c>
      <c r="C246" s="106">
        <v>0</v>
      </c>
      <c r="D246" s="110">
        <v>0</v>
      </c>
      <c r="E246" s="110">
        <v>0</v>
      </c>
      <c r="F246" s="110">
        <v>0</v>
      </c>
      <c r="G246" s="110">
        <v>0</v>
      </c>
      <c r="H246" s="110">
        <v>0</v>
      </c>
      <c r="I246" s="110">
        <v>0</v>
      </c>
      <c r="J246" s="110">
        <v>0</v>
      </c>
      <c r="K246" s="110">
        <v>0</v>
      </c>
      <c r="L246" s="110">
        <v>0</v>
      </c>
      <c r="M246" s="110">
        <v>0</v>
      </c>
      <c r="N246" s="110">
        <v>0</v>
      </c>
      <c r="O246" s="110">
        <v>0</v>
      </c>
      <c r="P246" s="110">
        <v>0</v>
      </c>
      <c r="Q246" s="110">
        <v>0</v>
      </c>
      <c r="R246" s="110">
        <v>0</v>
      </c>
      <c r="S246" s="110">
        <v>0</v>
      </c>
      <c r="T246" s="110">
        <v>0</v>
      </c>
      <c r="U246" s="110">
        <v>0</v>
      </c>
      <c r="V246" s="110">
        <v>0</v>
      </c>
      <c r="W246" s="110">
        <v>0</v>
      </c>
      <c r="X246" s="110">
        <v>0</v>
      </c>
      <c r="Y246" s="110">
        <v>0</v>
      </c>
      <c r="Z246" s="110">
        <v>0</v>
      </c>
      <c r="AA246" s="110">
        <v>0</v>
      </c>
      <c r="AB246" s="110">
        <v>0</v>
      </c>
      <c r="AC246" s="110">
        <v>0</v>
      </c>
      <c r="AD246" s="110">
        <v>0</v>
      </c>
      <c r="AE246" s="110">
        <v>0</v>
      </c>
      <c r="AF246" s="110">
        <v>0</v>
      </c>
      <c r="AG246" s="110">
        <v>0</v>
      </c>
      <c r="AH246" s="110">
        <v>0</v>
      </c>
      <c r="AI246" s="110">
        <v>0</v>
      </c>
      <c r="AJ246" s="110">
        <v>0</v>
      </c>
      <c r="AK246" s="110">
        <v>0</v>
      </c>
      <c r="AL246" s="110">
        <v>0</v>
      </c>
      <c r="AM246" s="110">
        <v>0</v>
      </c>
      <c r="AN246" s="110">
        <v>0</v>
      </c>
      <c r="AO246" s="110">
        <v>0</v>
      </c>
      <c r="AP246" s="110">
        <v>0</v>
      </c>
      <c r="AQ246" s="110">
        <v>0</v>
      </c>
      <c r="AR246" s="110">
        <v>0</v>
      </c>
      <c r="AS246" s="110">
        <v>0</v>
      </c>
      <c r="AT246" s="110">
        <v>0</v>
      </c>
      <c r="AU246" s="110">
        <v>0</v>
      </c>
      <c r="AV246" s="110">
        <v>0</v>
      </c>
      <c r="AW246" s="110">
        <v>0</v>
      </c>
      <c r="AX246" s="110">
        <v>0</v>
      </c>
      <c r="AY246" s="110">
        <v>0</v>
      </c>
    </row>
    <row r="247" spans="1:51">
      <c r="A247" s="109"/>
      <c r="B247" s="130">
        <v>39</v>
      </c>
      <c r="C247" s="106">
        <v>0</v>
      </c>
      <c r="D247" s="110">
        <v>0</v>
      </c>
      <c r="E247" s="110">
        <v>0</v>
      </c>
      <c r="F247" s="110">
        <v>0</v>
      </c>
      <c r="G247" s="110">
        <v>0</v>
      </c>
      <c r="H247" s="110">
        <v>0</v>
      </c>
      <c r="I247" s="110">
        <v>0</v>
      </c>
      <c r="J247" s="110">
        <v>0</v>
      </c>
      <c r="K247" s="110">
        <v>0</v>
      </c>
      <c r="L247" s="110">
        <v>0</v>
      </c>
      <c r="M247" s="110">
        <v>0</v>
      </c>
      <c r="N247" s="110">
        <v>0</v>
      </c>
      <c r="O247" s="110">
        <v>0</v>
      </c>
      <c r="P247" s="110">
        <v>0</v>
      </c>
      <c r="Q247" s="110">
        <v>0</v>
      </c>
      <c r="R247" s="110">
        <v>0</v>
      </c>
      <c r="S247" s="110">
        <v>0</v>
      </c>
      <c r="T247" s="110">
        <v>0</v>
      </c>
      <c r="U247" s="110">
        <v>0</v>
      </c>
      <c r="V247" s="110">
        <v>0</v>
      </c>
      <c r="W247" s="110">
        <v>0</v>
      </c>
      <c r="X247" s="110">
        <v>0</v>
      </c>
      <c r="Y247" s="110">
        <v>0</v>
      </c>
      <c r="Z247" s="110">
        <v>0</v>
      </c>
      <c r="AA247" s="110">
        <v>0</v>
      </c>
      <c r="AB247" s="110">
        <v>0</v>
      </c>
      <c r="AC247" s="110">
        <v>0</v>
      </c>
      <c r="AD247" s="110">
        <v>0</v>
      </c>
      <c r="AE247" s="110">
        <v>0</v>
      </c>
      <c r="AF247" s="110">
        <v>0</v>
      </c>
      <c r="AG247" s="110">
        <v>0</v>
      </c>
      <c r="AH247" s="110">
        <v>0</v>
      </c>
      <c r="AI247" s="110">
        <v>0</v>
      </c>
      <c r="AJ247" s="110">
        <v>0</v>
      </c>
      <c r="AK247" s="110">
        <v>0</v>
      </c>
      <c r="AL247" s="110">
        <v>0</v>
      </c>
      <c r="AM247" s="110">
        <v>0</v>
      </c>
      <c r="AN247" s="110">
        <v>0</v>
      </c>
      <c r="AO247" s="110">
        <v>0</v>
      </c>
      <c r="AP247" s="110">
        <v>0</v>
      </c>
      <c r="AQ247" s="110">
        <v>0</v>
      </c>
      <c r="AR247" s="110">
        <v>0</v>
      </c>
      <c r="AS247" s="110">
        <v>0</v>
      </c>
      <c r="AT247" s="110">
        <v>0</v>
      </c>
      <c r="AU247" s="110">
        <v>0</v>
      </c>
      <c r="AV247" s="110">
        <v>0</v>
      </c>
      <c r="AW247" s="110">
        <v>0</v>
      </c>
      <c r="AX247" s="110">
        <v>0</v>
      </c>
      <c r="AY247" s="110">
        <v>0</v>
      </c>
    </row>
    <row r="248" spans="1:51">
      <c r="A248" s="109"/>
      <c r="B248" s="130">
        <v>40</v>
      </c>
      <c r="C248" s="106">
        <v>0</v>
      </c>
      <c r="D248" s="110">
        <v>0</v>
      </c>
      <c r="E248" s="110">
        <v>0</v>
      </c>
      <c r="F248" s="110">
        <v>0</v>
      </c>
      <c r="G248" s="110">
        <v>0</v>
      </c>
      <c r="H248" s="110">
        <v>0</v>
      </c>
      <c r="I248" s="110">
        <v>0</v>
      </c>
      <c r="J248" s="110">
        <v>0</v>
      </c>
      <c r="K248" s="110">
        <v>0</v>
      </c>
      <c r="L248" s="110">
        <v>0</v>
      </c>
      <c r="M248" s="110">
        <v>0</v>
      </c>
      <c r="N248" s="110">
        <v>0</v>
      </c>
      <c r="O248" s="110">
        <v>0</v>
      </c>
      <c r="P248" s="110">
        <v>0</v>
      </c>
      <c r="Q248" s="110">
        <v>0</v>
      </c>
      <c r="R248" s="110">
        <v>0</v>
      </c>
      <c r="S248" s="110">
        <v>0</v>
      </c>
      <c r="T248" s="110">
        <v>0</v>
      </c>
      <c r="U248" s="110">
        <v>0</v>
      </c>
      <c r="V248" s="110">
        <v>0</v>
      </c>
      <c r="W248" s="110">
        <v>0</v>
      </c>
      <c r="X248" s="110">
        <v>0</v>
      </c>
      <c r="Y248" s="110">
        <v>0</v>
      </c>
      <c r="Z248" s="110">
        <v>0</v>
      </c>
      <c r="AA248" s="110">
        <v>0</v>
      </c>
      <c r="AB248" s="110">
        <v>0</v>
      </c>
      <c r="AC248" s="110">
        <v>0</v>
      </c>
      <c r="AD248" s="110">
        <v>0</v>
      </c>
      <c r="AE248" s="110">
        <v>0</v>
      </c>
      <c r="AF248" s="110">
        <v>0</v>
      </c>
      <c r="AG248" s="110">
        <v>0</v>
      </c>
      <c r="AH248" s="110">
        <v>0</v>
      </c>
      <c r="AI248" s="110">
        <v>0</v>
      </c>
      <c r="AJ248" s="110">
        <v>0</v>
      </c>
      <c r="AK248" s="110">
        <v>0</v>
      </c>
      <c r="AL248" s="110">
        <v>0</v>
      </c>
      <c r="AM248" s="110">
        <v>0</v>
      </c>
      <c r="AN248" s="110">
        <v>0</v>
      </c>
      <c r="AO248" s="110">
        <v>0</v>
      </c>
      <c r="AP248" s="110">
        <v>0</v>
      </c>
      <c r="AQ248" s="110">
        <v>0</v>
      </c>
      <c r="AR248" s="110">
        <v>0</v>
      </c>
      <c r="AS248" s="110">
        <v>0</v>
      </c>
      <c r="AT248" s="110">
        <v>0</v>
      </c>
      <c r="AU248" s="110">
        <v>0</v>
      </c>
      <c r="AV248" s="110">
        <v>0</v>
      </c>
      <c r="AW248" s="110">
        <v>0</v>
      </c>
      <c r="AX248" s="110">
        <v>0</v>
      </c>
      <c r="AY248" s="110">
        <v>0</v>
      </c>
    </row>
    <row r="249" spans="1:51">
      <c r="A249" s="109"/>
      <c r="B249" s="130">
        <v>41</v>
      </c>
      <c r="C249" s="106">
        <v>0</v>
      </c>
      <c r="D249" s="110">
        <v>0</v>
      </c>
      <c r="E249" s="110">
        <v>0</v>
      </c>
      <c r="F249" s="110">
        <v>0</v>
      </c>
      <c r="G249" s="110">
        <v>0</v>
      </c>
      <c r="H249" s="110">
        <v>0</v>
      </c>
      <c r="I249" s="110">
        <v>0</v>
      </c>
      <c r="J249" s="110">
        <v>0</v>
      </c>
      <c r="K249" s="110">
        <v>0</v>
      </c>
      <c r="L249" s="110">
        <v>0</v>
      </c>
      <c r="M249" s="110">
        <v>0</v>
      </c>
      <c r="N249" s="110">
        <v>0</v>
      </c>
      <c r="O249" s="110">
        <v>0</v>
      </c>
      <c r="P249" s="110">
        <v>0</v>
      </c>
      <c r="Q249" s="110">
        <v>0</v>
      </c>
      <c r="R249" s="110">
        <v>0</v>
      </c>
      <c r="S249" s="110">
        <v>0</v>
      </c>
      <c r="T249" s="110">
        <v>0</v>
      </c>
      <c r="U249" s="110">
        <v>0</v>
      </c>
      <c r="V249" s="110">
        <v>0</v>
      </c>
      <c r="W249" s="110">
        <v>0</v>
      </c>
      <c r="X249" s="110">
        <v>0</v>
      </c>
      <c r="Y249" s="110">
        <v>0</v>
      </c>
      <c r="Z249" s="110">
        <v>0</v>
      </c>
      <c r="AA249" s="110">
        <v>0</v>
      </c>
      <c r="AB249" s="110">
        <v>0</v>
      </c>
      <c r="AC249" s="110">
        <v>0</v>
      </c>
      <c r="AD249" s="110">
        <v>0</v>
      </c>
      <c r="AE249" s="110">
        <v>0</v>
      </c>
      <c r="AF249" s="110">
        <v>0</v>
      </c>
      <c r="AG249" s="110">
        <v>0</v>
      </c>
      <c r="AH249" s="110">
        <v>0</v>
      </c>
      <c r="AI249" s="110">
        <v>0</v>
      </c>
      <c r="AJ249" s="110">
        <v>0</v>
      </c>
      <c r="AK249" s="110">
        <v>0</v>
      </c>
      <c r="AL249" s="110">
        <v>0</v>
      </c>
      <c r="AM249" s="110">
        <v>0</v>
      </c>
      <c r="AN249" s="110">
        <v>0</v>
      </c>
      <c r="AO249" s="110">
        <v>0</v>
      </c>
      <c r="AP249" s="110">
        <v>0</v>
      </c>
      <c r="AQ249" s="110">
        <v>0</v>
      </c>
      <c r="AR249" s="110">
        <v>0</v>
      </c>
      <c r="AS249" s="110">
        <v>0</v>
      </c>
      <c r="AT249" s="110">
        <v>0</v>
      </c>
      <c r="AU249" s="110">
        <v>0</v>
      </c>
      <c r="AV249" s="110">
        <v>0</v>
      </c>
      <c r="AW249" s="110">
        <v>0</v>
      </c>
      <c r="AX249" s="110">
        <v>0</v>
      </c>
      <c r="AY249" s="110">
        <v>0</v>
      </c>
    </row>
    <row r="250" spans="1:51">
      <c r="A250" s="109"/>
      <c r="B250" s="130">
        <v>42</v>
      </c>
      <c r="C250" s="106">
        <v>0</v>
      </c>
      <c r="D250" s="110">
        <v>0</v>
      </c>
      <c r="E250" s="110">
        <v>0</v>
      </c>
      <c r="F250" s="110">
        <v>0</v>
      </c>
      <c r="G250" s="110">
        <v>0</v>
      </c>
      <c r="H250" s="110">
        <v>0</v>
      </c>
      <c r="I250" s="110">
        <v>0</v>
      </c>
      <c r="J250" s="110">
        <v>0</v>
      </c>
      <c r="K250" s="110">
        <v>0</v>
      </c>
      <c r="L250" s="110">
        <v>0</v>
      </c>
      <c r="M250" s="110">
        <v>0</v>
      </c>
      <c r="N250" s="110">
        <v>0</v>
      </c>
      <c r="O250" s="110">
        <v>0</v>
      </c>
      <c r="P250" s="110">
        <v>0</v>
      </c>
      <c r="Q250" s="110">
        <v>0</v>
      </c>
      <c r="R250" s="110">
        <v>0</v>
      </c>
      <c r="S250" s="110">
        <v>0</v>
      </c>
      <c r="T250" s="110">
        <v>0</v>
      </c>
      <c r="U250" s="110">
        <v>0</v>
      </c>
      <c r="V250" s="110">
        <v>0</v>
      </c>
      <c r="W250" s="110">
        <v>0</v>
      </c>
      <c r="X250" s="110">
        <v>0</v>
      </c>
      <c r="Y250" s="110">
        <v>0</v>
      </c>
      <c r="Z250" s="110">
        <v>0</v>
      </c>
      <c r="AA250" s="110">
        <v>0</v>
      </c>
      <c r="AB250" s="110">
        <v>0</v>
      </c>
      <c r="AC250" s="110">
        <v>0</v>
      </c>
      <c r="AD250" s="110">
        <v>0</v>
      </c>
      <c r="AE250" s="110">
        <v>0</v>
      </c>
      <c r="AF250" s="110">
        <v>0</v>
      </c>
      <c r="AG250" s="110">
        <v>0</v>
      </c>
      <c r="AH250" s="110">
        <v>0</v>
      </c>
      <c r="AI250" s="110">
        <v>0</v>
      </c>
      <c r="AJ250" s="110">
        <v>0</v>
      </c>
      <c r="AK250" s="110">
        <v>0</v>
      </c>
      <c r="AL250" s="110">
        <v>0</v>
      </c>
      <c r="AM250" s="110">
        <v>0</v>
      </c>
      <c r="AN250" s="110">
        <v>0</v>
      </c>
      <c r="AO250" s="110">
        <v>0</v>
      </c>
      <c r="AP250" s="110">
        <v>0</v>
      </c>
      <c r="AQ250" s="110">
        <v>0</v>
      </c>
      <c r="AR250" s="110">
        <v>0</v>
      </c>
      <c r="AS250" s="110">
        <v>0</v>
      </c>
      <c r="AT250" s="110">
        <v>0</v>
      </c>
      <c r="AU250" s="110">
        <v>0</v>
      </c>
      <c r="AV250" s="110">
        <v>0</v>
      </c>
      <c r="AW250" s="110">
        <v>0</v>
      </c>
      <c r="AX250" s="110">
        <v>0</v>
      </c>
      <c r="AY250" s="110">
        <v>0</v>
      </c>
    </row>
    <row r="251" spans="1:51">
      <c r="A251" s="109"/>
      <c r="B251" s="130">
        <v>43</v>
      </c>
      <c r="C251" s="106">
        <v>0</v>
      </c>
      <c r="D251" s="110">
        <v>0</v>
      </c>
      <c r="E251" s="110">
        <v>0</v>
      </c>
      <c r="F251" s="110">
        <v>0</v>
      </c>
      <c r="G251" s="110">
        <v>0</v>
      </c>
      <c r="H251" s="110">
        <v>0</v>
      </c>
      <c r="I251" s="110">
        <v>0</v>
      </c>
      <c r="J251" s="110">
        <v>0</v>
      </c>
      <c r="K251" s="110">
        <v>0</v>
      </c>
      <c r="L251" s="110">
        <v>0</v>
      </c>
      <c r="M251" s="110">
        <v>0</v>
      </c>
      <c r="N251" s="110">
        <v>0</v>
      </c>
      <c r="O251" s="110">
        <v>0</v>
      </c>
      <c r="P251" s="110">
        <v>0</v>
      </c>
      <c r="Q251" s="110">
        <v>0</v>
      </c>
      <c r="R251" s="110">
        <v>0</v>
      </c>
      <c r="S251" s="110">
        <v>0</v>
      </c>
      <c r="T251" s="110">
        <v>0</v>
      </c>
      <c r="U251" s="110">
        <v>0</v>
      </c>
      <c r="V251" s="110">
        <v>0</v>
      </c>
      <c r="W251" s="110">
        <v>0</v>
      </c>
      <c r="X251" s="110">
        <v>0</v>
      </c>
      <c r="Y251" s="110">
        <v>0</v>
      </c>
      <c r="Z251" s="110">
        <v>0</v>
      </c>
      <c r="AA251" s="110">
        <v>0</v>
      </c>
      <c r="AB251" s="110">
        <v>0</v>
      </c>
      <c r="AC251" s="110">
        <v>0</v>
      </c>
      <c r="AD251" s="110">
        <v>0</v>
      </c>
      <c r="AE251" s="110">
        <v>0</v>
      </c>
      <c r="AF251" s="110">
        <v>0</v>
      </c>
      <c r="AG251" s="110">
        <v>0</v>
      </c>
      <c r="AH251" s="110">
        <v>0</v>
      </c>
      <c r="AI251" s="110">
        <v>0</v>
      </c>
      <c r="AJ251" s="110">
        <v>0</v>
      </c>
      <c r="AK251" s="110">
        <v>0</v>
      </c>
      <c r="AL251" s="110">
        <v>0</v>
      </c>
      <c r="AM251" s="110">
        <v>0</v>
      </c>
      <c r="AN251" s="110">
        <v>0</v>
      </c>
      <c r="AO251" s="110">
        <v>0</v>
      </c>
      <c r="AP251" s="110">
        <v>0</v>
      </c>
      <c r="AQ251" s="110">
        <v>0</v>
      </c>
      <c r="AR251" s="110">
        <v>0</v>
      </c>
      <c r="AS251" s="110">
        <v>0</v>
      </c>
      <c r="AT251" s="110">
        <v>0</v>
      </c>
      <c r="AU251" s="110">
        <v>0</v>
      </c>
      <c r="AV251" s="110">
        <v>0</v>
      </c>
      <c r="AW251" s="110">
        <v>0</v>
      </c>
      <c r="AX251" s="110">
        <v>0</v>
      </c>
      <c r="AY251" s="110">
        <v>0</v>
      </c>
    </row>
    <row r="252" spans="1:51">
      <c r="A252" s="109"/>
      <c r="B252" s="130">
        <v>44</v>
      </c>
      <c r="C252" s="106">
        <v>0</v>
      </c>
      <c r="D252" s="110">
        <v>0</v>
      </c>
      <c r="E252" s="110">
        <v>0</v>
      </c>
      <c r="F252" s="110">
        <v>0</v>
      </c>
      <c r="G252" s="110">
        <v>0</v>
      </c>
      <c r="H252" s="110">
        <v>0</v>
      </c>
      <c r="I252" s="110">
        <v>0</v>
      </c>
      <c r="J252" s="110">
        <v>0</v>
      </c>
      <c r="K252" s="110">
        <v>0</v>
      </c>
      <c r="L252" s="110">
        <v>0</v>
      </c>
      <c r="M252" s="110">
        <v>0</v>
      </c>
      <c r="N252" s="110">
        <v>0</v>
      </c>
      <c r="O252" s="110">
        <v>0</v>
      </c>
      <c r="P252" s="110">
        <v>0</v>
      </c>
      <c r="Q252" s="110">
        <v>0</v>
      </c>
      <c r="R252" s="110">
        <v>0</v>
      </c>
      <c r="S252" s="110">
        <v>0</v>
      </c>
      <c r="T252" s="110">
        <v>0</v>
      </c>
      <c r="U252" s="110">
        <v>0</v>
      </c>
      <c r="V252" s="110">
        <v>0</v>
      </c>
      <c r="W252" s="110">
        <v>0</v>
      </c>
      <c r="X252" s="110">
        <v>0</v>
      </c>
      <c r="Y252" s="110">
        <v>0</v>
      </c>
      <c r="Z252" s="110">
        <v>0</v>
      </c>
      <c r="AA252" s="110">
        <v>0</v>
      </c>
      <c r="AB252" s="110">
        <v>0</v>
      </c>
      <c r="AC252" s="110">
        <v>0</v>
      </c>
      <c r="AD252" s="110">
        <v>0</v>
      </c>
      <c r="AE252" s="110">
        <v>0</v>
      </c>
      <c r="AF252" s="110">
        <v>0</v>
      </c>
      <c r="AG252" s="110">
        <v>0</v>
      </c>
      <c r="AH252" s="110">
        <v>0</v>
      </c>
      <c r="AI252" s="110">
        <v>0</v>
      </c>
      <c r="AJ252" s="110">
        <v>0</v>
      </c>
      <c r="AK252" s="110">
        <v>0</v>
      </c>
      <c r="AL252" s="110">
        <v>0</v>
      </c>
      <c r="AM252" s="110">
        <v>0</v>
      </c>
      <c r="AN252" s="110">
        <v>0</v>
      </c>
      <c r="AO252" s="110">
        <v>0</v>
      </c>
      <c r="AP252" s="110">
        <v>0</v>
      </c>
      <c r="AQ252" s="110">
        <v>0</v>
      </c>
      <c r="AR252" s="110">
        <v>0</v>
      </c>
      <c r="AS252" s="110">
        <v>0</v>
      </c>
      <c r="AT252" s="110">
        <v>0</v>
      </c>
      <c r="AU252" s="110">
        <v>0</v>
      </c>
      <c r="AV252" s="110">
        <v>0</v>
      </c>
      <c r="AW252" s="110">
        <v>0</v>
      </c>
      <c r="AX252" s="110">
        <v>0</v>
      </c>
      <c r="AY252" s="110">
        <v>0</v>
      </c>
    </row>
    <row r="253" spans="1:51">
      <c r="A253" s="109"/>
      <c r="B253" s="130">
        <v>45</v>
      </c>
      <c r="C253" s="106">
        <v>0</v>
      </c>
      <c r="D253" s="110">
        <v>0</v>
      </c>
      <c r="E253" s="110">
        <v>0</v>
      </c>
      <c r="F253" s="110">
        <v>0</v>
      </c>
      <c r="G253" s="110">
        <v>0</v>
      </c>
      <c r="H253" s="110">
        <v>0</v>
      </c>
      <c r="I253" s="110">
        <v>0</v>
      </c>
      <c r="J253" s="110">
        <v>0</v>
      </c>
      <c r="K253" s="110">
        <v>0</v>
      </c>
      <c r="L253" s="110">
        <v>0</v>
      </c>
      <c r="M253" s="110">
        <v>0</v>
      </c>
      <c r="N253" s="110">
        <v>0</v>
      </c>
      <c r="O253" s="110">
        <v>0</v>
      </c>
      <c r="P253" s="110">
        <v>0</v>
      </c>
      <c r="Q253" s="110">
        <v>0</v>
      </c>
      <c r="R253" s="110">
        <v>0</v>
      </c>
      <c r="S253" s="110">
        <v>0</v>
      </c>
      <c r="T253" s="110">
        <v>0</v>
      </c>
      <c r="U253" s="110">
        <v>0</v>
      </c>
      <c r="V253" s="110">
        <v>0</v>
      </c>
      <c r="W253" s="110">
        <v>0</v>
      </c>
      <c r="X253" s="110">
        <v>0</v>
      </c>
      <c r="Y253" s="110">
        <v>0</v>
      </c>
      <c r="Z253" s="110">
        <v>0</v>
      </c>
      <c r="AA253" s="110">
        <v>0</v>
      </c>
      <c r="AB253" s="110">
        <v>0</v>
      </c>
      <c r="AC253" s="110">
        <v>0</v>
      </c>
      <c r="AD253" s="110">
        <v>0</v>
      </c>
      <c r="AE253" s="110">
        <v>0</v>
      </c>
      <c r="AF253" s="110">
        <v>0</v>
      </c>
      <c r="AG253" s="110">
        <v>0</v>
      </c>
      <c r="AH253" s="110">
        <v>0</v>
      </c>
      <c r="AI253" s="110">
        <v>0</v>
      </c>
      <c r="AJ253" s="110">
        <v>0</v>
      </c>
      <c r="AK253" s="110">
        <v>0</v>
      </c>
      <c r="AL253" s="110">
        <v>0</v>
      </c>
      <c r="AM253" s="110">
        <v>0</v>
      </c>
      <c r="AN253" s="110">
        <v>0</v>
      </c>
      <c r="AO253" s="110">
        <v>0</v>
      </c>
      <c r="AP253" s="110">
        <v>0</v>
      </c>
      <c r="AQ253" s="110">
        <v>0</v>
      </c>
      <c r="AR253" s="110">
        <v>0</v>
      </c>
      <c r="AS253" s="110">
        <v>0</v>
      </c>
      <c r="AT253" s="110">
        <v>0</v>
      </c>
      <c r="AU253" s="110">
        <v>0</v>
      </c>
      <c r="AV253" s="110">
        <v>0</v>
      </c>
      <c r="AW253" s="110">
        <v>0</v>
      </c>
      <c r="AX253" s="110">
        <v>0</v>
      </c>
      <c r="AY253" s="110">
        <v>0</v>
      </c>
    </row>
    <row r="254" spans="1:51">
      <c r="A254" s="109"/>
      <c r="B254" s="130">
        <v>46</v>
      </c>
      <c r="C254" s="106">
        <v>0</v>
      </c>
      <c r="D254" s="110">
        <v>0</v>
      </c>
      <c r="E254" s="110">
        <v>0</v>
      </c>
      <c r="F254" s="110">
        <v>0</v>
      </c>
      <c r="G254" s="110">
        <v>0</v>
      </c>
      <c r="H254" s="110">
        <v>0</v>
      </c>
      <c r="I254" s="110">
        <v>0</v>
      </c>
      <c r="J254" s="110">
        <v>0</v>
      </c>
      <c r="K254" s="110">
        <v>0</v>
      </c>
      <c r="L254" s="110">
        <v>0</v>
      </c>
      <c r="M254" s="110">
        <v>0</v>
      </c>
      <c r="N254" s="110">
        <v>0</v>
      </c>
      <c r="O254" s="110">
        <v>0</v>
      </c>
      <c r="P254" s="110">
        <v>0</v>
      </c>
      <c r="Q254" s="110">
        <v>0</v>
      </c>
      <c r="R254" s="110">
        <v>0</v>
      </c>
      <c r="S254" s="110">
        <v>0</v>
      </c>
      <c r="T254" s="110">
        <v>0</v>
      </c>
      <c r="U254" s="110">
        <v>0</v>
      </c>
      <c r="V254" s="110">
        <v>0</v>
      </c>
      <c r="W254" s="110">
        <v>0</v>
      </c>
      <c r="X254" s="110">
        <v>0</v>
      </c>
      <c r="Y254" s="110">
        <v>0</v>
      </c>
      <c r="Z254" s="110">
        <v>0</v>
      </c>
      <c r="AA254" s="110">
        <v>0</v>
      </c>
      <c r="AB254" s="110">
        <v>0</v>
      </c>
      <c r="AC254" s="110">
        <v>0</v>
      </c>
      <c r="AD254" s="110">
        <v>0</v>
      </c>
      <c r="AE254" s="110">
        <v>0</v>
      </c>
      <c r="AF254" s="110">
        <v>0</v>
      </c>
      <c r="AG254" s="110">
        <v>0</v>
      </c>
      <c r="AH254" s="110">
        <v>0</v>
      </c>
      <c r="AI254" s="110">
        <v>0</v>
      </c>
      <c r="AJ254" s="110">
        <v>0</v>
      </c>
      <c r="AK254" s="110">
        <v>0</v>
      </c>
      <c r="AL254" s="110">
        <v>0</v>
      </c>
      <c r="AM254" s="110">
        <v>0</v>
      </c>
      <c r="AN254" s="110">
        <v>0</v>
      </c>
      <c r="AO254" s="110">
        <v>0</v>
      </c>
      <c r="AP254" s="110">
        <v>0</v>
      </c>
      <c r="AQ254" s="110">
        <v>0</v>
      </c>
      <c r="AR254" s="110">
        <v>0</v>
      </c>
      <c r="AS254" s="110">
        <v>0</v>
      </c>
      <c r="AT254" s="110">
        <v>0</v>
      </c>
      <c r="AU254" s="110">
        <v>0</v>
      </c>
      <c r="AV254" s="110">
        <v>0</v>
      </c>
      <c r="AW254" s="110">
        <v>0</v>
      </c>
      <c r="AX254" s="110">
        <v>0</v>
      </c>
      <c r="AY254" s="110">
        <v>0</v>
      </c>
    </row>
    <row r="255" spans="1:51">
      <c r="A255" s="109"/>
      <c r="B255" s="130">
        <v>47</v>
      </c>
      <c r="C255" s="106">
        <v>0</v>
      </c>
      <c r="D255" s="110">
        <v>0</v>
      </c>
      <c r="E255" s="110">
        <v>0</v>
      </c>
      <c r="F255" s="110">
        <v>0</v>
      </c>
      <c r="G255" s="110">
        <v>0</v>
      </c>
      <c r="H255" s="110">
        <v>0</v>
      </c>
      <c r="I255" s="110">
        <v>0</v>
      </c>
      <c r="J255" s="110">
        <v>0</v>
      </c>
      <c r="K255" s="110">
        <v>0</v>
      </c>
      <c r="L255" s="110">
        <v>0</v>
      </c>
      <c r="M255" s="110">
        <v>0</v>
      </c>
      <c r="N255" s="110">
        <v>0</v>
      </c>
      <c r="O255" s="110">
        <v>0</v>
      </c>
      <c r="P255" s="110">
        <v>0</v>
      </c>
      <c r="Q255" s="110">
        <v>0</v>
      </c>
      <c r="R255" s="110">
        <v>0</v>
      </c>
      <c r="S255" s="110">
        <v>0</v>
      </c>
      <c r="T255" s="110">
        <v>0</v>
      </c>
      <c r="U255" s="110">
        <v>0</v>
      </c>
      <c r="V255" s="110">
        <v>0</v>
      </c>
      <c r="W255" s="110">
        <v>0</v>
      </c>
      <c r="X255" s="110">
        <v>0</v>
      </c>
      <c r="Y255" s="110">
        <v>0</v>
      </c>
      <c r="Z255" s="110">
        <v>0</v>
      </c>
      <c r="AA255" s="110">
        <v>0</v>
      </c>
      <c r="AB255" s="110">
        <v>0</v>
      </c>
      <c r="AC255" s="110">
        <v>0</v>
      </c>
      <c r="AD255" s="110">
        <v>0</v>
      </c>
      <c r="AE255" s="110">
        <v>0</v>
      </c>
      <c r="AF255" s="110">
        <v>0</v>
      </c>
      <c r="AG255" s="110">
        <v>0</v>
      </c>
      <c r="AH255" s="110">
        <v>0</v>
      </c>
      <c r="AI255" s="110">
        <v>0</v>
      </c>
      <c r="AJ255" s="110">
        <v>0</v>
      </c>
      <c r="AK255" s="110">
        <v>0</v>
      </c>
      <c r="AL255" s="110">
        <v>0</v>
      </c>
      <c r="AM255" s="110">
        <v>0</v>
      </c>
      <c r="AN255" s="110">
        <v>0</v>
      </c>
      <c r="AO255" s="110">
        <v>0</v>
      </c>
      <c r="AP255" s="110">
        <v>0</v>
      </c>
      <c r="AQ255" s="110">
        <v>0</v>
      </c>
      <c r="AR255" s="110">
        <v>0</v>
      </c>
      <c r="AS255" s="110">
        <v>0</v>
      </c>
      <c r="AT255" s="110">
        <v>0</v>
      </c>
      <c r="AU255" s="110">
        <v>0</v>
      </c>
      <c r="AV255" s="110">
        <v>0</v>
      </c>
      <c r="AW255" s="110">
        <v>0</v>
      </c>
      <c r="AX255" s="110">
        <v>0</v>
      </c>
      <c r="AY255" s="110">
        <v>0</v>
      </c>
    </row>
    <row r="256" spans="1:51">
      <c r="A256" s="128"/>
      <c r="B256" s="129">
        <v>48</v>
      </c>
      <c r="C256" s="114">
        <v>0</v>
      </c>
      <c r="D256" s="125">
        <v>0</v>
      </c>
      <c r="E256" s="125">
        <v>0</v>
      </c>
      <c r="F256" s="125">
        <v>0</v>
      </c>
      <c r="G256" s="125">
        <v>0</v>
      </c>
      <c r="H256" s="125">
        <v>0</v>
      </c>
      <c r="I256" s="125">
        <v>0</v>
      </c>
      <c r="J256" s="125">
        <v>0</v>
      </c>
      <c r="K256" s="125">
        <v>0</v>
      </c>
      <c r="L256" s="125">
        <v>0</v>
      </c>
      <c r="M256" s="125">
        <v>0</v>
      </c>
      <c r="N256" s="125">
        <v>0</v>
      </c>
      <c r="O256" s="125">
        <v>0</v>
      </c>
      <c r="P256" s="125">
        <v>0</v>
      </c>
      <c r="Q256" s="125">
        <v>0</v>
      </c>
      <c r="R256" s="125">
        <v>0</v>
      </c>
      <c r="S256" s="125">
        <v>0</v>
      </c>
      <c r="T256" s="125">
        <v>0</v>
      </c>
      <c r="U256" s="125">
        <v>0</v>
      </c>
      <c r="V256" s="125">
        <v>0</v>
      </c>
      <c r="W256" s="125">
        <v>0</v>
      </c>
      <c r="X256" s="125">
        <v>0</v>
      </c>
      <c r="Y256" s="125">
        <v>0</v>
      </c>
      <c r="Z256" s="125">
        <v>0</v>
      </c>
      <c r="AA256" s="125">
        <v>0</v>
      </c>
      <c r="AB256" s="125">
        <v>0</v>
      </c>
      <c r="AC256" s="125">
        <v>0</v>
      </c>
      <c r="AD256" s="125">
        <v>0</v>
      </c>
      <c r="AE256" s="125">
        <v>0</v>
      </c>
      <c r="AF256" s="125">
        <v>0</v>
      </c>
      <c r="AG256" s="125">
        <v>0</v>
      </c>
      <c r="AH256" s="125">
        <v>0</v>
      </c>
      <c r="AI256" s="125">
        <v>0</v>
      </c>
      <c r="AJ256" s="125">
        <v>0</v>
      </c>
      <c r="AK256" s="125">
        <v>0</v>
      </c>
      <c r="AL256" s="125">
        <v>0</v>
      </c>
      <c r="AM256" s="125">
        <v>0</v>
      </c>
      <c r="AN256" s="125">
        <v>0</v>
      </c>
      <c r="AO256" s="125">
        <v>0</v>
      </c>
      <c r="AP256" s="125">
        <v>0</v>
      </c>
      <c r="AQ256" s="125">
        <v>0</v>
      </c>
      <c r="AR256" s="125">
        <v>0</v>
      </c>
      <c r="AS256" s="125">
        <v>0</v>
      </c>
      <c r="AT256" s="125">
        <v>0</v>
      </c>
      <c r="AU256" s="125">
        <v>0</v>
      </c>
      <c r="AV256" s="125">
        <v>0</v>
      </c>
      <c r="AW256" s="125">
        <v>0</v>
      </c>
      <c r="AX256" s="125">
        <v>0</v>
      </c>
      <c r="AY256" s="125">
        <v>0</v>
      </c>
    </row>
    <row r="258" spans="1:52">
      <c r="A258" s="102" t="s">
        <v>301</v>
      </c>
    </row>
    <row r="259" spans="1:52">
      <c r="A259" s="137" t="s">
        <v>124</v>
      </c>
      <c r="B259" s="138">
        <v>650</v>
      </c>
      <c r="C259" s="124" t="s">
        <v>293</v>
      </c>
      <c r="D259" s="124">
        <f>E$14*$B$259</f>
        <v>91566.40629194949</v>
      </c>
      <c r="E259" s="124">
        <f t="shared" ref="E259:AX259" si="5">F$14*$B$259</f>
        <v>70526.053154680238</v>
      </c>
      <c r="F259" s="124">
        <f t="shared" si="5"/>
        <v>35719.505511596355</v>
      </c>
      <c r="G259" s="124">
        <f t="shared" si="5"/>
        <v>82569.630748120398</v>
      </c>
      <c r="H259" s="124">
        <f t="shared" si="5"/>
        <v>59144.56812985838</v>
      </c>
      <c r="I259" s="124">
        <f t="shared" si="5"/>
        <v>59144.56812985838</v>
      </c>
      <c r="J259" s="124">
        <f t="shared" si="5"/>
        <v>41597.275325880655</v>
      </c>
      <c r="K259" s="124">
        <f t="shared" si="5"/>
        <v>76691.860933836098</v>
      </c>
      <c r="L259" s="124">
        <f t="shared" si="5"/>
        <v>59144.56812985838</v>
      </c>
      <c r="M259" s="124">
        <f t="shared" si="5"/>
        <v>35719.505511596355</v>
      </c>
      <c r="N259" s="124">
        <f t="shared" si="5"/>
        <v>64923.886651954752</v>
      </c>
      <c r="O259" s="124">
        <f t="shared" si="5"/>
        <v>59144.56812985838</v>
      </c>
      <c r="P259" s="124">
        <f t="shared" si="5"/>
        <v>59144.56812985838</v>
      </c>
      <c r="Q259" s="124">
        <f t="shared" si="5"/>
        <v>59144.56812985838</v>
      </c>
      <c r="R259" s="124">
        <f t="shared" si="5"/>
        <v>59144.56812985838</v>
      </c>
      <c r="S259" s="124">
        <f t="shared" si="5"/>
        <v>59144.56812985838</v>
      </c>
      <c r="T259" s="124">
        <f t="shared" si="5"/>
        <v>59144.56812985838</v>
      </c>
      <c r="U259" s="124">
        <f t="shared" si="5"/>
        <v>59144.56812985838</v>
      </c>
      <c r="V259" s="124">
        <f t="shared" si="5"/>
        <v>59144.56812985838</v>
      </c>
      <c r="W259" s="124">
        <f t="shared" si="5"/>
        <v>59144.56812985838</v>
      </c>
      <c r="X259" s="124">
        <f t="shared" si="5"/>
        <v>59144.56812985838</v>
      </c>
      <c r="Y259" s="124">
        <f t="shared" si="5"/>
        <v>59144.56812985838</v>
      </c>
      <c r="Z259" s="124">
        <f t="shared" si="5"/>
        <v>59144.56812985838</v>
      </c>
      <c r="AA259" s="124">
        <f t="shared" si="5"/>
        <v>59144.56812985838</v>
      </c>
      <c r="AB259" s="124">
        <f t="shared" si="5"/>
        <v>59144.56812985838</v>
      </c>
      <c r="AC259" s="124">
        <f t="shared" si="5"/>
        <v>41597.275325880655</v>
      </c>
      <c r="AD259" s="124">
        <f t="shared" si="5"/>
        <v>59144.56812985838</v>
      </c>
      <c r="AE259" s="124">
        <f t="shared" si="5"/>
        <v>59144.56812985838</v>
      </c>
      <c r="AF259" s="124">
        <f t="shared" si="5"/>
        <v>76691.860933836098</v>
      </c>
      <c r="AG259" s="124">
        <f t="shared" si="5"/>
        <v>41597.275325880655</v>
      </c>
      <c r="AH259" s="124">
        <f t="shared" si="5"/>
        <v>76691.860933836098</v>
      </c>
      <c r="AI259" s="124">
        <f t="shared" si="5"/>
        <v>59144.56812985838</v>
      </c>
      <c r="AJ259" s="124">
        <f t="shared" si="5"/>
        <v>59144.56812985838</v>
      </c>
      <c r="AK259" s="124">
        <f t="shared" si="5"/>
        <v>41597.275325880655</v>
      </c>
      <c r="AL259" s="124">
        <f t="shared" si="5"/>
        <v>76691.860933836098</v>
      </c>
      <c r="AM259" s="124">
        <f t="shared" si="5"/>
        <v>59144.56812985838</v>
      </c>
      <c r="AN259" s="124">
        <f t="shared" si="5"/>
        <v>59144.56812985838</v>
      </c>
      <c r="AO259" s="124">
        <f t="shared" si="5"/>
        <v>59144.56812985838</v>
      </c>
      <c r="AP259" s="124">
        <f t="shared" si="5"/>
        <v>54459.555606205977</v>
      </c>
      <c r="AQ259" s="124">
        <f t="shared" si="5"/>
        <v>54459.55560620597</v>
      </c>
      <c r="AR259" s="124">
        <f t="shared" si="5"/>
        <v>54459.555606205977</v>
      </c>
      <c r="AS259" s="124">
        <f t="shared" si="5"/>
        <v>54459.55560620597</v>
      </c>
      <c r="AT259" s="124">
        <f t="shared" si="5"/>
        <v>59144.56812985838</v>
      </c>
      <c r="AU259" s="124">
        <f t="shared" si="5"/>
        <v>47475.045140164948</v>
      </c>
      <c r="AV259" s="124">
        <f t="shared" si="5"/>
        <v>67961.222851284823</v>
      </c>
      <c r="AW259" s="124">
        <f t="shared" si="5"/>
        <v>38572.373779863337</v>
      </c>
      <c r="AX259" s="124">
        <f t="shared" si="5"/>
        <v>64923.886651954752</v>
      </c>
      <c r="AY259" s="124">
        <f>AZ$14*$B$259</f>
        <v>35719.505511596355</v>
      </c>
      <c r="AZ259" s="139">
        <f>SUM($D259:$AY259)</f>
        <v>2805285.9925149125</v>
      </c>
    </row>
    <row r="260" spans="1:52">
      <c r="A260" s="140" t="s">
        <v>302</v>
      </c>
      <c r="B260" s="114">
        <v>60</v>
      </c>
      <c r="C260" s="125" t="s">
        <v>293</v>
      </c>
      <c r="D260" s="125">
        <f>(D$175-D$176+D$177-D$178+D$179-D$180+D$181-D$182)*$B$260</f>
        <v>41671.883630792792</v>
      </c>
      <c r="E260" s="125">
        <f t="shared" ref="E260:AY260" si="6">(E$175-E$176+E$177-E$178+E$179-E$180+E$181-E$182)*$B$260</f>
        <v>45448.64940665137</v>
      </c>
      <c r="F260" s="125">
        <f t="shared" si="6"/>
        <v>39199.089795253436</v>
      </c>
      <c r="G260" s="125">
        <f t="shared" si="6"/>
        <v>51361.698231335999</v>
      </c>
      <c r="H260" s="125">
        <f t="shared" si="6"/>
        <v>46030.111135412604</v>
      </c>
      <c r="I260" s="125">
        <f t="shared" si="6"/>
        <v>42498.524039489195</v>
      </c>
      <c r="J260" s="125">
        <f t="shared" si="6"/>
        <v>43244.872423182816</v>
      </c>
      <c r="K260" s="125">
        <f t="shared" si="6"/>
        <v>44226.27022076182</v>
      </c>
      <c r="L260" s="125">
        <f t="shared" si="6"/>
        <v>40394.683124838419</v>
      </c>
      <c r="M260" s="125">
        <f t="shared" si="6"/>
        <v>40046.090528978522</v>
      </c>
      <c r="N260" s="125">
        <f t="shared" si="6"/>
        <v>39310.600442126582</v>
      </c>
      <c r="O260" s="125">
        <f t="shared" si="6"/>
        <v>38006.090528978522</v>
      </c>
      <c r="P260" s="125">
        <f t="shared" si="6"/>
        <v>38647.308634774221</v>
      </c>
      <c r="Q260" s="125">
        <f t="shared" si="6"/>
        <v>41088.526740569927</v>
      </c>
      <c r="R260" s="125">
        <f t="shared" si="6"/>
        <v>40904.872423182816</v>
      </c>
      <c r="S260" s="125">
        <f t="shared" si="6"/>
        <v>39824.872423182816</v>
      </c>
      <c r="T260" s="125">
        <f t="shared" si="6"/>
        <v>41024.872423182816</v>
      </c>
      <c r="U260" s="125">
        <f t="shared" si="6"/>
        <v>41204.872423182816</v>
      </c>
      <c r="V260" s="125">
        <f t="shared" si="6"/>
        <v>39824.872423182816</v>
      </c>
      <c r="W260" s="125">
        <f t="shared" si="6"/>
        <v>40484.872423182816</v>
      </c>
      <c r="X260" s="125">
        <f t="shared" si="6"/>
        <v>41624.872423182816</v>
      </c>
      <c r="Y260" s="125">
        <f t="shared" si="6"/>
        <v>42284.872423182816</v>
      </c>
      <c r="Z260" s="125">
        <f t="shared" si="6"/>
        <v>39344.872423182816</v>
      </c>
      <c r="AA260" s="125">
        <f t="shared" si="6"/>
        <v>37793.285327259415</v>
      </c>
      <c r="AB260" s="125">
        <f t="shared" si="6"/>
        <v>39926.090528978522</v>
      </c>
      <c r="AC260" s="125">
        <f t="shared" si="6"/>
        <v>38204.872423182809</v>
      </c>
      <c r="AD260" s="125">
        <f t="shared" si="6"/>
        <v>40046.090528978522</v>
      </c>
      <c r="AE260" s="125">
        <f t="shared" si="6"/>
        <v>41384.872423182816</v>
      </c>
      <c r="AF260" s="125">
        <f t="shared" si="6"/>
        <v>46326.27022076182</v>
      </c>
      <c r="AG260" s="125">
        <f t="shared" si="6"/>
        <v>40694.092126457967</v>
      </c>
      <c r="AH260" s="125">
        <f t="shared" si="6"/>
        <v>45486.27022076182</v>
      </c>
      <c r="AI260" s="125">
        <f t="shared" si="6"/>
        <v>44755.901230634117</v>
      </c>
      <c r="AJ260" s="125">
        <f t="shared" si="6"/>
        <v>39164.872423182809</v>
      </c>
      <c r="AK260" s="125">
        <f t="shared" si="6"/>
        <v>41204.872423182809</v>
      </c>
      <c r="AL260" s="125">
        <f t="shared" si="6"/>
        <v>44526.27022076182</v>
      </c>
      <c r="AM260" s="125">
        <f t="shared" si="6"/>
        <v>41755.901230634117</v>
      </c>
      <c r="AN260" s="125">
        <f t="shared" si="6"/>
        <v>38556.628802023668</v>
      </c>
      <c r="AO260" s="125">
        <f t="shared" si="6"/>
        <v>35248.385180864541</v>
      </c>
      <c r="AP260" s="125">
        <f t="shared" si="6"/>
        <v>30500.141559705393</v>
      </c>
      <c r="AQ260" s="125">
        <f t="shared" si="6"/>
        <v>28253.116044341958</v>
      </c>
      <c r="AR260" s="125">
        <f t="shared" si="6"/>
        <v>32614.33415013766</v>
      </c>
      <c r="AS260" s="125">
        <f t="shared" si="6"/>
        <v>31575.552255933362</v>
      </c>
      <c r="AT260" s="125">
        <f t="shared" si="6"/>
        <v>32636.770361729064</v>
      </c>
      <c r="AU260" s="125">
        <f t="shared" si="6"/>
        <v>32377.988467524767</v>
      </c>
      <c r="AV260" s="125">
        <f t="shared" si="6"/>
        <v>33680.761493258338</v>
      </c>
      <c r="AW260" s="125">
        <f t="shared" si="6"/>
        <v>34920.424679116171</v>
      </c>
      <c r="AX260" s="125">
        <f t="shared" si="6"/>
        <v>36701.642784911877</v>
      </c>
      <c r="AY260" s="125">
        <f t="shared" si="6"/>
        <v>35182.860890707583</v>
      </c>
      <c r="AZ260" s="141">
        <f>SUM($D260:$AY260)</f>
        <v>1901216.5186900054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A260"/>
  <sheetViews>
    <sheetView workbookViewId="0">
      <pane xSplit="2" ySplit="7" topLeftCell="C166" activePane="bottomRight" state="frozen"/>
      <selection pane="topRight"/>
      <selection pane="bottomLeft"/>
      <selection pane="bottomRight" activeCell="C185" sqref="C185:C256"/>
    </sheetView>
  </sheetViews>
  <sheetFormatPr baseColWidth="10" defaultColWidth="8.83203125" defaultRowHeight="12" x14ac:dyDescent="0"/>
  <cols>
    <col min="1" max="1" width="14.6640625" style="100" customWidth="1"/>
    <col min="2" max="2" width="12.6640625" style="100" customWidth="1"/>
    <col min="3" max="16384" width="8.83203125" style="100"/>
  </cols>
  <sheetData>
    <row r="1" spans="1:53">
      <c r="A1" s="102" t="s">
        <v>284</v>
      </c>
    </row>
    <row r="2" spans="1:53">
      <c r="A2" s="100" t="s">
        <v>285</v>
      </c>
      <c r="B2" s="107" t="s">
        <v>59</v>
      </c>
    </row>
    <row r="3" spans="1:53">
      <c r="A3" s="100" t="s">
        <v>286</v>
      </c>
      <c r="B3" s="108">
        <v>6000</v>
      </c>
      <c r="C3" s="109"/>
    </row>
    <row r="4" spans="1:53">
      <c r="B4" s="110"/>
      <c r="C4" s="110"/>
    </row>
    <row r="5" spans="1:53">
      <c r="C5" s="111" t="s">
        <v>287</v>
      </c>
    </row>
    <row r="6" spans="1:53">
      <c r="C6" s="112">
        <v>0</v>
      </c>
      <c r="D6" s="112">
        <v>1</v>
      </c>
      <c r="E6" s="112">
        <v>2</v>
      </c>
      <c r="F6" s="112">
        <v>3</v>
      </c>
      <c r="G6" s="112">
        <v>4</v>
      </c>
      <c r="H6" s="112">
        <v>5</v>
      </c>
      <c r="I6" s="112">
        <v>6</v>
      </c>
      <c r="J6" s="112">
        <v>7</v>
      </c>
      <c r="K6" s="112">
        <v>8</v>
      </c>
      <c r="L6" s="112">
        <v>9</v>
      </c>
      <c r="M6" s="112">
        <v>10</v>
      </c>
      <c r="N6" s="112">
        <v>11</v>
      </c>
      <c r="O6" s="112">
        <v>12</v>
      </c>
      <c r="P6" s="112">
        <v>13</v>
      </c>
      <c r="Q6" s="112">
        <v>14</v>
      </c>
      <c r="R6" s="112">
        <v>15</v>
      </c>
      <c r="S6" s="112">
        <v>16</v>
      </c>
      <c r="T6" s="112">
        <v>17</v>
      </c>
      <c r="U6" s="112">
        <v>18</v>
      </c>
      <c r="V6" s="112">
        <v>19</v>
      </c>
      <c r="W6" s="112">
        <v>20</v>
      </c>
      <c r="X6" s="112">
        <v>21</v>
      </c>
      <c r="Y6" s="112">
        <v>22</v>
      </c>
      <c r="Z6" s="112">
        <v>23</v>
      </c>
      <c r="AA6" s="112">
        <v>24</v>
      </c>
      <c r="AB6" s="112">
        <v>25</v>
      </c>
      <c r="AC6" s="112">
        <v>26</v>
      </c>
      <c r="AD6" s="112">
        <v>27</v>
      </c>
      <c r="AE6" s="112">
        <v>28</v>
      </c>
      <c r="AF6" s="112">
        <v>29</v>
      </c>
      <c r="AG6" s="112">
        <v>30</v>
      </c>
      <c r="AH6" s="112">
        <v>31</v>
      </c>
      <c r="AI6" s="112">
        <v>32</v>
      </c>
      <c r="AJ6" s="112">
        <v>33</v>
      </c>
      <c r="AK6" s="112">
        <v>34</v>
      </c>
      <c r="AL6" s="112">
        <v>35</v>
      </c>
      <c r="AM6" s="112">
        <v>36</v>
      </c>
      <c r="AN6" s="112">
        <v>37</v>
      </c>
      <c r="AO6" s="112">
        <v>38</v>
      </c>
      <c r="AP6" s="112">
        <v>39</v>
      </c>
      <c r="AQ6" s="112">
        <v>40</v>
      </c>
      <c r="AR6" s="112">
        <v>41</v>
      </c>
      <c r="AS6" s="112">
        <v>42</v>
      </c>
      <c r="AT6" s="112">
        <v>43</v>
      </c>
      <c r="AU6" s="112">
        <v>44</v>
      </c>
      <c r="AV6" s="112">
        <v>45</v>
      </c>
      <c r="AW6" s="112">
        <v>46</v>
      </c>
      <c r="AX6" s="112">
        <v>47</v>
      </c>
      <c r="AY6" s="112">
        <v>48</v>
      </c>
    </row>
    <row r="7" spans="1:53">
      <c r="B7" s="110"/>
      <c r="C7" s="113" t="s">
        <v>288</v>
      </c>
      <c r="D7" s="112" t="s">
        <v>289</v>
      </c>
      <c r="E7" s="112" t="s">
        <v>289</v>
      </c>
      <c r="F7" s="112" t="s">
        <v>289</v>
      </c>
      <c r="G7" s="112" t="s">
        <v>289</v>
      </c>
      <c r="H7" s="112" t="s">
        <v>289</v>
      </c>
      <c r="I7" s="112" t="s">
        <v>289</v>
      </c>
      <c r="J7" s="112" t="s">
        <v>289</v>
      </c>
      <c r="K7" s="112" t="s">
        <v>289</v>
      </c>
      <c r="L7" s="112" t="s">
        <v>289</v>
      </c>
      <c r="M7" s="112" t="s">
        <v>289</v>
      </c>
      <c r="N7" s="112" t="s">
        <v>289</v>
      </c>
      <c r="O7" s="112" t="s">
        <v>289</v>
      </c>
      <c r="P7" s="112" t="s">
        <v>289</v>
      </c>
      <c r="Q7" s="112" t="s">
        <v>289</v>
      </c>
      <c r="R7" s="112" t="s">
        <v>289</v>
      </c>
      <c r="S7" s="112" t="s">
        <v>289</v>
      </c>
      <c r="T7" s="112" t="s">
        <v>289</v>
      </c>
      <c r="U7" s="112" t="s">
        <v>289</v>
      </c>
      <c r="V7" s="112" t="s">
        <v>289</v>
      </c>
      <c r="W7" s="112" t="s">
        <v>289</v>
      </c>
      <c r="X7" s="112" t="s">
        <v>289</v>
      </c>
      <c r="Y7" s="112" t="s">
        <v>289</v>
      </c>
      <c r="Z7" s="112" t="s">
        <v>289</v>
      </c>
      <c r="AA7" s="112" t="s">
        <v>289</v>
      </c>
      <c r="AB7" s="112" t="s">
        <v>289</v>
      </c>
      <c r="AC7" s="112" t="s">
        <v>289</v>
      </c>
      <c r="AD7" s="112" t="s">
        <v>289</v>
      </c>
      <c r="AE7" s="112" t="s">
        <v>289</v>
      </c>
      <c r="AF7" s="112" t="s">
        <v>289</v>
      </c>
      <c r="AG7" s="112" t="s">
        <v>289</v>
      </c>
      <c r="AH7" s="112" t="s">
        <v>289</v>
      </c>
      <c r="AI7" s="112" t="s">
        <v>289</v>
      </c>
      <c r="AJ7" s="112" t="s">
        <v>289</v>
      </c>
      <c r="AK7" s="112" t="s">
        <v>289</v>
      </c>
      <c r="AL7" s="112" t="s">
        <v>289</v>
      </c>
      <c r="AM7" s="112" t="s">
        <v>289</v>
      </c>
      <c r="AN7" s="112" t="s">
        <v>289</v>
      </c>
      <c r="AO7" s="112" t="s">
        <v>289</v>
      </c>
      <c r="AP7" s="112" t="s">
        <v>289</v>
      </c>
      <c r="AQ7" s="112" t="s">
        <v>289</v>
      </c>
      <c r="AR7" s="112" t="s">
        <v>289</v>
      </c>
      <c r="AS7" s="112" t="s">
        <v>289</v>
      </c>
      <c r="AT7" s="112" t="s">
        <v>289</v>
      </c>
      <c r="AU7" s="112" t="s">
        <v>289</v>
      </c>
      <c r="AV7" s="112" t="s">
        <v>289</v>
      </c>
      <c r="AW7" s="112" t="s">
        <v>289</v>
      </c>
      <c r="AX7" s="112" t="s">
        <v>289</v>
      </c>
      <c r="AY7" s="111" t="s">
        <v>290</v>
      </c>
      <c r="AZ7" s="111" t="s">
        <v>291</v>
      </c>
    </row>
    <row r="8" spans="1:53">
      <c r="A8" s="102" t="s">
        <v>292</v>
      </c>
      <c r="B8" s="114"/>
      <c r="AY8" s="110"/>
    </row>
    <row r="9" spans="1:53">
      <c r="A9" s="115" t="s">
        <v>125</v>
      </c>
      <c r="B9" s="116">
        <v>1</v>
      </c>
      <c r="C9" s="117" t="s">
        <v>293</v>
      </c>
      <c r="D9" s="117">
        <v>1058.2684952501929</v>
      </c>
      <c r="E9" s="117">
        <v>1058.2684952501929</v>
      </c>
      <c r="F9" s="117">
        <v>1058.2684952501929</v>
      </c>
      <c r="G9" s="117">
        <v>1058.2684952501929</v>
      </c>
      <c r="H9" s="117">
        <v>1058.2684952501929</v>
      </c>
      <c r="I9" s="117">
        <v>1058.2684952501929</v>
      </c>
      <c r="J9" s="117">
        <v>1058.2684952501929</v>
      </c>
      <c r="K9" s="117">
        <v>1058.2684952501929</v>
      </c>
      <c r="L9" s="117">
        <v>1058.2684952501929</v>
      </c>
      <c r="M9" s="117">
        <v>1058.2684952501929</v>
      </c>
      <c r="N9" s="117">
        <v>1058.2684952501929</v>
      </c>
      <c r="O9" s="117">
        <v>1058.2684952501929</v>
      </c>
      <c r="P9" s="117">
        <v>1058.2684952501929</v>
      </c>
      <c r="Q9" s="117">
        <v>1058.2684952501929</v>
      </c>
      <c r="R9" s="117">
        <v>1058.2684952501929</v>
      </c>
      <c r="S9" s="117">
        <v>1058.2684952501929</v>
      </c>
      <c r="T9" s="117">
        <v>1058.2684952501929</v>
      </c>
      <c r="U9" s="117">
        <v>1058.2684952501929</v>
      </c>
      <c r="V9" s="117">
        <v>1058.2684952501929</v>
      </c>
      <c r="W9" s="117">
        <v>1058.2684952501929</v>
      </c>
      <c r="X9" s="117">
        <v>1058.2684952501929</v>
      </c>
      <c r="Y9" s="117">
        <v>1058.2684952501929</v>
      </c>
      <c r="Z9" s="117">
        <v>1058.2684952501929</v>
      </c>
      <c r="AA9" s="117">
        <v>1058.2684952501929</v>
      </c>
      <c r="AB9" s="117">
        <v>1058.2684952501929</v>
      </c>
      <c r="AC9" s="117">
        <v>1058.2684952501929</v>
      </c>
      <c r="AD9" s="117">
        <v>1058.2684952501929</v>
      </c>
      <c r="AE9" s="117">
        <v>1058.2684952501929</v>
      </c>
      <c r="AF9" s="117">
        <v>1263.1800281116859</v>
      </c>
      <c r="AG9" s="117">
        <v>1263.1800281116859</v>
      </c>
      <c r="AH9" s="117">
        <v>1263.1800281116859</v>
      </c>
      <c r="AI9" s="117">
        <v>1263.1800281116859</v>
      </c>
      <c r="AJ9" s="117">
        <v>1058.2684952501929</v>
      </c>
      <c r="AK9" s="117">
        <v>1058.2684952501929</v>
      </c>
      <c r="AL9" s="117">
        <v>1058.2684952501929</v>
      </c>
      <c r="AM9" s="117">
        <v>1058.2684952501929</v>
      </c>
      <c r="AN9" s="117">
        <v>1058.2684952501929</v>
      </c>
      <c r="AO9" s="117">
        <v>1058.2684952501929</v>
      </c>
      <c r="AP9" s="117">
        <v>1058.2684952501929</v>
      </c>
      <c r="AQ9" s="117">
        <v>1058.2684952501929</v>
      </c>
      <c r="AR9" s="117">
        <v>1058.2684952501929</v>
      </c>
      <c r="AS9" s="117">
        <v>1058.2684952501929</v>
      </c>
      <c r="AT9" s="117">
        <v>1058.2684952501929</v>
      </c>
      <c r="AU9" s="117">
        <v>1058.2684952501929</v>
      </c>
      <c r="AV9" s="117">
        <v>1058.2684952501929</v>
      </c>
      <c r="AW9" s="117">
        <v>1058.2684952501929</v>
      </c>
      <c r="AX9" s="117">
        <v>1058.2684952501929</v>
      </c>
      <c r="AY9" s="117">
        <v>1058.2684952501929</v>
      </c>
    </row>
    <row r="10" spans="1:53">
      <c r="A10" s="118" t="s">
        <v>133</v>
      </c>
      <c r="B10" s="119">
        <v>1</v>
      </c>
      <c r="C10" s="106" t="s">
        <v>293</v>
      </c>
      <c r="D10" s="100">
        <v>24.104054366957627</v>
      </c>
      <c r="E10" s="100">
        <v>16.25322376130438</v>
      </c>
      <c r="F10" s="100">
        <v>610.74520421119007</v>
      </c>
      <c r="G10" s="100">
        <v>610.74520421119007</v>
      </c>
      <c r="H10" s="100">
        <v>271.36218198945164</v>
      </c>
      <c r="I10" s="100">
        <v>610.74520421119007</v>
      </c>
      <c r="J10" s="100">
        <v>271.36218198945164</v>
      </c>
      <c r="K10" s="100">
        <v>19.383012999246539</v>
      </c>
      <c r="L10" s="100">
        <v>0</v>
      </c>
      <c r="M10" s="100">
        <v>1221.4904084223801</v>
      </c>
      <c r="N10" s="100">
        <v>610.74520421119007</v>
      </c>
      <c r="O10" s="100">
        <v>290.74519498869819</v>
      </c>
      <c r="P10" s="100">
        <v>610.74520421119007</v>
      </c>
      <c r="Q10" s="100">
        <v>610.74520421119007</v>
      </c>
      <c r="R10" s="100">
        <v>610.74520421119007</v>
      </c>
      <c r="S10" s="100">
        <v>610.74520421119007</v>
      </c>
      <c r="T10" s="100">
        <v>0</v>
      </c>
      <c r="U10" s="100">
        <v>1221.4904084223801</v>
      </c>
      <c r="V10" s="100">
        <v>0</v>
      </c>
      <c r="W10" s="100">
        <v>290.74519498869819</v>
      </c>
      <c r="X10" s="100">
        <v>610.74520421119007</v>
      </c>
      <c r="Y10" s="100">
        <v>0</v>
      </c>
      <c r="Z10" s="100">
        <v>1221.4904084223801</v>
      </c>
      <c r="AA10" s="100">
        <v>610.74520421119007</v>
      </c>
      <c r="AB10" s="100">
        <v>290.74519498869819</v>
      </c>
      <c r="AC10" s="100">
        <v>610.74520421119007</v>
      </c>
      <c r="AD10" s="100">
        <v>610.74520421119007</v>
      </c>
      <c r="AE10" s="100">
        <v>610.74520421119007</v>
      </c>
      <c r="AF10" s="100">
        <v>610.74520421119007</v>
      </c>
      <c r="AG10" s="100">
        <v>0</v>
      </c>
      <c r="AH10" s="100">
        <v>729.00322336646434</v>
      </c>
      <c r="AI10" s="100">
        <v>729.00322336646434</v>
      </c>
      <c r="AJ10" s="100">
        <v>0</v>
      </c>
      <c r="AK10" s="100">
        <v>290.7451949886979</v>
      </c>
      <c r="AL10" s="100">
        <v>0</v>
      </c>
      <c r="AM10" s="100">
        <v>290.74519498869819</v>
      </c>
      <c r="AN10" s="100">
        <v>0</v>
      </c>
      <c r="AO10" s="100">
        <v>0</v>
      </c>
      <c r="AP10" s="100">
        <v>1221.4904084223801</v>
      </c>
      <c r="AQ10" s="100">
        <v>0</v>
      </c>
      <c r="AR10" s="100">
        <v>610.74520421119007</v>
      </c>
      <c r="AS10" s="100">
        <v>610.74520421119007</v>
      </c>
      <c r="AT10" s="100">
        <v>610.74520421119007</v>
      </c>
      <c r="AU10" s="100">
        <v>0</v>
      </c>
      <c r="AV10" s="100">
        <v>290.74519498869819</v>
      </c>
      <c r="AW10" s="100">
        <v>0</v>
      </c>
      <c r="AX10" s="100">
        <v>610.74520421119007</v>
      </c>
      <c r="AY10" s="100">
        <v>0</v>
      </c>
      <c r="AZ10" s="100">
        <v>610.74520421119007</v>
      </c>
    </row>
    <row r="11" spans="1:53">
      <c r="B11" s="119">
        <v>2</v>
      </c>
      <c r="C11" s="106" t="s">
        <v>293</v>
      </c>
      <c r="D11" s="100">
        <v>0</v>
      </c>
      <c r="E11" s="100">
        <v>0</v>
      </c>
      <c r="I11" s="100">
        <v>0</v>
      </c>
      <c r="K11" s="100">
        <v>339.38302222173843</v>
      </c>
      <c r="L11" s="100">
        <v>591.36219121194358</v>
      </c>
      <c r="M11" s="100">
        <v>0</v>
      </c>
      <c r="N11" s="100">
        <v>0</v>
      </c>
      <c r="O11" s="100">
        <v>0</v>
      </c>
      <c r="P11" s="100">
        <v>320.00000922249188</v>
      </c>
      <c r="Q11" s="100">
        <v>0</v>
      </c>
      <c r="S11" s="100">
        <v>0</v>
      </c>
      <c r="W11" s="100">
        <v>610.74520421119007</v>
      </c>
      <c r="X11" s="100">
        <v>0</v>
      </c>
      <c r="Z11" s="100">
        <v>0</v>
      </c>
      <c r="AA11" s="100">
        <v>0</v>
      </c>
      <c r="AB11" s="100">
        <v>0</v>
      </c>
      <c r="AC11" s="100">
        <v>320.00000922249188</v>
      </c>
      <c r="AD11" s="100">
        <v>0</v>
      </c>
      <c r="AE11" s="100">
        <v>0</v>
      </c>
      <c r="AH11" s="100">
        <v>610.74520421119007</v>
      </c>
      <c r="AJ11" s="100">
        <v>0</v>
      </c>
      <c r="AK11" s="100">
        <v>0</v>
      </c>
      <c r="AL11" s="100">
        <v>1167.2612517442308</v>
      </c>
      <c r="AM11" s="100">
        <v>610.74520421119007</v>
      </c>
      <c r="AN11" s="100">
        <v>320.00000922249188</v>
      </c>
      <c r="AO11" s="100">
        <v>610.74520421119007</v>
      </c>
      <c r="AQ11" s="100">
        <v>0</v>
      </c>
      <c r="AR11" s="100">
        <v>610.74520421119007</v>
      </c>
      <c r="AS11" s="100">
        <v>0</v>
      </c>
      <c r="AT11" s="100">
        <v>0</v>
      </c>
      <c r="AU11" s="100">
        <v>0</v>
      </c>
      <c r="AV11" s="100">
        <v>610.74520421119007</v>
      </c>
      <c r="AW11" s="100">
        <v>320.00000922249188</v>
      </c>
      <c r="AX11" s="100">
        <v>610.74520421119007</v>
      </c>
      <c r="AY11" s="100">
        <v>0</v>
      </c>
      <c r="BA11" s="100">
        <v>0</v>
      </c>
    </row>
    <row r="12" spans="1:53">
      <c r="B12" s="120">
        <v>3</v>
      </c>
      <c r="C12" s="106" t="s">
        <v>293</v>
      </c>
      <c r="E12" s="100">
        <v>0</v>
      </c>
      <c r="I12" s="100">
        <v>0</v>
      </c>
      <c r="J12" s="100">
        <v>339.38302222173843</v>
      </c>
      <c r="K12" s="100">
        <v>0</v>
      </c>
      <c r="L12" s="100">
        <v>0</v>
      </c>
      <c r="S12" s="100">
        <v>0</v>
      </c>
      <c r="U12" s="100">
        <v>0</v>
      </c>
      <c r="V12" s="100">
        <v>0</v>
      </c>
      <c r="W12" s="100">
        <v>0</v>
      </c>
      <c r="Y12" s="100">
        <v>320.00000922249188</v>
      </c>
      <c r="Z12" s="100">
        <v>0</v>
      </c>
      <c r="AH12" s="100">
        <v>0</v>
      </c>
      <c r="AI12" s="100">
        <v>0</v>
      </c>
      <c r="AJ12" s="100">
        <v>0</v>
      </c>
      <c r="AL12" s="100">
        <v>0</v>
      </c>
      <c r="AQ12" s="100">
        <v>0</v>
      </c>
      <c r="AS12" s="100">
        <v>0</v>
      </c>
      <c r="BA12" s="100">
        <v>610.74520421119007</v>
      </c>
    </row>
    <row r="13" spans="1:53">
      <c r="B13" s="120">
        <v>4</v>
      </c>
      <c r="C13" s="106" t="s">
        <v>293</v>
      </c>
      <c r="H13" s="100">
        <v>0</v>
      </c>
      <c r="I13" s="100">
        <v>0</v>
      </c>
      <c r="AH13" s="100">
        <v>0</v>
      </c>
      <c r="AQ13" s="100">
        <v>0</v>
      </c>
    </row>
    <row r="14" spans="1:53">
      <c r="A14" s="115" t="s">
        <v>134</v>
      </c>
      <c r="B14" s="121">
        <v>1</v>
      </c>
      <c r="C14" s="117" t="s">
        <v>293</v>
      </c>
      <c r="D14" s="117">
        <v>93.603227758915295</v>
      </c>
      <c r="E14" s="117">
        <f t="shared" ref="E14:AZ14" si="0">D$172*SUM(D$122:D$169)</f>
        <v>234.08399165634273</v>
      </c>
      <c r="F14" s="117">
        <f t="shared" si="0"/>
        <v>227.03530373952682</v>
      </c>
      <c r="G14" s="117">
        <f t="shared" si="0"/>
        <v>369.47812221162661</v>
      </c>
      <c r="H14" s="117">
        <f t="shared" si="0"/>
        <v>369.47812221162661</v>
      </c>
      <c r="I14" s="117">
        <f t="shared" si="0"/>
        <v>288.16050007943221</v>
      </c>
      <c r="J14" s="117">
        <f t="shared" si="0"/>
        <v>369.47812221162661</v>
      </c>
      <c r="K14" s="117">
        <f t="shared" si="0"/>
        <v>369.47812221162661</v>
      </c>
      <c r="L14" s="117">
        <f t="shared" si="0"/>
        <v>309.10283674510049</v>
      </c>
      <c r="M14" s="117">
        <f t="shared" si="0"/>
        <v>364.83386948343224</v>
      </c>
      <c r="N14" s="117">
        <f t="shared" si="0"/>
        <v>515.8152825385414</v>
      </c>
      <c r="O14" s="117">
        <f t="shared" si="0"/>
        <v>417.39863334408648</v>
      </c>
      <c r="P14" s="117">
        <f t="shared" si="0"/>
        <v>295.33964561859841</v>
      </c>
      <c r="Q14" s="117">
        <f t="shared" si="0"/>
        <v>446.15149161562664</v>
      </c>
      <c r="R14" s="117">
        <f t="shared" si="0"/>
        <v>369.47812221162656</v>
      </c>
      <c r="S14" s="117">
        <f t="shared" si="0"/>
        <v>369.47812221162656</v>
      </c>
      <c r="T14" s="117">
        <f t="shared" si="0"/>
        <v>369.47812221162656</v>
      </c>
      <c r="U14" s="117">
        <f t="shared" si="0"/>
        <v>223.14096188471174</v>
      </c>
      <c r="V14" s="117">
        <f t="shared" si="0"/>
        <v>515.8152825385414</v>
      </c>
      <c r="W14" s="117">
        <f t="shared" si="0"/>
        <v>235.59251847926294</v>
      </c>
      <c r="X14" s="117">
        <f t="shared" si="0"/>
        <v>439.14191313454131</v>
      </c>
      <c r="Y14" s="117">
        <f t="shared" si="0"/>
        <v>369.47812221162656</v>
      </c>
      <c r="Z14" s="117">
        <f t="shared" si="0"/>
        <v>299.8143312887118</v>
      </c>
      <c r="AA14" s="117">
        <f t="shared" si="0"/>
        <v>515.8152825385414</v>
      </c>
      <c r="AB14" s="117">
        <f t="shared" si="0"/>
        <v>369.47812221162656</v>
      </c>
      <c r="AC14" s="117">
        <f t="shared" si="0"/>
        <v>292.80475280762647</v>
      </c>
      <c r="AD14" s="117">
        <f t="shared" si="0"/>
        <v>446.15149161562658</v>
      </c>
      <c r="AE14" s="117">
        <f t="shared" si="0"/>
        <v>369.47812221162656</v>
      </c>
      <c r="AF14" s="117">
        <f t="shared" si="0"/>
        <v>369.47812221162656</v>
      </c>
      <c r="AG14" s="117">
        <f t="shared" si="0"/>
        <v>369.47812221162656</v>
      </c>
      <c r="AH14" s="117">
        <f t="shared" si="0"/>
        <v>223.14096188471174</v>
      </c>
      <c r="AI14" s="117">
        <f t="shared" si="0"/>
        <v>544.15040918340765</v>
      </c>
      <c r="AJ14" s="117">
        <f t="shared" si="0"/>
        <v>397.81324885649275</v>
      </c>
      <c r="AK14" s="117">
        <f t="shared" si="0"/>
        <v>223.14096188471174</v>
      </c>
      <c r="AL14" s="117">
        <f t="shared" si="0"/>
        <v>292.80475280762647</v>
      </c>
      <c r="AM14" s="117">
        <f t="shared" si="0"/>
        <v>502.82174490535891</v>
      </c>
      <c r="AN14" s="117">
        <f t="shared" si="0"/>
        <v>439.14191313454137</v>
      </c>
      <c r="AO14" s="117">
        <f t="shared" si="0"/>
        <v>332.00195161640096</v>
      </c>
      <c r="AP14" s="117">
        <f t="shared" si="0"/>
        <v>369.47812221162656</v>
      </c>
      <c r="AQ14" s="117">
        <f t="shared" si="0"/>
        <v>515.8152825385414</v>
      </c>
      <c r="AR14" s="117">
        <f t="shared" si="0"/>
        <v>223.14096188471174</v>
      </c>
      <c r="AS14" s="117">
        <f t="shared" si="0"/>
        <v>515.8152825385414</v>
      </c>
      <c r="AT14" s="117">
        <f t="shared" si="0"/>
        <v>381.74089616729344</v>
      </c>
      <c r="AU14" s="117">
        <f t="shared" si="0"/>
        <v>369.47812221162656</v>
      </c>
      <c r="AV14" s="117">
        <f t="shared" si="0"/>
        <v>223.14096188471174</v>
      </c>
      <c r="AW14" s="117">
        <f t="shared" si="0"/>
        <v>439.14191313454131</v>
      </c>
      <c r="AX14" s="117">
        <f t="shared" si="0"/>
        <v>299.8143312887118</v>
      </c>
      <c r="AY14" s="117">
        <f t="shared" si="0"/>
        <v>515.8152825385414</v>
      </c>
      <c r="AZ14" s="110">
        <f t="shared" si="0"/>
        <v>223.14096188471174</v>
      </c>
      <c r="BA14" s="107">
        <f>SUM($E14:$AZ14)</f>
        <v>17531.473618204578</v>
      </c>
    </row>
    <row r="15" spans="1:53">
      <c r="A15" s="122" t="s">
        <v>123</v>
      </c>
      <c r="B15" s="123">
        <v>1</v>
      </c>
      <c r="C15" s="124" t="s">
        <v>293</v>
      </c>
      <c r="D15" s="124">
        <v>535.12735889938176</v>
      </c>
      <c r="E15" s="124">
        <v>519.01371643309449</v>
      </c>
      <c r="F15" s="124">
        <v>844.64490848429784</v>
      </c>
      <c r="G15" s="124">
        <v>844.64490848429784</v>
      </c>
      <c r="H15" s="124">
        <v>658.74888007299319</v>
      </c>
      <c r="I15" s="124">
        <v>844.64490848429784</v>
      </c>
      <c r="J15" s="124">
        <v>658.74888007299319</v>
      </c>
      <c r="K15" s="124">
        <v>520.72804906319811</v>
      </c>
      <c r="L15" s="124">
        <v>510.1110620624446</v>
      </c>
      <c r="M15" s="124">
        <v>1179.178754906151</v>
      </c>
      <c r="N15" s="124">
        <v>844.64490848429773</v>
      </c>
      <c r="O15" s="124">
        <v>669.36586707374659</v>
      </c>
      <c r="P15" s="124">
        <v>844.64490848429773</v>
      </c>
      <c r="Q15" s="124">
        <v>844.64490848429773</v>
      </c>
      <c r="R15" s="124">
        <v>844.64490848429773</v>
      </c>
      <c r="S15" s="124">
        <v>844.64490848429773</v>
      </c>
      <c r="T15" s="124">
        <v>510.1110620624446</v>
      </c>
      <c r="U15" s="124">
        <v>1179.178754906151</v>
      </c>
      <c r="V15" s="124">
        <v>510.1110620624446</v>
      </c>
      <c r="W15" s="124">
        <v>669.36586707374659</v>
      </c>
      <c r="X15" s="124">
        <v>844.64490848429773</v>
      </c>
      <c r="Y15" s="124">
        <v>510.1110620624446</v>
      </c>
      <c r="Z15" s="124">
        <v>1179.178754906151</v>
      </c>
      <c r="AA15" s="124">
        <v>844.64490848429773</v>
      </c>
      <c r="AB15" s="124">
        <v>669.36586707374659</v>
      </c>
      <c r="AC15" s="124">
        <v>844.64490848429773</v>
      </c>
      <c r="AD15" s="124">
        <v>844.64490848429773</v>
      </c>
      <c r="AE15" s="124">
        <v>844.64490848429773</v>
      </c>
      <c r="AF15" s="124">
        <v>844.64490848429773</v>
      </c>
      <c r="AG15" s="124">
        <v>510.1110620624446</v>
      </c>
      <c r="AH15" s="124">
        <v>909.42038235697214</v>
      </c>
      <c r="AI15" s="124">
        <v>909.42038235697214</v>
      </c>
      <c r="AJ15" s="124">
        <v>510.1110620624446</v>
      </c>
      <c r="AK15" s="124">
        <v>669.36586707374647</v>
      </c>
      <c r="AL15" s="124">
        <v>510.1110620624446</v>
      </c>
      <c r="AM15" s="124">
        <v>669.36586707374659</v>
      </c>
      <c r="AN15" s="124">
        <v>510.1110620624446</v>
      </c>
      <c r="AO15" s="124">
        <v>510.1110620624446</v>
      </c>
      <c r="AP15" s="124">
        <v>1179.178754906151</v>
      </c>
      <c r="AQ15" s="124">
        <v>510.1110620624446</v>
      </c>
      <c r="AR15" s="124">
        <v>844.64490848429773</v>
      </c>
      <c r="AS15" s="124">
        <v>844.64490848429773</v>
      </c>
      <c r="AT15" s="124">
        <v>844.64490848429773</v>
      </c>
      <c r="AU15" s="124">
        <v>510.1110620624446</v>
      </c>
      <c r="AV15" s="124">
        <v>669.36586707374659</v>
      </c>
      <c r="AW15" s="124">
        <v>510.1110620624446</v>
      </c>
      <c r="AX15" s="124">
        <v>844.64490848429773</v>
      </c>
      <c r="AY15" s="124">
        <v>510.1110620624446</v>
      </c>
      <c r="AZ15" s="100">
        <v>334.53384642185318</v>
      </c>
    </row>
    <row r="16" spans="1:53">
      <c r="A16" s="110"/>
      <c r="B16" s="119">
        <v>2</v>
      </c>
      <c r="C16" s="109" t="s">
        <v>293</v>
      </c>
      <c r="D16" s="106">
        <v>0</v>
      </c>
      <c r="E16" s="110">
        <v>0</v>
      </c>
      <c r="F16" s="110"/>
      <c r="G16" s="110"/>
      <c r="H16" s="110"/>
      <c r="I16" s="110">
        <v>0</v>
      </c>
      <c r="J16" s="110"/>
      <c r="K16" s="110">
        <v>185.89602841130466</v>
      </c>
      <c r="L16" s="110">
        <v>323.91685942109973</v>
      </c>
      <c r="M16" s="110">
        <v>0</v>
      </c>
      <c r="N16" s="110">
        <v>0</v>
      </c>
      <c r="O16" s="110">
        <v>0</v>
      </c>
      <c r="P16" s="110">
        <v>175.2790414105512</v>
      </c>
      <c r="Q16" s="110">
        <v>0</v>
      </c>
      <c r="R16" s="110"/>
      <c r="S16" s="110">
        <v>0</v>
      </c>
      <c r="T16" s="110"/>
      <c r="U16" s="110"/>
      <c r="V16" s="110"/>
      <c r="W16" s="110">
        <v>334.53384642185318</v>
      </c>
      <c r="X16" s="110">
        <v>0</v>
      </c>
      <c r="Y16" s="110"/>
      <c r="Z16" s="110">
        <v>0</v>
      </c>
      <c r="AA16" s="110">
        <v>0</v>
      </c>
      <c r="AB16" s="110">
        <v>0</v>
      </c>
      <c r="AC16" s="110">
        <v>175.2790414105512</v>
      </c>
      <c r="AD16" s="110">
        <v>0</v>
      </c>
      <c r="AE16" s="110">
        <v>0</v>
      </c>
      <c r="AF16" s="110"/>
      <c r="AG16" s="110"/>
      <c r="AH16" s="110">
        <v>334.53384642185318</v>
      </c>
      <c r="AI16" s="110"/>
      <c r="AJ16" s="110">
        <v>0</v>
      </c>
      <c r="AK16" s="110">
        <v>0</v>
      </c>
      <c r="AL16" s="110">
        <v>639.36383557775309</v>
      </c>
      <c r="AM16" s="110">
        <v>334.53384642185318</v>
      </c>
      <c r="AN16" s="110">
        <v>175.2790414105512</v>
      </c>
      <c r="AO16" s="110">
        <v>334.53384642185318</v>
      </c>
      <c r="AP16" s="110"/>
      <c r="AQ16" s="110">
        <v>0</v>
      </c>
      <c r="AR16" s="110">
        <v>334.53384642185318</v>
      </c>
      <c r="AS16" s="110">
        <v>0</v>
      </c>
      <c r="AT16" s="110">
        <v>0</v>
      </c>
      <c r="AU16" s="110">
        <v>0</v>
      </c>
      <c r="AV16" s="110">
        <v>334.53384642185318</v>
      </c>
      <c r="AW16" s="110">
        <v>175.2790414105512</v>
      </c>
      <c r="AX16" s="110">
        <v>334.53384642185318</v>
      </c>
      <c r="AY16" s="110">
        <v>0</v>
      </c>
      <c r="BA16" s="100">
        <v>0</v>
      </c>
    </row>
    <row r="17" spans="1:53">
      <c r="A17" s="110"/>
      <c r="B17" s="119">
        <v>3</v>
      </c>
      <c r="C17" s="109" t="s">
        <v>293</v>
      </c>
      <c r="D17" s="106"/>
      <c r="E17" s="110">
        <v>0</v>
      </c>
      <c r="F17" s="110"/>
      <c r="G17" s="110"/>
      <c r="H17" s="110"/>
      <c r="I17" s="110">
        <v>0</v>
      </c>
      <c r="J17" s="110">
        <v>185.89602841130466</v>
      </c>
      <c r="K17" s="110">
        <v>0</v>
      </c>
      <c r="L17" s="110">
        <v>0</v>
      </c>
      <c r="M17" s="110"/>
      <c r="N17" s="110"/>
      <c r="O17" s="110"/>
      <c r="P17" s="110"/>
      <c r="Q17" s="110"/>
      <c r="R17" s="110"/>
      <c r="S17" s="110">
        <v>0</v>
      </c>
      <c r="T17" s="110"/>
      <c r="U17" s="110">
        <v>0</v>
      </c>
      <c r="V17" s="110">
        <v>0</v>
      </c>
      <c r="W17" s="110">
        <v>0</v>
      </c>
      <c r="X17" s="110"/>
      <c r="Y17" s="110">
        <v>175.2790414105512</v>
      </c>
      <c r="Z17" s="110">
        <v>0</v>
      </c>
      <c r="AA17" s="110"/>
      <c r="AB17" s="110"/>
      <c r="AC17" s="110"/>
      <c r="AD17" s="110"/>
      <c r="AE17" s="110"/>
      <c r="AF17" s="110"/>
      <c r="AG17" s="110"/>
      <c r="AH17" s="110">
        <v>0</v>
      </c>
      <c r="AI17" s="110">
        <v>0</v>
      </c>
      <c r="AJ17" s="110">
        <v>0</v>
      </c>
      <c r="AK17" s="110"/>
      <c r="AL17" s="110">
        <v>0</v>
      </c>
      <c r="AM17" s="110"/>
      <c r="AN17" s="110"/>
      <c r="AO17" s="110"/>
      <c r="AP17" s="110"/>
      <c r="AQ17" s="110">
        <v>0</v>
      </c>
      <c r="AR17" s="110"/>
      <c r="AS17" s="110">
        <v>0</v>
      </c>
      <c r="AT17" s="110"/>
      <c r="AU17" s="110"/>
      <c r="AV17" s="110"/>
      <c r="AW17" s="110"/>
      <c r="AX17" s="110"/>
      <c r="AY17" s="110"/>
      <c r="BA17" s="100">
        <v>334.53384642185318</v>
      </c>
    </row>
    <row r="18" spans="1:53">
      <c r="A18" s="125"/>
      <c r="B18" s="116">
        <v>4</v>
      </c>
      <c r="C18" s="125" t="s">
        <v>293</v>
      </c>
      <c r="D18" s="125"/>
      <c r="E18" s="125"/>
      <c r="F18" s="125"/>
      <c r="G18" s="125"/>
      <c r="H18" s="125">
        <v>0</v>
      </c>
      <c r="I18" s="125">
        <v>0</v>
      </c>
      <c r="J18" s="125"/>
      <c r="K18" s="125"/>
      <c r="L18" s="125"/>
      <c r="M18" s="125"/>
      <c r="N18" s="125"/>
      <c r="O18" s="125"/>
      <c r="P18" s="125"/>
      <c r="Q18" s="125"/>
      <c r="R18" s="125"/>
      <c r="S18" s="125"/>
      <c r="T18" s="125"/>
      <c r="U18" s="125"/>
      <c r="V18" s="125"/>
      <c r="W18" s="125"/>
      <c r="X18" s="125"/>
      <c r="Y18" s="125"/>
      <c r="Z18" s="125"/>
      <c r="AA18" s="125"/>
      <c r="AB18" s="125"/>
      <c r="AC18" s="125"/>
      <c r="AD18" s="125"/>
      <c r="AE18" s="125"/>
      <c r="AF18" s="125"/>
      <c r="AG18" s="125"/>
      <c r="AH18" s="125">
        <v>0</v>
      </c>
      <c r="AI18" s="125"/>
      <c r="AJ18" s="125"/>
      <c r="AK18" s="125"/>
      <c r="AL18" s="125"/>
      <c r="AM18" s="125"/>
      <c r="AN18" s="125"/>
      <c r="AO18" s="125"/>
      <c r="AP18" s="125"/>
      <c r="AQ18" s="125">
        <v>0</v>
      </c>
      <c r="AR18" s="125"/>
      <c r="AS18" s="125"/>
      <c r="AT18" s="125"/>
      <c r="AU18" s="125"/>
      <c r="AV18" s="125"/>
      <c r="AW18" s="125"/>
      <c r="AX18" s="125"/>
      <c r="AY18" s="125"/>
    </row>
    <row r="20" spans="1:53">
      <c r="A20" s="102" t="s">
        <v>294</v>
      </c>
    </row>
    <row r="21" spans="1:53">
      <c r="A21" s="126" t="s">
        <v>125</v>
      </c>
      <c r="B21" s="123">
        <v>1</v>
      </c>
      <c r="C21" s="124" t="s">
        <v>293</v>
      </c>
      <c r="D21" s="124"/>
      <c r="E21" s="124"/>
      <c r="F21" s="124"/>
      <c r="G21" s="124"/>
      <c r="H21" s="124"/>
      <c r="I21" s="124"/>
      <c r="J21" s="124"/>
      <c r="K21" s="124"/>
      <c r="L21" s="124"/>
      <c r="M21" s="124"/>
      <c r="N21" s="124"/>
      <c r="O21" s="124"/>
      <c r="P21" s="124"/>
      <c r="Q21" s="124"/>
      <c r="R21" s="124"/>
      <c r="S21" s="124"/>
      <c r="T21" s="124"/>
      <c r="U21" s="124"/>
      <c r="V21" s="124"/>
      <c r="W21" s="124"/>
      <c r="X21" s="124"/>
      <c r="Y21" s="124"/>
      <c r="Z21" s="124"/>
      <c r="AA21" s="124"/>
      <c r="AB21" s="124"/>
      <c r="AC21" s="124"/>
      <c r="AD21" s="124"/>
      <c r="AE21" s="124"/>
      <c r="AF21" s="124"/>
      <c r="AG21" s="124"/>
      <c r="AH21" s="124"/>
      <c r="AI21" s="124"/>
      <c r="AJ21" s="124"/>
      <c r="AK21" s="124"/>
      <c r="AL21" s="124"/>
      <c r="AM21" s="124"/>
      <c r="AN21" s="124"/>
      <c r="AO21" s="124"/>
      <c r="AP21" s="124"/>
      <c r="AQ21" s="124"/>
      <c r="AR21" s="124"/>
      <c r="AS21" s="124"/>
      <c r="AT21" s="124"/>
      <c r="AU21" s="124"/>
      <c r="AV21" s="124"/>
      <c r="AW21" s="124"/>
      <c r="AX21" s="124"/>
      <c r="AY21" s="124"/>
    </row>
    <row r="22" spans="1:53">
      <c r="A22" s="109"/>
      <c r="B22" s="120">
        <v>2</v>
      </c>
      <c r="C22" s="110" t="s">
        <v>293</v>
      </c>
      <c r="D22" s="110"/>
      <c r="E22" s="110"/>
      <c r="F22" s="110"/>
      <c r="G22" s="110"/>
      <c r="H22" s="110"/>
      <c r="I22" s="110"/>
      <c r="J22" s="110"/>
      <c r="K22" s="110"/>
      <c r="L22" s="110"/>
      <c r="M22" s="110"/>
      <c r="N22" s="110"/>
      <c r="O22" s="110"/>
      <c r="P22" s="110"/>
      <c r="Q22" s="110"/>
      <c r="R22" s="110"/>
      <c r="S22" s="110"/>
      <c r="T22" s="110"/>
      <c r="U22" s="110"/>
      <c r="V22" s="110"/>
      <c r="W22" s="110"/>
      <c r="X22" s="110"/>
      <c r="Y22" s="110"/>
      <c r="Z22" s="110"/>
      <c r="AA22" s="110"/>
      <c r="AB22" s="110"/>
      <c r="AC22" s="110"/>
      <c r="AD22" s="110"/>
      <c r="AE22" s="110"/>
      <c r="AF22" s="110"/>
      <c r="AG22" s="110"/>
      <c r="AH22" s="110"/>
      <c r="AI22" s="110"/>
      <c r="AJ22" s="110"/>
      <c r="AK22" s="110"/>
      <c r="AL22" s="110"/>
      <c r="AM22" s="110"/>
      <c r="AN22" s="110"/>
      <c r="AO22" s="110"/>
      <c r="AP22" s="110"/>
      <c r="AQ22" s="110"/>
      <c r="AR22" s="110"/>
      <c r="AS22" s="110"/>
      <c r="AT22" s="110"/>
      <c r="AU22" s="110"/>
      <c r="AV22" s="110"/>
      <c r="AW22" s="110"/>
      <c r="AX22" s="110"/>
      <c r="AY22" s="110"/>
    </row>
    <row r="23" spans="1:53">
      <c r="A23" s="109"/>
      <c r="B23" s="127">
        <v>3</v>
      </c>
      <c r="C23" s="110" t="s">
        <v>293</v>
      </c>
      <c r="D23" s="110"/>
      <c r="E23" s="110"/>
      <c r="F23" s="110"/>
      <c r="G23" s="110"/>
      <c r="H23" s="110"/>
      <c r="I23" s="110"/>
      <c r="J23" s="110"/>
      <c r="K23" s="110"/>
      <c r="L23" s="110"/>
      <c r="M23" s="110"/>
      <c r="N23" s="110"/>
      <c r="O23" s="110"/>
      <c r="P23" s="110"/>
      <c r="Q23" s="110"/>
      <c r="R23" s="110"/>
      <c r="S23" s="110"/>
      <c r="T23" s="110"/>
      <c r="U23" s="110"/>
      <c r="V23" s="110"/>
      <c r="W23" s="110"/>
      <c r="X23" s="110"/>
      <c r="Y23" s="110"/>
      <c r="Z23" s="110"/>
      <c r="AA23" s="110"/>
      <c r="AB23" s="110"/>
      <c r="AC23" s="110"/>
      <c r="AD23" s="110"/>
      <c r="AE23" s="110"/>
      <c r="AF23" s="110"/>
      <c r="AG23" s="110"/>
      <c r="AH23" s="110"/>
      <c r="AI23" s="110"/>
      <c r="AJ23" s="110"/>
      <c r="AK23" s="110"/>
      <c r="AL23" s="110"/>
      <c r="AM23" s="110"/>
      <c r="AN23" s="110"/>
      <c r="AO23" s="110"/>
      <c r="AP23" s="110"/>
      <c r="AQ23" s="110"/>
      <c r="AR23" s="110"/>
      <c r="AS23" s="110"/>
      <c r="AT23" s="110"/>
      <c r="AU23" s="110"/>
      <c r="AV23" s="110"/>
      <c r="AW23" s="110"/>
      <c r="AX23" s="110"/>
      <c r="AY23" s="110"/>
    </row>
    <row r="24" spans="1:53">
      <c r="A24" s="128"/>
      <c r="B24" s="129">
        <v>4</v>
      </c>
      <c r="C24" s="128" t="s">
        <v>293</v>
      </c>
      <c r="D24" s="125">
        <v>0</v>
      </c>
      <c r="E24" s="125">
        <v>0</v>
      </c>
      <c r="F24" s="125">
        <v>0</v>
      </c>
      <c r="G24" s="125">
        <v>0</v>
      </c>
      <c r="H24" s="125">
        <v>0</v>
      </c>
      <c r="I24" s="125">
        <v>0</v>
      </c>
      <c r="J24" s="125">
        <v>0</v>
      </c>
      <c r="K24" s="125">
        <v>0</v>
      </c>
      <c r="L24" s="125">
        <v>0</v>
      </c>
      <c r="M24" s="125">
        <v>0</v>
      </c>
      <c r="N24" s="125">
        <v>0</v>
      </c>
      <c r="O24" s="125">
        <v>0</v>
      </c>
      <c r="P24" s="125">
        <v>0</v>
      </c>
      <c r="Q24" s="125">
        <v>0</v>
      </c>
      <c r="R24" s="125">
        <v>0</v>
      </c>
      <c r="S24" s="125">
        <v>0</v>
      </c>
      <c r="T24" s="125">
        <v>0</v>
      </c>
      <c r="U24" s="125">
        <v>0</v>
      </c>
      <c r="V24" s="125">
        <v>0</v>
      </c>
      <c r="W24" s="125">
        <v>0</v>
      </c>
      <c r="X24" s="125">
        <v>0</v>
      </c>
      <c r="Y24" s="125">
        <v>0</v>
      </c>
      <c r="Z24" s="125">
        <v>0</v>
      </c>
      <c r="AA24" s="125">
        <v>0</v>
      </c>
      <c r="AB24" s="125">
        <v>0</v>
      </c>
      <c r="AC24" s="125">
        <v>0</v>
      </c>
      <c r="AD24" s="125">
        <v>0</v>
      </c>
      <c r="AE24" s="125">
        <v>0</v>
      </c>
      <c r="AF24" s="125">
        <v>0</v>
      </c>
      <c r="AG24" s="125">
        <v>0</v>
      </c>
      <c r="AH24" s="125">
        <v>0</v>
      </c>
      <c r="AI24" s="125">
        <v>0</v>
      </c>
      <c r="AJ24" s="125">
        <v>0</v>
      </c>
      <c r="AK24" s="125">
        <v>0</v>
      </c>
      <c r="AL24" s="125">
        <v>0</v>
      </c>
      <c r="AM24" s="125">
        <v>0</v>
      </c>
      <c r="AN24" s="125">
        <v>0</v>
      </c>
      <c r="AO24" s="125">
        <v>0</v>
      </c>
      <c r="AP24" s="125">
        <v>0</v>
      </c>
      <c r="AQ24" s="125">
        <v>0</v>
      </c>
      <c r="AR24" s="125">
        <v>0</v>
      </c>
      <c r="AS24" s="125">
        <v>0</v>
      </c>
      <c r="AT24" s="125">
        <v>0</v>
      </c>
      <c r="AU24" s="125">
        <v>0</v>
      </c>
      <c r="AV24" s="125">
        <v>0</v>
      </c>
      <c r="AW24" s="125">
        <v>0</v>
      </c>
      <c r="AX24" s="125">
        <v>0</v>
      </c>
      <c r="AY24" s="125">
        <v>0</v>
      </c>
    </row>
    <row r="25" spans="1:53">
      <c r="A25" s="126" t="s">
        <v>133</v>
      </c>
      <c r="B25" s="123">
        <v>1</v>
      </c>
      <c r="C25" s="109" t="s">
        <v>293</v>
      </c>
      <c r="D25" s="110"/>
      <c r="E25" s="110"/>
      <c r="F25" s="110"/>
      <c r="G25" s="110"/>
      <c r="H25" s="110"/>
      <c r="I25" s="110"/>
      <c r="J25" s="110"/>
      <c r="K25" s="110"/>
      <c r="L25" s="110"/>
      <c r="M25" s="110"/>
      <c r="N25" s="110"/>
      <c r="O25" s="110"/>
      <c r="P25" s="110"/>
      <c r="Q25" s="110"/>
      <c r="R25" s="110"/>
      <c r="S25" s="110"/>
      <c r="T25" s="110"/>
      <c r="U25" s="110"/>
      <c r="V25" s="110"/>
      <c r="W25" s="110"/>
      <c r="X25" s="110"/>
      <c r="Y25" s="110"/>
      <c r="Z25" s="110"/>
      <c r="AA25" s="110"/>
      <c r="AB25" s="110"/>
      <c r="AC25" s="110"/>
      <c r="AD25" s="110"/>
      <c r="AE25" s="110"/>
      <c r="AF25" s="110"/>
      <c r="AG25" s="110"/>
      <c r="AH25" s="110"/>
      <c r="AI25" s="110"/>
      <c r="AJ25" s="110"/>
      <c r="AK25" s="110"/>
      <c r="AL25" s="110"/>
      <c r="AM25" s="110"/>
      <c r="AN25" s="110"/>
      <c r="AO25" s="110"/>
      <c r="AP25" s="110"/>
      <c r="AQ25" s="110"/>
      <c r="AR25" s="110"/>
      <c r="AS25" s="110"/>
      <c r="AT25" s="110"/>
      <c r="AU25" s="110"/>
      <c r="AV25" s="110"/>
      <c r="AW25" s="110"/>
      <c r="AX25" s="110"/>
      <c r="AY25" s="110"/>
    </row>
    <row r="26" spans="1:53">
      <c r="A26" s="109"/>
      <c r="B26" s="119">
        <v>2</v>
      </c>
      <c r="C26" s="109" t="s">
        <v>293</v>
      </c>
      <c r="D26" s="110"/>
      <c r="E26" s="110"/>
      <c r="F26" s="110"/>
      <c r="G26" s="110"/>
      <c r="H26" s="110"/>
      <c r="I26" s="110"/>
      <c r="J26" s="110"/>
      <c r="K26" s="110"/>
      <c r="L26" s="110"/>
      <c r="M26" s="110"/>
      <c r="N26" s="110"/>
      <c r="O26" s="110"/>
      <c r="P26" s="110"/>
      <c r="Q26" s="110"/>
      <c r="R26" s="110"/>
      <c r="S26" s="110"/>
      <c r="T26" s="110"/>
      <c r="U26" s="110"/>
      <c r="V26" s="110"/>
      <c r="W26" s="110"/>
      <c r="X26" s="110"/>
      <c r="Y26" s="110"/>
      <c r="Z26" s="110"/>
      <c r="AA26" s="110"/>
      <c r="AB26" s="110"/>
      <c r="AC26" s="110"/>
      <c r="AD26" s="110"/>
      <c r="AE26" s="110"/>
      <c r="AF26" s="110"/>
      <c r="AG26" s="110"/>
      <c r="AH26" s="110"/>
      <c r="AI26" s="110"/>
      <c r="AJ26" s="110"/>
      <c r="AK26" s="110"/>
      <c r="AL26" s="110"/>
      <c r="AM26" s="110"/>
      <c r="AN26" s="110"/>
      <c r="AO26" s="110"/>
      <c r="AP26" s="110"/>
      <c r="AQ26" s="110"/>
      <c r="AR26" s="110"/>
      <c r="AS26" s="110"/>
      <c r="AT26" s="110"/>
      <c r="AU26" s="110"/>
      <c r="AV26" s="110"/>
      <c r="AW26" s="110"/>
      <c r="AX26" s="110"/>
      <c r="AY26" s="110"/>
    </row>
    <row r="27" spans="1:53">
      <c r="A27" s="109"/>
      <c r="B27" s="120">
        <v>3</v>
      </c>
      <c r="C27" s="109" t="s">
        <v>293</v>
      </c>
      <c r="D27" s="110"/>
      <c r="E27" s="110"/>
      <c r="F27" s="110"/>
      <c r="G27" s="110"/>
      <c r="H27" s="110"/>
      <c r="I27" s="110"/>
      <c r="J27" s="110"/>
      <c r="K27" s="110"/>
      <c r="L27" s="110"/>
      <c r="M27" s="110"/>
      <c r="N27" s="110"/>
      <c r="O27" s="110"/>
      <c r="P27" s="110"/>
      <c r="Q27" s="110"/>
      <c r="R27" s="110"/>
      <c r="S27" s="110"/>
      <c r="T27" s="110"/>
      <c r="U27" s="110"/>
      <c r="V27" s="110"/>
      <c r="W27" s="110"/>
      <c r="X27" s="110"/>
      <c r="Y27" s="110"/>
      <c r="Z27" s="110"/>
      <c r="AA27" s="110"/>
      <c r="AB27" s="110"/>
      <c r="AC27" s="110"/>
      <c r="AD27" s="110"/>
      <c r="AE27" s="110"/>
      <c r="AF27" s="110"/>
      <c r="AG27" s="110"/>
      <c r="AH27" s="110"/>
      <c r="AI27" s="110"/>
      <c r="AJ27" s="110"/>
      <c r="AK27" s="110"/>
      <c r="AL27" s="110"/>
      <c r="AM27" s="110"/>
      <c r="AN27" s="110"/>
      <c r="AO27" s="110"/>
      <c r="AP27" s="110"/>
      <c r="AQ27" s="110"/>
      <c r="AR27" s="110"/>
      <c r="AS27" s="110"/>
      <c r="AT27" s="110"/>
      <c r="AU27" s="110"/>
      <c r="AV27" s="110"/>
      <c r="AW27" s="110"/>
      <c r="AX27" s="110"/>
      <c r="AY27" s="110"/>
    </row>
    <row r="28" spans="1:53">
      <c r="A28" s="109"/>
      <c r="B28" s="120">
        <v>4</v>
      </c>
      <c r="C28" s="109" t="s">
        <v>293</v>
      </c>
      <c r="D28" s="110"/>
      <c r="E28" s="110"/>
      <c r="F28" s="110"/>
      <c r="G28" s="110"/>
      <c r="H28" s="110"/>
      <c r="I28" s="110"/>
      <c r="J28" s="110"/>
      <c r="K28" s="110"/>
      <c r="L28" s="110"/>
      <c r="M28" s="110"/>
      <c r="N28" s="110"/>
      <c r="O28" s="110"/>
      <c r="P28" s="110"/>
      <c r="Q28" s="110"/>
      <c r="R28" s="110"/>
      <c r="S28" s="110"/>
      <c r="T28" s="110"/>
      <c r="U28" s="110"/>
      <c r="V28" s="110"/>
      <c r="W28" s="110"/>
      <c r="X28" s="110"/>
      <c r="Y28" s="110"/>
      <c r="Z28" s="110"/>
      <c r="AA28" s="110"/>
      <c r="AB28" s="110"/>
      <c r="AC28" s="110"/>
      <c r="AD28" s="110"/>
      <c r="AE28" s="110"/>
      <c r="AF28" s="110"/>
      <c r="AG28" s="110"/>
      <c r="AH28" s="110"/>
      <c r="AI28" s="110"/>
      <c r="AJ28" s="110"/>
      <c r="AK28" s="110"/>
      <c r="AL28" s="110"/>
      <c r="AM28" s="110"/>
      <c r="AN28" s="110"/>
      <c r="AO28" s="110"/>
      <c r="AP28" s="110"/>
      <c r="AQ28" s="110"/>
      <c r="AR28" s="110"/>
      <c r="AS28" s="110"/>
      <c r="AT28" s="110"/>
      <c r="AU28" s="110"/>
      <c r="AV28" s="110"/>
      <c r="AW28" s="110"/>
      <c r="AX28" s="110"/>
      <c r="AY28" s="110"/>
    </row>
    <row r="29" spans="1:53">
      <c r="A29" s="109"/>
      <c r="B29" s="127">
        <v>5</v>
      </c>
      <c r="C29" s="109" t="s">
        <v>293</v>
      </c>
      <c r="D29" s="110"/>
      <c r="E29" s="110"/>
      <c r="F29" s="110"/>
      <c r="G29" s="110"/>
      <c r="H29" s="110"/>
      <c r="I29" s="110"/>
      <c r="J29" s="110"/>
      <c r="K29" s="110"/>
      <c r="L29" s="110"/>
      <c r="M29" s="110"/>
      <c r="N29" s="110"/>
      <c r="O29" s="110"/>
      <c r="P29" s="110"/>
      <c r="Q29" s="110"/>
      <c r="R29" s="110"/>
      <c r="S29" s="110"/>
      <c r="T29" s="110"/>
      <c r="U29" s="110"/>
      <c r="V29" s="110"/>
      <c r="W29" s="110"/>
      <c r="X29" s="110"/>
      <c r="Y29" s="110"/>
      <c r="Z29" s="110"/>
      <c r="AA29" s="110"/>
      <c r="AB29" s="110"/>
      <c r="AC29" s="110"/>
      <c r="AD29" s="110"/>
      <c r="AE29" s="110"/>
      <c r="AF29" s="110"/>
      <c r="AG29" s="110"/>
      <c r="AH29" s="110"/>
      <c r="AI29" s="110"/>
      <c r="AJ29" s="110"/>
      <c r="AK29" s="110"/>
      <c r="AL29" s="110"/>
      <c r="AM29" s="110"/>
      <c r="AN29" s="110"/>
      <c r="AO29" s="110"/>
      <c r="AP29" s="110"/>
      <c r="AQ29" s="110"/>
      <c r="AR29" s="110"/>
      <c r="AS29" s="110"/>
      <c r="AT29" s="110"/>
      <c r="AU29" s="110"/>
      <c r="AV29" s="110"/>
      <c r="AW29" s="110"/>
      <c r="AX29" s="110"/>
      <c r="AY29" s="110"/>
    </row>
    <row r="30" spans="1:53">
      <c r="A30" s="109"/>
      <c r="B30" s="127">
        <v>6</v>
      </c>
      <c r="C30" s="109" t="s">
        <v>293</v>
      </c>
      <c r="D30" s="110"/>
      <c r="E30" s="110"/>
      <c r="F30" s="110"/>
      <c r="G30" s="110"/>
      <c r="H30" s="110"/>
      <c r="I30" s="110"/>
      <c r="J30" s="110"/>
      <c r="K30" s="110"/>
      <c r="L30" s="110"/>
      <c r="M30" s="110"/>
      <c r="N30" s="110"/>
      <c r="O30" s="110"/>
      <c r="P30" s="110"/>
      <c r="Q30" s="110"/>
      <c r="R30" s="110"/>
      <c r="S30" s="110"/>
      <c r="T30" s="110"/>
      <c r="U30" s="110"/>
      <c r="V30" s="110"/>
      <c r="W30" s="110"/>
      <c r="X30" s="110"/>
      <c r="Y30" s="110"/>
      <c r="Z30" s="110"/>
      <c r="AA30" s="110"/>
      <c r="AB30" s="110"/>
      <c r="AC30" s="110"/>
      <c r="AD30" s="110"/>
      <c r="AE30" s="110"/>
      <c r="AF30" s="110"/>
      <c r="AG30" s="110"/>
      <c r="AH30" s="110"/>
      <c r="AI30" s="110"/>
      <c r="AJ30" s="110"/>
      <c r="AK30" s="110"/>
      <c r="AL30" s="110"/>
      <c r="AM30" s="110"/>
      <c r="AN30" s="110"/>
      <c r="AO30" s="110"/>
      <c r="AP30" s="110"/>
      <c r="AQ30" s="110"/>
      <c r="AR30" s="110"/>
      <c r="AS30" s="110"/>
      <c r="AT30" s="110"/>
      <c r="AU30" s="110"/>
      <c r="AV30" s="110"/>
      <c r="AW30" s="110"/>
      <c r="AX30" s="110"/>
      <c r="AY30" s="110"/>
    </row>
    <row r="31" spans="1:53">
      <c r="A31" s="109"/>
      <c r="B31" s="130">
        <v>7</v>
      </c>
      <c r="C31" s="109" t="s">
        <v>293</v>
      </c>
      <c r="D31" s="110"/>
      <c r="E31" s="110"/>
      <c r="F31" s="110"/>
      <c r="G31" s="110"/>
      <c r="H31" s="110"/>
      <c r="I31" s="110"/>
      <c r="J31" s="110"/>
      <c r="K31" s="110"/>
      <c r="L31" s="110"/>
      <c r="M31" s="110"/>
      <c r="N31" s="110"/>
      <c r="O31" s="110"/>
      <c r="P31" s="110"/>
      <c r="Q31" s="110"/>
      <c r="R31" s="110"/>
      <c r="S31" s="110"/>
      <c r="T31" s="110"/>
      <c r="U31" s="110"/>
      <c r="V31" s="110"/>
      <c r="W31" s="110"/>
      <c r="X31" s="110"/>
      <c r="Y31" s="110"/>
      <c r="Z31" s="110"/>
      <c r="AA31" s="110"/>
      <c r="AB31" s="110"/>
      <c r="AC31" s="110"/>
      <c r="AD31" s="110"/>
      <c r="AE31" s="110"/>
      <c r="AF31" s="110"/>
      <c r="AG31" s="110"/>
      <c r="AH31" s="110"/>
      <c r="AI31" s="110"/>
      <c r="AJ31" s="110"/>
      <c r="AK31" s="110"/>
      <c r="AL31" s="110"/>
      <c r="AM31" s="110"/>
      <c r="AN31" s="110"/>
      <c r="AO31" s="110"/>
      <c r="AP31" s="110"/>
      <c r="AQ31" s="110"/>
      <c r="AR31" s="110"/>
      <c r="AS31" s="110"/>
      <c r="AT31" s="110"/>
      <c r="AU31" s="110"/>
      <c r="AV31" s="110"/>
      <c r="AW31" s="110"/>
      <c r="AX31" s="110"/>
      <c r="AY31" s="110"/>
    </row>
    <row r="32" spans="1:53">
      <c r="A32" s="128"/>
      <c r="B32" s="129">
        <v>8</v>
      </c>
      <c r="C32" s="128" t="s">
        <v>293</v>
      </c>
      <c r="D32" s="125">
        <v>0</v>
      </c>
      <c r="E32" s="125">
        <v>0</v>
      </c>
      <c r="F32" s="125">
        <v>0</v>
      </c>
      <c r="G32" s="125">
        <v>0</v>
      </c>
      <c r="H32" s="125">
        <v>0</v>
      </c>
      <c r="I32" s="125">
        <v>0</v>
      </c>
      <c r="J32" s="125">
        <v>0</v>
      </c>
      <c r="K32" s="125">
        <v>0</v>
      </c>
      <c r="L32" s="125">
        <v>0</v>
      </c>
      <c r="M32" s="125">
        <v>0</v>
      </c>
      <c r="N32" s="125">
        <v>0</v>
      </c>
      <c r="O32" s="125">
        <v>0</v>
      </c>
      <c r="P32" s="125">
        <v>0</v>
      </c>
      <c r="Q32" s="125">
        <v>0</v>
      </c>
      <c r="R32" s="125">
        <v>0</v>
      </c>
      <c r="S32" s="125">
        <v>0</v>
      </c>
      <c r="T32" s="125">
        <v>0</v>
      </c>
      <c r="U32" s="125">
        <v>0</v>
      </c>
      <c r="V32" s="125">
        <v>0</v>
      </c>
      <c r="W32" s="125">
        <v>0</v>
      </c>
      <c r="X32" s="125">
        <v>0</v>
      </c>
      <c r="Y32" s="125">
        <v>0</v>
      </c>
      <c r="Z32" s="125">
        <v>0</v>
      </c>
      <c r="AA32" s="125">
        <v>0</v>
      </c>
      <c r="AB32" s="125">
        <v>0</v>
      </c>
      <c r="AC32" s="125">
        <v>0</v>
      </c>
      <c r="AD32" s="125">
        <v>0</v>
      </c>
      <c r="AE32" s="125">
        <v>0</v>
      </c>
      <c r="AF32" s="125">
        <v>0</v>
      </c>
      <c r="AG32" s="125">
        <v>0</v>
      </c>
      <c r="AH32" s="125">
        <v>0</v>
      </c>
      <c r="AI32" s="125">
        <v>0</v>
      </c>
      <c r="AJ32" s="125">
        <v>0</v>
      </c>
      <c r="AK32" s="125">
        <v>0</v>
      </c>
      <c r="AL32" s="125">
        <v>0</v>
      </c>
      <c r="AM32" s="125">
        <v>0</v>
      </c>
      <c r="AN32" s="125">
        <v>0</v>
      </c>
      <c r="AO32" s="125">
        <v>0</v>
      </c>
      <c r="AP32" s="125">
        <v>0</v>
      </c>
      <c r="AQ32" s="125">
        <v>0</v>
      </c>
      <c r="AR32" s="125">
        <v>0</v>
      </c>
      <c r="AS32" s="125">
        <v>0</v>
      </c>
      <c r="AT32" s="125">
        <v>0</v>
      </c>
      <c r="AU32" s="125">
        <v>0</v>
      </c>
      <c r="AV32" s="125">
        <v>0</v>
      </c>
      <c r="AW32" s="125">
        <v>0</v>
      </c>
      <c r="AX32" s="125">
        <v>0</v>
      </c>
      <c r="AY32" s="125">
        <v>0</v>
      </c>
    </row>
    <row r="33" spans="1:51">
      <c r="A33" s="131" t="s">
        <v>134</v>
      </c>
      <c r="B33" s="119">
        <v>1</v>
      </c>
      <c r="C33" s="109" t="s">
        <v>293</v>
      </c>
      <c r="D33" s="106"/>
      <c r="E33" s="106"/>
      <c r="F33" s="106"/>
      <c r="G33" s="106"/>
      <c r="H33" s="106"/>
      <c r="I33" s="106"/>
      <c r="J33" s="106"/>
      <c r="K33" s="106"/>
      <c r="L33" s="106"/>
      <c r="M33" s="106"/>
      <c r="N33" s="106"/>
      <c r="O33" s="106"/>
      <c r="P33" s="106"/>
      <c r="Q33" s="106"/>
      <c r="R33" s="106"/>
      <c r="S33" s="106"/>
      <c r="T33" s="106"/>
      <c r="U33" s="106"/>
      <c r="V33" s="106"/>
      <c r="W33" s="106"/>
      <c r="X33" s="106"/>
      <c r="Y33" s="106"/>
      <c r="Z33" s="106"/>
      <c r="AA33" s="106"/>
      <c r="AB33" s="106"/>
      <c r="AC33" s="106"/>
      <c r="AD33" s="106"/>
      <c r="AE33" s="106"/>
      <c r="AF33" s="106"/>
      <c r="AG33" s="106"/>
      <c r="AH33" s="106"/>
      <c r="AI33" s="106"/>
      <c r="AJ33" s="106"/>
      <c r="AK33" s="106"/>
      <c r="AL33" s="106"/>
      <c r="AM33" s="106"/>
      <c r="AN33" s="106"/>
      <c r="AO33" s="106"/>
      <c r="AP33" s="106"/>
      <c r="AQ33" s="106"/>
      <c r="AR33" s="106"/>
      <c r="AS33" s="106"/>
      <c r="AT33" s="106"/>
      <c r="AU33" s="106"/>
      <c r="AV33" s="106"/>
      <c r="AW33" s="106"/>
      <c r="AX33" s="106"/>
      <c r="AY33" s="106"/>
    </row>
    <row r="34" spans="1:51">
      <c r="A34" s="109"/>
      <c r="B34" s="119">
        <v>2</v>
      </c>
      <c r="C34" s="109" t="s">
        <v>293</v>
      </c>
      <c r="D34" s="106"/>
      <c r="E34" s="106"/>
      <c r="F34" s="106"/>
      <c r="G34" s="106"/>
      <c r="H34" s="106"/>
      <c r="I34" s="106"/>
      <c r="J34" s="106"/>
      <c r="K34" s="106"/>
      <c r="L34" s="106"/>
      <c r="M34" s="106"/>
      <c r="N34" s="106"/>
      <c r="O34" s="106"/>
      <c r="P34" s="106"/>
      <c r="Q34" s="106"/>
      <c r="R34" s="106"/>
      <c r="S34" s="106"/>
      <c r="T34" s="106"/>
      <c r="U34" s="106"/>
      <c r="V34" s="106"/>
      <c r="W34" s="106"/>
      <c r="X34" s="106"/>
      <c r="Y34" s="106"/>
      <c r="Z34" s="106"/>
      <c r="AA34" s="106"/>
      <c r="AB34" s="106"/>
      <c r="AC34" s="106"/>
      <c r="AD34" s="106"/>
      <c r="AE34" s="106"/>
      <c r="AF34" s="106"/>
      <c r="AG34" s="106"/>
      <c r="AH34" s="106"/>
      <c r="AI34" s="106"/>
      <c r="AJ34" s="106"/>
      <c r="AK34" s="106"/>
      <c r="AL34" s="106"/>
      <c r="AM34" s="106"/>
      <c r="AN34" s="106"/>
      <c r="AO34" s="106"/>
      <c r="AP34" s="106"/>
      <c r="AQ34" s="106"/>
      <c r="AR34" s="106"/>
      <c r="AS34" s="106"/>
      <c r="AT34" s="106"/>
      <c r="AU34" s="106"/>
      <c r="AV34" s="106"/>
      <c r="AW34" s="106"/>
      <c r="AX34" s="106"/>
      <c r="AY34" s="106"/>
    </row>
    <row r="35" spans="1:51">
      <c r="A35" s="109"/>
      <c r="B35" s="119">
        <v>3</v>
      </c>
      <c r="C35" s="109" t="s">
        <v>293</v>
      </c>
      <c r="D35" s="106"/>
      <c r="E35" s="106"/>
      <c r="F35" s="106"/>
      <c r="G35" s="106"/>
      <c r="H35" s="106"/>
      <c r="I35" s="106"/>
      <c r="J35" s="106"/>
      <c r="K35" s="106"/>
      <c r="L35" s="106"/>
      <c r="M35" s="106"/>
      <c r="N35" s="106"/>
      <c r="O35" s="106"/>
      <c r="P35" s="106"/>
      <c r="Q35" s="106"/>
      <c r="R35" s="106"/>
      <c r="S35" s="106"/>
      <c r="T35" s="106"/>
      <c r="U35" s="106"/>
      <c r="V35" s="106"/>
      <c r="W35" s="106"/>
      <c r="X35" s="106"/>
      <c r="Y35" s="106"/>
      <c r="Z35" s="106"/>
      <c r="AA35" s="106"/>
      <c r="AB35" s="106"/>
      <c r="AC35" s="106"/>
      <c r="AD35" s="106"/>
      <c r="AE35" s="106"/>
      <c r="AF35" s="106"/>
      <c r="AG35" s="106"/>
      <c r="AH35" s="106"/>
      <c r="AI35" s="106"/>
      <c r="AJ35" s="106"/>
      <c r="AK35" s="106"/>
      <c r="AL35" s="106"/>
      <c r="AM35" s="106"/>
      <c r="AN35" s="106"/>
      <c r="AO35" s="106"/>
      <c r="AP35" s="106"/>
      <c r="AQ35" s="106"/>
      <c r="AR35" s="106"/>
      <c r="AS35" s="106"/>
      <c r="AT35" s="106"/>
      <c r="AU35" s="106"/>
      <c r="AV35" s="106"/>
      <c r="AW35" s="106"/>
      <c r="AX35" s="106"/>
      <c r="AY35" s="106"/>
    </row>
    <row r="36" spans="1:51">
      <c r="A36" s="109"/>
      <c r="B36" s="120">
        <v>4</v>
      </c>
      <c r="C36" s="109" t="s">
        <v>293</v>
      </c>
      <c r="D36" s="106"/>
      <c r="E36" s="106"/>
      <c r="F36" s="106"/>
      <c r="G36" s="106"/>
      <c r="H36" s="106"/>
      <c r="I36" s="106"/>
      <c r="J36" s="106"/>
      <c r="K36" s="106"/>
      <c r="L36" s="106"/>
      <c r="M36" s="106"/>
      <c r="N36" s="106"/>
      <c r="O36" s="106"/>
      <c r="P36" s="106"/>
      <c r="Q36" s="106"/>
      <c r="R36" s="106"/>
      <c r="S36" s="106"/>
      <c r="T36" s="106"/>
      <c r="U36" s="106"/>
      <c r="V36" s="106"/>
      <c r="W36" s="106"/>
      <c r="X36" s="106"/>
      <c r="Y36" s="106"/>
      <c r="Z36" s="106"/>
      <c r="AA36" s="106"/>
      <c r="AB36" s="106"/>
      <c r="AC36" s="106"/>
      <c r="AD36" s="106"/>
      <c r="AE36" s="106"/>
      <c r="AF36" s="106"/>
      <c r="AG36" s="106"/>
      <c r="AH36" s="106"/>
      <c r="AI36" s="106"/>
      <c r="AJ36" s="106"/>
      <c r="AK36" s="106"/>
      <c r="AL36" s="106"/>
      <c r="AM36" s="106"/>
      <c r="AN36" s="106"/>
      <c r="AO36" s="106"/>
      <c r="AP36" s="106"/>
      <c r="AQ36" s="106"/>
      <c r="AR36" s="106"/>
      <c r="AS36" s="106"/>
      <c r="AT36" s="106"/>
      <c r="AU36" s="106"/>
      <c r="AV36" s="106"/>
      <c r="AW36" s="106"/>
      <c r="AX36" s="106"/>
      <c r="AY36" s="106"/>
    </row>
    <row r="37" spans="1:51">
      <c r="A37" s="109"/>
      <c r="B37" s="120">
        <v>5</v>
      </c>
      <c r="C37" s="109" t="s">
        <v>293</v>
      </c>
      <c r="D37" s="106"/>
      <c r="E37" s="106"/>
      <c r="F37" s="106"/>
      <c r="G37" s="106"/>
      <c r="H37" s="106"/>
      <c r="I37" s="106"/>
      <c r="J37" s="106"/>
      <c r="K37" s="106"/>
      <c r="L37" s="106"/>
      <c r="M37" s="106"/>
      <c r="N37" s="106"/>
      <c r="O37" s="106"/>
      <c r="P37" s="106"/>
      <c r="Q37" s="106"/>
      <c r="R37" s="106"/>
      <c r="S37" s="106"/>
      <c r="T37" s="106"/>
      <c r="U37" s="106"/>
      <c r="V37" s="106"/>
      <c r="W37" s="106"/>
      <c r="X37" s="106"/>
      <c r="Y37" s="106"/>
      <c r="Z37" s="106"/>
      <c r="AA37" s="106"/>
      <c r="AB37" s="106"/>
      <c r="AC37" s="106"/>
      <c r="AD37" s="106"/>
      <c r="AE37" s="106"/>
      <c r="AF37" s="106"/>
      <c r="AG37" s="106"/>
      <c r="AH37" s="106"/>
      <c r="AI37" s="106"/>
      <c r="AJ37" s="106"/>
      <c r="AK37" s="106"/>
      <c r="AL37" s="106"/>
      <c r="AM37" s="106"/>
      <c r="AN37" s="106"/>
      <c r="AO37" s="106"/>
      <c r="AP37" s="106"/>
      <c r="AQ37" s="106"/>
      <c r="AR37" s="106"/>
      <c r="AS37" s="106"/>
      <c r="AT37" s="106"/>
      <c r="AU37" s="106"/>
      <c r="AV37" s="106"/>
      <c r="AW37" s="106"/>
      <c r="AX37" s="106"/>
      <c r="AY37" s="106"/>
    </row>
    <row r="38" spans="1:51">
      <c r="A38" s="109"/>
      <c r="B38" s="120">
        <v>6</v>
      </c>
      <c r="C38" s="109" t="s">
        <v>293</v>
      </c>
      <c r="D38" s="106"/>
      <c r="E38" s="106"/>
      <c r="F38" s="106"/>
      <c r="G38" s="106"/>
      <c r="H38" s="106"/>
      <c r="I38" s="106"/>
      <c r="J38" s="106"/>
      <c r="K38" s="106"/>
      <c r="L38" s="106"/>
      <c r="M38" s="106"/>
      <c r="N38" s="106"/>
      <c r="O38" s="106"/>
      <c r="P38" s="106"/>
      <c r="Q38" s="106"/>
      <c r="R38" s="106"/>
      <c r="S38" s="106"/>
      <c r="T38" s="106"/>
      <c r="U38" s="106"/>
      <c r="V38" s="106"/>
      <c r="W38" s="106"/>
      <c r="X38" s="106"/>
      <c r="Y38" s="106"/>
      <c r="Z38" s="106"/>
      <c r="AA38" s="106"/>
      <c r="AB38" s="106"/>
      <c r="AC38" s="106"/>
      <c r="AD38" s="106"/>
      <c r="AE38" s="106"/>
      <c r="AF38" s="106"/>
      <c r="AG38" s="106"/>
      <c r="AH38" s="106"/>
      <c r="AI38" s="106"/>
      <c r="AJ38" s="106"/>
      <c r="AK38" s="106"/>
      <c r="AL38" s="106"/>
      <c r="AM38" s="106"/>
      <c r="AN38" s="106"/>
      <c r="AO38" s="106"/>
      <c r="AP38" s="106"/>
      <c r="AQ38" s="106"/>
      <c r="AR38" s="106"/>
      <c r="AS38" s="106"/>
      <c r="AT38" s="106"/>
      <c r="AU38" s="106"/>
      <c r="AV38" s="106"/>
      <c r="AW38" s="106"/>
      <c r="AX38" s="106"/>
      <c r="AY38" s="106"/>
    </row>
    <row r="39" spans="1:51">
      <c r="A39" s="109"/>
      <c r="B39" s="127">
        <v>7</v>
      </c>
      <c r="C39" s="109" t="s">
        <v>293</v>
      </c>
      <c r="D39" s="106"/>
      <c r="E39" s="106"/>
      <c r="F39" s="106"/>
      <c r="G39" s="106"/>
      <c r="H39" s="106"/>
      <c r="I39" s="106"/>
      <c r="J39" s="106"/>
      <c r="K39" s="106"/>
      <c r="L39" s="106"/>
      <c r="M39" s="106"/>
      <c r="N39" s="106"/>
      <c r="O39" s="106"/>
      <c r="P39" s="106"/>
      <c r="Q39" s="106"/>
      <c r="R39" s="106"/>
      <c r="S39" s="106"/>
      <c r="T39" s="106"/>
      <c r="U39" s="106"/>
      <c r="V39" s="106"/>
      <c r="W39" s="106"/>
      <c r="X39" s="106"/>
      <c r="Y39" s="106"/>
      <c r="Z39" s="106"/>
      <c r="AA39" s="106"/>
      <c r="AB39" s="106"/>
      <c r="AC39" s="106"/>
      <c r="AD39" s="106"/>
      <c r="AE39" s="106"/>
      <c r="AF39" s="106"/>
      <c r="AG39" s="106"/>
      <c r="AH39" s="106"/>
      <c r="AI39" s="106"/>
      <c r="AJ39" s="106"/>
      <c r="AK39" s="106"/>
      <c r="AL39" s="106"/>
      <c r="AM39" s="106"/>
      <c r="AN39" s="106"/>
      <c r="AO39" s="106"/>
      <c r="AP39" s="106"/>
      <c r="AQ39" s="106"/>
      <c r="AR39" s="106"/>
      <c r="AS39" s="106"/>
      <c r="AT39" s="106"/>
      <c r="AU39" s="106"/>
      <c r="AV39" s="106"/>
      <c r="AW39" s="106"/>
      <c r="AX39" s="106"/>
      <c r="AY39" s="106"/>
    </row>
    <row r="40" spans="1:51">
      <c r="A40" s="109"/>
      <c r="B40" s="127">
        <v>8</v>
      </c>
      <c r="C40" s="109" t="s">
        <v>293</v>
      </c>
      <c r="D40" s="106"/>
      <c r="E40" s="106"/>
      <c r="F40" s="106"/>
      <c r="G40" s="106"/>
      <c r="H40" s="106"/>
      <c r="I40" s="106"/>
      <c r="J40" s="106"/>
      <c r="K40" s="106"/>
      <c r="L40" s="106"/>
      <c r="M40" s="106"/>
      <c r="N40" s="106"/>
      <c r="O40" s="106"/>
      <c r="P40" s="106"/>
      <c r="Q40" s="106"/>
      <c r="R40" s="106"/>
      <c r="S40" s="106"/>
      <c r="T40" s="106"/>
      <c r="U40" s="106"/>
      <c r="V40" s="106"/>
      <c r="W40" s="106"/>
      <c r="X40" s="106"/>
      <c r="Y40" s="106"/>
      <c r="Z40" s="106"/>
      <c r="AA40" s="106"/>
      <c r="AB40" s="106"/>
      <c r="AC40" s="106"/>
      <c r="AD40" s="106"/>
      <c r="AE40" s="106"/>
      <c r="AF40" s="106"/>
      <c r="AG40" s="106"/>
      <c r="AH40" s="106"/>
      <c r="AI40" s="106"/>
      <c r="AJ40" s="106"/>
      <c r="AK40" s="106"/>
      <c r="AL40" s="106"/>
      <c r="AM40" s="106"/>
      <c r="AN40" s="106"/>
      <c r="AO40" s="106"/>
      <c r="AP40" s="106"/>
      <c r="AQ40" s="106"/>
      <c r="AR40" s="106"/>
      <c r="AS40" s="106"/>
      <c r="AT40" s="106"/>
      <c r="AU40" s="106"/>
      <c r="AV40" s="106"/>
      <c r="AW40" s="106"/>
      <c r="AX40" s="106"/>
      <c r="AY40" s="106"/>
    </row>
    <row r="41" spans="1:51">
      <c r="A41" s="109"/>
      <c r="B41" s="127">
        <v>9</v>
      </c>
      <c r="C41" s="109" t="s">
        <v>293</v>
      </c>
      <c r="D41" s="106"/>
      <c r="E41" s="106"/>
      <c r="F41" s="106"/>
      <c r="G41" s="106"/>
      <c r="H41" s="106"/>
      <c r="I41" s="106"/>
      <c r="J41" s="106"/>
      <c r="K41" s="106"/>
      <c r="L41" s="106"/>
      <c r="M41" s="106"/>
      <c r="N41" s="106"/>
      <c r="O41" s="106"/>
      <c r="P41" s="106"/>
      <c r="Q41" s="106"/>
      <c r="R41" s="106"/>
      <c r="S41" s="106"/>
      <c r="T41" s="106"/>
      <c r="U41" s="106"/>
      <c r="V41" s="106"/>
      <c r="W41" s="106"/>
      <c r="X41" s="106"/>
      <c r="Y41" s="106"/>
      <c r="Z41" s="106"/>
      <c r="AA41" s="106"/>
      <c r="AB41" s="106"/>
      <c r="AC41" s="106"/>
      <c r="AD41" s="106"/>
      <c r="AE41" s="106"/>
      <c r="AF41" s="106"/>
      <c r="AG41" s="106"/>
      <c r="AH41" s="106"/>
      <c r="AI41" s="106"/>
      <c r="AJ41" s="106"/>
      <c r="AK41" s="106"/>
      <c r="AL41" s="106"/>
      <c r="AM41" s="106"/>
      <c r="AN41" s="106"/>
      <c r="AO41" s="106"/>
      <c r="AP41" s="106"/>
      <c r="AQ41" s="106"/>
      <c r="AR41" s="106"/>
      <c r="AS41" s="106"/>
      <c r="AT41" s="106"/>
      <c r="AU41" s="106"/>
      <c r="AV41" s="106"/>
      <c r="AW41" s="106"/>
      <c r="AX41" s="106"/>
      <c r="AY41" s="106"/>
    </row>
    <row r="42" spans="1:51">
      <c r="A42" s="109"/>
      <c r="B42" s="130">
        <v>10</v>
      </c>
      <c r="C42" s="109" t="s">
        <v>293</v>
      </c>
      <c r="D42" s="106"/>
      <c r="E42" s="106"/>
      <c r="F42" s="106"/>
      <c r="G42" s="106"/>
      <c r="H42" s="106"/>
      <c r="I42" s="106"/>
      <c r="J42" s="106"/>
      <c r="K42" s="106"/>
      <c r="L42" s="106"/>
      <c r="M42" s="106"/>
      <c r="N42" s="106"/>
      <c r="O42" s="106"/>
      <c r="P42" s="106"/>
      <c r="Q42" s="106"/>
      <c r="R42" s="106"/>
      <c r="S42" s="106"/>
      <c r="T42" s="106"/>
      <c r="U42" s="106"/>
      <c r="V42" s="106"/>
      <c r="W42" s="106"/>
      <c r="X42" s="106"/>
      <c r="Y42" s="106"/>
      <c r="Z42" s="106"/>
      <c r="AA42" s="106"/>
      <c r="AB42" s="106"/>
      <c r="AC42" s="106"/>
      <c r="AD42" s="106"/>
      <c r="AE42" s="106"/>
      <c r="AF42" s="106"/>
      <c r="AG42" s="106"/>
      <c r="AH42" s="106"/>
      <c r="AI42" s="106"/>
      <c r="AJ42" s="106"/>
      <c r="AK42" s="106"/>
      <c r="AL42" s="106"/>
      <c r="AM42" s="106"/>
      <c r="AN42" s="106"/>
      <c r="AO42" s="106"/>
      <c r="AP42" s="106"/>
      <c r="AQ42" s="106"/>
      <c r="AR42" s="106"/>
      <c r="AS42" s="106"/>
      <c r="AT42" s="106"/>
      <c r="AU42" s="106"/>
      <c r="AV42" s="106"/>
      <c r="AW42" s="106"/>
      <c r="AX42" s="106"/>
      <c r="AY42" s="106"/>
    </row>
    <row r="43" spans="1:51">
      <c r="A43" s="109"/>
      <c r="B43" s="130">
        <v>11</v>
      </c>
      <c r="C43" s="109" t="s">
        <v>293</v>
      </c>
      <c r="D43" s="106"/>
      <c r="E43" s="106"/>
      <c r="F43" s="106"/>
      <c r="G43" s="106"/>
      <c r="H43" s="106"/>
      <c r="I43" s="106"/>
      <c r="J43" s="106"/>
      <c r="K43" s="106"/>
      <c r="L43" s="106"/>
      <c r="M43" s="106"/>
      <c r="N43" s="106"/>
      <c r="O43" s="106"/>
      <c r="P43" s="106"/>
      <c r="Q43" s="106"/>
      <c r="R43" s="106"/>
      <c r="S43" s="106"/>
      <c r="T43" s="106"/>
      <c r="U43" s="106"/>
      <c r="V43" s="106"/>
      <c r="W43" s="106"/>
      <c r="X43" s="106"/>
      <c r="Y43" s="106"/>
      <c r="Z43" s="106"/>
      <c r="AA43" s="106"/>
      <c r="AB43" s="106"/>
      <c r="AC43" s="106"/>
      <c r="AD43" s="106"/>
      <c r="AE43" s="106"/>
      <c r="AF43" s="106"/>
      <c r="AG43" s="106"/>
      <c r="AH43" s="106"/>
      <c r="AI43" s="106"/>
      <c r="AJ43" s="106"/>
      <c r="AK43" s="106"/>
      <c r="AL43" s="106"/>
      <c r="AM43" s="106"/>
      <c r="AN43" s="106"/>
      <c r="AO43" s="106"/>
      <c r="AP43" s="106"/>
      <c r="AQ43" s="106"/>
      <c r="AR43" s="106"/>
      <c r="AS43" s="106"/>
      <c r="AT43" s="106"/>
      <c r="AU43" s="106"/>
      <c r="AV43" s="106"/>
      <c r="AW43" s="106"/>
      <c r="AX43" s="106"/>
      <c r="AY43" s="106"/>
    </row>
    <row r="44" spans="1:51">
      <c r="A44" s="109"/>
      <c r="B44" s="130">
        <v>12</v>
      </c>
      <c r="C44" s="128" t="s">
        <v>293</v>
      </c>
      <c r="D44" s="106">
        <v>0</v>
      </c>
      <c r="E44" s="106">
        <v>0</v>
      </c>
      <c r="F44" s="106">
        <v>0</v>
      </c>
      <c r="G44" s="106">
        <v>0</v>
      </c>
      <c r="H44" s="106">
        <v>0</v>
      </c>
      <c r="I44" s="106">
        <v>0</v>
      </c>
      <c r="J44" s="106">
        <v>0</v>
      </c>
      <c r="K44" s="106">
        <v>0</v>
      </c>
      <c r="L44" s="106">
        <v>0</v>
      </c>
      <c r="M44" s="106">
        <v>0</v>
      </c>
      <c r="N44" s="106">
        <v>0</v>
      </c>
      <c r="O44" s="106">
        <v>0</v>
      </c>
      <c r="P44" s="106">
        <v>0</v>
      </c>
      <c r="Q44" s="106">
        <v>0</v>
      </c>
      <c r="R44" s="106">
        <v>0</v>
      </c>
      <c r="S44" s="106">
        <v>0</v>
      </c>
      <c r="T44" s="106">
        <v>0</v>
      </c>
      <c r="U44" s="106">
        <v>0</v>
      </c>
      <c r="V44" s="106">
        <v>0</v>
      </c>
      <c r="W44" s="106">
        <v>0</v>
      </c>
      <c r="X44" s="106">
        <v>0</v>
      </c>
      <c r="Y44" s="106">
        <v>0</v>
      </c>
      <c r="Z44" s="106">
        <v>0</v>
      </c>
      <c r="AA44" s="106">
        <v>0</v>
      </c>
      <c r="AB44" s="106">
        <v>0</v>
      </c>
      <c r="AC44" s="106">
        <v>0</v>
      </c>
      <c r="AD44" s="106">
        <v>0</v>
      </c>
      <c r="AE44" s="106">
        <v>0</v>
      </c>
      <c r="AF44" s="106">
        <v>0</v>
      </c>
      <c r="AG44" s="106">
        <v>0</v>
      </c>
      <c r="AH44" s="106">
        <v>0</v>
      </c>
      <c r="AI44" s="106">
        <v>0</v>
      </c>
      <c r="AJ44" s="106">
        <v>0</v>
      </c>
      <c r="AK44" s="106">
        <v>0</v>
      </c>
      <c r="AL44" s="106">
        <v>0</v>
      </c>
      <c r="AM44" s="106">
        <v>0</v>
      </c>
      <c r="AN44" s="106">
        <v>0</v>
      </c>
      <c r="AO44" s="106">
        <v>0</v>
      </c>
      <c r="AP44" s="106">
        <v>0</v>
      </c>
      <c r="AQ44" s="106">
        <v>0</v>
      </c>
      <c r="AR44" s="106">
        <v>0</v>
      </c>
      <c r="AS44" s="106">
        <v>0</v>
      </c>
      <c r="AT44" s="106">
        <v>0</v>
      </c>
      <c r="AU44" s="106">
        <v>0</v>
      </c>
      <c r="AV44" s="106">
        <v>0</v>
      </c>
      <c r="AW44" s="106">
        <v>0</v>
      </c>
      <c r="AX44" s="106">
        <v>0</v>
      </c>
      <c r="AY44" s="106">
        <v>0</v>
      </c>
    </row>
    <row r="45" spans="1:51">
      <c r="A45" s="126" t="s">
        <v>123</v>
      </c>
      <c r="B45" s="123">
        <v>1</v>
      </c>
      <c r="C45" s="109" t="s">
        <v>293</v>
      </c>
      <c r="D45" s="124"/>
      <c r="E45" s="124"/>
      <c r="F45" s="124"/>
      <c r="G45" s="124"/>
      <c r="H45" s="124"/>
      <c r="I45" s="124"/>
      <c r="J45" s="124"/>
      <c r="K45" s="124"/>
      <c r="L45" s="124"/>
      <c r="M45" s="124"/>
      <c r="N45" s="124"/>
      <c r="O45" s="124"/>
      <c r="P45" s="124"/>
      <c r="Q45" s="124"/>
      <c r="R45" s="124"/>
      <c r="S45" s="124"/>
      <c r="T45" s="124"/>
      <c r="U45" s="124"/>
      <c r="V45" s="124"/>
      <c r="W45" s="124"/>
      <c r="X45" s="124"/>
      <c r="Y45" s="124"/>
      <c r="Z45" s="124"/>
      <c r="AA45" s="124"/>
      <c r="AB45" s="124"/>
      <c r="AC45" s="124"/>
      <c r="AD45" s="124"/>
      <c r="AE45" s="124"/>
      <c r="AF45" s="124"/>
      <c r="AG45" s="124"/>
      <c r="AH45" s="124"/>
      <c r="AI45" s="124"/>
      <c r="AJ45" s="124"/>
      <c r="AK45" s="124"/>
      <c r="AL45" s="124"/>
      <c r="AM45" s="124"/>
      <c r="AN45" s="124"/>
      <c r="AO45" s="124"/>
      <c r="AP45" s="124"/>
      <c r="AQ45" s="124"/>
      <c r="AR45" s="124"/>
      <c r="AS45" s="124"/>
      <c r="AT45" s="124"/>
      <c r="AU45" s="124"/>
      <c r="AV45" s="124"/>
      <c r="AW45" s="124"/>
      <c r="AX45" s="124"/>
      <c r="AY45" s="124"/>
    </row>
    <row r="46" spans="1:51">
      <c r="A46" s="109"/>
      <c r="B46" s="119">
        <v>2</v>
      </c>
      <c r="C46" s="109" t="s">
        <v>293</v>
      </c>
      <c r="D46" s="110"/>
      <c r="E46" s="110"/>
      <c r="F46" s="110"/>
      <c r="G46" s="110"/>
      <c r="H46" s="110"/>
      <c r="I46" s="110"/>
      <c r="J46" s="110"/>
      <c r="K46" s="110"/>
      <c r="L46" s="110"/>
      <c r="M46" s="110"/>
      <c r="N46" s="110"/>
      <c r="O46" s="110"/>
      <c r="P46" s="110"/>
      <c r="Q46" s="110"/>
      <c r="R46" s="110"/>
      <c r="S46" s="110"/>
      <c r="T46" s="110"/>
      <c r="U46" s="110"/>
      <c r="V46" s="110"/>
      <c r="W46" s="110"/>
      <c r="X46" s="110"/>
      <c r="Y46" s="110"/>
      <c r="Z46" s="110"/>
      <c r="AA46" s="110"/>
      <c r="AB46" s="110"/>
      <c r="AC46" s="110"/>
      <c r="AD46" s="110"/>
      <c r="AE46" s="110"/>
      <c r="AF46" s="110"/>
      <c r="AG46" s="110"/>
      <c r="AH46" s="110"/>
      <c r="AI46" s="110"/>
      <c r="AJ46" s="110"/>
      <c r="AK46" s="110"/>
      <c r="AL46" s="110"/>
      <c r="AM46" s="110"/>
      <c r="AN46" s="110"/>
      <c r="AO46" s="110"/>
      <c r="AP46" s="110"/>
      <c r="AQ46" s="110"/>
      <c r="AR46" s="110"/>
      <c r="AS46" s="110"/>
      <c r="AT46" s="110"/>
      <c r="AU46" s="110"/>
      <c r="AV46" s="110"/>
      <c r="AW46" s="110"/>
      <c r="AX46" s="110"/>
      <c r="AY46" s="110"/>
    </row>
    <row r="47" spans="1:51">
      <c r="A47" s="109"/>
      <c r="B47" s="119">
        <v>3</v>
      </c>
      <c r="C47" s="109" t="s">
        <v>293</v>
      </c>
      <c r="D47" s="110"/>
      <c r="E47" s="110"/>
      <c r="F47" s="110"/>
      <c r="G47" s="110"/>
      <c r="H47" s="110"/>
      <c r="I47" s="110"/>
      <c r="J47" s="110"/>
      <c r="K47" s="110"/>
      <c r="L47" s="110"/>
      <c r="M47" s="110"/>
      <c r="N47" s="110"/>
      <c r="O47" s="110"/>
      <c r="P47" s="110"/>
      <c r="Q47" s="110"/>
      <c r="R47" s="110"/>
      <c r="S47" s="110"/>
      <c r="T47" s="110"/>
      <c r="U47" s="110"/>
      <c r="V47" s="110"/>
      <c r="W47" s="110"/>
      <c r="X47" s="110"/>
      <c r="Y47" s="110"/>
      <c r="Z47" s="110"/>
      <c r="AA47" s="110"/>
      <c r="AB47" s="110"/>
      <c r="AC47" s="110"/>
      <c r="AD47" s="110"/>
      <c r="AE47" s="110"/>
      <c r="AF47" s="110"/>
      <c r="AG47" s="110"/>
      <c r="AH47" s="110"/>
      <c r="AI47" s="110"/>
      <c r="AJ47" s="110"/>
      <c r="AK47" s="110"/>
      <c r="AL47" s="110"/>
      <c r="AM47" s="110"/>
      <c r="AN47" s="110"/>
      <c r="AO47" s="110"/>
      <c r="AP47" s="110"/>
      <c r="AQ47" s="110"/>
      <c r="AR47" s="110"/>
      <c r="AS47" s="110"/>
      <c r="AT47" s="110"/>
      <c r="AU47" s="110"/>
      <c r="AV47" s="110"/>
      <c r="AW47" s="110"/>
      <c r="AX47" s="110"/>
      <c r="AY47" s="110"/>
    </row>
    <row r="48" spans="1:51">
      <c r="A48" s="109"/>
      <c r="B48" s="119">
        <v>4</v>
      </c>
      <c r="C48" s="109" t="s">
        <v>293</v>
      </c>
      <c r="D48" s="110"/>
      <c r="E48" s="110"/>
      <c r="F48" s="110"/>
      <c r="G48" s="110"/>
      <c r="H48" s="110"/>
      <c r="I48" s="110"/>
      <c r="J48" s="110"/>
      <c r="K48" s="110"/>
      <c r="L48" s="110"/>
      <c r="M48" s="110"/>
      <c r="N48" s="110"/>
      <c r="O48" s="110"/>
      <c r="P48" s="110"/>
      <c r="Q48" s="110"/>
      <c r="R48" s="110"/>
      <c r="S48" s="110"/>
      <c r="T48" s="110"/>
      <c r="U48" s="110"/>
      <c r="V48" s="110"/>
      <c r="W48" s="110"/>
      <c r="X48" s="110"/>
      <c r="Y48" s="110"/>
      <c r="Z48" s="110"/>
      <c r="AA48" s="110"/>
      <c r="AB48" s="110"/>
      <c r="AC48" s="110"/>
      <c r="AD48" s="110"/>
      <c r="AE48" s="110"/>
      <c r="AF48" s="110"/>
      <c r="AG48" s="110"/>
      <c r="AH48" s="110"/>
      <c r="AI48" s="110"/>
      <c r="AJ48" s="110"/>
      <c r="AK48" s="110"/>
      <c r="AL48" s="110"/>
      <c r="AM48" s="110"/>
      <c r="AN48" s="110"/>
      <c r="AO48" s="110"/>
      <c r="AP48" s="110"/>
      <c r="AQ48" s="110"/>
      <c r="AR48" s="110"/>
      <c r="AS48" s="110"/>
      <c r="AT48" s="110"/>
      <c r="AU48" s="110"/>
      <c r="AV48" s="110"/>
      <c r="AW48" s="110"/>
      <c r="AX48" s="110"/>
      <c r="AY48" s="110"/>
    </row>
    <row r="49" spans="1:51">
      <c r="A49" s="109"/>
      <c r="B49" s="119">
        <v>5</v>
      </c>
      <c r="C49" s="109" t="s">
        <v>293</v>
      </c>
      <c r="D49" s="110"/>
      <c r="E49" s="110"/>
      <c r="F49" s="110"/>
      <c r="G49" s="110"/>
      <c r="H49" s="110"/>
      <c r="I49" s="110"/>
      <c r="J49" s="110"/>
      <c r="K49" s="110"/>
      <c r="L49" s="110"/>
      <c r="M49" s="110"/>
      <c r="N49" s="110"/>
      <c r="O49" s="110"/>
      <c r="P49" s="110"/>
      <c r="Q49" s="110"/>
      <c r="R49" s="110"/>
      <c r="S49" s="110"/>
      <c r="T49" s="110"/>
      <c r="U49" s="110"/>
      <c r="V49" s="110"/>
      <c r="W49" s="110"/>
      <c r="X49" s="110"/>
      <c r="Y49" s="110"/>
      <c r="Z49" s="110"/>
      <c r="AA49" s="110"/>
      <c r="AB49" s="110"/>
      <c r="AC49" s="110"/>
      <c r="AD49" s="110"/>
      <c r="AE49" s="110"/>
      <c r="AF49" s="110"/>
      <c r="AG49" s="110"/>
      <c r="AH49" s="110"/>
      <c r="AI49" s="110"/>
      <c r="AJ49" s="110"/>
      <c r="AK49" s="110"/>
      <c r="AL49" s="110"/>
      <c r="AM49" s="110"/>
      <c r="AN49" s="110"/>
      <c r="AO49" s="110"/>
      <c r="AP49" s="110"/>
      <c r="AQ49" s="110"/>
      <c r="AR49" s="110"/>
      <c r="AS49" s="110"/>
      <c r="AT49" s="110"/>
      <c r="AU49" s="110"/>
      <c r="AV49" s="110"/>
      <c r="AW49" s="110"/>
      <c r="AX49" s="110"/>
      <c r="AY49" s="110"/>
    </row>
    <row r="50" spans="1:51">
      <c r="A50" s="109"/>
      <c r="B50" s="119">
        <v>6</v>
      </c>
      <c r="C50" s="109" t="s">
        <v>293</v>
      </c>
      <c r="D50" s="110"/>
      <c r="E50" s="110"/>
      <c r="F50" s="110"/>
      <c r="G50" s="110"/>
      <c r="H50" s="110"/>
      <c r="I50" s="110"/>
      <c r="J50" s="110"/>
      <c r="K50" s="110"/>
      <c r="L50" s="110"/>
      <c r="M50" s="110"/>
      <c r="N50" s="110"/>
      <c r="O50" s="110"/>
      <c r="P50" s="110"/>
      <c r="Q50" s="110"/>
      <c r="R50" s="110"/>
      <c r="S50" s="110"/>
      <c r="T50" s="110"/>
      <c r="U50" s="110"/>
      <c r="V50" s="110"/>
      <c r="W50" s="110"/>
      <c r="X50" s="110"/>
      <c r="Y50" s="110"/>
      <c r="Z50" s="110"/>
      <c r="AA50" s="110"/>
      <c r="AB50" s="110"/>
      <c r="AC50" s="110"/>
      <c r="AD50" s="110"/>
      <c r="AE50" s="110"/>
      <c r="AF50" s="110"/>
      <c r="AG50" s="110"/>
      <c r="AH50" s="110"/>
      <c r="AI50" s="110"/>
      <c r="AJ50" s="110"/>
      <c r="AK50" s="110"/>
      <c r="AL50" s="110"/>
      <c r="AM50" s="110"/>
      <c r="AN50" s="110"/>
      <c r="AO50" s="110"/>
      <c r="AP50" s="110"/>
      <c r="AQ50" s="110"/>
      <c r="AR50" s="110"/>
      <c r="AS50" s="110"/>
      <c r="AT50" s="110"/>
      <c r="AU50" s="110"/>
      <c r="AV50" s="110"/>
      <c r="AW50" s="110"/>
      <c r="AX50" s="110"/>
      <c r="AY50" s="110"/>
    </row>
    <row r="51" spans="1:51">
      <c r="A51" s="109"/>
      <c r="B51" s="119">
        <v>7</v>
      </c>
      <c r="C51" s="109" t="s">
        <v>293</v>
      </c>
      <c r="D51" s="110"/>
      <c r="E51" s="110"/>
      <c r="F51" s="110"/>
      <c r="G51" s="110"/>
      <c r="H51" s="110"/>
      <c r="I51" s="110"/>
      <c r="J51" s="110"/>
      <c r="K51" s="110"/>
      <c r="L51" s="110"/>
      <c r="M51" s="110"/>
      <c r="N51" s="110"/>
      <c r="O51" s="110"/>
      <c r="P51" s="110"/>
      <c r="Q51" s="110"/>
      <c r="R51" s="110"/>
      <c r="S51" s="110"/>
      <c r="T51" s="110"/>
      <c r="U51" s="110"/>
      <c r="V51" s="110"/>
      <c r="W51" s="110"/>
      <c r="X51" s="110"/>
      <c r="Y51" s="110"/>
      <c r="Z51" s="110"/>
      <c r="AA51" s="110"/>
      <c r="AB51" s="110"/>
      <c r="AC51" s="110"/>
      <c r="AD51" s="110"/>
      <c r="AE51" s="110"/>
      <c r="AF51" s="110"/>
      <c r="AG51" s="110"/>
      <c r="AH51" s="110"/>
      <c r="AI51" s="110"/>
      <c r="AJ51" s="110"/>
      <c r="AK51" s="110"/>
      <c r="AL51" s="110"/>
      <c r="AM51" s="110"/>
      <c r="AN51" s="110"/>
      <c r="AO51" s="110"/>
      <c r="AP51" s="110"/>
      <c r="AQ51" s="110"/>
      <c r="AR51" s="110"/>
      <c r="AS51" s="110"/>
      <c r="AT51" s="110"/>
      <c r="AU51" s="110"/>
      <c r="AV51" s="110"/>
      <c r="AW51" s="110"/>
      <c r="AX51" s="110"/>
      <c r="AY51" s="110"/>
    </row>
    <row r="52" spans="1:51">
      <c r="A52" s="109"/>
      <c r="B52" s="119">
        <v>8</v>
      </c>
      <c r="C52" s="109" t="s">
        <v>293</v>
      </c>
      <c r="D52" s="110"/>
      <c r="E52" s="110"/>
      <c r="F52" s="110"/>
      <c r="G52" s="110"/>
      <c r="H52" s="110"/>
      <c r="I52" s="110"/>
      <c r="J52" s="110"/>
      <c r="K52" s="110"/>
      <c r="L52" s="110"/>
      <c r="M52" s="110"/>
      <c r="N52" s="110"/>
      <c r="O52" s="110"/>
      <c r="P52" s="110"/>
      <c r="Q52" s="110"/>
      <c r="R52" s="110"/>
      <c r="S52" s="110"/>
      <c r="T52" s="110"/>
      <c r="U52" s="110"/>
      <c r="V52" s="110"/>
      <c r="W52" s="110"/>
      <c r="X52" s="110"/>
      <c r="Y52" s="110"/>
      <c r="Z52" s="110"/>
      <c r="AA52" s="110"/>
      <c r="AB52" s="110"/>
      <c r="AC52" s="110"/>
      <c r="AD52" s="110"/>
      <c r="AE52" s="110"/>
      <c r="AF52" s="110"/>
      <c r="AG52" s="110"/>
      <c r="AH52" s="110"/>
      <c r="AI52" s="110"/>
      <c r="AJ52" s="110"/>
      <c r="AK52" s="110"/>
      <c r="AL52" s="110"/>
      <c r="AM52" s="110"/>
      <c r="AN52" s="110"/>
      <c r="AO52" s="110"/>
      <c r="AP52" s="110"/>
      <c r="AQ52" s="110"/>
      <c r="AR52" s="110"/>
      <c r="AS52" s="110"/>
      <c r="AT52" s="110"/>
      <c r="AU52" s="110"/>
      <c r="AV52" s="110"/>
      <c r="AW52" s="110"/>
      <c r="AX52" s="110"/>
      <c r="AY52" s="110"/>
    </row>
    <row r="53" spans="1:51">
      <c r="A53" s="109"/>
      <c r="B53" s="119">
        <v>9</v>
      </c>
      <c r="C53" s="109" t="s">
        <v>293</v>
      </c>
      <c r="D53" s="110"/>
      <c r="E53" s="110"/>
      <c r="F53" s="110"/>
      <c r="G53" s="110"/>
      <c r="H53" s="110"/>
      <c r="I53" s="110"/>
      <c r="J53" s="110"/>
      <c r="K53" s="110"/>
      <c r="L53" s="110"/>
      <c r="M53" s="110"/>
      <c r="N53" s="110"/>
      <c r="O53" s="110"/>
      <c r="P53" s="110"/>
      <c r="Q53" s="110"/>
      <c r="R53" s="110"/>
      <c r="S53" s="110"/>
      <c r="T53" s="110"/>
      <c r="U53" s="110"/>
      <c r="V53" s="110"/>
      <c r="W53" s="110"/>
      <c r="X53" s="110"/>
      <c r="Y53" s="110"/>
      <c r="Z53" s="110"/>
      <c r="AA53" s="110"/>
      <c r="AB53" s="110"/>
      <c r="AC53" s="110"/>
      <c r="AD53" s="110"/>
      <c r="AE53" s="110"/>
      <c r="AF53" s="110"/>
      <c r="AG53" s="110"/>
      <c r="AH53" s="110"/>
      <c r="AI53" s="110"/>
      <c r="AJ53" s="110"/>
      <c r="AK53" s="110"/>
      <c r="AL53" s="110"/>
      <c r="AM53" s="110"/>
      <c r="AN53" s="110"/>
      <c r="AO53" s="110"/>
      <c r="AP53" s="110"/>
      <c r="AQ53" s="110"/>
      <c r="AR53" s="110"/>
      <c r="AS53" s="110"/>
      <c r="AT53" s="110"/>
      <c r="AU53" s="110"/>
      <c r="AV53" s="110"/>
      <c r="AW53" s="110"/>
      <c r="AX53" s="110"/>
      <c r="AY53" s="110"/>
    </row>
    <row r="54" spans="1:51">
      <c r="A54" s="109"/>
      <c r="B54" s="119">
        <v>10</v>
      </c>
      <c r="C54" s="109" t="s">
        <v>293</v>
      </c>
      <c r="D54" s="110"/>
      <c r="E54" s="110"/>
      <c r="F54" s="110"/>
      <c r="G54" s="110"/>
      <c r="H54" s="110"/>
      <c r="I54" s="110"/>
      <c r="J54" s="110"/>
      <c r="K54" s="110"/>
      <c r="L54" s="110"/>
      <c r="M54" s="110"/>
      <c r="N54" s="110"/>
      <c r="O54" s="110"/>
      <c r="P54" s="110"/>
      <c r="Q54" s="110"/>
      <c r="R54" s="110"/>
      <c r="S54" s="110"/>
      <c r="T54" s="110"/>
      <c r="U54" s="110"/>
      <c r="V54" s="110"/>
      <c r="W54" s="110"/>
      <c r="X54" s="110"/>
      <c r="Y54" s="110"/>
      <c r="Z54" s="110"/>
      <c r="AA54" s="110"/>
      <c r="AB54" s="110"/>
      <c r="AC54" s="110"/>
      <c r="AD54" s="110"/>
      <c r="AE54" s="110"/>
      <c r="AF54" s="110"/>
      <c r="AG54" s="110"/>
      <c r="AH54" s="110"/>
      <c r="AI54" s="110"/>
      <c r="AJ54" s="110"/>
      <c r="AK54" s="110"/>
      <c r="AL54" s="110"/>
      <c r="AM54" s="110"/>
      <c r="AN54" s="110"/>
      <c r="AO54" s="110"/>
      <c r="AP54" s="110"/>
      <c r="AQ54" s="110"/>
      <c r="AR54" s="110"/>
      <c r="AS54" s="110"/>
      <c r="AT54" s="110"/>
      <c r="AU54" s="110"/>
      <c r="AV54" s="110"/>
      <c r="AW54" s="110"/>
      <c r="AX54" s="110"/>
      <c r="AY54" s="110"/>
    </row>
    <row r="55" spans="1:51">
      <c r="A55" s="109"/>
      <c r="B55" s="119">
        <v>11</v>
      </c>
      <c r="C55" s="109" t="s">
        <v>293</v>
      </c>
      <c r="D55" s="110"/>
      <c r="E55" s="110"/>
      <c r="F55" s="110"/>
      <c r="G55" s="110"/>
      <c r="H55" s="110"/>
      <c r="I55" s="110"/>
      <c r="J55" s="110"/>
      <c r="K55" s="110"/>
      <c r="L55" s="110"/>
      <c r="M55" s="110"/>
      <c r="N55" s="110"/>
      <c r="O55" s="110"/>
      <c r="P55" s="110"/>
      <c r="Q55" s="110"/>
      <c r="R55" s="110"/>
      <c r="S55" s="110"/>
      <c r="T55" s="110"/>
      <c r="U55" s="110"/>
      <c r="V55" s="110"/>
      <c r="W55" s="110"/>
      <c r="X55" s="110"/>
      <c r="Y55" s="110"/>
      <c r="Z55" s="110"/>
      <c r="AA55" s="110"/>
      <c r="AB55" s="110"/>
      <c r="AC55" s="110"/>
      <c r="AD55" s="110"/>
      <c r="AE55" s="110"/>
      <c r="AF55" s="110"/>
      <c r="AG55" s="110"/>
      <c r="AH55" s="110"/>
      <c r="AI55" s="110"/>
      <c r="AJ55" s="110"/>
      <c r="AK55" s="110"/>
      <c r="AL55" s="110"/>
      <c r="AM55" s="110"/>
      <c r="AN55" s="110"/>
      <c r="AO55" s="110"/>
      <c r="AP55" s="110"/>
      <c r="AQ55" s="110"/>
      <c r="AR55" s="110"/>
      <c r="AS55" s="110"/>
      <c r="AT55" s="110"/>
      <c r="AU55" s="110"/>
      <c r="AV55" s="110"/>
      <c r="AW55" s="110"/>
      <c r="AX55" s="110"/>
      <c r="AY55" s="110"/>
    </row>
    <row r="56" spans="1:51">
      <c r="A56" s="109"/>
      <c r="B56" s="119">
        <v>12</v>
      </c>
      <c r="C56" s="109" t="s">
        <v>293</v>
      </c>
      <c r="D56" s="110"/>
      <c r="E56" s="110"/>
      <c r="F56" s="110"/>
      <c r="G56" s="110"/>
      <c r="H56" s="110"/>
      <c r="I56" s="110"/>
      <c r="J56" s="110"/>
      <c r="K56" s="110"/>
      <c r="L56" s="110"/>
      <c r="M56" s="110"/>
      <c r="N56" s="110"/>
      <c r="O56" s="110"/>
      <c r="P56" s="110"/>
      <c r="Q56" s="110"/>
      <c r="R56" s="110"/>
      <c r="S56" s="110"/>
      <c r="T56" s="110"/>
      <c r="U56" s="110"/>
      <c r="V56" s="110"/>
      <c r="W56" s="110"/>
      <c r="X56" s="110"/>
      <c r="Y56" s="110"/>
      <c r="Z56" s="110"/>
      <c r="AA56" s="110"/>
      <c r="AB56" s="110"/>
      <c r="AC56" s="110"/>
      <c r="AD56" s="110"/>
      <c r="AE56" s="110"/>
      <c r="AF56" s="110"/>
      <c r="AG56" s="110"/>
      <c r="AH56" s="110"/>
      <c r="AI56" s="110"/>
      <c r="AJ56" s="110"/>
      <c r="AK56" s="110"/>
      <c r="AL56" s="110"/>
      <c r="AM56" s="110"/>
      <c r="AN56" s="110"/>
      <c r="AO56" s="110"/>
      <c r="AP56" s="110"/>
      <c r="AQ56" s="110"/>
      <c r="AR56" s="110"/>
      <c r="AS56" s="110"/>
      <c r="AT56" s="110"/>
      <c r="AU56" s="110"/>
      <c r="AV56" s="110"/>
      <c r="AW56" s="110"/>
      <c r="AX56" s="110"/>
      <c r="AY56" s="110"/>
    </row>
    <row r="57" spans="1:51">
      <c r="A57" s="109"/>
      <c r="B57" s="120">
        <v>13</v>
      </c>
      <c r="C57" s="109" t="s">
        <v>293</v>
      </c>
      <c r="D57" s="110"/>
      <c r="E57" s="110"/>
      <c r="F57" s="110"/>
      <c r="G57" s="110"/>
      <c r="H57" s="110"/>
      <c r="I57" s="110"/>
      <c r="J57" s="110"/>
      <c r="K57" s="110"/>
      <c r="L57" s="110"/>
      <c r="M57" s="110"/>
      <c r="N57" s="110"/>
      <c r="O57" s="110"/>
      <c r="P57" s="110"/>
      <c r="Q57" s="110"/>
      <c r="R57" s="110"/>
      <c r="S57" s="110"/>
      <c r="T57" s="110"/>
      <c r="U57" s="110"/>
      <c r="V57" s="110"/>
      <c r="W57" s="110"/>
      <c r="X57" s="110"/>
      <c r="Y57" s="110"/>
      <c r="Z57" s="110"/>
      <c r="AA57" s="110"/>
      <c r="AB57" s="110"/>
      <c r="AC57" s="110"/>
      <c r="AD57" s="110"/>
      <c r="AE57" s="110"/>
      <c r="AF57" s="110"/>
      <c r="AG57" s="110"/>
      <c r="AH57" s="110"/>
      <c r="AI57" s="110"/>
      <c r="AJ57" s="110"/>
      <c r="AK57" s="110"/>
      <c r="AL57" s="110"/>
      <c r="AM57" s="110"/>
      <c r="AN57" s="110"/>
      <c r="AO57" s="110"/>
      <c r="AP57" s="110"/>
      <c r="AQ57" s="110"/>
      <c r="AR57" s="110"/>
      <c r="AS57" s="110"/>
      <c r="AT57" s="110"/>
      <c r="AU57" s="110"/>
      <c r="AV57" s="110"/>
      <c r="AW57" s="110"/>
      <c r="AX57" s="110"/>
      <c r="AY57" s="110"/>
    </row>
    <row r="58" spans="1:51">
      <c r="A58" s="109"/>
      <c r="B58" s="120">
        <v>14</v>
      </c>
      <c r="C58" s="109" t="s">
        <v>293</v>
      </c>
      <c r="D58" s="110"/>
      <c r="E58" s="110"/>
      <c r="F58" s="110"/>
      <c r="G58" s="110"/>
      <c r="H58" s="110"/>
      <c r="I58" s="110"/>
      <c r="J58" s="110"/>
      <c r="K58" s="110"/>
      <c r="L58" s="110"/>
      <c r="M58" s="110"/>
      <c r="N58" s="110"/>
      <c r="O58" s="110"/>
      <c r="P58" s="110"/>
      <c r="Q58" s="110"/>
      <c r="R58" s="110"/>
      <c r="S58" s="110"/>
      <c r="T58" s="110"/>
      <c r="U58" s="110"/>
      <c r="V58" s="110"/>
      <c r="W58" s="110"/>
      <c r="X58" s="110"/>
      <c r="Y58" s="110"/>
      <c r="Z58" s="110"/>
      <c r="AA58" s="110"/>
      <c r="AB58" s="110"/>
      <c r="AC58" s="110"/>
      <c r="AD58" s="110"/>
      <c r="AE58" s="110"/>
      <c r="AF58" s="110"/>
      <c r="AG58" s="110"/>
      <c r="AH58" s="110"/>
      <c r="AI58" s="110"/>
      <c r="AJ58" s="110"/>
      <c r="AK58" s="110"/>
      <c r="AL58" s="110"/>
      <c r="AM58" s="110"/>
      <c r="AN58" s="110"/>
      <c r="AO58" s="110"/>
      <c r="AP58" s="110"/>
      <c r="AQ58" s="110"/>
      <c r="AR58" s="110"/>
      <c r="AS58" s="110"/>
      <c r="AT58" s="110"/>
      <c r="AU58" s="110"/>
      <c r="AV58" s="110"/>
      <c r="AW58" s="110"/>
      <c r="AX58" s="110"/>
      <c r="AY58" s="110"/>
    </row>
    <row r="59" spans="1:51">
      <c r="A59" s="109"/>
      <c r="B59" s="120">
        <v>15</v>
      </c>
      <c r="C59" s="109" t="s">
        <v>293</v>
      </c>
      <c r="D59" s="110"/>
      <c r="E59" s="110"/>
      <c r="F59" s="110"/>
      <c r="G59" s="110"/>
      <c r="H59" s="110"/>
      <c r="I59" s="110"/>
      <c r="J59" s="110"/>
      <c r="K59" s="110"/>
      <c r="L59" s="110"/>
      <c r="M59" s="110"/>
      <c r="N59" s="110"/>
      <c r="O59" s="110"/>
      <c r="P59" s="110"/>
      <c r="Q59" s="110"/>
      <c r="R59" s="110"/>
      <c r="S59" s="110"/>
      <c r="T59" s="110"/>
      <c r="U59" s="110"/>
      <c r="V59" s="110"/>
      <c r="W59" s="110"/>
      <c r="X59" s="110"/>
      <c r="Y59" s="110"/>
      <c r="Z59" s="110"/>
      <c r="AA59" s="110"/>
      <c r="AB59" s="110"/>
      <c r="AC59" s="110"/>
      <c r="AD59" s="110"/>
      <c r="AE59" s="110"/>
      <c r="AF59" s="110"/>
      <c r="AG59" s="110"/>
      <c r="AH59" s="110"/>
      <c r="AI59" s="110"/>
      <c r="AJ59" s="110"/>
      <c r="AK59" s="110"/>
      <c r="AL59" s="110"/>
      <c r="AM59" s="110"/>
      <c r="AN59" s="110"/>
      <c r="AO59" s="110"/>
      <c r="AP59" s="110"/>
      <c r="AQ59" s="110"/>
      <c r="AR59" s="110"/>
      <c r="AS59" s="110"/>
      <c r="AT59" s="110"/>
      <c r="AU59" s="110"/>
      <c r="AV59" s="110"/>
      <c r="AW59" s="110"/>
      <c r="AX59" s="110"/>
      <c r="AY59" s="110"/>
    </row>
    <row r="60" spans="1:51">
      <c r="A60" s="109"/>
      <c r="B60" s="120">
        <v>16</v>
      </c>
      <c r="C60" s="109" t="s">
        <v>293</v>
      </c>
      <c r="D60" s="110"/>
      <c r="E60" s="110"/>
      <c r="F60" s="110"/>
      <c r="G60" s="110"/>
      <c r="H60" s="110"/>
      <c r="I60" s="110"/>
      <c r="J60" s="110"/>
      <c r="K60" s="110"/>
      <c r="L60" s="110"/>
      <c r="M60" s="110"/>
      <c r="N60" s="110"/>
      <c r="O60" s="110"/>
      <c r="P60" s="110"/>
      <c r="Q60" s="110"/>
      <c r="R60" s="110"/>
      <c r="S60" s="110"/>
      <c r="T60" s="110"/>
      <c r="U60" s="110"/>
      <c r="V60" s="110"/>
      <c r="W60" s="110"/>
      <c r="X60" s="110"/>
      <c r="Y60" s="110"/>
      <c r="Z60" s="110"/>
      <c r="AA60" s="110"/>
      <c r="AB60" s="110"/>
      <c r="AC60" s="110"/>
      <c r="AD60" s="110"/>
      <c r="AE60" s="110"/>
      <c r="AF60" s="110"/>
      <c r="AG60" s="110"/>
      <c r="AH60" s="110"/>
      <c r="AI60" s="110"/>
      <c r="AJ60" s="110"/>
      <c r="AK60" s="110"/>
      <c r="AL60" s="110"/>
      <c r="AM60" s="110"/>
      <c r="AN60" s="110"/>
      <c r="AO60" s="110"/>
      <c r="AP60" s="110"/>
      <c r="AQ60" s="110"/>
      <c r="AR60" s="110"/>
      <c r="AS60" s="110"/>
      <c r="AT60" s="110"/>
      <c r="AU60" s="110"/>
      <c r="AV60" s="110"/>
      <c r="AW60" s="110"/>
      <c r="AX60" s="110"/>
      <c r="AY60" s="110"/>
    </row>
    <row r="61" spans="1:51">
      <c r="A61" s="109"/>
      <c r="B61" s="120">
        <v>17</v>
      </c>
      <c r="C61" s="109" t="s">
        <v>293</v>
      </c>
      <c r="D61" s="110"/>
      <c r="E61" s="110"/>
      <c r="F61" s="110"/>
      <c r="G61" s="110"/>
      <c r="H61" s="110"/>
      <c r="I61" s="110"/>
      <c r="J61" s="110"/>
      <c r="K61" s="110"/>
      <c r="L61" s="110"/>
      <c r="M61" s="110"/>
      <c r="N61" s="110"/>
      <c r="O61" s="110"/>
      <c r="P61" s="110"/>
      <c r="Q61" s="110"/>
      <c r="R61" s="110"/>
      <c r="S61" s="110"/>
      <c r="T61" s="110"/>
      <c r="U61" s="110"/>
      <c r="V61" s="110"/>
      <c r="W61" s="110"/>
      <c r="X61" s="110"/>
      <c r="Y61" s="110"/>
      <c r="Z61" s="110"/>
      <c r="AA61" s="110"/>
      <c r="AB61" s="110"/>
      <c r="AC61" s="110"/>
      <c r="AD61" s="110"/>
      <c r="AE61" s="110"/>
      <c r="AF61" s="110"/>
      <c r="AG61" s="110"/>
      <c r="AH61" s="110"/>
      <c r="AI61" s="110"/>
      <c r="AJ61" s="110"/>
      <c r="AK61" s="110"/>
      <c r="AL61" s="110"/>
      <c r="AM61" s="110"/>
      <c r="AN61" s="110"/>
      <c r="AO61" s="110"/>
      <c r="AP61" s="110"/>
      <c r="AQ61" s="110"/>
      <c r="AR61" s="110"/>
      <c r="AS61" s="110"/>
      <c r="AT61" s="110"/>
      <c r="AU61" s="110"/>
      <c r="AV61" s="110"/>
      <c r="AW61" s="110"/>
      <c r="AX61" s="110"/>
      <c r="AY61" s="110"/>
    </row>
    <row r="62" spans="1:51">
      <c r="A62" s="109"/>
      <c r="B62" s="120">
        <v>18</v>
      </c>
      <c r="C62" s="109" t="s">
        <v>293</v>
      </c>
      <c r="D62" s="110"/>
      <c r="E62" s="110"/>
      <c r="F62" s="110"/>
      <c r="G62" s="110"/>
      <c r="H62" s="110"/>
      <c r="I62" s="110"/>
      <c r="J62" s="110"/>
      <c r="K62" s="110"/>
      <c r="L62" s="110"/>
      <c r="M62" s="110"/>
      <c r="N62" s="110"/>
      <c r="O62" s="110"/>
      <c r="P62" s="110"/>
      <c r="Q62" s="110"/>
      <c r="R62" s="110"/>
      <c r="S62" s="110"/>
      <c r="T62" s="110"/>
      <c r="U62" s="110"/>
      <c r="V62" s="110"/>
      <c r="W62" s="110"/>
      <c r="X62" s="110"/>
      <c r="Y62" s="110"/>
      <c r="Z62" s="110"/>
      <c r="AA62" s="110"/>
      <c r="AB62" s="110"/>
      <c r="AC62" s="110"/>
      <c r="AD62" s="110"/>
      <c r="AE62" s="110"/>
      <c r="AF62" s="110"/>
      <c r="AG62" s="110"/>
      <c r="AH62" s="110"/>
      <c r="AI62" s="110"/>
      <c r="AJ62" s="110"/>
      <c r="AK62" s="110"/>
      <c r="AL62" s="110"/>
      <c r="AM62" s="110"/>
      <c r="AN62" s="110"/>
      <c r="AO62" s="110"/>
      <c r="AP62" s="110"/>
      <c r="AQ62" s="110"/>
      <c r="AR62" s="110"/>
      <c r="AS62" s="110"/>
      <c r="AT62" s="110"/>
      <c r="AU62" s="110"/>
      <c r="AV62" s="110"/>
      <c r="AW62" s="110"/>
      <c r="AX62" s="110"/>
      <c r="AY62" s="110"/>
    </row>
    <row r="63" spans="1:51">
      <c r="A63" s="109"/>
      <c r="B63" s="120">
        <v>19</v>
      </c>
      <c r="C63" s="109" t="s">
        <v>293</v>
      </c>
      <c r="D63" s="110"/>
      <c r="E63" s="110"/>
      <c r="F63" s="110"/>
      <c r="G63" s="110"/>
      <c r="H63" s="110"/>
      <c r="I63" s="110"/>
      <c r="J63" s="110"/>
      <c r="K63" s="110"/>
      <c r="L63" s="110"/>
      <c r="M63" s="110"/>
      <c r="N63" s="110"/>
      <c r="O63" s="110"/>
      <c r="P63" s="110"/>
      <c r="Q63" s="110"/>
      <c r="R63" s="110"/>
      <c r="S63" s="110"/>
      <c r="T63" s="110"/>
      <c r="U63" s="110"/>
      <c r="V63" s="110"/>
      <c r="W63" s="110"/>
      <c r="X63" s="110"/>
      <c r="Y63" s="110"/>
      <c r="Z63" s="110"/>
      <c r="AA63" s="110"/>
      <c r="AB63" s="110"/>
      <c r="AC63" s="110"/>
      <c r="AD63" s="110"/>
      <c r="AE63" s="110"/>
      <c r="AF63" s="110"/>
      <c r="AG63" s="110"/>
      <c r="AH63" s="110"/>
      <c r="AI63" s="110"/>
      <c r="AJ63" s="110"/>
      <c r="AK63" s="110"/>
      <c r="AL63" s="110"/>
      <c r="AM63" s="110"/>
      <c r="AN63" s="110"/>
      <c r="AO63" s="110"/>
      <c r="AP63" s="110"/>
      <c r="AQ63" s="110"/>
      <c r="AR63" s="110"/>
      <c r="AS63" s="110"/>
      <c r="AT63" s="110"/>
      <c r="AU63" s="110"/>
      <c r="AV63" s="110"/>
      <c r="AW63" s="110"/>
      <c r="AX63" s="110"/>
      <c r="AY63" s="110"/>
    </row>
    <row r="64" spans="1:51">
      <c r="A64" s="109"/>
      <c r="B64" s="120">
        <v>20</v>
      </c>
      <c r="C64" s="109" t="s">
        <v>293</v>
      </c>
      <c r="D64" s="110"/>
      <c r="E64" s="110"/>
      <c r="F64" s="110"/>
      <c r="G64" s="110"/>
      <c r="H64" s="110"/>
      <c r="I64" s="110"/>
      <c r="J64" s="110"/>
      <c r="K64" s="110"/>
      <c r="L64" s="110"/>
      <c r="M64" s="110"/>
      <c r="N64" s="110"/>
      <c r="O64" s="110"/>
      <c r="P64" s="110"/>
      <c r="Q64" s="110"/>
      <c r="R64" s="110"/>
      <c r="S64" s="110"/>
      <c r="T64" s="110"/>
      <c r="U64" s="110"/>
      <c r="V64" s="110"/>
      <c r="W64" s="110"/>
      <c r="X64" s="110"/>
      <c r="Y64" s="110"/>
      <c r="Z64" s="110"/>
      <c r="AA64" s="110"/>
      <c r="AB64" s="110"/>
      <c r="AC64" s="110"/>
      <c r="AD64" s="110"/>
      <c r="AE64" s="110"/>
      <c r="AF64" s="110"/>
      <c r="AG64" s="110"/>
      <c r="AH64" s="110"/>
      <c r="AI64" s="110"/>
      <c r="AJ64" s="110"/>
      <c r="AK64" s="110"/>
      <c r="AL64" s="110"/>
      <c r="AM64" s="110"/>
      <c r="AN64" s="110"/>
      <c r="AO64" s="110"/>
      <c r="AP64" s="110"/>
      <c r="AQ64" s="110"/>
      <c r="AR64" s="110"/>
      <c r="AS64" s="110"/>
      <c r="AT64" s="110"/>
      <c r="AU64" s="110"/>
      <c r="AV64" s="110"/>
      <c r="AW64" s="110"/>
      <c r="AX64" s="110"/>
      <c r="AY64" s="110"/>
    </row>
    <row r="65" spans="1:51">
      <c r="A65" s="109"/>
      <c r="B65" s="120">
        <v>21</v>
      </c>
      <c r="C65" s="109" t="s">
        <v>293</v>
      </c>
      <c r="D65" s="110"/>
      <c r="E65" s="110"/>
      <c r="F65" s="110"/>
      <c r="G65" s="110"/>
      <c r="H65" s="110"/>
      <c r="I65" s="110"/>
      <c r="J65" s="110"/>
      <c r="K65" s="110"/>
      <c r="L65" s="110"/>
      <c r="M65" s="110"/>
      <c r="N65" s="110"/>
      <c r="O65" s="110"/>
      <c r="P65" s="110"/>
      <c r="Q65" s="110"/>
      <c r="R65" s="110"/>
      <c r="S65" s="110"/>
      <c r="T65" s="110"/>
      <c r="U65" s="110"/>
      <c r="V65" s="110"/>
      <c r="W65" s="110"/>
      <c r="X65" s="110"/>
      <c r="Y65" s="110"/>
      <c r="Z65" s="110"/>
      <c r="AA65" s="110"/>
      <c r="AB65" s="110"/>
      <c r="AC65" s="110"/>
      <c r="AD65" s="110"/>
      <c r="AE65" s="110"/>
      <c r="AF65" s="110"/>
      <c r="AG65" s="110"/>
      <c r="AH65" s="110"/>
      <c r="AI65" s="110"/>
      <c r="AJ65" s="110"/>
      <c r="AK65" s="110"/>
      <c r="AL65" s="110"/>
      <c r="AM65" s="110"/>
      <c r="AN65" s="110"/>
      <c r="AO65" s="110"/>
      <c r="AP65" s="110"/>
      <c r="AQ65" s="110"/>
      <c r="AR65" s="110"/>
      <c r="AS65" s="110"/>
      <c r="AT65" s="110"/>
      <c r="AU65" s="110"/>
      <c r="AV65" s="110"/>
      <c r="AW65" s="110"/>
      <c r="AX65" s="110"/>
      <c r="AY65" s="110"/>
    </row>
    <row r="66" spans="1:51">
      <c r="A66" s="109"/>
      <c r="B66" s="120">
        <v>22</v>
      </c>
      <c r="C66" s="109" t="s">
        <v>293</v>
      </c>
      <c r="D66" s="110"/>
      <c r="E66" s="110"/>
      <c r="F66" s="110"/>
      <c r="G66" s="110"/>
      <c r="H66" s="110"/>
      <c r="I66" s="110"/>
      <c r="J66" s="110"/>
      <c r="K66" s="110"/>
      <c r="L66" s="110"/>
      <c r="M66" s="110"/>
      <c r="N66" s="110"/>
      <c r="O66" s="110"/>
      <c r="P66" s="110"/>
      <c r="Q66" s="110"/>
      <c r="R66" s="110"/>
      <c r="S66" s="110"/>
      <c r="T66" s="110"/>
      <c r="U66" s="110"/>
      <c r="V66" s="110"/>
      <c r="W66" s="110"/>
      <c r="X66" s="110"/>
      <c r="Y66" s="110"/>
      <c r="Z66" s="110"/>
      <c r="AA66" s="110"/>
      <c r="AB66" s="110"/>
      <c r="AC66" s="110"/>
      <c r="AD66" s="110"/>
      <c r="AE66" s="110"/>
      <c r="AF66" s="110"/>
      <c r="AG66" s="110"/>
      <c r="AH66" s="110"/>
      <c r="AI66" s="110"/>
      <c r="AJ66" s="110"/>
      <c r="AK66" s="110"/>
      <c r="AL66" s="110"/>
      <c r="AM66" s="110"/>
      <c r="AN66" s="110"/>
      <c r="AO66" s="110"/>
      <c r="AP66" s="110"/>
      <c r="AQ66" s="110"/>
      <c r="AR66" s="110"/>
      <c r="AS66" s="110"/>
      <c r="AT66" s="110"/>
      <c r="AU66" s="110"/>
      <c r="AV66" s="110"/>
      <c r="AW66" s="110"/>
      <c r="AX66" s="110"/>
      <c r="AY66" s="110"/>
    </row>
    <row r="67" spans="1:51">
      <c r="A67" s="109"/>
      <c r="B67" s="120">
        <v>23</v>
      </c>
      <c r="C67" s="109" t="s">
        <v>293</v>
      </c>
      <c r="D67" s="110"/>
      <c r="E67" s="110"/>
      <c r="F67" s="110"/>
      <c r="G67" s="110"/>
      <c r="H67" s="110"/>
      <c r="I67" s="110"/>
      <c r="J67" s="110"/>
      <c r="K67" s="110"/>
      <c r="L67" s="110"/>
      <c r="M67" s="110"/>
      <c r="N67" s="110"/>
      <c r="O67" s="110"/>
      <c r="P67" s="110"/>
      <c r="Q67" s="110"/>
      <c r="R67" s="110"/>
      <c r="S67" s="110"/>
      <c r="T67" s="110"/>
      <c r="U67" s="110"/>
      <c r="V67" s="110"/>
      <c r="W67" s="110"/>
      <c r="X67" s="110"/>
      <c r="Y67" s="110"/>
      <c r="Z67" s="110"/>
      <c r="AA67" s="110"/>
      <c r="AB67" s="110"/>
      <c r="AC67" s="110"/>
      <c r="AD67" s="110"/>
      <c r="AE67" s="110"/>
      <c r="AF67" s="110"/>
      <c r="AG67" s="110"/>
      <c r="AH67" s="110"/>
      <c r="AI67" s="110"/>
      <c r="AJ67" s="110"/>
      <c r="AK67" s="110"/>
      <c r="AL67" s="110"/>
      <c r="AM67" s="110"/>
      <c r="AN67" s="110"/>
      <c r="AO67" s="110"/>
      <c r="AP67" s="110"/>
      <c r="AQ67" s="110"/>
      <c r="AR67" s="110"/>
      <c r="AS67" s="110"/>
      <c r="AT67" s="110"/>
      <c r="AU67" s="110"/>
      <c r="AV67" s="110"/>
      <c r="AW67" s="110"/>
      <c r="AX67" s="110"/>
      <c r="AY67" s="110"/>
    </row>
    <row r="68" spans="1:51">
      <c r="A68" s="109"/>
      <c r="B68" s="120">
        <v>24</v>
      </c>
      <c r="C68" s="109" t="s">
        <v>293</v>
      </c>
      <c r="D68" s="110"/>
      <c r="E68" s="110"/>
      <c r="F68" s="110"/>
      <c r="G68" s="110"/>
      <c r="H68" s="110"/>
      <c r="I68" s="110"/>
      <c r="J68" s="110"/>
      <c r="K68" s="110"/>
      <c r="L68" s="110"/>
      <c r="M68" s="110"/>
      <c r="N68" s="110"/>
      <c r="O68" s="110"/>
      <c r="P68" s="110"/>
      <c r="Q68" s="110"/>
      <c r="R68" s="110"/>
      <c r="S68" s="110"/>
      <c r="T68" s="110"/>
      <c r="U68" s="110"/>
      <c r="V68" s="110"/>
      <c r="W68" s="110"/>
      <c r="X68" s="110"/>
      <c r="Y68" s="110"/>
      <c r="Z68" s="110"/>
      <c r="AA68" s="110"/>
      <c r="AB68" s="110"/>
      <c r="AC68" s="110"/>
      <c r="AD68" s="110"/>
      <c r="AE68" s="110"/>
      <c r="AF68" s="110"/>
      <c r="AG68" s="110"/>
      <c r="AH68" s="110"/>
      <c r="AI68" s="110"/>
      <c r="AJ68" s="110"/>
      <c r="AK68" s="110"/>
      <c r="AL68" s="110"/>
      <c r="AM68" s="110"/>
      <c r="AN68" s="110"/>
      <c r="AO68" s="110"/>
      <c r="AP68" s="110"/>
      <c r="AQ68" s="110"/>
      <c r="AR68" s="110"/>
      <c r="AS68" s="110"/>
      <c r="AT68" s="110"/>
      <c r="AU68" s="110"/>
      <c r="AV68" s="110"/>
      <c r="AW68" s="110"/>
      <c r="AX68" s="110"/>
      <c r="AY68" s="110"/>
    </row>
    <row r="69" spans="1:51">
      <c r="A69" s="109"/>
      <c r="B69" s="127">
        <v>25</v>
      </c>
      <c r="C69" s="109" t="s">
        <v>293</v>
      </c>
      <c r="D69" s="110"/>
      <c r="E69" s="110"/>
      <c r="F69" s="110"/>
      <c r="G69" s="110"/>
      <c r="H69" s="110"/>
      <c r="I69" s="110"/>
      <c r="J69" s="110"/>
      <c r="K69" s="110"/>
      <c r="L69" s="110"/>
      <c r="M69" s="110"/>
      <c r="N69" s="110"/>
      <c r="O69" s="110"/>
      <c r="P69" s="110"/>
      <c r="Q69" s="110"/>
      <c r="R69" s="110"/>
      <c r="S69" s="110"/>
      <c r="T69" s="110"/>
      <c r="U69" s="110"/>
      <c r="V69" s="110"/>
      <c r="W69" s="110"/>
      <c r="X69" s="110"/>
      <c r="Y69" s="110"/>
      <c r="Z69" s="110"/>
      <c r="AA69" s="110"/>
      <c r="AB69" s="110"/>
      <c r="AC69" s="110"/>
      <c r="AD69" s="110"/>
      <c r="AE69" s="110"/>
      <c r="AF69" s="110"/>
      <c r="AG69" s="110"/>
      <c r="AH69" s="110"/>
      <c r="AI69" s="110"/>
      <c r="AJ69" s="110"/>
      <c r="AK69" s="110"/>
      <c r="AL69" s="110"/>
      <c r="AM69" s="110"/>
      <c r="AN69" s="110"/>
      <c r="AO69" s="110"/>
      <c r="AP69" s="110"/>
      <c r="AQ69" s="110"/>
      <c r="AR69" s="110"/>
      <c r="AS69" s="110"/>
      <c r="AT69" s="110"/>
      <c r="AU69" s="110"/>
      <c r="AV69" s="110"/>
      <c r="AW69" s="110"/>
      <c r="AX69" s="110"/>
      <c r="AY69" s="110"/>
    </row>
    <row r="70" spans="1:51">
      <c r="A70" s="109"/>
      <c r="B70" s="127">
        <v>26</v>
      </c>
      <c r="C70" s="109" t="s">
        <v>293</v>
      </c>
      <c r="D70" s="110"/>
      <c r="E70" s="110"/>
      <c r="F70" s="110"/>
      <c r="G70" s="110"/>
      <c r="H70" s="110"/>
      <c r="I70" s="110"/>
      <c r="J70" s="110"/>
      <c r="K70" s="110"/>
      <c r="L70" s="110"/>
      <c r="M70" s="110"/>
      <c r="N70" s="110"/>
      <c r="O70" s="110"/>
      <c r="P70" s="110"/>
      <c r="Q70" s="110"/>
      <c r="R70" s="110"/>
      <c r="S70" s="110"/>
      <c r="T70" s="110"/>
      <c r="U70" s="110"/>
      <c r="V70" s="110"/>
      <c r="W70" s="110"/>
      <c r="X70" s="110"/>
      <c r="Y70" s="110"/>
      <c r="Z70" s="110"/>
      <c r="AA70" s="110"/>
      <c r="AB70" s="110"/>
      <c r="AC70" s="110"/>
      <c r="AD70" s="110"/>
      <c r="AE70" s="110"/>
      <c r="AF70" s="110"/>
      <c r="AG70" s="110"/>
      <c r="AH70" s="110"/>
      <c r="AI70" s="110"/>
      <c r="AJ70" s="110"/>
      <c r="AK70" s="110"/>
      <c r="AL70" s="110"/>
      <c r="AM70" s="110"/>
      <c r="AN70" s="110"/>
      <c r="AO70" s="110"/>
      <c r="AP70" s="110"/>
      <c r="AQ70" s="110"/>
      <c r="AR70" s="110"/>
      <c r="AS70" s="110"/>
      <c r="AT70" s="110"/>
      <c r="AU70" s="110"/>
      <c r="AV70" s="110"/>
      <c r="AW70" s="110"/>
      <c r="AX70" s="110"/>
      <c r="AY70" s="110"/>
    </row>
    <row r="71" spans="1:51">
      <c r="A71" s="109"/>
      <c r="B71" s="127">
        <v>27</v>
      </c>
      <c r="C71" s="109" t="s">
        <v>293</v>
      </c>
      <c r="D71" s="110"/>
      <c r="E71" s="110"/>
      <c r="F71" s="110"/>
      <c r="G71" s="110"/>
      <c r="H71" s="110"/>
      <c r="I71" s="110"/>
      <c r="J71" s="110"/>
      <c r="K71" s="110"/>
      <c r="L71" s="110"/>
      <c r="M71" s="110"/>
      <c r="N71" s="110"/>
      <c r="O71" s="110"/>
      <c r="P71" s="110"/>
      <c r="Q71" s="110"/>
      <c r="R71" s="110"/>
      <c r="S71" s="110"/>
      <c r="T71" s="110"/>
      <c r="U71" s="110"/>
      <c r="V71" s="110"/>
      <c r="W71" s="110"/>
      <c r="X71" s="110"/>
      <c r="Y71" s="110"/>
      <c r="Z71" s="110"/>
      <c r="AA71" s="110"/>
      <c r="AB71" s="110"/>
      <c r="AC71" s="110"/>
      <c r="AD71" s="110"/>
      <c r="AE71" s="110"/>
      <c r="AF71" s="110"/>
      <c r="AG71" s="110"/>
      <c r="AH71" s="110"/>
      <c r="AI71" s="110"/>
      <c r="AJ71" s="110"/>
      <c r="AK71" s="110"/>
      <c r="AL71" s="110"/>
      <c r="AM71" s="110"/>
      <c r="AN71" s="110"/>
      <c r="AO71" s="110"/>
      <c r="AP71" s="110"/>
      <c r="AQ71" s="110"/>
      <c r="AR71" s="110"/>
      <c r="AS71" s="110"/>
      <c r="AT71" s="110"/>
      <c r="AU71" s="110"/>
      <c r="AV71" s="110"/>
      <c r="AW71" s="110"/>
      <c r="AX71" s="110"/>
      <c r="AY71" s="110"/>
    </row>
    <row r="72" spans="1:51">
      <c r="A72" s="109"/>
      <c r="B72" s="127">
        <v>28</v>
      </c>
      <c r="C72" s="109" t="s">
        <v>293</v>
      </c>
      <c r="D72" s="110"/>
      <c r="E72" s="110"/>
      <c r="F72" s="110"/>
      <c r="G72" s="110"/>
      <c r="H72" s="110"/>
      <c r="I72" s="110"/>
      <c r="J72" s="110"/>
      <c r="K72" s="110"/>
      <c r="L72" s="110"/>
      <c r="M72" s="110"/>
      <c r="N72" s="110"/>
      <c r="O72" s="110"/>
      <c r="P72" s="110"/>
      <c r="Q72" s="110"/>
      <c r="R72" s="110"/>
      <c r="S72" s="110"/>
      <c r="T72" s="110"/>
      <c r="U72" s="110"/>
      <c r="V72" s="110"/>
      <c r="W72" s="110"/>
      <c r="X72" s="110"/>
      <c r="Y72" s="110"/>
      <c r="Z72" s="110"/>
      <c r="AA72" s="110"/>
      <c r="AB72" s="110"/>
      <c r="AC72" s="110"/>
      <c r="AD72" s="110"/>
      <c r="AE72" s="110"/>
      <c r="AF72" s="110"/>
      <c r="AG72" s="110"/>
      <c r="AH72" s="110"/>
      <c r="AI72" s="110"/>
      <c r="AJ72" s="110"/>
      <c r="AK72" s="110"/>
      <c r="AL72" s="110"/>
      <c r="AM72" s="110"/>
      <c r="AN72" s="110"/>
      <c r="AO72" s="110"/>
      <c r="AP72" s="110"/>
      <c r="AQ72" s="110"/>
      <c r="AR72" s="110"/>
      <c r="AS72" s="110"/>
      <c r="AT72" s="110"/>
      <c r="AU72" s="110"/>
      <c r="AV72" s="110"/>
      <c r="AW72" s="110"/>
      <c r="AX72" s="110"/>
      <c r="AY72" s="110"/>
    </row>
    <row r="73" spans="1:51">
      <c r="A73" s="109"/>
      <c r="B73" s="127">
        <v>29</v>
      </c>
      <c r="C73" s="109" t="s">
        <v>293</v>
      </c>
      <c r="D73" s="110"/>
      <c r="E73" s="110"/>
      <c r="F73" s="110"/>
      <c r="G73" s="110"/>
      <c r="H73" s="110"/>
      <c r="I73" s="110"/>
      <c r="J73" s="110"/>
      <c r="K73" s="110"/>
      <c r="L73" s="110"/>
      <c r="M73" s="110"/>
      <c r="N73" s="110"/>
      <c r="O73" s="110"/>
      <c r="P73" s="110"/>
      <c r="Q73" s="110"/>
      <c r="R73" s="110"/>
      <c r="S73" s="110"/>
      <c r="T73" s="110"/>
      <c r="U73" s="110"/>
      <c r="V73" s="110"/>
      <c r="W73" s="110"/>
      <c r="X73" s="110"/>
      <c r="Y73" s="110"/>
      <c r="Z73" s="110"/>
      <c r="AA73" s="110"/>
      <c r="AB73" s="110"/>
      <c r="AC73" s="110"/>
      <c r="AD73" s="110"/>
      <c r="AE73" s="110"/>
      <c r="AF73" s="110"/>
      <c r="AG73" s="110"/>
      <c r="AH73" s="110"/>
      <c r="AI73" s="110"/>
      <c r="AJ73" s="110"/>
      <c r="AK73" s="110"/>
      <c r="AL73" s="110"/>
      <c r="AM73" s="110"/>
      <c r="AN73" s="110"/>
      <c r="AO73" s="110"/>
      <c r="AP73" s="110"/>
      <c r="AQ73" s="110"/>
      <c r="AR73" s="110"/>
      <c r="AS73" s="110"/>
      <c r="AT73" s="110"/>
      <c r="AU73" s="110"/>
      <c r="AV73" s="110"/>
      <c r="AW73" s="110"/>
      <c r="AX73" s="110"/>
      <c r="AY73" s="110"/>
    </row>
    <row r="74" spans="1:51">
      <c r="A74" s="109"/>
      <c r="B74" s="127">
        <v>30</v>
      </c>
      <c r="C74" s="109" t="s">
        <v>293</v>
      </c>
      <c r="D74" s="110"/>
      <c r="E74" s="110"/>
      <c r="F74" s="110"/>
      <c r="G74" s="110"/>
      <c r="H74" s="110"/>
      <c r="I74" s="110"/>
      <c r="J74" s="110"/>
      <c r="K74" s="110"/>
      <c r="L74" s="110"/>
      <c r="M74" s="110"/>
      <c r="N74" s="110"/>
      <c r="O74" s="110"/>
      <c r="P74" s="110"/>
      <c r="Q74" s="110"/>
      <c r="R74" s="110"/>
      <c r="S74" s="110"/>
      <c r="T74" s="110"/>
      <c r="U74" s="110"/>
      <c r="V74" s="110"/>
      <c r="W74" s="110"/>
      <c r="X74" s="110"/>
      <c r="Y74" s="110"/>
      <c r="Z74" s="110"/>
      <c r="AA74" s="110"/>
      <c r="AB74" s="110"/>
      <c r="AC74" s="110"/>
      <c r="AD74" s="110"/>
      <c r="AE74" s="110"/>
      <c r="AF74" s="110"/>
      <c r="AG74" s="110"/>
      <c r="AH74" s="110"/>
      <c r="AI74" s="110"/>
      <c r="AJ74" s="110"/>
      <c r="AK74" s="110"/>
      <c r="AL74" s="110"/>
      <c r="AM74" s="110"/>
      <c r="AN74" s="110"/>
      <c r="AO74" s="110"/>
      <c r="AP74" s="110"/>
      <c r="AQ74" s="110"/>
      <c r="AR74" s="110"/>
      <c r="AS74" s="110"/>
      <c r="AT74" s="110"/>
      <c r="AU74" s="110"/>
      <c r="AV74" s="110"/>
      <c r="AW74" s="110"/>
      <c r="AX74" s="110"/>
      <c r="AY74" s="110"/>
    </row>
    <row r="75" spans="1:51">
      <c r="A75" s="109"/>
      <c r="B75" s="127">
        <v>31</v>
      </c>
      <c r="C75" s="109" t="s">
        <v>293</v>
      </c>
      <c r="D75" s="110"/>
      <c r="E75" s="110"/>
      <c r="F75" s="110"/>
      <c r="G75" s="110"/>
      <c r="H75" s="110"/>
      <c r="I75" s="110"/>
      <c r="J75" s="110"/>
      <c r="K75" s="110"/>
      <c r="L75" s="110"/>
      <c r="M75" s="110"/>
      <c r="N75" s="110"/>
      <c r="O75" s="110"/>
      <c r="P75" s="110"/>
      <c r="Q75" s="110"/>
      <c r="R75" s="110"/>
      <c r="S75" s="110"/>
      <c r="T75" s="110"/>
      <c r="U75" s="110"/>
      <c r="V75" s="110"/>
      <c r="W75" s="110"/>
      <c r="X75" s="110"/>
      <c r="Y75" s="110"/>
      <c r="Z75" s="110"/>
      <c r="AA75" s="110"/>
      <c r="AB75" s="110"/>
      <c r="AC75" s="110"/>
      <c r="AD75" s="110"/>
      <c r="AE75" s="110"/>
      <c r="AF75" s="110"/>
      <c r="AG75" s="110"/>
      <c r="AH75" s="110"/>
      <c r="AI75" s="110"/>
      <c r="AJ75" s="110"/>
      <c r="AK75" s="110"/>
      <c r="AL75" s="110"/>
      <c r="AM75" s="110"/>
      <c r="AN75" s="110"/>
      <c r="AO75" s="110"/>
      <c r="AP75" s="110"/>
      <c r="AQ75" s="110"/>
      <c r="AR75" s="110"/>
      <c r="AS75" s="110"/>
      <c r="AT75" s="110"/>
      <c r="AU75" s="110"/>
      <c r="AV75" s="110"/>
      <c r="AW75" s="110"/>
      <c r="AX75" s="110"/>
      <c r="AY75" s="110"/>
    </row>
    <row r="76" spans="1:51">
      <c r="A76" s="109"/>
      <c r="B76" s="127">
        <v>32</v>
      </c>
      <c r="C76" s="109" t="s">
        <v>293</v>
      </c>
      <c r="D76" s="110"/>
      <c r="E76" s="110"/>
      <c r="F76" s="110"/>
      <c r="G76" s="110"/>
      <c r="H76" s="110"/>
      <c r="I76" s="110"/>
      <c r="J76" s="110"/>
      <c r="K76" s="110"/>
      <c r="L76" s="110"/>
      <c r="M76" s="110"/>
      <c r="N76" s="110"/>
      <c r="O76" s="110"/>
      <c r="P76" s="110"/>
      <c r="Q76" s="110"/>
      <c r="R76" s="110"/>
      <c r="S76" s="110"/>
      <c r="T76" s="110"/>
      <c r="U76" s="110"/>
      <c r="V76" s="110"/>
      <c r="W76" s="110"/>
      <c r="X76" s="110"/>
      <c r="Y76" s="110"/>
      <c r="Z76" s="110"/>
      <c r="AA76" s="110"/>
      <c r="AB76" s="110"/>
      <c r="AC76" s="110"/>
      <c r="AD76" s="110"/>
      <c r="AE76" s="110"/>
      <c r="AF76" s="110"/>
      <c r="AG76" s="110"/>
      <c r="AH76" s="110"/>
      <c r="AI76" s="110"/>
      <c r="AJ76" s="110"/>
      <c r="AK76" s="110"/>
      <c r="AL76" s="110"/>
      <c r="AM76" s="110"/>
      <c r="AN76" s="110"/>
      <c r="AO76" s="110"/>
      <c r="AP76" s="110"/>
      <c r="AQ76" s="110"/>
      <c r="AR76" s="110"/>
      <c r="AS76" s="110"/>
      <c r="AT76" s="110"/>
      <c r="AU76" s="110"/>
      <c r="AV76" s="110"/>
      <c r="AW76" s="110"/>
      <c r="AX76" s="110"/>
      <c r="AY76" s="110"/>
    </row>
    <row r="77" spans="1:51">
      <c r="A77" s="109"/>
      <c r="B77" s="127">
        <v>33</v>
      </c>
      <c r="C77" s="109" t="s">
        <v>293</v>
      </c>
      <c r="D77" s="110"/>
      <c r="E77" s="110"/>
      <c r="F77" s="110"/>
      <c r="G77" s="110"/>
      <c r="H77" s="110"/>
      <c r="I77" s="110"/>
      <c r="J77" s="110"/>
      <c r="K77" s="110"/>
      <c r="L77" s="110"/>
      <c r="M77" s="110"/>
      <c r="N77" s="110"/>
      <c r="O77" s="110"/>
      <c r="P77" s="110"/>
      <c r="Q77" s="110"/>
      <c r="R77" s="110"/>
      <c r="S77" s="110"/>
      <c r="T77" s="110"/>
      <c r="U77" s="110"/>
      <c r="V77" s="110"/>
      <c r="W77" s="110"/>
      <c r="X77" s="110"/>
      <c r="Y77" s="110"/>
      <c r="Z77" s="110"/>
      <c r="AA77" s="110"/>
      <c r="AB77" s="110"/>
      <c r="AC77" s="110"/>
      <c r="AD77" s="110"/>
      <c r="AE77" s="110"/>
      <c r="AF77" s="110"/>
      <c r="AG77" s="110"/>
      <c r="AH77" s="110"/>
      <c r="AI77" s="110"/>
      <c r="AJ77" s="110"/>
      <c r="AK77" s="110"/>
      <c r="AL77" s="110"/>
      <c r="AM77" s="110"/>
      <c r="AN77" s="110"/>
      <c r="AO77" s="110"/>
      <c r="AP77" s="110"/>
      <c r="AQ77" s="110"/>
      <c r="AR77" s="110"/>
      <c r="AS77" s="110"/>
      <c r="AT77" s="110"/>
      <c r="AU77" s="110"/>
      <c r="AV77" s="110"/>
      <c r="AW77" s="110"/>
      <c r="AX77" s="110"/>
      <c r="AY77" s="110"/>
    </row>
    <row r="78" spans="1:51">
      <c r="A78" s="109"/>
      <c r="B78" s="127">
        <v>34</v>
      </c>
      <c r="C78" s="109" t="s">
        <v>293</v>
      </c>
      <c r="D78" s="110"/>
      <c r="E78" s="110"/>
      <c r="F78" s="110"/>
      <c r="G78" s="110"/>
      <c r="H78" s="110"/>
      <c r="I78" s="110"/>
      <c r="J78" s="110"/>
      <c r="K78" s="110"/>
      <c r="L78" s="110"/>
      <c r="M78" s="110"/>
      <c r="N78" s="110"/>
      <c r="O78" s="110"/>
      <c r="P78" s="110"/>
      <c r="Q78" s="110"/>
      <c r="R78" s="110"/>
      <c r="S78" s="110"/>
      <c r="T78" s="110"/>
      <c r="U78" s="110"/>
      <c r="V78" s="110"/>
      <c r="W78" s="110"/>
      <c r="X78" s="110"/>
      <c r="Y78" s="110"/>
      <c r="Z78" s="110"/>
      <c r="AA78" s="110"/>
      <c r="AB78" s="110"/>
      <c r="AC78" s="110"/>
      <c r="AD78" s="110"/>
      <c r="AE78" s="110"/>
      <c r="AF78" s="110"/>
      <c r="AG78" s="110"/>
      <c r="AH78" s="110"/>
      <c r="AI78" s="110"/>
      <c r="AJ78" s="110"/>
      <c r="AK78" s="110"/>
      <c r="AL78" s="110"/>
      <c r="AM78" s="110"/>
      <c r="AN78" s="110"/>
      <c r="AO78" s="110"/>
      <c r="AP78" s="110"/>
      <c r="AQ78" s="110"/>
      <c r="AR78" s="110"/>
      <c r="AS78" s="110"/>
      <c r="AT78" s="110"/>
      <c r="AU78" s="110"/>
      <c r="AV78" s="110"/>
      <c r="AW78" s="110"/>
      <c r="AX78" s="110"/>
      <c r="AY78" s="110"/>
    </row>
    <row r="79" spans="1:51">
      <c r="A79" s="109"/>
      <c r="B79" s="127">
        <v>35</v>
      </c>
      <c r="C79" s="109" t="s">
        <v>293</v>
      </c>
      <c r="D79" s="110"/>
      <c r="E79" s="110"/>
      <c r="F79" s="110"/>
      <c r="G79" s="110"/>
      <c r="H79" s="110"/>
      <c r="I79" s="110"/>
      <c r="J79" s="110"/>
      <c r="K79" s="110"/>
      <c r="L79" s="110"/>
      <c r="M79" s="110"/>
      <c r="N79" s="110"/>
      <c r="O79" s="110"/>
      <c r="P79" s="110"/>
      <c r="Q79" s="110"/>
      <c r="R79" s="110"/>
      <c r="S79" s="110"/>
      <c r="T79" s="110"/>
      <c r="U79" s="110"/>
      <c r="V79" s="110"/>
      <c r="W79" s="110"/>
      <c r="X79" s="110"/>
      <c r="Y79" s="110"/>
      <c r="Z79" s="110"/>
      <c r="AA79" s="110"/>
      <c r="AB79" s="110"/>
      <c r="AC79" s="110"/>
      <c r="AD79" s="110"/>
      <c r="AE79" s="110"/>
      <c r="AF79" s="110"/>
      <c r="AG79" s="110"/>
      <c r="AH79" s="110"/>
      <c r="AI79" s="110"/>
      <c r="AJ79" s="110"/>
      <c r="AK79" s="110"/>
      <c r="AL79" s="110"/>
      <c r="AM79" s="110"/>
      <c r="AN79" s="110"/>
      <c r="AO79" s="110"/>
      <c r="AP79" s="110"/>
      <c r="AQ79" s="110"/>
      <c r="AR79" s="110"/>
      <c r="AS79" s="110"/>
      <c r="AT79" s="110"/>
      <c r="AU79" s="110"/>
      <c r="AV79" s="110"/>
      <c r="AW79" s="110"/>
      <c r="AX79" s="110"/>
      <c r="AY79" s="110"/>
    </row>
    <row r="80" spans="1:51">
      <c r="A80" s="109"/>
      <c r="B80" s="127">
        <v>36</v>
      </c>
      <c r="C80" s="109" t="s">
        <v>293</v>
      </c>
      <c r="D80" s="110"/>
      <c r="E80" s="110"/>
      <c r="F80" s="110"/>
      <c r="G80" s="110"/>
      <c r="H80" s="110"/>
      <c r="I80" s="110"/>
      <c r="J80" s="110"/>
      <c r="K80" s="110"/>
      <c r="L80" s="110"/>
      <c r="M80" s="110"/>
      <c r="N80" s="110"/>
      <c r="O80" s="110"/>
      <c r="P80" s="110"/>
      <c r="Q80" s="110"/>
      <c r="R80" s="110"/>
      <c r="S80" s="110"/>
      <c r="T80" s="110"/>
      <c r="U80" s="110"/>
      <c r="V80" s="110"/>
      <c r="W80" s="110"/>
      <c r="X80" s="110"/>
      <c r="Y80" s="110"/>
      <c r="Z80" s="110"/>
      <c r="AA80" s="110"/>
      <c r="AB80" s="110"/>
      <c r="AC80" s="110"/>
      <c r="AD80" s="110"/>
      <c r="AE80" s="110"/>
      <c r="AF80" s="110"/>
      <c r="AG80" s="110"/>
      <c r="AH80" s="110"/>
      <c r="AI80" s="110"/>
      <c r="AJ80" s="110"/>
      <c r="AK80" s="110"/>
      <c r="AL80" s="110"/>
      <c r="AM80" s="110"/>
      <c r="AN80" s="110"/>
      <c r="AO80" s="110"/>
      <c r="AP80" s="110"/>
      <c r="AQ80" s="110"/>
      <c r="AR80" s="110"/>
      <c r="AS80" s="110"/>
      <c r="AT80" s="110"/>
      <c r="AU80" s="110"/>
      <c r="AV80" s="110"/>
      <c r="AW80" s="110"/>
      <c r="AX80" s="110"/>
      <c r="AY80" s="110"/>
    </row>
    <row r="81" spans="1:52">
      <c r="A81" s="109"/>
      <c r="B81" s="130">
        <v>37</v>
      </c>
      <c r="C81" s="109" t="s">
        <v>293</v>
      </c>
      <c r="D81" s="110"/>
      <c r="E81" s="110"/>
      <c r="F81" s="110"/>
      <c r="G81" s="110"/>
      <c r="H81" s="110"/>
      <c r="I81" s="110"/>
      <c r="J81" s="110"/>
      <c r="K81" s="110"/>
      <c r="L81" s="110"/>
      <c r="M81" s="110"/>
      <c r="N81" s="110"/>
      <c r="O81" s="110"/>
      <c r="P81" s="110"/>
      <c r="Q81" s="110"/>
      <c r="R81" s="110"/>
      <c r="S81" s="110"/>
      <c r="T81" s="110"/>
      <c r="U81" s="110"/>
      <c r="V81" s="110"/>
      <c r="W81" s="110"/>
      <c r="X81" s="110"/>
      <c r="Y81" s="110"/>
      <c r="Z81" s="110"/>
      <c r="AA81" s="110"/>
      <c r="AB81" s="110"/>
      <c r="AC81" s="110"/>
      <c r="AD81" s="110"/>
      <c r="AE81" s="110"/>
      <c r="AF81" s="110"/>
      <c r="AG81" s="110"/>
      <c r="AH81" s="110"/>
      <c r="AI81" s="110"/>
      <c r="AJ81" s="110"/>
      <c r="AK81" s="110"/>
      <c r="AL81" s="110"/>
      <c r="AM81" s="110"/>
      <c r="AN81" s="110"/>
      <c r="AO81" s="110"/>
      <c r="AP81" s="110"/>
      <c r="AQ81" s="110"/>
      <c r="AR81" s="110"/>
      <c r="AS81" s="110"/>
      <c r="AT81" s="110"/>
      <c r="AU81" s="110"/>
      <c r="AV81" s="110"/>
      <c r="AW81" s="110"/>
      <c r="AX81" s="110"/>
      <c r="AY81" s="110"/>
    </row>
    <row r="82" spans="1:52">
      <c r="A82" s="109"/>
      <c r="B82" s="130">
        <v>38</v>
      </c>
      <c r="C82" s="109" t="s">
        <v>293</v>
      </c>
      <c r="D82" s="110"/>
      <c r="E82" s="110"/>
      <c r="F82" s="110"/>
      <c r="G82" s="110"/>
      <c r="H82" s="110"/>
      <c r="I82" s="110"/>
      <c r="J82" s="110"/>
      <c r="K82" s="110"/>
      <c r="L82" s="110"/>
      <c r="M82" s="110"/>
      <c r="N82" s="110"/>
      <c r="O82" s="110"/>
      <c r="P82" s="110"/>
      <c r="Q82" s="110"/>
      <c r="R82" s="110"/>
      <c r="S82" s="110"/>
      <c r="T82" s="110"/>
      <c r="U82" s="110"/>
      <c r="V82" s="110"/>
      <c r="W82" s="110"/>
      <c r="X82" s="110"/>
      <c r="Y82" s="110"/>
      <c r="Z82" s="110"/>
      <c r="AA82" s="110"/>
      <c r="AB82" s="110"/>
      <c r="AC82" s="110"/>
      <c r="AD82" s="110"/>
      <c r="AE82" s="110"/>
      <c r="AF82" s="110"/>
      <c r="AG82" s="110"/>
      <c r="AH82" s="110"/>
      <c r="AI82" s="110"/>
      <c r="AJ82" s="110"/>
      <c r="AK82" s="110"/>
      <c r="AL82" s="110"/>
      <c r="AM82" s="110"/>
      <c r="AN82" s="110"/>
      <c r="AO82" s="110"/>
      <c r="AP82" s="110"/>
      <c r="AQ82" s="110"/>
      <c r="AR82" s="110"/>
      <c r="AS82" s="110"/>
      <c r="AT82" s="110"/>
      <c r="AU82" s="110"/>
      <c r="AV82" s="110"/>
      <c r="AW82" s="110"/>
      <c r="AX82" s="110"/>
      <c r="AY82" s="110"/>
    </row>
    <row r="83" spans="1:52">
      <c r="A83" s="109"/>
      <c r="B83" s="130">
        <v>39</v>
      </c>
      <c r="C83" s="109" t="s">
        <v>293</v>
      </c>
      <c r="D83" s="110"/>
      <c r="E83" s="110"/>
      <c r="F83" s="110"/>
      <c r="G83" s="110"/>
      <c r="H83" s="110"/>
      <c r="I83" s="110"/>
      <c r="J83" s="110"/>
      <c r="K83" s="110"/>
      <c r="L83" s="110"/>
      <c r="M83" s="110"/>
      <c r="N83" s="110"/>
      <c r="O83" s="110"/>
      <c r="P83" s="110"/>
      <c r="Q83" s="110"/>
      <c r="R83" s="110"/>
      <c r="S83" s="110"/>
      <c r="T83" s="110"/>
      <c r="U83" s="110"/>
      <c r="V83" s="110"/>
      <c r="W83" s="110"/>
      <c r="X83" s="110"/>
      <c r="Y83" s="110"/>
      <c r="Z83" s="110"/>
      <c r="AA83" s="110"/>
      <c r="AB83" s="110"/>
      <c r="AC83" s="110"/>
      <c r="AD83" s="110"/>
      <c r="AE83" s="110"/>
      <c r="AF83" s="110"/>
      <c r="AG83" s="110"/>
      <c r="AH83" s="110"/>
      <c r="AI83" s="110"/>
      <c r="AJ83" s="110"/>
      <c r="AK83" s="110"/>
      <c r="AL83" s="110"/>
      <c r="AM83" s="110"/>
      <c r="AN83" s="110"/>
      <c r="AO83" s="110"/>
      <c r="AP83" s="110"/>
      <c r="AQ83" s="110"/>
      <c r="AR83" s="110"/>
      <c r="AS83" s="110"/>
      <c r="AT83" s="110"/>
      <c r="AU83" s="110"/>
      <c r="AV83" s="110"/>
      <c r="AW83" s="110"/>
      <c r="AX83" s="110"/>
      <c r="AY83" s="110"/>
    </row>
    <row r="84" spans="1:52">
      <c r="A84" s="109"/>
      <c r="B84" s="130">
        <v>40</v>
      </c>
      <c r="C84" s="109" t="s">
        <v>293</v>
      </c>
      <c r="D84" s="110"/>
      <c r="E84" s="110"/>
      <c r="F84" s="110"/>
      <c r="G84" s="110"/>
      <c r="H84" s="110"/>
      <c r="I84" s="110"/>
      <c r="J84" s="110"/>
      <c r="K84" s="110"/>
      <c r="L84" s="110"/>
      <c r="M84" s="110"/>
      <c r="N84" s="110"/>
      <c r="O84" s="110"/>
      <c r="P84" s="110"/>
      <c r="Q84" s="110"/>
      <c r="R84" s="110"/>
      <c r="S84" s="110"/>
      <c r="T84" s="110"/>
      <c r="U84" s="110"/>
      <c r="V84" s="110"/>
      <c r="W84" s="110"/>
      <c r="X84" s="110"/>
      <c r="Y84" s="110"/>
      <c r="Z84" s="110"/>
      <c r="AA84" s="110"/>
      <c r="AB84" s="110"/>
      <c r="AC84" s="110"/>
      <c r="AD84" s="110"/>
      <c r="AE84" s="110"/>
      <c r="AF84" s="110"/>
      <c r="AG84" s="110"/>
      <c r="AH84" s="110"/>
      <c r="AI84" s="110"/>
      <c r="AJ84" s="110"/>
      <c r="AK84" s="110"/>
      <c r="AL84" s="110"/>
      <c r="AM84" s="110"/>
      <c r="AN84" s="110"/>
      <c r="AO84" s="110"/>
      <c r="AP84" s="110"/>
      <c r="AQ84" s="110"/>
      <c r="AR84" s="110"/>
      <c r="AS84" s="110"/>
      <c r="AT84" s="110"/>
      <c r="AU84" s="110"/>
      <c r="AV84" s="110"/>
      <c r="AW84" s="110"/>
      <c r="AX84" s="110"/>
      <c r="AY84" s="110"/>
    </row>
    <row r="85" spans="1:52">
      <c r="A85" s="109"/>
      <c r="B85" s="130">
        <v>41</v>
      </c>
      <c r="C85" s="109" t="s">
        <v>293</v>
      </c>
      <c r="D85" s="110"/>
      <c r="E85" s="110"/>
      <c r="F85" s="110"/>
      <c r="G85" s="110"/>
      <c r="H85" s="110"/>
      <c r="I85" s="110"/>
      <c r="J85" s="110"/>
      <c r="K85" s="110"/>
      <c r="L85" s="110"/>
      <c r="M85" s="110"/>
      <c r="N85" s="110"/>
      <c r="O85" s="110"/>
      <c r="P85" s="110"/>
      <c r="Q85" s="110"/>
      <c r="R85" s="110"/>
      <c r="S85" s="110"/>
      <c r="T85" s="110"/>
      <c r="U85" s="110"/>
      <c r="V85" s="110"/>
      <c r="W85" s="110"/>
      <c r="X85" s="110"/>
      <c r="Y85" s="110"/>
      <c r="Z85" s="110"/>
      <c r="AA85" s="110"/>
      <c r="AB85" s="110"/>
      <c r="AC85" s="110"/>
      <c r="AD85" s="110"/>
      <c r="AE85" s="110"/>
      <c r="AF85" s="110"/>
      <c r="AG85" s="110"/>
      <c r="AH85" s="110"/>
      <c r="AI85" s="110"/>
      <c r="AJ85" s="110"/>
      <c r="AK85" s="110"/>
      <c r="AL85" s="110"/>
      <c r="AM85" s="110"/>
      <c r="AN85" s="110"/>
      <c r="AO85" s="110"/>
      <c r="AP85" s="110"/>
      <c r="AQ85" s="110"/>
      <c r="AR85" s="110"/>
      <c r="AS85" s="110"/>
      <c r="AT85" s="110"/>
      <c r="AU85" s="110"/>
      <c r="AV85" s="110"/>
      <c r="AW85" s="110"/>
      <c r="AX85" s="110"/>
      <c r="AY85" s="110"/>
    </row>
    <row r="86" spans="1:52">
      <c r="A86" s="109"/>
      <c r="B86" s="130">
        <v>42</v>
      </c>
      <c r="C86" s="109" t="s">
        <v>293</v>
      </c>
      <c r="D86" s="110"/>
      <c r="E86" s="110"/>
      <c r="F86" s="110"/>
      <c r="G86" s="110"/>
      <c r="H86" s="110"/>
      <c r="I86" s="110"/>
      <c r="J86" s="110"/>
      <c r="K86" s="110"/>
      <c r="L86" s="110"/>
      <c r="M86" s="110"/>
      <c r="N86" s="110"/>
      <c r="O86" s="110"/>
      <c r="P86" s="110"/>
      <c r="Q86" s="110"/>
      <c r="R86" s="110"/>
      <c r="S86" s="110"/>
      <c r="T86" s="110"/>
      <c r="U86" s="110"/>
      <c r="V86" s="110"/>
      <c r="W86" s="110"/>
      <c r="X86" s="110"/>
      <c r="Y86" s="110"/>
      <c r="Z86" s="110"/>
      <c r="AA86" s="110"/>
      <c r="AB86" s="110"/>
      <c r="AC86" s="110"/>
      <c r="AD86" s="110"/>
      <c r="AE86" s="110"/>
      <c r="AF86" s="110"/>
      <c r="AG86" s="110"/>
      <c r="AH86" s="110"/>
      <c r="AI86" s="110"/>
      <c r="AJ86" s="110"/>
      <c r="AK86" s="110"/>
      <c r="AL86" s="110"/>
      <c r="AM86" s="110"/>
      <c r="AN86" s="110"/>
      <c r="AO86" s="110"/>
      <c r="AP86" s="110"/>
      <c r="AQ86" s="110"/>
      <c r="AR86" s="110"/>
      <c r="AS86" s="110"/>
      <c r="AT86" s="110"/>
      <c r="AU86" s="110"/>
      <c r="AV86" s="110"/>
      <c r="AW86" s="110"/>
      <c r="AX86" s="110"/>
      <c r="AY86" s="110"/>
    </row>
    <row r="87" spans="1:52">
      <c r="A87" s="109"/>
      <c r="B87" s="130">
        <v>43</v>
      </c>
      <c r="C87" s="109" t="s">
        <v>293</v>
      </c>
      <c r="D87" s="110"/>
      <c r="E87" s="110"/>
      <c r="F87" s="110"/>
      <c r="G87" s="110"/>
      <c r="H87" s="110"/>
      <c r="I87" s="110"/>
      <c r="J87" s="110"/>
      <c r="K87" s="110"/>
      <c r="L87" s="110"/>
      <c r="M87" s="110"/>
      <c r="N87" s="110"/>
      <c r="O87" s="110"/>
      <c r="P87" s="110"/>
      <c r="Q87" s="110"/>
      <c r="R87" s="110"/>
      <c r="S87" s="110"/>
      <c r="T87" s="110"/>
      <c r="U87" s="110"/>
      <c r="V87" s="110"/>
      <c r="W87" s="110"/>
      <c r="X87" s="110"/>
      <c r="Y87" s="110"/>
      <c r="Z87" s="110"/>
      <c r="AA87" s="110"/>
      <c r="AB87" s="110"/>
      <c r="AC87" s="110"/>
      <c r="AD87" s="110"/>
      <c r="AE87" s="110"/>
      <c r="AF87" s="110"/>
      <c r="AG87" s="110"/>
      <c r="AH87" s="110"/>
      <c r="AI87" s="110"/>
      <c r="AJ87" s="110"/>
      <c r="AK87" s="110"/>
      <c r="AL87" s="110"/>
      <c r="AM87" s="110"/>
      <c r="AN87" s="110"/>
      <c r="AO87" s="110"/>
      <c r="AP87" s="110"/>
      <c r="AQ87" s="110"/>
      <c r="AR87" s="110"/>
      <c r="AS87" s="110"/>
      <c r="AT87" s="110"/>
      <c r="AU87" s="110"/>
      <c r="AV87" s="110"/>
      <c r="AW87" s="110"/>
      <c r="AX87" s="110"/>
      <c r="AY87" s="110"/>
    </row>
    <row r="88" spans="1:52">
      <c r="A88" s="109"/>
      <c r="B88" s="130">
        <v>44</v>
      </c>
      <c r="C88" s="109" t="s">
        <v>293</v>
      </c>
      <c r="D88" s="110"/>
      <c r="E88" s="110"/>
      <c r="F88" s="110"/>
      <c r="G88" s="110"/>
      <c r="H88" s="110"/>
      <c r="I88" s="110"/>
      <c r="J88" s="110"/>
      <c r="K88" s="110"/>
      <c r="L88" s="110"/>
      <c r="M88" s="110"/>
      <c r="N88" s="110"/>
      <c r="O88" s="110"/>
      <c r="P88" s="110"/>
      <c r="Q88" s="110"/>
      <c r="R88" s="110"/>
      <c r="S88" s="110"/>
      <c r="T88" s="110"/>
      <c r="U88" s="110"/>
      <c r="V88" s="110"/>
      <c r="W88" s="110"/>
      <c r="X88" s="110"/>
      <c r="Y88" s="110"/>
      <c r="Z88" s="110"/>
      <c r="AA88" s="110"/>
      <c r="AB88" s="110"/>
      <c r="AC88" s="110"/>
      <c r="AD88" s="110"/>
      <c r="AE88" s="110"/>
      <c r="AF88" s="110"/>
      <c r="AG88" s="110"/>
      <c r="AH88" s="110"/>
      <c r="AI88" s="110"/>
      <c r="AJ88" s="110"/>
      <c r="AK88" s="110"/>
      <c r="AL88" s="110"/>
      <c r="AM88" s="110"/>
      <c r="AN88" s="110"/>
      <c r="AO88" s="110"/>
      <c r="AP88" s="110"/>
      <c r="AQ88" s="110"/>
      <c r="AR88" s="110"/>
      <c r="AS88" s="110"/>
      <c r="AT88" s="110"/>
      <c r="AU88" s="110"/>
      <c r="AV88" s="110"/>
      <c r="AW88" s="110"/>
      <c r="AX88" s="110"/>
      <c r="AY88" s="110"/>
    </row>
    <row r="89" spans="1:52">
      <c r="A89" s="109"/>
      <c r="B89" s="130">
        <v>45</v>
      </c>
      <c r="C89" s="109" t="s">
        <v>293</v>
      </c>
      <c r="D89" s="110"/>
      <c r="E89" s="110"/>
      <c r="F89" s="110"/>
      <c r="G89" s="110"/>
      <c r="H89" s="110"/>
      <c r="I89" s="110"/>
      <c r="J89" s="110"/>
      <c r="K89" s="110"/>
      <c r="L89" s="110"/>
      <c r="M89" s="110"/>
      <c r="N89" s="110"/>
      <c r="O89" s="110"/>
      <c r="P89" s="110"/>
      <c r="Q89" s="110"/>
      <c r="R89" s="110"/>
      <c r="S89" s="110"/>
      <c r="T89" s="110"/>
      <c r="U89" s="110"/>
      <c r="V89" s="110"/>
      <c r="W89" s="110"/>
      <c r="X89" s="110"/>
      <c r="Y89" s="110"/>
      <c r="Z89" s="110"/>
      <c r="AA89" s="110"/>
      <c r="AB89" s="110"/>
      <c r="AC89" s="110"/>
      <c r="AD89" s="110"/>
      <c r="AE89" s="110"/>
      <c r="AF89" s="110"/>
      <c r="AG89" s="110"/>
      <c r="AH89" s="110"/>
      <c r="AI89" s="110"/>
      <c r="AJ89" s="110"/>
      <c r="AK89" s="110"/>
      <c r="AL89" s="110"/>
      <c r="AM89" s="110"/>
      <c r="AN89" s="110"/>
      <c r="AO89" s="110"/>
      <c r="AP89" s="110"/>
      <c r="AQ89" s="110"/>
      <c r="AR89" s="110"/>
      <c r="AS89" s="110"/>
      <c r="AT89" s="110"/>
      <c r="AU89" s="110"/>
      <c r="AV89" s="110"/>
      <c r="AW89" s="110"/>
      <c r="AX89" s="110"/>
      <c r="AY89" s="110"/>
    </row>
    <row r="90" spans="1:52">
      <c r="A90" s="109"/>
      <c r="B90" s="130">
        <v>46</v>
      </c>
      <c r="C90" s="109" t="s">
        <v>293</v>
      </c>
      <c r="D90" s="110"/>
      <c r="E90" s="110"/>
      <c r="F90" s="110"/>
      <c r="G90" s="110"/>
      <c r="H90" s="110"/>
      <c r="I90" s="110"/>
      <c r="J90" s="110"/>
      <c r="K90" s="110"/>
      <c r="L90" s="110"/>
      <c r="M90" s="110"/>
      <c r="N90" s="110"/>
      <c r="O90" s="110"/>
      <c r="P90" s="110"/>
      <c r="Q90" s="110"/>
      <c r="R90" s="110"/>
      <c r="S90" s="110"/>
      <c r="T90" s="110"/>
      <c r="U90" s="110"/>
      <c r="V90" s="110"/>
      <c r="W90" s="110"/>
      <c r="X90" s="110"/>
      <c r="Y90" s="110"/>
      <c r="Z90" s="110"/>
      <c r="AA90" s="110"/>
      <c r="AB90" s="110"/>
      <c r="AC90" s="110"/>
      <c r="AD90" s="110"/>
      <c r="AE90" s="110"/>
      <c r="AF90" s="110"/>
      <c r="AG90" s="110"/>
      <c r="AH90" s="110"/>
      <c r="AI90" s="110"/>
      <c r="AJ90" s="110"/>
      <c r="AK90" s="110"/>
      <c r="AL90" s="110"/>
      <c r="AM90" s="110"/>
      <c r="AN90" s="110"/>
      <c r="AO90" s="110"/>
      <c r="AP90" s="110"/>
      <c r="AQ90" s="110"/>
      <c r="AR90" s="110"/>
      <c r="AS90" s="110"/>
      <c r="AT90" s="110"/>
      <c r="AU90" s="110"/>
      <c r="AV90" s="110"/>
      <c r="AW90" s="110"/>
      <c r="AX90" s="110"/>
      <c r="AY90" s="110"/>
    </row>
    <row r="91" spans="1:52">
      <c r="A91" s="109"/>
      <c r="B91" s="130">
        <v>47</v>
      </c>
      <c r="C91" s="109" t="s">
        <v>293</v>
      </c>
      <c r="D91" s="110"/>
      <c r="E91" s="110"/>
      <c r="F91" s="110"/>
      <c r="G91" s="110"/>
      <c r="H91" s="110"/>
      <c r="I91" s="110"/>
      <c r="J91" s="110"/>
      <c r="K91" s="110"/>
      <c r="L91" s="110"/>
      <c r="M91" s="110"/>
      <c r="N91" s="110"/>
      <c r="O91" s="110"/>
      <c r="P91" s="110"/>
      <c r="Q91" s="110"/>
      <c r="R91" s="110"/>
      <c r="S91" s="110"/>
      <c r="T91" s="110"/>
      <c r="U91" s="110"/>
      <c r="V91" s="110"/>
      <c r="W91" s="110"/>
      <c r="X91" s="110"/>
      <c r="Y91" s="110"/>
      <c r="Z91" s="110"/>
      <c r="AA91" s="110"/>
      <c r="AB91" s="110"/>
      <c r="AC91" s="110"/>
      <c r="AD91" s="110"/>
      <c r="AE91" s="110"/>
      <c r="AF91" s="110"/>
      <c r="AG91" s="110"/>
      <c r="AH91" s="110"/>
      <c r="AI91" s="110"/>
      <c r="AJ91" s="110"/>
      <c r="AK91" s="110"/>
      <c r="AL91" s="110"/>
      <c r="AM91" s="110"/>
      <c r="AN91" s="110"/>
      <c r="AO91" s="110"/>
      <c r="AP91" s="110"/>
      <c r="AQ91" s="110"/>
      <c r="AR91" s="110"/>
      <c r="AS91" s="110"/>
      <c r="AT91" s="110"/>
      <c r="AU91" s="110"/>
      <c r="AV91" s="110"/>
      <c r="AW91" s="110"/>
      <c r="AX91" s="110"/>
      <c r="AY91" s="110"/>
    </row>
    <row r="92" spans="1:52">
      <c r="A92" s="128"/>
      <c r="B92" s="129">
        <v>48</v>
      </c>
      <c r="C92" s="128" t="s">
        <v>293</v>
      </c>
      <c r="D92" s="125">
        <v>0</v>
      </c>
      <c r="E92" s="125">
        <v>0</v>
      </c>
      <c r="F92" s="125">
        <v>0</v>
      </c>
      <c r="G92" s="125">
        <v>0</v>
      </c>
      <c r="H92" s="125">
        <v>0</v>
      </c>
      <c r="I92" s="125">
        <v>0</v>
      </c>
      <c r="J92" s="125">
        <v>0</v>
      </c>
      <c r="K92" s="125">
        <v>0</v>
      </c>
      <c r="L92" s="125">
        <v>0</v>
      </c>
      <c r="M92" s="125">
        <v>0</v>
      </c>
      <c r="N92" s="125">
        <v>0</v>
      </c>
      <c r="O92" s="125">
        <v>0</v>
      </c>
      <c r="P92" s="125">
        <v>0</v>
      </c>
      <c r="Q92" s="125">
        <v>0</v>
      </c>
      <c r="R92" s="125">
        <v>0</v>
      </c>
      <c r="S92" s="125">
        <v>0</v>
      </c>
      <c r="T92" s="125">
        <v>0</v>
      </c>
      <c r="U92" s="125">
        <v>0</v>
      </c>
      <c r="V92" s="125">
        <v>0</v>
      </c>
      <c r="W92" s="125">
        <v>0</v>
      </c>
      <c r="X92" s="125">
        <v>0</v>
      </c>
      <c r="Y92" s="125">
        <v>0</v>
      </c>
      <c r="Z92" s="125">
        <v>0</v>
      </c>
      <c r="AA92" s="125">
        <v>0</v>
      </c>
      <c r="AB92" s="125">
        <v>0</v>
      </c>
      <c r="AC92" s="125">
        <v>0</v>
      </c>
      <c r="AD92" s="125">
        <v>0</v>
      </c>
      <c r="AE92" s="125">
        <v>0</v>
      </c>
      <c r="AF92" s="125">
        <v>0</v>
      </c>
      <c r="AG92" s="125">
        <v>0</v>
      </c>
      <c r="AH92" s="125">
        <v>0</v>
      </c>
      <c r="AI92" s="125">
        <v>0</v>
      </c>
      <c r="AJ92" s="125">
        <v>0</v>
      </c>
      <c r="AK92" s="125">
        <v>0</v>
      </c>
      <c r="AL92" s="125">
        <v>0</v>
      </c>
      <c r="AM92" s="125">
        <v>0</v>
      </c>
      <c r="AN92" s="125">
        <v>0</v>
      </c>
      <c r="AO92" s="125">
        <v>0</v>
      </c>
      <c r="AP92" s="125">
        <v>0</v>
      </c>
      <c r="AQ92" s="125">
        <v>0</v>
      </c>
      <c r="AR92" s="125">
        <v>0</v>
      </c>
      <c r="AS92" s="125">
        <v>0</v>
      </c>
      <c r="AT92" s="125">
        <v>0</v>
      </c>
      <c r="AU92" s="125">
        <v>0</v>
      </c>
      <c r="AV92" s="125">
        <v>0</v>
      </c>
      <c r="AW92" s="125">
        <v>0</v>
      </c>
      <c r="AX92" s="125">
        <v>0</v>
      </c>
      <c r="AY92" s="125">
        <v>0</v>
      </c>
      <c r="AZ92" s="107">
        <f>SUM(D21:AY92)</f>
        <v>0</v>
      </c>
    </row>
    <row r="94" spans="1:52">
      <c r="A94" s="102" t="s">
        <v>295</v>
      </c>
      <c r="B94" s="106"/>
      <c r="C94" s="106"/>
      <c r="D94" s="114"/>
      <c r="E94" s="114"/>
      <c r="F94" s="114"/>
      <c r="G94" s="114"/>
      <c r="H94" s="114"/>
      <c r="I94" s="114"/>
      <c r="J94" s="114"/>
      <c r="K94" s="114"/>
      <c r="L94" s="114"/>
      <c r="M94" s="114"/>
      <c r="N94" s="114"/>
      <c r="O94" s="114"/>
      <c r="P94" s="114"/>
      <c r="Q94" s="114"/>
      <c r="R94" s="114"/>
      <c r="S94" s="114"/>
      <c r="T94" s="114"/>
      <c r="U94" s="114"/>
      <c r="V94" s="114"/>
      <c r="W94" s="114"/>
      <c r="X94" s="114"/>
      <c r="Y94" s="114"/>
      <c r="Z94" s="114"/>
      <c r="AA94" s="114"/>
      <c r="AB94" s="114"/>
      <c r="AC94" s="114"/>
      <c r="AD94" s="114"/>
      <c r="AE94" s="114"/>
      <c r="AF94" s="114"/>
      <c r="AG94" s="114"/>
      <c r="AH94" s="114"/>
      <c r="AI94" s="114"/>
      <c r="AJ94" s="114"/>
      <c r="AK94" s="114"/>
      <c r="AL94" s="114"/>
      <c r="AM94" s="114"/>
      <c r="AN94" s="114"/>
      <c r="AO94" s="114"/>
      <c r="AP94" s="114"/>
      <c r="AQ94" s="114"/>
      <c r="AR94" s="114"/>
      <c r="AS94" s="114"/>
      <c r="AT94" s="114"/>
      <c r="AU94" s="114"/>
      <c r="AV94" s="114"/>
      <c r="AW94" s="114"/>
      <c r="AX94" s="114"/>
      <c r="AY94" s="114"/>
    </row>
    <row r="95" spans="1:52">
      <c r="A95" s="126" t="s">
        <v>125</v>
      </c>
      <c r="B95" s="123">
        <v>1</v>
      </c>
      <c r="C95" s="124">
        <v>20.845030141967712</v>
      </c>
      <c r="D95" s="110">
        <v>1058.2684952501929</v>
      </c>
      <c r="E95" s="110">
        <v>1058.2684952501929</v>
      </c>
      <c r="F95" s="110">
        <v>1058.2684952501929</v>
      </c>
      <c r="G95" s="110">
        <v>1058.2684952501929</v>
      </c>
      <c r="H95" s="110">
        <v>1058.2684952501929</v>
      </c>
      <c r="I95" s="110">
        <v>1058.2684952501929</v>
      </c>
      <c r="J95" s="110">
        <v>1058.2684952501929</v>
      </c>
      <c r="K95" s="110">
        <v>1058.2684952501929</v>
      </c>
      <c r="L95" s="110">
        <v>1058.2684952501929</v>
      </c>
      <c r="M95" s="110">
        <v>1058.2684952501929</v>
      </c>
      <c r="N95" s="110">
        <v>1058.2684952501929</v>
      </c>
      <c r="O95" s="110">
        <v>1058.2684952501929</v>
      </c>
      <c r="P95" s="110">
        <v>1058.2684952501929</v>
      </c>
      <c r="Q95" s="110">
        <v>1058.2684952501929</v>
      </c>
      <c r="R95" s="110">
        <v>1058.2684952501929</v>
      </c>
      <c r="S95" s="110">
        <v>1058.2684952501929</v>
      </c>
      <c r="T95" s="110">
        <v>1058.2684952501929</v>
      </c>
      <c r="U95" s="110">
        <v>1058.2684952501929</v>
      </c>
      <c r="V95" s="110">
        <v>1058.2684952501929</v>
      </c>
      <c r="W95" s="110">
        <v>1058.2684952501929</v>
      </c>
      <c r="X95" s="110">
        <v>1058.2684952501929</v>
      </c>
      <c r="Y95" s="110">
        <v>1058.2684952501929</v>
      </c>
      <c r="Z95" s="110">
        <v>1058.2684952501929</v>
      </c>
      <c r="AA95" s="110">
        <v>1058.2684952501929</v>
      </c>
      <c r="AB95" s="110">
        <v>1058.2684952501929</v>
      </c>
      <c r="AC95" s="110">
        <v>1058.2684952501929</v>
      </c>
      <c r="AD95" s="110">
        <v>1058.2684952501929</v>
      </c>
      <c r="AE95" s="110">
        <v>1058.2684952501929</v>
      </c>
      <c r="AF95" s="110">
        <v>1263.1800281116859</v>
      </c>
      <c r="AG95" s="110">
        <v>1263.1800281116859</v>
      </c>
      <c r="AH95" s="110">
        <v>1263.1800281116859</v>
      </c>
      <c r="AI95" s="110">
        <v>1263.1800281116859</v>
      </c>
      <c r="AJ95" s="110">
        <v>1058.2684952501929</v>
      </c>
      <c r="AK95" s="110">
        <v>1058.2684952501929</v>
      </c>
      <c r="AL95" s="110">
        <v>1058.2684952501929</v>
      </c>
      <c r="AM95" s="110">
        <v>1058.2684952501929</v>
      </c>
      <c r="AN95" s="110">
        <v>1058.2684952501929</v>
      </c>
      <c r="AO95" s="110">
        <v>1058.2684952501929</v>
      </c>
      <c r="AP95" s="110">
        <v>1058.2684952501929</v>
      </c>
      <c r="AQ95" s="110">
        <v>1058.2684952501929</v>
      </c>
      <c r="AR95" s="110">
        <v>1058.2684952501929</v>
      </c>
      <c r="AS95" s="110">
        <v>1058.2684952501929</v>
      </c>
      <c r="AT95" s="110">
        <v>1058.2684952501929</v>
      </c>
      <c r="AU95" s="110">
        <v>1058.2684952501929</v>
      </c>
      <c r="AV95" s="110">
        <v>1058.2684952501929</v>
      </c>
      <c r="AW95" s="110">
        <v>1058.2684952501929</v>
      </c>
      <c r="AX95" s="110">
        <v>1058.2684952501929</v>
      </c>
      <c r="AY95" s="110">
        <v>1058.2684952501929</v>
      </c>
    </row>
    <row r="96" spans="1:52">
      <c r="A96" s="109"/>
      <c r="B96" s="120">
        <v>2</v>
      </c>
      <c r="C96" s="110">
        <v>0</v>
      </c>
      <c r="D96" s="110">
        <v>0</v>
      </c>
      <c r="E96" s="110">
        <v>276.26849525019293</v>
      </c>
      <c r="F96" s="110">
        <v>298.53699050038585</v>
      </c>
      <c r="G96" s="110">
        <v>79.805485750578782</v>
      </c>
      <c r="H96" s="110">
        <v>215.07398100077171</v>
      </c>
      <c r="I96" s="110">
        <v>170.34247625096464</v>
      </c>
      <c r="J96" s="110">
        <v>85.610971501157564</v>
      </c>
      <c r="K96" s="110">
        <v>32.879466751350492</v>
      </c>
      <c r="L96" s="110">
        <v>0</v>
      </c>
      <c r="M96" s="110">
        <v>0</v>
      </c>
      <c r="N96" s="110">
        <v>0</v>
      </c>
      <c r="O96" s="110">
        <v>73.268495250192927</v>
      </c>
      <c r="P96" s="110">
        <v>29.536990500385855</v>
      </c>
      <c r="Q96" s="110">
        <v>0</v>
      </c>
      <c r="R96" s="110">
        <v>143.26849525019293</v>
      </c>
      <c r="S96" s="110">
        <v>294.53699050038585</v>
      </c>
      <c r="T96" s="110">
        <v>412.80548575057878</v>
      </c>
      <c r="U96" s="110">
        <v>393.07398100077171</v>
      </c>
      <c r="V96" s="110">
        <v>409.34247625096464</v>
      </c>
      <c r="W96" s="110">
        <v>483.61097150115756</v>
      </c>
      <c r="X96" s="110">
        <v>415.87946675135049</v>
      </c>
      <c r="Y96" s="110">
        <v>387.14796200154342</v>
      </c>
      <c r="Z96" s="110">
        <v>221.41645725173635</v>
      </c>
      <c r="AA96" s="110">
        <v>274.68495250192927</v>
      </c>
      <c r="AB96" s="110">
        <v>264.9534477521222</v>
      </c>
      <c r="AC96" s="110">
        <v>406.22194300231513</v>
      </c>
      <c r="AD96" s="110">
        <v>442.49043825250806</v>
      </c>
      <c r="AE96" s="110">
        <v>241.75893350270098</v>
      </c>
      <c r="AF96" s="110">
        <v>287.02742875289391</v>
      </c>
      <c r="AG96" s="110">
        <v>338.20745686457985</v>
      </c>
      <c r="AH96" s="110">
        <v>419.3874849762658</v>
      </c>
      <c r="AI96" s="110">
        <v>666.56751308795174</v>
      </c>
      <c r="AJ96" s="110">
        <v>854.74754119963768</v>
      </c>
      <c r="AK96" s="110">
        <v>792.01603644983061</v>
      </c>
      <c r="AL96" s="110">
        <v>777.28453170002354</v>
      </c>
      <c r="AM96" s="110">
        <v>819.55302695021646</v>
      </c>
      <c r="AN96" s="110">
        <v>754.82152220040939</v>
      </c>
      <c r="AO96" s="110">
        <v>819.09001745060232</v>
      </c>
      <c r="AP96" s="110">
        <v>920.35851270079525</v>
      </c>
      <c r="AQ96" s="110">
        <v>870.62700795098817</v>
      </c>
      <c r="AR96" s="110">
        <v>660.8955032011811</v>
      </c>
      <c r="AS96" s="110">
        <v>709.16399845137403</v>
      </c>
      <c r="AT96" s="110">
        <v>711.43249370156695</v>
      </c>
      <c r="AU96" s="110">
        <v>581.70098895175988</v>
      </c>
      <c r="AV96" s="110">
        <v>524.96948420195281</v>
      </c>
      <c r="AW96" s="110">
        <v>400.23797945214574</v>
      </c>
      <c r="AX96" s="110">
        <v>362.50647470233866</v>
      </c>
      <c r="AY96" s="110">
        <v>364.77496995253159</v>
      </c>
    </row>
    <row r="97" spans="1:52">
      <c r="A97" s="109"/>
      <c r="B97" s="127">
        <v>3</v>
      </c>
      <c r="C97" s="110">
        <v>0</v>
      </c>
      <c r="D97" s="110">
        <v>0</v>
      </c>
      <c r="E97" s="110">
        <v>0</v>
      </c>
      <c r="F97" s="110">
        <v>0</v>
      </c>
      <c r="G97" s="110">
        <v>0</v>
      </c>
      <c r="H97" s="110">
        <v>0</v>
      </c>
      <c r="I97" s="110">
        <v>0</v>
      </c>
      <c r="J97" s="110">
        <v>0</v>
      </c>
      <c r="K97" s="110">
        <v>0</v>
      </c>
      <c r="L97" s="110">
        <v>0</v>
      </c>
      <c r="M97" s="110">
        <v>0</v>
      </c>
      <c r="N97" s="110">
        <v>0</v>
      </c>
      <c r="O97" s="110">
        <v>0</v>
      </c>
      <c r="P97" s="110">
        <v>0</v>
      </c>
      <c r="Q97" s="110">
        <v>0</v>
      </c>
      <c r="R97" s="110">
        <v>0</v>
      </c>
      <c r="S97" s="110">
        <v>0</v>
      </c>
      <c r="T97" s="110">
        <v>0</v>
      </c>
      <c r="U97" s="110">
        <v>0</v>
      </c>
      <c r="V97" s="110">
        <v>0</v>
      </c>
      <c r="W97" s="110">
        <v>0</v>
      </c>
      <c r="X97" s="110">
        <v>0</v>
      </c>
      <c r="Y97" s="110">
        <v>0</v>
      </c>
      <c r="Z97" s="110">
        <v>0</v>
      </c>
      <c r="AA97" s="110">
        <v>0</v>
      </c>
      <c r="AB97" s="110">
        <v>0</v>
      </c>
      <c r="AC97" s="110">
        <v>0</v>
      </c>
      <c r="AD97" s="110">
        <v>0</v>
      </c>
      <c r="AE97" s="110">
        <v>0</v>
      </c>
      <c r="AF97" s="110">
        <v>0</v>
      </c>
      <c r="AG97" s="110">
        <v>0</v>
      </c>
      <c r="AH97" s="110">
        <v>0</v>
      </c>
      <c r="AI97" s="110">
        <v>0</v>
      </c>
      <c r="AJ97" s="110">
        <v>0</v>
      </c>
      <c r="AK97" s="110">
        <v>0</v>
      </c>
      <c r="AL97" s="110">
        <v>0</v>
      </c>
      <c r="AM97" s="110">
        <v>0</v>
      </c>
      <c r="AN97" s="110">
        <v>0</v>
      </c>
      <c r="AO97" s="110">
        <v>0</v>
      </c>
      <c r="AP97" s="110">
        <v>0</v>
      </c>
      <c r="AQ97" s="110">
        <v>0</v>
      </c>
      <c r="AR97" s="110">
        <v>0</v>
      </c>
      <c r="AS97" s="110">
        <v>0</v>
      </c>
      <c r="AT97" s="110">
        <v>0</v>
      </c>
      <c r="AU97" s="110">
        <v>0</v>
      </c>
      <c r="AV97" s="110">
        <v>0</v>
      </c>
      <c r="AW97" s="110">
        <v>0</v>
      </c>
      <c r="AX97" s="110">
        <v>0</v>
      </c>
      <c r="AY97" s="110">
        <v>0</v>
      </c>
    </row>
    <row r="98" spans="1:52">
      <c r="A98" s="109"/>
      <c r="B98" s="130">
        <v>4</v>
      </c>
      <c r="C98" s="106">
        <v>0</v>
      </c>
      <c r="D98" s="110">
        <v>0</v>
      </c>
      <c r="E98" s="110">
        <v>0</v>
      </c>
      <c r="F98" s="110">
        <v>0</v>
      </c>
      <c r="G98" s="110">
        <v>0</v>
      </c>
      <c r="H98" s="110">
        <v>0</v>
      </c>
      <c r="I98" s="110">
        <v>0</v>
      </c>
      <c r="J98" s="110">
        <v>0</v>
      </c>
      <c r="K98" s="110">
        <v>0</v>
      </c>
      <c r="L98" s="110">
        <v>0</v>
      </c>
      <c r="M98" s="110">
        <v>0</v>
      </c>
      <c r="N98" s="110">
        <v>0</v>
      </c>
      <c r="O98" s="110">
        <v>0</v>
      </c>
      <c r="P98" s="110">
        <v>0</v>
      </c>
      <c r="Q98" s="110">
        <v>0</v>
      </c>
      <c r="R98" s="110">
        <v>0</v>
      </c>
      <c r="S98" s="110">
        <v>0</v>
      </c>
      <c r="T98" s="110">
        <v>0</v>
      </c>
      <c r="U98" s="110">
        <v>0</v>
      </c>
      <c r="V98" s="110">
        <v>0</v>
      </c>
      <c r="W98" s="110">
        <v>0</v>
      </c>
      <c r="X98" s="110">
        <v>0</v>
      </c>
      <c r="Y98" s="110">
        <v>0</v>
      </c>
      <c r="Z98" s="110">
        <v>0</v>
      </c>
      <c r="AA98" s="110">
        <v>0</v>
      </c>
      <c r="AB98" s="110">
        <v>0</v>
      </c>
      <c r="AC98" s="110">
        <v>0</v>
      </c>
      <c r="AD98" s="110">
        <v>0</v>
      </c>
      <c r="AE98" s="110">
        <v>0</v>
      </c>
      <c r="AF98" s="110">
        <v>0</v>
      </c>
      <c r="AG98" s="110">
        <v>0</v>
      </c>
      <c r="AH98" s="110">
        <v>0</v>
      </c>
      <c r="AI98" s="110">
        <v>0</v>
      </c>
      <c r="AJ98" s="110">
        <v>0</v>
      </c>
      <c r="AK98" s="110">
        <v>0</v>
      </c>
      <c r="AL98" s="110">
        <v>0</v>
      </c>
      <c r="AM98" s="110">
        <v>0</v>
      </c>
      <c r="AN98" s="110">
        <v>0</v>
      </c>
      <c r="AO98" s="110">
        <v>0</v>
      </c>
      <c r="AP98" s="110">
        <v>0</v>
      </c>
      <c r="AQ98" s="110">
        <v>0</v>
      </c>
      <c r="AR98" s="110">
        <v>0</v>
      </c>
      <c r="AS98" s="110">
        <v>0</v>
      </c>
      <c r="AT98" s="110">
        <v>0</v>
      </c>
      <c r="AU98" s="110">
        <v>0</v>
      </c>
      <c r="AV98" s="110">
        <v>0</v>
      </c>
      <c r="AW98" s="110">
        <v>0</v>
      </c>
      <c r="AX98" s="110">
        <v>0</v>
      </c>
      <c r="AY98" s="110">
        <v>0</v>
      </c>
    </row>
    <row r="99" spans="1:52">
      <c r="A99" s="128"/>
      <c r="B99" s="132" t="s">
        <v>296</v>
      </c>
      <c r="C99" s="125">
        <v>0</v>
      </c>
      <c r="D99" s="125">
        <v>0</v>
      </c>
      <c r="E99" s="125">
        <v>0</v>
      </c>
      <c r="F99" s="125">
        <v>0</v>
      </c>
      <c r="G99" s="125">
        <v>0</v>
      </c>
      <c r="H99" s="125">
        <v>0</v>
      </c>
      <c r="I99" s="125">
        <v>0</v>
      </c>
      <c r="J99" s="125">
        <v>0</v>
      </c>
      <c r="K99" s="125">
        <v>0</v>
      </c>
      <c r="L99" s="125">
        <v>0</v>
      </c>
      <c r="M99" s="125">
        <v>0</v>
      </c>
      <c r="N99" s="125">
        <v>0</v>
      </c>
      <c r="O99" s="125">
        <v>0</v>
      </c>
      <c r="P99" s="125">
        <v>0</v>
      </c>
      <c r="Q99" s="125">
        <v>0</v>
      </c>
      <c r="R99" s="125">
        <v>0</v>
      </c>
      <c r="S99" s="125">
        <v>0</v>
      </c>
      <c r="T99" s="125">
        <v>0</v>
      </c>
      <c r="U99" s="125">
        <v>0</v>
      </c>
      <c r="V99" s="125">
        <v>0</v>
      </c>
      <c r="W99" s="125">
        <v>0</v>
      </c>
      <c r="X99" s="125">
        <v>0</v>
      </c>
      <c r="Y99" s="125">
        <v>0</v>
      </c>
      <c r="Z99" s="125">
        <v>0</v>
      </c>
      <c r="AA99" s="125">
        <v>0</v>
      </c>
      <c r="AB99" s="125">
        <v>0</v>
      </c>
      <c r="AC99" s="125">
        <v>0</v>
      </c>
      <c r="AD99" s="125">
        <v>0</v>
      </c>
      <c r="AE99" s="125">
        <v>0</v>
      </c>
      <c r="AF99" s="125">
        <v>0</v>
      </c>
      <c r="AG99" s="125">
        <v>0</v>
      </c>
      <c r="AH99" s="125">
        <v>0</v>
      </c>
      <c r="AI99" s="125">
        <v>0</v>
      </c>
      <c r="AJ99" s="125">
        <v>0</v>
      </c>
      <c r="AK99" s="125">
        <v>0</v>
      </c>
      <c r="AL99" s="125">
        <v>0</v>
      </c>
      <c r="AM99" s="125">
        <v>0</v>
      </c>
      <c r="AN99" s="125">
        <v>0</v>
      </c>
      <c r="AO99" s="125">
        <v>0</v>
      </c>
      <c r="AP99" s="125">
        <v>0</v>
      </c>
      <c r="AQ99" s="125">
        <v>0</v>
      </c>
      <c r="AR99" s="125">
        <v>0</v>
      </c>
      <c r="AS99" s="125">
        <v>0</v>
      </c>
      <c r="AT99" s="125">
        <v>0</v>
      </c>
      <c r="AU99" s="125">
        <v>0</v>
      </c>
      <c r="AV99" s="125">
        <v>0</v>
      </c>
      <c r="AW99" s="125">
        <v>0</v>
      </c>
      <c r="AX99" s="125">
        <v>0</v>
      </c>
      <c r="AY99" s="125">
        <v>0</v>
      </c>
      <c r="AZ99" s="107">
        <f>SUM($D99:$AY99)</f>
        <v>0</v>
      </c>
    </row>
    <row r="100" spans="1:52">
      <c r="A100" s="131" t="s">
        <v>133</v>
      </c>
      <c r="B100" s="119">
        <v>1</v>
      </c>
      <c r="C100" s="106">
        <v>0</v>
      </c>
      <c r="D100" s="106">
        <v>24.104054366957627</v>
      </c>
      <c r="E100" s="106">
        <v>16.25322376130438</v>
      </c>
      <c r="F100" s="106">
        <v>610.74520421119007</v>
      </c>
      <c r="G100" s="106">
        <v>610.74520421119007</v>
      </c>
      <c r="H100" s="106">
        <v>271.36218198945164</v>
      </c>
      <c r="I100" s="106">
        <v>610.74520421119007</v>
      </c>
      <c r="J100" s="106">
        <v>271.36218198945164</v>
      </c>
      <c r="K100" s="106">
        <v>19.383012999246539</v>
      </c>
      <c r="L100" s="106">
        <v>0</v>
      </c>
      <c r="M100" s="106">
        <v>1221.4904084223801</v>
      </c>
      <c r="N100" s="106">
        <v>610.74520421119007</v>
      </c>
      <c r="O100" s="106">
        <v>290.74519498869819</v>
      </c>
      <c r="P100" s="106">
        <v>610.74520421119007</v>
      </c>
      <c r="Q100" s="106">
        <v>610.74520421119007</v>
      </c>
      <c r="R100" s="106">
        <v>610.74520421119007</v>
      </c>
      <c r="S100" s="106">
        <v>610.74520421119007</v>
      </c>
      <c r="T100" s="106">
        <v>0</v>
      </c>
      <c r="U100" s="106">
        <v>1221.4904084223801</v>
      </c>
      <c r="V100" s="106">
        <v>0</v>
      </c>
      <c r="W100" s="106">
        <v>290.74519498869819</v>
      </c>
      <c r="X100" s="106">
        <v>610.74520421119007</v>
      </c>
      <c r="Y100" s="106">
        <v>0</v>
      </c>
      <c r="Z100" s="106">
        <v>1221.4904084223801</v>
      </c>
      <c r="AA100" s="106">
        <v>610.74520421119007</v>
      </c>
      <c r="AB100" s="106">
        <v>290.74519498869819</v>
      </c>
      <c r="AC100" s="106">
        <v>610.74520421119007</v>
      </c>
      <c r="AD100" s="106">
        <v>610.74520421119007</v>
      </c>
      <c r="AE100" s="106">
        <v>610.74520421119007</v>
      </c>
      <c r="AF100" s="106">
        <v>610.74520421119007</v>
      </c>
      <c r="AG100" s="106">
        <v>0</v>
      </c>
      <c r="AH100" s="106">
        <v>729.00322336646434</v>
      </c>
      <c r="AI100" s="106">
        <v>729.00322336646434</v>
      </c>
      <c r="AJ100" s="106">
        <v>0</v>
      </c>
      <c r="AK100" s="106">
        <v>290.7451949886979</v>
      </c>
      <c r="AL100" s="106">
        <v>0</v>
      </c>
      <c r="AM100" s="106">
        <v>290.74519498869819</v>
      </c>
      <c r="AN100" s="106">
        <v>0</v>
      </c>
      <c r="AO100" s="106">
        <v>0</v>
      </c>
      <c r="AP100" s="106">
        <v>1221.4904084223801</v>
      </c>
      <c r="AQ100" s="106">
        <v>0</v>
      </c>
      <c r="AR100" s="106">
        <v>610.74520421119007</v>
      </c>
      <c r="AS100" s="106">
        <v>610.74520421119007</v>
      </c>
      <c r="AT100" s="106">
        <v>610.74520421119007</v>
      </c>
      <c r="AU100" s="106">
        <v>0</v>
      </c>
      <c r="AV100" s="106">
        <v>290.74519498869819</v>
      </c>
      <c r="AW100" s="106">
        <v>0</v>
      </c>
      <c r="AX100" s="106">
        <v>610.74520421119007</v>
      </c>
      <c r="AY100" s="106">
        <v>0</v>
      </c>
    </row>
    <row r="101" spans="1:52">
      <c r="A101" s="109"/>
      <c r="B101" s="119">
        <v>2</v>
      </c>
      <c r="C101" s="106">
        <v>1.4210854715202004E-14</v>
      </c>
      <c r="D101" s="106">
        <v>0</v>
      </c>
      <c r="E101" s="106">
        <v>0</v>
      </c>
      <c r="F101" s="106">
        <v>0</v>
      </c>
      <c r="G101" s="106">
        <v>0</v>
      </c>
      <c r="H101" s="106">
        <v>51.745204211190071</v>
      </c>
      <c r="I101" s="106">
        <v>0</v>
      </c>
      <c r="J101" s="106">
        <v>0</v>
      </c>
      <c r="K101" s="106">
        <v>339.38302222173843</v>
      </c>
      <c r="L101" s="106">
        <v>591.36219121194358</v>
      </c>
      <c r="M101" s="106">
        <v>0</v>
      </c>
      <c r="N101" s="106">
        <v>624.49040842238014</v>
      </c>
      <c r="O101" s="106">
        <v>559.23561263357021</v>
      </c>
      <c r="P101" s="106">
        <v>513.98081684476028</v>
      </c>
      <c r="Q101" s="106">
        <v>394.72602105595035</v>
      </c>
      <c r="R101" s="106">
        <v>397.47122526714043</v>
      </c>
      <c r="S101" s="106">
        <v>277.2164294783305</v>
      </c>
      <c r="T101" s="106">
        <v>264.96163368952057</v>
      </c>
      <c r="U101" s="106">
        <v>0</v>
      </c>
      <c r="V101" s="106">
        <v>576.49040842238014</v>
      </c>
      <c r="W101" s="106">
        <v>610.74520421119007</v>
      </c>
      <c r="X101" s="106">
        <v>158.49039919988826</v>
      </c>
      <c r="Y101" s="106">
        <v>151.23560341107833</v>
      </c>
      <c r="Z101" s="106">
        <v>0</v>
      </c>
      <c r="AA101" s="106">
        <v>602.49040842238014</v>
      </c>
      <c r="AB101" s="106">
        <v>474.23561263357021</v>
      </c>
      <c r="AC101" s="106">
        <v>339.98081684476028</v>
      </c>
      <c r="AD101" s="106">
        <v>177.72602105595035</v>
      </c>
      <c r="AE101" s="106">
        <v>217.47122526714043</v>
      </c>
      <c r="AF101" s="106">
        <v>82.216429478330497</v>
      </c>
      <c r="AG101" s="106">
        <v>0</v>
      </c>
      <c r="AH101" s="106">
        <v>610.74520421119007</v>
      </c>
      <c r="AI101" s="106">
        <v>696.74842757765441</v>
      </c>
      <c r="AJ101" s="106">
        <v>671.75165094411875</v>
      </c>
      <c r="AK101" s="106">
        <v>0</v>
      </c>
      <c r="AL101" s="106">
        <v>1167.2612517442308</v>
      </c>
      <c r="AM101" s="106">
        <v>610.74520421119007</v>
      </c>
      <c r="AN101" s="106">
        <v>610.74520421119007</v>
      </c>
      <c r="AO101" s="106">
        <v>610.74520421119007</v>
      </c>
      <c r="AP101" s="106">
        <v>0</v>
      </c>
      <c r="AQ101" s="106">
        <v>741.98727280018113</v>
      </c>
      <c r="AR101" s="106">
        <v>610.74520421119007</v>
      </c>
      <c r="AS101" s="106">
        <v>498.49040842238014</v>
      </c>
      <c r="AT101" s="106">
        <v>447.23561263357021</v>
      </c>
      <c r="AU101" s="106">
        <v>342.98081684476028</v>
      </c>
      <c r="AV101" s="106">
        <v>610.74520421119007</v>
      </c>
      <c r="AW101" s="106">
        <v>599.49040842238014</v>
      </c>
      <c r="AX101" s="106">
        <v>610.74520421119007</v>
      </c>
      <c r="AY101" s="106">
        <v>499.49040842238014</v>
      </c>
    </row>
    <row r="102" spans="1:52">
      <c r="A102" s="109"/>
      <c r="B102" s="120">
        <v>3</v>
      </c>
      <c r="C102" s="106">
        <v>0</v>
      </c>
      <c r="D102" s="106">
        <v>0</v>
      </c>
      <c r="E102" s="106">
        <v>0</v>
      </c>
      <c r="F102" s="106">
        <v>0</v>
      </c>
      <c r="G102" s="106">
        <v>0</v>
      </c>
      <c r="H102" s="106">
        <v>0</v>
      </c>
      <c r="I102" s="106">
        <v>0</v>
      </c>
      <c r="J102" s="106">
        <v>339.38302222173843</v>
      </c>
      <c r="K102" s="106">
        <v>0</v>
      </c>
      <c r="L102" s="106">
        <v>0</v>
      </c>
      <c r="M102" s="106">
        <v>0</v>
      </c>
      <c r="N102" s="106">
        <v>0</v>
      </c>
      <c r="O102" s="106">
        <v>0</v>
      </c>
      <c r="P102" s="106">
        <v>0</v>
      </c>
      <c r="Q102" s="106">
        <v>0</v>
      </c>
      <c r="R102" s="106">
        <v>0</v>
      </c>
      <c r="S102" s="106">
        <v>0</v>
      </c>
      <c r="T102" s="106">
        <v>0</v>
      </c>
      <c r="U102" s="106">
        <v>0</v>
      </c>
      <c r="V102" s="106">
        <v>0</v>
      </c>
      <c r="W102" s="106">
        <v>0</v>
      </c>
      <c r="X102" s="106">
        <v>0</v>
      </c>
      <c r="Y102" s="106">
        <v>320.00000922249188</v>
      </c>
      <c r="Z102" s="106">
        <v>0</v>
      </c>
      <c r="AA102" s="106">
        <v>0</v>
      </c>
      <c r="AB102" s="106">
        <v>0</v>
      </c>
      <c r="AC102" s="106">
        <v>0</v>
      </c>
      <c r="AD102" s="106">
        <v>0</v>
      </c>
      <c r="AE102" s="106">
        <v>0</v>
      </c>
      <c r="AF102" s="106">
        <v>0</v>
      </c>
      <c r="AG102" s="106">
        <v>0</v>
      </c>
      <c r="AH102" s="106">
        <v>0</v>
      </c>
      <c r="AI102" s="106">
        <v>0</v>
      </c>
      <c r="AJ102" s="106">
        <v>0</v>
      </c>
      <c r="AK102" s="106">
        <v>0</v>
      </c>
      <c r="AL102" s="106">
        <v>0</v>
      </c>
      <c r="AM102" s="106">
        <v>484.26125174423078</v>
      </c>
      <c r="AN102" s="106">
        <v>411.00645595542085</v>
      </c>
      <c r="AO102" s="106">
        <v>310.75166016661092</v>
      </c>
      <c r="AP102" s="106">
        <v>185.49686437780099</v>
      </c>
      <c r="AQ102" s="106">
        <v>0</v>
      </c>
      <c r="AR102" s="106">
        <v>0</v>
      </c>
      <c r="AS102" s="106">
        <v>0</v>
      </c>
      <c r="AT102" s="106">
        <v>0</v>
      </c>
      <c r="AU102" s="106">
        <v>0</v>
      </c>
      <c r="AV102" s="106">
        <v>0</v>
      </c>
      <c r="AW102" s="106">
        <v>0</v>
      </c>
      <c r="AX102" s="106">
        <v>0</v>
      </c>
      <c r="AY102" s="106">
        <v>0</v>
      </c>
    </row>
    <row r="103" spans="1:52">
      <c r="A103" s="109"/>
      <c r="B103" s="120">
        <v>4</v>
      </c>
      <c r="C103" s="106">
        <v>0</v>
      </c>
      <c r="D103" s="106">
        <v>0</v>
      </c>
      <c r="E103" s="106">
        <v>0</v>
      </c>
      <c r="F103" s="106">
        <v>0</v>
      </c>
      <c r="G103" s="106">
        <v>0</v>
      </c>
      <c r="H103" s="106">
        <v>0</v>
      </c>
      <c r="I103" s="106">
        <v>0</v>
      </c>
      <c r="J103" s="106">
        <v>0</v>
      </c>
      <c r="K103" s="106">
        <v>0</v>
      </c>
      <c r="L103" s="106">
        <v>0</v>
      </c>
      <c r="M103" s="106">
        <v>0</v>
      </c>
      <c r="N103" s="106">
        <v>0</v>
      </c>
      <c r="O103" s="106">
        <v>0</v>
      </c>
      <c r="P103" s="106">
        <v>0</v>
      </c>
      <c r="Q103" s="106">
        <v>0</v>
      </c>
      <c r="R103" s="106">
        <v>0</v>
      </c>
      <c r="S103" s="106">
        <v>0</v>
      </c>
      <c r="T103" s="106">
        <v>0</v>
      </c>
      <c r="U103" s="106">
        <v>0</v>
      </c>
      <c r="V103" s="106">
        <v>0</v>
      </c>
      <c r="W103" s="106">
        <v>0</v>
      </c>
      <c r="X103" s="106">
        <v>0</v>
      </c>
      <c r="Y103" s="106">
        <v>0</v>
      </c>
      <c r="Z103" s="106">
        <v>0</v>
      </c>
      <c r="AA103" s="106">
        <v>0</v>
      </c>
      <c r="AB103" s="106">
        <v>0</v>
      </c>
      <c r="AC103" s="106">
        <v>0</v>
      </c>
      <c r="AD103" s="106">
        <v>0</v>
      </c>
      <c r="AE103" s="106">
        <v>0</v>
      </c>
      <c r="AF103" s="106">
        <v>0</v>
      </c>
      <c r="AG103" s="106">
        <v>0</v>
      </c>
      <c r="AH103" s="106">
        <v>0</v>
      </c>
      <c r="AI103" s="106">
        <v>0</v>
      </c>
      <c r="AJ103" s="106">
        <v>0</v>
      </c>
      <c r="AK103" s="106">
        <v>0</v>
      </c>
      <c r="AL103" s="106">
        <v>0</v>
      </c>
      <c r="AM103" s="106">
        <v>0</v>
      </c>
      <c r="AN103" s="106">
        <v>0</v>
      </c>
      <c r="AO103" s="106">
        <v>0</v>
      </c>
      <c r="AP103" s="106">
        <v>0</v>
      </c>
      <c r="AQ103" s="106">
        <v>0</v>
      </c>
      <c r="AR103" s="106">
        <v>0</v>
      </c>
      <c r="AS103" s="106">
        <v>0</v>
      </c>
      <c r="AT103" s="106">
        <v>0</v>
      </c>
      <c r="AU103" s="106">
        <v>0</v>
      </c>
      <c r="AV103" s="106">
        <v>0</v>
      </c>
      <c r="AW103" s="106">
        <v>0</v>
      </c>
      <c r="AX103" s="106">
        <v>0</v>
      </c>
      <c r="AY103" s="106">
        <v>0</v>
      </c>
    </row>
    <row r="104" spans="1:52">
      <c r="A104" s="109"/>
      <c r="B104" s="127">
        <v>5</v>
      </c>
      <c r="C104" s="106">
        <v>0</v>
      </c>
      <c r="D104" s="106">
        <v>0</v>
      </c>
      <c r="E104" s="106">
        <v>0</v>
      </c>
      <c r="F104" s="106">
        <v>0</v>
      </c>
      <c r="G104" s="106">
        <v>0</v>
      </c>
      <c r="H104" s="106">
        <v>0</v>
      </c>
      <c r="I104" s="106">
        <v>0</v>
      </c>
      <c r="J104" s="106">
        <v>0</v>
      </c>
      <c r="K104" s="106">
        <v>0</v>
      </c>
      <c r="L104" s="106">
        <v>0</v>
      </c>
      <c r="M104" s="106">
        <v>0</v>
      </c>
      <c r="N104" s="106">
        <v>0</v>
      </c>
      <c r="O104" s="106">
        <v>0</v>
      </c>
      <c r="P104" s="106">
        <v>0</v>
      </c>
      <c r="Q104" s="106">
        <v>0</v>
      </c>
      <c r="R104" s="106">
        <v>0</v>
      </c>
      <c r="S104" s="106">
        <v>0</v>
      </c>
      <c r="T104" s="106">
        <v>0</v>
      </c>
      <c r="U104" s="106">
        <v>0</v>
      </c>
      <c r="V104" s="106">
        <v>0</v>
      </c>
      <c r="W104" s="106">
        <v>0</v>
      </c>
      <c r="X104" s="106">
        <v>0</v>
      </c>
      <c r="Y104" s="106">
        <v>0</v>
      </c>
      <c r="Z104" s="106">
        <v>0</v>
      </c>
      <c r="AA104" s="106">
        <v>0</v>
      </c>
      <c r="AB104" s="106">
        <v>0</v>
      </c>
      <c r="AC104" s="106">
        <v>0</v>
      </c>
      <c r="AD104" s="106">
        <v>0</v>
      </c>
      <c r="AE104" s="106">
        <v>0</v>
      </c>
      <c r="AF104" s="106">
        <v>0</v>
      </c>
      <c r="AG104" s="106">
        <v>0</v>
      </c>
      <c r="AH104" s="106">
        <v>0</v>
      </c>
      <c r="AI104" s="106">
        <v>0</v>
      </c>
      <c r="AJ104" s="106">
        <v>0</v>
      </c>
      <c r="AK104" s="106">
        <v>0</v>
      </c>
      <c r="AL104" s="106">
        <v>0</v>
      </c>
      <c r="AM104" s="106">
        <v>0</v>
      </c>
      <c r="AN104" s="106">
        <v>0</v>
      </c>
      <c r="AO104" s="106">
        <v>0</v>
      </c>
      <c r="AP104" s="106">
        <v>0</v>
      </c>
      <c r="AQ104" s="106">
        <v>0</v>
      </c>
      <c r="AR104" s="106">
        <v>0</v>
      </c>
      <c r="AS104" s="106">
        <v>0</v>
      </c>
      <c r="AT104" s="106">
        <v>0</v>
      </c>
      <c r="AU104" s="106">
        <v>0</v>
      </c>
      <c r="AV104" s="106">
        <v>0</v>
      </c>
      <c r="AW104" s="106">
        <v>0</v>
      </c>
      <c r="AX104" s="106">
        <v>0</v>
      </c>
      <c r="AY104" s="106">
        <v>0</v>
      </c>
    </row>
    <row r="105" spans="1:52">
      <c r="A105" s="109"/>
      <c r="B105" s="127">
        <v>6</v>
      </c>
      <c r="C105" s="106">
        <v>0</v>
      </c>
      <c r="D105" s="106">
        <v>0</v>
      </c>
      <c r="E105" s="106">
        <v>0</v>
      </c>
      <c r="F105" s="106">
        <v>0</v>
      </c>
      <c r="G105" s="106">
        <v>0</v>
      </c>
      <c r="H105" s="106">
        <v>0</v>
      </c>
      <c r="I105" s="106">
        <v>0</v>
      </c>
      <c r="J105" s="106">
        <v>0</v>
      </c>
      <c r="K105" s="106">
        <v>0</v>
      </c>
      <c r="L105" s="106">
        <v>0</v>
      </c>
      <c r="M105" s="106">
        <v>0</v>
      </c>
      <c r="N105" s="106">
        <v>0</v>
      </c>
      <c r="O105" s="106">
        <v>0</v>
      </c>
      <c r="P105" s="106">
        <v>0</v>
      </c>
      <c r="Q105" s="106">
        <v>0</v>
      </c>
      <c r="R105" s="106">
        <v>0</v>
      </c>
      <c r="S105" s="106">
        <v>0</v>
      </c>
      <c r="T105" s="106">
        <v>0</v>
      </c>
      <c r="U105" s="106">
        <v>0</v>
      </c>
      <c r="V105" s="106">
        <v>0</v>
      </c>
      <c r="W105" s="106">
        <v>0</v>
      </c>
      <c r="X105" s="106">
        <v>0</v>
      </c>
      <c r="Y105" s="106">
        <v>0</v>
      </c>
      <c r="Z105" s="106">
        <v>0</v>
      </c>
      <c r="AA105" s="106">
        <v>0</v>
      </c>
      <c r="AB105" s="106">
        <v>0</v>
      </c>
      <c r="AC105" s="106">
        <v>0</v>
      </c>
      <c r="AD105" s="106">
        <v>0</v>
      </c>
      <c r="AE105" s="106">
        <v>0</v>
      </c>
      <c r="AF105" s="106">
        <v>0</v>
      </c>
      <c r="AG105" s="106">
        <v>0</v>
      </c>
      <c r="AH105" s="106">
        <v>0</v>
      </c>
      <c r="AI105" s="106">
        <v>0</v>
      </c>
      <c r="AJ105" s="106">
        <v>0</v>
      </c>
      <c r="AK105" s="106">
        <v>0</v>
      </c>
      <c r="AL105" s="106">
        <v>0</v>
      </c>
      <c r="AM105" s="106">
        <v>0</v>
      </c>
      <c r="AN105" s="106">
        <v>0</v>
      </c>
      <c r="AO105" s="106">
        <v>0</v>
      </c>
      <c r="AP105" s="106">
        <v>0</v>
      </c>
      <c r="AQ105" s="106">
        <v>0</v>
      </c>
      <c r="AR105" s="106">
        <v>0</v>
      </c>
      <c r="AS105" s="106">
        <v>0</v>
      </c>
      <c r="AT105" s="106">
        <v>0</v>
      </c>
      <c r="AU105" s="106">
        <v>0</v>
      </c>
      <c r="AV105" s="106">
        <v>0</v>
      </c>
      <c r="AW105" s="106">
        <v>0</v>
      </c>
      <c r="AX105" s="106">
        <v>0</v>
      </c>
      <c r="AY105" s="106">
        <v>0</v>
      </c>
    </row>
    <row r="106" spans="1:52">
      <c r="A106" s="109"/>
      <c r="B106" s="130">
        <v>7</v>
      </c>
      <c r="C106" s="106">
        <v>0</v>
      </c>
      <c r="D106" s="106">
        <v>0</v>
      </c>
      <c r="E106" s="106">
        <v>0</v>
      </c>
      <c r="F106" s="106">
        <v>0</v>
      </c>
      <c r="G106" s="106">
        <v>0</v>
      </c>
      <c r="H106" s="106">
        <v>0</v>
      </c>
      <c r="I106" s="106">
        <v>0</v>
      </c>
      <c r="J106" s="106">
        <v>0</v>
      </c>
      <c r="K106" s="106">
        <v>0</v>
      </c>
      <c r="L106" s="106">
        <v>0</v>
      </c>
      <c r="M106" s="106">
        <v>0</v>
      </c>
      <c r="N106" s="106">
        <v>0</v>
      </c>
      <c r="O106" s="106">
        <v>0</v>
      </c>
      <c r="P106" s="106">
        <v>0</v>
      </c>
      <c r="Q106" s="106">
        <v>0</v>
      </c>
      <c r="R106" s="106">
        <v>0</v>
      </c>
      <c r="S106" s="106">
        <v>0</v>
      </c>
      <c r="T106" s="106">
        <v>0</v>
      </c>
      <c r="U106" s="106">
        <v>0</v>
      </c>
      <c r="V106" s="106">
        <v>0</v>
      </c>
      <c r="W106" s="106">
        <v>0</v>
      </c>
      <c r="X106" s="106">
        <v>0</v>
      </c>
      <c r="Y106" s="106">
        <v>0</v>
      </c>
      <c r="Z106" s="106">
        <v>0</v>
      </c>
      <c r="AA106" s="106">
        <v>0</v>
      </c>
      <c r="AB106" s="106">
        <v>0</v>
      </c>
      <c r="AC106" s="106">
        <v>0</v>
      </c>
      <c r="AD106" s="106">
        <v>0</v>
      </c>
      <c r="AE106" s="106">
        <v>0</v>
      </c>
      <c r="AF106" s="106">
        <v>0</v>
      </c>
      <c r="AG106" s="106">
        <v>0</v>
      </c>
      <c r="AH106" s="106">
        <v>0</v>
      </c>
      <c r="AI106" s="106">
        <v>0</v>
      </c>
      <c r="AJ106" s="106">
        <v>0</v>
      </c>
      <c r="AK106" s="106">
        <v>0</v>
      </c>
      <c r="AL106" s="106">
        <v>0</v>
      </c>
      <c r="AM106" s="106">
        <v>0</v>
      </c>
      <c r="AN106" s="106">
        <v>0</v>
      </c>
      <c r="AO106" s="106">
        <v>0</v>
      </c>
      <c r="AP106" s="106">
        <v>0</v>
      </c>
      <c r="AQ106" s="106">
        <v>0</v>
      </c>
      <c r="AR106" s="106">
        <v>0</v>
      </c>
      <c r="AS106" s="106">
        <v>0</v>
      </c>
      <c r="AT106" s="106">
        <v>0</v>
      </c>
      <c r="AU106" s="106">
        <v>0</v>
      </c>
      <c r="AV106" s="106">
        <v>0</v>
      </c>
      <c r="AW106" s="106">
        <v>0</v>
      </c>
      <c r="AX106" s="106">
        <v>0</v>
      </c>
      <c r="AY106" s="106">
        <v>0</v>
      </c>
    </row>
    <row r="107" spans="1:52">
      <c r="A107" s="109"/>
      <c r="B107" s="130">
        <v>8</v>
      </c>
      <c r="C107" s="106">
        <v>0</v>
      </c>
      <c r="D107" s="106">
        <v>0</v>
      </c>
      <c r="E107" s="106">
        <v>0</v>
      </c>
      <c r="F107" s="106">
        <v>0</v>
      </c>
      <c r="G107" s="106">
        <v>0</v>
      </c>
      <c r="H107" s="106">
        <v>0</v>
      </c>
      <c r="I107" s="106">
        <v>0</v>
      </c>
      <c r="J107" s="106">
        <v>0</v>
      </c>
      <c r="K107" s="106">
        <v>0</v>
      </c>
      <c r="L107" s="106">
        <v>0</v>
      </c>
      <c r="M107" s="106">
        <v>0</v>
      </c>
      <c r="N107" s="106">
        <v>0</v>
      </c>
      <c r="O107" s="106">
        <v>0</v>
      </c>
      <c r="P107" s="106">
        <v>0</v>
      </c>
      <c r="Q107" s="106">
        <v>0</v>
      </c>
      <c r="R107" s="106">
        <v>0</v>
      </c>
      <c r="S107" s="106">
        <v>0</v>
      </c>
      <c r="T107" s="106">
        <v>0</v>
      </c>
      <c r="U107" s="106">
        <v>0</v>
      </c>
      <c r="V107" s="106">
        <v>0</v>
      </c>
      <c r="W107" s="106">
        <v>0</v>
      </c>
      <c r="X107" s="106">
        <v>0</v>
      </c>
      <c r="Y107" s="106">
        <v>0</v>
      </c>
      <c r="Z107" s="106">
        <v>0</v>
      </c>
      <c r="AA107" s="106">
        <v>0</v>
      </c>
      <c r="AB107" s="106">
        <v>0</v>
      </c>
      <c r="AC107" s="106">
        <v>0</v>
      </c>
      <c r="AD107" s="106">
        <v>0</v>
      </c>
      <c r="AE107" s="106">
        <v>0</v>
      </c>
      <c r="AF107" s="106">
        <v>0</v>
      </c>
      <c r="AG107" s="106">
        <v>0</v>
      </c>
      <c r="AH107" s="106">
        <v>0</v>
      </c>
      <c r="AI107" s="106">
        <v>0</v>
      </c>
      <c r="AJ107" s="106">
        <v>0</v>
      </c>
      <c r="AK107" s="106">
        <v>0</v>
      </c>
      <c r="AL107" s="106">
        <v>0</v>
      </c>
      <c r="AM107" s="106">
        <v>0</v>
      </c>
      <c r="AN107" s="106">
        <v>0</v>
      </c>
      <c r="AO107" s="106">
        <v>0</v>
      </c>
      <c r="AP107" s="106">
        <v>0</v>
      </c>
      <c r="AQ107" s="106">
        <v>0</v>
      </c>
      <c r="AR107" s="106">
        <v>0</v>
      </c>
      <c r="AS107" s="106">
        <v>0</v>
      </c>
      <c r="AT107" s="106">
        <v>0</v>
      </c>
      <c r="AU107" s="106">
        <v>0</v>
      </c>
      <c r="AV107" s="106">
        <v>0</v>
      </c>
      <c r="AW107" s="106">
        <v>0</v>
      </c>
      <c r="AX107" s="106">
        <v>0</v>
      </c>
      <c r="AY107" s="106">
        <v>0</v>
      </c>
    </row>
    <row r="108" spans="1:52">
      <c r="A108" s="128"/>
      <c r="B108" s="132" t="s">
        <v>296</v>
      </c>
      <c r="C108" s="114">
        <v>0</v>
      </c>
      <c r="D108" s="125">
        <v>0</v>
      </c>
      <c r="E108" s="125">
        <v>0</v>
      </c>
      <c r="F108" s="125">
        <v>0</v>
      </c>
      <c r="G108" s="125">
        <v>0</v>
      </c>
      <c r="H108" s="125">
        <v>0</v>
      </c>
      <c r="I108" s="125">
        <v>0</v>
      </c>
      <c r="J108" s="125">
        <v>0</v>
      </c>
      <c r="K108" s="125">
        <v>0</v>
      </c>
      <c r="L108" s="125">
        <v>0</v>
      </c>
      <c r="M108" s="125">
        <v>0</v>
      </c>
      <c r="N108" s="125">
        <v>0</v>
      </c>
      <c r="O108" s="125">
        <v>0</v>
      </c>
      <c r="P108" s="125">
        <v>0</v>
      </c>
      <c r="Q108" s="125">
        <v>0</v>
      </c>
      <c r="R108" s="125">
        <v>0</v>
      </c>
      <c r="S108" s="125">
        <v>0</v>
      </c>
      <c r="T108" s="125">
        <v>0</v>
      </c>
      <c r="U108" s="125">
        <v>0</v>
      </c>
      <c r="V108" s="125">
        <v>0</v>
      </c>
      <c r="W108" s="125">
        <v>0</v>
      </c>
      <c r="X108" s="125">
        <v>0</v>
      </c>
      <c r="Y108" s="125">
        <v>0</v>
      </c>
      <c r="Z108" s="125">
        <v>0</v>
      </c>
      <c r="AA108" s="125">
        <v>0</v>
      </c>
      <c r="AB108" s="125">
        <v>0</v>
      </c>
      <c r="AC108" s="125">
        <v>0</v>
      </c>
      <c r="AD108" s="125">
        <v>0</v>
      </c>
      <c r="AE108" s="125">
        <v>0</v>
      </c>
      <c r="AF108" s="125">
        <v>0</v>
      </c>
      <c r="AG108" s="125">
        <v>0</v>
      </c>
      <c r="AH108" s="125">
        <v>0</v>
      </c>
      <c r="AI108" s="125">
        <v>0</v>
      </c>
      <c r="AJ108" s="125">
        <v>0</v>
      </c>
      <c r="AK108" s="125">
        <v>0</v>
      </c>
      <c r="AL108" s="125">
        <v>0</v>
      </c>
      <c r="AM108" s="125">
        <v>0</v>
      </c>
      <c r="AN108" s="125">
        <v>0</v>
      </c>
      <c r="AO108" s="125">
        <v>0</v>
      </c>
      <c r="AP108" s="125">
        <v>0</v>
      </c>
      <c r="AQ108" s="125">
        <v>0</v>
      </c>
      <c r="AR108" s="125">
        <v>0</v>
      </c>
      <c r="AS108" s="125">
        <v>0</v>
      </c>
      <c r="AT108" s="125">
        <v>0</v>
      </c>
      <c r="AU108" s="125">
        <v>0</v>
      </c>
      <c r="AV108" s="125">
        <v>0</v>
      </c>
      <c r="AW108" s="125">
        <v>0</v>
      </c>
      <c r="AX108" s="125">
        <v>0</v>
      </c>
      <c r="AY108" s="125">
        <v>0</v>
      </c>
      <c r="AZ108" s="107">
        <f>SUM($D108:$AY108)</f>
        <v>0</v>
      </c>
    </row>
    <row r="109" spans="1:52">
      <c r="A109" s="131" t="s">
        <v>134</v>
      </c>
      <c r="B109" s="119">
        <v>1</v>
      </c>
      <c r="C109" s="106">
        <v>375.74582123238247</v>
      </c>
      <c r="D109" s="106">
        <v>93.603227758915295</v>
      </c>
      <c r="E109" s="106">
        <v>234.08399165634273</v>
      </c>
      <c r="F109" s="106">
        <v>227.03530373952682</v>
      </c>
      <c r="G109" s="106">
        <v>369.47812221162661</v>
      </c>
      <c r="H109" s="106">
        <v>369.47812221162661</v>
      </c>
      <c r="I109" s="106">
        <v>288.16050007943221</v>
      </c>
      <c r="J109" s="106">
        <v>369.47812221162661</v>
      </c>
      <c r="K109" s="106">
        <v>369.47812221162661</v>
      </c>
      <c r="L109" s="106">
        <v>309.10283674510049</v>
      </c>
      <c r="M109" s="106">
        <v>364.83386948343224</v>
      </c>
      <c r="N109" s="106">
        <v>515.8152825385414</v>
      </c>
      <c r="O109" s="106">
        <v>417.39863334408648</v>
      </c>
      <c r="P109" s="106">
        <v>295.33964561859841</v>
      </c>
      <c r="Q109" s="106">
        <v>446.15149161562664</v>
      </c>
      <c r="R109" s="106">
        <v>369.47812221162656</v>
      </c>
      <c r="S109" s="106">
        <v>369.47812221162656</v>
      </c>
      <c r="T109" s="106">
        <v>369.47812221162656</v>
      </c>
      <c r="U109" s="106">
        <v>223.14096188471174</v>
      </c>
      <c r="V109" s="106">
        <v>515.8152825385414</v>
      </c>
      <c r="W109" s="106">
        <v>235.59251847926294</v>
      </c>
      <c r="X109" s="106">
        <v>439.14191313454131</v>
      </c>
      <c r="Y109" s="106">
        <v>369.47812221162656</v>
      </c>
      <c r="Z109" s="106">
        <v>299.8143312887118</v>
      </c>
      <c r="AA109" s="106">
        <v>515.8152825385414</v>
      </c>
      <c r="AB109" s="106">
        <v>369.47812221162656</v>
      </c>
      <c r="AC109" s="106">
        <v>292.80475280762647</v>
      </c>
      <c r="AD109" s="106">
        <v>446.15149161562658</v>
      </c>
      <c r="AE109" s="106">
        <v>369.47812221162656</v>
      </c>
      <c r="AF109" s="106">
        <v>369.47812221162656</v>
      </c>
      <c r="AG109" s="106">
        <v>369.47812221162656</v>
      </c>
      <c r="AH109" s="106">
        <v>223.14096188471174</v>
      </c>
      <c r="AI109" s="106">
        <v>544.15040918340765</v>
      </c>
      <c r="AJ109" s="106">
        <v>397.81324885649275</v>
      </c>
      <c r="AK109" s="106">
        <v>223.14096188471174</v>
      </c>
      <c r="AL109" s="106">
        <v>292.80475280762647</v>
      </c>
      <c r="AM109" s="106">
        <v>502.82174490535891</v>
      </c>
      <c r="AN109" s="106">
        <v>439.14191313454137</v>
      </c>
      <c r="AO109" s="106">
        <v>332.00195161640096</v>
      </c>
      <c r="AP109" s="106">
        <v>369.47812221162656</v>
      </c>
      <c r="AQ109" s="106">
        <v>515.8152825385414</v>
      </c>
      <c r="AR109" s="106">
        <v>223.14096188471174</v>
      </c>
      <c r="AS109" s="106">
        <v>515.8152825385414</v>
      </c>
      <c r="AT109" s="106">
        <v>381.74089616729344</v>
      </c>
      <c r="AU109" s="106">
        <v>369.47812221162656</v>
      </c>
      <c r="AV109" s="106">
        <v>223.14096188471174</v>
      </c>
      <c r="AW109" s="106">
        <v>439.14191313454131</v>
      </c>
      <c r="AX109" s="106">
        <v>299.8143312887118</v>
      </c>
      <c r="AY109" s="106">
        <v>515.8152825385414</v>
      </c>
    </row>
    <row r="110" spans="1:52">
      <c r="A110" s="109"/>
      <c r="B110" s="119">
        <v>2</v>
      </c>
      <c r="C110" s="106">
        <v>0</v>
      </c>
      <c r="D110" s="106">
        <v>0</v>
      </c>
      <c r="E110" s="106">
        <v>0</v>
      </c>
      <c r="F110" s="106">
        <v>0</v>
      </c>
      <c r="G110" s="106">
        <v>0</v>
      </c>
      <c r="H110" s="106">
        <v>0</v>
      </c>
      <c r="I110" s="106">
        <v>0</v>
      </c>
      <c r="J110" s="106">
        <v>0</v>
      </c>
      <c r="K110" s="106">
        <v>0</v>
      </c>
      <c r="L110" s="106">
        <v>0</v>
      </c>
      <c r="M110" s="106">
        <v>0</v>
      </c>
      <c r="N110" s="106">
        <v>0</v>
      </c>
      <c r="O110" s="106">
        <v>90.815282538541396</v>
      </c>
      <c r="P110" s="106">
        <v>0</v>
      </c>
      <c r="Q110" s="106">
        <v>0</v>
      </c>
      <c r="R110" s="106">
        <v>0</v>
      </c>
      <c r="S110" s="106">
        <v>0</v>
      </c>
      <c r="T110" s="106">
        <v>0</v>
      </c>
      <c r="U110" s="106">
        <v>0</v>
      </c>
      <c r="V110" s="106">
        <v>0</v>
      </c>
      <c r="W110" s="106">
        <v>106.74053633877861</v>
      </c>
      <c r="X110" s="106">
        <v>0</v>
      </c>
      <c r="Y110" s="106">
        <v>11.141913134541312</v>
      </c>
      <c r="Z110" s="106">
        <v>0</v>
      </c>
      <c r="AA110" s="106">
        <v>0</v>
      </c>
      <c r="AB110" s="106">
        <v>26.815282538541396</v>
      </c>
      <c r="AC110" s="106">
        <v>0</v>
      </c>
      <c r="AD110" s="106">
        <v>0</v>
      </c>
      <c r="AE110" s="106">
        <v>0</v>
      </c>
      <c r="AF110" s="106">
        <v>0</v>
      </c>
      <c r="AG110" s="106">
        <v>0</v>
      </c>
      <c r="AH110" s="106">
        <v>0</v>
      </c>
      <c r="AI110" s="106">
        <v>0</v>
      </c>
      <c r="AJ110" s="106">
        <v>5.1504091834076462</v>
      </c>
      <c r="AK110" s="106">
        <v>0</v>
      </c>
      <c r="AL110" s="106">
        <v>0</v>
      </c>
      <c r="AM110" s="106">
        <v>0</v>
      </c>
      <c r="AN110" s="106">
        <v>0</v>
      </c>
      <c r="AO110" s="106">
        <v>0</v>
      </c>
      <c r="AP110" s="106">
        <v>0</v>
      </c>
      <c r="AQ110" s="106">
        <v>0</v>
      </c>
      <c r="AR110" s="106">
        <v>0</v>
      </c>
      <c r="AS110" s="106">
        <v>0</v>
      </c>
      <c r="AT110" s="106">
        <v>77.815282538541396</v>
      </c>
      <c r="AU110" s="106">
        <v>0</v>
      </c>
      <c r="AV110" s="106">
        <v>0</v>
      </c>
      <c r="AW110" s="106">
        <v>0</v>
      </c>
      <c r="AX110" s="106">
        <v>0</v>
      </c>
      <c r="AY110" s="106">
        <v>0</v>
      </c>
    </row>
    <row r="111" spans="1:52">
      <c r="A111" s="109"/>
      <c r="B111" s="119">
        <v>3</v>
      </c>
      <c r="C111" s="106">
        <v>0</v>
      </c>
      <c r="D111" s="106">
        <v>0</v>
      </c>
      <c r="E111" s="106">
        <v>0</v>
      </c>
      <c r="F111" s="106">
        <v>0</v>
      </c>
      <c r="G111" s="106">
        <v>0</v>
      </c>
      <c r="H111" s="106">
        <v>0</v>
      </c>
      <c r="I111" s="106">
        <v>0</v>
      </c>
      <c r="J111" s="106">
        <v>0</v>
      </c>
      <c r="K111" s="106">
        <v>0</v>
      </c>
      <c r="L111" s="106">
        <v>0</v>
      </c>
      <c r="M111" s="106">
        <v>0</v>
      </c>
      <c r="N111" s="106">
        <v>0</v>
      </c>
      <c r="O111" s="106">
        <v>0</v>
      </c>
      <c r="P111" s="106">
        <v>0</v>
      </c>
      <c r="Q111" s="106">
        <v>0</v>
      </c>
      <c r="R111" s="106">
        <v>0</v>
      </c>
      <c r="S111" s="106">
        <v>0</v>
      </c>
      <c r="T111" s="106">
        <v>0</v>
      </c>
      <c r="U111" s="106">
        <v>0</v>
      </c>
      <c r="V111" s="106">
        <v>0</v>
      </c>
      <c r="W111" s="106">
        <v>0</v>
      </c>
      <c r="X111" s="106">
        <v>0</v>
      </c>
      <c r="Y111" s="106">
        <v>0</v>
      </c>
      <c r="Z111" s="106">
        <v>0</v>
      </c>
      <c r="AA111" s="106">
        <v>0</v>
      </c>
      <c r="AB111" s="106">
        <v>0</v>
      </c>
      <c r="AC111" s="106">
        <v>0</v>
      </c>
      <c r="AD111" s="106">
        <v>0</v>
      </c>
      <c r="AE111" s="106">
        <v>0</v>
      </c>
      <c r="AF111" s="106">
        <v>0</v>
      </c>
      <c r="AG111" s="106">
        <v>0</v>
      </c>
      <c r="AH111" s="106">
        <v>0</v>
      </c>
      <c r="AI111" s="106">
        <v>0</v>
      </c>
      <c r="AJ111" s="106">
        <v>0</v>
      </c>
      <c r="AK111" s="106">
        <v>0</v>
      </c>
      <c r="AL111" s="106">
        <v>0</v>
      </c>
      <c r="AM111" s="106">
        <v>0</v>
      </c>
      <c r="AN111" s="106">
        <v>0</v>
      </c>
      <c r="AO111" s="106">
        <v>0</v>
      </c>
      <c r="AP111" s="106">
        <v>0</v>
      </c>
      <c r="AQ111" s="106">
        <v>0</v>
      </c>
      <c r="AR111" s="106">
        <v>0</v>
      </c>
      <c r="AS111" s="106">
        <v>0</v>
      </c>
      <c r="AT111" s="106">
        <v>0</v>
      </c>
      <c r="AU111" s="106">
        <v>0</v>
      </c>
      <c r="AV111" s="106">
        <v>0</v>
      </c>
      <c r="AW111" s="106">
        <v>0</v>
      </c>
      <c r="AX111" s="106">
        <v>0</v>
      </c>
      <c r="AY111" s="106">
        <v>0</v>
      </c>
    </row>
    <row r="112" spans="1:52">
      <c r="A112" s="109"/>
      <c r="B112" s="120">
        <v>4</v>
      </c>
      <c r="C112" s="106">
        <v>0</v>
      </c>
      <c r="D112" s="106">
        <v>0</v>
      </c>
      <c r="E112" s="106">
        <v>0</v>
      </c>
      <c r="F112" s="106">
        <v>0</v>
      </c>
      <c r="G112" s="106">
        <v>0</v>
      </c>
      <c r="H112" s="106">
        <v>0</v>
      </c>
      <c r="I112" s="106">
        <v>0</v>
      </c>
      <c r="J112" s="106">
        <v>0</v>
      </c>
      <c r="K112" s="106">
        <v>0</v>
      </c>
      <c r="L112" s="106">
        <v>0</v>
      </c>
      <c r="M112" s="106">
        <v>0</v>
      </c>
      <c r="N112" s="106">
        <v>0</v>
      </c>
      <c r="O112" s="106">
        <v>0</v>
      </c>
      <c r="P112" s="106">
        <v>0</v>
      </c>
      <c r="Q112" s="106">
        <v>0</v>
      </c>
      <c r="R112" s="106">
        <v>0</v>
      </c>
      <c r="S112" s="106">
        <v>0</v>
      </c>
      <c r="T112" s="106">
        <v>0</v>
      </c>
      <c r="U112" s="106">
        <v>0</v>
      </c>
      <c r="V112" s="106">
        <v>0</v>
      </c>
      <c r="W112" s="106">
        <v>0</v>
      </c>
      <c r="X112" s="106">
        <v>0</v>
      </c>
      <c r="Y112" s="106">
        <v>0</v>
      </c>
      <c r="Z112" s="106">
        <v>0</v>
      </c>
      <c r="AA112" s="106">
        <v>0</v>
      </c>
      <c r="AB112" s="106">
        <v>0</v>
      </c>
      <c r="AC112" s="106">
        <v>0</v>
      </c>
      <c r="AD112" s="106">
        <v>0</v>
      </c>
      <c r="AE112" s="106">
        <v>0</v>
      </c>
      <c r="AF112" s="106">
        <v>0</v>
      </c>
      <c r="AG112" s="106">
        <v>0</v>
      </c>
      <c r="AH112" s="106">
        <v>0</v>
      </c>
      <c r="AI112" s="106">
        <v>0</v>
      </c>
      <c r="AJ112" s="106">
        <v>0</v>
      </c>
      <c r="AK112" s="106">
        <v>0</v>
      </c>
      <c r="AL112" s="106">
        <v>0</v>
      </c>
      <c r="AM112" s="106">
        <v>0</v>
      </c>
      <c r="AN112" s="106">
        <v>0</v>
      </c>
      <c r="AO112" s="106">
        <v>0</v>
      </c>
      <c r="AP112" s="106">
        <v>0</v>
      </c>
      <c r="AQ112" s="106">
        <v>0</v>
      </c>
      <c r="AR112" s="106">
        <v>0</v>
      </c>
      <c r="AS112" s="106">
        <v>0</v>
      </c>
      <c r="AT112" s="106">
        <v>0</v>
      </c>
      <c r="AU112" s="106">
        <v>0</v>
      </c>
      <c r="AV112" s="106">
        <v>0</v>
      </c>
      <c r="AW112" s="106">
        <v>0</v>
      </c>
      <c r="AX112" s="106">
        <v>0</v>
      </c>
      <c r="AY112" s="106">
        <v>0</v>
      </c>
    </row>
    <row r="113" spans="1:52">
      <c r="A113" s="109"/>
      <c r="B113" s="120">
        <v>5</v>
      </c>
      <c r="C113" s="106">
        <v>0</v>
      </c>
      <c r="D113" s="106">
        <v>0</v>
      </c>
      <c r="E113" s="106">
        <v>0</v>
      </c>
      <c r="F113" s="106">
        <v>0</v>
      </c>
      <c r="G113" s="106">
        <v>0</v>
      </c>
      <c r="H113" s="106">
        <v>0</v>
      </c>
      <c r="I113" s="106">
        <v>0</v>
      </c>
      <c r="J113" s="106">
        <v>0</v>
      </c>
      <c r="K113" s="106">
        <v>0</v>
      </c>
      <c r="L113" s="106">
        <v>0</v>
      </c>
      <c r="M113" s="106">
        <v>0</v>
      </c>
      <c r="N113" s="106">
        <v>0</v>
      </c>
      <c r="O113" s="106">
        <v>0</v>
      </c>
      <c r="P113" s="106">
        <v>0</v>
      </c>
      <c r="Q113" s="106">
        <v>0</v>
      </c>
      <c r="R113" s="106">
        <v>0</v>
      </c>
      <c r="S113" s="106">
        <v>0</v>
      </c>
      <c r="T113" s="106">
        <v>0</v>
      </c>
      <c r="U113" s="106">
        <v>0</v>
      </c>
      <c r="V113" s="106">
        <v>0</v>
      </c>
      <c r="W113" s="106">
        <v>0</v>
      </c>
      <c r="X113" s="106">
        <v>0</v>
      </c>
      <c r="Y113" s="106">
        <v>0</v>
      </c>
      <c r="Z113" s="106">
        <v>0</v>
      </c>
      <c r="AA113" s="106">
        <v>0</v>
      </c>
      <c r="AB113" s="106">
        <v>0</v>
      </c>
      <c r="AC113" s="106">
        <v>0</v>
      </c>
      <c r="AD113" s="106">
        <v>0</v>
      </c>
      <c r="AE113" s="106">
        <v>0</v>
      </c>
      <c r="AF113" s="106">
        <v>0</v>
      </c>
      <c r="AG113" s="106">
        <v>0</v>
      </c>
      <c r="AH113" s="106">
        <v>0</v>
      </c>
      <c r="AI113" s="106">
        <v>0</v>
      </c>
      <c r="AJ113" s="106">
        <v>0</v>
      </c>
      <c r="AK113" s="106">
        <v>0</v>
      </c>
      <c r="AL113" s="106">
        <v>0</v>
      </c>
      <c r="AM113" s="106">
        <v>0</v>
      </c>
      <c r="AN113" s="106">
        <v>0</v>
      </c>
      <c r="AO113" s="106">
        <v>0</v>
      </c>
      <c r="AP113" s="106">
        <v>0</v>
      </c>
      <c r="AQ113" s="106">
        <v>0</v>
      </c>
      <c r="AR113" s="106">
        <v>0</v>
      </c>
      <c r="AS113" s="106">
        <v>0</v>
      </c>
      <c r="AT113" s="106">
        <v>0</v>
      </c>
      <c r="AU113" s="106">
        <v>0</v>
      </c>
      <c r="AV113" s="106">
        <v>0</v>
      </c>
      <c r="AW113" s="106">
        <v>0</v>
      </c>
      <c r="AX113" s="106">
        <v>0</v>
      </c>
      <c r="AY113" s="106">
        <v>0</v>
      </c>
    </row>
    <row r="114" spans="1:52">
      <c r="A114" s="109"/>
      <c r="B114" s="120">
        <v>6</v>
      </c>
      <c r="C114" s="106">
        <v>0</v>
      </c>
      <c r="D114" s="106">
        <v>0</v>
      </c>
      <c r="E114" s="106">
        <v>0</v>
      </c>
      <c r="F114" s="106">
        <v>0</v>
      </c>
      <c r="G114" s="106">
        <v>0</v>
      </c>
      <c r="H114" s="106">
        <v>0</v>
      </c>
      <c r="I114" s="106">
        <v>0</v>
      </c>
      <c r="J114" s="106">
        <v>0</v>
      </c>
      <c r="K114" s="106">
        <v>0</v>
      </c>
      <c r="L114" s="106">
        <v>0</v>
      </c>
      <c r="M114" s="106">
        <v>0</v>
      </c>
      <c r="N114" s="106">
        <v>0</v>
      </c>
      <c r="O114" s="106">
        <v>0</v>
      </c>
      <c r="P114" s="106">
        <v>0</v>
      </c>
      <c r="Q114" s="106">
        <v>0</v>
      </c>
      <c r="R114" s="106">
        <v>0</v>
      </c>
      <c r="S114" s="106">
        <v>0</v>
      </c>
      <c r="T114" s="106">
        <v>0</v>
      </c>
      <c r="U114" s="106">
        <v>0</v>
      </c>
      <c r="V114" s="106">
        <v>0</v>
      </c>
      <c r="W114" s="106">
        <v>0</v>
      </c>
      <c r="X114" s="106">
        <v>0</v>
      </c>
      <c r="Y114" s="106">
        <v>0</v>
      </c>
      <c r="Z114" s="106">
        <v>0</v>
      </c>
      <c r="AA114" s="106">
        <v>0</v>
      </c>
      <c r="AB114" s="106">
        <v>0</v>
      </c>
      <c r="AC114" s="106">
        <v>0</v>
      </c>
      <c r="AD114" s="106">
        <v>0</v>
      </c>
      <c r="AE114" s="106">
        <v>0</v>
      </c>
      <c r="AF114" s="106">
        <v>0</v>
      </c>
      <c r="AG114" s="106">
        <v>0</v>
      </c>
      <c r="AH114" s="106">
        <v>0</v>
      </c>
      <c r="AI114" s="106">
        <v>0</v>
      </c>
      <c r="AJ114" s="106">
        <v>0</v>
      </c>
      <c r="AK114" s="106">
        <v>0</v>
      </c>
      <c r="AL114" s="106">
        <v>0</v>
      </c>
      <c r="AM114" s="106">
        <v>0</v>
      </c>
      <c r="AN114" s="106">
        <v>0</v>
      </c>
      <c r="AO114" s="106">
        <v>0</v>
      </c>
      <c r="AP114" s="106">
        <v>0</v>
      </c>
      <c r="AQ114" s="106">
        <v>0</v>
      </c>
      <c r="AR114" s="106">
        <v>0</v>
      </c>
      <c r="AS114" s="106">
        <v>0</v>
      </c>
      <c r="AT114" s="106">
        <v>0</v>
      </c>
      <c r="AU114" s="106">
        <v>0</v>
      </c>
      <c r="AV114" s="106">
        <v>0</v>
      </c>
      <c r="AW114" s="106">
        <v>0</v>
      </c>
      <c r="AX114" s="106">
        <v>0</v>
      </c>
      <c r="AY114" s="106">
        <v>0</v>
      </c>
    </row>
    <row r="115" spans="1:52">
      <c r="A115" s="109"/>
      <c r="B115" s="127">
        <v>7</v>
      </c>
      <c r="C115" s="106">
        <v>0</v>
      </c>
      <c r="D115" s="106">
        <v>0</v>
      </c>
      <c r="E115" s="106">
        <v>0</v>
      </c>
      <c r="F115" s="106">
        <v>0</v>
      </c>
      <c r="G115" s="106">
        <v>0</v>
      </c>
      <c r="H115" s="106">
        <v>0</v>
      </c>
      <c r="I115" s="106">
        <v>0</v>
      </c>
      <c r="J115" s="106">
        <v>0</v>
      </c>
      <c r="K115" s="106">
        <v>0</v>
      </c>
      <c r="L115" s="106">
        <v>0</v>
      </c>
      <c r="M115" s="106">
        <v>0</v>
      </c>
      <c r="N115" s="106">
        <v>0</v>
      </c>
      <c r="O115" s="106">
        <v>0</v>
      </c>
      <c r="P115" s="106">
        <v>0</v>
      </c>
      <c r="Q115" s="106">
        <v>0</v>
      </c>
      <c r="R115" s="106">
        <v>0</v>
      </c>
      <c r="S115" s="106">
        <v>0</v>
      </c>
      <c r="T115" s="106">
        <v>0</v>
      </c>
      <c r="U115" s="106">
        <v>0</v>
      </c>
      <c r="V115" s="106">
        <v>0</v>
      </c>
      <c r="W115" s="106">
        <v>0</v>
      </c>
      <c r="X115" s="106">
        <v>0</v>
      </c>
      <c r="Y115" s="106">
        <v>0</v>
      </c>
      <c r="Z115" s="106">
        <v>0</v>
      </c>
      <c r="AA115" s="106">
        <v>0</v>
      </c>
      <c r="AB115" s="106">
        <v>0</v>
      </c>
      <c r="AC115" s="106">
        <v>0</v>
      </c>
      <c r="AD115" s="106">
        <v>0</v>
      </c>
      <c r="AE115" s="106">
        <v>0</v>
      </c>
      <c r="AF115" s="106">
        <v>0</v>
      </c>
      <c r="AG115" s="106">
        <v>0</v>
      </c>
      <c r="AH115" s="106">
        <v>0</v>
      </c>
      <c r="AI115" s="106">
        <v>0</v>
      </c>
      <c r="AJ115" s="106">
        <v>0</v>
      </c>
      <c r="AK115" s="106">
        <v>0</v>
      </c>
      <c r="AL115" s="106">
        <v>0</v>
      </c>
      <c r="AM115" s="106">
        <v>0</v>
      </c>
      <c r="AN115" s="106">
        <v>0</v>
      </c>
      <c r="AO115" s="106">
        <v>0</v>
      </c>
      <c r="AP115" s="106">
        <v>0</v>
      </c>
      <c r="AQ115" s="106">
        <v>0</v>
      </c>
      <c r="AR115" s="106">
        <v>0</v>
      </c>
      <c r="AS115" s="106">
        <v>0</v>
      </c>
      <c r="AT115" s="106">
        <v>0</v>
      </c>
      <c r="AU115" s="106">
        <v>0</v>
      </c>
      <c r="AV115" s="106">
        <v>0</v>
      </c>
      <c r="AW115" s="106">
        <v>0</v>
      </c>
      <c r="AX115" s="106">
        <v>0</v>
      </c>
      <c r="AY115" s="106">
        <v>0</v>
      </c>
    </row>
    <row r="116" spans="1:52">
      <c r="A116" s="109"/>
      <c r="B116" s="127">
        <v>8</v>
      </c>
      <c r="C116" s="106">
        <v>0</v>
      </c>
      <c r="D116" s="106">
        <v>0</v>
      </c>
      <c r="E116" s="106">
        <v>0</v>
      </c>
      <c r="F116" s="106">
        <v>0</v>
      </c>
      <c r="G116" s="106">
        <v>0</v>
      </c>
      <c r="H116" s="106">
        <v>0</v>
      </c>
      <c r="I116" s="106">
        <v>0</v>
      </c>
      <c r="J116" s="106">
        <v>0</v>
      </c>
      <c r="K116" s="106">
        <v>0</v>
      </c>
      <c r="L116" s="106">
        <v>0</v>
      </c>
      <c r="M116" s="106">
        <v>0</v>
      </c>
      <c r="N116" s="106">
        <v>0</v>
      </c>
      <c r="O116" s="106">
        <v>0</v>
      </c>
      <c r="P116" s="106">
        <v>0</v>
      </c>
      <c r="Q116" s="106">
        <v>0</v>
      </c>
      <c r="R116" s="106">
        <v>0</v>
      </c>
      <c r="S116" s="106">
        <v>0</v>
      </c>
      <c r="T116" s="106">
        <v>0</v>
      </c>
      <c r="U116" s="106">
        <v>0</v>
      </c>
      <c r="V116" s="106">
        <v>0</v>
      </c>
      <c r="W116" s="106">
        <v>0</v>
      </c>
      <c r="X116" s="106">
        <v>0</v>
      </c>
      <c r="Y116" s="106">
        <v>0</v>
      </c>
      <c r="Z116" s="106">
        <v>0</v>
      </c>
      <c r="AA116" s="106">
        <v>0</v>
      </c>
      <c r="AB116" s="106">
        <v>0</v>
      </c>
      <c r="AC116" s="106">
        <v>0</v>
      </c>
      <c r="AD116" s="106">
        <v>0</v>
      </c>
      <c r="AE116" s="106">
        <v>0</v>
      </c>
      <c r="AF116" s="106">
        <v>0</v>
      </c>
      <c r="AG116" s="106">
        <v>0</v>
      </c>
      <c r="AH116" s="106">
        <v>0</v>
      </c>
      <c r="AI116" s="106">
        <v>0</v>
      </c>
      <c r="AJ116" s="106">
        <v>0</v>
      </c>
      <c r="AK116" s="106">
        <v>0</v>
      </c>
      <c r="AL116" s="106">
        <v>0</v>
      </c>
      <c r="AM116" s="106">
        <v>0</v>
      </c>
      <c r="AN116" s="106">
        <v>0</v>
      </c>
      <c r="AO116" s="106">
        <v>0</v>
      </c>
      <c r="AP116" s="106">
        <v>0</v>
      </c>
      <c r="AQ116" s="106">
        <v>0</v>
      </c>
      <c r="AR116" s="106">
        <v>0</v>
      </c>
      <c r="AS116" s="106">
        <v>0</v>
      </c>
      <c r="AT116" s="106">
        <v>0</v>
      </c>
      <c r="AU116" s="106">
        <v>0</v>
      </c>
      <c r="AV116" s="106">
        <v>0</v>
      </c>
      <c r="AW116" s="106">
        <v>0</v>
      </c>
      <c r="AX116" s="106">
        <v>0</v>
      </c>
      <c r="AY116" s="106">
        <v>0</v>
      </c>
    </row>
    <row r="117" spans="1:52">
      <c r="A117" s="109"/>
      <c r="B117" s="127">
        <v>9</v>
      </c>
      <c r="C117" s="106">
        <v>0</v>
      </c>
      <c r="D117" s="106">
        <v>0</v>
      </c>
      <c r="E117" s="106">
        <v>0</v>
      </c>
      <c r="F117" s="106">
        <v>0</v>
      </c>
      <c r="G117" s="106">
        <v>0</v>
      </c>
      <c r="H117" s="106">
        <v>0</v>
      </c>
      <c r="I117" s="106">
        <v>0</v>
      </c>
      <c r="J117" s="106">
        <v>0</v>
      </c>
      <c r="K117" s="106">
        <v>0</v>
      </c>
      <c r="L117" s="106">
        <v>0</v>
      </c>
      <c r="M117" s="106">
        <v>0</v>
      </c>
      <c r="N117" s="106">
        <v>0</v>
      </c>
      <c r="O117" s="106">
        <v>0</v>
      </c>
      <c r="P117" s="106">
        <v>0</v>
      </c>
      <c r="Q117" s="106">
        <v>0</v>
      </c>
      <c r="R117" s="106">
        <v>0</v>
      </c>
      <c r="S117" s="106">
        <v>0</v>
      </c>
      <c r="T117" s="106">
        <v>0</v>
      </c>
      <c r="U117" s="106">
        <v>0</v>
      </c>
      <c r="V117" s="106">
        <v>0</v>
      </c>
      <c r="W117" s="106">
        <v>0</v>
      </c>
      <c r="X117" s="106">
        <v>0</v>
      </c>
      <c r="Y117" s="106">
        <v>0</v>
      </c>
      <c r="Z117" s="106">
        <v>0</v>
      </c>
      <c r="AA117" s="106">
        <v>0</v>
      </c>
      <c r="AB117" s="106">
        <v>0</v>
      </c>
      <c r="AC117" s="106">
        <v>0</v>
      </c>
      <c r="AD117" s="106">
        <v>0</v>
      </c>
      <c r="AE117" s="106">
        <v>0</v>
      </c>
      <c r="AF117" s="106">
        <v>0</v>
      </c>
      <c r="AG117" s="106">
        <v>0</v>
      </c>
      <c r="AH117" s="106">
        <v>0</v>
      </c>
      <c r="AI117" s="106">
        <v>0</v>
      </c>
      <c r="AJ117" s="106">
        <v>0</v>
      </c>
      <c r="AK117" s="106">
        <v>0</v>
      </c>
      <c r="AL117" s="106">
        <v>0</v>
      </c>
      <c r="AM117" s="106">
        <v>0</v>
      </c>
      <c r="AN117" s="106">
        <v>0</v>
      </c>
      <c r="AO117" s="106">
        <v>0</v>
      </c>
      <c r="AP117" s="106">
        <v>0</v>
      </c>
      <c r="AQ117" s="106">
        <v>0</v>
      </c>
      <c r="AR117" s="106">
        <v>0</v>
      </c>
      <c r="AS117" s="106">
        <v>0</v>
      </c>
      <c r="AT117" s="106">
        <v>0</v>
      </c>
      <c r="AU117" s="106">
        <v>0</v>
      </c>
      <c r="AV117" s="106">
        <v>0</v>
      </c>
      <c r="AW117" s="106">
        <v>0</v>
      </c>
      <c r="AX117" s="106">
        <v>0</v>
      </c>
      <c r="AY117" s="106">
        <v>0</v>
      </c>
    </row>
    <row r="118" spans="1:52">
      <c r="A118" s="109"/>
      <c r="B118" s="130">
        <v>10</v>
      </c>
      <c r="C118" s="106">
        <v>0</v>
      </c>
      <c r="D118" s="106">
        <v>0</v>
      </c>
      <c r="E118" s="106">
        <v>0</v>
      </c>
      <c r="F118" s="106">
        <v>0</v>
      </c>
      <c r="G118" s="106">
        <v>0</v>
      </c>
      <c r="H118" s="106">
        <v>0</v>
      </c>
      <c r="I118" s="106">
        <v>0</v>
      </c>
      <c r="J118" s="106">
        <v>0</v>
      </c>
      <c r="K118" s="106">
        <v>0</v>
      </c>
      <c r="L118" s="106">
        <v>0</v>
      </c>
      <c r="M118" s="106">
        <v>0</v>
      </c>
      <c r="N118" s="106">
        <v>0</v>
      </c>
      <c r="O118" s="106">
        <v>0</v>
      </c>
      <c r="P118" s="106">
        <v>0</v>
      </c>
      <c r="Q118" s="106">
        <v>0</v>
      </c>
      <c r="R118" s="106">
        <v>0</v>
      </c>
      <c r="S118" s="106">
        <v>0</v>
      </c>
      <c r="T118" s="106">
        <v>0</v>
      </c>
      <c r="U118" s="106">
        <v>0</v>
      </c>
      <c r="V118" s="106">
        <v>0</v>
      </c>
      <c r="W118" s="106">
        <v>0</v>
      </c>
      <c r="X118" s="106">
        <v>0</v>
      </c>
      <c r="Y118" s="106">
        <v>0</v>
      </c>
      <c r="Z118" s="106">
        <v>0</v>
      </c>
      <c r="AA118" s="106">
        <v>0</v>
      </c>
      <c r="AB118" s="106">
        <v>0</v>
      </c>
      <c r="AC118" s="106">
        <v>0</v>
      </c>
      <c r="AD118" s="106">
        <v>0</v>
      </c>
      <c r="AE118" s="106">
        <v>0</v>
      </c>
      <c r="AF118" s="106">
        <v>0</v>
      </c>
      <c r="AG118" s="106">
        <v>0</v>
      </c>
      <c r="AH118" s="106">
        <v>0</v>
      </c>
      <c r="AI118" s="106">
        <v>0</v>
      </c>
      <c r="AJ118" s="106">
        <v>0</v>
      </c>
      <c r="AK118" s="106">
        <v>0</v>
      </c>
      <c r="AL118" s="106">
        <v>0</v>
      </c>
      <c r="AM118" s="106">
        <v>0</v>
      </c>
      <c r="AN118" s="106">
        <v>0</v>
      </c>
      <c r="AO118" s="106">
        <v>0</v>
      </c>
      <c r="AP118" s="106">
        <v>0</v>
      </c>
      <c r="AQ118" s="106">
        <v>0</v>
      </c>
      <c r="AR118" s="106">
        <v>0</v>
      </c>
      <c r="AS118" s="106">
        <v>0</v>
      </c>
      <c r="AT118" s="106">
        <v>0</v>
      </c>
      <c r="AU118" s="106">
        <v>0</v>
      </c>
      <c r="AV118" s="106">
        <v>0</v>
      </c>
      <c r="AW118" s="106">
        <v>0</v>
      </c>
      <c r="AX118" s="106">
        <v>0</v>
      </c>
      <c r="AY118" s="106">
        <v>0</v>
      </c>
    </row>
    <row r="119" spans="1:52">
      <c r="A119" s="109"/>
      <c r="B119" s="130">
        <v>11</v>
      </c>
      <c r="C119" s="106">
        <v>0</v>
      </c>
      <c r="D119" s="106">
        <v>0</v>
      </c>
      <c r="E119" s="106">
        <v>0</v>
      </c>
      <c r="F119" s="106">
        <v>0</v>
      </c>
      <c r="G119" s="106">
        <v>0</v>
      </c>
      <c r="H119" s="106">
        <v>0</v>
      </c>
      <c r="I119" s="106">
        <v>0</v>
      </c>
      <c r="J119" s="106">
        <v>0</v>
      </c>
      <c r="K119" s="106">
        <v>0</v>
      </c>
      <c r="L119" s="106">
        <v>0</v>
      </c>
      <c r="M119" s="106">
        <v>0</v>
      </c>
      <c r="N119" s="106">
        <v>0</v>
      </c>
      <c r="O119" s="106">
        <v>0</v>
      </c>
      <c r="P119" s="106">
        <v>0</v>
      </c>
      <c r="Q119" s="106">
        <v>0</v>
      </c>
      <c r="R119" s="106">
        <v>0</v>
      </c>
      <c r="S119" s="106">
        <v>0</v>
      </c>
      <c r="T119" s="106">
        <v>0</v>
      </c>
      <c r="U119" s="106">
        <v>0</v>
      </c>
      <c r="V119" s="106">
        <v>0</v>
      </c>
      <c r="W119" s="106">
        <v>0</v>
      </c>
      <c r="X119" s="106">
        <v>0</v>
      </c>
      <c r="Y119" s="106">
        <v>0</v>
      </c>
      <c r="Z119" s="106">
        <v>0</v>
      </c>
      <c r="AA119" s="106">
        <v>0</v>
      </c>
      <c r="AB119" s="106">
        <v>0</v>
      </c>
      <c r="AC119" s="106">
        <v>0</v>
      </c>
      <c r="AD119" s="106">
        <v>0</v>
      </c>
      <c r="AE119" s="106">
        <v>0</v>
      </c>
      <c r="AF119" s="106">
        <v>0</v>
      </c>
      <c r="AG119" s="106">
        <v>0</v>
      </c>
      <c r="AH119" s="106">
        <v>0</v>
      </c>
      <c r="AI119" s="106">
        <v>0</v>
      </c>
      <c r="AJ119" s="106">
        <v>0</v>
      </c>
      <c r="AK119" s="106">
        <v>0</v>
      </c>
      <c r="AL119" s="106">
        <v>0</v>
      </c>
      <c r="AM119" s="106">
        <v>0</v>
      </c>
      <c r="AN119" s="106">
        <v>0</v>
      </c>
      <c r="AO119" s="106">
        <v>0</v>
      </c>
      <c r="AP119" s="106">
        <v>0</v>
      </c>
      <c r="AQ119" s="106">
        <v>0</v>
      </c>
      <c r="AR119" s="106">
        <v>0</v>
      </c>
      <c r="AS119" s="106">
        <v>0</v>
      </c>
      <c r="AT119" s="106">
        <v>0</v>
      </c>
      <c r="AU119" s="106">
        <v>0</v>
      </c>
      <c r="AV119" s="106">
        <v>0</v>
      </c>
      <c r="AW119" s="106">
        <v>0</v>
      </c>
      <c r="AX119" s="106">
        <v>0</v>
      </c>
      <c r="AY119" s="106">
        <v>0</v>
      </c>
    </row>
    <row r="120" spans="1:52">
      <c r="A120" s="109"/>
      <c r="B120" s="130">
        <v>12</v>
      </c>
      <c r="C120" s="106">
        <v>0</v>
      </c>
      <c r="D120" s="106">
        <v>0</v>
      </c>
      <c r="E120" s="106">
        <v>0</v>
      </c>
      <c r="F120" s="106">
        <v>0</v>
      </c>
      <c r="G120" s="106">
        <v>0</v>
      </c>
      <c r="H120" s="106">
        <v>0</v>
      </c>
      <c r="I120" s="106">
        <v>0</v>
      </c>
      <c r="J120" s="106">
        <v>0</v>
      </c>
      <c r="K120" s="106">
        <v>0</v>
      </c>
      <c r="L120" s="106">
        <v>0</v>
      </c>
      <c r="M120" s="106">
        <v>0</v>
      </c>
      <c r="N120" s="106">
        <v>0</v>
      </c>
      <c r="O120" s="106">
        <v>0</v>
      </c>
      <c r="P120" s="106">
        <v>0</v>
      </c>
      <c r="Q120" s="106">
        <v>0</v>
      </c>
      <c r="R120" s="106">
        <v>0</v>
      </c>
      <c r="S120" s="106">
        <v>0</v>
      </c>
      <c r="T120" s="106">
        <v>0</v>
      </c>
      <c r="U120" s="106">
        <v>0</v>
      </c>
      <c r="V120" s="106">
        <v>0</v>
      </c>
      <c r="W120" s="106">
        <v>0</v>
      </c>
      <c r="X120" s="106">
        <v>0</v>
      </c>
      <c r="Y120" s="106">
        <v>0</v>
      </c>
      <c r="Z120" s="106">
        <v>0</v>
      </c>
      <c r="AA120" s="106">
        <v>0</v>
      </c>
      <c r="AB120" s="106">
        <v>0</v>
      </c>
      <c r="AC120" s="106">
        <v>0</v>
      </c>
      <c r="AD120" s="106">
        <v>0</v>
      </c>
      <c r="AE120" s="106">
        <v>0</v>
      </c>
      <c r="AF120" s="106">
        <v>0</v>
      </c>
      <c r="AG120" s="106">
        <v>0</v>
      </c>
      <c r="AH120" s="106">
        <v>0</v>
      </c>
      <c r="AI120" s="106">
        <v>0</v>
      </c>
      <c r="AJ120" s="106">
        <v>0</v>
      </c>
      <c r="AK120" s="106">
        <v>0</v>
      </c>
      <c r="AL120" s="106">
        <v>0</v>
      </c>
      <c r="AM120" s="106">
        <v>0</v>
      </c>
      <c r="AN120" s="106">
        <v>0</v>
      </c>
      <c r="AO120" s="106">
        <v>0</v>
      </c>
      <c r="AP120" s="106">
        <v>0</v>
      </c>
      <c r="AQ120" s="106">
        <v>0</v>
      </c>
      <c r="AR120" s="106">
        <v>0</v>
      </c>
      <c r="AS120" s="106">
        <v>0</v>
      </c>
      <c r="AT120" s="106">
        <v>0</v>
      </c>
      <c r="AU120" s="106">
        <v>0</v>
      </c>
      <c r="AV120" s="106">
        <v>0</v>
      </c>
      <c r="AW120" s="106">
        <v>0</v>
      </c>
      <c r="AX120" s="106">
        <v>0</v>
      </c>
      <c r="AY120" s="106">
        <v>0</v>
      </c>
    </row>
    <row r="121" spans="1:52">
      <c r="A121" s="128"/>
      <c r="B121" s="132" t="s">
        <v>296</v>
      </c>
      <c r="C121" s="114">
        <v>0</v>
      </c>
      <c r="D121" s="125">
        <v>0</v>
      </c>
      <c r="E121" s="125">
        <v>0</v>
      </c>
      <c r="F121" s="125">
        <v>0</v>
      </c>
      <c r="G121" s="125">
        <v>0</v>
      </c>
      <c r="H121" s="125">
        <v>0</v>
      </c>
      <c r="I121" s="125">
        <v>0</v>
      </c>
      <c r="J121" s="125">
        <v>0</v>
      </c>
      <c r="K121" s="125">
        <v>0</v>
      </c>
      <c r="L121" s="125">
        <v>0</v>
      </c>
      <c r="M121" s="125">
        <v>0</v>
      </c>
      <c r="N121" s="125">
        <v>0</v>
      </c>
      <c r="O121" s="125">
        <v>0</v>
      </c>
      <c r="P121" s="125">
        <v>0</v>
      </c>
      <c r="Q121" s="125">
        <v>0</v>
      </c>
      <c r="R121" s="125">
        <v>0</v>
      </c>
      <c r="S121" s="125">
        <v>0</v>
      </c>
      <c r="T121" s="125">
        <v>0</v>
      </c>
      <c r="U121" s="125">
        <v>0</v>
      </c>
      <c r="V121" s="125">
        <v>0</v>
      </c>
      <c r="W121" s="125">
        <v>0</v>
      </c>
      <c r="X121" s="125">
        <v>0</v>
      </c>
      <c r="Y121" s="125">
        <v>0</v>
      </c>
      <c r="Z121" s="125">
        <v>0</v>
      </c>
      <c r="AA121" s="125">
        <v>0</v>
      </c>
      <c r="AB121" s="125">
        <v>0</v>
      </c>
      <c r="AC121" s="125">
        <v>0</v>
      </c>
      <c r="AD121" s="125">
        <v>0</v>
      </c>
      <c r="AE121" s="125">
        <v>0</v>
      </c>
      <c r="AF121" s="125">
        <v>0</v>
      </c>
      <c r="AG121" s="125">
        <v>0</v>
      </c>
      <c r="AH121" s="125">
        <v>0</v>
      </c>
      <c r="AI121" s="125">
        <v>0</v>
      </c>
      <c r="AJ121" s="125">
        <v>0</v>
      </c>
      <c r="AK121" s="125">
        <v>0</v>
      </c>
      <c r="AL121" s="125">
        <v>0</v>
      </c>
      <c r="AM121" s="125">
        <v>0</v>
      </c>
      <c r="AN121" s="125">
        <v>0</v>
      </c>
      <c r="AO121" s="125">
        <v>0</v>
      </c>
      <c r="AP121" s="125">
        <v>0</v>
      </c>
      <c r="AQ121" s="125">
        <v>0</v>
      </c>
      <c r="AR121" s="125">
        <v>0</v>
      </c>
      <c r="AS121" s="125">
        <v>0</v>
      </c>
      <c r="AT121" s="125">
        <v>0</v>
      </c>
      <c r="AU121" s="125">
        <v>0</v>
      </c>
      <c r="AV121" s="125">
        <v>0</v>
      </c>
      <c r="AW121" s="125">
        <v>0</v>
      </c>
      <c r="AX121" s="125">
        <v>0</v>
      </c>
      <c r="AY121" s="125">
        <v>0</v>
      </c>
      <c r="AZ121" s="107">
        <f>SUM($D121:$AY121)</f>
        <v>0</v>
      </c>
    </row>
    <row r="122" spans="1:52">
      <c r="A122" s="131" t="s">
        <v>123</v>
      </c>
      <c r="B122" s="119">
        <v>1</v>
      </c>
      <c r="C122" s="106">
        <v>214.55031536044245</v>
      </c>
      <c r="D122" s="106">
        <v>535.12735889938176</v>
      </c>
      <c r="E122" s="106">
        <v>519.01371643309449</v>
      </c>
      <c r="F122" s="106">
        <v>844.64490848429784</v>
      </c>
      <c r="G122" s="106">
        <v>844.64490848429784</v>
      </c>
      <c r="H122" s="106">
        <v>658.74888007299319</v>
      </c>
      <c r="I122" s="106">
        <v>844.64490848429784</v>
      </c>
      <c r="J122" s="106">
        <v>658.74888007299319</v>
      </c>
      <c r="K122" s="106">
        <v>520.72804906319811</v>
      </c>
      <c r="L122" s="106">
        <v>510.1110620624446</v>
      </c>
      <c r="M122" s="106">
        <v>1179.178754906151</v>
      </c>
      <c r="N122" s="106">
        <v>844.64490848429773</v>
      </c>
      <c r="O122" s="106">
        <v>669.36586707374659</v>
      </c>
      <c r="P122" s="106">
        <v>844.64490848429773</v>
      </c>
      <c r="Q122" s="106">
        <v>844.64490848429773</v>
      </c>
      <c r="R122" s="106">
        <v>844.64490848429773</v>
      </c>
      <c r="S122" s="106">
        <v>844.64490848429773</v>
      </c>
      <c r="T122" s="106">
        <v>510.1110620624446</v>
      </c>
      <c r="U122" s="106">
        <v>1179.178754906151</v>
      </c>
      <c r="V122" s="106">
        <v>510.1110620624446</v>
      </c>
      <c r="W122" s="106">
        <v>669.36586707374659</v>
      </c>
      <c r="X122" s="106">
        <v>844.64490848429773</v>
      </c>
      <c r="Y122" s="106">
        <v>510.1110620624446</v>
      </c>
      <c r="Z122" s="106">
        <v>1179.178754906151</v>
      </c>
      <c r="AA122" s="106">
        <v>844.64490848429773</v>
      </c>
      <c r="AB122" s="106">
        <v>669.36586707374659</v>
      </c>
      <c r="AC122" s="106">
        <v>844.64490848429773</v>
      </c>
      <c r="AD122" s="106">
        <v>844.64490848429773</v>
      </c>
      <c r="AE122" s="106">
        <v>844.64490848429773</v>
      </c>
      <c r="AF122" s="106">
        <v>844.64490848429773</v>
      </c>
      <c r="AG122" s="106">
        <v>510.1110620624446</v>
      </c>
      <c r="AH122" s="106">
        <v>909.42038235697214</v>
      </c>
      <c r="AI122" s="106">
        <v>909.42038235697214</v>
      </c>
      <c r="AJ122" s="106">
        <v>510.1110620624446</v>
      </c>
      <c r="AK122" s="106">
        <v>669.36586707374647</v>
      </c>
      <c r="AL122" s="106">
        <v>510.1110620624446</v>
      </c>
      <c r="AM122" s="106">
        <v>669.36586707374659</v>
      </c>
      <c r="AN122" s="106">
        <v>510.1110620624446</v>
      </c>
      <c r="AO122" s="106">
        <v>510.1110620624446</v>
      </c>
      <c r="AP122" s="106">
        <v>1179.178754906151</v>
      </c>
      <c r="AQ122" s="106">
        <v>510.1110620624446</v>
      </c>
      <c r="AR122" s="106">
        <v>844.64490848429773</v>
      </c>
      <c r="AS122" s="106">
        <v>844.64490848429773</v>
      </c>
      <c r="AT122" s="106">
        <v>844.64490848429773</v>
      </c>
      <c r="AU122" s="106">
        <v>510.1110620624446</v>
      </c>
      <c r="AV122" s="106">
        <v>669.36586707374659</v>
      </c>
      <c r="AW122" s="106">
        <v>510.1110620624446</v>
      </c>
      <c r="AX122" s="106">
        <v>844.64490848429773</v>
      </c>
      <c r="AY122" s="106">
        <v>510.1110620624446</v>
      </c>
    </row>
    <row r="123" spans="1:52">
      <c r="A123" s="109"/>
      <c r="B123" s="119">
        <v>2</v>
      </c>
      <c r="C123" s="106">
        <v>1.4210854715202004E-14</v>
      </c>
      <c r="D123" s="106">
        <v>0</v>
      </c>
      <c r="E123" s="106">
        <v>0</v>
      </c>
      <c r="F123" s="106">
        <v>0</v>
      </c>
      <c r="G123" s="106">
        <v>0</v>
      </c>
      <c r="H123" s="106">
        <v>0</v>
      </c>
      <c r="I123" s="106">
        <v>0</v>
      </c>
      <c r="J123" s="106">
        <v>0</v>
      </c>
      <c r="K123" s="106">
        <v>185.89602841130477</v>
      </c>
      <c r="L123" s="106">
        <v>323.91685942109973</v>
      </c>
      <c r="M123" s="106">
        <v>0</v>
      </c>
      <c r="N123" s="106">
        <v>109.54861277771136</v>
      </c>
      <c r="O123" s="106">
        <v>5.7948879179226083</v>
      </c>
      <c r="P123" s="106">
        <v>175.27904141055126</v>
      </c>
      <c r="Q123" s="106">
        <v>0</v>
      </c>
      <c r="R123" s="106">
        <v>0</v>
      </c>
      <c r="S123" s="106">
        <v>0</v>
      </c>
      <c r="T123" s="106">
        <v>0</v>
      </c>
      <c r="U123" s="106">
        <v>0</v>
      </c>
      <c r="V123" s="106">
        <v>28.464862323479679</v>
      </c>
      <c r="W123" s="106">
        <v>334.53384642185313</v>
      </c>
      <c r="X123" s="106">
        <v>0</v>
      </c>
      <c r="Y123" s="106">
        <v>0</v>
      </c>
      <c r="Z123" s="106">
        <v>0</v>
      </c>
      <c r="AA123" s="106">
        <v>0</v>
      </c>
      <c r="AB123" s="106">
        <v>0</v>
      </c>
      <c r="AC123" s="106">
        <v>175.2790414105512</v>
      </c>
      <c r="AD123" s="106">
        <v>0</v>
      </c>
      <c r="AE123" s="106">
        <v>0</v>
      </c>
      <c r="AF123" s="106">
        <v>0</v>
      </c>
      <c r="AG123" s="106">
        <v>0</v>
      </c>
      <c r="AH123" s="106">
        <v>334.53384642185313</v>
      </c>
      <c r="AI123" s="106">
        <v>0</v>
      </c>
      <c r="AJ123" s="106">
        <v>0</v>
      </c>
      <c r="AK123" s="106">
        <v>0</v>
      </c>
      <c r="AL123" s="106">
        <v>639.36383557775298</v>
      </c>
      <c r="AM123" s="106">
        <v>334.53384642185324</v>
      </c>
      <c r="AN123" s="106">
        <v>248.86150270290432</v>
      </c>
      <c r="AO123" s="106">
        <v>334.53384642185313</v>
      </c>
      <c r="AP123" s="106">
        <v>5.6843418860808015E-14</v>
      </c>
      <c r="AQ123" s="106">
        <v>0</v>
      </c>
      <c r="AR123" s="106">
        <v>334.53384642185313</v>
      </c>
      <c r="AS123" s="106">
        <v>28.033296054306845</v>
      </c>
      <c r="AT123" s="106">
        <v>0</v>
      </c>
      <c r="AU123" s="106">
        <v>0</v>
      </c>
      <c r="AV123" s="106">
        <v>334.53384642185313</v>
      </c>
      <c r="AW123" s="106">
        <v>175.2790414105512</v>
      </c>
      <c r="AX123" s="106">
        <v>334.53384642185313</v>
      </c>
      <c r="AY123" s="106">
        <v>0</v>
      </c>
    </row>
    <row r="124" spans="1:52">
      <c r="A124" s="109"/>
      <c r="B124" s="119">
        <v>3</v>
      </c>
      <c r="C124" s="106">
        <v>0</v>
      </c>
      <c r="D124" s="106">
        <v>0</v>
      </c>
      <c r="E124" s="106">
        <v>0</v>
      </c>
      <c r="F124" s="106">
        <v>0</v>
      </c>
      <c r="G124" s="106">
        <v>0</v>
      </c>
      <c r="H124" s="106">
        <v>0</v>
      </c>
      <c r="I124" s="106">
        <v>0</v>
      </c>
      <c r="J124" s="106">
        <v>185.89602841130466</v>
      </c>
      <c r="K124" s="106">
        <v>0</v>
      </c>
      <c r="L124" s="106">
        <v>0</v>
      </c>
      <c r="M124" s="106">
        <v>0</v>
      </c>
      <c r="N124" s="106">
        <v>0</v>
      </c>
      <c r="O124" s="106">
        <v>0</v>
      </c>
      <c r="P124" s="106">
        <v>0</v>
      </c>
      <c r="Q124" s="106">
        <v>0</v>
      </c>
      <c r="R124" s="106">
        <v>0</v>
      </c>
      <c r="S124" s="106">
        <v>0</v>
      </c>
      <c r="T124" s="106">
        <v>0</v>
      </c>
      <c r="U124" s="106">
        <v>0</v>
      </c>
      <c r="V124" s="106">
        <v>0</v>
      </c>
      <c r="W124" s="106">
        <v>0</v>
      </c>
      <c r="X124" s="106">
        <v>0</v>
      </c>
      <c r="Y124" s="106">
        <v>175.2790414105512</v>
      </c>
      <c r="Z124" s="106">
        <v>0</v>
      </c>
      <c r="AA124" s="106">
        <v>0</v>
      </c>
      <c r="AB124" s="106">
        <v>0</v>
      </c>
      <c r="AC124" s="106">
        <v>0</v>
      </c>
      <c r="AD124" s="106">
        <v>0</v>
      </c>
      <c r="AE124" s="106">
        <v>0</v>
      </c>
      <c r="AF124" s="106">
        <v>0</v>
      </c>
      <c r="AG124" s="106">
        <v>0</v>
      </c>
      <c r="AH124" s="106">
        <v>0</v>
      </c>
      <c r="AI124" s="106">
        <v>0</v>
      </c>
      <c r="AJ124" s="106">
        <v>0</v>
      </c>
      <c r="AK124" s="106">
        <v>0</v>
      </c>
      <c r="AL124" s="106">
        <v>0</v>
      </c>
      <c r="AM124" s="106">
        <v>0</v>
      </c>
      <c r="AN124" s="106">
        <v>0</v>
      </c>
      <c r="AO124" s="106">
        <v>0</v>
      </c>
      <c r="AP124" s="106">
        <v>0</v>
      </c>
      <c r="AQ124" s="106">
        <v>0</v>
      </c>
      <c r="AR124" s="106">
        <v>0</v>
      </c>
      <c r="AS124" s="106">
        <v>0</v>
      </c>
      <c r="AT124" s="106">
        <v>0</v>
      </c>
      <c r="AU124" s="106">
        <v>0</v>
      </c>
      <c r="AV124" s="106">
        <v>0</v>
      </c>
      <c r="AW124" s="106">
        <v>0</v>
      </c>
      <c r="AX124" s="106">
        <v>0</v>
      </c>
      <c r="AY124" s="106">
        <v>0</v>
      </c>
    </row>
    <row r="125" spans="1:52">
      <c r="A125" s="109"/>
      <c r="B125" s="119">
        <v>4</v>
      </c>
      <c r="C125" s="106">
        <v>0</v>
      </c>
      <c r="D125" s="106">
        <v>0</v>
      </c>
      <c r="E125" s="106">
        <v>0</v>
      </c>
      <c r="F125" s="106">
        <v>0</v>
      </c>
      <c r="G125" s="106">
        <v>0</v>
      </c>
      <c r="H125" s="106">
        <v>0</v>
      </c>
      <c r="I125" s="106">
        <v>0</v>
      </c>
      <c r="J125" s="106">
        <v>0</v>
      </c>
      <c r="K125" s="106">
        <v>0</v>
      </c>
      <c r="L125" s="106">
        <v>0</v>
      </c>
      <c r="M125" s="106">
        <v>0</v>
      </c>
      <c r="N125" s="106">
        <v>0</v>
      </c>
      <c r="O125" s="106">
        <v>0</v>
      </c>
      <c r="P125" s="106">
        <v>0</v>
      </c>
      <c r="Q125" s="106">
        <v>0</v>
      </c>
      <c r="R125" s="106">
        <v>0</v>
      </c>
      <c r="S125" s="106">
        <v>0</v>
      </c>
      <c r="T125" s="106">
        <v>0</v>
      </c>
      <c r="U125" s="106">
        <v>0</v>
      </c>
      <c r="V125" s="106">
        <v>0</v>
      </c>
      <c r="W125" s="106">
        <v>0</v>
      </c>
      <c r="X125" s="106">
        <v>0</v>
      </c>
      <c r="Y125" s="106">
        <v>0</v>
      </c>
      <c r="Z125" s="106">
        <v>0</v>
      </c>
      <c r="AA125" s="106">
        <v>0</v>
      </c>
      <c r="AB125" s="106">
        <v>0</v>
      </c>
      <c r="AC125" s="106">
        <v>0</v>
      </c>
      <c r="AD125" s="106">
        <v>0</v>
      </c>
      <c r="AE125" s="106">
        <v>0</v>
      </c>
      <c r="AF125" s="106">
        <v>0</v>
      </c>
      <c r="AG125" s="106">
        <v>0</v>
      </c>
      <c r="AH125" s="106">
        <v>0</v>
      </c>
      <c r="AI125" s="106">
        <v>0</v>
      </c>
      <c r="AJ125" s="106">
        <v>0</v>
      </c>
      <c r="AK125" s="106">
        <v>0</v>
      </c>
      <c r="AL125" s="106">
        <v>0</v>
      </c>
      <c r="AM125" s="106">
        <v>0</v>
      </c>
      <c r="AN125" s="106">
        <v>0</v>
      </c>
      <c r="AO125" s="106">
        <v>0</v>
      </c>
      <c r="AP125" s="106">
        <v>0</v>
      </c>
      <c r="AQ125" s="106">
        <v>0</v>
      </c>
      <c r="AR125" s="106">
        <v>0</v>
      </c>
      <c r="AS125" s="106">
        <v>0</v>
      </c>
      <c r="AT125" s="106">
        <v>0</v>
      </c>
      <c r="AU125" s="106">
        <v>0</v>
      </c>
      <c r="AV125" s="106">
        <v>0</v>
      </c>
      <c r="AW125" s="106">
        <v>0</v>
      </c>
      <c r="AX125" s="106">
        <v>0</v>
      </c>
      <c r="AY125" s="106">
        <v>0</v>
      </c>
    </row>
    <row r="126" spans="1:52">
      <c r="A126" s="109"/>
      <c r="B126" s="119">
        <v>5</v>
      </c>
      <c r="C126" s="106">
        <v>0</v>
      </c>
      <c r="D126" s="106">
        <v>0</v>
      </c>
      <c r="E126" s="106">
        <v>0</v>
      </c>
      <c r="F126" s="106">
        <v>0</v>
      </c>
      <c r="G126" s="106">
        <v>0</v>
      </c>
      <c r="H126" s="106">
        <v>0</v>
      </c>
      <c r="I126" s="106">
        <v>0</v>
      </c>
      <c r="J126" s="106">
        <v>0</v>
      </c>
      <c r="K126" s="106">
        <v>0</v>
      </c>
      <c r="L126" s="106">
        <v>0</v>
      </c>
      <c r="M126" s="106">
        <v>0</v>
      </c>
      <c r="N126" s="106">
        <v>0</v>
      </c>
      <c r="O126" s="106">
        <v>0</v>
      </c>
      <c r="P126" s="106">
        <v>0</v>
      </c>
      <c r="Q126" s="106">
        <v>0</v>
      </c>
      <c r="R126" s="106">
        <v>0</v>
      </c>
      <c r="S126" s="106">
        <v>0</v>
      </c>
      <c r="T126" s="106">
        <v>0</v>
      </c>
      <c r="U126" s="106">
        <v>0</v>
      </c>
      <c r="V126" s="106">
        <v>0</v>
      </c>
      <c r="W126" s="106">
        <v>0</v>
      </c>
      <c r="X126" s="106">
        <v>0</v>
      </c>
      <c r="Y126" s="106">
        <v>0</v>
      </c>
      <c r="Z126" s="106">
        <v>0</v>
      </c>
      <c r="AA126" s="106">
        <v>0</v>
      </c>
      <c r="AB126" s="106">
        <v>0</v>
      </c>
      <c r="AC126" s="106">
        <v>0</v>
      </c>
      <c r="AD126" s="106">
        <v>0</v>
      </c>
      <c r="AE126" s="106">
        <v>0</v>
      </c>
      <c r="AF126" s="106">
        <v>0</v>
      </c>
      <c r="AG126" s="106">
        <v>0</v>
      </c>
      <c r="AH126" s="106">
        <v>0</v>
      </c>
      <c r="AI126" s="106">
        <v>0</v>
      </c>
      <c r="AJ126" s="106">
        <v>0</v>
      </c>
      <c r="AK126" s="106">
        <v>0</v>
      </c>
      <c r="AL126" s="106">
        <v>0</v>
      </c>
      <c r="AM126" s="106">
        <v>0</v>
      </c>
      <c r="AN126" s="106">
        <v>0</v>
      </c>
      <c r="AO126" s="106">
        <v>0</v>
      </c>
      <c r="AP126" s="106">
        <v>0</v>
      </c>
      <c r="AQ126" s="106">
        <v>0</v>
      </c>
      <c r="AR126" s="106">
        <v>0</v>
      </c>
      <c r="AS126" s="106">
        <v>0</v>
      </c>
      <c r="AT126" s="106">
        <v>0</v>
      </c>
      <c r="AU126" s="106">
        <v>0</v>
      </c>
      <c r="AV126" s="106">
        <v>0</v>
      </c>
      <c r="AW126" s="106">
        <v>0</v>
      </c>
      <c r="AX126" s="106">
        <v>0</v>
      </c>
      <c r="AY126" s="106">
        <v>0</v>
      </c>
    </row>
    <row r="127" spans="1:52">
      <c r="A127" s="109"/>
      <c r="B127" s="119">
        <v>6</v>
      </c>
      <c r="C127" s="106">
        <v>0</v>
      </c>
      <c r="D127" s="106">
        <v>0</v>
      </c>
      <c r="E127" s="106">
        <v>0</v>
      </c>
      <c r="F127" s="106">
        <v>0</v>
      </c>
      <c r="G127" s="106">
        <v>0</v>
      </c>
      <c r="H127" s="106">
        <v>0</v>
      </c>
      <c r="I127" s="106">
        <v>0</v>
      </c>
      <c r="J127" s="106">
        <v>0</v>
      </c>
      <c r="K127" s="106">
        <v>0</v>
      </c>
      <c r="L127" s="106">
        <v>0</v>
      </c>
      <c r="M127" s="106">
        <v>0</v>
      </c>
      <c r="N127" s="106">
        <v>0</v>
      </c>
      <c r="O127" s="106">
        <v>0</v>
      </c>
      <c r="P127" s="106">
        <v>0</v>
      </c>
      <c r="Q127" s="106">
        <v>0</v>
      </c>
      <c r="R127" s="106">
        <v>0</v>
      </c>
      <c r="S127" s="106">
        <v>0</v>
      </c>
      <c r="T127" s="106">
        <v>0</v>
      </c>
      <c r="U127" s="106">
        <v>0</v>
      </c>
      <c r="V127" s="106">
        <v>0</v>
      </c>
      <c r="W127" s="106">
        <v>0</v>
      </c>
      <c r="X127" s="106">
        <v>0</v>
      </c>
      <c r="Y127" s="106">
        <v>0</v>
      </c>
      <c r="Z127" s="106">
        <v>0</v>
      </c>
      <c r="AA127" s="106">
        <v>0</v>
      </c>
      <c r="AB127" s="106">
        <v>0</v>
      </c>
      <c r="AC127" s="106">
        <v>0</v>
      </c>
      <c r="AD127" s="106">
        <v>0</v>
      </c>
      <c r="AE127" s="106">
        <v>0</v>
      </c>
      <c r="AF127" s="106">
        <v>0</v>
      </c>
      <c r="AG127" s="106">
        <v>0</v>
      </c>
      <c r="AH127" s="106">
        <v>0</v>
      </c>
      <c r="AI127" s="106">
        <v>0</v>
      </c>
      <c r="AJ127" s="106">
        <v>0</v>
      </c>
      <c r="AK127" s="106">
        <v>0</v>
      </c>
      <c r="AL127" s="106">
        <v>0</v>
      </c>
      <c r="AM127" s="106">
        <v>0</v>
      </c>
      <c r="AN127" s="106">
        <v>0</v>
      </c>
      <c r="AO127" s="106">
        <v>0</v>
      </c>
      <c r="AP127" s="106">
        <v>0</v>
      </c>
      <c r="AQ127" s="106">
        <v>0</v>
      </c>
      <c r="AR127" s="106">
        <v>0</v>
      </c>
      <c r="AS127" s="106">
        <v>0</v>
      </c>
      <c r="AT127" s="106">
        <v>0</v>
      </c>
      <c r="AU127" s="106">
        <v>0</v>
      </c>
      <c r="AV127" s="106">
        <v>0</v>
      </c>
      <c r="AW127" s="106">
        <v>0</v>
      </c>
      <c r="AX127" s="106">
        <v>0</v>
      </c>
      <c r="AY127" s="106">
        <v>0</v>
      </c>
    </row>
    <row r="128" spans="1:52">
      <c r="A128" s="109"/>
      <c r="B128" s="119">
        <v>7</v>
      </c>
      <c r="C128" s="106">
        <v>0</v>
      </c>
      <c r="D128" s="106">
        <v>0</v>
      </c>
      <c r="E128" s="106">
        <v>0</v>
      </c>
      <c r="F128" s="106">
        <v>0</v>
      </c>
      <c r="G128" s="106">
        <v>0</v>
      </c>
      <c r="H128" s="106">
        <v>0</v>
      </c>
      <c r="I128" s="106">
        <v>0</v>
      </c>
      <c r="J128" s="106">
        <v>0</v>
      </c>
      <c r="K128" s="106">
        <v>0</v>
      </c>
      <c r="L128" s="106">
        <v>0</v>
      </c>
      <c r="M128" s="106">
        <v>0</v>
      </c>
      <c r="N128" s="106">
        <v>0</v>
      </c>
      <c r="O128" s="106">
        <v>0</v>
      </c>
      <c r="P128" s="106">
        <v>0</v>
      </c>
      <c r="Q128" s="106">
        <v>0</v>
      </c>
      <c r="R128" s="106">
        <v>0</v>
      </c>
      <c r="S128" s="106">
        <v>0</v>
      </c>
      <c r="T128" s="106">
        <v>0</v>
      </c>
      <c r="U128" s="106">
        <v>0</v>
      </c>
      <c r="V128" s="106">
        <v>0</v>
      </c>
      <c r="W128" s="106">
        <v>0</v>
      </c>
      <c r="X128" s="106">
        <v>0</v>
      </c>
      <c r="Y128" s="106">
        <v>0</v>
      </c>
      <c r="Z128" s="106">
        <v>0</v>
      </c>
      <c r="AA128" s="106">
        <v>0</v>
      </c>
      <c r="AB128" s="106">
        <v>0</v>
      </c>
      <c r="AC128" s="106">
        <v>0</v>
      </c>
      <c r="AD128" s="106">
        <v>0</v>
      </c>
      <c r="AE128" s="106">
        <v>0</v>
      </c>
      <c r="AF128" s="106">
        <v>0</v>
      </c>
      <c r="AG128" s="106">
        <v>0</v>
      </c>
      <c r="AH128" s="106">
        <v>0</v>
      </c>
      <c r="AI128" s="106">
        <v>0</v>
      </c>
      <c r="AJ128" s="106">
        <v>0</v>
      </c>
      <c r="AK128" s="106">
        <v>0</v>
      </c>
      <c r="AL128" s="106">
        <v>0</v>
      </c>
      <c r="AM128" s="106">
        <v>0</v>
      </c>
      <c r="AN128" s="106">
        <v>0</v>
      </c>
      <c r="AO128" s="106">
        <v>0</v>
      </c>
      <c r="AP128" s="106">
        <v>0</v>
      </c>
      <c r="AQ128" s="106">
        <v>0</v>
      </c>
      <c r="AR128" s="106">
        <v>0</v>
      </c>
      <c r="AS128" s="106">
        <v>0</v>
      </c>
      <c r="AT128" s="106">
        <v>0</v>
      </c>
      <c r="AU128" s="106">
        <v>0</v>
      </c>
      <c r="AV128" s="106">
        <v>0</v>
      </c>
      <c r="AW128" s="106">
        <v>0</v>
      </c>
      <c r="AX128" s="106">
        <v>0</v>
      </c>
      <c r="AY128" s="106">
        <v>0</v>
      </c>
    </row>
    <row r="129" spans="1:51">
      <c r="A129" s="109"/>
      <c r="B129" s="119">
        <v>8</v>
      </c>
      <c r="C129" s="106">
        <v>0</v>
      </c>
      <c r="D129" s="106">
        <v>0</v>
      </c>
      <c r="E129" s="106">
        <v>0</v>
      </c>
      <c r="F129" s="106">
        <v>0</v>
      </c>
      <c r="G129" s="106">
        <v>0</v>
      </c>
      <c r="H129" s="106">
        <v>0</v>
      </c>
      <c r="I129" s="106">
        <v>0</v>
      </c>
      <c r="J129" s="106">
        <v>0</v>
      </c>
      <c r="K129" s="106">
        <v>0</v>
      </c>
      <c r="L129" s="106">
        <v>0</v>
      </c>
      <c r="M129" s="106">
        <v>0</v>
      </c>
      <c r="N129" s="106">
        <v>0</v>
      </c>
      <c r="O129" s="106">
        <v>0</v>
      </c>
      <c r="P129" s="106">
        <v>0</v>
      </c>
      <c r="Q129" s="106">
        <v>0</v>
      </c>
      <c r="R129" s="106">
        <v>0</v>
      </c>
      <c r="S129" s="106">
        <v>0</v>
      </c>
      <c r="T129" s="106">
        <v>0</v>
      </c>
      <c r="U129" s="106">
        <v>0</v>
      </c>
      <c r="V129" s="106">
        <v>0</v>
      </c>
      <c r="W129" s="106">
        <v>0</v>
      </c>
      <c r="X129" s="106">
        <v>0</v>
      </c>
      <c r="Y129" s="106">
        <v>0</v>
      </c>
      <c r="Z129" s="106">
        <v>0</v>
      </c>
      <c r="AA129" s="106">
        <v>0</v>
      </c>
      <c r="AB129" s="106">
        <v>0</v>
      </c>
      <c r="AC129" s="106">
        <v>0</v>
      </c>
      <c r="AD129" s="106">
        <v>0</v>
      </c>
      <c r="AE129" s="106">
        <v>0</v>
      </c>
      <c r="AF129" s="106">
        <v>0</v>
      </c>
      <c r="AG129" s="106">
        <v>0</v>
      </c>
      <c r="AH129" s="106">
        <v>0</v>
      </c>
      <c r="AI129" s="106">
        <v>0</v>
      </c>
      <c r="AJ129" s="106">
        <v>0</v>
      </c>
      <c r="AK129" s="106">
        <v>0</v>
      </c>
      <c r="AL129" s="106">
        <v>0</v>
      </c>
      <c r="AM129" s="106">
        <v>0</v>
      </c>
      <c r="AN129" s="106">
        <v>0</v>
      </c>
      <c r="AO129" s="106">
        <v>0</v>
      </c>
      <c r="AP129" s="106">
        <v>0</v>
      </c>
      <c r="AQ129" s="106">
        <v>0</v>
      </c>
      <c r="AR129" s="106">
        <v>0</v>
      </c>
      <c r="AS129" s="106">
        <v>0</v>
      </c>
      <c r="AT129" s="106">
        <v>0</v>
      </c>
      <c r="AU129" s="106">
        <v>0</v>
      </c>
      <c r="AV129" s="106">
        <v>0</v>
      </c>
      <c r="AW129" s="106">
        <v>0</v>
      </c>
      <c r="AX129" s="106">
        <v>0</v>
      </c>
      <c r="AY129" s="106">
        <v>0</v>
      </c>
    </row>
    <row r="130" spans="1:51">
      <c r="A130" s="109"/>
      <c r="B130" s="119">
        <v>9</v>
      </c>
      <c r="C130" s="106">
        <v>0</v>
      </c>
      <c r="D130" s="106">
        <v>0</v>
      </c>
      <c r="E130" s="106">
        <v>0</v>
      </c>
      <c r="F130" s="106">
        <v>0</v>
      </c>
      <c r="G130" s="106">
        <v>0</v>
      </c>
      <c r="H130" s="106">
        <v>0</v>
      </c>
      <c r="I130" s="106">
        <v>0</v>
      </c>
      <c r="J130" s="106">
        <v>0</v>
      </c>
      <c r="K130" s="106">
        <v>0</v>
      </c>
      <c r="L130" s="106">
        <v>0</v>
      </c>
      <c r="M130" s="106">
        <v>0</v>
      </c>
      <c r="N130" s="106">
        <v>0</v>
      </c>
      <c r="O130" s="106">
        <v>0</v>
      </c>
      <c r="P130" s="106">
        <v>0</v>
      </c>
      <c r="Q130" s="106">
        <v>0</v>
      </c>
      <c r="R130" s="106">
        <v>0</v>
      </c>
      <c r="S130" s="106">
        <v>0</v>
      </c>
      <c r="T130" s="106">
        <v>0</v>
      </c>
      <c r="U130" s="106">
        <v>0</v>
      </c>
      <c r="V130" s="106">
        <v>0</v>
      </c>
      <c r="W130" s="106">
        <v>0</v>
      </c>
      <c r="X130" s="106">
        <v>0</v>
      </c>
      <c r="Y130" s="106">
        <v>0</v>
      </c>
      <c r="Z130" s="106">
        <v>0</v>
      </c>
      <c r="AA130" s="106">
        <v>0</v>
      </c>
      <c r="AB130" s="106">
        <v>0</v>
      </c>
      <c r="AC130" s="106">
        <v>0</v>
      </c>
      <c r="AD130" s="106">
        <v>0</v>
      </c>
      <c r="AE130" s="106">
        <v>0</v>
      </c>
      <c r="AF130" s="106">
        <v>0</v>
      </c>
      <c r="AG130" s="106">
        <v>0</v>
      </c>
      <c r="AH130" s="106">
        <v>0</v>
      </c>
      <c r="AI130" s="106">
        <v>0</v>
      </c>
      <c r="AJ130" s="106">
        <v>0</v>
      </c>
      <c r="AK130" s="106">
        <v>0</v>
      </c>
      <c r="AL130" s="106">
        <v>0</v>
      </c>
      <c r="AM130" s="106">
        <v>0</v>
      </c>
      <c r="AN130" s="106">
        <v>0</v>
      </c>
      <c r="AO130" s="106">
        <v>0</v>
      </c>
      <c r="AP130" s="106">
        <v>0</v>
      </c>
      <c r="AQ130" s="106">
        <v>0</v>
      </c>
      <c r="AR130" s="106">
        <v>0</v>
      </c>
      <c r="AS130" s="106">
        <v>0</v>
      </c>
      <c r="AT130" s="106">
        <v>0</v>
      </c>
      <c r="AU130" s="106">
        <v>0</v>
      </c>
      <c r="AV130" s="106">
        <v>0</v>
      </c>
      <c r="AW130" s="106">
        <v>0</v>
      </c>
      <c r="AX130" s="106">
        <v>0</v>
      </c>
      <c r="AY130" s="106">
        <v>0</v>
      </c>
    </row>
    <row r="131" spans="1:51">
      <c r="A131" s="109"/>
      <c r="B131" s="119">
        <v>10</v>
      </c>
      <c r="C131" s="106">
        <v>0</v>
      </c>
      <c r="D131" s="106">
        <v>0</v>
      </c>
      <c r="E131" s="106">
        <v>0</v>
      </c>
      <c r="F131" s="106">
        <v>0</v>
      </c>
      <c r="G131" s="106">
        <v>0</v>
      </c>
      <c r="H131" s="106">
        <v>0</v>
      </c>
      <c r="I131" s="106">
        <v>0</v>
      </c>
      <c r="J131" s="106">
        <v>0</v>
      </c>
      <c r="K131" s="106">
        <v>0</v>
      </c>
      <c r="L131" s="106">
        <v>0</v>
      </c>
      <c r="M131" s="106">
        <v>0</v>
      </c>
      <c r="N131" s="106">
        <v>0</v>
      </c>
      <c r="O131" s="106">
        <v>0</v>
      </c>
      <c r="P131" s="106">
        <v>0</v>
      </c>
      <c r="Q131" s="106">
        <v>0</v>
      </c>
      <c r="R131" s="106">
        <v>0</v>
      </c>
      <c r="S131" s="106">
        <v>0</v>
      </c>
      <c r="T131" s="106">
        <v>0</v>
      </c>
      <c r="U131" s="106">
        <v>0</v>
      </c>
      <c r="V131" s="106">
        <v>0</v>
      </c>
      <c r="W131" s="106">
        <v>0</v>
      </c>
      <c r="X131" s="106">
        <v>0</v>
      </c>
      <c r="Y131" s="106">
        <v>0</v>
      </c>
      <c r="Z131" s="106">
        <v>0</v>
      </c>
      <c r="AA131" s="106">
        <v>0</v>
      </c>
      <c r="AB131" s="106">
        <v>0</v>
      </c>
      <c r="AC131" s="106">
        <v>0</v>
      </c>
      <c r="AD131" s="106">
        <v>0</v>
      </c>
      <c r="AE131" s="106">
        <v>0</v>
      </c>
      <c r="AF131" s="106">
        <v>0</v>
      </c>
      <c r="AG131" s="106">
        <v>0</v>
      </c>
      <c r="AH131" s="106">
        <v>0</v>
      </c>
      <c r="AI131" s="106">
        <v>0</v>
      </c>
      <c r="AJ131" s="106">
        <v>0</v>
      </c>
      <c r="AK131" s="106">
        <v>0</v>
      </c>
      <c r="AL131" s="106">
        <v>0</v>
      </c>
      <c r="AM131" s="106">
        <v>0</v>
      </c>
      <c r="AN131" s="106">
        <v>0</v>
      </c>
      <c r="AO131" s="106">
        <v>0</v>
      </c>
      <c r="AP131" s="106">
        <v>0</v>
      </c>
      <c r="AQ131" s="106">
        <v>0</v>
      </c>
      <c r="AR131" s="106">
        <v>0</v>
      </c>
      <c r="AS131" s="106">
        <v>0</v>
      </c>
      <c r="AT131" s="106">
        <v>0</v>
      </c>
      <c r="AU131" s="106">
        <v>0</v>
      </c>
      <c r="AV131" s="106">
        <v>0</v>
      </c>
      <c r="AW131" s="106">
        <v>0</v>
      </c>
      <c r="AX131" s="106">
        <v>0</v>
      </c>
      <c r="AY131" s="106">
        <v>0</v>
      </c>
    </row>
    <row r="132" spans="1:51">
      <c r="A132" s="109"/>
      <c r="B132" s="119">
        <v>11</v>
      </c>
      <c r="C132" s="106">
        <v>0</v>
      </c>
      <c r="D132" s="106">
        <v>0</v>
      </c>
      <c r="E132" s="106">
        <v>0</v>
      </c>
      <c r="F132" s="106">
        <v>0</v>
      </c>
      <c r="G132" s="106">
        <v>0</v>
      </c>
      <c r="H132" s="106">
        <v>0</v>
      </c>
      <c r="I132" s="106">
        <v>0</v>
      </c>
      <c r="J132" s="106">
        <v>0</v>
      </c>
      <c r="K132" s="106">
        <v>0</v>
      </c>
      <c r="L132" s="106">
        <v>0</v>
      </c>
      <c r="M132" s="106">
        <v>0</v>
      </c>
      <c r="N132" s="106">
        <v>0</v>
      </c>
      <c r="O132" s="106">
        <v>0</v>
      </c>
      <c r="P132" s="106">
        <v>0</v>
      </c>
      <c r="Q132" s="106">
        <v>0</v>
      </c>
      <c r="R132" s="106">
        <v>0</v>
      </c>
      <c r="S132" s="106">
        <v>0</v>
      </c>
      <c r="T132" s="106">
        <v>0</v>
      </c>
      <c r="U132" s="106">
        <v>0</v>
      </c>
      <c r="V132" s="106">
        <v>0</v>
      </c>
      <c r="W132" s="106">
        <v>0</v>
      </c>
      <c r="X132" s="106">
        <v>0</v>
      </c>
      <c r="Y132" s="106">
        <v>0</v>
      </c>
      <c r="Z132" s="106">
        <v>0</v>
      </c>
      <c r="AA132" s="106">
        <v>0</v>
      </c>
      <c r="AB132" s="106">
        <v>0</v>
      </c>
      <c r="AC132" s="106">
        <v>0</v>
      </c>
      <c r="AD132" s="106">
        <v>0</v>
      </c>
      <c r="AE132" s="106">
        <v>0</v>
      </c>
      <c r="AF132" s="106">
        <v>0</v>
      </c>
      <c r="AG132" s="106">
        <v>0</v>
      </c>
      <c r="AH132" s="106">
        <v>0</v>
      </c>
      <c r="AI132" s="106">
        <v>0</v>
      </c>
      <c r="AJ132" s="106">
        <v>0</v>
      </c>
      <c r="AK132" s="106">
        <v>0</v>
      </c>
      <c r="AL132" s="106">
        <v>0</v>
      </c>
      <c r="AM132" s="106">
        <v>0</v>
      </c>
      <c r="AN132" s="106">
        <v>0</v>
      </c>
      <c r="AO132" s="106">
        <v>0</v>
      </c>
      <c r="AP132" s="106">
        <v>0</v>
      </c>
      <c r="AQ132" s="106">
        <v>0</v>
      </c>
      <c r="AR132" s="106">
        <v>0</v>
      </c>
      <c r="AS132" s="106">
        <v>0</v>
      </c>
      <c r="AT132" s="106">
        <v>0</v>
      </c>
      <c r="AU132" s="106">
        <v>0</v>
      </c>
      <c r="AV132" s="106">
        <v>0</v>
      </c>
      <c r="AW132" s="106">
        <v>0</v>
      </c>
      <c r="AX132" s="106">
        <v>0</v>
      </c>
      <c r="AY132" s="106">
        <v>0</v>
      </c>
    </row>
    <row r="133" spans="1:51">
      <c r="A133" s="109"/>
      <c r="B133" s="119">
        <v>12</v>
      </c>
      <c r="C133" s="106">
        <v>0</v>
      </c>
      <c r="D133" s="106">
        <v>0</v>
      </c>
      <c r="E133" s="106">
        <v>0</v>
      </c>
      <c r="F133" s="106">
        <v>0</v>
      </c>
      <c r="G133" s="106">
        <v>0</v>
      </c>
      <c r="H133" s="106">
        <v>0</v>
      </c>
      <c r="I133" s="106">
        <v>0</v>
      </c>
      <c r="J133" s="106">
        <v>0</v>
      </c>
      <c r="K133" s="106">
        <v>0</v>
      </c>
      <c r="L133" s="106">
        <v>0</v>
      </c>
      <c r="M133" s="106">
        <v>0</v>
      </c>
      <c r="N133" s="106">
        <v>0</v>
      </c>
      <c r="O133" s="106">
        <v>0</v>
      </c>
      <c r="P133" s="106">
        <v>0</v>
      </c>
      <c r="Q133" s="106">
        <v>0</v>
      </c>
      <c r="R133" s="106">
        <v>0</v>
      </c>
      <c r="S133" s="106">
        <v>0</v>
      </c>
      <c r="T133" s="106">
        <v>0</v>
      </c>
      <c r="U133" s="106">
        <v>0</v>
      </c>
      <c r="V133" s="106">
        <v>0</v>
      </c>
      <c r="W133" s="106">
        <v>0</v>
      </c>
      <c r="X133" s="106">
        <v>0</v>
      </c>
      <c r="Y133" s="106">
        <v>0</v>
      </c>
      <c r="Z133" s="106">
        <v>0</v>
      </c>
      <c r="AA133" s="106">
        <v>0</v>
      </c>
      <c r="AB133" s="106">
        <v>0</v>
      </c>
      <c r="AC133" s="106">
        <v>0</v>
      </c>
      <c r="AD133" s="106">
        <v>0</v>
      </c>
      <c r="AE133" s="106">
        <v>0</v>
      </c>
      <c r="AF133" s="106">
        <v>0</v>
      </c>
      <c r="AG133" s="106">
        <v>0</v>
      </c>
      <c r="AH133" s="106">
        <v>0</v>
      </c>
      <c r="AI133" s="106">
        <v>0</v>
      </c>
      <c r="AJ133" s="106">
        <v>0</v>
      </c>
      <c r="AK133" s="106">
        <v>0</v>
      </c>
      <c r="AL133" s="106">
        <v>0</v>
      </c>
      <c r="AM133" s="106">
        <v>0</v>
      </c>
      <c r="AN133" s="106">
        <v>0</v>
      </c>
      <c r="AO133" s="106">
        <v>0</v>
      </c>
      <c r="AP133" s="106">
        <v>0</v>
      </c>
      <c r="AQ133" s="106">
        <v>0</v>
      </c>
      <c r="AR133" s="106">
        <v>0</v>
      </c>
      <c r="AS133" s="106">
        <v>0</v>
      </c>
      <c r="AT133" s="106">
        <v>0</v>
      </c>
      <c r="AU133" s="106">
        <v>0</v>
      </c>
      <c r="AV133" s="106">
        <v>0</v>
      </c>
      <c r="AW133" s="106">
        <v>0</v>
      </c>
      <c r="AX133" s="106">
        <v>0</v>
      </c>
      <c r="AY133" s="106">
        <v>0</v>
      </c>
    </row>
    <row r="134" spans="1:51">
      <c r="A134" s="109"/>
      <c r="B134" s="120">
        <v>13</v>
      </c>
      <c r="C134" s="106">
        <v>0</v>
      </c>
      <c r="D134" s="106">
        <v>0</v>
      </c>
      <c r="E134" s="106">
        <v>0</v>
      </c>
      <c r="F134" s="106">
        <v>0</v>
      </c>
      <c r="G134" s="106">
        <v>0</v>
      </c>
      <c r="H134" s="106">
        <v>0</v>
      </c>
      <c r="I134" s="106">
        <v>0</v>
      </c>
      <c r="J134" s="106">
        <v>0</v>
      </c>
      <c r="K134" s="106">
        <v>0</v>
      </c>
      <c r="L134" s="106">
        <v>0</v>
      </c>
      <c r="M134" s="106">
        <v>0</v>
      </c>
      <c r="N134" s="106">
        <v>0</v>
      </c>
      <c r="O134" s="106">
        <v>0</v>
      </c>
      <c r="P134" s="106">
        <v>0</v>
      </c>
      <c r="Q134" s="106">
        <v>0</v>
      </c>
      <c r="R134" s="106">
        <v>0</v>
      </c>
      <c r="S134" s="106">
        <v>0</v>
      </c>
      <c r="T134" s="106">
        <v>0</v>
      </c>
      <c r="U134" s="106">
        <v>0</v>
      </c>
      <c r="V134" s="106">
        <v>0</v>
      </c>
      <c r="W134" s="106">
        <v>0</v>
      </c>
      <c r="X134" s="106">
        <v>0</v>
      </c>
      <c r="Y134" s="106">
        <v>0</v>
      </c>
      <c r="Z134" s="106">
        <v>0</v>
      </c>
      <c r="AA134" s="106">
        <v>0</v>
      </c>
      <c r="AB134" s="106">
        <v>0</v>
      </c>
      <c r="AC134" s="106">
        <v>0</v>
      </c>
      <c r="AD134" s="106">
        <v>0</v>
      </c>
      <c r="AE134" s="106">
        <v>0</v>
      </c>
      <c r="AF134" s="106">
        <v>0</v>
      </c>
      <c r="AG134" s="106">
        <v>0</v>
      </c>
      <c r="AH134" s="106">
        <v>0</v>
      </c>
      <c r="AI134" s="106">
        <v>0</v>
      </c>
      <c r="AJ134" s="106">
        <v>0</v>
      </c>
      <c r="AK134" s="106">
        <v>0</v>
      </c>
      <c r="AL134" s="106">
        <v>0</v>
      </c>
      <c r="AM134" s="106">
        <v>0</v>
      </c>
      <c r="AN134" s="106">
        <v>0</v>
      </c>
      <c r="AO134" s="106">
        <v>0</v>
      </c>
      <c r="AP134" s="106">
        <v>0</v>
      </c>
      <c r="AQ134" s="106">
        <v>0</v>
      </c>
      <c r="AR134" s="106">
        <v>0</v>
      </c>
      <c r="AS134" s="106">
        <v>0</v>
      </c>
      <c r="AT134" s="106">
        <v>0</v>
      </c>
      <c r="AU134" s="106">
        <v>0</v>
      </c>
      <c r="AV134" s="106">
        <v>0</v>
      </c>
      <c r="AW134" s="106">
        <v>0</v>
      </c>
      <c r="AX134" s="106">
        <v>0</v>
      </c>
      <c r="AY134" s="106">
        <v>0</v>
      </c>
    </row>
    <row r="135" spans="1:51">
      <c r="A135" s="109"/>
      <c r="B135" s="120">
        <v>14</v>
      </c>
      <c r="C135" s="106">
        <v>0</v>
      </c>
      <c r="D135" s="106">
        <v>0</v>
      </c>
      <c r="E135" s="106">
        <v>0</v>
      </c>
      <c r="F135" s="106">
        <v>0</v>
      </c>
      <c r="G135" s="106">
        <v>0</v>
      </c>
      <c r="H135" s="106">
        <v>0</v>
      </c>
      <c r="I135" s="106">
        <v>0</v>
      </c>
      <c r="J135" s="106">
        <v>0</v>
      </c>
      <c r="K135" s="106">
        <v>0</v>
      </c>
      <c r="L135" s="106">
        <v>0</v>
      </c>
      <c r="M135" s="106">
        <v>0</v>
      </c>
      <c r="N135" s="106">
        <v>0</v>
      </c>
      <c r="O135" s="106">
        <v>0</v>
      </c>
      <c r="P135" s="106">
        <v>0</v>
      </c>
      <c r="Q135" s="106">
        <v>0</v>
      </c>
      <c r="R135" s="106">
        <v>0</v>
      </c>
      <c r="S135" s="106">
        <v>0</v>
      </c>
      <c r="T135" s="106">
        <v>0</v>
      </c>
      <c r="U135" s="106">
        <v>0</v>
      </c>
      <c r="V135" s="106">
        <v>0</v>
      </c>
      <c r="W135" s="106">
        <v>0</v>
      </c>
      <c r="X135" s="106">
        <v>0</v>
      </c>
      <c r="Y135" s="106">
        <v>0</v>
      </c>
      <c r="Z135" s="106">
        <v>0</v>
      </c>
      <c r="AA135" s="106">
        <v>0</v>
      </c>
      <c r="AB135" s="106">
        <v>0</v>
      </c>
      <c r="AC135" s="106">
        <v>0</v>
      </c>
      <c r="AD135" s="106">
        <v>0</v>
      </c>
      <c r="AE135" s="106">
        <v>0</v>
      </c>
      <c r="AF135" s="106">
        <v>0</v>
      </c>
      <c r="AG135" s="106">
        <v>0</v>
      </c>
      <c r="AH135" s="106">
        <v>0</v>
      </c>
      <c r="AI135" s="106">
        <v>0</v>
      </c>
      <c r="AJ135" s="106">
        <v>0</v>
      </c>
      <c r="AK135" s="106">
        <v>0</v>
      </c>
      <c r="AL135" s="106">
        <v>0</v>
      </c>
      <c r="AM135" s="106">
        <v>0</v>
      </c>
      <c r="AN135" s="106">
        <v>0</v>
      </c>
      <c r="AO135" s="106">
        <v>0</v>
      </c>
      <c r="AP135" s="106">
        <v>0</v>
      </c>
      <c r="AQ135" s="106">
        <v>0</v>
      </c>
      <c r="AR135" s="106">
        <v>0</v>
      </c>
      <c r="AS135" s="106">
        <v>0</v>
      </c>
      <c r="AT135" s="106">
        <v>0</v>
      </c>
      <c r="AU135" s="106">
        <v>0</v>
      </c>
      <c r="AV135" s="106">
        <v>0</v>
      </c>
      <c r="AW135" s="106">
        <v>0</v>
      </c>
      <c r="AX135" s="106">
        <v>0</v>
      </c>
      <c r="AY135" s="106">
        <v>0</v>
      </c>
    </row>
    <row r="136" spans="1:51">
      <c r="A136" s="109"/>
      <c r="B136" s="120">
        <v>15</v>
      </c>
      <c r="C136" s="106">
        <v>0</v>
      </c>
      <c r="D136" s="106">
        <v>0</v>
      </c>
      <c r="E136" s="106">
        <v>0</v>
      </c>
      <c r="F136" s="106">
        <v>0</v>
      </c>
      <c r="G136" s="106">
        <v>0</v>
      </c>
      <c r="H136" s="106">
        <v>0</v>
      </c>
      <c r="I136" s="106">
        <v>0</v>
      </c>
      <c r="J136" s="106">
        <v>0</v>
      </c>
      <c r="K136" s="106">
        <v>0</v>
      </c>
      <c r="L136" s="106">
        <v>0</v>
      </c>
      <c r="M136" s="106">
        <v>0</v>
      </c>
      <c r="N136" s="106">
        <v>0</v>
      </c>
      <c r="O136" s="106">
        <v>0</v>
      </c>
      <c r="P136" s="106">
        <v>0</v>
      </c>
      <c r="Q136" s="106">
        <v>0</v>
      </c>
      <c r="R136" s="106">
        <v>0</v>
      </c>
      <c r="S136" s="106">
        <v>0</v>
      </c>
      <c r="T136" s="106">
        <v>0</v>
      </c>
      <c r="U136" s="106">
        <v>0</v>
      </c>
      <c r="V136" s="106">
        <v>0</v>
      </c>
      <c r="W136" s="106">
        <v>0</v>
      </c>
      <c r="X136" s="106">
        <v>0</v>
      </c>
      <c r="Y136" s="106">
        <v>0</v>
      </c>
      <c r="Z136" s="106">
        <v>0</v>
      </c>
      <c r="AA136" s="106">
        <v>0</v>
      </c>
      <c r="AB136" s="106">
        <v>0</v>
      </c>
      <c r="AC136" s="106">
        <v>0</v>
      </c>
      <c r="AD136" s="106">
        <v>0</v>
      </c>
      <c r="AE136" s="106">
        <v>0</v>
      </c>
      <c r="AF136" s="106">
        <v>0</v>
      </c>
      <c r="AG136" s="106">
        <v>0</v>
      </c>
      <c r="AH136" s="106">
        <v>0</v>
      </c>
      <c r="AI136" s="106">
        <v>0</v>
      </c>
      <c r="AJ136" s="106">
        <v>0</v>
      </c>
      <c r="AK136" s="106">
        <v>0</v>
      </c>
      <c r="AL136" s="106">
        <v>0</v>
      </c>
      <c r="AM136" s="106">
        <v>0</v>
      </c>
      <c r="AN136" s="106">
        <v>0</v>
      </c>
      <c r="AO136" s="106">
        <v>0</v>
      </c>
      <c r="AP136" s="106">
        <v>0</v>
      </c>
      <c r="AQ136" s="106">
        <v>0</v>
      </c>
      <c r="AR136" s="106">
        <v>0</v>
      </c>
      <c r="AS136" s="106">
        <v>0</v>
      </c>
      <c r="AT136" s="106">
        <v>0</v>
      </c>
      <c r="AU136" s="106">
        <v>0</v>
      </c>
      <c r="AV136" s="106">
        <v>0</v>
      </c>
      <c r="AW136" s="106">
        <v>0</v>
      </c>
      <c r="AX136" s="106">
        <v>0</v>
      </c>
      <c r="AY136" s="106">
        <v>0</v>
      </c>
    </row>
    <row r="137" spans="1:51">
      <c r="A137" s="109"/>
      <c r="B137" s="120">
        <v>16</v>
      </c>
      <c r="C137" s="106">
        <v>0</v>
      </c>
      <c r="D137" s="106">
        <v>0</v>
      </c>
      <c r="E137" s="106">
        <v>0</v>
      </c>
      <c r="F137" s="106">
        <v>0</v>
      </c>
      <c r="G137" s="106">
        <v>0</v>
      </c>
      <c r="H137" s="106">
        <v>0</v>
      </c>
      <c r="I137" s="106">
        <v>0</v>
      </c>
      <c r="J137" s="106">
        <v>0</v>
      </c>
      <c r="K137" s="106">
        <v>0</v>
      </c>
      <c r="L137" s="106">
        <v>0</v>
      </c>
      <c r="M137" s="106">
        <v>0</v>
      </c>
      <c r="N137" s="106">
        <v>0</v>
      </c>
      <c r="O137" s="106">
        <v>0</v>
      </c>
      <c r="P137" s="106">
        <v>0</v>
      </c>
      <c r="Q137" s="106">
        <v>0</v>
      </c>
      <c r="R137" s="106">
        <v>0</v>
      </c>
      <c r="S137" s="106">
        <v>0</v>
      </c>
      <c r="T137" s="106">
        <v>0</v>
      </c>
      <c r="U137" s="106">
        <v>0</v>
      </c>
      <c r="V137" s="106">
        <v>0</v>
      </c>
      <c r="W137" s="106">
        <v>0</v>
      </c>
      <c r="X137" s="106">
        <v>0</v>
      </c>
      <c r="Y137" s="106">
        <v>0</v>
      </c>
      <c r="Z137" s="106">
        <v>0</v>
      </c>
      <c r="AA137" s="106">
        <v>0</v>
      </c>
      <c r="AB137" s="106">
        <v>0</v>
      </c>
      <c r="AC137" s="106">
        <v>0</v>
      </c>
      <c r="AD137" s="106">
        <v>0</v>
      </c>
      <c r="AE137" s="106">
        <v>0</v>
      </c>
      <c r="AF137" s="106">
        <v>0</v>
      </c>
      <c r="AG137" s="106">
        <v>0</v>
      </c>
      <c r="AH137" s="106">
        <v>0</v>
      </c>
      <c r="AI137" s="106">
        <v>0</v>
      </c>
      <c r="AJ137" s="106">
        <v>0</v>
      </c>
      <c r="AK137" s="106">
        <v>0</v>
      </c>
      <c r="AL137" s="106">
        <v>0</v>
      </c>
      <c r="AM137" s="106">
        <v>0</v>
      </c>
      <c r="AN137" s="106">
        <v>0</v>
      </c>
      <c r="AO137" s="106">
        <v>0</v>
      </c>
      <c r="AP137" s="106">
        <v>0</v>
      </c>
      <c r="AQ137" s="106">
        <v>0</v>
      </c>
      <c r="AR137" s="106">
        <v>0</v>
      </c>
      <c r="AS137" s="106">
        <v>0</v>
      </c>
      <c r="AT137" s="106">
        <v>0</v>
      </c>
      <c r="AU137" s="106">
        <v>0</v>
      </c>
      <c r="AV137" s="106">
        <v>0</v>
      </c>
      <c r="AW137" s="106">
        <v>0</v>
      </c>
      <c r="AX137" s="106">
        <v>0</v>
      </c>
      <c r="AY137" s="106">
        <v>0</v>
      </c>
    </row>
    <row r="138" spans="1:51">
      <c r="A138" s="109"/>
      <c r="B138" s="120">
        <v>17</v>
      </c>
      <c r="C138" s="106">
        <v>0</v>
      </c>
      <c r="D138" s="106">
        <v>0</v>
      </c>
      <c r="E138" s="106">
        <v>0</v>
      </c>
      <c r="F138" s="106">
        <v>0</v>
      </c>
      <c r="G138" s="106">
        <v>0</v>
      </c>
      <c r="H138" s="106">
        <v>0</v>
      </c>
      <c r="I138" s="106">
        <v>0</v>
      </c>
      <c r="J138" s="106">
        <v>0</v>
      </c>
      <c r="K138" s="106">
        <v>0</v>
      </c>
      <c r="L138" s="106">
        <v>0</v>
      </c>
      <c r="M138" s="106">
        <v>0</v>
      </c>
      <c r="N138" s="106">
        <v>0</v>
      </c>
      <c r="O138" s="106">
        <v>0</v>
      </c>
      <c r="P138" s="106">
        <v>0</v>
      </c>
      <c r="Q138" s="106">
        <v>0</v>
      </c>
      <c r="R138" s="106">
        <v>0</v>
      </c>
      <c r="S138" s="106">
        <v>0</v>
      </c>
      <c r="T138" s="106">
        <v>0</v>
      </c>
      <c r="U138" s="106">
        <v>0</v>
      </c>
      <c r="V138" s="106">
        <v>0</v>
      </c>
      <c r="W138" s="106">
        <v>0</v>
      </c>
      <c r="X138" s="106">
        <v>0</v>
      </c>
      <c r="Y138" s="106">
        <v>0</v>
      </c>
      <c r="Z138" s="106">
        <v>0</v>
      </c>
      <c r="AA138" s="106">
        <v>0</v>
      </c>
      <c r="AB138" s="106">
        <v>0</v>
      </c>
      <c r="AC138" s="106">
        <v>0</v>
      </c>
      <c r="AD138" s="106">
        <v>0</v>
      </c>
      <c r="AE138" s="106">
        <v>0</v>
      </c>
      <c r="AF138" s="106">
        <v>0</v>
      </c>
      <c r="AG138" s="106">
        <v>0</v>
      </c>
      <c r="AH138" s="106">
        <v>0</v>
      </c>
      <c r="AI138" s="106">
        <v>0</v>
      </c>
      <c r="AJ138" s="106">
        <v>0</v>
      </c>
      <c r="AK138" s="106">
        <v>0</v>
      </c>
      <c r="AL138" s="106">
        <v>0</v>
      </c>
      <c r="AM138" s="106">
        <v>0</v>
      </c>
      <c r="AN138" s="106">
        <v>0</v>
      </c>
      <c r="AO138" s="106">
        <v>0</v>
      </c>
      <c r="AP138" s="106">
        <v>0</v>
      </c>
      <c r="AQ138" s="106">
        <v>0</v>
      </c>
      <c r="AR138" s="106">
        <v>0</v>
      </c>
      <c r="AS138" s="106">
        <v>0</v>
      </c>
      <c r="AT138" s="106">
        <v>0</v>
      </c>
      <c r="AU138" s="106">
        <v>0</v>
      </c>
      <c r="AV138" s="106">
        <v>0</v>
      </c>
      <c r="AW138" s="106">
        <v>0</v>
      </c>
      <c r="AX138" s="106">
        <v>0</v>
      </c>
      <c r="AY138" s="106">
        <v>0</v>
      </c>
    </row>
    <row r="139" spans="1:51">
      <c r="A139" s="109"/>
      <c r="B139" s="120">
        <v>18</v>
      </c>
      <c r="C139" s="106">
        <v>0</v>
      </c>
      <c r="D139" s="106">
        <v>0</v>
      </c>
      <c r="E139" s="106">
        <v>0</v>
      </c>
      <c r="F139" s="106">
        <v>0</v>
      </c>
      <c r="G139" s="106">
        <v>0</v>
      </c>
      <c r="H139" s="106">
        <v>0</v>
      </c>
      <c r="I139" s="106">
        <v>0</v>
      </c>
      <c r="J139" s="106">
        <v>0</v>
      </c>
      <c r="K139" s="106">
        <v>0</v>
      </c>
      <c r="L139" s="106">
        <v>0</v>
      </c>
      <c r="M139" s="106">
        <v>0</v>
      </c>
      <c r="N139" s="106">
        <v>0</v>
      </c>
      <c r="O139" s="106">
        <v>0</v>
      </c>
      <c r="P139" s="106">
        <v>0</v>
      </c>
      <c r="Q139" s="106">
        <v>0</v>
      </c>
      <c r="R139" s="106">
        <v>0</v>
      </c>
      <c r="S139" s="106">
        <v>0</v>
      </c>
      <c r="T139" s="106">
        <v>0</v>
      </c>
      <c r="U139" s="106">
        <v>0</v>
      </c>
      <c r="V139" s="106">
        <v>0</v>
      </c>
      <c r="W139" s="106">
        <v>0</v>
      </c>
      <c r="X139" s="106">
        <v>0</v>
      </c>
      <c r="Y139" s="106">
        <v>0</v>
      </c>
      <c r="Z139" s="106">
        <v>0</v>
      </c>
      <c r="AA139" s="106">
        <v>0</v>
      </c>
      <c r="AB139" s="106">
        <v>0</v>
      </c>
      <c r="AC139" s="106">
        <v>0</v>
      </c>
      <c r="AD139" s="106">
        <v>0</v>
      </c>
      <c r="AE139" s="106">
        <v>0</v>
      </c>
      <c r="AF139" s="106">
        <v>0</v>
      </c>
      <c r="AG139" s="106">
        <v>0</v>
      </c>
      <c r="AH139" s="106">
        <v>0</v>
      </c>
      <c r="AI139" s="106">
        <v>0</v>
      </c>
      <c r="AJ139" s="106">
        <v>0</v>
      </c>
      <c r="AK139" s="106">
        <v>0</v>
      </c>
      <c r="AL139" s="106">
        <v>0</v>
      </c>
      <c r="AM139" s="106">
        <v>0</v>
      </c>
      <c r="AN139" s="106">
        <v>0</v>
      </c>
      <c r="AO139" s="106">
        <v>0</v>
      </c>
      <c r="AP139" s="106">
        <v>0</v>
      </c>
      <c r="AQ139" s="106">
        <v>0</v>
      </c>
      <c r="AR139" s="106">
        <v>0</v>
      </c>
      <c r="AS139" s="106">
        <v>0</v>
      </c>
      <c r="AT139" s="106">
        <v>0</v>
      </c>
      <c r="AU139" s="106">
        <v>0</v>
      </c>
      <c r="AV139" s="106">
        <v>0</v>
      </c>
      <c r="AW139" s="106">
        <v>0</v>
      </c>
      <c r="AX139" s="106">
        <v>0</v>
      </c>
      <c r="AY139" s="106">
        <v>0</v>
      </c>
    </row>
    <row r="140" spans="1:51">
      <c r="A140" s="109"/>
      <c r="B140" s="120">
        <v>19</v>
      </c>
      <c r="C140" s="106">
        <v>0</v>
      </c>
      <c r="D140" s="106">
        <v>0</v>
      </c>
      <c r="E140" s="106">
        <v>0</v>
      </c>
      <c r="F140" s="106">
        <v>0</v>
      </c>
      <c r="G140" s="106">
        <v>0</v>
      </c>
      <c r="H140" s="106">
        <v>0</v>
      </c>
      <c r="I140" s="106">
        <v>0</v>
      </c>
      <c r="J140" s="106">
        <v>0</v>
      </c>
      <c r="K140" s="106">
        <v>0</v>
      </c>
      <c r="L140" s="106">
        <v>0</v>
      </c>
      <c r="M140" s="106">
        <v>0</v>
      </c>
      <c r="N140" s="106">
        <v>0</v>
      </c>
      <c r="O140" s="106">
        <v>0</v>
      </c>
      <c r="P140" s="106">
        <v>0</v>
      </c>
      <c r="Q140" s="106">
        <v>0</v>
      </c>
      <c r="R140" s="106">
        <v>0</v>
      </c>
      <c r="S140" s="106">
        <v>0</v>
      </c>
      <c r="T140" s="106">
        <v>0</v>
      </c>
      <c r="U140" s="106">
        <v>0</v>
      </c>
      <c r="V140" s="106">
        <v>0</v>
      </c>
      <c r="W140" s="106">
        <v>0</v>
      </c>
      <c r="X140" s="106">
        <v>0</v>
      </c>
      <c r="Y140" s="106">
        <v>0</v>
      </c>
      <c r="Z140" s="106">
        <v>0</v>
      </c>
      <c r="AA140" s="106">
        <v>0</v>
      </c>
      <c r="AB140" s="106">
        <v>0</v>
      </c>
      <c r="AC140" s="106">
        <v>0</v>
      </c>
      <c r="AD140" s="106">
        <v>0</v>
      </c>
      <c r="AE140" s="106">
        <v>0</v>
      </c>
      <c r="AF140" s="106">
        <v>0</v>
      </c>
      <c r="AG140" s="106">
        <v>0</v>
      </c>
      <c r="AH140" s="106">
        <v>0</v>
      </c>
      <c r="AI140" s="106">
        <v>0</v>
      </c>
      <c r="AJ140" s="106">
        <v>0</v>
      </c>
      <c r="AK140" s="106">
        <v>0</v>
      </c>
      <c r="AL140" s="106">
        <v>0</v>
      </c>
      <c r="AM140" s="106">
        <v>0</v>
      </c>
      <c r="AN140" s="106">
        <v>0</v>
      </c>
      <c r="AO140" s="106">
        <v>0</v>
      </c>
      <c r="AP140" s="106">
        <v>0</v>
      </c>
      <c r="AQ140" s="106">
        <v>0</v>
      </c>
      <c r="AR140" s="106">
        <v>0</v>
      </c>
      <c r="AS140" s="106">
        <v>0</v>
      </c>
      <c r="AT140" s="106">
        <v>0</v>
      </c>
      <c r="AU140" s="106">
        <v>0</v>
      </c>
      <c r="AV140" s="106">
        <v>0</v>
      </c>
      <c r="AW140" s="106">
        <v>0</v>
      </c>
      <c r="AX140" s="106">
        <v>0</v>
      </c>
      <c r="AY140" s="106">
        <v>0</v>
      </c>
    </row>
    <row r="141" spans="1:51">
      <c r="A141" s="109"/>
      <c r="B141" s="120">
        <v>20</v>
      </c>
      <c r="C141" s="106">
        <v>0</v>
      </c>
      <c r="D141" s="106">
        <v>0</v>
      </c>
      <c r="E141" s="106">
        <v>0</v>
      </c>
      <c r="F141" s="106">
        <v>0</v>
      </c>
      <c r="G141" s="106">
        <v>0</v>
      </c>
      <c r="H141" s="106">
        <v>0</v>
      </c>
      <c r="I141" s="106">
        <v>0</v>
      </c>
      <c r="J141" s="106">
        <v>0</v>
      </c>
      <c r="K141" s="106">
        <v>0</v>
      </c>
      <c r="L141" s="106">
        <v>0</v>
      </c>
      <c r="M141" s="106">
        <v>0</v>
      </c>
      <c r="N141" s="106">
        <v>0</v>
      </c>
      <c r="O141" s="106">
        <v>0</v>
      </c>
      <c r="P141" s="106">
        <v>0</v>
      </c>
      <c r="Q141" s="106">
        <v>0</v>
      </c>
      <c r="R141" s="106">
        <v>0</v>
      </c>
      <c r="S141" s="106">
        <v>0</v>
      </c>
      <c r="T141" s="106">
        <v>0</v>
      </c>
      <c r="U141" s="106">
        <v>0</v>
      </c>
      <c r="V141" s="106">
        <v>0</v>
      </c>
      <c r="W141" s="106">
        <v>0</v>
      </c>
      <c r="X141" s="106">
        <v>0</v>
      </c>
      <c r="Y141" s="106">
        <v>0</v>
      </c>
      <c r="Z141" s="106">
        <v>0</v>
      </c>
      <c r="AA141" s="106">
        <v>0</v>
      </c>
      <c r="AB141" s="106">
        <v>0</v>
      </c>
      <c r="AC141" s="106">
        <v>0</v>
      </c>
      <c r="AD141" s="106">
        <v>0</v>
      </c>
      <c r="AE141" s="106">
        <v>0</v>
      </c>
      <c r="AF141" s="106">
        <v>0</v>
      </c>
      <c r="AG141" s="106">
        <v>0</v>
      </c>
      <c r="AH141" s="106">
        <v>0</v>
      </c>
      <c r="AI141" s="106">
        <v>0</v>
      </c>
      <c r="AJ141" s="106">
        <v>0</v>
      </c>
      <c r="AK141" s="106">
        <v>0</v>
      </c>
      <c r="AL141" s="106">
        <v>0</v>
      </c>
      <c r="AM141" s="106">
        <v>0</v>
      </c>
      <c r="AN141" s="106">
        <v>0</v>
      </c>
      <c r="AO141" s="106">
        <v>0</v>
      </c>
      <c r="AP141" s="106">
        <v>0</v>
      </c>
      <c r="AQ141" s="106">
        <v>0</v>
      </c>
      <c r="AR141" s="106">
        <v>0</v>
      </c>
      <c r="AS141" s="106">
        <v>0</v>
      </c>
      <c r="AT141" s="106">
        <v>0</v>
      </c>
      <c r="AU141" s="106">
        <v>0</v>
      </c>
      <c r="AV141" s="106">
        <v>0</v>
      </c>
      <c r="AW141" s="106">
        <v>0</v>
      </c>
      <c r="AX141" s="106">
        <v>0</v>
      </c>
      <c r="AY141" s="106">
        <v>0</v>
      </c>
    </row>
    <row r="142" spans="1:51">
      <c r="A142" s="109"/>
      <c r="B142" s="120">
        <v>21</v>
      </c>
      <c r="C142" s="106">
        <v>0</v>
      </c>
      <c r="D142" s="106">
        <v>0</v>
      </c>
      <c r="E142" s="106">
        <v>0</v>
      </c>
      <c r="F142" s="106">
        <v>0</v>
      </c>
      <c r="G142" s="106">
        <v>0</v>
      </c>
      <c r="H142" s="106">
        <v>0</v>
      </c>
      <c r="I142" s="106">
        <v>0</v>
      </c>
      <c r="J142" s="106">
        <v>0</v>
      </c>
      <c r="K142" s="106">
        <v>0</v>
      </c>
      <c r="L142" s="106">
        <v>0</v>
      </c>
      <c r="M142" s="106">
        <v>0</v>
      </c>
      <c r="N142" s="106">
        <v>0</v>
      </c>
      <c r="O142" s="106">
        <v>0</v>
      </c>
      <c r="P142" s="106">
        <v>0</v>
      </c>
      <c r="Q142" s="106">
        <v>0</v>
      </c>
      <c r="R142" s="106">
        <v>0</v>
      </c>
      <c r="S142" s="106">
        <v>0</v>
      </c>
      <c r="T142" s="106">
        <v>0</v>
      </c>
      <c r="U142" s="106">
        <v>0</v>
      </c>
      <c r="V142" s="106">
        <v>0</v>
      </c>
      <c r="W142" s="106">
        <v>0</v>
      </c>
      <c r="X142" s="106">
        <v>0</v>
      </c>
      <c r="Y142" s="106">
        <v>0</v>
      </c>
      <c r="Z142" s="106">
        <v>0</v>
      </c>
      <c r="AA142" s="106">
        <v>0</v>
      </c>
      <c r="AB142" s="106">
        <v>0</v>
      </c>
      <c r="AC142" s="106">
        <v>0</v>
      </c>
      <c r="AD142" s="106">
        <v>0</v>
      </c>
      <c r="AE142" s="106">
        <v>0</v>
      </c>
      <c r="AF142" s="106">
        <v>0</v>
      </c>
      <c r="AG142" s="106">
        <v>0</v>
      </c>
      <c r="AH142" s="106">
        <v>0</v>
      </c>
      <c r="AI142" s="106">
        <v>0</v>
      </c>
      <c r="AJ142" s="106">
        <v>0</v>
      </c>
      <c r="AK142" s="106">
        <v>0</v>
      </c>
      <c r="AL142" s="106">
        <v>0</v>
      </c>
      <c r="AM142" s="106">
        <v>0</v>
      </c>
      <c r="AN142" s="106">
        <v>0</v>
      </c>
      <c r="AO142" s="106">
        <v>0</v>
      </c>
      <c r="AP142" s="106">
        <v>0</v>
      </c>
      <c r="AQ142" s="106">
        <v>0</v>
      </c>
      <c r="AR142" s="106">
        <v>0</v>
      </c>
      <c r="AS142" s="106">
        <v>0</v>
      </c>
      <c r="AT142" s="106">
        <v>0</v>
      </c>
      <c r="AU142" s="106">
        <v>0</v>
      </c>
      <c r="AV142" s="106">
        <v>0</v>
      </c>
      <c r="AW142" s="106">
        <v>0</v>
      </c>
      <c r="AX142" s="106">
        <v>0</v>
      </c>
      <c r="AY142" s="106">
        <v>0</v>
      </c>
    </row>
    <row r="143" spans="1:51">
      <c r="A143" s="109"/>
      <c r="B143" s="120">
        <v>22</v>
      </c>
      <c r="C143" s="106">
        <v>0</v>
      </c>
      <c r="D143" s="106">
        <v>0</v>
      </c>
      <c r="E143" s="106">
        <v>0</v>
      </c>
      <c r="F143" s="106">
        <v>0</v>
      </c>
      <c r="G143" s="106">
        <v>0</v>
      </c>
      <c r="H143" s="106">
        <v>0</v>
      </c>
      <c r="I143" s="106">
        <v>0</v>
      </c>
      <c r="J143" s="106">
        <v>0</v>
      </c>
      <c r="K143" s="106">
        <v>0</v>
      </c>
      <c r="L143" s="106">
        <v>0</v>
      </c>
      <c r="M143" s="106">
        <v>0</v>
      </c>
      <c r="N143" s="106">
        <v>0</v>
      </c>
      <c r="O143" s="106">
        <v>0</v>
      </c>
      <c r="P143" s="106">
        <v>0</v>
      </c>
      <c r="Q143" s="106">
        <v>0</v>
      </c>
      <c r="R143" s="106">
        <v>0</v>
      </c>
      <c r="S143" s="106">
        <v>0</v>
      </c>
      <c r="T143" s="106">
        <v>0</v>
      </c>
      <c r="U143" s="106">
        <v>0</v>
      </c>
      <c r="V143" s="106">
        <v>0</v>
      </c>
      <c r="W143" s="106">
        <v>0</v>
      </c>
      <c r="X143" s="106">
        <v>0</v>
      </c>
      <c r="Y143" s="106">
        <v>0</v>
      </c>
      <c r="Z143" s="106">
        <v>0</v>
      </c>
      <c r="AA143" s="106">
        <v>0</v>
      </c>
      <c r="AB143" s="106">
        <v>0</v>
      </c>
      <c r="AC143" s="106">
        <v>0</v>
      </c>
      <c r="AD143" s="106">
        <v>0</v>
      </c>
      <c r="AE143" s="106">
        <v>0</v>
      </c>
      <c r="AF143" s="106">
        <v>0</v>
      </c>
      <c r="AG143" s="106">
        <v>0</v>
      </c>
      <c r="AH143" s="106">
        <v>0</v>
      </c>
      <c r="AI143" s="106">
        <v>0</v>
      </c>
      <c r="AJ143" s="106">
        <v>0</v>
      </c>
      <c r="AK143" s="106">
        <v>0</v>
      </c>
      <c r="AL143" s="106">
        <v>0</v>
      </c>
      <c r="AM143" s="106">
        <v>0</v>
      </c>
      <c r="AN143" s="106">
        <v>0</v>
      </c>
      <c r="AO143" s="106">
        <v>0</v>
      </c>
      <c r="AP143" s="106">
        <v>0</v>
      </c>
      <c r="AQ143" s="106">
        <v>0</v>
      </c>
      <c r="AR143" s="106">
        <v>0</v>
      </c>
      <c r="AS143" s="106">
        <v>0</v>
      </c>
      <c r="AT143" s="106">
        <v>0</v>
      </c>
      <c r="AU143" s="106">
        <v>0</v>
      </c>
      <c r="AV143" s="106">
        <v>0</v>
      </c>
      <c r="AW143" s="106">
        <v>0</v>
      </c>
      <c r="AX143" s="106">
        <v>0</v>
      </c>
      <c r="AY143" s="106">
        <v>0</v>
      </c>
    </row>
    <row r="144" spans="1:51">
      <c r="A144" s="109"/>
      <c r="B144" s="120">
        <v>23</v>
      </c>
      <c r="C144" s="106">
        <v>0</v>
      </c>
      <c r="D144" s="106">
        <v>0</v>
      </c>
      <c r="E144" s="106">
        <v>0</v>
      </c>
      <c r="F144" s="106">
        <v>0</v>
      </c>
      <c r="G144" s="106">
        <v>0</v>
      </c>
      <c r="H144" s="106">
        <v>0</v>
      </c>
      <c r="I144" s="106">
        <v>0</v>
      </c>
      <c r="J144" s="106">
        <v>0</v>
      </c>
      <c r="K144" s="106">
        <v>0</v>
      </c>
      <c r="L144" s="106">
        <v>0</v>
      </c>
      <c r="M144" s="106">
        <v>0</v>
      </c>
      <c r="N144" s="106">
        <v>0</v>
      </c>
      <c r="O144" s="106">
        <v>0</v>
      </c>
      <c r="P144" s="106">
        <v>0</v>
      </c>
      <c r="Q144" s="106">
        <v>0</v>
      </c>
      <c r="R144" s="106">
        <v>0</v>
      </c>
      <c r="S144" s="106">
        <v>0</v>
      </c>
      <c r="T144" s="106">
        <v>0</v>
      </c>
      <c r="U144" s="106">
        <v>0</v>
      </c>
      <c r="V144" s="106">
        <v>0</v>
      </c>
      <c r="W144" s="106">
        <v>0</v>
      </c>
      <c r="X144" s="106">
        <v>0</v>
      </c>
      <c r="Y144" s="106">
        <v>0</v>
      </c>
      <c r="Z144" s="106">
        <v>0</v>
      </c>
      <c r="AA144" s="106">
        <v>0</v>
      </c>
      <c r="AB144" s="106">
        <v>0</v>
      </c>
      <c r="AC144" s="106">
        <v>0</v>
      </c>
      <c r="AD144" s="106">
        <v>0</v>
      </c>
      <c r="AE144" s="106">
        <v>0</v>
      </c>
      <c r="AF144" s="106">
        <v>0</v>
      </c>
      <c r="AG144" s="106">
        <v>0</v>
      </c>
      <c r="AH144" s="106">
        <v>0</v>
      </c>
      <c r="AI144" s="106">
        <v>0</v>
      </c>
      <c r="AJ144" s="106">
        <v>0</v>
      </c>
      <c r="AK144" s="106">
        <v>0</v>
      </c>
      <c r="AL144" s="106">
        <v>0</v>
      </c>
      <c r="AM144" s="106">
        <v>0</v>
      </c>
      <c r="AN144" s="106">
        <v>0</v>
      </c>
      <c r="AO144" s="106">
        <v>0</v>
      </c>
      <c r="AP144" s="106">
        <v>0</v>
      </c>
      <c r="AQ144" s="106">
        <v>0</v>
      </c>
      <c r="AR144" s="106">
        <v>0</v>
      </c>
      <c r="AS144" s="106">
        <v>0</v>
      </c>
      <c r="AT144" s="106">
        <v>0</v>
      </c>
      <c r="AU144" s="106">
        <v>0</v>
      </c>
      <c r="AV144" s="106">
        <v>0</v>
      </c>
      <c r="AW144" s="106">
        <v>0</v>
      </c>
      <c r="AX144" s="106">
        <v>0</v>
      </c>
      <c r="AY144" s="106">
        <v>0</v>
      </c>
    </row>
    <row r="145" spans="1:51">
      <c r="A145" s="109"/>
      <c r="B145" s="120">
        <v>24</v>
      </c>
      <c r="C145" s="106">
        <v>0</v>
      </c>
      <c r="D145" s="106">
        <v>0</v>
      </c>
      <c r="E145" s="106">
        <v>0</v>
      </c>
      <c r="F145" s="106">
        <v>0</v>
      </c>
      <c r="G145" s="106">
        <v>0</v>
      </c>
      <c r="H145" s="106">
        <v>0</v>
      </c>
      <c r="I145" s="106">
        <v>0</v>
      </c>
      <c r="J145" s="106">
        <v>0</v>
      </c>
      <c r="K145" s="106">
        <v>0</v>
      </c>
      <c r="L145" s="106">
        <v>0</v>
      </c>
      <c r="M145" s="106">
        <v>0</v>
      </c>
      <c r="N145" s="106">
        <v>0</v>
      </c>
      <c r="O145" s="106">
        <v>0</v>
      </c>
      <c r="P145" s="106">
        <v>0</v>
      </c>
      <c r="Q145" s="106">
        <v>0</v>
      </c>
      <c r="R145" s="106">
        <v>0</v>
      </c>
      <c r="S145" s="106">
        <v>0</v>
      </c>
      <c r="T145" s="106">
        <v>0</v>
      </c>
      <c r="U145" s="106">
        <v>0</v>
      </c>
      <c r="V145" s="106">
        <v>0</v>
      </c>
      <c r="W145" s="106">
        <v>0</v>
      </c>
      <c r="X145" s="106">
        <v>0</v>
      </c>
      <c r="Y145" s="106">
        <v>0</v>
      </c>
      <c r="Z145" s="106">
        <v>0</v>
      </c>
      <c r="AA145" s="106">
        <v>0</v>
      </c>
      <c r="AB145" s="106">
        <v>0</v>
      </c>
      <c r="AC145" s="106">
        <v>0</v>
      </c>
      <c r="AD145" s="106">
        <v>0</v>
      </c>
      <c r="AE145" s="106">
        <v>0</v>
      </c>
      <c r="AF145" s="106">
        <v>0</v>
      </c>
      <c r="AG145" s="106">
        <v>0</v>
      </c>
      <c r="AH145" s="106">
        <v>0</v>
      </c>
      <c r="AI145" s="106">
        <v>0</v>
      </c>
      <c r="AJ145" s="106">
        <v>0</v>
      </c>
      <c r="AK145" s="106">
        <v>0</v>
      </c>
      <c r="AL145" s="106">
        <v>0</v>
      </c>
      <c r="AM145" s="106">
        <v>0</v>
      </c>
      <c r="AN145" s="106">
        <v>0</v>
      </c>
      <c r="AO145" s="106">
        <v>0</v>
      </c>
      <c r="AP145" s="106">
        <v>0</v>
      </c>
      <c r="AQ145" s="106">
        <v>0</v>
      </c>
      <c r="AR145" s="106">
        <v>0</v>
      </c>
      <c r="AS145" s="106">
        <v>0</v>
      </c>
      <c r="AT145" s="106">
        <v>0</v>
      </c>
      <c r="AU145" s="106">
        <v>0</v>
      </c>
      <c r="AV145" s="106">
        <v>0</v>
      </c>
      <c r="AW145" s="106">
        <v>0</v>
      </c>
      <c r="AX145" s="106">
        <v>0</v>
      </c>
      <c r="AY145" s="106">
        <v>0</v>
      </c>
    </row>
    <row r="146" spans="1:51">
      <c r="A146" s="109"/>
      <c r="B146" s="127">
        <v>25</v>
      </c>
      <c r="C146" s="106">
        <v>0</v>
      </c>
      <c r="D146" s="106">
        <v>0</v>
      </c>
      <c r="E146" s="106">
        <v>0</v>
      </c>
      <c r="F146" s="106">
        <v>0</v>
      </c>
      <c r="G146" s="106">
        <v>0</v>
      </c>
      <c r="H146" s="106">
        <v>0</v>
      </c>
      <c r="I146" s="106">
        <v>0</v>
      </c>
      <c r="J146" s="106">
        <v>0</v>
      </c>
      <c r="K146" s="106">
        <v>0</v>
      </c>
      <c r="L146" s="106">
        <v>0</v>
      </c>
      <c r="M146" s="106">
        <v>0</v>
      </c>
      <c r="N146" s="106">
        <v>0</v>
      </c>
      <c r="O146" s="106">
        <v>0</v>
      </c>
      <c r="P146" s="106">
        <v>0</v>
      </c>
      <c r="Q146" s="106">
        <v>0</v>
      </c>
      <c r="R146" s="106">
        <v>0</v>
      </c>
      <c r="S146" s="106">
        <v>0</v>
      </c>
      <c r="T146" s="106">
        <v>0</v>
      </c>
      <c r="U146" s="106">
        <v>0</v>
      </c>
      <c r="V146" s="106">
        <v>0</v>
      </c>
      <c r="W146" s="106">
        <v>0</v>
      </c>
      <c r="X146" s="106">
        <v>0</v>
      </c>
      <c r="Y146" s="106">
        <v>0</v>
      </c>
      <c r="Z146" s="106">
        <v>0</v>
      </c>
      <c r="AA146" s="106">
        <v>0</v>
      </c>
      <c r="AB146" s="106">
        <v>0</v>
      </c>
      <c r="AC146" s="106">
        <v>0</v>
      </c>
      <c r="AD146" s="106">
        <v>0</v>
      </c>
      <c r="AE146" s="106">
        <v>0</v>
      </c>
      <c r="AF146" s="106">
        <v>0</v>
      </c>
      <c r="AG146" s="106">
        <v>0</v>
      </c>
      <c r="AH146" s="106">
        <v>0</v>
      </c>
      <c r="AI146" s="106">
        <v>0</v>
      </c>
      <c r="AJ146" s="106">
        <v>0</v>
      </c>
      <c r="AK146" s="106">
        <v>0</v>
      </c>
      <c r="AL146" s="106">
        <v>0</v>
      </c>
      <c r="AM146" s="106">
        <v>0</v>
      </c>
      <c r="AN146" s="106">
        <v>0</v>
      </c>
      <c r="AO146" s="106">
        <v>0</v>
      </c>
      <c r="AP146" s="106">
        <v>0</v>
      </c>
      <c r="AQ146" s="106">
        <v>0</v>
      </c>
      <c r="AR146" s="106">
        <v>0</v>
      </c>
      <c r="AS146" s="106">
        <v>0</v>
      </c>
      <c r="AT146" s="106">
        <v>0</v>
      </c>
      <c r="AU146" s="106">
        <v>0</v>
      </c>
      <c r="AV146" s="106">
        <v>0</v>
      </c>
      <c r="AW146" s="106">
        <v>0</v>
      </c>
      <c r="AX146" s="106">
        <v>0</v>
      </c>
      <c r="AY146" s="106">
        <v>0</v>
      </c>
    </row>
    <row r="147" spans="1:51">
      <c r="A147" s="109"/>
      <c r="B147" s="127">
        <v>26</v>
      </c>
      <c r="C147" s="106">
        <v>0</v>
      </c>
      <c r="D147" s="106">
        <v>0</v>
      </c>
      <c r="E147" s="106">
        <v>0</v>
      </c>
      <c r="F147" s="106">
        <v>0</v>
      </c>
      <c r="G147" s="106">
        <v>0</v>
      </c>
      <c r="H147" s="106">
        <v>0</v>
      </c>
      <c r="I147" s="106">
        <v>0</v>
      </c>
      <c r="J147" s="106">
        <v>0</v>
      </c>
      <c r="K147" s="106">
        <v>0</v>
      </c>
      <c r="L147" s="106">
        <v>0</v>
      </c>
      <c r="M147" s="106">
        <v>0</v>
      </c>
      <c r="N147" s="106">
        <v>0</v>
      </c>
      <c r="O147" s="106">
        <v>0</v>
      </c>
      <c r="P147" s="106">
        <v>0</v>
      </c>
      <c r="Q147" s="106">
        <v>0</v>
      </c>
      <c r="R147" s="106">
        <v>0</v>
      </c>
      <c r="S147" s="106">
        <v>0</v>
      </c>
      <c r="T147" s="106">
        <v>0</v>
      </c>
      <c r="U147" s="106">
        <v>0</v>
      </c>
      <c r="V147" s="106">
        <v>0</v>
      </c>
      <c r="W147" s="106">
        <v>0</v>
      </c>
      <c r="X147" s="106">
        <v>0</v>
      </c>
      <c r="Y147" s="106">
        <v>0</v>
      </c>
      <c r="Z147" s="106">
        <v>0</v>
      </c>
      <c r="AA147" s="106">
        <v>0</v>
      </c>
      <c r="AB147" s="106">
        <v>0</v>
      </c>
      <c r="AC147" s="106">
        <v>0</v>
      </c>
      <c r="AD147" s="106">
        <v>0</v>
      </c>
      <c r="AE147" s="106">
        <v>0</v>
      </c>
      <c r="AF147" s="106">
        <v>0</v>
      </c>
      <c r="AG147" s="106">
        <v>0</v>
      </c>
      <c r="AH147" s="106">
        <v>0</v>
      </c>
      <c r="AI147" s="106">
        <v>0</v>
      </c>
      <c r="AJ147" s="106">
        <v>0</v>
      </c>
      <c r="AK147" s="106">
        <v>0</v>
      </c>
      <c r="AL147" s="106">
        <v>0</v>
      </c>
      <c r="AM147" s="106">
        <v>0</v>
      </c>
      <c r="AN147" s="106">
        <v>0</v>
      </c>
      <c r="AO147" s="106">
        <v>0</v>
      </c>
      <c r="AP147" s="106">
        <v>0</v>
      </c>
      <c r="AQ147" s="106">
        <v>0</v>
      </c>
      <c r="AR147" s="106">
        <v>0</v>
      </c>
      <c r="AS147" s="106">
        <v>0</v>
      </c>
      <c r="AT147" s="106">
        <v>0</v>
      </c>
      <c r="AU147" s="106">
        <v>0</v>
      </c>
      <c r="AV147" s="106">
        <v>0</v>
      </c>
      <c r="AW147" s="106">
        <v>0</v>
      </c>
      <c r="AX147" s="106">
        <v>0</v>
      </c>
      <c r="AY147" s="106">
        <v>0</v>
      </c>
    </row>
    <row r="148" spans="1:51">
      <c r="A148" s="109"/>
      <c r="B148" s="127">
        <v>27</v>
      </c>
      <c r="C148" s="106">
        <v>0</v>
      </c>
      <c r="D148" s="106">
        <v>0</v>
      </c>
      <c r="E148" s="106">
        <v>0</v>
      </c>
      <c r="F148" s="106">
        <v>0</v>
      </c>
      <c r="G148" s="106">
        <v>0</v>
      </c>
      <c r="H148" s="106">
        <v>0</v>
      </c>
      <c r="I148" s="106">
        <v>0</v>
      </c>
      <c r="J148" s="106">
        <v>0</v>
      </c>
      <c r="K148" s="106">
        <v>0</v>
      </c>
      <c r="L148" s="106">
        <v>0</v>
      </c>
      <c r="M148" s="106">
        <v>0</v>
      </c>
      <c r="N148" s="106">
        <v>0</v>
      </c>
      <c r="O148" s="106">
        <v>0</v>
      </c>
      <c r="P148" s="106">
        <v>0</v>
      </c>
      <c r="Q148" s="106">
        <v>0</v>
      </c>
      <c r="R148" s="106">
        <v>0</v>
      </c>
      <c r="S148" s="106">
        <v>0</v>
      </c>
      <c r="T148" s="106">
        <v>0</v>
      </c>
      <c r="U148" s="106">
        <v>0</v>
      </c>
      <c r="V148" s="106">
        <v>0</v>
      </c>
      <c r="W148" s="106">
        <v>0</v>
      </c>
      <c r="X148" s="106">
        <v>0</v>
      </c>
      <c r="Y148" s="106">
        <v>0</v>
      </c>
      <c r="Z148" s="106">
        <v>0</v>
      </c>
      <c r="AA148" s="106">
        <v>0</v>
      </c>
      <c r="AB148" s="106">
        <v>0</v>
      </c>
      <c r="AC148" s="106">
        <v>0</v>
      </c>
      <c r="AD148" s="106">
        <v>0</v>
      </c>
      <c r="AE148" s="106">
        <v>0</v>
      </c>
      <c r="AF148" s="106">
        <v>0</v>
      </c>
      <c r="AG148" s="106">
        <v>0</v>
      </c>
      <c r="AH148" s="106">
        <v>0</v>
      </c>
      <c r="AI148" s="106">
        <v>0</v>
      </c>
      <c r="AJ148" s="106">
        <v>0</v>
      </c>
      <c r="AK148" s="106">
        <v>0</v>
      </c>
      <c r="AL148" s="106">
        <v>0</v>
      </c>
      <c r="AM148" s="106">
        <v>0</v>
      </c>
      <c r="AN148" s="106">
        <v>0</v>
      </c>
      <c r="AO148" s="106">
        <v>0</v>
      </c>
      <c r="AP148" s="106">
        <v>0</v>
      </c>
      <c r="AQ148" s="106">
        <v>0</v>
      </c>
      <c r="AR148" s="106">
        <v>0</v>
      </c>
      <c r="AS148" s="106">
        <v>0</v>
      </c>
      <c r="AT148" s="106">
        <v>0</v>
      </c>
      <c r="AU148" s="106">
        <v>0</v>
      </c>
      <c r="AV148" s="106">
        <v>0</v>
      </c>
      <c r="AW148" s="106">
        <v>0</v>
      </c>
      <c r="AX148" s="106">
        <v>0</v>
      </c>
      <c r="AY148" s="106">
        <v>0</v>
      </c>
    </row>
    <row r="149" spans="1:51">
      <c r="A149" s="109"/>
      <c r="B149" s="127">
        <v>28</v>
      </c>
      <c r="C149" s="106">
        <v>0</v>
      </c>
      <c r="D149" s="106">
        <v>0</v>
      </c>
      <c r="E149" s="106">
        <v>0</v>
      </c>
      <c r="F149" s="106">
        <v>0</v>
      </c>
      <c r="G149" s="106">
        <v>0</v>
      </c>
      <c r="H149" s="106">
        <v>0</v>
      </c>
      <c r="I149" s="106">
        <v>0</v>
      </c>
      <c r="J149" s="106">
        <v>0</v>
      </c>
      <c r="K149" s="106">
        <v>0</v>
      </c>
      <c r="L149" s="106">
        <v>0</v>
      </c>
      <c r="M149" s="106">
        <v>0</v>
      </c>
      <c r="N149" s="106">
        <v>0</v>
      </c>
      <c r="O149" s="106">
        <v>0</v>
      </c>
      <c r="P149" s="106">
        <v>0</v>
      </c>
      <c r="Q149" s="106">
        <v>0</v>
      </c>
      <c r="R149" s="106">
        <v>0</v>
      </c>
      <c r="S149" s="106">
        <v>0</v>
      </c>
      <c r="T149" s="106">
        <v>0</v>
      </c>
      <c r="U149" s="106">
        <v>0</v>
      </c>
      <c r="V149" s="106">
        <v>0</v>
      </c>
      <c r="W149" s="106">
        <v>0</v>
      </c>
      <c r="X149" s="106">
        <v>0</v>
      </c>
      <c r="Y149" s="106">
        <v>0</v>
      </c>
      <c r="Z149" s="106">
        <v>0</v>
      </c>
      <c r="AA149" s="106">
        <v>0</v>
      </c>
      <c r="AB149" s="106">
        <v>0</v>
      </c>
      <c r="AC149" s="106">
        <v>0</v>
      </c>
      <c r="AD149" s="106">
        <v>0</v>
      </c>
      <c r="AE149" s="106">
        <v>0</v>
      </c>
      <c r="AF149" s="106">
        <v>0</v>
      </c>
      <c r="AG149" s="106">
        <v>0</v>
      </c>
      <c r="AH149" s="106">
        <v>0</v>
      </c>
      <c r="AI149" s="106">
        <v>0</v>
      </c>
      <c r="AJ149" s="106">
        <v>0</v>
      </c>
      <c r="AK149" s="106">
        <v>0</v>
      </c>
      <c r="AL149" s="106">
        <v>0</v>
      </c>
      <c r="AM149" s="106">
        <v>0</v>
      </c>
      <c r="AN149" s="106">
        <v>0</v>
      </c>
      <c r="AO149" s="106">
        <v>0</v>
      </c>
      <c r="AP149" s="106">
        <v>0</v>
      </c>
      <c r="AQ149" s="106">
        <v>0</v>
      </c>
      <c r="AR149" s="106">
        <v>0</v>
      </c>
      <c r="AS149" s="106">
        <v>0</v>
      </c>
      <c r="AT149" s="106">
        <v>0</v>
      </c>
      <c r="AU149" s="106">
        <v>0</v>
      </c>
      <c r="AV149" s="106">
        <v>0</v>
      </c>
      <c r="AW149" s="106">
        <v>0</v>
      </c>
      <c r="AX149" s="106">
        <v>0</v>
      </c>
      <c r="AY149" s="106">
        <v>0</v>
      </c>
    </row>
    <row r="150" spans="1:51">
      <c r="A150" s="109"/>
      <c r="B150" s="127">
        <v>29</v>
      </c>
      <c r="C150" s="106">
        <v>0</v>
      </c>
      <c r="D150" s="106">
        <v>0</v>
      </c>
      <c r="E150" s="106">
        <v>0</v>
      </c>
      <c r="F150" s="106">
        <v>0</v>
      </c>
      <c r="G150" s="106">
        <v>0</v>
      </c>
      <c r="H150" s="106">
        <v>0</v>
      </c>
      <c r="I150" s="106">
        <v>0</v>
      </c>
      <c r="J150" s="106">
        <v>0</v>
      </c>
      <c r="K150" s="106">
        <v>0</v>
      </c>
      <c r="L150" s="106">
        <v>0</v>
      </c>
      <c r="M150" s="106">
        <v>0</v>
      </c>
      <c r="N150" s="106">
        <v>0</v>
      </c>
      <c r="O150" s="106">
        <v>0</v>
      </c>
      <c r="P150" s="106">
        <v>0</v>
      </c>
      <c r="Q150" s="106">
        <v>0</v>
      </c>
      <c r="R150" s="106">
        <v>0</v>
      </c>
      <c r="S150" s="106">
        <v>0</v>
      </c>
      <c r="T150" s="106">
        <v>0</v>
      </c>
      <c r="U150" s="106">
        <v>0</v>
      </c>
      <c r="V150" s="106">
        <v>0</v>
      </c>
      <c r="W150" s="106">
        <v>0</v>
      </c>
      <c r="X150" s="106">
        <v>0</v>
      </c>
      <c r="Y150" s="106">
        <v>0</v>
      </c>
      <c r="Z150" s="106">
        <v>0</v>
      </c>
      <c r="AA150" s="106">
        <v>0</v>
      </c>
      <c r="AB150" s="106">
        <v>0</v>
      </c>
      <c r="AC150" s="106">
        <v>0</v>
      </c>
      <c r="AD150" s="106">
        <v>0</v>
      </c>
      <c r="AE150" s="106">
        <v>0</v>
      </c>
      <c r="AF150" s="106">
        <v>0</v>
      </c>
      <c r="AG150" s="106">
        <v>0</v>
      </c>
      <c r="AH150" s="106">
        <v>0</v>
      </c>
      <c r="AI150" s="106">
        <v>0</v>
      </c>
      <c r="AJ150" s="106">
        <v>0</v>
      </c>
      <c r="AK150" s="106">
        <v>0</v>
      </c>
      <c r="AL150" s="106">
        <v>0</v>
      </c>
      <c r="AM150" s="106">
        <v>0</v>
      </c>
      <c r="AN150" s="106">
        <v>0</v>
      </c>
      <c r="AO150" s="106">
        <v>0</v>
      </c>
      <c r="AP150" s="106">
        <v>0</v>
      </c>
      <c r="AQ150" s="106">
        <v>0</v>
      </c>
      <c r="AR150" s="106">
        <v>0</v>
      </c>
      <c r="AS150" s="106">
        <v>0</v>
      </c>
      <c r="AT150" s="106">
        <v>0</v>
      </c>
      <c r="AU150" s="106">
        <v>0</v>
      </c>
      <c r="AV150" s="106">
        <v>0</v>
      </c>
      <c r="AW150" s="106">
        <v>0</v>
      </c>
      <c r="AX150" s="106">
        <v>0</v>
      </c>
      <c r="AY150" s="106">
        <v>0</v>
      </c>
    </row>
    <row r="151" spans="1:51">
      <c r="A151" s="109"/>
      <c r="B151" s="127">
        <v>30</v>
      </c>
      <c r="C151" s="106">
        <v>0</v>
      </c>
      <c r="D151" s="106">
        <v>0</v>
      </c>
      <c r="E151" s="106">
        <v>0</v>
      </c>
      <c r="F151" s="106">
        <v>0</v>
      </c>
      <c r="G151" s="106">
        <v>0</v>
      </c>
      <c r="H151" s="106">
        <v>0</v>
      </c>
      <c r="I151" s="106">
        <v>0</v>
      </c>
      <c r="J151" s="106">
        <v>0</v>
      </c>
      <c r="K151" s="106">
        <v>0</v>
      </c>
      <c r="L151" s="106">
        <v>0</v>
      </c>
      <c r="M151" s="106">
        <v>0</v>
      </c>
      <c r="N151" s="106">
        <v>0</v>
      </c>
      <c r="O151" s="106">
        <v>0</v>
      </c>
      <c r="P151" s="106">
        <v>0</v>
      </c>
      <c r="Q151" s="106">
        <v>0</v>
      </c>
      <c r="R151" s="106">
        <v>0</v>
      </c>
      <c r="S151" s="106">
        <v>0</v>
      </c>
      <c r="T151" s="106">
        <v>0</v>
      </c>
      <c r="U151" s="106">
        <v>0</v>
      </c>
      <c r="V151" s="106">
        <v>0</v>
      </c>
      <c r="W151" s="106">
        <v>0</v>
      </c>
      <c r="X151" s="106">
        <v>0</v>
      </c>
      <c r="Y151" s="106">
        <v>0</v>
      </c>
      <c r="Z151" s="106">
        <v>0</v>
      </c>
      <c r="AA151" s="106">
        <v>0</v>
      </c>
      <c r="AB151" s="106">
        <v>0</v>
      </c>
      <c r="AC151" s="106">
        <v>0</v>
      </c>
      <c r="AD151" s="106">
        <v>0</v>
      </c>
      <c r="AE151" s="106">
        <v>0</v>
      </c>
      <c r="AF151" s="106">
        <v>0</v>
      </c>
      <c r="AG151" s="106">
        <v>0</v>
      </c>
      <c r="AH151" s="106">
        <v>0</v>
      </c>
      <c r="AI151" s="106">
        <v>0</v>
      </c>
      <c r="AJ151" s="106">
        <v>0</v>
      </c>
      <c r="AK151" s="106">
        <v>0</v>
      </c>
      <c r="AL151" s="106">
        <v>0</v>
      </c>
      <c r="AM151" s="106">
        <v>0</v>
      </c>
      <c r="AN151" s="106">
        <v>0</v>
      </c>
      <c r="AO151" s="106">
        <v>0</v>
      </c>
      <c r="AP151" s="106">
        <v>0</v>
      </c>
      <c r="AQ151" s="106">
        <v>0</v>
      </c>
      <c r="AR151" s="106">
        <v>0</v>
      </c>
      <c r="AS151" s="106">
        <v>0</v>
      </c>
      <c r="AT151" s="106">
        <v>0</v>
      </c>
      <c r="AU151" s="106">
        <v>0</v>
      </c>
      <c r="AV151" s="106">
        <v>0</v>
      </c>
      <c r="AW151" s="106">
        <v>0</v>
      </c>
      <c r="AX151" s="106">
        <v>0</v>
      </c>
      <c r="AY151" s="106">
        <v>0</v>
      </c>
    </row>
    <row r="152" spans="1:51">
      <c r="A152" s="109"/>
      <c r="B152" s="127">
        <v>31</v>
      </c>
      <c r="C152" s="106">
        <v>0</v>
      </c>
      <c r="D152" s="106">
        <v>0</v>
      </c>
      <c r="E152" s="106">
        <v>0</v>
      </c>
      <c r="F152" s="106">
        <v>0</v>
      </c>
      <c r="G152" s="106">
        <v>0</v>
      </c>
      <c r="H152" s="106">
        <v>0</v>
      </c>
      <c r="I152" s="106">
        <v>0</v>
      </c>
      <c r="J152" s="106">
        <v>0</v>
      </c>
      <c r="K152" s="106">
        <v>0</v>
      </c>
      <c r="L152" s="106">
        <v>0</v>
      </c>
      <c r="M152" s="106">
        <v>0</v>
      </c>
      <c r="N152" s="106">
        <v>0</v>
      </c>
      <c r="O152" s="106">
        <v>0</v>
      </c>
      <c r="P152" s="106">
        <v>0</v>
      </c>
      <c r="Q152" s="106">
        <v>0</v>
      </c>
      <c r="R152" s="106">
        <v>0</v>
      </c>
      <c r="S152" s="106">
        <v>0</v>
      </c>
      <c r="T152" s="106">
        <v>0</v>
      </c>
      <c r="U152" s="106">
        <v>0</v>
      </c>
      <c r="V152" s="106">
        <v>0</v>
      </c>
      <c r="W152" s="106">
        <v>0</v>
      </c>
      <c r="X152" s="106">
        <v>0</v>
      </c>
      <c r="Y152" s="106">
        <v>0</v>
      </c>
      <c r="Z152" s="106">
        <v>0</v>
      </c>
      <c r="AA152" s="106">
        <v>0</v>
      </c>
      <c r="AB152" s="106">
        <v>0</v>
      </c>
      <c r="AC152" s="106">
        <v>0</v>
      </c>
      <c r="AD152" s="106">
        <v>0</v>
      </c>
      <c r="AE152" s="106">
        <v>0</v>
      </c>
      <c r="AF152" s="106">
        <v>0</v>
      </c>
      <c r="AG152" s="106">
        <v>0</v>
      </c>
      <c r="AH152" s="106">
        <v>0</v>
      </c>
      <c r="AI152" s="106">
        <v>0</v>
      </c>
      <c r="AJ152" s="106">
        <v>0</v>
      </c>
      <c r="AK152" s="106">
        <v>0</v>
      </c>
      <c r="AL152" s="106">
        <v>0</v>
      </c>
      <c r="AM152" s="106">
        <v>0</v>
      </c>
      <c r="AN152" s="106">
        <v>0</v>
      </c>
      <c r="AO152" s="106">
        <v>0</v>
      </c>
      <c r="AP152" s="106">
        <v>0</v>
      </c>
      <c r="AQ152" s="106">
        <v>0</v>
      </c>
      <c r="AR152" s="106">
        <v>0</v>
      </c>
      <c r="AS152" s="106">
        <v>0</v>
      </c>
      <c r="AT152" s="106">
        <v>0</v>
      </c>
      <c r="AU152" s="106">
        <v>0</v>
      </c>
      <c r="AV152" s="106">
        <v>0</v>
      </c>
      <c r="AW152" s="106">
        <v>0</v>
      </c>
      <c r="AX152" s="106">
        <v>0</v>
      </c>
      <c r="AY152" s="106">
        <v>0</v>
      </c>
    </row>
    <row r="153" spans="1:51">
      <c r="A153" s="109"/>
      <c r="B153" s="127">
        <v>32</v>
      </c>
      <c r="C153" s="106">
        <v>0</v>
      </c>
      <c r="D153" s="106">
        <v>0</v>
      </c>
      <c r="E153" s="106">
        <v>0</v>
      </c>
      <c r="F153" s="106">
        <v>0</v>
      </c>
      <c r="G153" s="106">
        <v>0</v>
      </c>
      <c r="H153" s="106">
        <v>0</v>
      </c>
      <c r="I153" s="106">
        <v>0</v>
      </c>
      <c r="J153" s="106">
        <v>0</v>
      </c>
      <c r="K153" s="106">
        <v>0</v>
      </c>
      <c r="L153" s="106">
        <v>0</v>
      </c>
      <c r="M153" s="106">
        <v>0</v>
      </c>
      <c r="N153" s="106">
        <v>0</v>
      </c>
      <c r="O153" s="106">
        <v>0</v>
      </c>
      <c r="P153" s="106">
        <v>0</v>
      </c>
      <c r="Q153" s="106">
        <v>0</v>
      </c>
      <c r="R153" s="106">
        <v>0</v>
      </c>
      <c r="S153" s="106">
        <v>0</v>
      </c>
      <c r="T153" s="106">
        <v>0</v>
      </c>
      <c r="U153" s="106">
        <v>0</v>
      </c>
      <c r="V153" s="106">
        <v>0</v>
      </c>
      <c r="W153" s="106">
        <v>0</v>
      </c>
      <c r="X153" s="106">
        <v>0</v>
      </c>
      <c r="Y153" s="106">
        <v>0</v>
      </c>
      <c r="Z153" s="106">
        <v>0</v>
      </c>
      <c r="AA153" s="106">
        <v>0</v>
      </c>
      <c r="AB153" s="106">
        <v>0</v>
      </c>
      <c r="AC153" s="106">
        <v>0</v>
      </c>
      <c r="AD153" s="106">
        <v>0</v>
      </c>
      <c r="AE153" s="106">
        <v>0</v>
      </c>
      <c r="AF153" s="106">
        <v>0</v>
      </c>
      <c r="AG153" s="106">
        <v>0</v>
      </c>
      <c r="AH153" s="106">
        <v>0</v>
      </c>
      <c r="AI153" s="106">
        <v>0</v>
      </c>
      <c r="AJ153" s="106">
        <v>0</v>
      </c>
      <c r="AK153" s="106">
        <v>0</v>
      </c>
      <c r="AL153" s="106">
        <v>0</v>
      </c>
      <c r="AM153" s="106">
        <v>0</v>
      </c>
      <c r="AN153" s="106">
        <v>0</v>
      </c>
      <c r="AO153" s="106">
        <v>0</v>
      </c>
      <c r="AP153" s="106">
        <v>0</v>
      </c>
      <c r="AQ153" s="106">
        <v>0</v>
      </c>
      <c r="AR153" s="106">
        <v>0</v>
      </c>
      <c r="AS153" s="106">
        <v>0</v>
      </c>
      <c r="AT153" s="106">
        <v>0</v>
      </c>
      <c r="AU153" s="106">
        <v>0</v>
      </c>
      <c r="AV153" s="106">
        <v>0</v>
      </c>
      <c r="AW153" s="106">
        <v>0</v>
      </c>
      <c r="AX153" s="106">
        <v>0</v>
      </c>
      <c r="AY153" s="106">
        <v>0</v>
      </c>
    </row>
    <row r="154" spans="1:51">
      <c r="A154" s="109"/>
      <c r="B154" s="127">
        <v>33</v>
      </c>
      <c r="C154" s="106">
        <v>0</v>
      </c>
      <c r="D154" s="106">
        <v>0</v>
      </c>
      <c r="E154" s="106">
        <v>0</v>
      </c>
      <c r="F154" s="106">
        <v>0</v>
      </c>
      <c r="G154" s="106">
        <v>0</v>
      </c>
      <c r="H154" s="106">
        <v>0</v>
      </c>
      <c r="I154" s="106">
        <v>0</v>
      </c>
      <c r="J154" s="106">
        <v>0</v>
      </c>
      <c r="K154" s="106">
        <v>0</v>
      </c>
      <c r="L154" s="106">
        <v>0</v>
      </c>
      <c r="M154" s="106">
        <v>0</v>
      </c>
      <c r="N154" s="106">
        <v>0</v>
      </c>
      <c r="O154" s="106">
        <v>0</v>
      </c>
      <c r="P154" s="106">
        <v>0</v>
      </c>
      <c r="Q154" s="106">
        <v>0</v>
      </c>
      <c r="R154" s="106">
        <v>0</v>
      </c>
      <c r="S154" s="106">
        <v>0</v>
      </c>
      <c r="T154" s="106">
        <v>0</v>
      </c>
      <c r="U154" s="106">
        <v>0</v>
      </c>
      <c r="V154" s="106">
        <v>0</v>
      </c>
      <c r="W154" s="106">
        <v>0</v>
      </c>
      <c r="X154" s="106">
        <v>0</v>
      </c>
      <c r="Y154" s="106">
        <v>0</v>
      </c>
      <c r="Z154" s="106">
        <v>0</v>
      </c>
      <c r="AA154" s="106">
        <v>0</v>
      </c>
      <c r="AB154" s="106">
        <v>0</v>
      </c>
      <c r="AC154" s="106">
        <v>0</v>
      </c>
      <c r="AD154" s="106">
        <v>0</v>
      </c>
      <c r="AE154" s="106">
        <v>0</v>
      </c>
      <c r="AF154" s="106">
        <v>0</v>
      </c>
      <c r="AG154" s="106">
        <v>0</v>
      </c>
      <c r="AH154" s="106">
        <v>0</v>
      </c>
      <c r="AI154" s="106">
        <v>0</v>
      </c>
      <c r="AJ154" s="106">
        <v>0</v>
      </c>
      <c r="AK154" s="106">
        <v>0</v>
      </c>
      <c r="AL154" s="106">
        <v>0</v>
      </c>
      <c r="AM154" s="106">
        <v>0</v>
      </c>
      <c r="AN154" s="106">
        <v>0</v>
      </c>
      <c r="AO154" s="106">
        <v>0</v>
      </c>
      <c r="AP154" s="106">
        <v>0</v>
      </c>
      <c r="AQ154" s="106">
        <v>0</v>
      </c>
      <c r="AR154" s="106">
        <v>0</v>
      </c>
      <c r="AS154" s="106">
        <v>0</v>
      </c>
      <c r="AT154" s="106">
        <v>0</v>
      </c>
      <c r="AU154" s="106">
        <v>0</v>
      </c>
      <c r="AV154" s="106">
        <v>0</v>
      </c>
      <c r="AW154" s="106">
        <v>0</v>
      </c>
      <c r="AX154" s="106">
        <v>0</v>
      </c>
      <c r="AY154" s="106">
        <v>0</v>
      </c>
    </row>
    <row r="155" spans="1:51">
      <c r="A155" s="109"/>
      <c r="B155" s="127">
        <v>34</v>
      </c>
      <c r="C155" s="106">
        <v>0</v>
      </c>
      <c r="D155" s="106">
        <v>0</v>
      </c>
      <c r="E155" s="106">
        <v>0</v>
      </c>
      <c r="F155" s="106">
        <v>0</v>
      </c>
      <c r="G155" s="106">
        <v>0</v>
      </c>
      <c r="H155" s="106">
        <v>0</v>
      </c>
      <c r="I155" s="106">
        <v>0</v>
      </c>
      <c r="J155" s="106">
        <v>0</v>
      </c>
      <c r="K155" s="106">
        <v>0</v>
      </c>
      <c r="L155" s="106">
        <v>0</v>
      </c>
      <c r="M155" s="106">
        <v>0</v>
      </c>
      <c r="N155" s="106">
        <v>0</v>
      </c>
      <c r="O155" s="106">
        <v>0</v>
      </c>
      <c r="P155" s="106">
        <v>0</v>
      </c>
      <c r="Q155" s="106">
        <v>0</v>
      </c>
      <c r="R155" s="106">
        <v>0</v>
      </c>
      <c r="S155" s="106">
        <v>0</v>
      </c>
      <c r="T155" s="106">
        <v>0</v>
      </c>
      <c r="U155" s="106">
        <v>0</v>
      </c>
      <c r="V155" s="106">
        <v>0</v>
      </c>
      <c r="W155" s="106">
        <v>0</v>
      </c>
      <c r="X155" s="106">
        <v>0</v>
      </c>
      <c r="Y155" s="106">
        <v>0</v>
      </c>
      <c r="Z155" s="106">
        <v>0</v>
      </c>
      <c r="AA155" s="106">
        <v>0</v>
      </c>
      <c r="AB155" s="106">
        <v>0</v>
      </c>
      <c r="AC155" s="106">
        <v>0</v>
      </c>
      <c r="AD155" s="106">
        <v>0</v>
      </c>
      <c r="AE155" s="106">
        <v>0</v>
      </c>
      <c r="AF155" s="106">
        <v>0</v>
      </c>
      <c r="AG155" s="106">
        <v>0</v>
      </c>
      <c r="AH155" s="106">
        <v>0</v>
      </c>
      <c r="AI155" s="106">
        <v>0</v>
      </c>
      <c r="AJ155" s="106">
        <v>0</v>
      </c>
      <c r="AK155" s="106">
        <v>0</v>
      </c>
      <c r="AL155" s="106">
        <v>0</v>
      </c>
      <c r="AM155" s="106">
        <v>0</v>
      </c>
      <c r="AN155" s="106">
        <v>0</v>
      </c>
      <c r="AO155" s="106">
        <v>0</v>
      </c>
      <c r="AP155" s="106">
        <v>0</v>
      </c>
      <c r="AQ155" s="106">
        <v>0</v>
      </c>
      <c r="AR155" s="106">
        <v>0</v>
      </c>
      <c r="AS155" s="106">
        <v>0</v>
      </c>
      <c r="AT155" s="106">
        <v>0</v>
      </c>
      <c r="AU155" s="106">
        <v>0</v>
      </c>
      <c r="AV155" s="106">
        <v>0</v>
      </c>
      <c r="AW155" s="106">
        <v>0</v>
      </c>
      <c r="AX155" s="106">
        <v>0</v>
      </c>
      <c r="AY155" s="106">
        <v>0</v>
      </c>
    </row>
    <row r="156" spans="1:51">
      <c r="A156" s="109"/>
      <c r="B156" s="127">
        <v>35</v>
      </c>
      <c r="C156" s="106">
        <v>0</v>
      </c>
      <c r="D156" s="106">
        <v>0</v>
      </c>
      <c r="E156" s="106">
        <v>0</v>
      </c>
      <c r="F156" s="106">
        <v>0</v>
      </c>
      <c r="G156" s="106">
        <v>0</v>
      </c>
      <c r="H156" s="106">
        <v>0</v>
      </c>
      <c r="I156" s="106">
        <v>0</v>
      </c>
      <c r="J156" s="106">
        <v>0</v>
      </c>
      <c r="K156" s="106">
        <v>0</v>
      </c>
      <c r="L156" s="106">
        <v>0</v>
      </c>
      <c r="M156" s="106">
        <v>0</v>
      </c>
      <c r="N156" s="106">
        <v>0</v>
      </c>
      <c r="O156" s="106">
        <v>0</v>
      </c>
      <c r="P156" s="106">
        <v>0</v>
      </c>
      <c r="Q156" s="106">
        <v>0</v>
      </c>
      <c r="R156" s="106">
        <v>0</v>
      </c>
      <c r="S156" s="106">
        <v>0</v>
      </c>
      <c r="T156" s="106">
        <v>0</v>
      </c>
      <c r="U156" s="106">
        <v>0</v>
      </c>
      <c r="V156" s="106">
        <v>0</v>
      </c>
      <c r="W156" s="106">
        <v>0</v>
      </c>
      <c r="X156" s="106">
        <v>0</v>
      </c>
      <c r="Y156" s="106">
        <v>0</v>
      </c>
      <c r="Z156" s="106">
        <v>0</v>
      </c>
      <c r="AA156" s="106">
        <v>0</v>
      </c>
      <c r="AB156" s="106">
        <v>0</v>
      </c>
      <c r="AC156" s="106">
        <v>0</v>
      </c>
      <c r="AD156" s="106">
        <v>0</v>
      </c>
      <c r="AE156" s="106">
        <v>0</v>
      </c>
      <c r="AF156" s="106">
        <v>0</v>
      </c>
      <c r="AG156" s="106">
        <v>0</v>
      </c>
      <c r="AH156" s="106">
        <v>0</v>
      </c>
      <c r="AI156" s="106">
        <v>0</v>
      </c>
      <c r="AJ156" s="106">
        <v>0</v>
      </c>
      <c r="AK156" s="106">
        <v>0</v>
      </c>
      <c r="AL156" s="106">
        <v>0</v>
      </c>
      <c r="AM156" s="106">
        <v>0</v>
      </c>
      <c r="AN156" s="106">
        <v>0</v>
      </c>
      <c r="AO156" s="106">
        <v>0</v>
      </c>
      <c r="AP156" s="106">
        <v>0</v>
      </c>
      <c r="AQ156" s="106">
        <v>0</v>
      </c>
      <c r="AR156" s="106">
        <v>0</v>
      </c>
      <c r="AS156" s="106">
        <v>0</v>
      </c>
      <c r="AT156" s="106">
        <v>0</v>
      </c>
      <c r="AU156" s="106">
        <v>0</v>
      </c>
      <c r="AV156" s="106">
        <v>0</v>
      </c>
      <c r="AW156" s="106">
        <v>0</v>
      </c>
      <c r="AX156" s="106">
        <v>0</v>
      </c>
      <c r="AY156" s="106">
        <v>0</v>
      </c>
    </row>
    <row r="157" spans="1:51">
      <c r="A157" s="109"/>
      <c r="B157" s="127">
        <v>36</v>
      </c>
      <c r="C157" s="106">
        <v>0</v>
      </c>
      <c r="D157" s="106">
        <v>0</v>
      </c>
      <c r="E157" s="106">
        <v>0</v>
      </c>
      <c r="F157" s="106">
        <v>0</v>
      </c>
      <c r="G157" s="106">
        <v>0</v>
      </c>
      <c r="H157" s="106">
        <v>0</v>
      </c>
      <c r="I157" s="106">
        <v>0</v>
      </c>
      <c r="J157" s="106">
        <v>0</v>
      </c>
      <c r="K157" s="106">
        <v>0</v>
      </c>
      <c r="L157" s="106">
        <v>0</v>
      </c>
      <c r="M157" s="106">
        <v>0</v>
      </c>
      <c r="N157" s="106">
        <v>0</v>
      </c>
      <c r="O157" s="106">
        <v>0</v>
      </c>
      <c r="P157" s="106">
        <v>0</v>
      </c>
      <c r="Q157" s="106">
        <v>0</v>
      </c>
      <c r="R157" s="106">
        <v>0</v>
      </c>
      <c r="S157" s="106">
        <v>0</v>
      </c>
      <c r="T157" s="106">
        <v>0</v>
      </c>
      <c r="U157" s="106">
        <v>0</v>
      </c>
      <c r="V157" s="106">
        <v>0</v>
      </c>
      <c r="W157" s="106">
        <v>0</v>
      </c>
      <c r="X157" s="106">
        <v>0</v>
      </c>
      <c r="Y157" s="106">
        <v>0</v>
      </c>
      <c r="Z157" s="106">
        <v>0</v>
      </c>
      <c r="AA157" s="106">
        <v>0</v>
      </c>
      <c r="AB157" s="106">
        <v>0</v>
      </c>
      <c r="AC157" s="106">
        <v>0</v>
      </c>
      <c r="AD157" s="106">
        <v>0</v>
      </c>
      <c r="AE157" s="106">
        <v>0</v>
      </c>
      <c r="AF157" s="106">
        <v>0</v>
      </c>
      <c r="AG157" s="106">
        <v>0</v>
      </c>
      <c r="AH157" s="106">
        <v>0</v>
      </c>
      <c r="AI157" s="106">
        <v>0</v>
      </c>
      <c r="AJ157" s="106">
        <v>0</v>
      </c>
      <c r="AK157" s="106">
        <v>0</v>
      </c>
      <c r="AL157" s="106">
        <v>0</v>
      </c>
      <c r="AM157" s="106">
        <v>0</v>
      </c>
      <c r="AN157" s="106">
        <v>0</v>
      </c>
      <c r="AO157" s="106">
        <v>0</v>
      </c>
      <c r="AP157" s="106">
        <v>0</v>
      </c>
      <c r="AQ157" s="106">
        <v>0</v>
      </c>
      <c r="AR157" s="106">
        <v>0</v>
      </c>
      <c r="AS157" s="106">
        <v>0</v>
      </c>
      <c r="AT157" s="106">
        <v>0</v>
      </c>
      <c r="AU157" s="106">
        <v>0</v>
      </c>
      <c r="AV157" s="106">
        <v>0</v>
      </c>
      <c r="AW157" s="106">
        <v>0</v>
      </c>
      <c r="AX157" s="106">
        <v>0</v>
      </c>
      <c r="AY157" s="106">
        <v>0</v>
      </c>
    </row>
    <row r="158" spans="1:51">
      <c r="A158" s="109"/>
      <c r="B158" s="130">
        <v>37</v>
      </c>
      <c r="C158" s="106">
        <v>0</v>
      </c>
      <c r="D158" s="106">
        <v>0</v>
      </c>
      <c r="E158" s="106">
        <v>0</v>
      </c>
      <c r="F158" s="106">
        <v>0</v>
      </c>
      <c r="G158" s="106">
        <v>0</v>
      </c>
      <c r="H158" s="106">
        <v>0</v>
      </c>
      <c r="I158" s="106">
        <v>0</v>
      </c>
      <c r="J158" s="106">
        <v>0</v>
      </c>
      <c r="K158" s="106">
        <v>0</v>
      </c>
      <c r="L158" s="106">
        <v>0</v>
      </c>
      <c r="M158" s="106">
        <v>0</v>
      </c>
      <c r="N158" s="106">
        <v>0</v>
      </c>
      <c r="O158" s="106">
        <v>0</v>
      </c>
      <c r="P158" s="106">
        <v>0</v>
      </c>
      <c r="Q158" s="106">
        <v>0</v>
      </c>
      <c r="R158" s="106">
        <v>0</v>
      </c>
      <c r="S158" s="106">
        <v>0</v>
      </c>
      <c r="T158" s="106">
        <v>0</v>
      </c>
      <c r="U158" s="106">
        <v>0</v>
      </c>
      <c r="V158" s="106">
        <v>0</v>
      </c>
      <c r="W158" s="106">
        <v>0</v>
      </c>
      <c r="X158" s="106">
        <v>0</v>
      </c>
      <c r="Y158" s="106">
        <v>0</v>
      </c>
      <c r="Z158" s="106">
        <v>0</v>
      </c>
      <c r="AA158" s="106">
        <v>0</v>
      </c>
      <c r="AB158" s="106">
        <v>0</v>
      </c>
      <c r="AC158" s="106">
        <v>0</v>
      </c>
      <c r="AD158" s="106">
        <v>0</v>
      </c>
      <c r="AE158" s="106">
        <v>0</v>
      </c>
      <c r="AF158" s="106">
        <v>0</v>
      </c>
      <c r="AG158" s="106">
        <v>0</v>
      </c>
      <c r="AH158" s="106">
        <v>0</v>
      </c>
      <c r="AI158" s="106">
        <v>0</v>
      </c>
      <c r="AJ158" s="106">
        <v>0</v>
      </c>
      <c r="AK158" s="106">
        <v>0</v>
      </c>
      <c r="AL158" s="106">
        <v>0</v>
      </c>
      <c r="AM158" s="106">
        <v>0</v>
      </c>
      <c r="AN158" s="106">
        <v>0</v>
      </c>
      <c r="AO158" s="106">
        <v>0</v>
      </c>
      <c r="AP158" s="106">
        <v>0</v>
      </c>
      <c r="AQ158" s="106">
        <v>0</v>
      </c>
      <c r="AR158" s="106">
        <v>0</v>
      </c>
      <c r="AS158" s="106">
        <v>0</v>
      </c>
      <c r="AT158" s="106">
        <v>0</v>
      </c>
      <c r="AU158" s="106">
        <v>0</v>
      </c>
      <c r="AV158" s="106">
        <v>0</v>
      </c>
      <c r="AW158" s="106">
        <v>0</v>
      </c>
      <c r="AX158" s="106">
        <v>0</v>
      </c>
      <c r="AY158" s="106">
        <v>0</v>
      </c>
    </row>
    <row r="159" spans="1:51">
      <c r="A159" s="109"/>
      <c r="B159" s="130">
        <v>38</v>
      </c>
      <c r="C159" s="106">
        <v>0</v>
      </c>
      <c r="D159" s="106">
        <v>0</v>
      </c>
      <c r="E159" s="106">
        <v>0</v>
      </c>
      <c r="F159" s="106">
        <v>0</v>
      </c>
      <c r="G159" s="106">
        <v>0</v>
      </c>
      <c r="H159" s="106">
        <v>0</v>
      </c>
      <c r="I159" s="106">
        <v>0</v>
      </c>
      <c r="J159" s="106">
        <v>0</v>
      </c>
      <c r="K159" s="106">
        <v>0</v>
      </c>
      <c r="L159" s="106">
        <v>0</v>
      </c>
      <c r="M159" s="106">
        <v>0</v>
      </c>
      <c r="N159" s="106">
        <v>0</v>
      </c>
      <c r="O159" s="106">
        <v>0</v>
      </c>
      <c r="P159" s="106">
        <v>0</v>
      </c>
      <c r="Q159" s="106">
        <v>0</v>
      </c>
      <c r="R159" s="106">
        <v>0</v>
      </c>
      <c r="S159" s="106">
        <v>0</v>
      </c>
      <c r="T159" s="106">
        <v>0</v>
      </c>
      <c r="U159" s="106">
        <v>0</v>
      </c>
      <c r="V159" s="106">
        <v>0</v>
      </c>
      <c r="W159" s="106">
        <v>0</v>
      </c>
      <c r="X159" s="106">
        <v>0</v>
      </c>
      <c r="Y159" s="106">
        <v>0</v>
      </c>
      <c r="Z159" s="106">
        <v>0</v>
      </c>
      <c r="AA159" s="106">
        <v>0</v>
      </c>
      <c r="AB159" s="106">
        <v>0</v>
      </c>
      <c r="AC159" s="106">
        <v>0</v>
      </c>
      <c r="AD159" s="106">
        <v>0</v>
      </c>
      <c r="AE159" s="106">
        <v>0</v>
      </c>
      <c r="AF159" s="106">
        <v>0</v>
      </c>
      <c r="AG159" s="106">
        <v>0</v>
      </c>
      <c r="AH159" s="106">
        <v>0</v>
      </c>
      <c r="AI159" s="106">
        <v>0</v>
      </c>
      <c r="AJ159" s="106">
        <v>0</v>
      </c>
      <c r="AK159" s="106">
        <v>0</v>
      </c>
      <c r="AL159" s="106">
        <v>0</v>
      </c>
      <c r="AM159" s="106">
        <v>0</v>
      </c>
      <c r="AN159" s="106">
        <v>0</v>
      </c>
      <c r="AO159" s="106">
        <v>0</v>
      </c>
      <c r="AP159" s="106">
        <v>0</v>
      </c>
      <c r="AQ159" s="106">
        <v>0</v>
      </c>
      <c r="AR159" s="106">
        <v>0</v>
      </c>
      <c r="AS159" s="106">
        <v>0</v>
      </c>
      <c r="AT159" s="106">
        <v>0</v>
      </c>
      <c r="AU159" s="106">
        <v>0</v>
      </c>
      <c r="AV159" s="106">
        <v>0</v>
      </c>
      <c r="AW159" s="106">
        <v>0</v>
      </c>
      <c r="AX159" s="106">
        <v>0</v>
      </c>
      <c r="AY159" s="106">
        <v>0</v>
      </c>
    </row>
    <row r="160" spans="1:51">
      <c r="A160" s="109"/>
      <c r="B160" s="130">
        <v>39</v>
      </c>
      <c r="C160" s="106">
        <v>0</v>
      </c>
      <c r="D160" s="106">
        <v>0</v>
      </c>
      <c r="E160" s="106">
        <v>0</v>
      </c>
      <c r="F160" s="106">
        <v>0</v>
      </c>
      <c r="G160" s="106">
        <v>0</v>
      </c>
      <c r="H160" s="106">
        <v>0</v>
      </c>
      <c r="I160" s="106">
        <v>0</v>
      </c>
      <c r="J160" s="106">
        <v>0</v>
      </c>
      <c r="K160" s="106">
        <v>0</v>
      </c>
      <c r="L160" s="106">
        <v>0</v>
      </c>
      <c r="M160" s="106">
        <v>0</v>
      </c>
      <c r="N160" s="106">
        <v>0</v>
      </c>
      <c r="O160" s="106">
        <v>0</v>
      </c>
      <c r="P160" s="106">
        <v>0</v>
      </c>
      <c r="Q160" s="106">
        <v>0</v>
      </c>
      <c r="R160" s="106">
        <v>0</v>
      </c>
      <c r="S160" s="106">
        <v>0</v>
      </c>
      <c r="T160" s="106">
        <v>0</v>
      </c>
      <c r="U160" s="106">
        <v>0</v>
      </c>
      <c r="V160" s="106">
        <v>0</v>
      </c>
      <c r="W160" s="106">
        <v>0</v>
      </c>
      <c r="X160" s="106">
        <v>0</v>
      </c>
      <c r="Y160" s="106">
        <v>0</v>
      </c>
      <c r="Z160" s="106">
        <v>0</v>
      </c>
      <c r="AA160" s="106">
        <v>0</v>
      </c>
      <c r="AB160" s="106">
        <v>0</v>
      </c>
      <c r="AC160" s="106">
        <v>0</v>
      </c>
      <c r="AD160" s="106">
        <v>0</v>
      </c>
      <c r="AE160" s="106">
        <v>0</v>
      </c>
      <c r="AF160" s="106">
        <v>0</v>
      </c>
      <c r="AG160" s="106">
        <v>0</v>
      </c>
      <c r="AH160" s="106">
        <v>0</v>
      </c>
      <c r="AI160" s="106">
        <v>0</v>
      </c>
      <c r="AJ160" s="106">
        <v>0</v>
      </c>
      <c r="AK160" s="106">
        <v>0</v>
      </c>
      <c r="AL160" s="106">
        <v>0</v>
      </c>
      <c r="AM160" s="106">
        <v>0</v>
      </c>
      <c r="AN160" s="106">
        <v>0</v>
      </c>
      <c r="AO160" s="106">
        <v>0</v>
      </c>
      <c r="AP160" s="106">
        <v>0</v>
      </c>
      <c r="AQ160" s="106">
        <v>0</v>
      </c>
      <c r="AR160" s="106">
        <v>0</v>
      </c>
      <c r="AS160" s="106">
        <v>0</v>
      </c>
      <c r="AT160" s="106">
        <v>0</v>
      </c>
      <c r="AU160" s="106">
        <v>0</v>
      </c>
      <c r="AV160" s="106">
        <v>0</v>
      </c>
      <c r="AW160" s="106">
        <v>0</v>
      </c>
      <c r="AX160" s="106">
        <v>0</v>
      </c>
      <c r="AY160" s="106">
        <v>0</v>
      </c>
    </row>
    <row r="161" spans="1:52">
      <c r="A161" s="109"/>
      <c r="B161" s="130">
        <v>40</v>
      </c>
      <c r="C161" s="106">
        <v>0</v>
      </c>
      <c r="D161" s="106">
        <v>0</v>
      </c>
      <c r="E161" s="106">
        <v>0</v>
      </c>
      <c r="F161" s="106">
        <v>0</v>
      </c>
      <c r="G161" s="106">
        <v>0</v>
      </c>
      <c r="H161" s="106">
        <v>0</v>
      </c>
      <c r="I161" s="106">
        <v>0</v>
      </c>
      <c r="J161" s="106">
        <v>0</v>
      </c>
      <c r="K161" s="106">
        <v>0</v>
      </c>
      <c r="L161" s="106">
        <v>0</v>
      </c>
      <c r="M161" s="106">
        <v>0</v>
      </c>
      <c r="N161" s="106">
        <v>0</v>
      </c>
      <c r="O161" s="106">
        <v>0</v>
      </c>
      <c r="P161" s="106">
        <v>0</v>
      </c>
      <c r="Q161" s="106">
        <v>0</v>
      </c>
      <c r="R161" s="106">
        <v>0</v>
      </c>
      <c r="S161" s="106">
        <v>0</v>
      </c>
      <c r="T161" s="106">
        <v>0</v>
      </c>
      <c r="U161" s="106">
        <v>0</v>
      </c>
      <c r="V161" s="106">
        <v>0</v>
      </c>
      <c r="W161" s="106">
        <v>0</v>
      </c>
      <c r="X161" s="106">
        <v>0</v>
      </c>
      <c r="Y161" s="106">
        <v>0</v>
      </c>
      <c r="Z161" s="106">
        <v>0</v>
      </c>
      <c r="AA161" s="106">
        <v>0</v>
      </c>
      <c r="AB161" s="106">
        <v>0</v>
      </c>
      <c r="AC161" s="106">
        <v>0</v>
      </c>
      <c r="AD161" s="106">
        <v>0</v>
      </c>
      <c r="AE161" s="106">
        <v>0</v>
      </c>
      <c r="AF161" s="106">
        <v>0</v>
      </c>
      <c r="AG161" s="106">
        <v>0</v>
      </c>
      <c r="AH161" s="106">
        <v>0</v>
      </c>
      <c r="AI161" s="106">
        <v>0</v>
      </c>
      <c r="AJ161" s="106">
        <v>0</v>
      </c>
      <c r="AK161" s="106">
        <v>0</v>
      </c>
      <c r="AL161" s="106">
        <v>0</v>
      </c>
      <c r="AM161" s="106">
        <v>0</v>
      </c>
      <c r="AN161" s="106">
        <v>0</v>
      </c>
      <c r="AO161" s="106">
        <v>0</v>
      </c>
      <c r="AP161" s="106">
        <v>0</v>
      </c>
      <c r="AQ161" s="106">
        <v>0</v>
      </c>
      <c r="AR161" s="106">
        <v>0</v>
      </c>
      <c r="AS161" s="106">
        <v>0</v>
      </c>
      <c r="AT161" s="106">
        <v>0</v>
      </c>
      <c r="AU161" s="106">
        <v>0</v>
      </c>
      <c r="AV161" s="106">
        <v>0</v>
      </c>
      <c r="AW161" s="106">
        <v>0</v>
      </c>
      <c r="AX161" s="106">
        <v>0</v>
      </c>
      <c r="AY161" s="106">
        <v>0</v>
      </c>
    </row>
    <row r="162" spans="1:52">
      <c r="A162" s="109"/>
      <c r="B162" s="130">
        <v>41</v>
      </c>
      <c r="C162" s="106">
        <v>0</v>
      </c>
      <c r="D162" s="106">
        <v>0</v>
      </c>
      <c r="E162" s="106">
        <v>0</v>
      </c>
      <c r="F162" s="106">
        <v>0</v>
      </c>
      <c r="G162" s="106">
        <v>0</v>
      </c>
      <c r="H162" s="106">
        <v>0</v>
      </c>
      <c r="I162" s="106">
        <v>0</v>
      </c>
      <c r="J162" s="106">
        <v>0</v>
      </c>
      <c r="K162" s="106">
        <v>0</v>
      </c>
      <c r="L162" s="106">
        <v>0</v>
      </c>
      <c r="M162" s="106">
        <v>0</v>
      </c>
      <c r="N162" s="106">
        <v>0</v>
      </c>
      <c r="O162" s="106">
        <v>0</v>
      </c>
      <c r="P162" s="106">
        <v>0</v>
      </c>
      <c r="Q162" s="106">
        <v>0</v>
      </c>
      <c r="R162" s="106">
        <v>0</v>
      </c>
      <c r="S162" s="106">
        <v>0</v>
      </c>
      <c r="T162" s="106">
        <v>0</v>
      </c>
      <c r="U162" s="106">
        <v>0</v>
      </c>
      <c r="V162" s="106">
        <v>0</v>
      </c>
      <c r="W162" s="106">
        <v>0</v>
      </c>
      <c r="X162" s="106">
        <v>0</v>
      </c>
      <c r="Y162" s="106">
        <v>0</v>
      </c>
      <c r="Z162" s="106">
        <v>0</v>
      </c>
      <c r="AA162" s="106">
        <v>0</v>
      </c>
      <c r="AB162" s="106">
        <v>0</v>
      </c>
      <c r="AC162" s="106">
        <v>0</v>
      </c>
      <c r="AD162" s="106">
        <v>0</v>
      </c>
      <c r="AE162" s="106">
        <v>0</v>
      </c>
      <c r="AF162" s="106">
        <v>0</v>
      </c>
      <c r="AG162" s="106">
        <v>0</v>
      </c>
      <c r="AH162" s="106">
        <v>0</v>
      </c>
      <c r="AI162" s="106">
        <v>0</v>
      </c>
      <c r="AJ162" s="106">
        <v>0</v>
      </c>
      <c r="AK162" s="106">
        <v>0</v>
      </c>
      <c r="AL162" s="106">
        <v>0</v>
      </c>
      <c r="AM162" s="106">
        <v>0</v>
      </c>
      <c r="AN162" s="106">
        <v>0</v>
      </c>
      <c r="AO162" s="106">
        <v>0</v>
      </c>
      <c r="AP162" s="106">
        <v>0</v>
      </c>
      <c r="AQ162" s="106">
        <v>0</v>
      </c>
      <c r="AR162" s="106">
        <v>0</v>
      </c>
      <c r="AS162" s="106">
        <v>0</v>
      </c>
      <c r="AT162" s="106">
        <v>0</v>
      </c>
      <c r="AU162" s="106">
        <v>0</v>
      </c>
      <c r="AV162" s="106">
        <v>0</v>
      </c>
      <c r="AW162" s="106">
        <v>0</v>
      </c>
      <c r="AX162" s="106">
        <v>0</v>
      </c>
      <c r="AY162" s="106">
        <v>0</v>
      </c>
    </row>
    <row r="163" spans="1:52">
      <c r="A163" s="109"/>
      <c r="B163" s="130">
        <v>42</v>
      </c>
      <c r="C163" s="106">
        <v>0</v>
      </c>
      <c r="D163" s="106">
        <v>0</v>
      </c>
      <c r="E163" s="106">
        <v>0</v>
      </c>
      <c r="F163" s="106">
        <v>0</v>
      </c>
      <c r="G163" s="106">
        <v>0</v>
      </c>
      <c r="H163" s="106">
        <v>0</v>
      </c>
      <c r="I163" s="106">
        <v>0</v>
      </c>
      <c r="J163" s="106">
        <v>0</v>
      </c>
      <c r="K163" s="106">
        <v>0</v>
      </c>
      <c r="L163" s="106">
        <v>0</v>
      </c>
      <c r="M163" s="106">
        <v>0</v>
      </c>
      <c r="N163" s="106">
        <v>0</v>
      </c>
      <c r="O163" s="106">
        <v>0</v>
      </c>
      <c r="P163" s="106">
        <v>0</v>
      </c>
      <c r="Q163" s="106">
        <v>0</v>
      </c>
      <c r="R163" s="106">
        <v>0</v>
      </c>
      <c r="S163" s="106">
        <v>0</v>
      </c>
      <c r="T163" s="106">
        <v>0</v>
      </c>
      <c r="U163" s="106">
        <v>0</v>
      </c>
      <c r="V163" s="106">
        <v>0</v>
      </c>
      <c r="W163" s="106">
        <v>0</v>
      </c>
      <c r="X163" s="106">
        <v>0</v>
      </c>
      <c r="Y163" s="106">
        <v>0</v>
      </c>
      <c r="Z163" s="106">
        <v>0</v>
      </c>
      <c r="AA163" s="106">
        <v>0</v>
      </c>
      <c r="AB163" s="106">
        <v>0</v>
      </c>
      <c r="AC163" s="106">
        <v>0</v>
      </c>
      <c r="AD163" s="106">
        <v>0</v>
      </c>
      <c r="AE163" s="106">
        <v>0</v>
      </c>
      <c r="AF163" s="106">
        <v>0</v>
      </c>
      <c r="AG163" s="106">
        <v>0</v>
      </c>
      <c r="AH163" s="106">
        <v>0</v>
      </c>
      <c r="AI163" s="106">
        <v>0</v>
      </c>
      <c r="AJ163" s="106">
        <v>0</v>
      </c>
      <c r="AK163" s="106">
        <v>0</v>
      </c>
      <c r="AL163" s="106">
        <v>0</v>
      </c>
      <c r="AM163" s="106">
        <v>0</v>
      </c>
      <c r="AN163" s="106">
        <v>0</v>
      </c>
      <c r="AO163" s="106">
        <v>0</v>
      </c>
      <c r="AP163" s="106">
        <v>0</v>
      </c>
      <c r="AQ163" s="106">
        <v>0</v>
      </c>
      <c r="AR163" s="106">
        <v>0</v>
      </c>
      <c r="AS163" s="106">
        <v>0</v>
      </c>
      <c r="AT163" s="106">
        <v>0</v>
      </c>
      <c r="AU163" s="106">
        <v>0</v>
      </c>
      <c r="AV163" s="106">
        <v>0</v>
      </c>
      <c r="AW163" s="106">
        <v>0</v>
      </c>
      <c r="AX163" s="106">
        <v>0</v>
      </c>
      <c r="AY163" s="106">
        <v>0</v>
      </c>
    </row>
    <row r="164" spans="1:52">
      <c r="A164" s="109"/>
      <c r="B164" s="130">
        <v>43</v>
      </c>
      <c r="C164" s="106">
        <v>0</v>
      </c>
      <c r="D164" s="106">
        <v>0</v>
      </c>
      <c r="E164" s="106">
        <v>0</v>
      </c>
      <c r="F164" s="106">
        <v>0</v>
      </c>
      <c r="G164" s="106">
        <v>0</v>
      </c>
      <c r="H164" s="106">
        <v>0</v>
      </c>
      <c r="I164" s="106">
        <v>0</v>
      </c>
      <c r="J164" s="106">
        <v>0</v>
      </c>
      <c r="K164" s="106">
        <v>0</v>
      </c>
      <c r="L164" s="106">
        <v>0</v>
      </c>
      <c r="M164" s="106">
        <v>0</v>
      </c>
      <c r="N164" s="106">
        <v>0</v>
      </c>
      <c r="O164" s="106">
        <v>0</v>
      </c>
      <c r="P164" s="106">
        <v>0</v>
      </c>
      <c r="Q164" s="106">
        <v>0</v>
      </c>
      <c r="R164" s="106">
        <v>0</v>
      </c>
      <c r="S164" s="106">
        <v>0</v>
      </c>
      <c r="T164" s="106">
        <v>0</v>
      </c>
      <c r="U164" s="106">
        <v>0</v>
      </c>
      <c r="V164" s="106">
        <v>0</v>
      </c>
      <c r="W164" s="106">
        <v>0</v>
      </c>
      <c r="X164" s="106">
        <v>0</v>
      </c>
      <c r="Y164" s="106">
        <v>0</v>
      </c>
      <c r="Z164" s="106">
        <v>0</v>
      </c>
      <c r="AA164" s="106">
        <v>0</v>
      </c>
      <c r="AB164" s="106">
        <v>0</v>
      </c>
      <c r="AC164" s="106">
        <v>0</v>
      </c>
      <c r="AD164" s="106">
        <v>0</v>
      </c>
      <c r="AE164" s="106">
        <v>0</v>
      </c>
      <c r="AF164" s="106">
        <v>0</v>
      </c>
      <c r="AG164" s="106">
        <v>0</v>
      </c>
      <c r="AH164" s="106">
        <v>0</v>
      </c>
      <c r="AI164" s="106">
        <v>0</v>
      </c>
      <c r="AJ164" s="106">
        <v>0</v>
      </c>
      <c r="AK164" s="106">
        <v>0</v>
      </c>
      <c r="AL164" s="106">
        <v>0</v>
      </c>
      <c r="AM164" s="106">
        <v>0</v>
      </c>
      <c r="AN164" s="106">
        <v>0</v>
      </c>
      <c r="AO164" s="106">
        <v>0</v>
      </c>
      <c r="AP164" s="106">
        <v>0</v>
      </c>
      <c r="AQ164" s="106">
        <v>0</v>
      </c>
      <c r="AR164" s="106">
        <v>0</v>
      </c>
      <c r="AS164" s="106">
        <v>0</v>
      </c>
      <c r="AT164" s="106">
        <v>0</v>
      </c>
      <c r="AU164" s="106">
        <v>0</v>
      </c>
      <c r="AV164" s="106">
        <v>0</v>
      </c>
      <c r="AW164" s="106">
        <v>0</v>
      </c>
      <c r="AX164" s="106">
        <v>0</v>
      </c>
      <c r="AY164" s="106">
        <v>0</v>
      </c>
    </row>
    <row r="165" spans="1:52">
      <c r="A165" s="109"/>
      <c r="B165" s="130">
        <v>44</v>
      </c>
      <c r="C165" s="106">
        <v>0</v>
      </c>
      <c r="D165" s="106">
        <v>0</v>
      </c>
      <c r="E165" s="106">
        <v>0</v>
      </c>
      <c r="F165" s="106">
        <v>0</v>
      </c>
      <c r="G165" s="106">
        <v>0</v>
      </c>
      <c r="H165" s="106">
        <v>0</v>
      </c>
      <c r="I165" s="106">
        <v>0</v>
      </c>
      <c r="J165" s="106">
        <v>0</v>
      </c>
      <c r="K165" s="106">
        <v>0</v>
      </c>
      <c r="L165" s="106">
        <v>0</v>
      </c>
      <c r="M165" s="106">
        <v>0</v>
      </c>
      <c r="N165" s="106">
        <v>0</v>
      </c>
      <c r="O165" s="106">
        <v>0</v>
      </c>
      <c r="P165" s="106">
        <v>0</v>
      </c>
      <c r="Q165" s="106">
        <v>0</v>
      </c>
      <c r="R165" s="106">
        <v>0</v>
      </c>
      <c r="S165" s="106">
        <v>0</v>
      </c>
      <c r="T165" s="106">
        <v>0</v>
      </c>
      <c r="U165" s="106">
        <v>0</v>
      </c>
      <c r="V165" s="106">
        <v>0</v>
      </c>
      <c r="W165" s="106">
        <v>0</v>
      </c>
      <c r="X165" s="106">
        <v>0</v>
      </c>
      <c r="Y165" s="106">
        <v>0</v>
      </c>
      <c r="Z165" s="106">
        <v>0</v>
      </c>
      <c r="AA165" s="106">
        <v>0</v>
      </c>
      <c r="AB165" s="106">
        <v>0</v>
      </c>
      <c r="AC165" s="106">
        <v>0</v>
      </c>
      <c r="AD165" s="106">
        <v>0</v>
      </c>
      <c r="AE165" s="106">
        <v>0</v>
      </c>
      <c r="AF165" s="106">
        <v>0</v>
      </c>
      <c r="AG165" s="106">
        <v>0</v>
      </c>
      <c r="AH165" s="106">
        <v>0</v>
      </c>
      <c r="AI165" s="106">
        <v>0</v>
      </c>
      <c r="AJ165" s="106">
        <v>0</v>
      </c>
      <c r="AK165" s="106">
        <v>0</v>
      </c>
      <c r="AL165" s="106">
        <v>0</v>
      </c>
      <c r="AM165" s="106">
        <v>0</v>
      </c>
      <c r="AN165" s="106">
        <v>0</v>
      </c>
      <c r="AO165" s="106">
        <v>0</v>
      </c>
      <c r="AP165" s="106">
        <v>0</v>
      </c>
      <c r="AQ165" s="106">
        <v>0</v>
      </c>
      <c r="AR165" s="106">
        <v>0</v>
      </c>
      <c r="AS165" s="106">
        <v>0</v>
      </c>
      <c r="AT165" s="106">
        <v>0</v>
      </c>
      <c r="AU165" s="106">
        <v>0</v>
      </c>
      <c r="AV165" s="106">
        <v>0</v>
      </c>
      <c r="AW165" s="106">
        <v>0</v>
      </c>
      <c r="AX165" s="106">
        <v>0</v>
      </c>
      <c r="AY165" s="106">
        <v>0</v>
      </c>
    </row>
    <row r="166" spans="1:52">
      <c r="A166" s="109"/>
      <c r="B166" s="130">
        <v>45</v>
      </c>
      <c r="C166" s="106">
        <v>0</v>
      </c>
      <c r="D166" s="106">
        <v>0</v>
      </c>
      <c r="E166" s="106">
        <v>0</v>
      </c>
      <c r="F166" s="106">
        <v>0</v>
      </c>
      <c r="G166" s="106">
        <v>0</v>
      </c>
      <c r="H166" s="106">
        <v>0</v>
      </c>
      <c r="I166" s="106">
        <v>0</v>
      </c>
      <c r="J166" s="106">
        <v>0</v>
      </c>
      <c r="K166" s="106">
        <v>0</v>
      </c>
      <c r="L166" s="106">
        <v>0</v>
      </c>
      <c r="M166" s="106">
        <v>0</v>
      </c>
      <c r="N166" s="106">
        <v>0</v>
      </c>
      <c r="O166" s="106">
        <v>0</v>
      </c>
      <c r="P166" s="106">
        <v>0</v>
      </c>
      <c r="Q166" s="106">
        <v>0</v>
      </c>
      <c r="R166" s="106">
        <v>0</v>
      </c>
      <c r="S166" s="106">
        <v>0</v>
      </c>
      <c r="T166" s="106">
        <v>0</v>
      </c>
      <c r="U166" s="106">
        <v>0</v>
      </c>
      <c r="V166" s="106">
        <v>0</v>
      </c>
      <c r="W166" s="106">
        <v>0</v>
      </c>
      <c r="X166" s="106">
        <v>0</v>
      </c>
      <c r="Y166" s="106">
        <v>0</v>
      </c>
      <c r="Z166" s="106">
        <v>0</v>
      </c>
      <c r="AA166" s="106">
        <v>0</v>
      </c>
      <c r="AB166" s="106">
        <v>0</v>
      </c>
      <c r="AC166" s="106">
        <v>0</v>
      </c>
      <c r="AD166" s="106">
        <v>0</v>
      </c>
      <c r="AE166" s="106">
        <v>0</v>
      </c>
      <c r="AF166" s="106">
        <v>0</v>
      </c>
      <c r="AG166" s="106">
        <v>0</v>
      </c>
      <c r="AH166" s="106">
        <v>0</v>
      </c>
      <c r="AI166" s="106">
        <v>0</v>
      </c>
      <c r="AJ166" s="106">
        <v>0</v>
      </c>
      <c r="AK166" s="106">
        <v>0</v>
      </c>
      <c r="AL166" s="106">
        <v>0</v>
      </c>
      <c r="AM166" s="106">
        <v>0</v>
      </c>
      <c r="AN166" s="106">
        <v>0</v>
      </c>
      <c r="AO166" s="106">
        <v>0</v>
      </c>
      <c r="AP166" s="106">
        <v>0</v>
      </c>
      <c r="AQ166" s="106">
        <v>0</v>
      </c>
      <c r="AR166" s="106">
        <v>0</v>
      </c>
      <c r="AS166" s="106">
        <v>0</v>
      </c>
      <c r="AT166" s="106">
        <v>0</v>
      </c>
      <c r="AU166" s="106">
        <v>0</v>
      </c>
      <c r="AV166" s="106">
        <v>0</v>
      </c>
      <c r="AW166" s="106">
        <v>0</v>
      </c>
      <c r="AX166" s="106">
        <v>0</v>
      </c>
      <c r="AY166" s="106">
        <v>0</v>
      </c>
    </row>
    <row r="167" spans="1:52">
      <c r="A167" s="109"/>
      <c r="B167" s="130">
        <v>46</v>
      </c>
      <c r="C167" s="106">
        <v>0</v>
      </c>
      <c r="D167" s="106">
        <v>0</v>
      </c>
      <c r="E167" s="106">
        <v>0</v>
      </c>
      <c r="F167" s="106">
        <v>0</v>
      </c>
      <c r="G167" s="106">
        <v>0</v>
      </c>
      <c r="H167" s="106">
        <v>0</v>
      </c>
      <c r="I167" s="106">
        <v>0</v>
      </c>
      <c r="J167" s="106">
        <v>0</v>
      </c>
      <c r="K167" s="106">
        <v>0</v>
      </c>
      <c r="L167" s="106">
        <v>0</v>
      </c>
      <c r="M167" s="106">
        <v>0</v>
      </c>
      <c r="N167" s="106">
        <v>0</v>
      </c>
      <c r="O167" s="106">
        <v>0</v>
      </c>
      <c r="P167" s="106">
        <v>0</v>
      </c>
      <c r="Q167" s="106">
        <v>0</v>
      </c>
      <c r="R167" s="106">
        <v>0</v>
      </c>
      <c r="S167" s="106">
        <v>0</v>
      </c>
      <c r="T167" s="106">
        <v>0</v>
      </c>
      <c r="U167" s="106">
        <v>0</v>
      </c>
      <c r="V167" s="106">
        <v>0</v>
      </c>
      <c r="W167" s="106">
        <v>0</v>
      </c>
      <c r="X167" s="106">
        <v>0</v>
      </c>
      <c r="Y167" s="106">
        <v>0</v>
      </c>
      <c r="Z167" s="106">
        <v>0</v>
      </c>
      <c r="AA167" s="106">
        <v>0</v>
      </c>
      <c r="AB167" s="106">
        <v>0</v>
      </c>
      <c r="AC167" s="106">
        <v>0</v>
      </c>
      <c r="AD167" s="106">
        <v>0</v>
      </c>
      <c r="AE167" s="106">
        <v>0</v>
      </c>
      <c r="AF167" s="106">
        <v>0</v>
      </c>
      <c r="AG167" s="106">
        <v>0</v>
      </c>
      <c r="AH167" s="106">
        <v>0</v>
      </c>
      <c r="AI167" s="106">
        <v>0</v>
      </c>
      <c r="AJ167" s="106">
        <v>0</v>
      </c>
      <c r="AK167" s="106">
        <v>0</v>
      </c>
      <c r="AL167" s="106">
        <v>0</v>
      </c>
      <c r="AM167" s="106">
        <v>0</v>
      </c>
      <c r="AN167" s="106">
        <v>0</v>
      </c>
      <c r="AO167" s="106">
        <v>0</v>
      </c>
      <c r="AP167" s="106">
        <v>0</v>
      </c>
      <c r="AQ167" s="106">
        <v>0</v>
      </c>
      <c r="AR167" s="106">
        <v>0</v>
      </c>
      <c r="AS167" s="106">
        <v>0</v>
      </c>
      <c r="AT167" s="106">
        <v>0</v>
      </c>
      <c r="AU167" s="106">
        <v>0</v>
      </c>
      <c r="AV167" s="106">
        <v>0</v>
      </c>
      <c r="AW167" s="106">
        <v>0</v>
      </c>
      <c r="AX167" s="106">
        <v>0</v>
      </c>
      <c r="AY167" s="106">
        <v>0</v>
      </c>
    </row>
    <row r="168" spans="1:52">
      <c r="A168" s="109"/>
      <c r="B168" s="130">
        <v>47</v>
      </c>
      <c r="C168" s="106">
        <v>0</v>
      </c>
      <c r="D168" s="106">
        <v>0</v>
      </c>
      <c r="E168" s="106">
        <v>0</v>
      </c>
      <c r="F168" s="106">
        <v>0</v>
      </c>
      <c r="G168" s="106">
        <v>0</v>
      </c>
      <c r="H168" s="106">
        <v>0</v>
      </c>
      <c r="I168" s="106">
        <v>0</v>
      </c>
      <c r="J168" s="106">
        <v>0</v>
      </c>
      <c r="K168" s="106">
        <v>0</v>
      </c>
      <c r="L168" s="106">
        <v>0</v>
      </c>
      <c r="M168" s="106">
        <v>0</v>
      </c>
      <c r="N168" s="106">
        <v>0</v>
      </c>
      <c r="O168" s="106">
        <v>0</v>
      </c>
      <c r="P168" s="106">
        <v>0</v>
      </c>
      <c r="Q168" s="106">
        <v>0</v>
      </c>
      <c r="R168" s="106">
        <v>0</v>
      </c>
      <c r="S168" s="106">
        <v>0</v>
      </c>
      <c r="T168" s="106">
        <v>0</v>
      </c>
      <c r="U168" s="106">
        <v>0</v>
      </c>
      <c r="V168" s="106">
        <v>0</v>
      </c>
      <c r="W168" s="106">
        <v>0</v>
      </c>
      <c r="X168" s="106">
        <v>0</v>
      </c>
      <c r="Y168" s="106">
        <v>0</v>
      </c>
      <c r="Z168" s="106">
        <v>0</v>
      </c>
      <c r="AA168" s="106">
        <v>0</v>
      </c>
      <c r="AB168" s="106">
        <v>0</v>
      </c>
      <c r="AC168" s="106">
        <v>0</v>
      </c>
      <c r="AD168" s="106">
        <v>0</v>
      </c>
      <c r="AE168" s="106">
        <v>0</v>
      </c>
      <c r="AF168" s="106">
        <v>0</v>
      </c>
      <c r="AG168" s="106">
        <v>0</v>
      </c>
      <c r="AH168" s="106">
        <v>0</v>
      </c>
      <c r="AI168" s="106">
        <v>0</v>
      </c>
      <c r="AJ168" s="106">
        <v>0</v>
      </c>
      <c r="AK168" s="106">
        <v>0</v>
      </c>
      <c r="AL168" s="106">
        <v>0</v>
      </c>
      <c r="AM168" s="106">
        <v>0</v>
      </c>
      <c r="AN168" s="106">
        <v>0</v>
      </c>
      <c r="AO168" s="106">
        <v>0</v>
      </c>
      <c r="AP168" s="106">
        <v>0</v>
      </c>
      <c r="AQ168" s="106">
        <v>0</v>
      </c>
      <c r="AR168" s="106">
        <v>0</v>
      </c>
      <c r="AS168" s="106">
        <v>0</v>
      </c>
      <c r="AT168" s="106">
        <v>0</v>
      </c>
      <c r="AU168" s="106">
        <v>0</v>
      </c>
      <c r="AV168" s="106">
        <v>0</v>
      </c>
      <c r="AW168" s="106">
        <v>0</v>
      </c>
      <c r="AX168" s="106">
        <v>0</v>
      </c>
      <c r="AY168" s="106">
        <v>0</v>
      </c>
    </row>
    <row r="169" spans="1:52">
      <c r="A169" s="109"/>
      <c r="B169" s="130">
        <v>48</v>
      </c>
      <c r="C169" s="106">
        <v>0</v>
      </c>
      <c r="D169" s="106">
        <v>0</v>
      </c>
      <c r="E169" s="106">
        <v>0</v>
      </c>
      <c r="F169" s="106">
        <v>0</v>
      </c>
      <c r="G169" s="106">
        <v>0</v>
      </c>
      <c r="H169" s="106">
        <v>0</v>
      </c>
      <c r="I169" s="106">
        <v>0</v>
      </c>
      <c r="J169" s="106">
        <v>0</v>
      </c>
      <c r="K169" s="106">
        <v>0</v>
      </c>
      <c r="L169" s="106">
        <v>0</v>
      </c>
      <c r="M169" s="106">
        <v>0</v>
      </c>
      <c r="N169" s="106">
        <v>0</v>
      </c>
      <c r="O169" s="106">
        <v>0</v>
      </c>
      <c r="P169" s="106">
        <v>0</v>
      </c>
      <c r="Q169" s="106">
        <v>0</v>
      </c>
      <c r="R169" s="106">
        <v>0</v>
      </c>
      <c r="S169" s="106">
        <v>0</v>
      </c>
      <c r="T169" s="106">
        <v>0</v>
      </c>
      <c r="U169" s="106">
        <v>0</v>
      </c>
      <c r="V169" s="106">
        <v>0</v>
      </c>
      <c r="W169" s="106">
        <v>0</v>
      </c>
      <c r="X169" s="106">
        <v>0</v>
      </c>
      <c r="Y169" s="106">
        <v>0</v>
      </c>
      <c r="Z169" s="106">
        <v>0</v>
      </c>
      <c r="AA169" s="106">
        <v>0</v>
      </c>
      <c r="AB169" s="106">
        <v>0</v>
      </c>
      <c r="AC169" s="106">
        <v>0</v>
      </c>
      <c r="AD169" s="106">
        <v>0</v>
      </c>
      <c r="AE169" s="106">
        <v>0</v>
      </c>
      <c r="AF169" s="106">
        <v>0</v>
      </c>
      <c r="AG169" s="106">
        <v>0</v>
      </c>
      <c r="AH169" s="106">
        <v>0</v>
      </c>
      <c r="AI169" s="106">
        <v>0</v>
      </c>
      <c r="AJ169" s="106">
        <v>0</v>
      </c>
      <c r="AK169" s="106">
        <v>0</v>
      </c>
      <c r="AL169" s="106">
        <v>0</v>
      </c>
      <c r="AM169" s="106">
        <v>0</v>
      </c>
      <c r="AN169" s="106">
        <v>0</v>
      </c>
      <c r="AO169" s="106">
        <v>0</v>
      </c>
      <c r="AP169" s="106">
        <v>0</v>
      </c>
      <c r="AQ169" s="106">
        <v>0</v>
      </c>
      <c r="AR169" s="106">
        <v>0</v>
      </c>
      <c r="AS169" s="106">
        <v>0</v>
      </c>
      <c r="AT169" s="106">
        <v>0</v>
      </c>
      <c r="AU169" s="106">
        <v>0</v>
      </c>
      <c r="AV169" s="106">
        <v>0</v>
      </c>
      <c r="AW169" s="106">
        <v>0</v>
      </c>
      <c r="AX169" s="106">
        <v>0</v>
      </c>
      <c r="AY169" s="106">
        <v>0</v>
      </c>
    </row>
    <row r="170" spans="1:52">
      <c r="A170" s="128"/>
      <c r="B170" s="132" t="s">
        <v>296</v>
      </c>
      <c r="C170" s="114">
        <v>0</v>
      </c>
      <c r="D170" s="125">
        <v>0</v>
      </c>
      <c r="E170" s="125">
        <v>0</v>
      </c>
      <c r="F170" s="125">
        <v>0</v>
      </c>
      <c r="G170" s="125">
        <v>0</v>
      </c>
      <c r="H170" s="125">
        <v>0</v>
      </c>
      <c r="I170" s="125">
        <v>0</v>
      </c>
      <c r="J170" s="125">
        <v>0</v>
      </c>
      <c r="K170" s="125">
        <v>0</v>
      </c>
      <c r="L170" s="125">
        <v>0</v>
      </c>
      <c r="M170" s="125">
        <v>0</v>
      </c>
      <c r="N170" s="125">
        <v>0</v>
      </c>
      <c r="O170" s="125">
        <v>0</v>
      </c>
      <c r="P170" s="125">
        <v>0</v>
      </c>
      <c r="Q170" s="125">
        <v>0</v>
      </c>
      <c r="R170" s="125">
        <v>0</v>
      </c>
      <c r="S170" s="125">
        <v>0</v>
      </c>
      <c r="T170" s="125">
        <v>0</v>
      </c>
      <c r="U170" s="125">
        <v>0</v>
      </c>
      <c r="V170" s="125">
        <v>0</v>
      </c>
      <c r="W170" s="125">
        <v>0</v>
      </c>
      <c r="X170" s="125">
        <v>0</v>
      </c>
      <c r="Y170" s="125">
        <v>0</v>
      </c>
      <c r="Z170" s="125">
        <v>0</v>
      </c>
      <c r="AA170" s="125">
        <v>0</v>
      </c>
      <c r="AB170" s="125">
        <v>0</v>
      </c>
      <c r="AC170" s="125">
        <v>0</v>
      </c>
      <c r="AD170" s="125">
        <v>0</v>
      </c>
      <c r="AE170" s="125">
        <v>0</v>
      </c>
      <c r="AF170" s="125">
        <v>0</v>
      </c>
      <c r="AG170" s="125">
        <v>0</v>
      </c>
      <c r="AH170" s="125">
        <v>0</v>
      </c>
      <c r="AI170" s="125">
        <v>0</v>
      </c>
      <c r="AJ170" s="125">
        <v>0</v>
      </c>
      <c r="AK170" s="125">
        <v>0</v>
      </c>
      <c r="AL170" s="125">
        <v>0</v>
      </c>
      <c r="AM170" s="125">
        <v>0</v>
      </c>
      <c r="AN170" s="125">
        <v>0</v>
      </c>
      <c r="AO170" s="125">
        <v>0</v>
      </c>
      <c r="AP170" s="125">
        <v>0</v>
      </c>
      <c r="AQ170" s="125">
        <v>0</v>
      </c>
      <c r="AR170" s="125">
        <v>0</v>
      </c>
      <c r="AS170" s="125">
        <v>0</v>
      </c>
      <c r="AT170" s="125">
        <v>0</v>
      </c>
      <c r="AU170" s="125">
        <v>0</v>
      </c>
      <c r="AV170" s="125">
        <v>0</v>
      </c>
      <c r="AW170" s="125">
        <v>0</v>
      </c>
      <c r="AX170" s="125">
        <v>0</v>
      </c>
      <c r="AY170" s="125">
        <v>0</v>
      </c>
      <c r="AZ170" s="107">
        <f>SUM($D170:$AY170)</f>
        <v>0</v>
      </c>
    </row>
    <row r="172" spans="1:52">
      <c r="A172" s="102" t="s">
        <v>124</v>
      </c>
      <c r="B172" s="133" t="s">
        <v>297</v>
      </c>
      <c r="C172" s="134">
        <v>0.43627634665399007</v>
      </c>
      <c r="D172" s="134">
        <v>0.4374360379140263</v>
      </c>
      <c r="E172" s="134">
        <v>0.4374360379140263</v>
      </c>
      <c r="F172" s="134">
        <v>0.4374360379140263</v>
      </c>
      <c r="G172" s="134">
        <v>0.4374360379140263</v>
      </c>
      <c r="H172" s="134">
        <v>0.4374360379140263</v>
      </c>
      <c r="I172" s="134">
        <v>0.4374360379140263</v>
      </c>
      <c r="J172" s="134">
        <v>0.4374360379140263</v>
      </c>
      <c r="K172" s="134">
        <v>0.4374360379140263</v>
      </c>
      <c r="L172" s="134">
        <v>0.4374360379140263</v>
      </c>
      <c r="M172" s="134">
        <v>0.4374360379140263</v>
      </c>
      <c r="N172" s="134">
        <v>0.4374360379140263</v>
      </c>
      <c r="O172" s="134">
        <v>0.4374360379140263</v>
      </c>
      <c r="P172" s="134">
        <v>0.4374360379140263</v>
      </c>
      <c r="Q172" s="134">
        <v>0.4374360379140263</v>
      </c>
      <c r="R172" s="134">
        <v>0.4374360379140263</v>
      </c>
      <c r="S172" s="134">
        <v>0.4374360379140263</v>
      </c>
      <c r="T172" s="134">
        <v>0.4374360379140263</v>
      </c>
      <c r="U172" s="134">
        <v>0.4374360379140263</v>
      </c>
      <c r="V172" s="134">
        <v>0.4374360379140263</v>
      </c>
      <c r="W172" s="134">
        <v>0.4374360379140263</v>
      </c>
      <c r="X172" s="134">
        <v>0.4374360379140263</v>
      </c>
      <c r="Y172" s="134">
        <v>0.4374360379140263</v>
      </c>
      <c r="Z172" s="134">
        <v>0.4374360379140263</v>
      </c>
      <c r="AA172" s="134">
        <v>0.4374360379140263</v>
      </c>
      <c r="AB172" s="134">
        <v>0.4374360379140263</v>
      </c>
      <c r="AC172" s="134">
        <v>0.4374360379140263</v>
      </c>
      <c r="AD172" s="134">
        <v>0.4374360379140263</v>
      </c>
      <c r="AE172" s="134">
        <v>0.4374360379140263</v>
      </c>
      <c r="AF172" s="134">
        <v>0.4374360379140263</v>
      </c>
      <c r="AG172" s="134">
        <v>0.4374360379140263</v>
      </c>
      <c r="AH172" s="134">
        <v>0.4374360379140263</v>
      </c>
      <c r="AI172" s="134">
        <v>0.4374360379140263</v>
      </c>
      <c r="AJ172" s="134">
        <v>0.4374360379140263</v>
      </c>
      <c r="AK172" s="134">
        <v>0.4374360379140263</v>
      </c>
      <c r="AL172" s="134">
        <v>0.4374360379140263</v>
      </c>
      <c r="AM172" s="134">
        <v>0.4374360379140263</v>
      </c>
      <c r="AN172" s="134">
        <v>0.4374360379140263</v>
      </c>
      <c r="AO172" s="134">
        <v>0.4374360379140263</v>
      </c>
      <c r="AP172" s="134">
        <v>0.4374360379140263</v>
      </c>
      <c r="AQ172" s="134">
        <v>0.4374360379140263</v>
      </c>
      <c r="AR172" s="134">
        <v>0.4374360379140263</v>
      </c>
      <c r="AS172" s="134">
        <v>0.4374360379140263</v>
      </c>
      <c r="AT172" s="134">
        <v>0.4374360379140263</v>
      </c>
      <c r="AU172" s="134">
        <v>0.4374360379140263</v>
      </c>
      <c r="AV172" s="134">
        <v>0.4374360379140263</v>
      </c>
      <c r="AW172" s="134">
        <v>0.4374360379140263</v>
      </c>
      <c r="AX172" s="134">
        <v>0.4374360379140263</v>
      </c>
      <c r="AY172" s="134">
        <v>0.4374360379140263</v>
      </c>
    </row>
    <row r="174" spans="1:52">
      <c r="A174" s="102" t="s">
        <v>272</v>
      </c>
    </row>
    <row r="175" spans="1:52">
      <c r="A175" s="135" t="s">
        <v>125</v>
      </c>
      <c r="B175" s="135" t="s">
        <v>298</v>
      </c>
      <c r="C175" s="124" t="s">
        <v>293</v>
      </c>
      <c r="D175" s="124">
        <f t="shared" ref="D175:AY175" si="1">SUM(D95:D98)</f>
        <v>1058.2684952501929</v>
      </c>
      <c r="E175" s="124">
        <f t="shared" si="1"/>
        <v>1334.5369905003859</v>
      </c>
      <c r="F175" s="124">
        <f t="shared" si="1"/>
        <v>1356.8054857505788</v>
      </c>
      <c r="G175" s="124">
        <f t="shared" si="1"/>
        <v>1138.0739810007717</v>
      </c>
      <c r="H175" s="124">
        <f t="shared" si="1"/>
        <v>1273.3424762509646</v>
      </c>
      <c r="I175" s="124">
        <f t="shared" si="1"/>
        <v>1228.6109715011576</v>
      </c>
      <c r="J175" s="124">
        <f t="shared" si="1"/>
        <v>1143.8794667513505</v>
      </c>
      <c r="K175" s="124">
        <f t="shared" si="1"/>
        <v>1091.1479620015434</v>
      </c>
      <c r="L175" s="124">
        <f t="shared" si="1"/>
        <v>1058.2684952501929</v>
      </c>
      <c r="M175" s="124">
        <f t="shared" si="1"/>
        <v>1058.2684952501929</v>
      </c>
      <c r="N175" s="124">
        <f t="shared" si="1"/>
        <v>1058.2684952501929</v>
      </c>
      <c r="O175" s="124">
        <f t="shared" si="1"/>
        <v>1131.5369905003859</v>
      </c>
      <c r="P175" s="124">
        <f t="shared" si="1"/>
        <v>1087.8054857505788</v>
      </c>
      <c r="Q175" s="124">
        <f t="shared" si="1"/>
        <v>1058.2684952501929</v>
      </c>
      <c r="R175" s="124">
        <f t="shared" si="1"/>
        <v>1201.5369905003859</v>
      </c>
      <c r="S175" s="124">
        <f t="shared" si="1"/>
        <v>1352.8054857505788</v>
      </c>
      <c r="T175" s="124">
        <f t="shared" si="1"/>
        <v>1471.0739810007717</v>
      </c>
      <c r="U175" s="124">
        <f t="shared" si="1"/>
        <v>1451.3424762509646</v>
      </c>
      <c r="V175" s="124">
        <f t="shared" si="1"/>
        <v>1467.6109715011576</v>
      </c>
      <c r="W175" s="124">
        <f t="shared" si="1"/>
        <v>1541.8794667513505</v>
      </c>
      <c r="X175" s="124">
        <f t="shared" si="1"/>
        <v>1474.1479620015434</v>
      </c>
      <c r="Y175" s="124">
        <f t="shared" si="1"/>
        <v>1445.4164572517363</v>
      </c>
      <c r="Z175" s="124">
        <f t="shared" si="1"/>
        <v>1279.6849525019293</v>
      </c>
      <c r="AA175" s="124">
        <f t="shared" si="1"/>
        <v>1332.9534477521222</v>
      </c>
      <c r="AB175" s="124">
        <f t="shared" si="1"/>
        <v>1323.2219430023151</v>
      </c>
      <c r="AC175" s="124">
        <f t="shared" si="1"/>
        <v>1464.4904382525081</v>
      </c>
      <c r="AD175" s="124">
        <f t="shared" si="1"/>
        <v>1500.758933502701</v>
      </c>
      <c r="AE175" s="124">
        <f t="shared" si="1"/>
        <v>1300.0274287528939</v>
      </c>
      <c r="AF175" s="124">
        <f t="shared" si="1"/>
        <v>1550.2074568645799</v>
      </c>
      <c r="AG175" s="124">
        <f t="shared" si="1"/>
        <v>1601.3874849762658</v>
      </c>
      <c r="AH175" s="124">
        <f t="shared" si="1"/>
        <v>1682.5675130879517</v>
      </c>
      <c r="AI175" s="124">
        <f t="shared" si="1"/>
        <v>1929.7475411996377</v>
      </c>
      <c r="AJ175" s="124">
        <f t="shared" si="1"/>
        <v>1913.0160364498306</v>
      </c>
      <c r="AK175" s="124">
        <f t="shared" si="1"/>
        <v>1850.2845317000235</v>
      </c>
      <c r="AL175" s="124">
        <f t="shared" si="1"/>
        <v>1835.5530269502165</v>
      </c>
      <c r="AM175" s="124">
        <f t="shared" si="1"/>
        <v>1877.8215222004094</v>
      </c>
      <c r="AN175" s="124">
        <f t="shared" si="1"/>
        <v>1813.0900174506023</v>
      </c>
      <c r="AO175" s="124">
        <f t="shared" si="1"/>
        <v>1877.3585127007952</v>
      </c>
      <c r="AP175" s="124">
        <f t="shared" si="1"/>
        <v>1978.6270079509882</v>
      </c>
      <c r="AQ175" s="124">
        <f t="shared" si="1"/>
        <v>1928.8955032011811</v>
      </c>
      <c r="AR175" s="124">
        <f t="shared" si="1"/>
        <v>1719.163998451374</v>
      </c>
      <c r="AS175" s="124">
        <f t="shared" si="1"/>
        <v>1767.432493701567</v>
      </c>
      <c r="AT175" s="124">
        <f t="shared" si="1"/>
        <v>1769.7009889517599</v>
      </c>
      <c r="AU175" s="124">
        <f t="shared" si="1"/>
        <v>1639.9694842019528</v>
      </c>
      <c r="AV175" s="124">
        <f t="shared" si="1"/>
        <v>1583.2379794521457</v>
      </c>
      <c r="AW175" s="124">
        <f t="shared" si="1"/>
        <v>1458.5064747023387</v>
      </c>
      <c r="AX175" s="124">
        <f t="shared" si="1"/>
        <v>1420.7749699525316</v>
      </c>
      <c r="AY175" s="124">
        <f t="shared" si="1"/>
        <v>1423.0434652027245</v>
      </c>
    </row>
    <row r="176" spans="1:52">
      <c r="A176" s="125"/>
      <c r="B176" s="136" t="s">
        <v>299</v>
      </c>
      <c r="C176" s="125" t="s">
        <v>293</v>
      </c>
      <c r="D176" s="125">
        <v>782</v>
      </c>
      <c r="E176" s="125">
        <v>1036</v>
      </c>
      <c r="F176" s="125">
        <v>1277</v>
      </c>
      <c r="G176" s="125">
        <v>923</v>
      </c>
      <c r="H176" s="125">
        <v>1103</v>
      </c>
      <c r="I176" s="125">
        <v>1143</v>
      </c>
      <c r="J176" s="125">
        <v>1111</v>
      </c>
      <c r="K176" s="125">
        <v>1091.1479620015434</v>
      </c>
      <c r="L176" s="125">
        <v>1058.2684952501929</v>
      </c>
      <c r="M176" s="125">
        <v>1058.2684952501929</v>
      </c>
      <c r="N176" s="125">
        <v>985</v>
      </c>
      <c r="O176" s="125">
        <v>1102</v>
      </c>
      <c r="P176" s="125">
        <v>1087.8054857505788</v>
      </c>
      <c r="Q176" s="125">
        <v>915</v>
      </c>
      <c r="R176" s="125">
        <v>907</v>
      </c>
      <c r="S176" s="125">
        <v>940</v>
      </c>
      <c r="T176" s="125">
        <v>1078</v>
      </c>
      <c r="U176" s="125">
        <v>1042</v>
      </c>
      <c r="V176" s="125">
        <v>984</v>
      </c>
      <c r="W176" s="125">
        <v>1126</v>
      </c>
      <c r="X176" s="125">
        <v>1087</v>
      </c>
      <c r="Y176" s="125">
        <v>1224</v>
      </c>
      <c r="Z176" s="125">
        <v>1005</v>
      </c>
      <c r="AA176" s="125">
        <v>1068</v>
      </c>
      <c r="AB176" s="125">
        <v>917</v>
      </c>
      <c r="AC176" s="125">
        <v>1022</v>
      </c>
      <c r="AD176" s="125">
        <v>1259</v>
      </c>
      <c r="AE176" s="125">
        <v>1013</v>
      </c>
      <c r="AF176" s="125">
        <v>1212</v>
      </c>
      <c r="AG176" s="125">
        <v>1182</v>
      </c>
      <c r="AH176" s="125">
        <v>1016</v>
      </c>
      <c r="AI176" s="125">
        <v>1075</v>
      </c>
      <c r="AJ176" s="125">
        <v>1121</v>
      </c>
      <c r="AK176" s="125">
        <v>1073</v>
      </c>
      <c r="AL176" s="125">
        <v>1016</v>
      </c>
      <c r="AM176" s="125">
        <v>1123</v>
      </c>
      <c r="AN176" s="125">
        <v>994</v>
      </c>
      <c r="AO176" s="125">
        <v>957</v>
      </c>
      <c r="AP176" s="125">
        <v>1108</v>
      </c>
      <c r="AQ176" s="125">
        <v>1268</v>
      </c>
      <c r="AR176" s="125">
        <v>1010</v>
      </c>
      <c r="AS176" s="125">
        <v>1056</v>
      </c>
      <c r="AT176" s="125">
        <v>1188</v>
      </c>
      <c r="AU176" s="125">
        <v>1115</v>
      </c>
      <c r="AV176" s="125">
        <v>1183</v>
      </c>
      <c r="AW176" s="125">
        <v>1096</v>
      </c>
      <c r="AX176" s="125">
        <v>1056</v>
      </c>
      <c r="AY176" s="125">
        <v>1207</v>
      </c>
    </row>
    <row r="177" spans="1:51">
      <c r="A177" s="135" t="s">
        <v>133</v>
      </c>
      <c r="B177" s="135" t="s">
        <v>298</v>
      </c>
      <c r="C177" s="124" t="s">
        <v>293</v>
      </c>
      <c r="D177" s="124">
        <f t="shared" ref="D177:AY177" si="2">SUM(D100:D107)</f>
        <v>24.104054366957627</v>
      </c>
      <c r="E177" s="124">
        <f t="shared" si="2"/>
        <v>16.25322376130438</v>
      </c>
      <c r="F177" s="124">
        <f t="shared" si="2"/>
        <v>610.74520421119007</v>
      </c>
      <c r="G177" s="124">
        <f t="shared" si="2"/>
        <v>610.74520421119007</v>
      </c>
      <c r="H177" s="124">
        <f t="shared" si="2"/>
        <v>323.10738620064171</v>
      </c>
      <c r="I177" s="124">
        <f t="shared" si="2"/>
        <v>610.74520421119007</v>
      </c>
      <c r="J177" s="124">
        <f t="shared" si="2"/>
        <v>610.74520421119007</v>
      </c>
      <c r="K177" s="124">
        <f t="shared" si="2"/>
        <v>358.76603522098497</v>
      </c>
      <c r="L177" s="124">
        <f t="shared" si="2"/>
        <v>591.36219121194358</v>
      </c>
      <c r="M177" s="124">
        <f t="shared" si="2"/>
        <v>1221.4904084223801</v>
      </c>
      <c r="N177" s="124">
        <f t="shared" si="2"/>
        <v>1235.2356126335703</v>
      </c>
      <c r="O177" s="124">
        <f t="shared" si="2"/>
        <v>849.98080762226846</v>
      </c>
      <c r="P177" s="124">
        <f t="shared" si="2"/>
        <v>1124.7260210559502</v>
      </c>
      <c r="Q177" s="124">
        <f t="shared" si="2"/>
        <v>1005.4712252671404</v>
      </c>
      <c r="R177" s="124">
        <f t="shared" si="2"/>
        <v>1008.2164294783305</v>
      </c>
      <c r="S177" s="124">
        <f t="shared" si="2"/>
        <v>887.96163368952057</v>
      </c>
      <c r="T177" s="124">
        <f t="shared" si="2"/>
        <v>264.96163368952057</v>
      </c>
      <c r="U177" s="124">
        <f t="shared" si="2"/>
        <v>1221.4904084223801</v>
      </c>
      <c r="V177" s="124">
        <f t="shared" si="2"/>
        <v>576.49040842238014</v>
      </c>
      <c r="W177" s="124">
        <f t="shared" si="2"/>
        <v>901.49039919988832</v>
      </c>
      <c r="X177" s="124">
        <f t="shared" si="2"/>
        <v>769.23560341107827</v>
      </c>
      <c r="Y177" s="124">
        <f t="shared" si="2"/>
        <v>471.23561263357021</v>
      </c>
      <c r="Z177" s="124">
        <f t="shared" si="2"/>
        <v>1221.4904084223801</v>
      </c>
      <c r="AA177" s="124">
        <f t="shared" si="2"/>
        <v>1213.2356126335703</v>
      </c>
      <c r="AB177" s="124">
        <f t="shared" si="2"/>
        <v>764.98080762226846</v>
      </c>
      <c r="AC177" s="124">
        <f t="shared" si="2"/>
        <v>950.72602105595035</v>
      </c>
      <c r="AD177" s="124">
        <f t="shared" si="2"/>
        <v>788.47122526714043</v>
      </c>
      <c r="AE177" s="124">
        <f t="shared" si="2"/>
        <v>828.2164294783305</v>
      </c>
      <c r="AF177" s="124">
        <f t="shared" si="2"/>
        <v>692.96163368952057</v>
      </c>
      <c r="AG177" s="124">
        <f t="shared" si="2"/>
        <v>0</v>
      </c>
      <c r="AH177" s="124">
        <f t="shared" si="2"/>
        <v>1339.7484275776544</v>
      </c>
      <c r="AI177" s="124">
        <f t="shared" si="2"/>
        <v>1425.7516509441189</v>
      </c>
      <c r="AJ177" s="124">
        <f t="shared" si="2"/>
        <v>671.75165094411875</v>
      </c>
      <c r="AK177" s="124">
        <f t="shared" si="2"/>
        <v>290.7451949886979</v>
      </c>
      <c r="AL177" s="124">
        <f t="shared" si="2"/>
        <v>1167.2612517442308</v>
      </c>
      <c r="AM177" s="124">
        <f t="shared" si="2"/>
        <v>1385.7516509441191</v>
      </c>
      <c r="AN177" s="124">
        <f t="shared" si="2"/>
        <v>1021.7516601666109</v>
      </c>
      <c r="AO177" s="124">
        <f t="shared" si="2"/>
        <v>921.49686437780099</v>
      </c>
      <c r="AP177" s="124">
        <f t="shared" si="2"/>
        <v>1406.987272800181</v>
      </c>
      <c r="AQ177" s="124">
        <f t="shared" si="2"/>
        <v>741.98727280018113</v>
      </c>
      <c r="AR177" s="124">
        <f t="shared" si="2"/>
        <v>1221.4904084223801</v>
      </c>
      <c r="AS177" s="124">
        <f t="shared" si="2"/>
        <v>1109.2356126335703</v>
      </c>
      <c r="AT177" s="124">
        <f t="shared" si="2"/>
        <v>1057.9808168447603</v>
      </c>
      <c r="AU177" s="124">
        <f t="shared" si="2"/>
        <v>342.98081684476028</v>
      </c>
      <c r="AV177" s="124">
        <f t="shared" si="2"/>
        <v>901.49039919988832</v>
      </c>
      <c r="AW177" s="124">
        <f t="shared" si="2"/>
        <v>599.49040842238014</v>
      </c>
      <c r="AX177" s="124">
        <f t="shared" si="2"/>
        <v>1221.4904084223801</v>
      </c>
      <c r="AY177" s="124">
        <f t="shared" si="2"/>
        <v>499.49040842238014</v>
      </c>
    </row>
    <row r="178" spans="1:51">
      <c r="A178" s="125"/>
      <c r="B178" s="136" t="s">
        <v>299</v>
      </c>
      <c r="C178" s="125" t="s">
        <v>293</v>
      </c>
      <c r="D178" s="125">
        <v>24.104054366957627</v>
      </c>
      <c r="E178" s="125">
        <v>16.25322376130438</v>
      </c>
      <c r="F178" s="125">
        <v>610.74520421119007</v>
      </c>
      <c r="G178" s="125">
        <v>559</v>
      </c>
      <c r="H178" s="125">
        <v>323.10738620064171</v>
      </c>
      <c r="I178" s="125">
        <v>610.74520421119007</v>
      </c>
      <c r="J178" s="125">
        <v>610.74520421119007</v>
      </c>
      <c r="K178" s="125">
        <v>358.76603522098497</v>
      </c>
      <c r="L178" s="125">
        <v>591.36219121194358</v>
      </c>
      <c r="M178" s="125">
        <v>597</v>
      </c>
      <c r="N178" s="125">
        <v>676</v>
      </c>
      <c r="O178" s="125">
        <v>656</v>
      </c>
      <c r="P178" s="125">
        <v>730</v>
      </c>
      <c r="Q178" s="125">
        <v>608</v>
      </c>
      <c r="R178" s="125">
        <v>731</v>
      </c>
      <c r="S178" s="125">
        <v>623</v>
      </c>
      <c r="T178" s="125">
        <v>264.96163368952057</v>
      </c>
      <c r="U178" s="125">
        <v>645</v>
      </c>
      <c r="V178" s="125">
        <v>576.49040842238014</v>
      </c>
      <c r="W178" s="125">
        <v>743</v>
      </c>
      <c r="X178" s="125">
        <v>618</v>
      </c>
      <c r="Y178" s="125">
        <v>471.23561263357021</v>
      </c>
      <c r="Z178" s="125">
        <v>619</v>
      </c>
      <c r="AA178" s="125">
        <v>739</v>
      </c>
      <c r="AB178" s="125">
        <v>745</v>
      </c>
      <c r="AC178" s="125">
        <v>773</v>
      </c>
      <c r="AD178" s="125">
        <v>571</v>
      </c>
      <c r="AE178" s="125">
        <v>746</v>
      </c>
      <c r="AF178" s="125">
        <v>692.96163368952057</v>
      </c>
      <c r="AG178" s="125">
        <v>0</v>
      </c>
      <c r="AH178" s="125">
        <v>643</v>
      </c>
      <c r="AI178" s="125">
        <v>754</v>
      </c>
      <c r="AJ178" s="125">
        <v>671.75165094411875</v>
      </c>
      <c r="AK178" s="125">
        <v>290.7451949886979</v>
      </c>
      <c r="AL178" s="125">
        <v>683</v>
      </c>
      <c r="AM178" s="125">
        <v>684</v>
      </c>
      <c r="AN178" s="125">
        <v>711</v>
      </c>
      <c r="AO178" s="125">
        <v>736</v>
      </c>
      <c r="AP178" s="125">
        <v>665</v>
      </c>
      <c r="AQ178" s="125">
        <v>741.98727280018113</v>
      </c>
      <c r="AR178" s="125">
        <v>723</v>
      </c>
      <c r="AS178" s="125">
        <v>662</v>
      </c>
      <c r="AT178" s="125">
        <v>715</v>
      </c>
      <c r="AU178" s="125">
        <v>342.98081684476028</v>
      </c>
      <c r="AV178" s="125">
        <v>622</v>
      </c>
      <c r="AW178" s="125">
        <v>599.49040842238014</v>
      </c>
      <c r="AX178" s="125">
        <v>722</v>
      </c>
      <c r="AY178" s="125">
        <v>499.49040842238014</v>
      </c>
    </row>
    <row r="179" spans="1:51">
      <c r="A179" s="135" t="s">
        <v>134</v>
      </c>
      <c r="B179" s="135" t="s">
        <v>298</v>
      </c>
      <c r="C179" s="124" t="s">
        <v>293</v>
      </c>
      <c r="D179" s="124">
        <f t="shared" ref="D179:AY179" si="3">SUM(D109:D120)</f>
        <v>93.603227758915295</v>
      </c>
      <c r="E179" s="124">
        <f t="shared" si="3"/>
        <v>234.08399165634273</v>
      </c>
      <c r="F179" s="124">
        <f t="shared" si="3"/>
        <v>227.03530373952682</v>
      </c>
      <c r="G179" s="124">
        <f t="shared" si="3"/>
        <v>369.47812221162661</v>
      </c>
      <c r="H179" s="124">
        <f t="shared" si="3"/>
        <v>369.47812221162661</v>
      </c>
      <c r="I179" s="124">
        <f t="shared" si="3"/>
        <v>288.16050007943221</v>
      </c>
      <c r="J179" s="124">
        <f t="shared" si="3"/>
        <v>369.47812221162661</v>
      </c>
      <c r="K179" s="124">
        <f t="shared" si="3"/>
        <v>369.47812221162661</v>
      </c>
      <c r="L179" s="124">
        <f t="shared" si="3"/>
        <v>309.10283674510049</v>
      </c>
      <c r="M179" s="124">
        <f t="shared" si="3"/>
        <v>364.83386948343224</v>
      </c>
      <c r="N179" s="124">
        <f t="shared" si="3"/>
        <v>515.8152825385414</v>
      </c>
      <c r="O179" s="124">
        <f t="shared" si="3"/>
        <v>508.21391588262787</v>
      </c>
      <c r="P179" s="124">
        <f t="shared" si="3"/>
        <v>295.33964561859841</v>
      </c>
      <c r="Q179" s="124">
        <f t="shared" si="3"/>
        <v>446.15149161562664</v>
      </c>
      <c r="R179" s="124">
        <f t="shared" si="3"/>
        <v>369.47812221162656</v>
      </c>
      <c r="S179" s="124">
        <f t="shared" si="3"/>
        <v>369.47812221162656</v>
      </c>
      <c r="T179" s="124">
        <f t="shared" si="3"/>
        <v>369.47812221162656</v>
      </c>
      <c r="U179" s="124">
        <f t="shared" si="3"/>
        <v>223.14096188471174</v>
      </c>
      <c r="V179" s="124">
        <f t="shared" si="3"/>
        <v>515.8152825385414</v>
      </c>
      <c r="W179" s="124">
        <f t="shared" si="3"/>
        <v>342.33305481804155</v>
      </c>
      <c r="X179" s="124">
        <f t="shared" si="3"/>
        <v>439.14191313454131</v>
      </c>
      <c r="Y179" s="124">
        <f t="shared" si="3"/>
        <v>380.62003534616787</v>
      </c>
      <c r="Z179" s="124">
        <f t="shared" si="3"/>
        <v>299.8143312887118</v>
      </c>
      <c r="AA179" s="124">
        <f t="shared" si="3"/>
        <v>515.8152825385414</v>
      </c>
      <c r="AB179" s="124">
        <f t="shared" si="3"/>
        <v>396.29340475016795</v>
      </c>
      <c r="AC179" s="124">
        <f t="shared" si="3"/>
        <v>292.80475280762647</v>
      </c>
      <c r="AD179" s="124">
        <f t="shared" si="3"/>
        <v>446.15149161562658</v>
      </c>
      <c r="AE179" s="124">
        <f t="shared" si="3"/>
        <v>369.47812221162656</v>
      </c>
      <c r="AF179" s="124">
        <f t="shared" si="3"/>
        <v>369.47812221162656</v>
      </c>
      <c r="AG179" s="124">
        <f t="shared" si="3"/>
        <v>369.47812221162656</v>
      </c>
      <c r="AH179" s="124">
        <f t="shared" si="3"/>
        <v>223.14096188471174</v>
      </c>
      <c r="AI179" s="124">
        <f t="shared" si="3"/>
        <v>544.15040918340765</v>
      </c>
      <c r="AJ179" s="124">
        <f t="shared" si="3"/>
        <v>402.96365803990039</v>
      </c>
      <c r="AK179" s="124">
        <f t="shared" si="3"/>
        <v>223.14096188471174</v>
      </c>
      <c r="AL179" s="124">
        <f t="shared" si="3"/>
        <v>292.80475280762647</v>
      </c>
      <c r="AM179" s="124">
        <f t="shared" si="3"/>
        <v>502.82174490535891</v>
      </c>
      <c r="AN179" s="124">
        <f t="shared" si="3"/>
        <v>439.14191313454137</v>
      </c>
      <c r="AO179" s="124">
        <f t="shared" si="3"/>
        <v>332.00195161640096</v>
      </c>
      <c r="AP179" s="124">
        <f t="shared" si="3"/>
        <v>369.47812221162656</v>
      </c>
      <c r="AQ179" s="124">
        <f t="shared" si="3"/>
        <v>515.8152825385414</v>
      </c>
      <c r="AR179" s="124">
        <f t="shared" si="3"/>
        <v>223.14096188471174</v>
      </c>
      <c r="AS179" s="124">
        <f t="shared" si="3"/>
        <v>515.8152825385414</v>
      </c>
      <c r="AT179" s="124">
        <f t="shared" si="3"/>
        <v>459.55617870583484</v>
      </c>
      <c r="AU179" s="124">
        <f t="shared" si="3"/>
        <v>369.47812221162656</v>
      </c>
      <c r="AV179" s="124">
        <f t="shared" si="3"/>
        <v>223.14096188471174</v>
      </c>
      <c r="AW179" s="124">
        <f t="shared" si="3"/>
        <v>439.14191313454131</v>
      </c>
      <c r="AX179" s="124">
        <f t="shared" si="3"/>
        <v>299.8143312887118</v>
      </c>
      <c r="AY179" s="124">
        <f t="shared" si="3"/>
        <v>515.8152825385414</v>
      </c>
    </row>
    <row r="180" spans="1:51">
      <c r="A180" s="125"/>
      <c r="B180" s="136" t="s">
        <v>299</v>
      </c>
      <c r="C180" s="125" t="s">
        <v>293</v>
      </c>
      <c r="D180" s="125">
        <v>93.603227758915295</v>
      </c>
      <c r="E180" s="125">
        <v>234.08399165634273</v>
      </c>
      <c r="F180" s="125">
        <v>227.03530373952682</v>
      </c>
      <c r="G180" s="125">
        <v>369.47812221162661</v>
      </c>
      <c r="H180" s="125">
        <v>369.47812221162661</v>
      </c>
      <c r="I180" s="125">
        <v>288.16050007943221</v>
      </c>
      <c r="J180" s="125">
        <v>369.47812221162661</v>
      </c>
      <c r="K180" s="125">
        <v>369.47812221162661</v>
      </c>
      <c r="L180" s="125">
        <v>309.10283674510049</v>
      </c>
      <c r="M180" s="125">
        <v>364.83386948343224</v>
      </c>
      <c r="N180" s="125">
        <v>425</v>
      </c>
      <c r="O180" s="125">
        <v>508.21391588262787</v>
      </c>
      <c r="P180" s="125">
        <v>295.33964561859841</v>
      </c>
      <c r="Q180" s="125">
        <v>446.15149161562664</v>
      </c>
      <c r="R180" s="125">
        <v>369.47812221162656</v>
      </c>
      <c r="S180" s="125">
        <v>369.47812221162656</v>
      </c>
      <c r="T180" s="125">
        <v>369.47812221162656</v>
      </c>
      <c r="U180" s="125">
        <v>223.14096188471174</v>
      </c>
      <c r="V180" s="125">
        <v>409.07474619976279</v>
      </c>
      <c r="W180" s="125">
        <v>342.33305481804155</v>
      </c>
      <c r="X180" s="125">
        <v>428</v>
      </c>
      <c r="Y180" s="125">
        <v>380.62003534616787</v>
      </c>
      <c r="Z180" s="125">
        <v>299.8143312887118</v>
      </c>
      <c r="AA180" s="125">
        <v>489</v>
      </c>
      <c r="AB180" s="125">
        <v>396.29340475016795</v>
      </c>
      <c r="AC180" s="125">
        <v>292.80475280762647</v>
      </c>
      <c r="AD180" s="125">
        <v>446.15149161562658</v>
      </c>
      <c r="AE180" s="125">
        <v>369.47812221162656</v>
      </c>
      <c r="AF180" s="125">
        <v>369.47812221162656</v>
      </c>
      <c r="AG180" s="125">
        <v>369.47812221162656</v>
      </c>
      <c r="AH180" s="125">
        <v>223.14096188471174</v>
      </c>
      <c r="AI180" s="125">
        <v>539</v>
      </c>
      <c r="AJ180" s="125">
        <v>402.96365803990039</v>
      </c>
      <c r="AK180" s="125">
        <v>223.14096188471174</v>
      </c>
      <c r="AL180" s="125">
        <v>292.80475280762647</v>
      </c>
      <c r="AM180" s="125">
        <v>502.82174490535891</v>
      </c>
      <c r="AN180" s="125">
        <v>439.14191313454137</v>
      </c>
      <c r="AO180" s="125">
        <v>332.00195161640096</v>
      </c>
      <c r="AP180" s="125">
        <v>369.47812221162656</v>
      </c>
      <c r="AQ180" s="125">
        <v>515.8152825385414</v>
      </c>
      <c r="AR180" s="125">
        <v>223.14096188471174</v>
      </c>
      <c r="AS180" s="125">
        <v>438</v>
      </c>
      <c r="AT180" s="125">
        <v>459.55617870583484</v>
      </c>
      <c r="AU180" s="125">
        <v>369.47812221162656</v>
      </c>
      <c r="AV180" s="125">
        <v>223.14096188471174</v>
      </c>
      <c r="AW180" s="125">
        <v>439.14191313454131</v>
      </c>
      <c r="AX180" s="125">
        <v>299.8143312887118</v>
      </c>
      <c r="AY180" s="125">
        <v>515.8152825385414</v>
      </c>
    </row>
    <row r="181" spans="1:51">
      <c r="A181" s="135" t="s">
        <v>123</v>
      </c>
      <c r="B181" s="135" t="s">
        <v>298</v>
      </c>
      <c r="C181" s="124" t="s">
        <v>293</v>
      </c>
      <c r="D181" s="124">
        <f t="shared" ref="D181:AY181" si="4">(1-D172)*SUM(D122:D169)</f>
        <v>301.04336724303903</v>
      </c>
      <c r="E181" s="124">
        <f t="shared" si="4"/>
        <v>291.97841269356769</v>
      </c>
      <c r="F181" s="124">
        <f t="shared" si="4"/>
        <v>475.16678627267123</v>
      </c>
      <c r="G181" s="124">
        <f t="shared" si="4"/>
        <v>475.16678627267123</v>
      </c>
      <c r="H181" s="124">
        <f t="shared" si="4"/>
        <v>370.58837999356098</v>
      </c>
      <c r="I181" s="124">
        <f t="shared" si="4"/>
        <v>475.16678627267123</v>
      </c>
      <c r="J181" s="124">
        <f t="shared" si="4"/>
        <v>475.16678627267123</v>
      </c>
      <c r="K181" s="124">
        <f t="shared" si="4"/>
        <v>397.52124072940239</v>
      </c>
      <c r="L181" s="124">
        <f t="shared" si="4"/>
        <v>469.19405200011209</v>
      </c>
      <c r="M181" s="124">
        <f t="shared" si="4"/>
        <v>663.36347236760957</v>
      </c>
      <c r="N181" s="124">
        <f t="shared" si="4"/>
        <v>536.79488791792267</v>
      </c>
      <c r="O181" s="124">
        <f t="shared" si="4"/>
        <v>379.82110937307073</v>
      </c>
      <c r="P181" s="124">
        <f t="shared" si="4"/>
        <v>573.77245827922241</v>
      </c>
      <c r="Q181" s="124">
        <f t="shared" si="4"/>
        <v>475.16678627267117</v>
      </c>
      <c r="R181" s="124">
        <f t="shared" si="4"/>
        <v>475.16678627267117</v>
      </c>
      <c r="S181" s="124">
        <f t="shared" si="4"/>
        <v>475.16678627267117</v>
      </c>
      <c r="T181" s="124">
        <f t="shared" si="4"/>
        <v>286.97010017773289</v>
      </c>
      <c r="U181" s="124">
        <f t="shared" si="4"/>
        <v>663.36347236760957</v>
      </c>
      <c r="V181" s="124">
        <f t="shared" si="4"/>
        <v>302.98340590666135</v>
      </c>
      <c r="W181" s="124">
        <f t="shared" si="4"/>
        <v>564.75780036105846</v>
      </c>
      <c r="X181" s="124">
        <f t="shared" si="4"/>
        <v>475.16678627267117</v>
      </c>
      <c r="Y181" s="124">
        <f t="shared" si="4"/>
        <v>385.57577218428406</v>
      </c>
      <c r="Z181" s="124">
        <f t="shared" si="4"/>
        <v>663.36347236760957</v>
      </c>
      <c r="AA181" s="124">
        <f t="shared" si="4"/>
        <v>475.16678627267117</v>
      </c>
      <c r="AB181" s="124">
        <f t="shared" si="4"/>
        <v>376.56111426612011</v>
      </c>
      <c r="AC181" s="124">
        <f t="shared" si="4"/>
        <v>573.77245827922229</v>
      </c>
      <c r="AD181" s="124">
        <f t="shared" si="4"/>
        <v>475.16678627267117</v>
      </c>
      <c r="AE181" s="124">
        <f t="shared" si="4"/>
        <v>475.16678627267117</v>
      </c>
      <c r="AF181" s="124">
        <f t="shared" si="4"/>
        <v>475.16678627267117</v>
      </c>
      <c r="AG181" s="124">
        <f t="shared" si="4"/>
        <v>286.97010017773289</v>
      </c>
      <c r="AH181" s="124">
        <f t="shared" si="4"/>
        <v>699.80381959541774</v>
      </c>
      <c r="AI181" s="124">
        <f t="shared" si="4"/>
        <v>511.60713350047939</v>
      </c>
      <c r="AJ181" s="124">
        <f t="shared" si="4"/>
        <v>286.97010017773289</v>
      </c>
      <c r="AK181" s="124">
        <f t="shared" si="4"/>
        <v>376.56111426612</v>
      </c>
      <c r="AL181" s="124">
        <f t="shared" si="4"/>
        <v>646.6531527348385</v>
      </c>
      <c r="AM181" s="124">
        <f t="shared" si="4"/>
        <v>564.75780036105846</v>
      </c>
      <c r="AN181" s="124">
        <f t="shared" si="4"/>
        <v>426.97061314894796</v>
      </c>
      <c r="AO181" s="124">
        <f t="shared" si="4"/>
        <v>475.16678627267117</v>
      </c>
      <c r="AP181" s="124">
        <f t="shared" si="4"/>
        <v>663.36347236760957</v>
      </c>
      <c r="AQ181" s="124">
        <f t="shared" si="4"/>
        <v>286.97010017773289</v>
      </c>
      <c r="AR181" s="124">
        <f t="shared" si="4"/>
        <v>663.36347236760957</v>
      </c>
      <c r="AS181" s="124">
        <f t="shared" si="4"/>
        <v>490.93730837131119</v>
      </c>
      <c r="AT181" s="124">
        <f t="shared" si="4"/>
        <v>475.16678627267117</v>
      </c>
      <c r="AU181" s="124">
        <f t="shared" si="4"/>
        <v>286.97010017773289</v>
      </c>
      <c r="AV181" s="124">
        <f t="shared" si="4"/>
        <v>564.75780036105846</v>
      </c>
      <c r="AW181" s="124">
        <f t="shared" si="4"/>
        <v>385.57577218428406</v>
      </c>
      <c r="AX181" s="124">
        <f t="shared" si="4"/>
        <v>663.36347236760957</v>
      </c>
      <c r="AY181" s="124">
        <f t="shared" si="4"/>
        <v>286.97010017773289</v>
      </c>
    </row>
    <row r="182" spans="1:51">
      <c r="A182" s="125"/>
      <c r="B182" s="136" t="s">
        <v>299</v>
      </c>
      <c r="C182" s="125" t="s">
        <v>293</v>
      </c>
      <c r="D182" s="125">
        <v>301.04336724303903</v>
      </c>
      <c r="E182" s="125">
        <v>291.97841269356769</v>
      </c>
      <c r="F182" s="125">
        <v>475.16678627267123</v>
      </c>
      <c r="G182" s="125">
        <v>475.16678627267123</v>
      </c>
      <c r="H182" s="125">
        <v>370.58837999356098</v>
      </c>
      <c r="I182" s="125">
        <v>475.16678627267123</v>
      </c>
      <c r="J182" s="125">
        <v>475.16678627267123</v>
      </c>
      <c r="K182" s="125">
        <v>397.52124072940239</v>
      </c>
      <c r="L182" s="125">
        <v>469.19405200011209</v>
      </c>
      <c r="M182" s="125">
        <v>553.81485958989822</v>
      </c>
      <c r="N182" s="125">
        <v>531</v>
      </c>
      <c r="O182" s="125">
        <v>379.82110937307073</v>
      </c>
      <c r="P182" s="125">
        <v>573.77245827922241</v>
      </c>
      <c r="Q182" s="125">
        <v>475.16678627267117</v>
      </c>
      <c r="R182" s="125">
        <v>475.16678627267117</v>
      </c>
      <c r="S182" s="125">
        <v>475.16678627267117</v>
      </c>
      <c r="T182" s="125">
        <v>286.97010017773289</v>
      </c>
      <c r="U182" s="125">
        <v>634.8986100441299</v>
      </c>
      <c r="V182" s="125">
        <v>302.98340590666135</v>
      </c>
      <c r="W182" s="125">
        <v>564.75780036105846</v>
      </c>
      <c r="X182" s="125">
        <v>475.16678627267117</v>
      </c>
      <c r="Y182" s="125">
        <v>385.57577218428406</v>
      </c>
      <c r="Z182" s="125">
        <v>663.36347236760957</v>
      </c>
      <c r="AA182" s="125">
        <v>475.16678627267117</v>
      </c>
      <c r="AB182" s="125">
        <v>376.56111426612011</v>
      </c>
      <c r="AC182" s="125">
        <v>573.77245827922229</v>
      </c>
      <c r="AD182" s="125">
        <v>475.16678627267117</v>
      </c>
      <c r="AE182" s="125">
        <v>475.16678627267117</v>
      </c>
      <c r="AF182" s="125">
        <v>475.16678627267117</v>
      </c>
      <c r="AG182" s="125">
        <v>286.97010017773289</v>
      </c>
      <c r="AH182" s="125">
        <v>699.80381959541774</v>
      </c>
      <c r="AI182" s="125">
        <v>511.60713350047939</v>
      </c>
      <c r="AJ182" s="125">
        <v>286.97010017773289</v>
      </c>
      <c r="AK182" s="125">
        <v>376.56111426612</v>
      </c>
      <c r="AL182" s="125">
        <v>646.6531527348385</v>
      </c>
      <c r="AM182" s="125">
        <v>491.1753390687054</v>
      </c>
      <c r="AN182" s="125">
        <v>426.97061314894796</v>
      </c>
      <c r="AO182" s="125">
        <v>475.16678627267117</v>
      </c>
      <c r="AP182" s="125">
        <v>663.36347236760957</v>
      </c>
      <c r="AQ182" s="125">
        <v>286.97010017773289</v>
      </c>
      <c r="AR182" s="125">
        <v>635.33017631330267</v>
      </c>
      <c r="AS182" s="125">
        <v>490.93730837131119</v>
      </c>
      <c r="AT182" s="125">
        <v>475.16678627267117</v>
      </c>
      <c r="AU182" s="125">
        <v>286.97010017773289</v>
      </c>
      <c r="AV182" s="125">
        <v>564.75780036105846</v>
      </c>
      <c r="AW182" s="125">
        <v>385.57577218428406</v>
      </c>
      <c r="AX182" s="125">
        <v>663.36347236760957</v>
      </c>
      <c r="AY182" s="125">
        <v>286.97010017773289</v>
      </c>
    </row>
    <row r="184" spans="1:51">
      <c r="A184" s="102" t="s">
        <v>300</v>
      </c>
    </row>
    <row r="185" spans="1:51">
      <c r="A185" s="126" t="s">
        <v>125</v>
      </c>
      <c r="B185" s="123">
        <v>1</v>
      </c>
      <c r="C185" s="124">
        <v>20.845030141967712</v>
      </c>
      <c r="D185" s="124">
        <v>782</v>
      </c>
      <c r="E185" s="124">
        <v>759.73150474980707</v>
      </c>
      <c r="F185" s="124">
        <v>978.46300949961415</v>
      </c>
      <c r="G185" s="124">
        <v>843.19451424942122</v>
      </c>
      <c r="H185" s="124">
        <v>887.92601899922829</v>
      </c>
      <c r="I185" s="124">
        <v>972.65752374903536</v>
      </c>
      <c r="J185" s="124">
        <v>1025.3890284988424</v>
      </c>
      <c r="K185" s="124">
        <v>1058.2684952501929</v>
      </c>
      <c r="L185" s="124">
        <v>1058.2684952501929</v>
      </c>
      <c r="M185" s="124">
        <v>1058.2684952501929</v>
      </c>
      <c r="N185" s="124">
        <v>985</v>
      </c>
      <c r="O185" s="124">
        <v>1028.7315047498071</v>
      </c>
      <c r="P185" s="124">
        <v>1058.2684952501929</v>
      </c>
      <c r="Q185" s="124">
        <v>915</v>
      </c>
      <c r="R185" s="124">
        <v>763.73150474980707</v>
      </c>
      <c r="S185" s="124">
        <v>645.46300949961415</v>
      </c>
      <c r="T185" s="124">
        <v>665.19451424942122</v>
      </c>
      <c r="U185" s="124">
        <v>648.92601899922829</v>
      </c>
      <c r="V185" s="124">
        <v>574.65752374903536</v>
      </c>
      <c r="W185" s="124">
        <v>642.38902849884244</v>
      </c>
      <c r="X185" s="124">
        <v>671.12053324864951</v>
      </c>
      <c r="Y185" s="124">
        <v>836.85203799845658</v>
      </c>
      <c r="Z185" s="124">
        <v>783.58354274826365</v>
      </c>
      <c r="AA185" s="124">
        <v>793.31504749807073</v>
      </c>
      <c r="AB185" s="124">
        <v>652.0465522478778</v>
      </c>
      <c r="AC185" s="124">
        <v>615.77805699768487</v>
      </c>
      <c r="AD185" s="124">
        <v>816.50956174749194</v>
      </c>
      <c r="AE185" s="124">
        <v>771.24106649729902</v>
      </c>
      <c r="AF185" s="124">
        <v>924.97257124710609</v>
      </c>
      <c r="AG185" s="124">
        <v>843.79254313542015</v>
      </c>
      <c r="AH185" s="124">
        <v>596.6125150237342</v>
      </c>
      <c r="AI185" s="124">
        <v>408.43248691204826</v>
      </c>
      <c r="AJ185" s="124">
        <v>266.25245880036232</v>
      </c>
      <c r="AK185" s="124">
        <v>280.98396355016939</v>
      </c>
      <c r="AL185" s="124">
        <v>238.71546829997646</v>
      </c>
      <c r="AM185" s="124">
        <v>303.44697304978354</v>
      </c>
      <c r="AN185" s="124">
        <v>239.17847779959061</v>
      </c>
      <c r="AO185" s="124">
        <v>137.90998254939768</v>
      </c>
      <c r="AP185" s="124">
        <v>187.64148729920475</v>
      </c>
      <c r="AQ185" s="124">
        <v>397.37299204901183</v>
      </c>
      <c r="AR185" s="124">
        <v>349.1044967988189</v>
      </c>
      <c r="AS185" s="124">
        <v>346.83600154862597</v>
      </c>
      <c r="AT185" s="124">
        <v>476.56750629843305</v>
      </c>
      <c r="AU185" s="124">
        <v>533.29901104824012</v>
      </c>
      <c r="AV185" s="124">
        <v>658.03051579804719</v>
      </c>
      <c r="AW185" s="124">
        <v>695.76202054785426</v>
      </c>
      <c r="AX185" s="124">
        <v>693.49352529766134</v>
      </c>
      <c r="AY185" s="124">
        <v>842.22503004746841</v>
      </c>
    </row>
    <row r="186" spans="1:51">
      <c r="A186" s="109"/>
      <c r="B186" s="120">
        <v>2</v>
      </c>
      <c r="C186" s="106">
        <v>0</v>
      </c>
      <c r="D186" s="106">
        <v>0</v>
      </c>
      <c r="E186" s="106">
        <v>276.26849525019293</v>
      </c>
      <c r="F186" s="106">
        <v>298.53699050038585</v>
      </c>
      <c r="G186" s="106">
        <v>79.805485750578782</v>
      </c>
      <c r="H186" s="106">
        <v>215.07398100077171</v>
      </c>
      <c r="I186" s="106">
        <v>170.34247625096464</v>
      </c>
      <c r="J186" s="106">
        <v>85.610971501157564</v>
      </c>
      <c r="K186" s="106">
        <v>32.879466751350492</v>
      </c>
      <c r="L186" s="106">
        <v>0</v>
      </c>
      <c r="M186" s="106">
        <v>0</v>
      </c>
      <c r="N186" s="106">
        <v>0</v>
      </c>
      <c r="O186" s="106">
        <v>73.268495250192927</v>
      </c>
      <c r="P186" s="106">
        <v>29.536990500385855</v>
      </c>
      <c r="Q186" s="106">
        <v>0</v>
      </c>
      <c r="R186" s="106">
        <v>143.26849525019293</v>
      </c>
      <c r="S186" s="106">
        <v>294.53699050038585</v>
      </c>
      <c r="T186" s="106">
        <v>412.80548575057878</v>
      </c>
      <c r="U186" s="106">
        <v>393.07398100077171</v>
      </c>
      <c r="V186" s="106">
        <v>409.34247625096464</v>
      </c>
      <c r="W186" s="106">
        <v>483.61097150115756</v>
      </c>
      <c r="X186" s="106">
        <v>415.87946675135049</v>
      </c>
      <c r="Y186" s="106">
        <v>387.14796200154342</v>
      </c>
      <c r="Z186" s="106">
        <v>221.41645725173635</v>
      </c>
      <c r="AA186" s="106">
        <v>274.68495250192927</v>
      </c>
      <c r="AB186" s="106">
        <v>264.9534477521222</v>
      </c>
      <c r="AC186" s="106">
        <v>406.22194300231513</v>
      </c>
      <c r="AD186" s="106">
        <v>442.49043825250806</v>
      </c>
      <c r="AE186" s="106">
        <v>241.75893350270098</v>
      </c>
      <c r="AF186" s="106">
        <v>287.02742875289391</v>
      </c>
      <c r="AG186" s="106">
        <v>338.20745686457985</v>
      </c>
      <c r="AH186" s="106">
        <v>419.3874849762658</v>
      </c>
      <c r="AI186" s="106">
        <v>666.56751308795174</v>
      </c>
      <c r="AJ186" s="106">
        <v>854.74754119963768</v>
      </c>
      <c r="AK186" s="106">
        <v>792.01603644983061</v>
      </c>
      <c r="AL186" s="106">
        <v>777.28453170002354</v>
      </c>
      <c r="AM186" s="106">
        <v>819.55302695021646</v>
      </c>
      <c r="AN186" s="106">
        <v>754.82152220040939</v>
      </c>
      <c r="AO186" s="106">
        <v>819.09001745060232</v>
      </c>
      <c r="AP186" s="106">
        <v>920.35851270079525</v>
      </c>
      <c r="AQ186" s="106">
        <v>870.62700795098817</v>
      </c>
      <c r="AR186" s="106">
        <v>660.8955032011811</v>
      </c>
      <c r="AS186" s="106">
        <v>709.16399845137403</v>
      </c>
      <c r="AT186" s="106">
        <v>711.43249370156695</v>
      </c>
      <c r="AU186" s="106">
        <v>581.70098895175988</v>
      </c>
      <c r="AV186" s="106">
        <v>524.96948420195281</v>
      </c>
      <c r="AW186" s="106">
        <v>400.23797945214574</v>
      </c>
      <c r="AX186" s="106">
        <v>362.50647470233866</v>
      </c>
      <c r="AY186" s="106">
        <v>364.77496995253159</v>
      </c>
    </row>
    <row r="187" spans="1:51">
      <c r="A187" s="109"/>
      <c r="B187" s="127">
        <v>3</v>
      </c>
      <c r="C187" s="106">
        <v>0</v>
      </c>
      <c r="D187" s="106">
        <v>0</v>
      </c>
      <c r="E187" s="106">
        <v>0</v>
      </c>
      <c r="F187" s="106">
        <v>0</v>
      </c>
      <c r="G187" s="106">
        <v>0</v>
      </c>
      <c r="H187" s="106">
        <v>0</v>
      </c>
      <c r="I187" s="106">
        <v>0</v>
      </c>
      <c r="J187" s="106">
        <v>0</v>
      </c>
      <c r="K187" s="106">
        <v>0</v>
      </c>
      <c r="L187" s="106">
        <v>0</v>
      </c>
      <c r="M187" s="106">
        <v>0</v>
      </c>
      <c r="N187" s="106">
        <v>0</v>
      </c>
      <c r="O187" s="106">
        <v>0</v>
      </c>
      <c r="P187" s="106">
        <v>0</v>
      </c>
      <c r="Q187" s="106">
        <v>0</v>
      </c>
      <c r="R187" s="106">
        <v>0</v>
      </c>
      <c r="S187" s="106">
        <v>0</v>
      </c>
      <c r="T187" s="106">
        <v>0</v>
      </c>
      <c r="U187" s="106">
        <v>0</v>
      </c>
      <c r="V187" s="106">
        <v>0</v>
      </c>
      <c r="W187" s="106">
        <v>0</v>
      </c>
      <c r="X187" s="106">
        <v>0</v>
      </c>
      <c r="Y187" s="106">
        <v>0</v>
      </c>
      <c r="Z187" s="106">
        <v>0</v>
      </c>
      <c r="AA187" s="106">
        <v>0</v>
      </c>
      <c r="AB187" s="106">
        <v>0</v>
      </c>
      <c r="AC187" s="106">
        <v>0</v>
      </c>
      <c r="AD187" s="106">
        <v>0</v>
      </c>
      <c r="AE187" s="106">
        <v>0</v>
      </c>
      <c r="AF187" s="106">
        <v>0</v>
      </c>
      <c r="AG187" s="106">
        <v>0</v>
      </c>
      <c r="AH187" s="106">
        <v>0</v>
      </c>
      <c r="AI187" s="106">
        <v>0</v>
      </c>
      <c r="AJ187" s="106">
        <v>0</v>
      </c>
      <c r="AK187" s="106">
        <v>0</v>
      </c>
      <c r="AL187" s="106">
        <v>0</v>
      </c>
      <c r="AM187" s="106">
        <v>0</v>
      </c>
      <c r="AN187" s="106">
        <v>0</v>
      </c>
      <c r="AO187" s="106">
        <v>0</v>
      </c>
      <c r="AP187" s="106">
        <v>0</v>
      </c>
      <c r="AQ187" s="106">
        <v>0</v>
      </c>
      <c r="AR187" s="106">
        <v>0</v>
      </c>
      <c r="AS187" s="106">
        <v>0</v>
      </c>
      <c r="AT187" s="106">
        <v>0</v>
      </c>
      <c r="AU187" s="106">
        <v>0</v>
      </c>
      <c r="AV187" s="106">
        <v>0</v>
      </c>
      <c r="AW187" s="106">
        <v>0</v>
      </c>
      <c r="AX187" s="106">
        <v>0</v>
      </c>
      <c r="AY187" s="106">
        <v>0</v>
      </c>
    </row>
    <row r="188" spans="1:51">
      <c r="A188" s="128"/>
      <c r="B188" s="129">
        <v>4</v>
      </c>
      <c r="C188" s="106">
        <v>0</v>
      </c>
      <c r="D188" s="106">
        <v>0</v>
      </c>
      <c r="E188" s="106">
        <v>0</v>
      </c>
      <c r="F188" s="106">
        <v>0</v>
      </c>
      <c r="G188" s="106">
        <v>0</v>
      </c>
      <c r="H188" s="106">
        <v>0</v>
      </c>
      <c r="I188" s="106">
        <v>0</v>
      </c>
      <c r="J188" s="106">
        <v>0</v>
      </c>
      <c r="K188" s="106">
        <v>0</v>
      </c>
      <c r="L188" s="106">
        <v>0</v>
      </c>
      <c r="M188" s="106">
        <v>0</v>
      </c>
      <c r="N188" s="106">
        <v>0</v>
      </c>
      <c r="O188" s="106">
        <v>0</v>
      </c>
      <c r="P188" s="106">
        <v>0</v>
      </c>
      <c r="Q188" s="106">
        <v>0</v>
      </c>
      <c r="R188" s="106">
        <v>0</v>
      </c>
      <c r="S188" s="106">
        <v>0</v>
      </c>
      <c r="T188" s="106">
        <v>0</v>
      </c>
      <c r="U188" s="106">
        <v>0</v>
      </c>
      <c r="V188" s="106">
        <v>0</v>
      </c>
      <c r="W188" s="106">
        <v>0</v>
      </c>
      <c r="X188" s="106">
        <v>0</v>
      </c>
      <c r="Y188" s="106">
        <v>0</v>
      </c>
      <c r="Z188" s="106">
        <v>0</v>
      </c>
      <c r="AA188" s="106">
        <v>0</v>
      </c>
      <c r="AB188" s="106">
        <v>0</v>
      </c>
      <c r="AC188" s="106">
        <v>0</v>
      </c>
      <c r="AD188" s="106">
        <v>0</v>
      </c>
      <c r="AE188" s="106">
        <v>0</v>
      </c>
      <c r="AF188" s="106">
        <v>0</v>
      </c>
      <c r="AG188" s="106">
        <v>0</v>
      </c>
      <c r="AH188" s="106">
        <v>0</v>
      </c>
      <c r="AI188" s="106">
        <v>0</v>
      </c>
      <c r="AJ188" s="106">
        <v>0</v>
      </c>
      <c r="AK188" s="106">
        <v>0</v>
      </c>
      <c r="AL188" s="106">
        <v>0</v>
      </c>
      <c r="AM188" s="106">
        <v>0</v>
      </c>
      <c r="AN188" s="106">
        <v>0</v>
      </c>
      <c r="AO188" s="106">
        <v>0</v>
      </c>
      <c r="AP188" s="106">
        <v>0</v>
      </c>
      <c r="AQ188" s="106">
        <v>0</v>
      </c>
      <c r="AR188" s="106">
        <v>0</v>
      </c>
      <c r="AS188" s="106">
        <v>0</v>
      </c>
      <c r="AT188" s="106">
        <v>0</v>
      </c>
      <c r="AU188" s="106">
        <v>0</v>
      </c>
      <c r="AV188" s="106">
        <v>0</v>
      </c>
      <c r="AW188" s="106">
        <v>0</v>
      </c>
      <c r="AX188" s="106">
        <v>0</v>
      </c>
      <c r="AY188" s="106">
        <v>0</v>
      </c>
    </row>
    <row r="189" spans="1:51">
      <c r="A189" s="126" t="s">
        <v>133</v>
      </c>
      <c r="B189" s="123">
        <v>1</v>
      </c>
      <c r="C189" s="124">
        <v>0</v>
      </c>
      <c r="D189" s="124">
        <v>24.104054366957627</v>
      </c>
      <c r="E189" s="124">
        <v>16.25322376130438</v>
      </c>
      <c r="F189" s="124">
        <v>610.74520421119007</v>
      </c>
      <c r="G189" s="124">
        <v>559</v>
      </c>
      <c r="H189" s="124">
        <v>271.36218198945164</v>
      </c>
      <c r="I189" s="124">
        <v>610.74520421119007</v>
      </c>
      <c r="J189" s="124">
        <v>271.36218198945164</v>
      </c>
      <c r="K189" s="124">
        <v>19.383012999246539</v>
      </c>
      <c r="L189" s="124">
        <v>0</v>
      </c>
      <c r="M189" s="124">
        <v>597</v>
      </c>
      <c r="N189" s="124">
        <v>51.509591577619858</v>
      </c>
      <c r="O189" s="124">
        <v>96.764387366429787</v>
      </c>
      <c r="P189" s="124">
        <v>216.01918315523972</v>
      </c>
      <c r="Q189" s="124">
        <v>213.27397894404965</v>
      </c>
      <c r="R189" s="124">
        <v>333.52877473285957</v>
      </c>
      <c r="S189" s="124">
        <v>345.7835705216695</v>
      </c>
      <c r="T189" s="124">
        <v>0</v>
      </c>
      <c r="U189" s="124">
        <v>645</v>
      </c>
      <c r="V189" s="124">
        <v>0</v>
      </c>
      <c r="W189" s="124">
        <v>132.25479578880993</v>
      </c>
      <c r="X189" s="124">
        <v>459.50960080011174</v>
      </c>
      <c r="Y189" s="124">
        <v>0</v>
      </c>
      <c r="Z189" s="124">
        <v>619</v>
      </c>
      <c r="AA189" s="124">
        <v>136.50959157761986</v>
      </c>
      <c r="AB189" s="124">
        <v>270.76438736642979</v>
      </c>
      <c r="AC189" s="124">
        <v>433.01918315523972</v>
      </c>
      <c r="AD189" s="124">
        <v>393.27397894404965</v>
      </c>
      <c r="AE189" s="124">
        <v>528.52877473285957</v>
      </c>
      <c r="AF189" s="124">
        <v>610.74520421119007</v>
      </c>
      <c r="AG189" s="124">
        <v>0</v>
      </c>
      <c r="AH189" s="124">
        <v>32.254795788809929</v>
      </c>
      <c r="AI189" s="124">
        <v>57.251572422345589</v>
      </c>
      <c r="AJ189" s="124">
        <v>0</v>
      </c>
      <c r="AK189" s="124">
        <v>290.7451949886979</v>
      </c>
      <c r="AL189" s="124">
        <v>0</v>
      </c>
      <c r="AM189" s="124">
        <v>0</v>
      </c>
      <c r="AN189" s="124">
        <v>0</v>
      </c>
      <c r="AO189" s="124">
        <v>0</v>
      </c>
      <c r="AP189" s="124">
        <v>479.50313562219901</v>
      </c>
      <c r="AQ189" s="124">
        <v>0</v>
      </c>
      <c r="AR189" s="124">
        <v>112.25479578880993</v>
      </c>
      <c r="AS189" s="124">
        <v>163.50959157761986</v>
      </c>
      <c r="AT189" s="124">
        <v>267.76438736642979</v>
      </c>
      <c r="AU189" s="124">
        <v>0</v>
      </c>
      <c r="AV189" s="124">
        <v>11.254795788809929</v>
      </c>
      <c r="AW189" s="124">
        <v>0</v>
      </c>
      <c r="AX189" s="124">
        <v>111.25479578880993</v>
      </c>
      <c r="AY189" s="124">
        <v>0</v>
      </c>
    </row>
    <row r="190" spans="1:51">
      <c r="A190" s="109"/>
      <c r="B190" s="119">
        <v>2</v>
      </c>
      <c r="C190" s="106">
        <v>1.4210854715202004E-14</v>
      </c>
      <c r="D190" s="106">
        <v>0</v>
      </c>
      <c r="E190" s="106">
        <v>0</v>
      </c>
      <c r="F190" s="106">
        <v>0</v>
      </c>
      <c r="G190" s="106">
        <v>0</v>
      </c>
      <c r="H190" s="106">
        <v>51.745204211190071</v>
      </c>
      <c r="I190" s="106">
        <v>0</v>
      </c>
      <c r="J190" s="106">
        <v>0</v>
      </c>
      <c r="K190" s="106">
        <v>339.38302222173843</v>
      </c>
      <c r="L190" s="106">
        <v>591.36219121194358</v>
      </c>
      <c r="M190" s="106">
        <v>0</v>
      </c>
      <c r="N190" s="106">
        <v>624.49040842238014</v>
      </c>
      <c r="O190" s="106">
        <v>559.23561263357021</v>
      </c>
      <c r="P190" s="106">
        <v>513.98081684476028</v>
      </c>
      <c r="Q190" s="106">
        <v>394.72602105595035</v>
      </c>
      <c r="R190" s="106">
        <v>397.47122526714043</v>
      </c>
      <c r="S190" s="106">
        <v>277.2164294783305</v>
      </c>
      <c r="T190" s="106">
        <v>264.96163368952057</v>
      </c>
      <c r="U190" s="106">
        <v>0</v>
      </c>
      <c r="V190" s="106">
        <v>576.49040842238014</v>
      </c>
      <c r="W190" s="106">
        <v>610.74520421119007</v>
      </c>
      <c r="X190" s="106">
        <v>158.49039919988826</v>
      </c>
      <c r="Y190" s="106">
        <v>151.23560341107833</v>
      </c>
      <c r="Z190" s="106">
        <v>0</v>
      </c>
      <c r="AA190" s="106">
        <v>602.49040842238014</v>
      </c>
      <c r="AB190" s="106">
        <v>474.23561263357021</v>
      </c>
      <c r="AC190" s="106">
        <v>339.98081684476028</v>
      </c>
      <c r="AD190" s="106">
        <v>177.72602105595035</v>
      </c>
      <c r="AE190" s="106">
        <v>217.47122526714043</v>
      </c>
      <c r="AF190" s="106">
        <v>82.216429478330497</v>
      </c>
      <c r="AG190" s="106">
        <v>0</v>
      </c>
      <c r="AH190" s="106">
        <v>610.74520421119007</v>
      </c>
      <c r="AI190" s="106">
        <v>696.74842757765441</v>
      </c>
      <c r="AJ190" s="106">
        <v>671.75165094411875</v>
      </c>
      <c r="AK190" s="106">
        <v>0</v>
      </c>
      <c r="AL190" s="106">
        <v>683</v>
      </c>
      <c r="AM190" s="106">
        <v>199.73874825576922</v>
      </c>
      <c r="AN190" s="106">
        <v>299.99354404457915</v>
      </c>
      <c r="AO190" s="106">
        <v>425.24833983338908</v>
      </c>
      <c r="AP190" s="106">
        <v>0</v>
      </c>
      <c r="AQ190" s="106">
        <v>741.98727280018113</v>
      </c>
      <c r="AR190" s="106">
        <v>610.74520421119007</v>
      </c>
      <c r="AS190" s="106">
        <v>498.49040842238014</v>
      </c>
      <c r="AT190" s="106">
        <v>447.23561263357021</v>
      </c>
      <c r="AU190" s="106">
        <v>342.98081684476028</v>
      </c>
      <c r="AV190" s="106">
        <v>610.74520421119007</v>
      </c>
      <c r="AW190" s="106">
        <v>599.49040842238014</v>
      </c>
      <c r="AX190" s="106">
        <v>610.74520421119007</v>
      </c>
      <c r="AY190" s="106">
        <v>499.49040842238014</v>
      </c>
    </row>
    <row r="191" spans="1:51">
      <c r="A191" s="109"/>
      <c r="B191" s="120">
        <v>3</v>
      </c>
      <c r="C191" s="106">
        <v>0</v>
      </c>
      <c r="D191" s="106">
        <v>0</v>
      </c>
      <c r="E191" s="106">
        <v>0</v>
      </c>
      <c r="F191" s="106">
        <v>0</v>
      </c>
      <c r="G191" s="106">
        <v>0</v>
      </c>
      <c r="H191" s="106">
        <v>0</v>
      </c>
      <c r="I191" s="106">
        <v>0</v>
      </c>
      <c r="J191" s="106">
        <v>339.38302222173843</v>
      </c>
      <c r="K191" s="106">
        <v>0</v>
      </c>
      <c r="L191" s="106">
        <v>0</v>
      </c>
      <c r="M191" s="106">
        <v>0</v>
      </c>
      <c r="N191" s="106">
        <v>0</v>
      </c>
      <c r="O191" s="106">
        <v>0</v>
      </c>
      <c r="P191" s="106">
        <v>0</v>
      </c>
      <c r="Q191" s="106">
        <v>0</v>
      </c>
      <c r="R191" s="106">
        <v>0</v>
      </c>
      <c r="S191" s="106">
        <v>0</v>
      </c>
      <c r="T191" s="106">
        <v>0</v>
      </c>
      <c r="U191" s="106">
        <v>0</v>
      </c>
      <c r="V191" s="106">
        <v>0</v>
      </c>
      <c r="W191" s="106">
        <v>0</v>
      </c>
      <c r="X191" s="106">
        <v>0</v>
      </c>
      <c r="Y191" s="106">
        <v>320.00000922249188</v>
      </c>
      <c r="Z191" s="106">
        <v>0</v>
      </c>
      <c r="AA191" s="106">
        <v>0</v>
      </c>
      <c r="AB191" s="106">
        <v>0</v>
      </c>
      <c r="AC191" s="106">
        <v>0</v>
      </c>
      <c r="AD191" s="106">
        <v>0</v>
      </c>
      <c r="AE191" s="106">
        <v>0</v>
      </c>
      <c r="AF191" s="106">
        <v>0</v>
      </c>
      <c r="AG191" s="106">
        <v>0</v>
      </c>
      <c r="AH191" s="106">
        <v>0</v>
      </c>
      <c r="AI191" s="106">
        <v>0</v>
      </c>
      <c r="AJ191" s="106">
        <v>0</v>
      </c>
      <c r="AK191" s="106">
        <v>0</v>
      </c>
      <c r="AL191" s="106">
        <v>0</v>
      </c>
      <c r="AM191" s="106">
        <v>484.26125174423078</v>
      </c>
      <c r="AN191" s="106">
        <v>411.00645595542085</v>
      </c>
      <c r="AO191" s="106">
        <v>310.75166016661092</v>
      </c>
      <c r="AP191" s="106">
        <v>185.49686437780099</v>
      </c>
      <c r="AQ191" s="106">
        <v>0</v>
      </c>
      <c r="AR191" s="106">
        <v>0</v>
      </c>
      <c r="AS191" s="106">
        <v>0</v>
      </c>
      <c r="AT191" s="106">
        <v>0</v>
      </c>
      <c r="AU191" s="106">
        <v>0</v>
      </c>
      <c r="AV191" s="106">
        <v>0</v>
      </c>
      <c r="AW191" s="106">
        <v>0</v>
      </c>
      <c r="AX191" s="106">
        <v>0</v>
      </c>
      <c r="AY191" s="106">
        <v>0</v>
      </c>
    </row>
    <row r="192" spans="1:51">
      <c r="A192" s="109"/>
      <c r="B192" s="120">
        <v>4</v>
      </c>
      <c r="C192" s="106">
        <v>0</v>
      </c>
      <c r="D192" s="106">
        <v>0</v>
      </c>
      <c r="E192" s="106">
        <v>0</v>
      </c>
      <c r="F192" s="106">
        <v>0</v>
      </c>
      <c r="G192" s="106">
        <v>0</v>
      </c>
      <c r="H192" s="106">
        <v>0</v>
      </c>
      <c r="I192" s="106">
        <v>0</v>
      </c>
      <c r="J192" s="106">
        <v>0</v>
      </c>
      <c r="K192" s="106">
        <v>0</v>
      </c>
      <c r="L192" s="106">
        <v>0</v>
      </c>
      <c r="M192" s="106">
        <v>0</v>
      </c>
      <c r="N192" s="106">
        <v>0</v>
      </c>
      <c r="O192" s="106">
        <v>0</v>
      </c>
      <c r="P192" s="106">
        <v>0</v>
      </c>
      <c r="Q192" s="106">
        <v>0</v>
      </c>
      <c r="R192" s="106">
        <v>0</v>
      </c>
      <c r="S192" s="106">
        <v>0</v>
      </c>
      <c r="T192" s="106">
        <v>0</v>
      </c>
      <c r="U192" s="106">
        <v>0</v>
      </c>
      <c r="V192" s="106">
        <v>0</v>
      </c>
      <c r="W192" s="106">
        <v>0</v>
      </c>
      <c r="X192" s="106">
        <v>0</v>
      </c>
      <c r="Y192" s="106">
        <v>0</v>
      </c>
      <c r="Z192" s="106">
        <v>0</v>
      </c>
      <c r="AA192" s="106">
        <v>0</v>
      </c>
      <c r="AB192" s="106">
        <v>0</v>
      </c>
      <c r="AC192" s="106">
        <v>0</v>
      </c>
      <c r="AD192" s="106">
        <v>0</v>
      </c>
      <c r="AE192" s="106">
        <v>0</v>
      </c>
      <c r="AF192" s="106">
        <v>0</v>
      </c>
      <c r="AG192" s="106">
        <v>0</v>
      </c>
      <c r="AH192" s="106">
        <v>0</v>
      </c>
      <c r="AI192" s="106">
        <v>0</v>
      </c>
      <c r="AJ192" s="106">
        <v>0</v>
      </c>
      <c r="AK192" s="106">
        <v>0</v>
      </c>
      <c r="AL192" s="106">
        <v>0</v>
      </c>
      <c r="AM192" s="106">
        <v>0</v>
      </c>
      <c r="AN192" s="106">
        <v>0</v>
      </c>
      <c r="AO192" s="106">
        <v>0</v>
      </c>
      <c r="AP192" s="106">
        <v>0</v>
      </c>
      <c r="AQ192" s="106">
        <v>0</v>
      </c>
      <c r="AR192" s="106">
        <v>0</v>
      </c>
      <c r="AS192" s="106">
        <v>0</v>
      </c>
      <c r="AT192" s="106">
        <v>0</v>
      </c>
      <c r="AU192" s="106">
        <v>0</v>
      </c>
      <c r="AV192" s="106">
        <v>0</v>
      </c>
      <c r="AW192" s="106">
        <v>0</v>
      </c>
      <c r="AX192" s="106">
        <v>0</v>
      </c>
      <c r="AY192" s="106">
        <v>0</v>
      </c>
    </row>
    <row r="193" spans="1:51">
      <c r="A193" s="109"/>
      <c r="B193" s="127">
        <v>5</v>
      </c>
      <c r="C193" s="106">
        <v>0</v>
      </c>
      <c r="D193" s="106">
        <v>0</v>
      </c>
      <c r="E193" s="106">
        <v>0</v>
      </c>
      <c r="F193" s="106">
        <v>0</v>
      </c>
      <c r="G193" s="106">
        <v>0</v>
      </c>
      <c r="H193" s="106">
        <v>0</v>
      </c>
      <c r="I193" s="106">
        <v>0</v>
      </c>
      <c r="J193" s="106">
        <v>0</v>
      </c>
      <c r="K193" s="106">
        <v>0</v>
      </c>
      <c r="L193" s="106">
        <v>0</v>
      </c>
      <c r="M193" s="106">
        <v>0</v>
      </c>
      <c r="N193" s="106">
        <v>0</v>
      </c>
      <c r="O193" s="106">
        <v>0</v>
      </c>
      <c r="P193" s="106">
        <v>0</v>
      </c>
      <c r="Q193" s="106">
        <v>0</v>
      </c>
      <c r="R193" s="106">
        <v>0</v>
      </c>
      <c r="S193" s="106">
        <v>0</v>
      </c>
      <c r="T193" s="106">
        <v>0</v>
      </c>
      <c r="U193" s="106">
        <v>0</v>
      </c>
      <c r="V193" s="106">
        <v>0</v>
      </c>
      <c r="W193" s="106">
        <v>0</v>
      </c>
      <c r="X193" s="106">
        <v>0</v>
      </c>
      <c r="Y193" s="106">
        <v>0</v>
      </c>
      <c r="Z193" s="106">
        <v>0</v>
      </c>
      <c r="AA193" s="106">
        <v>0</v>
      </c>
      <c r="AB193" s="106">
        <v>0</v>
      </c>
      <c r="AC193" s="106">
        <v>0</v>
      </c>
      <c r="AD193" s="106">
        <v>0</v>
      </c>
      <c r="AE193" s="106">
        <v>0</v>
      </c>
      <c r="AF193" s="106">
        <v>0</v>
      </c>
      <c r="AG193" s="106">
        <v>0</v>
      </c>
      <c r="AH193" s="106">
        <v>0</v>
      </c>
      <c r="AI193" s="106">
        <v>0</v>
      </c>
      <c r="AJ193" s="106">
        <v>0</v>
      </c>
      <c r="AK193" s="106">
        <v>0</v>
      </c>
      <c r="AL193" s="106">
        <v>0</v>
      </c>
      <c r="AM193" s="106">
        <v>0</v>
      </c>
      <c r="AN193" s="106">
        <v>0</v>
      </c>
      <c r="AO193" s="106">
        <v>0</v>
      </c>
      <c r="AP193" s="106">
        <v>0</v>
      </c>
      <c r="AQ193" s="106">
        <v>0</v>
      </c>
      <c r="AR193" s="106">
        <v>0</v>
      </c>
      <c r="AS193" s="106">
        <v>0</v>
      </c>
      <c r="AT193" s="106">
        <v>0</v>
      </c>
      <c r="AU193" s="106">
        <v>0</v>
      </c>
      <c r="AV193" s="106">
        <v>0</v>
      </c>
      <c r="AW193" s="106">
        <v>0</v>
      </c>
      <c r="AX193" s="106">
        <v>0</v>
      </c>
      <c r="AY193" s="106">
        <v>0</v>
      </c>
    </row>
    <row r="194" spans="1:51">
      <c r="A194" s="109"/>
      <c r="B194" s="127">
        <v>6</v>
      </c>
      <c r="C194" s="106">
        <v>0</v>
      </c>
      <c r="D194" s="106">
        <v>0</v>
      </c>
      <c r="E194" s="106">
        <v>0</v>
      </c>
      <c r="F194" s="106">
        <v>0</v>
      </c>
      <c r="G194" s="106">
        <v>0</v>
      </c>
      <c r="H194" s="106">
        <v>0</v>
      </c>
      <c r="I194" s="106">
        <v>0</v>
      </c>
      <c r="J194" s="106">
        <v>0</v>
      </c>
      <c r="K194" s="106">
        <v>0</v>
      </c>
      <c r="L194" s="106">
        <v>0</v>
      </c>
      <c r="M194" s="106">
        <v>0</v>
      </c>
      <c r="N194" s="106">
        <v>0</v>
      </c>
      <c r="O194" s="106">
        <v>0</v>
      </c>
      <c r="P194" s="106">
        <v>0</v>
      </c>
      <c r="Q194" s="106">
        <v>0</v>
      </c>
      <c r="R194" s="106">
        <v>0</v>
      </c>
      <c r="S194" s="106">
        <v>0</v>
      </c>
      <c r="T194" s="106">
        <v>0</v>
      </c>
      <c r="U194" s="106">
        <v>0</v>
      </c>
      <c r="V194" s="106">
        <v>0</v>
      </c>
      <c r="W194" s="106">
        <v>0</v>
      </c>
      <c r="X194" s="106">
        <v>0</v>
      </c>
      <c r="Y194" s="106">
        <v>0</v>
      </c>
      <c r="Z194" s="106">
        <v>0</v>
      </c>
      <c r="AA194" s="106">
        <v>0</v>
      </c>
      <c r="AB194" s="106">
        <v>0</v>
      </c>
      <c r="AC194" s="106">
        <v>0</v>
      </c>
      <c r="AD194" s="106">
        <v>0</v>
      </c>
      <c r="AE194" s="106">
        <v>0</v>
      </c>
      <c r="AF194" s="106">
        <v>0</v>
      </c>
      <c r="AG194" s="106">
        <v>0</v>
      </c>
      <c r="AH194" s="106">
        <v>0</v>
      </c>
      <c r="AI194" s="106">
        <v>0</v>
      </c>
      <c r="AJ194" s="106">
        <v>0</v>
      </c>
      <c r="AK194" s="106">
        <v>0</v>
      </c>
      <c r="AL194" s="106">
        <v>0</v>
      </c>
      <c r="AM194" s="106">
        <v>0</v>
      </c>
      <c r="AN194" s="106">
        <v>0</v>
      </c>
      <c r="AO194" s="106">
        <v>0</v>
      </c>
      <c r="AP194" s="106">
        <v>0</v>
      </c>
      <c r="AQ194" s="106">
        <v>0</v>
      </c>
      <c r="AR194" s="106">
        <v>0</v>
      </c>
      <c r="AS194" s="106">
        <v>0</v>
      </c>
      <c r="AT194" s="106">
        <v>0</v>
      </c>
      <c r="AU194" s="106">
        <v>0</v>
      </c>
      <c r="AV194" s="106">
        <v>0</v>
      </c>
      <c r="AW194" s="106">
        <v>0</v>
      </c>
      <c r="AX194" s="106">
        <v>0</v>
      </c>
      <c r="AY194" s="106">
        <v>0</v>
      </c>
    </row>
    <row r="195" spans="1:51">
      <c r="A195" s="109"/>
      <c r="B195" s="130">
        <v>7</v>
      </c>
      <c r="C195" s="106">
        <v>0</v>
      </c>
      <c r="D195" s="106">
        <v>0</v>
      </c>
      <c r="E195" s="106">
        <v>0</v>
      </c>
      <c r="F195" s="106">
        <v>0</v>
      </c>
      <c r="G195" s="106">
        <v>0</v>
      </c>
      <c r="H195" s="106">
        <v>0</v>
      </c>
      <c r="I195" s="106">
        <v>0</v>
      </c>
      <c r="J195" s="106">
        <v>0</v>
      </c>
      <c r="K195" s="106">
        <v>0</v>
      </c>
      <c r="L195" s="106">
        <v>0</v>
      </c>
      <c r="M195" s="106">
        <v>0</v>
      </c>
      <c r="N195" s="106">
        <v>0</v>
      </c>
      <c r="O195" s="106">
        <v>0</v>
      </c>
      <c r="P195" s="106">
        <v>0</v>
      </c>
      <c r="Q195" s="106">
        <v>0</v>
      </c>
      <c r="R195" s="106">
        <v>0</v>
      </c>
      <c r="S195" s="106">
        <v>0</v>
      </c>
      <c r="T195" s="106">
        <v>0</v>
      </c>
      <c r="U195" s="106">
        <v>0</v>
      </c>
      <c r="V195" s="106">
        <v>0</v>
      </c>
      <c r="W195" s="106">
        <v>0</v>
      </c>
      <c r="X195" s="106">
        <v>0</v>
      </c>
      <c r="Y195" s="106">
        <v>0</v>
      </c>
      <c r="Z195" s="106">
        <v>0</v>
      </c>
      <c r="AA195" s="106">
        <v>0</v>
      </c>
      <c r="AB195" s="106">
        <v>0</v>
      </c>
      <c r="AC195" s="106">
        <v>0</v>
      </c>
      <c r="AD195" s="106">
        <v>0</v>
      </c>
      <c r="AE195" s="106">
        <v>0</v>
      </c>
      <c r="AF195" s="106">
        <v>0</v>
      </c>
      <c r="AG195" s="106">
        <v>0</v>
      </c>
      <c r="AH195" s="106">
        <v>0</v>
      </c>
      <c r="AI195" s="106">
        <v>0</v>
      </c>
      <c r="AJ195" s="106">
        <v>0</v>
      </c>
      <c r="AK195" s="106">
        <v>0</v>
      </c>
      <c r="AL195" s="106">
        <v>0</v>
      </c>
      <c r="AM195" s="106">
        <v>0</v>
      </c>
      <c r="AN195" s="106">
        <v>0</v>
      </c>
      <c r="AO195" s="106">
        <v>0</v>
      </c>
      <c r="AP195" s="106">
        <v>0</v>
      </c>
      <c r="AQ195" s="106">
        <v>0</v>
      </c>
      <c r="AR195" s="106">
        <v>0</v>
      </c>
      <c r="AS195" s="106">
        <v>0</v>
      </c>
      <c r="AT195" s="106">
        <v>0</v>
      </c>
      <c r="AU195" s="106">
        <v>0</v>
      </c>
      <c r="AV195" s="106">
        <v>0</v>
      </c>
      <c r="AW195" s="106">
        <v>0</v>
      </c>
      <c r="AX195" s="106">
        <v>0</v>
      </c>
      <c r="AY195" s="106">
        <v>0</v>
      </c>
    </row>
    <row r="196" spans="1:51">
      <c r="A196" s="128"/>
      <c r="B196" s="129">
        <v>8</v>
      </c>
      <c r="C196" s="114">
        <v>0</v>
      </c>
      <c r="D196" s="114">
        <v>0</v>
      </c>
      <c r="E196" s="114">
        <v>0</v>
      </c>
      <c r="F196" s="114">
        <v>0</v>
      </c>
      <c r="G196" s="114">
        <v>0</v>
      </c>
      <c r="H196" s="114">
        <v>0</v>
      </c>
      <c r="I196" s="114">
        <v>0</v>
      </c>
      <c r="J196" s="114">
        <v>0</v>
      </c>
      <c r="K196" s="114">
        <v>0</v>
      </c>
      <c r="L196" s="114">
        <v>0</v>
      </c>
      <c r="M196" s="114">
        <v>0</v>
      </c>
      <c r="N196" s="114">
        <v>0</v>
      </c>
      <c r="O196" s="114">
        <v>0</v>
      </c>
      <c r="P196" s="114">
        <v>0</v>
      </c>
      <c r="Q196" s="114">
        <v>0</v>
      </c>
      <c r="R196" s="114">
        <v>0</v>
      </c>
      <c r="S196" s="114">
        <v>0</v>
      </c>
      <c r="T196" s="114">
        <v>0</v>
      </c>
      <c r="U196" s="114">
        <v>0</v>
      </c>
      <c r="V196" s="114">
        <v>0</v>
      </c>
      <c r="W196" s="114">
        <v>0</v>
      </c>
      <c r="X196" s="114">
        <v>0</v>
      </c>
      <c r="Y196" s="114">
        <v>0</v>
      </c>
      <c r="Z196" s="114">
        <v>0</v>
      </c>
      <c r="AA196" s="114">
        <v>0</v>
      </c>
      <c r="AB196" s="114">
        <v>0</v>
      </c>
      <c r="AC196" s="114">
        <v>0</v>
      </c>
      <c r="AD196" s="114">
        <v>0</v>
      </c>
      <c r="AE196" s="114">
        <v>0</v>
      </c>
      <c r="AF196" s="114">
        <v>0</v>
      </c>
      <c r="AG196" s="114">
        <v>0</v>
      </c>
      <c r="AH196" s="114">
        <v>0</v>
      </c>
      <c r="AI196" s="114">
        <v>0</v>
      </c>
      <c r="AJ196" s="114">
        <v>0</v>
      </c>
      <c r="AK196" s="114">
        <v>0</v>
      </c>
      <c r="AL196" s="114">
        <v>0</v>
      </c>
      <c r="AM196" s="114">
        <v>0</v>
      </c>
      <c r="AN196" s="114">
        <v>0</v>
      </c>
      <c r="AO196" s="114">
        <v>0</v>
      </c>
      <c r="AP196" s="114">
        <v>0</v>
      </c>
      <c r="AQ196" s="114">
        <v>0</v>
      </c>
      <c r="AR196" s="114">
        <v>0</v>
      </c>
      <c r="AS196" s="114">
        <v>0</v>
      </c>
      <c r="AT196" s="114">
        <v>0</v>
      </c>
      <c r="AU196" s="114">
        <v>0</v>
      </c>
      <c r="AV196" s="114">
        <v>0</v>
      </c>
      <c r="AW196" s="114">
        <v>0</v>
      </c>
      <c r="AX196" s="114">
        <v>0</v>
      </c>
      <c r="AY196" s="114">
        <v>0</v>
      </c>
    </row>
    <row r="197" spans="1:51">
      <c r="A197" s="131" t="s">
        <v>134</v>
      </c>
      <c r="B197" s="119">
        <v>1</v>
      </c>
      <c r="C197" s="106">
        <v>375.74582123238247</v>
      </c>
      <c r="D197" s="106">
        <v>93.603227758915295</v>
      </c>
      <c r="E197" s="106">
        <v>234.08399165634273</v>
      </c>
      <c r="F197" s="106">
        <v>227.03530373952682</v>
      </c>
      <c r="G197" s="106">
        <v>369.47812221162661</v>
      </c>
      <c r="H197" s="106">
        <v>369.47812221162661</v>
      </c>
      <c r="I197" s="106">
        <v>288.16050007943221</v>
      </c>
      <c r="J197" s="106">
        <v>369.47812221162661</v>
      </c>
      <c r="K197" s="106">
        <v>369.47812221162661</v>
      </c>
      <c r="L197" s="106">
        <v>309.10283674510049</v>
      </c>
      <c r="M197" s="106">
        <v>364.83386948343224</v>
      </c>
      <c r="N197" s="106">
        <v>425</v>
      </c>
      <c r="O197" s="106">
        <v>417.39863334408648</v>
      </c>
      <c r="P197" s="106">
        <v>295.33964561859841</v>
      </c>
      <c r="Q197" s="106">
        <v>446.15149161562664</v>
      </c>
      <c r="R197" s="106">
        <v>369.47812221162656</v>
      </c>
      <c r="S197" s="106">
        <v>369.47812221162656</v>
      </c>
      <c r="T197" s="106">
        <v>369.47812221162656</v>
      </c>
      <c r="U197" s="106">
        <v>223.14096188471174</v>
      </c>
      <c r="V197" s="106">
        <v>409.07474619976279</v>
      </c>
      <c r="W197" s="106">
        <v>235.59251847926294</v>
      </c>
      <c r="X197" s="106">
        <v>428</v>
      </c>
      <c r="Y197" s="106">
        <v>369.47812221162656</v>
      </c>
      <c r="Z197" s="106">
        <v>299.8143312887118</v>
      </c>
      <c r="AA197" s="106">
        <v>489</v>
      </c>
      <c r="AB197" s="106">
        <v>369.47812221162656</v>
      </c>
      <c r="AC197" s="106">
        <v>292.80475280762647</v>
      </c>
      <c r="AD197" s="106">
        <v>446.15149161562658</v>
      </c>
      <c r="AE197" s="106">
        <v>369.47812221162656</v>
      </c>
      <c r="AF197" s="106">
        <v>369.47812221162656</v>
      </c>
      <c r="AG197" s="106">
        <v>369.47812221162656</v>
      </c>
      <c r="AH197" s="106">
        <v>223.14096188471174</v>
      </c>
      <c r="AI197" s="106">
        <v>539</v>
      </c>
      <c r="AJ197" s="106">
        <v>397.81324885649275</v>
      </c>
      <c r="AK197" s="106">
        <v>223.14096188471174</v>
      </c>
      <c r="AL197" s="106">
        <v>292.80475280762647</v>
      </c>
      <c r="AM197" s="106">
        <v>502.82174490535891</v>
      </c>
      <c r="AN197" s="106">
        <v>439.14191313454137</v>
      </c>
      <c r="AO197" s="106">
        <v>332.00195161640096</v>
      </c>
      <c r="AP197" s="106">
        <v>369.47812221162656</v>
      </c>
      <c r="AQ197" s="106">
        <v>515.8152825385414</v>
      </c>
      <c r="AR197" s="106">
        <v>223.14096188471174</v>
      </c>
      <c r="AS197" s="106">
        <v>438</v>
      </c>
      <c r="AT197" s="106">
        <v>381.74089616729344</v>
      </c>
      <c r="AU197" s="106">
        <v>369.47812221162656</v>
      </c>
      <c r="AV197" s="106">
        <v>223.14096188471174</v>
      </c>
      <c r="AW197" s="106">
        <v>439.14191313454131</v>
      </c>
      <c r="AX197" s="106">
        <v>299.8143312887118</v>
      </c>
      <c r="AY197" s="106">
        <v>515.8152825385414</v>
      </c>
    </row>
    <row r="198" spans="1:51">
      <c r="A198" s="109"/>
      <c r="B198" s="119">
        <v>2</v>
      </c>
      <c r="C198" s="106">
        <v>0</v>
      </c>
      <c r="D198" s="106">
        <v>0</v>
      </c>
      <c r="E198" s="106">
        <v>0</v>
      </c>
      <c r="F198" s="106">
        <v>0</v>
      </c>
      <c r="G198" s="106">
        <v>0</v>
      </c>
      <c r="H198" s="106">
        <v>0</v>
      </c>
      <c r="I198" s="106">
        <v>0</v>
      </c>
      <c r="J198" s="106">
        <v>0</v>
      </c>
      <c r="K198" s="106">
        <v>0</v>
      </c>
      <c r="L198" s="106">
        <v>0</v>
      </c>
      <c r="M198" s="106">
        <v>0</v>
      </c>
      <c r="N198" s="106">
        <v>0</v>
      </c>
      <c r="O198" s="106">
        <v>90.815282538541396</v>
      </c>
      <c r="P198" s="106">
        <v>0</v>
      </c>
      <c r="Q198" s="106">
        <v>0</v>
      </c>
      <c r="R198" s="106">
        <v>0</v>
      </c>
      <c r="S198" s="106">
        <v>0</v>
      </c>
      <c r="T198" s="106">
        <v>0</v>
      </c>
      <c r="U198" s="106">
        <v>0</v>
      </c>
      <c r="V198" s="106">
        <v>0</v>
      </c>
      <c r="W198" s="106">
        <v>106.74053633877861</v>
      </c>
      <c r="X198" s="106">
        <v>0</v>
      </c>
      <c r="Y198" s="106">
        <v>11.141913134541312</v>
      </c>
      <c r="Z198" s="106">
        <v>0</v>
      </c>
      <c r="AA198" s="106">
        <v>0</v>
      </c>
      <c r="AB198" s="106">
        <v>26.815282538541396</v>
      </c>
      <c r="AC198" s="106">
        <v>0</v>
      </c>
      <c r="AD198" s="106">
        <v>0</v>
      </c>
      <c r="AE198" s="106">
        <v>0</v>
      </c>
      <c r="AF198" s="106">
        <v>0</v>
      </c>
      <c r="AG198" s="106">
        <v>0</v>
      </c>
      <c r="AH198" s="106">
        <v>0</v>
      </c>
      <c r="AI198" s="106">
        <v>0</v>
      </c>
      <c r="AJ198" s="106">
        <v>5.1504091834076462</v>
      </c>
      <c r="AK198" s="106">
        <v>0</v>
      </c>
      <c r="AL198" s="106">
        <v>0</v>
      </c>
      <c r="AM198" s="106">
        <v>0</v>
      </c>
      <c r="AN198" s="106">
        <v>0</v>
      </c>
      <c r="AO198" s="106">
        <v>0</v>
      </c>
      <c r="AP198" s="106">
        <v>0</v>
      </c>
      <c r="AQ198" s="106">
        <v>0</v>
      </c>
      <c r="AR198" s="106">
        <v>0</v>
      </c>
      <c r="AS198" s="106">
        <v>0</v>
      </c>
      <c r="AT198" s="106">
        <v>77.815282538541396</v>
      </c>
      <c r="AU198" s="106">
        <v>0</v>
      </c>
      <c r="AV198" s="106">
        <v>0</v>
      </c>
      <c r="AW198" s="106">
        <v>0</v>
      </c>
      <c r="AX198" s="106">
        <v>0</v>
      </c>
      <c r="AY198" s="106">
        <v>0</v>
      </c>
    </row>
    <row r="199" spans="1:51">
      <c r="A199" s="109"/>
      <c r="B199" s="119">
        <v>3</v>
      </c>
      <c r="C199" s="106">
        <v>0</v>
      </c>
      <c r="D199" s="106">
        <v>0</v>
      </c>
      <c r="E199" s="106">
        <v>0</v>
      </c>
      <c r="F199" s="106">
        <v>0</v>
      </c>
      <c r="G199" s="106">
        <v>0</v>
      </c>
      <c r="H199" s="106">
        <v>0</v>
      </c>
      <c r="I199" s="106">
        <v>0</v>
      </c>
      <c r="J199" s="106">
        <v>0</v>
      </c>
      <c r="K199" s="106">
        <v>0</v>
      </c>
      <c r="L199" s="106">
        <v>0</v>
      </c>
      <c r="M199" s="106">
        <v>0</v>
      </c>
      <c r="N199" s="106">
        <v>0</v>
      </c>
      <c r="O199" s="106">
        <v>0</v>
      </c>
      <c r="P199" s="106">
        <v>0</v>
      </c>
      <c r="Q199" s="106">
        <v>0</v>
      </c>
      <c r="R199" s="106">
        <v>0</v>
      </c>
      <c r="S199" s="106">
        <v>0</v>
      </c>
      <c r="T199" s="106">
        <v>0</v>
      </c>
      <c r="U199" s="106">
        <v>0</v>
      </c>
      <c r="V199" s="106">
        <v>0</v>
      </c>
      <c r="W199" s="106">
        <v>0</v>
      </c>
      <c r="X199" s="106">
        <v>0</v>
      </c>
      <c r="Y199" s="106">
        <v>0</v>
      </c>
      <c r="Z199" s="106">
        <v>0</v>
      </c>
      <c r="AA199" s="106">
        <v>0</v>
      </c>
      <c r="AB199" s="106">
        <v>0</v>
      </c>
      <c r="AC199" s="106">
        <v>0</v>
      </c>
      <c r="AD199" s="106">
        <v>0</v>
      </c>
      <c r="AE199" s="106">
        <v>0</v>
      </c>
      <c r="AF199" s="106">
        <v>0</v>
      </c>
      <c r="AG199" s="106">
        <v>0</v>
      </c>
      <c r="AH199" s="106">
        <v>0</v>
      </c>
      <c r="AI199" s="106">
        <v>0</v>
      </c>
      <c r="AJ199" s="106">
        <v>0</v>
      </c>
      <c r="AK199" s="106">
        <v>0</v>
      </c>
      <c r="AL199" s="106">
        <v>0</v>
      </c>
      <c r="AM199" s="106">
        <v>0</v>
      </c>
      <c r="AN199" s="106">
        <v>0</v>
      </c>
      <c r="AO199" s="106">
        <v>0</v>
      </c>
      <c r="AP199" s="106">
        <v>0</v>
      </c>
      <c r="AQ199" s="106">
        <v>0</v>
      </c>
      <c r="AR199" s="106">
        <v>0</v>
      </c>
      <c r="AS199" s="106">
        <v>0</v>
      </c>
      <c r="AT199" s="106">
        <v>0</v>
      </c>
      <c r="AU199" s="106">
        <v>0</v>
      </c>
      <c r="AV199" s="106">
        <v>0</v>
      </c>
      <c r="AW199" s="106">
        <v>0</v>
      </c>
      <c r="AX199" s="106">
        <v>0</v>
      </c>
      <c r="AY199" s="106">
        <v>0</v>
      </c>
    </row>
    <row r="200" spans="1:51">
      <c r="A200" s="109"/>
      <c r="B200" s="120">
        <v>4</v>
      </c>
      <c r="C200" s="106">
        <v>0</v>
      </c>
      <c r="D200" s="106">
        <v>0</v>
      </c>
      <c r="E200" s="106">
        <v>0</v>
      </c>
      <c r="F200" s="106">
        <v>0</v>
      </c>
      <c r="G200" s="106">
        <v>0</v>
      </c>
      <c r="H200" s="106">
        <v>0</v>
      </c>
      <c r="I200" s="106">
        <v>0</v>
      </c>
      <c r="J200" s="106">
        <v>0</v>
      </c>
      <c r="K200" s="106">
        <v>0</v>
      </c>
      <c r="L200" s="106">
        <v>0</v>
      </c>
      <c r="M200" s="106">
        <v>0</v>
      </c>
      <c r="N200" s="106">
        <v>0</v>
      </c>
      <c r="O200" s="106">
        <v>0</v>
      </c>
      <c r="P200" s="106">
        <v>0</v>
      </c>
      <c r="Q200" s="106">
        <v>0</v>
      </c>
      <c r="R200" s="106">
        <v>0</v>
      </c>
      <c r="S200" s="106">
        <v>0</v>
      </c>
      <c r="T200" s="106">
        <v>0</v>
      </c>
      <c r="U200" s="106">
        <v>0</v>
      </c>
      <c r="V200" s="106">
        <v>0</v>
      </c>
      <c r="W200" s="106">
        <v>0</v>
      </c>
      <c r="X200" s="106">
        <v>0</v>
      </c>
      <c r="Y200" s="106">
        <v>0</v>
      </c>
      <c r="Z200" s="106">
        <v>0</v>
      </c>
      <c r="AA200" s="106">
        <v>0</v>
      </c>
      <c r="AB200" s="106">
        <v>0</v>
      </c>
      <c r="AC200" s="106">
        <v>0</v>
      </c>
      <c r="AD200" s="106">
        <v>0</v>
      </c>
      <c r="AE200" s="106">
        <v>0</v>
      </c>
      <c r="AF200" s="106">
        <v>0</v>
      </c>
      <c r="AG200" s="106">
        <v>0</v>
      </c>
      <c r="AH200" s="106">
        <v>0</v>
      </c>
      <c r="AI200" s="106">
        <v>0</v>
      </c>
      <c r="AJ200" s="106">
        <v>0</v>
      </c>
      <c r="AK200" s="106">
        <v>0</v>
      </c>
      <c r="AL200" s="106">
        <v>0</v>
      </c>
      <c r="AM200" s="106">
        <v>0</v>
      </c>
      <c r="AN200" s="106">
        <v>0</v>
      </c>
      <c r="AO200" s="106">
        <v>0</v>
      </c>
      <c r="AP200" s="106">
        <v>0</v>
      </c>
      <c r="AQ200" s="106">
        <v>0</v>
      </c>
      <c r="AR200" s="106">
        <v>0</v>
      </c>
      <c r="AS200" s="106">
        <v>0</v>
      </c>
      <c r="AT200" s="106">
        <v>0</v>
      </c>
      <c r="AU200" s="106">
        <v>0</v>
      </c>
      <c r="AV200" s="106">
        <v>0</v>
      </c>
      <c r="AW200" s="106">
        <v>0</v>
      </c>
      <c r="AX200" s="106">
        <v>0</v>
      </c>
      <c r="AY200" s="106">
        <v>0</v>
      </c>
    </row>
    <row r="201" spans="1:51">
      <c r="A201" s="109"/>
      <c r="B201" s="120">
        <v>5</v>
      </c>
      <c r="C201" s="106">
        <v>0</v>
      </c>
      <c r="D201" s="106">
        <v>0</v>
      </c>
      <c r="E201" s="106">
        <v>0</v>
      </c>
      <c r="F201" s="106">
        <v>0</v>
      </c>
      <c r="G201" s="106">
        <v>0</v>
      </c>
      <c r="H201" s="106">
        <v>0</v>
      </c>
      <c r="I201" s="106">
        <v>0</v>
      </c>
      <c r="J201" s="106">
        <v>0</v>
      </c>
      <c r="K201" s="106">
        <v>0</v>
      </c>
      <c r="L201" s="106">
        <v>0</v>
      </c>
      <c r="M201" s="106">
        <v>0</v>
      </c>
      <c r="N201" s="106">
        <v>0</v>
      </c>
      <c r="O201" s="106">
        <v>0</v>
      </c>
      <c r="P201" s="106">
        <v>0</v>
      </c>
      <c r="Q201" s="106">
        <v>0</v>
      </c>
      <c r="R201" s="106">
        <v>0</v>
      </c>
      <c r="S201" s="106">
        <v>0</v>
      </c>
      <c r="T201" s="106">
        <v>0</v>
      </c>
      <c r="U201" s="106">
        <v>0</v>
      </c>
      <c r="V201" s="106">
        <v>0</v>
      </c>
      <c r="W201" s="106">
        <v>0</v>
      </c>
      <c r="X201" s="106">
        <v>0</v>
      </c>
      <c r="Y201" s="106">
        <v>0</v>
      </c>
      <c r="Z201" s="106">
        <v>0</v>
      </c>
      <c r="AA201" s="106">
        <v>0</v>
      </c>
      <c r="AB201" s="106">
        <v>0</v>
      </c>
      <c r="AC201" s="106">
        <v>0</v>
      </c>
      <c r="AD201" s="106">
        <v>0</v>
      </c>
      <c r="AE201" s="106">
        <v>0</v>
      </c>
      <c r="AF201" s="106">
        <v>0</v>
      </c>
      <c r="AG201" s="106">
        <v>0</v>
      </c>
      <c r="AH201" s="106">
        <v>0</v>
      </c>
      <c r="AI201" s="106">
        <v>0</v>
      </c>
      <c r="AJ201" s="106">
        <v>0</v>
      </c>
      <c r="AK201" s="106">
        <v>0</v>
      </c>
      <c r="AL201" s="106">
        <v>0</v>
      </c>
      <c r="AM201" s="106">
        <v>0</v>
      </c>
      <c r="AN201" s="106">
        <v>0</v>
      </c>
      <c r="AO201" s="106">
        <v>0</v>
      </c>
      <c r="AP201" s="106">
        <v>0</v>
      </c>
      <c r="AQ201" s="106">
        <v>0</v>
      </c>
      <c r="AR201" s="106">
        <v>0</v>
      </c>
      <c r="AS201" s="106">
        <v>0</v>
      </c>
      <c r="AT201" s="106">
        <v>0</v>
      </c>
      <c r="AU201" s="106">
        <v>0</v>
      </c>
      <c r="AV201" s="106">
        <v>0</v>
      </c>
      <c r="AW201" s="106">
        <v>0</v>
      </c>
      <c r="AX201" s="106">
        <v>0</v>
      </c>
      <c r="AY201" s="106">
        <v>0</v>
      </c>
    </row>
    <row r="202" spans="1:51">
      <c r="A202" s="109"/>
      <c r="B202" s="120">
        <v>6</v>
      </c>
      <c r="C202" s="106">
        <v>0</v>
      </c>
      <c r="D202" s="106">
        <v>0</v>
      </c>
      <c r="E202" s="106">
        <v>0</v>
      </c>
      <c r="F202" s="106">
        <v>0</v>
      </c>
      <c r="G202" s="106">
        <v>0</v>
      </c>
      <c r="H202" s="106">
        <v>0</v>
      </c>
      <c r="I202" s="106">
        <v>0</v>
      </c>
      <c r="J202" s="106">
        <v>0</v>
      </c>
      <c r="K202" s="106">
        <v>0</v>
      </c>
      <c r="L202" s="106">
        <v>0</v>
      </c>
      <c r="M202" s="106">
        <v>0</v>
      </c>
      <c r="N202" s="106">
        <v>0</v>
      </c>
      <c r="O202" s="106">
        <v>0</v>
      </c>
      <c r="P202" s="106">
        <v>0</v>
      </c>
      <c r="Q202" s="106">
        <v>0</v>
      </c>
      <c r="R202" s="106">
        <v>0</v>
      </c>
      <c r="S202" s="106">
        <v>0</v>
      </c>
      <c r="T202" s="106">
        <v>0</v>
      </c>
      <c r="U202" s="106">
        <v>0</v>
      </c>
      <c r="V202" s="106">
        <v>0</v>
      </c>
      <c r="W202" s="106">
        <v>0</v>
      </c>
      <c r="X202" s="106">
        <v>0</v>
      </c>
      <c r="Y202" s="106">
        <v>0</v>
      </c>
      <c r="Z202" s="106">
        <v>0</v>
      </c>
      <c r="AA202" s="106">
        <v>0</v>
      </c>
      <c r="AB202" s="106">
        <v>0</v>
      </c>
      <c r="AC202" s="106">
        <v>0</v>
      </c>
      <c r="AD202" s="106">
        <v>0</v>
      </c>
      <c r="AE202" s="106">
        <v>0</v>
      </c>
      <c r="AF202" s="106">
        <v>0</v>
      </c>
      <c r="AG202" s="106">
        <v>0</v>
      </c>
      <c r="AH202" s="106">
        <v>0</v>
      </c>
      <c r="AI202" s="106">
        <v>0</v>
      </c>
      <c r="AJ202" s="106">
        <v>0</v>
      </c>
      <c r="AK202" s="106">
        <v>0</v>
      </c>
      <c r="AL202" s="106">
        <v>0</v>
      </c>
      <c r="AM202" s="106">
        <v>0</v>
      </c>
      <c r="AN202" s="106">
        <v>0</v>
      </c>
      <c r="AO202" s="106">
        <v>0</v>
      </c>
      <c r="AP202" s="106">
        <v>0</v>
      </c>
      <c r="AQ202" s="106">
        <v>0</v>
      </c>
      <c r="AR202" s="106">
        <v>0</v>
      </c>
      <c r="AS202" s="106">
        <v>0</v>
      </c>
      <c r="AT202" s="106">
        <v>0</v>
      </c>
      <c r="AU202" s="106">
        <v>0</v>
      </c>
      <c r="AV202" s="106">
        <v>0</v>
      </c>
      <c r="AW202" s="106">
        <v>0</v>
      </c>
      <c r="AX202" s="106">
        <v>0</v>
      </c>
      <c r="AY202" s="106">
        <v>0</v>
      </c>
    </row>
    <row r="203" spans="1:51">
      <c r="A203" s="109"/>
      <c r="B203" s="127">
        <v>7</v>
      </c>
      <c r="C203" s="106">
        <v>0</v>
      </c>
      <c r="D203" s="106">
        <v>0</v>
      </c>
      <c r="E203" s="106">
        <v>0</v>
      </c>
      <c r="F203" s="106">
        <v>0</v>
      </c>
      <c r="G203" s="106">
        <v>0</v>
      </c>
      <c r="H203" s="106">
        <v>0</v>
      </c>
      <c r="I203" s="106">
        <v>0</v>
      </c>
      <c r="J203" s="106">
        <v>0</v>
      </c>
      <c r="K203" s="106">
        <v>0</v>
      </c>
      <c r="L203" s="106">
        <v>0</v>
      </c>
      <c r="M203" s="106">
        <v>0</v>
      </c>
      <c r="N203" s="106">
        <v>0</v>
      </c>
      <c r="O203" s="106">
        <v>0</v>
      </c>
      <c r="P203" s="106">
        <v>0</v>
      </c>
      <c r="Q203" s="106">
        <v>0</v>
      </c>
      <c r="R203" s="106">
        <v>0</v>
      </c>
      <c r="S203" s="106">
        <v>0</v>
      </c>
      <c r="T203" s="106">
        <v>0</v>
      </c>
      <c r="U203" s="106">
        <v>0</v>
      </c>
      <c r="V203" s="106">
        <v>0</v>
      </c>
      <c r="W203" s="106">
        <v>0</v>
      </c>
      <c r="X203" s="106">
        <v>0</v>
      </c>
      <c r="Y203" s="106">
        <v>0</v>
      </c>
      <c r="Z203" s="106">
        <v>0</v>
      </c>
      <c r="AA203" s="106">
        <v>0</v>
      </c>
      <c r="AB203" s="106">
        <v>0</v>
      </c>
      <c r="AC203" s="106">
        <v>0</v>
      </c>
      <c r="AD203" s="106">
        <v>0</v>
      </c>
      <c r="AE203" s="106">
        <v>0</v>
      </c>
      <c r="AF203" s="106">
        <v>0</v>
      </c>
      <c r="AG203" s="106">
        <v>0</v>
      </c>
      <c r="AH203" s="106">
        <v>0</v>
      </c>
      <c r="AI203" s="106">
        <v>0</v>
      </c>
      <c r="AJ203" s="106">
        <v>0</v>
      </c>
      <c r="AK203" s="106">
        <v>0</v>
      </c>
      <c r="AL203" s="106">
        <v>0</v>
      </c>
      <c r="AM203" s="106">
        <v>0</v>
      </c>
      <c r="AN203" s="106">
        <v>0</v>
      </c>
      <c r="AO203" s="106">
        <v>0</v>
      </c>
      <c r="AP203" s="106">
        <v>0</v>
      </c>
      <c r="AQ203" s="106">
        <v>0</v>
      </c>
      <c r="AR203" s="106">
        <v>0</v>
      </c>
      <c r="AS203" s="106">
        <v>0</v>
      </c>
      <c r="AT203" s="106">
        <v>0</v>
      </c>
      <c r="AU203" s="106">
        <v>0</v>
      </c>
      <c r="AV203" s="106">
        <v>0</v>
      </c>
      <c r="AW203" s="106">
        <v>0</v>
      </c>
      <c r="AX203" s="106">
        <v>0</v>
      </c>
      <c r="AY203" s="106">
        <v>0</v>
      </c>
    </row>
    <row r="204" spans="1:51">
      <c r="A204" s="109"/>
      <c r="B204" s="127">
        <v>8</v>
      </c>
      <c r="C204" s="106">
        <v>0</v>
      </c>
      <c r="D204" s="106">
        <v>0</v>
      </c>
      <c r="E204" s="106">
        <v>0</v>
      </c>
      <c r="F204" s="106">
        <v>0</v>
      </c>
      <c r="G204" s="106">
        <v>0</v>
      </c>
      <c r="H204" s="106">
        <v>0</v>
      </c>
      <c r="I204" s="106">
        <v>0</v>
      </c>
      <c r="J204" s="106">
        <v>0</v>
      </c>
      <c r="K204" s="106">
        <v>0</v>
      </c>
      <c r="L204" s="106">
        <v>0</v>
      </c>
      <c r="M204" s="106">
        <v>0</v>
      </c>
      <c r="N204" s="106">
        <v>0</v>
      </c>
      <c r="O204" s="106">
        <v>0</v>
      </c>
      <c r="P204" s="106">
        <v>0</v>
      </c>
      <c r="Q204" s="106">
        <v>0</v>
      </c>
      <c r="R204" s="106">
        <v>0</v>
      </c>
      <c r="S204" s="106">
        <v>0</v>
      </c>
      <c r="T204" s="106">
        <v>0</v>
      </c>
      <c r="U204" s="106">
        <v>0</v>
      </c>
      <c r="V204" s="106">
        <v>0</v>
      </c>
      <c r="W204" s="106">
        <v>0</v>
      </c>
      <c r="X204" s="106">
        <v>0</v>
      </c>
      <c r="Y204" s="106">
        <v>0</v>
      </c>
      <c r="Z204" s="106">
        <v>0</v>
      </c>
      <c r="AA204" s="106">
        <v>0</v>
      </c>
      <c r="AB204" s="106">
        <v>0</v>
      </c>
      <c r="AC204" s="106">
        <v>0</v>
      </c>
      <c r="AD204" s="106">
        <v>0</v>
      </c>
      <c r="AE204" s="106">
        <v>0</v>
      </c>
      <c r="AF204" s="106">
        <v>0</v>
      </c>
      <c r="AG204" s="106">
        <v>0</v>
      </c>
      <c r="AH204" s="106">
        <v>0</v>
      </c>
      <c r="AI204" s="106">
        <v>0</v>
      </c>
      <c r="AJ204" s="106">
        <v>0</v>
      </c>
      <c r="AK204" s="106">
        <v>0</v>
      </c>
      <c r="AL204" s="106">
        <v>0</v>
      </c>
      <c r="AM204" s="106">
        <v>0</v>
      </c>
      <c r="AN204" s="106">
        <v>0</v>
      </c>
      <c r="AO204" s="106">
        <v>0</v>
      </c>
      <c r="AP204" s="106">
        <v>0</v>
      </c>
      <c r="AQ204" s="106">
        <v>0</v>
      </c>
      <c r="AR204" s="106">
        <v>0</v>
      </c>
      <c r="AS204" s="106">
        <v>0</v>
      </c>
      <c r="AT204" s="106">
        <v>0</v>
      </c>
      <c r="AU204" s="106">
        <v>0</v>
      </c>
      <c r="AV204" s="106">
        <v>0</v>
      </c>
      <c r="AW204" s="106">
        <v>0</v>
      </c>
      <c r="AX204" s="106">
        <v>0</v>
      </c>
      <c r="AY204" s="106">
        <v>0</v>
      </c>
    </row>
    <row r="205" spans="1:51">
      <c r="A205" s="109"/>
      <c r="B205" s="127">
        <v>9</v>
      </c>
      <c r="C205" s="106">
        <v>0</v>
      </c>
      <c r="D205" s="106">
        <v>0</v>
      </c>
      <c r="E205" s="106">
        <v>0</v>
      </c>
      <c r="F205" s="106">
        <v>0</v>
      </c>
      <c r="G205" s="106">
        <v>0</v>
      </c>
      <c r="H205" s="106">
        <v>0</v>
      </c>
      <c r="I205" s="106">
        <v>0</v>
      </c>
      <c r="J205" s="106">
        <v>0</v>
      </c>
      <c r="K205" s="106">
        <v>0</v>
      </c>
      <c r="L205" s="106">
        <v>0</v>
      </c>
      <c r="M205" s="106">
        <v>0</v>
      </c>
      <c r="N205" s="106">
        <v>0</v>
      </c>
      <c r="O205" s="106">
        <v>0</v>
      </c>
      <c r="P205" s="106">
        <v>0</v>
      </c>
      <c r="Q205" s="106">
        <v>0</v>
      </c>
      <c r="R205" s="106">
        <v>0</v>
      </c>
      <c r="S205" s="106">
        <v>0</v>
      </c>
      <c r="T205" s="106">
        <v>0</v>
      </c>
      <c r="U205" s="106">
        <v>0</v>
      </c>
      <c r="V205" s="106">
        <v>0</v>
      </c>
      <c r="W205" s="106">
        <v>0</v>
      </c>
      <c r="X205" s="106">
        <v>0</v>
      </c>
      <c r="Y205" s="106">
        <v>0</v>
      </c>
      <c r="Z205" s="106">
        <v>0</v>
      </c>
      <c r="AA205" s="106">
        <v>0</v>
      </c>
      <c r="AB205" s="106">
        <v>0</v>
      </c>
      <c r="AC205" s="106">
        <v>0</v>
      </c>
      <c r="AD205" s="106">
        <v>0</v>
      </c>
      <c r="AE205" s="106">
        <v>0</v>
      </c>
      <c r="AF205" s="106">
        <v>0</v>
      </c>
      <c r="AG205" s="106">
        <v>0</v>
      </c>
      <c r="AH205" s="106">
        <v>0</v>
      </c>
      <c r="AI205" s="106">
        <v>0</v>
      </c>
      <c r="AJ205" s="106">
        <v>0</v>
      </c>
      <c r="AK205" s="106">
        <v>0</v>
      </c>
      <c r="AL205" s="106">
        <v>0</v>
      </c>
      <c r="AM205" s="106">
        <v>0</v>
      </c>
      <c r="AN205" s="106">
        <v>0</v>
      </c>
      <c r="AO205" s="106">
        <v>0</v>
      </c>
      <c r="AP205" s="106">
        <v>0</v>
      </c>
      <c r="AQ205" s="106">
        <v>0</v>
      </c>
      <c r="AR205" s="106">
        <v>0</v>
      </c>
      <c r="AS205" s="106">
        <v>0</v>
      </c>
      <c r="AT205" s="106">
        <v>0</v>
      </c>
      <c r="AU205" s="106">
        <v>0</v>
      </c>
      <c r="AV205" s="106">
        <v>0</v>
      </c>
      <c r="AW205" s="106">
        <v>0</v>
      </c>
      <c r="AX205" s="106">
        <v>0</v>
      </c>
      <c r="AY205" s="106">
        <v>0</v>
      </c>
    </row>
    <row r="206" spans="1:51">
      <c r="A206" s="109"/>
      <c r="B206" s="130">
        <v>10</v>
      </c>
      <c r="C206" s="106">
        <v>0</v>
      </c>
      <c r="D206" s="106">
        <v>0</v>
      </c>
      <c r="E206" s="106">
        <v>0</v>
      </c>
      <c r="F206" s="106">
        <v>0</v>
      </c>
      <c r="G206" s="106">
        <v>0</v>
      </c>
      <c r="H206" s="106">
        <v>0</v>
      </c>
      <c r="I206" s="106">
        <v>0</v>
      </c>
      <c r="J206" s="106">
        <v>0</v>
      </c>
      <c r="K206" s="106">
        <v>0</v>
      </c>
      <c r="L206" s="106">
        <v>0</v>
      </c>
      <c r="M206" s="106">
        <v>0</v>
      </c>
      <c r="N206" s="106">
        <v>0</v>
      </c>
      <c r="O206" s="106">
        <v>0</v>
      </c>
      <c r="P206" s="106">
        <v>0</v>
      </c>
      <c r="Q206" s="106">
        <v>0</v>
      </c>
      <c r="R206" s="106">
        <v>0</v>
      </c>
      <c r="S206" s="106">
        <v>0</v>
      </c>
      <c r="T206" s="106">
        <v>0</v>
      </c>
      <c r="U206" s="106">
        <v>0</v>
      </c>
      <c r="V206" s="106">
        <v>0</v>
      </c>
      <c r="W206" s="106">
        <v>0</v>
      </c>
      <c r="X206" s="106">
        <v>0</v>
      </c>
      <c r="Y206" s="106">
        <v>0</v>
      </c>
      <c r="Z206" s="106">
        <v>0</v>
      </c>
      <c r="AA206" s="106">
        <v>0</v>
      </c>
      <c r="AB206" s="106">
        <v>0</v>
      </c>
      <c r="AC206" s="106">
        <v>0</v>
      </c>
      <c r="AD206" s="106">
        <v>0</v>
      </c>
      <c r="AE206" s="106">
        <v>0</v>
      </c>
      <c r="AF206" s="106">
        <v>0</v>
      </c>
      <c r="AG206" s="106">
        <v>0</v>
      </c>
      <c r="AH206" s="106">
        <v>0</v>
      </c>
      <c r="AI206" s="106">
        <v>0</v>
      </c>
      <c r="AJ206" s="106">
        <v>0</v>
      </c>
      <c r="AK206" s="106">
        <v>0</v>
      </c>
      <c r="AL206" s="106">
        <v>0</v>
      </c>
      <c r="AM206" s="106">
        <v>0</v>
      </c>
      <c r="AN206" s="106">
        <v>0</v>
      </c>
      <c r="AO206" s="106">
        <v>0</v>
      </c>
      <c r="AP206" s="106">
        <v>0</v>
      </c>
      <c r="AQ206" s="106">
        <v>0</v>
      </c>
      <c r="AR206" s="106">
        <v>0</v>
      </c>
      <c r="AS206" s="106">
        <v>0</v>
      </c>
      <c r="AT206" s="106">
        <v>0</v>
      </c>
      <c r="AU206" s="106">
        <v>0</v>
      </c>
      <c r="AV206" s="106">
        <v>0</v>
      </c>
      <c r="AW206" s="106">
        <v>0</v>
      </c>
      <c r="AX206" s="106">
        <v>0</v>
      </c>
      <c r="AY206" s="106">
        <v>0</v>
      </c>
    </row>
    <row r="207" spans="1:51">
      <c r="A207" s="109"/>
      <c r="B207" s="130">
        <v>11</v>
      </c>
      <c r="C207" s="106">
        <v>0</v>
      </c>
      <c r="D207" s="106">
        <v>0</v>
      </c>
      <c r="E207" s="106">
        <v>0</v>
      </c>
      <c r="F207" s="106">
        <v>0</v>
      </c>
      <c r="G207" s="106">
        <v>0</v>
      </c>
      <c r="H207" s="106">
        <v>0</v>
      </c>
      <c r="I207" s="106">
        <v>0</v>
      </c>
      <c r="J207" s="106">
        <v>0</v>
      </c>
      <c r="K207" s="106">
        <v>0</v>
      </c>
      <c r="L207" s="106">
        <v>0</v>
      </c>
      <c r="M207" s="106">
        <v>0</v>
      </c>
      <c r="N207" s="106">
        <v>0</v>
      </c>
      <c r="O207" s="106">
        <v>0</v>
      </c>
      <c r="P207" s="106">
        <v>0</v>
      </c>
      <c r="Q207" s="106">
        <v>0</v>
      </c>
      <c r="R207" s="106">
        <v>0</v>
      </c>
      <c r="S207" s="106">
        <v>0</v>
      </c>
      <c r="T207" s="106">
        <v>0</v>
      </c>
      <c r="U207" s="106">
        <v>0</v>
      </c>
      <c r="V207" s="106">
        <v>0</v>
      </c>
      <c r="W207" s="106">
        <v>0</v>
      </c>
      <c r="X207" s="106">
        <v>0</v>
      </c>
      <c r="Y207" s="106">
        <v>0</v>
      </c>
      <c r="Z207" s="106">
        <v>0</v>
      </c>
      <c r="AA207" s="106">
        <v>0</v>
      </c>
      <c r="AB207" s="106">
        <v>0</v>
      </c>
      <c r="AC207" s="106">
        <v>0</v>
      </c>
      <c r="AD207" s="106">
        <v>0</v>
      </c>
      <c r="AE207" s="106">
        <v>0</v>
      </c>
      <c r="AF207" s="106">
        <v>0</v>
      </c>
      <c r="AG207" s="106">
        <v>0</v>
      </c>
      <c r="AH207" s="106">
        <v>0</v>
      </c>
      <c r="AI207" s="106">
        <v>0</v>
      </c>
      <c r="AJ207" s="106">
        <v>0</v>
      </c>
      <c r="AK207" s="106">
        <v>0</v>
      </c>
      <c r="AL207" s="106">
        <v>0</v>
      </c>
      <c r="AM207" s="106">
        <v>0</v>
      </c>
      <c r="AN207" s="106">
        <v>0</v>
      </c>
      <c r="AO207" s="106">
        <v>0</v>
      </c>
      <c r="AP207" s="106">
        <v>0</v>
      </c>
      <c r="AQ207" s="106">
        <v>0</v>
      </c>
      <c r="AR207" s="106">
        <v>0</v>
      </c>
      <c r="AS207" s="106">
        <v>0</v>
      </c>
      <c r="AT207" s="106">
        <v>0</v>
      </c>
      <c r="AU207" s="106">
        <v>0</v>
      </c>
      <c r="AV207" s="106">
        <v>0</v>
      </c>
      <c r="AW207" s="106">
        <v>0</v>
      </c>
      <c r="AX207" s="106">
        <v>0</v>
      </c>
      <c r="AY207" s="106">
        <v>0</v>
      </c>
    </row>
    <row r="208" spans="1:51">
      <c r="A208" s="109"/>
      <c r="B208" s="130">
        <v>12</v>
      </c>
      <c r="C208" s="106">
        <v>0</v>
      </c>
      <c r="D208" s="106">
        <v>0</v>
      </c>
      <c r="E208" s="106">
        <v>0</v>
      </c>
      <c r="F208" s="106">
        <v>0</v>
      </c>
      <c r="G208" s="106">
        <v>0</v>
      </c>
      <c r="H208" s="106">
        <v>0</v>
      </c>
      <c r="I208" s="106">
        <v>0</v>
      </c>
      <c r="J208" s="106">
        <v>0</v>
      </c>
      <c r="K208" s="106">
        <v>0</v>
      </c>
      <c r="L208" s="106">
        <v>0</v>
      </c>
      <c r="M208" s="106">
        <v>0</v>
      </c>
      <c r="N208" s="106">
        <v>0</v>
      </c>
      <c r="O208" s="106">
        <v>0</v>
      </c>
      <c r="P208" s="106">
        <v>0</v>
      </c>
      <c r="Q208" s="106">
        <v>0</v>
      </c>
      <c r="R208" s="106">
        <v>0</v>
      </c>
      <c r="S208" s="106">
        <v>0</v>
      </c>
      <c r="T208" s="106">
        <v>0</v>
      </c>
      <c r="U208" s="106">
        <v>0</v>
      </c>
      <c r="V208" s="106">
        <v>0</v>
      </c>
      <c r="W208" s="106">
        <v>0</v>
      </c>
      <c r="X208" s="106">
        <v>0</v>
      </c>
      <c r="Y208" s="106">
        <v>0</v>
      </c>
      <c r="Z208" s="106">
        <v>0</v>
      </c>
      <c r="AA208" s="106">
        <v>0</v>
      </c>
      <c r="AB208" s="106">
        <v>0</v>
      </c>
      <c r="AC208" s="106">
        <v>0</v>
      </c>
      <c r="AD208" s="106">
        <v>0</v>
      </c>
      <c r="AE208" s="106">
        <v>0</v>
      </c>
      <c r="AF208" s="106">
        <v>0</v>
      </c>
      <c r="AG208" s="106">
        <v>0</v>
      </c>
      <c r="AH208" s="106">
        <v>0</v>
      </c>
      <c r="AI208" s="106">
        <v>0</v>
      </c>
      <c r="AJ208" s="106">
        <v>0</v>
      </c>
      <c r="AK208" s="106">
        <v>0</v>
      </c>
      <c r="AL208" s="106">
        <v>0</v>
      </c>
      <c r="AM208" s="106">
        <v>0</v>
      </c>
      <c r="AN208" s="106">
        <v>0</v>
      </c>
      <c r="AO208" s="106">
        <v>0</v>
      </c>
      <c r="AP208" s="106">
        <v>0</v>
      </c>
      <c r="AQ208" s="106">
        <v>0</v>
      </c>
      <c r="AR208" s="106">
        <v>0</v>
      </c>
      <c r="AS208" s="106">
        <v>0</v>
      </c>
      <c r="AT208" s="106">
        <v>0</v>
      </c>
      <c r="AU208" s="106">
        <v>0</v>
      </c>
      <c r="AV208" s="106">
        <v>0</v>
      </c>
      <c r="AW208" s="106">
        <v>0</v>
      </c>
      <c r="AX208" s="106">
        <v>0</v>
      </c>
      <c r="AY208" s="106">
        <v>0</v>
      </c>
    </row>
    <row r="209" spans="1:51">
      <c r="A209" s="126" t="s">
        <v>123</v>
      </c>
      <c r="B209" s="123">
        <v>1</v>
      </c>
      <c r="C209" s="124">
        <v>120.94708760152717</v>
      </c>
      <c r="D209" s="124">
        <v>301.04336724303903</v>
      </c>
      <c r="E209" s="124">
        <v>291.97841269356769</v>
      </c>
      <c r="F209" s="124">
        <v>475.16678627267123</v>
      </c>
      <c r="G209" s="124">
        <v>475.16678627267123</v>
      </c>
      <c r="H209" s="124">
        <v>370.58837999356098</v>
      </c>
      <c r="I209" s="124">
        <v>475.16678627267123</v>
      </c>
      <c r="J209" s="124">
        <v>370.58837999356092</v>
      </c>
      <c r="K209" s="124">
        <v>292.94283445029203</v>
      </c>
      <c r="L209" s="124">
        <v>286.97010017773289</v>
      </c>
      <c r="M209" s="124">
        <v>553.81485958989822</v>
      </c>
      <c r="N209" s="124">
        <v>469.37189835474857</v>
      </c>
      <c r="O209" s="124">
        <v>376.56111426612006</v>
      </c>
      <c r="P209" s="124">
        <v>475.16678627267117</v>
      </c>
      <c r="Q209" s="124">
        <v>475.16678627267117</v>
      </c>
      <c r="R209" s="124">
        <v>475.16678627267117</v>
      </c>
      <c r="S209" s="124">
        <v>475.16678627267117</v>
      </c>
      <c r="T209" s="124">
        <v>286.97010017773289</v>
      </c>
      <c r="U209" s="124">
        <v>634.8986100441299</v>
      </c>
      <c r="V209" s="124">
        <v>286.97010017773289</v>
      </c>
      <c r="W209" s="124">
        <v>376.56111426612011</v>
      </c>
      <c r="X209" s="124">
        <v>475.16678627267117</v>
      </c>
      <c r="Y209" s="124">
        <v>286.97010017773289</v>
      </c>
      <c r="Z209" s="124">
        <v>663.36347236760957</v>
      </c>
      <c r="AA209" s="124">
        <v>475.16678627267117</v>
      </c>
      <c r="AB209" s="124">
        <v>376.56111426612011</v>
      </c>
      <c r="AC209" s="124">
        <v>475.16678627267117</v>
      </c>
      <c r="AD209" s="124">
        <v>475.16678627267117</v>
      </c>
      <c r="AE209" s="124">
        <v>475.16678627267117</v>
      </c>
      <c r="AF209" s="124">
        <v>475.16678627267117</v>
      </c>
      <c r="AG209" s="124">
        <v>286.97010017773289</v>
      </c>
      <c r="AH209" s="124">
        <v>511.60713350047939</v>
      </c>
      <c r="AI209" s="124">
        <v>511.60713350047939</v>
      </c>
      <c r="AJ209" s="124">
        <v>286.97010017773289</v>
      </c>
      <c r="AK209" s="124">
        <v>376.56111426612</v>
      </c>
      <c r="AL209" s="124">
        <v>286.97010017773277</v>
      </c>
      <c r="AM209" s="124">
        <v>302.978652973767</v>
      </c>
      <c r="AN209" s="124">
        <v>286.97010017773289</v>
      </c>
      <c r="AO209" s="124">
        <v>286.97010017773283</v>
      </c>
      <c r="AP209" s="124">
        <v>663.36347236760957</v>
      </c>
      <c r="AQ209" s="124">
        <v>286.97010017773289</v>
      </c>
      <c r="AR209" s="124">
        <v>447.13349021836433</v>
      </c>
      <c r="AS209" s="124">
        <v>475.16678627267117</v>
      </c>
      <c r="AT209" s="124">
        <v>475.16678627267117</v>
      </c>
      <c r="AU209" s="124">
        <v>286.97010017773289</v>
      </c>
      <c r="AV209" s="124">
        <v>376.56111426612011</v>
      </c>
      <c r="AW209" s="124">
        <v>286.97010017773289</v>
      </c>
      <c r="AX209" s="124">
        <v>475.16678627267117</v>
      </c>
      <c r="AY209" s="124">
        <v>286.97010017773289</v>
      </c>
    </row>
    <row r="210" spans="1:51">
      <c r="A210" s="109"/>
      <c r="B210" s="119">
        <v>2</v>
      </c>
      <c r="C210" s="106">
        <v>8.0109949372230451E-15</v>
      </c>
      <c r="D210" s="110">
        <v>0</v>
      </c>
      <c r="E210" s="110">
        <v>0</v>
      </c>
      <c r="F210" s="110">
        <v>0</v>
      </c>
      <c r="G210" s="110">
        <v>0</v>
      </c>
      <c r="H210" s="110">
        <v>0</v>
      </c>
      <c r="I210" s="110">
        <v>0</v>
      </c>
      <c r="J210" s="110">
        <v>0</v>
      </c>
      <c r="K210" s="110">
        <v>104.57840627911034</v>
      </c>
      <c r="L210" s="110">
        <v>182.22395182237923</v>
      </c>
      <c r="M210" s="110">
        <v>0</v>
      </c>
      <c r="N210" s="110">
        <v>61.628101645251427</v>
      </c>
      <c r="O210" s="110">
        <v>3.2599951069506812</v>
      </c>
      <c r="P210" s="110">
        <v>98.605672006551174</v>
      </c>
      <c r="Q210" s="110">
        <v>0</v>
      </c>
      <c r="R210" s="110">
        <v>0</v>
      </c>
      <c r="S210" s="110">
        <v>0</v>
      </c>
      <c r="T210" s="110">
        <v>0</v>
      </c>
      <c r="U210" s="110">
        <v>0</v>
      </c>
      <c r="V210" s="110">
        <v>16.013305728928483</v>
      </c>
      <c r="W210" s="110">
        <v>188.19668609493834</v>
      </c>
      <c r="X210" s="110">
        <v>0</v>
      </c>
      <c r="Y210" s="110">
        <v>0</v>
      </c>
      <c r="Z210" s="110">
        <v>0</v>
      </c>
      <c r="AA210" s="110">
        <v>0</v>
      </c>
      <c r="AB210" s="110">
        <v>0</v>
      </c>
      <c r="AC210" s="110">
        <v>98.605672006551146</v>
      </c>
      <c r="AD210" s="110">
        <v>0</v>
      </c>
      <c r="AE210" s="110">
        <v>0</v>
      </c>
      <c r="AF210" s="110">
        <v>0</v>
      </c>
      <c r="AG210" s="110">
        <v>0</v>
      </c>
      <c r="AH210" s="110">
        <v>188.19668609493834</v>
      </c>
      <c r="AI210" s="110">
        <v>0</v>
      </c>
      <c r="AJ210" s="110">
        <v>0</v>
      </c>
      <c r="AK210" s="110">
        <v>0</v>
      </c>
      <c r="AL210" s="110">
        <v>359.68305255710573</v>
      </c>
      <c r="AM210" s="110">
        <v>188.1966860949384</v>
      </c>
      <c r="AN210" s="110">
        <v>140.0005129712151</v>
      </c>
      <c r="AO210" s="110">
        <v>188.19668609493834</v>
      </c>
      <c r="AP210" s="110">
        <v>3.1978058932848722E-14</v>
      </c>
      <c r="AQ210" s="110">
        <v>0</v>
      </c>
      <c r="AR210" s="110">
        <v>188.19668609493834</v>
      </c>
      <c r="AS210" s="110">
        <v>15.770522098639953</v>
      </c>
      <c r="AT210" s="110">
        <v>0</v>
      </c>
      <c r="AU210" s="110">
        <v>0</v>
      </c>
      <c r="AV210" s="110">
        <v>188.19668609493834</v>
      </c>
      <c r="AW210" s="110">
        <v>98.605672006551146</v>
      </c>
      <c r="AX210" s="110">
        <v>188.19668609493834</v>
      </c>
      <c r="AY210" s="110">
        <v>0</v>
      </c>
    </row>
    <row r="211" spans="1:51">
      <c r="A211" s="109"/>
      <c r="B211" s="119">
        <v>3</v>
      </c>
      <c r="C211" s="106">
        <v>0</v>
      </c>
      <c r="D211" s="110">
        <v>0</v>
      </c>
      <c r="E211" s="110">
        <v>0</v>
      </c>
      <c r="F211" s="110">
        <v>0</v>
      </c>
      <c r="G211" s="110">
        <v>0</v>
      </c>
      <c r="H211" s="110">
        <v>0</v>
      </c>
      <c r="I211" s="110">
        <v>0</v>
      </c>
      <c r="J211" s="110">
        <v>104.57840627911028</v>
      </c>
      <c r="K211" s="110">
        <v>0</v>
      </c>
      <c r="L211" s="110">
        <v>0</v>
      </c>
      <c r="M211" s="110">
        <v>0</v>
      </c>
      <c r="N211" s="110">
        <v>0</v>
      </c>
      <c r="O211" s="110">
        <v>0</v>
      </c>
      <c r="P211" s="110">
        <v>0</v>
      </c>
      <c r="Q211" s="110">
        <v>0</v>
      </c>
      <c r="R211" s="110">
        <v>0</v>
      </c>
      <c r="S211" s="110">
        <v>0</v>
      </c>
      <c r="T211" s="110">
        <v>0</v>
      </c>
      <c r="U211" s="110">
        <v>0</v>
      </c>
      <c r="V211" s="110">
        <v>0</v>
      </c>
      <c r="W211" s="110">
        <v>0</v>
      </c>
      <c r="X211" s="110">
        <v>0</v>
      </c>
      <c r="Y211" s="110">
        <v>98.605672006551146</v>
      </c>
      <c r="Z211" s="110">
        <v>0</v>
      </c>
      <c r="AA211" s="110">
        <v>0</v>
      </c>
      <c r="AB211" s="110">
        <v>0</v>
      </c>
      <c r="AC211" s="110">
        <v>0</v>
      </c>
      <c r="AD211" s="110">
        <v>0</v>
      </c>
      <c r="AE211" s="110">
        <v>0</v>
      </c>
      <c r="AF211" s="110">
        <v>0</v>
      </c>
      <c r="AG211" s="110">
        <v>0</v>
      </c>
      <c r="AH211" s="110">
        <v>0</v>
      </c>
      <c r="AI211" s="110">
        <v>0</v>
      </c>
      <c r="AJ211" s="110">
        <v>0</v>
      </c>
      <c r="AK211" s="110">
        <v>0</v>
      </c>
      <c r="AL211" s="110">
        <v>0</v>
      </c>
      <c r="AM211" s="110">
        <v>0</v>
      </c>
      <c r="AN211" s="110">
        <v>0</v>
      </c>
      <c r="AO211" s="110">
        <v>0</v>
      </c>
      <c r="AP211" s="110">
        <v>0</v>
      </c>
      <c r="AQ211" s="110">
        <v>0</v>
      </c>
      <c r="AR211" s="110">
        <v>0</v>
      </c>
      <c r="AS211" s="110">
        <v>0</v>
      </c>
      <c r="AT211" s="110">
        <v>0</v>
      </c>
      <c r="AU211" s="110">
        <v>0</v>
      </c>
      <c r="AV211" s="110">
        <v>0</v>
      </c>
      <c r="AW211" s="110">
        <v>0</v>
      </c>
      <c r="AX211" s="110">
        <v>0</v>
      </c>
      <c r="AY211" s="110">
        <v>0</v>
      </c>
    </row>
    <row r="212" spans="1:51">
      <c r="A212" s="109"/>
      <c r="B212" s="119">
        <v>4</v>
      </c>
      <c r="C212" s="106">
        <v>0</v>
      </c>
      <c r="D212" s="110">
        <v>0</v>
      </c>
      <c r="E212" s="110">
        <v>0</v>
      </c>
      <c r="F212" s="110">
        <v>0</v>
      </c>
      <c r="G212" s="110">
        <v>0</v>
      </c>
      <c r="H212" s="110">
        <v>0</v>
      </c>
      <c r="I212" s="110">
        <v>0</v>
      </c>
      <c r="J212" s="110">
        <v>0</v>
      </c>
      <c r="K212" s="110">
        <v>0</v>
      </c>
      <c r="L212" s="110">
        <v>0</v>
      </c>
      <c r="M212" s="110">
        <v>0</v>
      </c>
      <c r="N212" s="110">
        <v>0</v>
      </c>
      <c r="O212" s="110">
        <v>0</v>
      </c>
      <c r="P212" s="110">
        <v>0</v>
      </c>
      <c r="Q212" s="110">
        <v>0</v>
      </c>
      <c r="R212" s="110">
        <v>0</v>
      </c>
      <c r="S212" s="110">
        <v>0</v>
      </c>
      <c r="T212" s="110">
        <v>0</v>
      </c>
      <c r="U212" s="110">
        <v>0</v>
      </c>
      <c r="V212" s="110">
        <v>0</v>
      </c>
      <c r="W212" s="110">
        <v>0</v>
      </c>
      <c r="X212" s="110">
        <v>0</v>
      </c>
      <c r="Y212" s="110">
        <v>0</v>
      </c>
      <c r="Z212" s="110">
        <v>0</v>
      </c>
      <c r="AA212" s="110">
        <v>0</v>
      </c>
      <c r="AB212" s="110">
        <v>0</v>
      </c>
      <c r="AC212" s="110">
        <v>0</v>
      </c>
      <c r="AD212" s="110">
        <v>0</v>
      </c>
      <c r="AE212" s="110">
        <v>0</v>
      </c>
      <c r="AF212" s="110">
        <v>0</v>
      </c>
      <c r="AG212" s="110">
        <v>0</v>
      </c>
      <c r="AH212" s="110">
        <v>0</v>
      </c>
      <c r="AI212" s="110">
        <v>0</v>
      </c>
      <c r="AJ212" s="110">
        <v>0</v>
      </c>
      <c r="AK212" s="110">
        <v>0</v>
      </c>
      <c r="AL212" s="110">
        <v>0</v>
      </c>
      <c r="AM212" s="110">
        <v>0</v>
      </c>
      <c r="AN212" s="110">
        <v>0</v>
      </c>
      <c r="AO212" s="110">
        <v>0</v>
      </c>
      <c r="AP212" s="110">
        <v>0</v>
      </c>
      <c r="AQ212" s="110">
        <v>0</v>
      </c>
      <c r="AR212" s="110">
        <v>0</v>
      </c>
      <c r="AS212" s="110">
        <v>0</v>
      </c>
      <c r="AT212" s="110">
        <v>0</v>
      </c>
      <c r="AU212" s="110">
        <v>0</v>
      </c>
      <c r="AV212" s="110">
        <v>0</v>
      </c>
      <c r="AW212" s="110">
        <v>0</v>
      </c>
      <c r="AX212" s="110">
        <v>0</v>
      </c>
      <c r="AY212" s="110">
        <v>0</v>
      </c>
    </row>
    <row r="213" spans="1:51">
      <c r="A213" s="109"/>
      <c r="B213" s="119">
        <v>5</v>
      </c>
      <c r="C213" s="106">
        <v>0</v>
      </c>
      <c r="D213" s="110">
        <v>0</v>
      </c>
      <c r="E213" s="110">
        <v>0</v>
      </c>
      <c r="F213" s="110">
        <v>0</v>
      </c>
      <c r="G213" s="110">
        <v>0</v>
      </c>
      <c r="H213" s="110">
        <v>0</v>
      </c>
      <c r="I213" s="110">
        <v>0</v>
      </c>
      <c r="J213" s="110">
        <v>0</v>
      </c>
      <c r="K213" s="110">
        <v>0</v>
      </c>
      <c r="L213" s="110">
        <v>0</v>
      </c>
      <c r="M213" s="110">
        <v>0</v>
      </c>
      <c r="N213" s="110">
        <v>0</v>
      </c>
      <c r="O213" s="110">
        <v>0</v>
      </c>
      <c r="P213" s="110">
        <v>0</v>
      </c>
      <c r="Q213" s="110">
        <v>0</v>
      </c>
      <c r="R213" s="110">
        <v>0</v>
      </c>
      <c r="S213" s="110">
        <v>0</v>
      </c>
      <c r="T213" s="110">
        <v>0</v>
      </c>
      <c r="U213" s="110">
        <v>0</v>
      </c>
      <c r="V213" s="110">
        <v>0</v>
      </c>
      <c r="W213" s="110">
        <v>0</v>
      </c>
      <c r="X213" s="110">
        <v>0</v>
      </c>
      <c r="Y213" s="110">
        <v>0</v>
      </c>
      <c r="Z213" s="110">
        <v>0</v>
      </c>
      <c r="AA213" s="110">
        <v>0</v>
      </c>
      <c r="AB213" s="110">
        <v>0</v>
      </c>
      <c r="AC213" s="110">
        <v>0</v>
      </c>
      <c r="AD213" s="110">
        <v>0</v>
      </c>
      <c r="AE213" s="110">
        <v>0</v>
      </c>
      <c r="AF213" s="110">
        <v>0</v>
      </c>
      <c r="AG213" s="110">
        <v>0</v>
      </c>
      <c r="AH213" s="110">
        <v>0</v>
      </c>
      <c r="AI213" s="110">
        <v>0</v>
      </c>
      <c r="AJ213" s="110">
        <v>0</v>
      </c>
      <c r="AK213" s="110">
        <v>0</v>
      </c>
      <c r="AL213" s="110">
        <v>0</v>
      </c>
      <c r="AM213" s="110">
        <v>0</v>
      </c>
      <c r="AN213" s="110">
        <v>0</v>
      </c>
      <c r="AO213" s="110">
        <v>0</v>
      </c>
      <c r="AP213" s="110">
        <v>0</v>
      </c>
      <c r="AQ213" s="110">
        <v>0</v>
      </c>
      <c r="AR213" s="110">
        <v>0</v>
      </c>
      <c r="AS213" s="110">
        <v>0</v>
      </c>
      <c r="AT213" s="110">
        <v>0</v>
      </c>
      <c r="AU213" s="110">
        <v>0</v>
      </c>
      <c r="AV213" s="110">
        <v>0</v>
      </c>
      <c r="AW213" s="110">
        <v>0</v>
      </c>
      <c r="AX213" s="110">
        <v>0</v>
      </c>
      <c r="AY213" s="110">
        <v>0</v>
      </c>
    </row>
    <row r="214" spans="1:51">
      <c r="A214" s="109"/>
      <c r="B214" s="119">
        <v>6</v>
      </c>
      <c r="C214" s="106">
        <v>0</v>
      </c>
      <c r="D214" s="110">
        <v>0</v>
      </c>
      <c r="E214" s="110">
        <v>0</v>
      </c>
      <c r="F214" s="110">
        <v>0</v>
      </c>
      <c r="G214" s="110">
        <v>0</v>
      </c>
      <c r="H214" s="110">
        <v>0</v>
      </c>
      <c r="I214" s="110">
        <v>0</v>
      </c>
      <c r="J214" s="110">
        <v>0</v>
      </c>
      <c r="K214" s="110">
        <v>0</v>
      </c>
      <c r="L214" s="110">
        <v>0</v>
      </c>
      <c r="M214" s="110">
        <v>0</v>
      </c>
      <c r="N214" s="110">
        <v>0</v>
      </c>
      <c r="O214" s="110">
        <v>0</v>
      </c>
      <c r="P214" s="110">
        <v>0</v>
      </c>
      <c r="Q214" s="110">
        <v>0</v>
      </c>
      <c r="R214" s="110">
        <v>0</v>
      </c>
      <c r="S214" s="110">
        <v>0</v>
      </c>
      <c r="T214" s="110">
        <v>0</v>
      </c>
      <c r="U214" s="110">
        <v>0</v>
      </c>
      <c r="V214" s="110">
        <v>0</v>
      </c>
      <c r="W214" s="110">
        <v>0</v>
      </c>
      <c r="X214" s="110">
        <v>0</v>
      </c>
      <c r="Y214" s="110">
        <v>0</v>
      </c>
      <c r="Z214" s="110">
        <v>0</v>
      </c>
      <c r="AA214" s="110">
        <v>0</v>
      </c>
      <c r="AB214" s="110">
        <v>0</v>
      </c>
      <c r="AC214" s="110">
        <v>0</v>
      </c>
      <c r="AD214" s="110">
        <v>0</v>
      </c>
      <c r="AE214" s="110">
        <v>0</v>
      </c>
      <c r="AF214" s="110">
        <v>0</v>
      </c>
      <c r="AG214" s="110">
        <v>0</v>
      </c>
      <c r="AH214" s="110">
        <v>0</v>
      </c>
      <c r="AI214" s="110">
        <v>0</v>
      </c>
      <c r="AJ214" s="110">
        <v>0</v>
      </c>
      <c r="AK214" s="110">
        <v>0</v>
      </c>
      <c r="AL214" s="110">
        <v>0</v>
      </c>
      <c r="AM214" s="110">
        <v>0</v>
      </c>
      <c r="AN214" s="110">
        <v>0</v>
      </c>
      <c r="AO214" s="110">
        <v>0</v>
      </c>
      <c r="AP214" s="110">
        <v>0</v>
      </c>
      <c r="AQ214" s="110">
        <v>0</v>
      </c>
      <c r="AR214" s="110">
        <v>0</v>
      </c>
      <c r="AS214" s="110">
        <v>0</v>
      </c>
      <c r="AT214" s="110">
        <v>0</v>
      </c>
      <c r="AU214" s="110">
        <v>0</v>
      </c>
      <c r="AV214" s="110">
        <v>0</v>
      </c>
      <c r="AW214" s="110">
        <v>0</v>
      </c>
      <c r="AX214" s="110">
        <v>0</v>
      </c>
      <c r="AY214" s="110">
        <v>0</v>
      </c>
    </row>
    <row r="215" spans="1:51">
      <c r="A215" s="109"/>
      <c r="B215" s="119">
        <v>7</v>
      </c>
      <c r="C215" s="106">
        <v>0</v>
      </c>
      <c r="D215" s="110">
        <v>0</v>
      </c>
      <c r="E215" s="110">
        <v>0</v>
      </c>
      <c r="F215" s="110">
        <v>0</v>
      </c>
      <c r="G215" s="110">
        <v>0</v>
      </c>
      <c r="H215" s="110">
        <v>0</v>
      </c>
      <c r="I215" s="110">
        <v>0</v>
      </c>
      <c r="J215" s="110">
        <v>0</v>
      </c>
      <c r="K215" s="110">
        <v>0</v>
      </c>
      <c r="L215" s="110">
        <v>0</v>
      </c>
      <c r="M215" s="110">
        <v>0</v>
      </c>
      <c r="N215" s="110">
        <v>0</v>
      </c>
      <c r="O215" s="110">
        <v>0</v>
      </c>
      <c r="P215" s="110">
        <v>0</v>
      </c>
      <c r="Q215" s="110">
        <v>0</v>
      </c>
      <c r="R215" s="110">
        <v>0</v>
      </c>
      <c r="S215" s="110">
        <v>0</v>
      </c>
      <c r="T215" s="110">
        <v>0</v>
      </c>
      <c r="U215" s="110">
        <v>0</v>
      </c>
      <c r="V215" s="110">
        <v>0</v>
      </c>
      <c r="W215" s="110">
        <v>0</v>
      </c>
      <c r="X215" s="110">
        <v>0</v>
      </c>
      <c r="Y215" s="110">
        <v>0</v>
      </c>
      <c r="Z215" s="110">
        <v>0</v>
      </c>
      <c r="AA215" s="110">
        <v>0</v>
      </c>
      <c r="AB215" s="110">
        <v>0</v>
      </c>
      <c r="AC215" s="110">
        <v>0</v>
      </c>
      <c r="AD215" s="110">
        <v>0</v>
      </c>
      <c r="AE215" s="110">
        <v>0</v>
      </c>
      <c r="AF215" s="110">
        <v>0</v>
      </c>
      <c r="AG215" s="110">
        <v>0</v>
      </c>
      <c r="AH215" s="110">
        <v>0</v>
      </c>
      <c r="AI215" s="110">
        <v>0</v>
      </c>
      <c r="AJ215" s="110">
        <v>0</v>
      </c>
      <c r="AK215" s="110">
        <v>0</v>
      </c>
      <c r="AL215" s="110">
        <v>0</v>
      </c>
      <c r="AM215" s="110">
        <v>0</v>
      </c>
      <c r="AN215" s="110">
        <v>0</v>
      </c>
      <c r="AO215" s="110">
        <v>0</v>
      </c>
      <c r="AP215" s="110">
        <v>0</v>
      </c>
      <c r="AQ215" s="110">
        <v>0</v>
      </c>
      <c r="AR215" s="110">
        <v>0</v>
      </c>
      <c r="AS215" s="110">
        <v>0</v>
      </c>
      <c r="AT215" s="110">
        <v>0</v>
      </c>
      <c r="AU215" s="110">
        <v>0</v>
      </c>
      <c r="AV215" s="110">
        <v>0</v>
      </c>
      <c r="AW215" s="110">
        <v>0</v>
      </c>
      <c r="AX215" s="110">
        <v>0</v>
      </c>
      <c r="AY215" s="110">
        <v>0</v>
      </c>
    </row>
    <row r="216" spans="1:51">
      <c r="A216" s="109"/>
      <c r="B216" s="119">
        <v>8</v>
      </c>
      <c r="C216" s="106">
        <v>0</v>
      </c>
      <c r="D216" s="110">
        <v>0</v>
      </c>
      <c r="E216" s="110">
        <v>0</v>
      </c>
      <c r="F216" s="110">
        <v>0</v>
      </c>
      <c r="G216" s="110">
        <v>0</v>
      </c>
      <c r="H216" s="110">
        <v>0</v>
      </c>
      <c r="I216" s="110">
        <v>0</v>
      </c>
      <c r="J216" s="110">
        <v>0</v>
      </c>
      <c r="K216" s="110">
        <v>0</v>
      </c>
      <c r="L216" s="110">
        <v>0</v>
      </c>
      <c r="M216" s="110">
        <v>0</v>
      </c>
      <c r="N216" s="110">
        <v>0</v>
      </c>
      <c r="O216" s="110">
        <v>0</v>
      </c>
      <c r="P216" s="110">
        <v>0</v>
      </c>
      <c r="Q216" s="110">
        <v>0</v>
      </c>
      <c r="R216" s="110">
        <v>0</v>
      </c>
      <c r="S216" s="110">
        <v>0</v>
      </c>
      <c r="T216" s="110">
        <v>0</v>
      </c>
      <c r="U216" s="110">
        <v>0</v>
      </c>
      <c r="V216" s="110">
        <v>0</v>
      </c>
      <c r="W216" s="110">
        <v>0</v>
      </c>
      <c r="X216" s="110">
        <v>0</v>
      </c>
      <c r="Y216" s="110">
        <v>0</v>
      </c>
      <c r="Z216" s="110">
        <v>0</v>
      </c>
      <c r="AA216" s="110">
        <v>0</v>
      </c>
      <c r="AB216" s="110">
        <v>0</v>
      </c>
      <c r="AC216" s="110">
        <v>0</v>
      </c>
      <c r="AD216" s="110">
        <v>0</v>
      </c>
      <c r="AE216" s="110">
        <v>0</v>
      </c>
      <c r="AF216" s="110">
        <v>0</v>
      </c>
      <c r="AG216" s="110">
        <v>0</v>
      </c>
      <c r="AH216" s="110">
        <v>0</v>
      </c>
      <c r="AI216" s="110">
        <v>0</v>
      </c>
      <c r="AJ216" s="110">
        <v>0</v>
      </c>
      <c r="AK216" s="110">
        <v>0</v>
      </c>
      <c r="AL216" s="110">
        <v>0</v>
      </c>
      <c r="AM216" s="110">
        <v>0</v>
      </c>
      <c r="AN216" s="110">
        <v>0</v>
      </c>
      <c r="AO216" s="110">
        <v>0</v>
      </c>
      <c r="AP216" s="110">
        <v>0</v>
      </c>
      <c r="AQ216" s="110">
        <v>0</v>
      </c>
      <c r="AR216" s="110">
        <v>0</v>
      </c>
      <c r="AS216" s="110">
        <v>0</v>
      </c>
      <c r="AT216" s="110">
        <v>0</v>
      </c>
      <c r="AU216" s="110">
        <v>0</v>
      </c>
      <c r="AV216" s="110">
        <v>0</v>
      </c>
      <c r="AW216" s="110">
        <v>0</v>
      </c>
      <c r="AX216" s="110">
        <v>0</v>
      </c>
      <c r="AY216" s="110">
        <v>0</v>
      </c>
    </row>
    <row r="217" spans="1:51">
      <c r="A217" s="109"/>
      <c r="B217" s="119">
        <v>9</v>
      </c>
      <c r="C217" s="106">
        <v>0</v>
      </c>
      <c r="D217" s="110">
        <v>0</v>
      </c>
      <c r="E217" s="110">
        <v>0</v>
      </c>
      <c r="F217" s="110">
        <v>0</v>
      </c>
      <c r="G217" s="110">
        <v>0</v>
      </c>
      <c r="H217" s="110">
        <v>0</v>
      </c>
      <c r="I217" s="110">
        <v>0</v>
      </c>
      <c r="J217" s="110">
        <v>0</v>
      </c>
      <c r="K217" s="110">
        <v>0</v>
      </c>
      <c r="L217" s="110">
        <v>0</v>
      </c>
      <c r="M217" s="110">
        <v>0</v>
      </c>
      <c r="N217" s="110">
        <v>0</v>
      </c>
      <c r="O217" s="110">
        <v>0</v>
      </c>
      <c r="P217" s="110">
        <v>0</v>
      </c>
      <c r="Q217" s="110">
        <v>0</v>
      </c>
      <c r="R217" s="110">
        <v>0</v>
      </c>
      <c r="S217" s="110">
        <v>0</v>
      </c>
      <c r="T217" s="110">
        <v>0</v>
      </c>
      <c r="U217" s="110">
        <v>0</v>
      </c>
      <c r="V217" s="110">
        <v>0</v>
      </c>
      <c r="W217" s="110">
        <v>0</v>
      </c>
      <c r="X217" s="110">
        <v>0</v>
      </c>
      <c r="Y217" s="110">
        <v>0</v>
      </c>
      <c r="Z217" s="110">
        <v>0</v>
      </c>
      <c r="AA217" s="110">
        <v>0</v>
      </c>
      <c r="AB217" s="110">
        <v>0</v>
      </c>
      <c r="AC217" s="110">
        <v>0</v>
      </c>
      <c r="AD217" s="110">
        <v>0</v>
      </c>
      <c r="AE217" s="110">
        <v>0</v>
      </c>
      <c r="AF217" s="110">
        <v>0</v>
      </c>
      <c r="AG217" s="110">
        <v>0</v>
      </c>
      <c r="AH217" s="110">
        <v>0</v>
      </c>
      <c r="AI217" s="110">
        <v>0</v>
      </c>
      <c r="AJ217" s="110">
        <v>0</v>
      </c>
      <c r="AK217" s="110">
        <v>0</v>
      </c>
      <c r="AL217" s="110">
        <v>0</v>
      </c>
      <c r="AM217" s="110">
        <v>0</v>
      </c>
      <c r="AN217" s="110">
        <v>0</v>
      </c>
      <c r="AO217" s="110">
        <v>0</v>
      </c>
      <c r="AP217" s="110">
        <v>0</v>
      </c>
      <c r="AQ217" s="110">
        <v>0</v>
      </c>
      <c r="AR217" s="110">
        <v>0</v>
      </c>
      <c r="AS217" s="110">
        <v>0</v>
      </c>
      <c r="AT217" s="110">
        <v>0</v>
      </c>
      <c r="AU217" s="110">
        <v>0</v>
      </c>
      <c r="AV217" s="110">
        <v>0</v>
      </c>
      <c r="AW217" s="110">
        <v>0</v>
      </c>
      <c r="AX217" s="110">
        <v>0</v>
      </c>
      <c r="AY217" s="110">
        <v>0</v>
      </c>
    </row>
    <row r="218" spans="1:51">
      <c r="A218" s="109"/>
      <c r="B218" s="119">
        <v>10</v>
      </c>
      <c r="C218" s="106">
        <v>0</v>
      </c>
      <c r="D218" s="110">
        <v>0</v>
      </c>
      <c r="E218" s="110">
        <v>0</v>
      </c>
      <c r="F218" s="110">
        <v>0</v>
      </c>
      <c r="G218" s="110">
        <v>0</v>
      </c>
      <c r="H218" s="110">
        <v>0</v>
      </c>
      <c r="I218" s="110">
        <v>0</v>
      </c>
      <c r="J218" s="110">
        <v>0</v>
      </c>
      <c r="K218" s="110">
        <v>0</v>
      </c>
      <c r="L218" s="110">
        <v>0</v>
      </c>
      <c r="M218" s="110">
        <v>0</v>
      </c>
      <c r="N218" s="110">
        <v>0</v>
      </c>
      <c r="O218" s="110">
        <v>0</v>
      </c>
      <c r="P218" s="110">
        <v>0</v>
      </c>
      <c r="Q218" s="110">
        <v>0</v>
      </c>
      <c r="R218" s="110">
        <v>0</v>
      </c>
      <c r="S218" s="110">
        <v>0</v>
      </c>
      <c r="T218" s="110">
        <v>0</v>
      </c>
      <c r="U218" s="110">
        <v>0</v>
      </c>
      <c r="V218" s="110">
        <v>0</v>
      </c>
      <c r="W218" s="110">
        <v>0</v>
      </c>
      <c r="X218" s="110">
        <v>0</v>
      </c>
      <c r="Y218" s="110">
        <v>0</v>
      </c>
      <c r="Z218" s="110">
        <v>0</v>
      </c>
      <c r="AA218" s="110">
        <v>0</v>
      </c>
      <c r="AB218" s="110">
        <v>0</v>
      </c>
      <c r="AC218" s="110">
        <v>0</v>
      </c>
      <c r="AD218" s="110">
        <v>0</v>
      </c>
      <c r="AE218" s="110">
        <v>0</v>
      </c>
      <c r="AF218" s="110">
        <v>0</v>
      </c>
      <c r="AG218" s="110">
        <v>0</v>
      </c>
      <c r="AH218" s="110">
        <v>0</v>
      </c>
      <c r="AI218" s="110">
        <v>0</v>
      </c>
      <c r="AJ218" s="110">
        <v>0</v>
      </c>
      <c r="AK218" s="110">
        <v>0</v>
      </c>
      <c r="AL218" s="110">
        <v>0</v>
      </c>
      <c r="AM218" s="110">
        <v>0</v>
      </c>
      <c r="AN218" s="110">
        <v>0</v>
      </c>
      <c r="AO218" s="110">
        <v>0</v>
      </c>
      <c r="AP218" s="110">
        <v>0</v>
      </c>
      <c r="AQ218" s="110">
        <v>0</v>
      </c>
      <c r="AR218" s="110">
        <v>0</v>
      </c>
      <c r="AS218" s="110">
        <v>0</v>
      </c>
      <c r="AT218" s="110">
        <v>0</v>
      </c>
      <c r="AU218" s="110">
        <v>0</v>
      </c>
      <c r="AV218" s="110">
        <v>0</v>
      </c>
      <c r="AW218" s="110">
        <v>0</v>
      </c>
      <c r="AX218" s="110">
        <v>0</v>
      </c>
      <c r="AY218" s="110">
        <v>0</v>
      </c>
    </row>
    <row r="219" spans="1:51">
      <c r="A219" s="109"/>
      <c r="B219" s="119">
        <v>11</v>
      </c>
      <c r="C219" s="106">
        <v>0</v>
      </c>
      <c r="D219" s="110">
        <v>0</v>
      </c>
      <c r="E219" s="110">
        <v>0</v>
      </c>
      <c r="F219" s="110">
        <v>0</v>
      </c>
      <c r="G219" s="110">
        <v>0</v>
      </c>
      <c r="H219" s="110">
        <v>0</v>
      </c>
      <c r="I219" s="110">
        <v>0</v>
      </c>
      <c r="J219" s="110">
        <v>0</v>
      </c>
      <c r="K219" s="110">
        <v>0</v>
      </c>
      <c r="L219" s="110">
        <v>0</v>
      </c>
      <c r="M219" s="110">
        <v>0</v>
      </c>
      <c r="N219" s="110">
        <v>0</v>
      </c>
      <c r="O219" s="110">
        <v>0</v>
      </c>
      <c r="P219" s="110">
        <v>0</v>
      </c>
      <c r="Q219" s="110">
        <v>0</v>
      </c>
      <c r="R219" s="110">
        <v>0</v>
      </c>
      <c r="S219" s="110">
        <v>0</v>
      </c>
      <c r="T219" s="110">
        <v>0</v>
      </c>
      <c r="U219" s="110">
        <v>0</v>
      </c>
      <c r="V219" s="110">
        <v>0</v>
      </c>
      <c r="W219" s="110">
        <v>0</v>
      </c>
      <c r="X219" s="110">
        <v>0</v>
      </c>
      <c r="Y219" s="110">
        <v>0</v>
      </c>
      <c r="Z219" s="110">
        <v>0</v>
      </c>
      <c r="AA219" s="110">
        <v>0</v>
      </c>
      <c r="AB219" s="110">
        <v>0</v>
      </c>
      <c r="AC219" s="110">
        <v>0</v>
      </c>
      <c r="AD219" s="110">
        <v>0</v>
      </c>
      <c r="AE219" s="110">
        <v>0</v>
      </c>
      <c r="AF219" s="110">
        <v>0</v>
      </c>
      <c r="AG219" s="110">
        <v>0</v>
      </c>
      <c r="AH219" s="110">
        <v>0</v>
      </c>
      <c r="AI219" s="110">
        <v>0</v>
      </c>
      <c r="AJ219" s="110">
        <v>0</v>
      </c>
      <c r="AK219" s="110">
        <v>0</v>
      </c>
      <c r="AL219" s="110">
        <v>0</v>
      </c>
      <c r="AM219" s="110">
        <v>0</v>
      </c>
      <c r="AN219" s="110">
        <v>0</v>
      </c>
      <c r="AO219" s="110">
        <v>0</v>
      </c>
      <c r="AP219" s="110">
        <v>0</v>
      </c>
      <c r="AQ219" s="110">
        <v>0</v>
      </c>
      <c r="AR219" s="110">
        <v>0</v>
      </c>
      <c r="AS219" s="110">
        <v>0</v>
      </c>
      <c r="AT219" s="110">
        <v>0</v>
      </c>
      <c r="AU219" s="110">
        <v>0</v>
      </c>
      <c r="AV219" s="110">
        <v>0</v>
      </c>
      <c r="AW219" s="110">
        <v>0</v>
      </c>
      <c r="AX219" s="110">
        <v>0</v>
      </c>
      <c r="AY219" s="110">
        <v>0</v>
      </c>
    </row>
    <row r="220" spans="1:51">
      <c r="A220" s="109"/>
      <c r="B220" s="119">
        <v>12</v>
      </c>
      <c r="C220" s="106">
        <v>0</v>
      </c>
      <c r="D220" s="110">
        <v>0</v>
      </c>
      <c r="E220" s="110">
        <v>0</v>
      </c>
      <c r="F220" s="110">
        <v>0</v>
      </c>
      <c r="G220" s="110">
        <v>0</v>
      </c>
      <c r="H220" s="110">
        <v>0</v>
      </c>
      <c r="I220" s="110">
        <v>0</v>
      </c>
      <c r="J220" s="110">
        <v>0</v>
      </c>
      <c r="K220" s="110">
        <v>0</v>
      </c>
      <c r="L220" s="110">
        <v>0</v>
      </c>
      <c r="M220" s="110">
        <v>0</v>
      </c>
      <c r="N220" s="110">
        <v>0</v>
      </c>
      <c r="O220" s="110">
        <v>0</v>
      </c>
      <c r="P220" s="110">
        <v>0</v>
      </c>
      <c r="Q220" s="110">
        <v>0</v>
      </c>
      <c r="R220" s="110">
        <v>0</v>
      </c>
      <c r="S220" s="110">
        <v>0</v>
      </c>
      <c r="T220" s="110">
        <v>0</v>
      </c>
      <c r="U220" s="110">
        <v>0</v>
      </c>
      <c r="V220" s="110">
        <v>0</v>
      </c>
      <c r="W220" s="110">
        <v>0</v>
      </c>
      <c r="X220" s="110">
        <v>0</v>
      </c>
      <c r="Y220" s="110">
        <v>0</v>
      </c>
      <c r="Z220" s="110">
        <v>0</v>
      </c>
      <c r="AA220" s="110">
        <v>0</v>
      </c>
      <c r="AB220" s="110">
        <v>0</v>
      </c>
      <c r="AC220" s="110">
        <v>0</v>
      </c>
      <c r="AD220" s="110">
        <v>0</v>
      </c>
      <c r="AE220" s="110">
        <v>0</v>
      </c>
      <c r="AF220" s="110">
        <v>0</v>
      </c>
      <c r="AG220" s="110">
        <v>0</v>
      </c>
      <c r="AH220" s="110">
        <v>0</v>
      </c>
      <c r="AI220" s="110">
        <v>0</v>
      </c>
      <c r="AJ220" s="110">
        <v>0</v>
      </c>
      <c r="AK220" s="110">
        <v>0</v>
      </c>
      <c r="AL220" s="110">
        <v>0</v>
      </c>
      <c r="AM220" s="110">
        <v>0</v>
      </c>
      <c r="AN220" s="110">
        <v>0</v>
      </c>
      <c r="AO220" s="110">
        <v>0</v>
      </c>
      <c r="AP220" s="110">
        <v>0</v>
      </c>
      <c r="AQ220" s="110">
        <v>0</v>
      </c>
      <c r="AR220" s="110">
        <v>0</v>
      </c>
      <c r="AS220" s="110">
        <v>0</v>
      </c>
      <c r="AT220" s="110">
        <v>0</v>
      </c>
      <c r="AU220" s="110">
        <v>0</v>
      </c>
      <c r="AV220" s="110">
        <v>0</v>
      </c>
      <c r="AW220" s="110">
        <v>0</v>
      </c>
      <c r="AX220" s="110">
        <v>0</v>
      </c>
      <c r="AY220" s="110">
        <v>0</v>
      </c>
    </row>
    <row r="221" spans="1:51">
      <c r="A221" s="109"/>
      <c r="B221" s="120">
        <v>13</v>
      </c>
      <c r="C221" s="106">
        <v>0</v>
      </c>
      <c r="D221" s="110">
        <v>0</v>
      </c>
      <c r="E221" s="110">
        <v>0</v>
      </c>
      <c r="F221" s="110">
        <v>0</v>
      </c>
      <c r="G221" s="110">
        <v>0</v>
      </c>
      <c r="H221" s="110">
        <v>0</v>
      </c>
      <c r="I221" s="110">
        <v>0</v>
      </c>
      <c r="J221" s="110">
        <v>0</v>
      </c>
      <c r="K221" s="110">
        <v>0</v>
      </c>
      <c r="L221" s="110">
        <v>0</v>
      </c>
      <c r="M221" s="110">
        <v>0</v>
      </c>
      <c r="N221" s="110">
        <v>0</v>
      </c>
      <c r="O221" s="110">
        <v>0</v>
      </c>
      <c r="P221" s="110">
        <v>0</v>
      </c>
      <c r="Q221" s="110">
        <v>0</v>
      </c>
      <c r="R221" s="110">
        <v>0</v>
      </c>
      <c r="S221" s="110">
        <v>0</v>
      </c>
      <c r="T221" s="110">
        <v>0</v>
      </c>
      <c r="U221" s="110">
        <v>0</v>
      </c>
      <c r="V221" s="110">
        <v>0</v>
      </c>
      <c r="W221" s="110">
        <v>0</v>
      </c>
      <c r="X221" s="110">
        <v>0</v>
      </c>
      <c r="Y221" s="110">
        <v>0</v>
      </c>
      <c r="Z221" s="110">
        <v>0</v>
      </c>
      <c r="AA221" s="110">
        <v>0</v>
      </c>
      <c r="AB221" s="110">
        <v>0</v>
      </c>
      <c r="AC221" s="110">
        <v>0</v>
      </c>
      <c r="AD221" s="110">
        <v>0</v>
      </c>
      <c r="AE221" s="110">
        <v>0</v>
      </c>
      <c r="AF221" s="110">
        <v>0</v>
      </c>
      <c r="AG221" s="110">
        <v>0</v>
      </c>
      <c r="AH221" s="110">
        <v>0</v>
      </c>
      <c r="AI221" s="110">
        <v>0</v>
      </c>
      <c r="AJ221" s="110">
        <v>0</v>
      </c>
      <c r="AK221" s="110">
        <v>0</v>
      </c>
      <c r="AL221" s="110">
        <v>0</v>
      </c>
      <c r="AM221" s="110">
        <v>0</v>
      </c>
      <c r="AN221" s="110">
        <v>0</v>
      </c>
      <c r="AO221" s="110">
        <v>0</v>
      </c>
      <c r="AP221" s="110">
        <v>0</v>
      </c>
      <c r="AQ221" s="110">
        <v>0</v>
      </c>
      <c r="AR221" s="110">
        <v>0</v>
      </c>
      <c r="AS221" s="110">
        <v>0</v>
      </c>
      <c r="AT221" s="110">
        <v>0</v>
      </c>
      <c r="AU221" s="110">
        <v>0</v>
      </c>
      <c r="AV221" s="110">
        <v>0</v>
      </c>
      <c r="AW221" s="110">
        <v>0</v>
      </c>
      <c r="AX221" s="110">
        <v>0</v>
      </c>
      <c r="AY221" s="110">
        <v>0</v>
      </c>
    </row>
    <row r="222" spans="1:51">
      <c r="A222" s="109"/>
      <c r="B222" s="120">
        <v>14</v>
      </c>
      <c r="C222" s="106">
        <v>0</v>
      </c>
      <c r="D222" s="110">
        <v>0</v>
      </c>
      <c r="E222" s="110">
        <v>0</v>
      </c>
      <c r="F222" s="110">
        <v>0</v>
      </c>
      <c r="G222" s="110">
        <v>0</v>
      </c>
      <c r="H222" s="110">
        <v>0</v>
      </c>
      <c r="I222" s="110">
        <v>0</v>
      </c>
      <c r="J222" s="110">
        <v>0</v>
      </c>
      <c r="K222" s="110">
        <v>0</v>
      </c>
      <c r="L222" s="110">
        <v>0</v>
      </c>
      <c r="M222" s="110">
        <v>0</v>
      </c>
      <c r="N222" s="110">
        <v>0</v>
      </c>
      <c r="O222" s="110">
        <v>0</v>
      </c>
      <c r="P222" s="110">
        <v>0</v>
      </c>
      <c r="Q222" s="110">
        <v>0</v>
      </c>
      <c r="R222" s="110">
        <v>0</v>
      </c>
      <c r="S222" s="110">
        <v>0</v>
      </c>
      <c r="T222" s="110">
        <v>0</v>
      </c>
      <c r="U222" s="110">
        <v>0</v>
      </c>
      <c r="V222" s="110">
        <v>0</v>
      </c>
      <c r="W222" s="110">
        <v>0</v>
      </c>
      <c r="X222" s="110">
        <v>0</v>
      </c>
      <c r="Y222" s="110">
        <v>0</v>
      </c>
      <c r="Z222" s="110">
        <v>0</v>
      </c>
      <c r="AA222" s="110">
        <v>0</v>
      </c>
      <c r="AB222" s="110">
        <v>0</v>
      </c>
      <c r="AC222" s="110">
        <v>0</v>
      </c>
      <c r="AD222" s="110">
        <v>0</v>
      </c>
      <c r="AE222" s="110">
        <v>0</v>
      </c>
      <c r="AF222" s="110">
        <v>0</v>
      </c>
      <c r="AG222" s="110">
        <v>0</v>
      </c>
      <c r="AH222" s="110">
        <v>0</v>
      </c>
      <c r="AI222" s="110">
        <v>0</v>
      </c>
      <c r="AJ222" s="110">
        <v>0</v>
      </c>
      <c r="AK222" s="110">
        <v>0</v>
      </c>
      <c r="AL222" s="110">
        <v>0</v>
      </c>
      <c r="AM222" s="110">
        <v>0</v>
      </c>
      <c r="AN222" s="110">
        <v>0</v>
      </c>
      <c r="AO222" s="110">
        <v>0</v>
      </c>
      <c r="AP222" s="110">
        <v>0</v>
      </c>
      <c r="AQ222" s="110">
        <v>0</v>
      </c>
      <c r="AR222" s="110">
        <v>0</v>
      </c>
      <c r="AS222" s="110">
        <v>0</v>
      </c>
      <c r="AT222" s="110">
        <v>0</v>
      </c>
      <c r="AU222" s="110">
        <v>0</v>
      </c>
      <c r="AV222" s="110">
        <v>0</v>
      </c>
      <c r="AW222" s="110">
        <v>0</v>
      </c>
      <c r="AX222" s="110">
        <v>0</v>
      </c>
      <c r="AY222" s="110">
        <v>0</v>
      </c>
    </row>
    <row r="223" spans="1:51">
      <c r="A223" s="109"/>
      <c r="B223" s="120">
        <v>15</v>
      </c>
      <c r="C223" s="106">
        <v>0</v>
      </c>
      <c r="D223" s="110">
        <v>0</v>
      </c>
      <c r="E223" s="110">
        <v>0</v>
      </c>
      <c r="F223" s="110">
        <v>0</v>
      </c>
      <c r="G223" s="110">
        <v>0</v>
      </c>
      <c r="H223" s="110">
        <v>0</v>
      </c>
      <c r="I223" s="110">
        <v>0</v>
      </c>
      <c r="J223" s="110">
        <v>0</v>
      </c>
      <c r="K223" s="110">
        <v>0</v>
      </c>
      <c r="L223" s="110">
        <v>0</v>
      </c>
      <c r="M223" s="110">
        <v>0</v>
      </c>
      <c r="N223" s="110">
        <v>0</v>
      </c>
      <c r="O223" s="110">
        <v>0</v>
      </c>
      <c r="P223" s="110">
        <v>0</v>
      </c>
      <c r="Q223" s="110">
        <v>0</v>
      </c>
      <c r="R223" s="110">
        <v>0</v>
      </c>
      <c r="S223" s="110">
        <v>0</v>
      </c>
      <c r="T223" s="110">
        <v>0</v>
      </c>
      <c r="U223" s="110">
        <v>0</v>
      </c>
      <c r="V223" s="110">
        <v>0</v>
      </c>
      <c r="W223" s="110">
        <v>0</v>
      </c>
      <c r="X223" s="110">
        <v>0</v>
      </c>
      <c r="Y223" s="110">
        <v>0</v>
      </c>
      <c r="Z223" s="110">
        <v>0</v>
      </c>
      <c r="AA223" s="110">
        <v>0</v>
      </c>
      <c r="AB223" s="110">
        <v>0</v>
      </c>
      <c r="AC223" s="110">
        <v>0</v>
      </c>
      <c r="AD223" s="110">
        <v>0</v>
      </c>
      <c r="AE223" s="110">
        <v>0</v>
      </c>
      <c r="AF223" s="110">
        <v>0</v>
      </c>
      <c r="AG223" s="110">
        <v>0</v>
      </c>
      <c r="AH223" s="110">
        <v>0</v>
      </c>
      <c r="AI223" s="110">
        <v>0</v>
      </c>
      <c r="AJ223" s="110">
        <v>0</v>
      </c>
      <c r="AK223" s="110">
        <v>0</v>
      </c>
      <c r="AL223" s="110">
        <v>0</v>
      </c>
      <c r="AM223" s="110">
        <v>0</v>
      </c>
      <c r="AN223" s="110">
        <v>0</v>
      </c>
      <c r="AO223" s="110">
        <v>0</v>
      </c>
      <c r="AP223" s="110">
        <v>0</v>
      </c>
      <c r="AQ223" s="110">
        <v>0</v>
      </c>
      <c r="AR223" s="110">
        <v>0</v>
      </c>
      <c r="AS223" s="110">
        <v>0</v>
      </c>
      <c r="AT223" s="110">
        <v>0</v>
      </c>
      <c r="AU223" s="110">
        <v>0</v>
      </c>
      <c r="AV223" s="110">
        <v>0</v>
      </c>
      <c r="AW223" s="110">
        <v>0</v>
      </c>
      <c r="AX223" s="110">
        <v>0</v>
      </c>
      <c r="AY223" s="110">
        <v>0</v>
      </c>
    </row>
    <row r="224" spans="1:51">
      <c r="A224" s="109"/>
      <c r="B224" s="120">
        <v>16</v>
      </c>
      <c r="C224" s="106">
        <v>0</v>
      </c>
      <c r="D224" s="110">
        <v>0</v>
      </c>
      <c r="E224" s="110">
        <v>0</v>
      </c>
      <c r="F224" s="110">
        <v>0</v>
      </c>
      <c r="G224" s="110">
        <v>0</v>
      </c>
      <c r="H224" s="110">
        <v>0</v>
      </c>
      <c r="I224" s="110">
        <v>0</v>
      </c>
      <c r="J224" s="110">
        <v>0</v>
      </c>
      <c r="K224" s="110">
        <v>0</v>
      </c>
      <c r="L224" s="110">
        <v>0</v>
      </c>
      <c r="M224" s="110">
        <v>0</v>
      </c>
      <c r="N224" s="110">
        <v>0</v>
      </c>
      <c r="O224" s="110">
        <v>0</v>
      </c>
      <c r="P224" s="110">
        <v>0</v>
      </c>
      <c r="Q224" s="110">
        <v>0</v>
      </c>
      <c r="R224" s="110">
        <v>0</v>
      </c>
      <c r="S224" s="110">
        <v>0</v>
      </c>
      <c r="T224" s="110">
        <v>0</v>
      </c>
      <c r="U224" s="110">
        <v>0</v>
      </c>
      <c r="V224" s="110">
        <v>0</v>
      </c>
      <c r="W224" s="110">
        <v>0</v>
      </c>
      <c r="X224" s="110">
        <v>0</v>
      </c>
      <c r="Y224" s="110">
        <v>0</v>
      </c>
      <c r="Z224" s="110">
        <v>0</v>
      </c>
      <c r="AA224" s="110">
        <v>0</v>
      </c>
      <c r="AB224" s="110">
        <v>0</v>
      </c>
      <c r="AC224" s="110">
        <v>0</v>
      </c>
      <c r="AD224" s="110">
        <v>0</v>
      </c>
      <c r="AE224" s="110">
        <v>0</v>
      </c>
      <c r="AF224" s="110">
        <v>0</v>
      </c>
      <c r="AG224" s="110">
        <v>0</v>
      </c>
      <c r="AH224" s="110">
        <v>0</v>
      </c>
      <c r="AI224" s="110">
        <v>0</v>
      </c>
      <c r="AJ224" s="110">
        <v>0</v>
      </c>
      <c r="AK224" s="110">
        <v>0</v>
      </c>
      <c r="AL224" s="110">
        <v>0</v>
      </c>
      <c r="AM224" s="110">
        <v>0</v>
      </c>
      <c r="AN224" s="110">
        <v>0</v>
      </c>
      <c r="AO224" s="110">
        <v>0</v>
      </c>
      <c r="AP224" s="110">
        <v>0</v>
      </c>
      <c r="AQ224" s="110">
        <v>0</v>
      </c>
      <c r="AR224" s="110">
        <v>0</v>
      </c>
      <c r="AS224" s="110">
        <v>0</v>
      </c>
      <c r="AT224" s="110">
        <v>0</v>
      </c>
      <c r="AU224" s="110">
        <v>0</v>
      </c>
      <c r="AV224" s="110">
        <v>0</v>
      </c>
      <c r="AW224" s="110">
        <v>0</v>
      </c>
      <c r="AX224" s="110">
        <v>0</v>
      </c>
      <c r="AY224" s="110">
        <v>0</v>
      </c>
    </row>
    <row r="225" spans="1:51">
      <c r="A225" s="109"/>
      <c r="B225" s="120">
        <v>17</v>
      </c>
      <c r="C225" s="106">
        <v>0</v>
      </c>
      <c r="D225" s="110">
        <v>0</v>
      </c>
      <c r="E225" s="110">
        <v>0</v>
      </c>
      <c r="F225" s="110">
        <v>0</v>
      </c>
      <c r="G225" s="110">
        <v>0</v>
      </c>
      <c r="H225" s="110">
        <v>0</v>
      </c>
      <c r="I225" s="110">
        <v>0</v>
      </c>
      <c r="J225" s="110">
        <v>0</v>
      </c>
      <c r="K225" s="110">
        <v>0</v>
      </c>
      <c r="L225" s="110">
        <v>0</v>
      </c>
      <c r="M225" s="110">
        <v>0</v>
      </c>
      <c r="N225" s="110">
        <v>0</v>
      </c>
      <c r="O225" s="110">
        <v>0</v>
      </c>
      <c r="P225" s="110">
        <v>0</v>
      </c>
      <c r="Q225" s="110">
        <v>0</v>
      </c>
      <c r="R225" s="110">
        <v>0</v>
      </c>
      <c r="S225" s="110">
        <v>0</v>
      </c>
      <c r="T225" s="110">
        <v>0</v>
      </c>
      <c r="U225" s="110">
        <v>0</v>
      </c>
      <c r="V225" s="110">
        <v>0</v>
      </c>
      <c r="W225" s="110">
        <v>0</v>
      </c>
      <c r="X225" s="110">
        <v>0</v>
      </c>
      <c r="Y225" s="110">
        <v>0</v>
      </c>
      <c r="Z225" s="110">
        <v>0</v>
      </c>
      <c r="AA225" s="110">
        <v>0</v>
      </c>
      <c r="AB225" s="110">
        <v>0</v>
      </c>
      <c r="AC225" s="110">
        <v>0</v>
      </c>
      <c r="AD225" s="110">
        <v>0</v>
      </c>
      <c r="AE225" s="110">
        <v>0</v>
      </c>
      <c r="AF225" s="110">
        <v>0</v>
      </c>
      <c r="AG225" s="110">
        <v>0</v>
      </c>
      <c r="AH225" s="110">
        <v>0</v>
      </c>
      <c r="AI225" s="110">
        <v>0</v>
      </c>
      <c r="AJ225" s="110">
        <v>0</v>
      </c>
      <c r="AK225" s="110">
        <v>0</v>
      </c>
      <c r="AL225" s="110">
        <v>0</v>
      </c>
      <c r="AM225" s="110">
        <v>0</v>
      </c>
      <c r="AN225" s="110">
        <v>0</v>
      </c>
      <c r="AO225" s="110">
        <v>0</v>
      </c>
      <c r="AP225" s="110">
        <v>0</v>
      </c>
      <c r="AQ225" s="110">
        <v>0</v>
      </c>
      <c r="AR225" s="110">
        <v>0</v>
      </c>
      <c r="AS225" s="110">
        <v>0</v>
      </c>
      <c r="AT225" s="110">
        <v>0</v>
      </c>
      <c r="AU225" s="110">
        <v>0</v>
      </c>
      <c r="AV225" s="110">
        <v>0</v>
      </c>
      <c r="AW225" s="110">
        <v>0</v>
      </c>
      <c r="AX225" s="110">
        <v>0</v>
      </c>
      <c r="AY225" s="110">
        <v>0</v>
      </c>
    </row>
    <row r="226" spans="1:51">
      <c r="A226" s="109"/>
      <c r="B226" s="120">
        <v>18</v>
      </c>
      <c r="C226" s="106">
        <v>0</v>
      </c>
      <c r="D226" s="110">
        <v>0</v>
      </c>
      <c r="E226" s="110">
        <v>0</v>
      </c>
      <c r="F226" s="110">
        <v>0</v>
      </c>
      <c r="G226" s="110">
        <v>0</v>
      </c>
      <c r="H226" s="110">
        <v>0</v>
      </c>
      <c r="I226" s="110">
        <v>0</v>
      </c>
      <c r="J226" s="110">
        <v>0</v>
      </c>
      <c r="K226" s="110">
        <v>0</v>
      </c>
      <c r="L226" s="110">
        <v>0</v>
      </c>
      <c r="M226" s="110">
        <v>0</v>
      </c>
      <c r="N226" s="110">
        <v>0</v>
      </c>
      <c r="O226" s="110">
        <v>0</v>
      </c>
      <c r="P226" s="110">
        <v>0</v>
      </c>
      <c r="Q226" s="110">
        <v>0</v>
      </c>
      <c r="R226" s="110">
        <v>0</v>
      </c>
      <c r="S226" s="110">
        <v>0</v>
      </c>
      <c r="T226" s="110">
        <v>0</v>
      </c>
      <c r="U226" s="110">
        <v>0</v>
      </c>
      <c r="V226" s="110">
        <v>0</v>
      </c>
      <c r="W226" s="110">
        <v>0</v>
      </c>
      <c r="X226" s="110">
        <v>0</v>
      </c>
      <c r="Y226" s="110">
        <v>0</v>
      </c>
      <c r="Z226" s="110">
        <v>0</v>
      </c>
      <c r="AA226" s="110">
        <v>0</v>
      </c>
      <c r="AB226" s="110">
        <v>0</v>
      </c>
      <c r="AC226" s="110">
        <v>0</v>
      </c>
      <c r="AD226" s="110">
        <v>0</v>
      </c>
      <c r="AE226" s="110">
        <v>0</v>
      </c>
      <c r="AF226" s="110">
        <v>0</v>
      </c>
      <c r="AG226" s="110">
        <v>0</v>
      </c>
      <c r="AH226" s="110">
        <v>0</v>
      </c>
      <c r="AI226" s="110">
        <v>0</v>
      </c>
      <c r="AJ226" s="110">
        <v>0</v>
      </c>
      <c r="AK226" s="110">
        <v>0</v>
      </c>
      <c r="AL226" s="110">
        <v>0</v>
      </c>
      <c r="AM226" s="110">
        <v>0</v>
      </c>
      <c r="AN226" s="110">
        <v>0</v>
      </c>
      <c r="AO226" s="110">
        <v>0</v>
      </c>
      <c r="AP226" s="110">
        <v>0</v>
      </c>
      <c r="AQ226" s="110">
        <v>0</v>
      </c>
      <c r="AR226" s="110">
        <v>0</v>
      </c>
      <c r="AS226" s="110">
        <v>0</v>
      </c>
      <c r="AT226" s="110">
        <v>0</v>
      </c>
      <c r="AU226" s="110">
        <v>0</v>
      </c>
      <c r="AV226" s="110">
        <v>0</v>
      </c>
      <c r="AW226" s="110">
        <v>0</v>
      </c>
      <c r="AX226" s="110">
        <v>0</v>
      </c>
      <c r="AY226" s="110">
        <v>0</v>
      </c>
    </row>
    <row r="227" spans="1:51">
      <c r="A227" s="109"/>
      <c r="B227" s="120">
        <v>19</v>
      </c>
      <c r="C227" s="106">
        <v>0</v>
      </c>
      <c r="D227" s="110">
        <v>0</v>
      </c>
      <c r="E227" s="110">
        <v>0</v>
      </c>
      <c r="F227" s="110">
        <v>0</v>
      </c>
      <c r="G227" s="110">
        <v>0</v>
      </c>
      <c r="H227" s="110">
        <v>0</v>
      </c>
      <c r="I227" s="110">
        <v>0</v>
      </c>
      <c r="J227" s="110">
        <v>0</v>
      </c>
      <c r="K227" s="110">
        <v>0</v>
      </c>
      <c r="L227" s="110">
        <v>0</v>
      </c>
      <c r="M227" s="110">
        <v>0</v>
      </c>
      <c r="N227" s="110">
        <v>0</v>
      </c>
      <c r="O227" s="110">
        <v>0</v>
      </c>
      <c r="P227" s="110">
        <v>0</v>
      </c>
      <c r="Q227" s="110">
        <v>0</v>
      </c>
      <c r="R227" s="110">
        <v>0</v>
      </c>
      <c r="S227" s="110">
        <v>0</v>
      </c>
      <c r="T227" s="110">
        <v>0</v>
      </c>
      <c r="U227" s="110">
        <v>0</v>
      </c>
      <c r="V227" s="110">
        <v>0</v>
      </c>
      <c r="W227" s="110">
        <v>0</v>
      </c>
      <c r="X227" s="110">
        <v>0</v>
      </c>
      <c r="Y227" s="110">
        <v>0</v>
      </c>
      <c r="Z227" s="110">
        <v>0</v>
      </c>
      <c r="AA227" s="110">
        <v>0</v>
      </c>
      <c r="AB227" s="110">
        <v>0</v>
      </c>
      <c r="AC227" s="110">
        <v>0</v>
      </c>
      <c r="AD227" s="110">
        <v>0</v>
      </c>
      <c r="AE227" s="110">
        <v>0</v>
      </c>
      <c r="AF227" s="110">
        <v>0</v>
      </c>
      <c r="AG227" s="110">
        <v>0</v>
      </c>
      <c r="AH227" s="110">
        <v>0</v>
      </c>
      <c r="AI227" s="110">
        <v>0</v>
      </c>
      <c r="AJ227" s="110">
        <v>0</v>
      </c>
      <c r="AK227" s="110">
        <v>0</v>
      </c>
      <c r="AL227" s="110">
        <v>0</v>
      </c>
      <c r="AM227" s="110">
        <v>0</v>
      </c>
      <c r="AN227" s="110">
        <v>0</v>
      </c>
      <c r="AO227" s="110">
        <v>0</v>
      </c>
      <c r="AP227" s="110">
        <v>0</v>
      </c>
      <c r="AQ227" s="110">
        <v>0</v>
      </c>
      <c r="AR227" s="110">
        <v>0</v>
      </c>
      <c r="AS227" s="110">
        <v>0</v>
      </c>
      <c r="AT227" s="110">
        <v>0</v>
      </c>
      <c r="AU227" s="110">
        <v>0</v>
      </c>
      <c r="AV227" s="110">
        <v>0</v>
      </c>
      <c r="AW227" s="110">
        <v>0</v>
      </c>
      <c r="AX227" s="110">
        <v>0</v>
      </c>
      <c r="AY227" s="110">
        <v>0</v>
      </c>
    </row>
    <row r="228" spans="1:51">
      <c r="A228" s="109"/>
      <c r="B228" s="120">
        <v>20</v>
      </c>
      <c r="C228" s="106">
        <v>0</v>
      </c>
      <c r="D228" s="110">
        <v>0</v>
      </c>
      <c r="E228" s="110">
        <v>0</v>
      </c>
      <c r="F228" s="110">
        <v>0</v>
      </c>
      <c r="G228" s="110">
        <v>0</v>
      </c>
      <c r="H228" s="110">
        <v>0</v>
      </c>
      <c r="I228" s="110">
        <v>0</v>
      </c>
      <c r="J228" s="110">
        <v>0</v>
      </c>
      <c r="K228" s="110">
        <v>0</v>
      </c>
      <c r="L228" s="110">
        <v>0</v>
      </c>
      <c r="M228" s="110">
        <v>0</v>
      </c>
      <c r="N228" s="110">
        <v>0</v>
      </c>
      <c r="O228" s="110">
        <v>0</v>
      </c>
      <c r="P228" s="110">
        <v>0</v>
      </c>
      <c r="Q228" s="110">
        <v>0</v>
      </c>
      <c r="R228" s="110">
        <v>0</v>
      </c>
      <c r="S228" s="110">
        <v>0</v>
      </c>
      <c r="T228" s="110">
        <v>0</v>
      </c>
      <c r="U228" s="110">
        <v>0</v>
      </c>
      <c r="V228" s="110">
        <v>0</v>
      </c>
      <c r="W228" s="110">
        <v>0</v>
      </c>
      <c r="X228" s="110">
        <v>0</v>
      </c>
      <c r="Y228" s="110">
        <v>0</v>
      </c>
      <c r="Z228" s="110">
        <v>0</v>
      </c>
      <c r="AA228" s="110">
        <v>0</v>
      </c>
      <c r="AB228" s="110">
        <v>0</v>
      </c>
      <c r="AC228" s="110">
        <v>0</v>
      </c>
      <c r="AD228" s="110">
        <v>0</v>
      </c>
      <c r="AE228" s="110">
        <v>0</v>
      </c>
      <c r="AF228" s="110">
        <v>0</v>
      </c>
      <c r="AG228" s="110">
        <v>0</v>
      </c>
      <c r="AH228" s="110">
        <v>0</v>
      </c>
      <c r="AI228" s="110">
        <v>0</v>
      </c>
      <c r="AJ228" s="110">
        <v>0</v>
      </c>
      <c r="AK228" s="110">
        <v>0</v>
      </c>
      <c r="AL228" s="110">
        <v>0</v>
      </c>
      <c r="AM228" s="110">
        <v>0</v>
      </c>
      <c r="AN228" s="110">
        <v>0</v>
      </c>
      <c r="AO228" s="110">
        <v>0</v>
      </c>
      <c r="AP228" s="110">
        <v>0</v>
      </c>
      <c r="AQ228" s="110">
        <v>0</v>
      </c>
      <c r="AR228" s="110">
        <v>0</v>
      </c>
      <c r="AS228" s="110">
        <v>0</v>
      </c>
      <c r="AT228" s="110">
        <v>0</v>
      </c>
      <c r="AU228" s="110">
        <v>0</v>
      </c>
      <c r="AV228" s="110">
        <v>0</v>
      </c>
      <c r="AW228" s="110">
        <v>0</v>
      </c>
      <c r="AX228" s="110">
        <v>0</v>
      </c>
      <c r="AY228" s="110">
        <v>0</v>
      </c>
    </row>
    <row r="229" spans="1:51">
      <c r="A229" s="109"/>
      <c r="B229" s="120">
        <v>21</v>
      </c>
      <c r="C229" s="106">
        <v>0</v>
      </c>
      <c r="D229" s="110">
        <v>0</v>
      </c>
      <c r="E229" s="110">
        <v>0</v>
      </c>
      <c r="F229" s="110">
        <v>0</v>
      </c>
      <c r="G229" s="110">
        <v>0</v>
      </c>
      <c r="H229" s="110">
        <v>0</v>
      </c>
      <c r="I229" s="110">
        <v>0</v>
      </c>
      <c r="J229" s="110">
        <v>0</v>
      </c>
      <c r="K229" s="110">
        <v>0</v>
      </c>
      <c r="L229" s="110">
        <v>0</v>
      </c>
      <c r="M229" s="110">
        <v>0</v>
      </c>
      <c r="N229" s="110">
        <v>0</v>
      </c>
      <c r="O229" s="110">
        <v>0</v>
      </c>
      <c r="P229" s="110">
        <v>0</v>
      </c>
      <c r="Q229" s="110">
        <v>0</v>
      </c>
      <c r="R229" s="110">
        <v>0</v>
      </c>
      <c r="S229" s="110">
        <v>0</v>
      </c>
      <c r="T229" s="110">
        <v>0</v>
      </c>
      <c r="U229" s="110">
        <v>0</v>
      </c>
      <c r="V229" s="110">
        <v>0</v>
      </c>
      <c r="W229" s="110">
        <v>0</v>
      </c>
      <c r="X229" s="110">
        <v>0</v>
      </c>
      <c r="Y229" s="110">
        <v>0</v>
      </c>
      <c r="Z229" s="110">
        <v>0</v>
      </c>
      <c r="AA229" s="110">
        <v>0</v>
      </c>
      <c r="AB229" s="110">
        <v>0</v>
      </c>
      <c r="AC229" s="110">
        <v>0</v>
      </c>
      <c r="AD229" s="110">
        <v>0</v>
      </c>
      <c r="AE229" s="110">
        <v>0</v>
      </c>
      <c r="AF229" s="110">
        <v>0</v>
      </c>
      <c r="AG229" s="110">
        <v>0</v>
      </c>
      <c r="AH229" s="110">
        <v>0</v>
      </c>
      <c r="AI229" s="110">
        <v>0</v>
      </c>
      <c r="AJ229" s="110">
        <v>0</v>
      </c>
      <c r="AK229" s="110">
        <v>0</v>
      </c>
      <c r="AL229" s="110">
        <v>0</v>
      </c>
      <c r="AM229" s="110">
        <v>0</v>
      </c>
      <c r="AN229" s="110">
        <v>0</v>
      </c>
      <c r="AO229" s="110">
        <v>0</v>
      </c>
      <c r="AP229" s="110">
        <v>0</v>
      </c>
      <c r="AQ229" s="110">
        <v>0</v>
      </c>
      <c r="AR229" s="110">
        <v>0</v>
      </c>
      <c r="AS229" s="110">
        <v>0</v>
      </c>
      <c r="AT229" s="110">
        <v>0</v>
      </c>
      <c r="AU229" s="110">
        <v>0</v>
      </c>
      <c r="AV229" s="110">
        <v>0</v>
      </c>
      <c r="AW229" s="110">
        <v>0</v>
      </c>
      <c r="AX229" s="110">
        <v>0</v>
      </c>
      <c r="AY229" s="110">
        <v>0</v>
      </c>
    </row>
    <row r="230" spans="1:51">
      <c r="A230" s="109"/>
      <c r="B230" s="120">
        <v>22</v>
      </c>
      <c r="C230" s="106">
        <v>0</v>
      </c>
      <c r="D230" s="110">
        <v>0</v>
      </c>
      <c r="E230" s="110">
        <v>0</v>
      </c>
      <c r="F230" s="110">
        <v>0</v>
      </c>
      <c r="G230" s="110">
        <v>0</v>
      </c>
      <c r="H230" s="110">
        <v>0</v>
      </c>
      <c r="I230" s="110">
        <v>0</v>
      </c>
      <c r="J230" s="110">
        <v>0</v>
      </c>
      <c r="K230" s="110">
        <v>0</v>
      </c>
      <c r="L230" s="110">
        <v>0</v>
      </c>
      <c r="M230" s="110">
        <v>0</v>
      </c>
      <c r="N230" s="110">
        <v>0</v>
      </c>
      <c r="O230" s="110">
        <v>0</v>
      </c>
      <c r="P230" s="110">
        <v>0</v>
      </c>
      <c r="Q230" s="110">
        <v>0</v>
      </c>
      <c r="R230" s="110">
        <v>0</v>
      </c>
      <c r="S230" s="110">
        <v>0</v>
      </c>
      <c r="T230" s="110">
        <v>0</v>
      </c>
      <c r="U230" s="110">
        <v>0</v>
      </c>
      <c r="V230" s="110">
        <v>0</v>
      </c>
      <c r="W230" s="110">
        <v>0</v>
      </c>
      <c r="X230" s="110">
        <v>0</v>
      </c>
      <c r="Y230" s="110">
        <v>0</v>
      </c>
      <c r="Z230" s="110">
        <v>0</v>
      </c>
      <c r="AA230" s="110">
        <v>0</v>
      </c>
      <c r="AB230" s="110">
        <v>0</v>
      </c>
      <c r="AC230" s="110">
        <v>0</v>
      </c>
      <c r="AD230" s="110">
        <v>0</v>
      </c>
      <c r="AE230" s="110">
        <v>0</v>
      </c>
      <c r="AF230" s="110">
        <v>0</v>
      </c>
      <c r="AG230" s="110">
        <v>0</v>
      </c>
      <c r="AH230" s="110">
        <v>0</v>
      </c>
      <c r="AI230" s="110">
        <v>0</v>
      </c>
      <c r="AJ230" s="110">
        <v>0</v>
      </c>
      <c r="AK230" s="110">
        <v>0</v>
      </c>
      <c r="AL230" s="110">
        <v>0</v>
      </c>
      <c r="AM230" s="110">
        <v>0</v>
      </c>
      <c r="AN230" s="110">
        <v>0</v>
      </c>
      <c r="AO230" s="110">
        <v>0</v>
      </c>
      <c r="AP230" s="110">
        <v>0</v>
      </c>
      <c r="AQ230" s="110">
        <v>0</v>
      </c>
      <c r="AR230" s="110">
        <v>0</v>
      </c>
      <c r="AS230" s="110">
        <v>0</v>
      </c>
      <c r="AT230" s="110">
        <v>0</v>
      </c>
      <c r="AU230" s="110">
        <v>0</v>
      </c>
      <c r="AV230" s="110">
        <v>0</v>
      </c>
      <c r="AW230" s="110">
        <v>0</v>
      </c>
      <c r="AX230" s="110">
        <v>0</v>
      </c>
      <c r="AY230" s="110">
        <v>0</v>
      </c>
    </row>
    <row r="231" spans="1:51">
      <c r="A231" s="109"/>
      <c r="B231" s="120">
        <v>23</v>
      </c>
      <c r="C231" s="106">
        <v>0</v>
      </c>
      <c r="D231" s="110">
        <v>0</v>
      </c>
      <c r="E231" s="110">
        <v>0</v>
      </c>
      <c r="F231" s="110">
        <v>0</v>
      </c>
      <c r="G231" s="110">
        <v>0</v>
      </c>
      <c r="H231" s="110">
        <v>0</v>
      </c>
      <c r="I231" s="110">
        <v>0</v>
      </c>
      <c r="J231" s="110">
        <v>0</v>
      </c>
      <c r="K231" s="110">
        <v>0</v>
      </c>
      <c r="L231" s="110">
        <v>0</v>
      </c>
      <c r="M231" s="110">
        <v>0</v>
      </c>
      <c r="N231" s="110">
        <v>0</v>
      </c>
      <c r="O231" s="110">
        <v>0</v>
      </c>
      <c r="P231" s="110">
        <v>0</v>
      </c>
      <c r="Q231" s="110">
        <v>0</v>
      </c>
      <c r="R231" s="110">
        <v>0</v>
      </c>
      <c r="S231" s="110">
        <v>0</v>
      </c>
      <c r="T231" s="110">
        <v>0</v>
      </c>
      <c r="U231" s="110">
        <v>0</v>
      </c>
      <c r="V231" s="110">
        <v>0</v>
      </c>
      <c r="W231" s="110">
        <v>0</v>
      </c>
      <c r="X231" s="110">
        <v>0</v>
      </c>
      <c r="Y231" s="110">
        <v>0</v>
      </c>
      <c r="Z231" s="110">
        <v>0</v>
      </c>
      <c r="AA231" s="110">
        <v>0</v>
      </c>
      <c r="AB231" s="110">
        <v>0</v>
      </c>
      <c r="AC231" s="110">
        <v>0</v>
      </c>
      <c r="AD231" s="110">
        <v>0</v>
      </c>
      <c r="AE231" s="110">
        <v>0</v>
      </c>
      <c r="AF231" s="110">
        <v>0</v>
      </c>
      <c r="AG231" s="110">
        <v>0</v>
      </c>
      <c r="AH231" s="110">
        <v>0</v>
      </c>
      <c r="AI231" s="110">
        <v>0</v>
      </c>
      <c r="AJ231" s="110">
        <v>0</v>
      </c>
      <c r="AK231" s="110">
        <v>0</v>
      </c>
      <c r="AL231" s="110">
        <v>0</v>
      </c>
      <c r="AM231" s="110">
        <v>0</v>
      </c>
      <c r="AN231" s="110">
        <v>0</v>
      </c>
      <c r="AO231" s="110">
        <v>0</v>
      </c>
      <c r="AP231" s="110">
        <v>0</v>
      </c>
      <c r="AQ231" s="110">
        <v>0</v>
      </c>
      <c r="AR231" s="110">
        <v>0</v>
      </c>
      <c r="AS231" s="110">
        <v>0</v>
      </c>
      <c r="AT231" s="110">
        <v>0</v>
      </c>
      <c r="AU231" s="110">
        <v>0</v>
      </c>
      <c r="AV231" s="110">
        <v>0</v>
      </c>
      <c r="AW231" s="110">
        <v>0</v>
      </c>
      <c r="AX231" s="110">
        <v>0</v>
      </c>
      <c r="AY231" s="110">
        <v>0</v>
      </c>
    </row>
    <row r="232" spans="1:51">
      <c r="A232" s="109"/>
      <c r="B232" s="120">
        <v>24</v>
      </c>
      <c r="C232" s="106">
        <v>0</v>
      </c>
      <c r="D232" s="110">
        <v>0</v>
      </c>
      <c r="E232" s="110">
        <v>0</v>
      </c>
      <c r="F232" s="110">
        <v>0</v>
      </c>
      <c r="G232" s="110">
        <v>0</v>
      </c>
      <c r="H232" s="110">
        <v>0</v>
      </c>
      <c r="I232" s="110">
        <v>0</v>
      </c>
      <c r="J232" s="110">
        <v>0</v>
      </c>
      <c r="K232" s="110">
        <v>0</v>
      </c>
      <c r="L232" s="110">
        <v>0</v>
      </c>
      <c r="M232" s="110">
        <v>0</v>
      </c>
      <c r="N232" s="110">
        <v>0</v>
      </c>
      <c r="O232" s="110">
        <v>0</v>
      </c>
      <c r="P232" s="110">
        <v>0</v>
      </c>
      <c r="Q232" s="110">
        <v>0</v>
      </c>
      <c r="R232" s="110">
        <v>0</v>
      </c>
      <c r="S232" s="110">
        <v>0</v>
      </c>
      <c r="T232" s="110">
        <v>0</v>
      </c>
      <c r="U232" s="110">
        <v>0</v>
      </c>
      <c r="V232" s="110">
        <v>0</v>
      </c>
      <c r="W232" s="110">
        <v>0</v>
      </c>
      <c r="X232" s="110">
        <v>0</v>
      </c>
      <c r="Y232" s="110">
        <v>0</v>
      </c>
      <c r="Z232" s="110">
        <v>0</v>
      </c>
      <c r="AA232" s="110">
        <v>0</v>
      </c>
      <c r="AB232" s="110">
        <v>0</v>
      </c>
      <c r="AC232" s="110">
        <v>0</v>
      </c>
      <c r="AD232" s="110">
        <v>0</v>
      </c>
      <c r="AE232" s="110">
        <v>0</v>
      </c>
      <c r="AF232" s="110">
        <v>0</v>
      </c>
      <c r="AG232" s="110">
        <v>0</v>
      </c>
      <c r="AH232" s="110">
        <v>0</v>
      </c>
      <c r="AI232" s="110">
        <v>0</v>
      </c>
      <c r="AJ232" s="110">
        <v>0</v>
      </c>
      <c r="AK232" s="110">
        <v>0</v>
      </c>
      <c r="AL232" s="110">
        <v>0</v>
      </c>
      <c r="AM232" s="110">
        <v>0</v>
      </c>
      <c r="AN232" s="110">
        <v>0</v>
      </c>
      <c r="AO232" s="110">
        <v>0</v>
      </c>
      <c r="AP232" s="110">
        <v>0</v>
      </c>
      <c r="AQ232" s="110">
        <v>0</v>
      </c>
      <c r="AR232" s="110">
        <v>0</v>
      </c>
      <c r="AS232" s="110">
        <v>0</v>
      </c>
      <c r="AT232" s="110">
        <v>0</v>
      </c>
      <c r="AU232" s="110">
        <v>0</v>
      </c>
      <c r="AV232" s="110">
        <v>0</v>
      </c>
      <c r="AW232" s="110">
        <v>0</v>
      </c>
      <c r="AX232" s="110">
        <v>0</v>
      </c>
      <c r="AY232" s="110">
        <v>0</v>
      </c>
    </row>
    <row r="233" spans="1:51">
      <c r="A233" s="109"/>
      <c r="B233" s="127">
        <v>25</v>
      </c>
      <c r="C233" s="106">
        <v>0</v>
      </c>
      <c r="D233" s="110">
        <v>0</v>
      </c>
      <c r="E233" s="110">
        <v>0</v>
      </c>
      <c r="F233" s="110">
        <v>0</v>
      </c>
      <c r="G233" s="110">
        <v>0</v>
      </c>
      <c r="H233" s="110">
        <v>0</v>
      </c>
      <c r="I233" s="110">
        <v>0</v>
      </c>
      <c r="J233" s="110">
        <v>0</v>
      </c>
      <c r="K233" s="110">
        <v>0</v>
      </c>
      <c r="L233" s="110">
        <v>0</v>
      </c>
      <c r="M233" s="110">
        <v>0</v>
      </c>
      <c r="N233" s="110">
        <v>0</v>
      </c>
      <c r="O233" s="110">
        <v>0</v>
      </c>
      <c r="P233" s="110">
        <v>0</v>
      </c>
      <c r="Q233" s="110">
        <v>0</v>
      </c>
      <c r="R233" s="110">
        <v>0</v>
      </c>
      <c r="S233" s="110">
        <v>0</v>
      </c>
      <c r="T233" s="110">
        <v>0</v>
      </c>
      <c r="U233" s="110">
        <v>0</v>
      </c>
      <c r="V233" s="110">
        <v>0</v>
      </c>
      <c r="W233" s="110">
        <v>0</v>
      </c>
      <c r="X233" s="110">
        <v>0</v>
      </c>
      <c r="Y233" s="110">
        <v>0</v>
      </c>
      <c r="Z233" s="110">
        <v>0</v>
      </c>
      <c r="AA233" s="110">
        <v>0</v>
      </c>
      <c r="AB233" s="110">
        <v>0</v>
      </c>
      <c r="AC233" s="110">
        <v>0</v>
      </c>
      <c r="AD233" s="110">
        <v>0</v>
      </c>
      <c r="AE233" s="110">
        <v>0</v>
      </c>
      <c r="AF233" s="110">
        <v>0</v>
      </c>
      <c r="AG233" s="110">
        <v>0</v>
      </c>
      <c r="AH233" s="110">
        <v>0</v>
      </c>
      <c r="AI233" s="110">
        <v>0</v>
      </c>
      <c r="AJ233" s="110">
        <v>0</v>
      </c>
      <c r="AK233" s="110">
        <v>0</v>
      </c>
      <c r="AL233" s="110">
        <v>0</v>
      </c>
      <c r="AM233" s="110">
        <v>0</v>
      </c>
      <c r="AN233" s="110">
        <v>0</v>
      </c>
      <c r="AO233" s="110">
        <v>0</v>
      </c>
      <c r="AP233" s="110">
        <v>0</v>
      </c>
      <c r="AQ233" s="110">
        <v>0</v>
      </c>
      <c r="AR233" s="110">
        <v>0</v>
      </c>
      <c r="AS233" s="110">
        <v>0</v>
      </c>
      <c r="AT233" s="110">
        <v>0</v>
      </c>
      <c r="AU233" s="110">
        <v>0</v>
      </c>
      <c r="AV233" s="110">
        <v>0</v>
      </c>
      <c r="AW233" s="110">
        <v>0</v>
      </c>
      <c r="AX233" s="110">
        <v>0</v>
      </c>
      <c r="AY233" s="110">
        <v>0</v>
      </c>
    </row>
    <row r="234" spans="1:51">
      <c r="A234" s="109"/>
      <c r="B234" s="127">
        <v>26</v>
      </c>
      <c r="C234" s="106">
        <v>0</v>
      </c>
      <c r="D234" s="110">
        <v>0</v>
      </c>
      <c r="E234" s="110">
        <v>0</v>
      </c>
      <c r="F234" s="110">
        <v>0</v>
      </c>
      <c r="G234" s="110">
        <v>0</v>
      </c>
      <c r="H234" s="110">
        <v>0</v>
      </c>
      <c r="I234" s="110">
        <v>0</v>
      </c>
      <c r="J234" s="110">
        <v>0</v>
      </c>
      <c r="K234" s="110">
        <v>0</v>
      </c>
      <c r="L234" s="110">
        <v>0</v>
      </c>
      <c r="M234" s="110">
        <v>0</v>
      </c>
      <c r="N234" s="110">
        <v>0</v>
      </c>
      <c r="O234" s="110">
        <v>0</v>
      </c>
      <c r="P234" s="110">
        <v>0</v>
      </c>
      <c r="Q234" s="110">
        <v>0</v>
      </c>
      <c r="R234" s="110">
        <v>0</v>
      </c>
      <c r="S234" s="110">
        <v>0</v>
      </c>
      <c r="T234" s="110">
        <v>0</v>
      </c>
      <c r="U234" s="110">
        <v>0</v>
      </c>
      <c r="V234" s="110">
        <v>0</v>
      </c>
      <c r="W234" s="110">
        <v>0</v>
      </c>
      <c r="X234" s="110">
        <v>0</v>
      </c>
      <c r="Y234" s="110">
        <v>0</v>
      </c>
      <c r="Z234" s="110">
        <v>0</v>
      </c>
      <c r="AA234" s="110">
        <v>0</v>
      </c>
      <c r="AB234" s="110">
        <v>0</v>
      </c>
      <c r="AC234" s="110">
        <v>0</v>
      </c>
      <c r="AD234" s="110">
        <v>0</v>
      </c>
      <c r="AE234" s="110">
        <v>0</v>
      </c>
      <c r="AF234" s="110">
        <v>0</v>
      </c>
      <c r="AG234" s="110">
        <v>0</v>
      </c>
      <c r="AH234" s="110">
        <v>0</v>
      </c>
      <c r="AI234" s="110">
        <v>0</v>
      </c>
      <c r="AJ234" s="110">
        <v>0</v>
      </c>
      <c r="AK234" s="110">
        <v>0</v>
      </c>
      <c r="AL234" s="110">
        <v>0</v>
      </c>
      <c r="AM234" s="110">
        <v>0</v>
      </c>
      <c r="AN234" s="110">
        <v>0</v>
      </c>
      <c r="AO234" s="110">
        <v>0</v>
      </c>
      <c r="AP234" s="110">
        <v>0</v>
      </c>
      <c r="AQ234" s="110">
        <v>0</v>
      </c>
      <c r="AR234" s="110">
        <v>0</v>
      </c>
      <c r="AS234" s="110">
        <v>0</v>
      </c>
      <c r="AT234" s="110">
        <v>0</v>
      </c>
      <c r="AU234" s="110">
        <v>0</v>
      </c>
      <c r="AV234" s="110">
        <v>0</v>
      </c>
      <c r="AW234" s="110">
        <v>0</v>
      </c>
      <c r="AX234" s="110">
        <v>0</v>
      </c>
      <c r="AY234" s="110">
        <v>0</v>
      </c>
    </row>
    <row r="235" spans="1:51">
      <c r="A235" s="109"/>
      <c r="B235" s="127">
        <v>27</v>
      </c>
      <c r="C235" s="106">
        <v>0</v>
      </c>
      <c r="D235" s="110">
        <v>0</v>
      </c>
      <c r="E235" s="110">
        <v>0</v>
      </c>
      <c r="F235" s="110">
        <v>0</v>
      </c>
      <c r="G235" s="110">
        <v>0</v>
      </c>
      <c r="H235" s="110">
        <v>0</v>
      </c>
      <c r="I235" s="110">
        <v>0</v>
      </c>
      <c r="J235" s="110">
        <v>0</v>
      </c>
      <c r="K235" s="110">
        <v>0</v>
      </c>
      <c r="L235" s="110">
        <v>0</v>
      </c>
      <c r="M235" s="110">
        <v>0</v>
      </c>
      <c r="N235" s="110">
        <v>0</v>
      </c>
      <c r="O235" s="110">
        <v>0</v>
      </c>
      <c r="P235" s="110">
        <v>0</v>
      </c>
      <c r="Q235" s="110">
        <v>0</v>
      </c>
      <c r="R235" s="110">
        <v>0</v>
      </c>
      <c r="S235" s="110">
        <v>0</v>
      </c>
      <c r="T235" s="110">
        <v>0</v>
      </c>
      <c r="U235" s="110">
        <v>0</v>
      </c>
      <c r="V235" s="110">
        <v>0</v>
      </c>
      <c r="W235" s="110">
        <v>0</v>
      </c>
      <c r="X235" s="110">
        <v>0</v>
      </c>
      <c r="Y235" s="110">
        <v>0</v>
      </c>
      <c r="Z235" s="110">
        <v>0</v>
      </c>
      <c r="AA235" s="110">
        <v>0</v>
      </c>
      <c r="AB235" s="110">
        <v>0</v>
      </c>
      <c r="AC235" s="110">
        <v>0</v>
      </c>
      <c r="AD235" s="110">
        <v>0</v>
      </c>
      <c r="AE235" s="110">
        <v>0</v>
      </c>
      <c r="AF235" s="110">
        <v>0</v>
      </c>
      <c r="AG235" s="110">
        <v>0</v>
      </c>
      <c r="AH235" s="110">
        <v>0</v>
      </c>
      <c r="AI235" s="110">
        <v>0</v>
      </c>
      <c r="AJ235" s="110">
        <v>0</v>
      </c>
      <c r="AK235" s="110">
        <v>0</v>
      </c>
      <c r="AL235" s="110">
        <v>0</v>
      </c>
      <c r="AM235" s="110">
        <v>0</v>
      </c>
      <c r="AN235" s="110">
        <v>0</v>
      </c>
      <c r="AO235" s="110">
        <v>0</v>
      </c>
      <c r="AP235" s="110">
        <v>0</v>
      </c>
      <c r="AQ235" s="110">
        <v>0</v>
      </c>
      <c r="AR235" s="110">
        <v>0</v>
      </c>
      <c r="AS235" s="110">
        <v>0</v>
      </c>
      <c r="AT235" s="110">
        <v>0</v>
      </c>
      <c r="AU235" s="110">
        <v>0</v>
      </c>
      <c r="AV235" s="110">
        <v>0</v>
      </c>
      <c r="AW235" s="110">
        <v>0</v>
      </c>
      <c r="AX235" s="110">
        <v>0</v>
      </c>
      <c r="AY235" s="110">
        <v>0</v>
      </c>
    </row>
    <row r="236" spans="1:51">
      <c r="A236" s="109"/>
      <c r="B236" s="127">
        <v>28</v>
      </c>
      <c r="C236" s="106">
        <v>0</v>
      </c>
      <c r="D236" s="110">
        <v>0</v>
      </c>
      <c r="E236" s="110">
        <v>0</v>
      </c>
      <c r="F236" s="110">
        <v>0</v>
      </c>
      <c r="G236" s="110">
        <v>0</v>
      </c>
      <c r="H236" s="110">
        <v>0</v>
      </c>
      <c r="I236" s="110">
        <v>0</v>
      </c>
      <c r="J236" s="110">
        <v>0</v>
      </c>
      <c r="K236" s="110">
        <v>0</v>
      </c>
      <c r="L236" s="110">
        <v>0</v>
      </c>
      <c r="M236" s="110">
        <v>0</v>
      </c>
      <c r="N236" s="110">
        <v>0</v>
      </c>
      <c r="O236" s="110">
        <v>0</v>
      </c>
      <c r="P236" s="110">
        <v>0</v>
      </c>
      <c r="Q236" s="110">
        <v>0</v>
      </c>
      <c r="R236" s="110">
        <v>0</v>
      </c>
      <c r="S236" s="110">
        <v>0</v>
      </c>
      <c r="T236" s="110">
        <v>0</v>
      </c>
      <c r="U236" s="110">
        <v>0</v>
      </c>
      <c r="V236" s="110">
        <v>0</v>
      </c>
      <c r="W236" s="110">
        <v>0</v>
      </c>
      <c r="X236" s="110">
        <v>0</v>
      </c>
      <c r="Y236" s="110">
        <v>0</v>
      </c>
      <c r="Z236" s="110">
        <v>0</v>
      </c>
      <c r="AA236" s="110">
        <v>0</v>
      </c>
      <c r="AB236" s="110">
        <v>0</v>
      </c>
      <c r="AC236" s="110">
        <v>0</v>
      </c>
      <c r="AD236" s="110">
        <v>0</v>
      </c>
      <c r="AE236" s="110">
        <v>0</v>
      </c>
      <c r="AF236" s="110">
        <v>0</v>
      </c>
      <c r="AG236" s="110">
        <v>0</v>
      </c>
      <c r="AH236" s="110">
        <v>0</v>
      </c>
      <c r="AI236" s="110">
        <v>0</v>
      </c>
      <c r="AJ236" s="110">
        <v>0</v>
      </c>
      <c r="AK236" s="110">
        <v>0</v>
      </c>
      <c r="AL236" s="110">
        <v>0</v>
      </c>
      <c r="AM236" s="110">
        <v>0</v>
      </c>
      <c r="AN236" s="110">
        <v>0</v>
      </c>
      <c r="AO236" s="110">
        <v>0</v>
      </c>
      <c r="AP236" s="110">
        <v>0</v>
      </c>
      <c r="AQ236" s="110">
        <v>0</v>
      </c>
      <c r="AR236" s="110">
        <v>0</v>
      </c>
      <c r="AS236" s="110">
        <v>0</v>
      </c>
      <c r="AT236" s="110">
        <v>0</v>
      </c>
      <c r="AU236" s="110">
        <v>0</v>
      </c>
      <c r="AV236" s="110">
        <v>0</v>
      </c>
      <c r="AW236" s="110">
        <v>0</v>
      </c>
      <c r="AX236" s="110">
        <v>0</v>
      </c>
      <c r="AY236" s="110">
        <v>0</v>
      </c>
    </row>
    <row r="237" spans="1:51">
      <c r="A237" s="109"/>
      <c r="B237" s="127">
        <v>29</v>
      </c>
      <c r="C237" s="106">
        <v>0</v>
      </c>
      <c r="D237" s="110">
        <v>0</v>
      </c>
      <c r="E237" s="110">
        <v>0</v>
      </c>
      <c r="F237" s="110">
        <v>0</v>
      </c>
      <c r="G237" s="110">
        <v>0</v>
      </c>
      <c r="H237" s="110">
        <v>0</v>
      </c>
      <c r="I237" s="110">
        <v>0</v>
      </c>
      <c r="J237" s="110">
        <v>0</v>
      </c>
      <c r="K237" s="110">
        <v>0</v>
      </c>
      <c r="L237" s="110">
        <v>0</v>
      </c>
      <c r="M237" s="110">
        <v>0</v>
      </c>
      <c r="N237" s="110">
        <v>0</v>
      </c>
      <c r="O237" s="110">
        <v>0</v>
      </c>
      <c r="P237" s="110">
        <v>0</v>
      </c>
      <c r="Q237" s="110">
        <v>0</v>
      </c>
      <c r="R237" s="110">
        <v>0</v>
      </c>
      <c r="S237" s="110">
        <v>0</v>
      </c>
      <c r="T237" s="110">
        <v>0</v>
      </c>
      <c r="U237" s="110">
        <v>0</v>
      </c>
      <c r="V237" s="110">
        <v>0</v>
      </c>
      <c r="W237" s="110">
        <v>0</v>
      </c>
      <c r="X237" s="110">
        <v>0</v>
      </c>
      <c r="Y237" s="110">
        <v>0</v>
      </c>
      <c r="Z237" s="110">
        <v>0</v>
      </c>
      <c r="AA237" s="110">
        <v>0</v>
      </c>
      <c r="AB237" s="110">
        <v>0</v>
      </c>
      <c r="AC237" s="110">
        <v>0</v>
      </c>
      <c r="AD237" s="110">
        <v>0</v>
      </c>
      <c r="AE237" s="110">
        <v>0</v>
      </c>
      <c r="AF237" s="110">
        <v>0</v>
      </c>
      <c r="AG237" s="110">
        <v>0</v>
      </c>
      <c r="AH237" s="110">
        <v>0</v>
      </c>
      <c r="AI237" s="110">
        <v>0</v>
      </c>
      <c r="AJ237" s="110">
        <v>0</v>
      </c>
      <c r="AK237" s="110">
        <v>0</v>
      </c>
      <c r="AL237" s="110">
        <v>0</v>
      </c>
      <c r="AM237" s="110">
        <v>0</v>
      </c>
      <c r="AN237" s="110">
        <v>0</v>
      </c>
      <c r="AO237" s="110">
        <v>0</v>
      </c>
      <c r="AP237" s="110">
        <v>0</v>
      </c>
      <c r="AQ237" s="110">
        <v>0</v>
      </c>
      <c r="AR237" s="110">
        <v>0</v>
      </c>
      <c r="AS237" s="110">
        <v>0</v>
      </c>
      <c r="AT237" s="110">
        <v>0</v>
      </c>
      <c r="AU237" s="110">
        <v>0</v>
      </c>
      <c r="AV237" s="110">
        <v>0</v>
      </c>
      <c r="AW237" s="110">
        <v>0</v>
      </c>
      <c r="AX237" s="110">
        <v>0</v>
      </c>
      <c r="AY237" s="110">
        <v>0</v>
      </c>
    </row>
    <row r="238" spans="1:51">
      <c r="A238" s="109"/>
      <c r="B238" s="127">
        <v>30</v>
      </c>
      <c r="C238" s="106">
        <v>0</v>
      </c>
      <c r="D238" s="110">
        <v>0</v>
      </c>
      <c r="E238" s="110">
        <v>0</v>
      </c>
      <c r="F238" s="110">
        <v>0</v>
      </c>
      <c r="G238" s="110">
        <v>0</v>
      </c>
      <c r="H238" s="110">
        <v>0</v>
      </c>
      <c r="I238" s="110">
        <v>0</v>
      </c>
      <c r="J238" s="110">
        <v>0</v>
      </c>
      <c r="K238" s="110">
        <v>0</v>
      </c>
      <c r="L238" s="110">
        <v>0</v>
      </c>
      <c r="M238" s="110">
        <v>0</v>
      </c>
      <c r="N238" s="110">
        <v>0</v>
      </c>
      <c r="O238" s="110">
        <v>0</v>
      </c>
      <c r="P238" s="110">
        <v>0</v>
      </c>
      <c r="Q238" s="110">
        <v>0</v>
      </c>
      <c r="R238" s="110">
        <v>0</v>
      </c>
      <c r="S238" s="110">
        <v>0</v>
      </c>
      <c r="T238" s="110">
        <v>0</v>
      </c>
      <c r="U238" s="110">
        <v>0</v>
      </c>
      <c r="V238" s="110">
        <v>0</v>
      </c>
      <c r="W238" s="110">
        <v>0</v>
      </c>
      <c r="X238" s="110">
        <v>0</v>
      </c>
      <c r="Y238" s="110">
        <v>0</v>
      </c>
      <c r="Z238" s="110">
        <v>0</v>
      </c>
      <c r="AA238" s="110">
        <v>0</v>
      </c>
      <c r="AB238" s="110">
        <v>0</v>
      </c>
      <c r="AC238" s="110">
        <v>0</v>
      </c>
      <c r="AD238" s="110">
        <v>0</v>
      </c>
      <c r="AE238" s="110">
        <v>0</v>
      </c>
      <c r="AF238" s="110">
        <v>0</v>
      </c>
      <c r="AG238" s="110">
        <v>0</v>
      </c>
      <c r="AH238" s="110">
        <v>0</v>
      </c>
      <c r="AI238" s="110">
        <v>0</v>
      </c>
      <c r="AJ238" s="110">
        <v>0</v>
      </c>
      <c r="AK238" s="110">
        <v>0</v>
      </c>
      <c r="AL238" s="110">
        <v>0</v>
      </c>
      <c r="AM238" s="110">
        <v>0</v>
      </c>
      <c r="AN238" s="110">
        <v>0</v>
      </c>
      <c r="AO238" s="110">
        <v>0</v>
      </c>
      <c r="AP238" s="110">
        <v>0</v>
      </c>
      <c r="AQ238" s="110">
        <v>0</v>
      </c>
      <c r="AR238" s="110">
        <v>0</v>
      </c>
      <c r="AS238" s="110">
        <v>0</v>
      </c>
      <c r="AT238" s="110">
        <v>0</v>
      </c>
      <c r="AU238" s="110">
        <v>0</v>
      </c>
      <c r="AV238" s="110">
        <v>0</v>
      </c>
      <c r="AW238" s="110">
        <v>0</v>
      </c>
      <c r="AX238" s="110">
        <v>0</v>
      </c>
      <c r="AY238" s="110">
        <v>0</v>
      </c>
    </row>
    <row r="239" spans="1:51">
      <c r="A239" s="109"/>
      <c r="B239" s="127">
        <v>31</v>
      </c>
      <c r="C239" s="106">
        <v>0</v>
      </c>
      <c r="D239" s="110">
        <v>0</v>
      </c>
      <c r="E239" s="110">
        <v>0</v>
      </c>
      <c r="F239" s="110">
        <v>0</v>
      </c>
      <c r="G239" s="110">
        <v>0</v>
      </c>
      <c r="H239" s="110">
        <v>0</v>
      </c>
      <c r="I239" s="110">
        <v>0</v>
      </c>
      <c r="J239" s="110">
        <v>0</v>
      </c>
      <c r="K239" s="110">
        <v>0</v>
      </c>
      <c r="L239" s="110">
        <v>0</v>
      </c>
      <c r="M239" s="110">
        <v>0</v>
      </c>
      <c r="N239" s="110">
        <v>0</v>
      </c>
      <c r="O239" s="110">
        <v>0</v>
      </c>
      <c r="P239" s="110">
        <v>0</v>
      </c>
      <c r="Q239" s="110">
        <v>0</v>
      </c>
      <c r="R239" s="110">
        <v>0</v>
      </c>
      <c r="S239" s="110">
        <v>0</v>
      </c>
      <c r="T239" s="110">
        <v>0</v>
      </c>
      <c r="U239" s="110">
        <v>0</v>
      </c>
      <c r="V239" s="110">
        <v>0</v>
      </c>
      <c r="W239" s="110">
        <v>0</v>
      </c>
      <c r="X239" s="110">
        <v>0</v>
      </c>
      <c r="Y239" s="110">
        <v>0</v>
      </c>
      <c r="Z239" s="110">
        <v>0</v>
      </c>
      <c r="AA239" s="110">
        <v>0</v>
      </c>
      <c r="AB239" s="110">
        <v>0</v>
      </c>
      <c r="AC239" s="110">
        <v>0</v>
      </c>
      <c r="AD239" s="110">
        <v>0</v>
      </c>
      <c r="AE239" s="110">
        <v>0</v>
      </c>
      <c r="AF239" s="110">
        <v>0</v>
      </c>
      <c r="AG239" s="110">
        <v>0</v>
      </c>
      <c r="AH239" s="110">
        <v>0</v>
      </c>
      <c r="AI239" s="110">
        <v>0</v>
      </c>
      <c r="AJ239" s="110">
        <v>0</v>
      </c>
      <c r="AK239" s="110">
        <v>0</v>
      </c>
      <c r="AL239" s="110">
        <v>0</v>
      </c>
      <c r="AM239" s="110">
        <v>0</v>
      </c>
      <c r="AN239" s="110">
        <v>0</v>
      </c>
      <c r="AO239" s="110">
        <v>0</v>
      </c>
      <c r="AP239" s="110">
        <v>0</v>
      </c>
      <c r="AQ239" s="110">
        <v>0</v>
      </c>
      <c r="AR239" s="110">
        <v>0</v>
      </c>
      <c r="AS239" s="110">
        <v>0</v>
      </c>
      <c r="AT239" s="110">
        <v>0</v>
      </c>
      <c r="AU239" s="110">
        <v>0</v>
      </c>
      <c r="AV239" s="110">
        <v>0</v>
      </c>
      <c r="AW239" s="110">
        <v>0</v>
      </c>
      <c r="AX239" s="110">
        <v>0</v>
      </c>
      <c r="AY239" s="110">
        <v>0</v>
      </c>
    </row>
    <row r="240" spans="1:51">
      <c r="A240" s="109"/>
      <c r="B240" s="127">
        <v>32</v>
      </c>
      <c r="C240" s="106">
        <v>0</v>
      </c>
      <c r="D240" s="110">
        <v>0</v>
      </c>
      <c r="E240" s="110">
        <v>0</v>
      </c>
      <c r="F240" s="110">
        <v>0</v>
      </c>
      <c r="G240" s="110">
        <v>0</v>
      </c>
      <c r="H240" s="110">
        <v>0</v>
      </c>
      <c r="I240" s="110">
        <v>0</v>
      </c>
      <c r="J240" s="110">
        <v>0</v>
      </c>
      <c r="K240" s="110">
        <v>0</v>
      </c>
      <c r="L240" s="110">
        <v>0</v>
      </c>
      <c r="M240" s="110">
        <v>0</v>
      </c>
      <c r="N240" s="110">
        <v>0</v>
      </c>
      <c r="O240" s="110">
        <v>0</v>
      </c>
      <c r="P240" s="110">
        <v>0</v>
      </c>
      <c r="Q240" s="110">
        <v>0</v>
      </c>
      <c r="R240" s="110">
        <v>0</v>
      </c>
      <c r="S240" s="110">
        <v>0</v>
      </c>
      <c r="T240" s="110">
        <v>0</v>
      </c>
      <c r="U240" s="110">
        <v>0</v>
      </c>
      <c r="V240" s="110">
        <v>0</v>
      </c>
      <c r="W240" s="110">
        <v>0</v>
      </c>
      <c r="X240" s="110">
        <v>0</v>
      </c>
      <c r="Y240" s="110">
        <v>0</v>
      </c>
      <c r="Z240" s="110">
        <v>0</v>
      </c>
      <c r="AA240" s="110">
        <v>0</v>
      </c>
      <c r="AB240" s="110">
        <v>0</v>
      </c>
      <c r="AC240" s="110">
        <v>0</v>
      </c>
      <c r="AD240" s="110">
        <v>0</v>
      </c>
      <c r="AE240" s="110">
        <v>0</v>
      </c>
      <c r="AF240" s="110">
        <v>0</v>
      </c>
      <c r="AG240" s="110">
        <v>0</v>
      </c>
      <c r="AH240" s="110">
        <v>0</v>
      </c>
      <c r="AI240" s="110">
        <v>0</v>
      </c>
      <c r="AJ240" s="110">
        <v>0</v>
      </c>
      <c r="AK240" s="110">
        <v>0</v>
      </c>
      <c r="AL240" s="110">
        <v>0</v>
      </c>
      <c r="AM240" s="110">
        <v>0</v>
      </c>
      <c r="AN240" s="110">
        <v>0</v>
      </c>
      <c r="AO240" s="110">
        <v>0</v>
      </c>
      <c r="AP240" s="110">
        <v>0</v>
      </c>
      <c r="AQ240" s="110">
        <v>0</v>
      </c>
      <c r="AR240" s="110">
        <v>0</v>
      </c>
      <c r="AS240" s="110">
        <v>0</v>
      </c>
      <c r="AT240" s="110">
        <v>0</v>
      </c>
      <c r="AU240" s="110">
        <v>0</v>
      </c>
      <c r="AV240" s="110">
        <v>0</v>
      </c>
      <c r="AW240" s="110">
        <v>0</v>
      </c>
      <c r="AX240" s="110">
        <v>0</v>
      </c>
      <c r="AY240" s="110">
        <v>0</v>
      </c>
    </row>
    <row r="241" spans="1:51">
      <c r="A241" s="109"/>
      <c r="B241" s="127">
        <v>33</v>
      </c>
      <c r="C241" s="106">
        <v>0</v>
      </c>
      <c r="D241" s="110">
        <v>0</v>
      </c>
      <c r="E241" s="110">
        <v>0</v>
      </c>
      <c r="F241" s="110">
        <v>0</v>
      </c>
      <c r="G241" s="110">
        <v>0</v>
      </c>
      <c r="H241" s="110">
        <v>0</v>
      </c>
      <c r="I241" s="110">
        <v>0</v>
      </c>
      <c r="J241" s="110">
        <v>0</v>
      </c>
      <c r="K241" s="110">
        <v>0</v>
      </c>
      <c r="L241" s="110">
        <v>0</v>
      </c>
      <c r="M241" s="110">
        <v>0</v>
      </c>
      <c r="N241" s="110">
        <v>0</v>
      </c>
      <c r="O241" s="110">
        <v>0</v>
      </c>
      <c r="P241" s="110">
        <v>0</v>
      </c>
      <c r="Q241" s="110">
        <v>0</v>
      </c>
      <c r="R241" s="110">
        <v>0</v>
      </c>
      <c r="S241" s="110">
        <v>0</v>
      </c>
      <c r="T241" s="110">
        <v>0</v>
      </c>
      <c r="U241" s="110">
        <v>0</v>
      </c>
      <c r="V241" s="110">
        <v>0</v>
      </c>
      <c r="W241" s="110">
        <v>0</v>
      </c>
      <c r="X241" s="110">
        <v>0</v>
      </c>
      <c r="Y241" s="110">
        <v>0</v>
      </c>
      <c r="Z241" s="110">
        <v>0</v>
      </c>
      <c r="AA241" s="110">
        <v>0</v>
      </c>
      <c r="AB241" s="110">
        <v>0</v>
      </c>
      <c r="AC241" s="110">
        <v>0</v>
      </c>
      <c r="AD241" s="110">
        <v>0</v>
      </c>
      <c r="AE241" s="110">
        <v>0</v>
      </c>
      <c r="AF241" s="110">
        <v>0</v>
      </c>
      <c r="AG241" s="110">
        <v>0</v>
      </c>
      <c r="AH241" s="110">
        <v>0</v>
      </c>
      <c r="AI241" s="110">
        <v>0</v>
      </c>
      <c r="AJ241" s="110">
        <v>0</v>
      </c>
      <c r="AK241" s="110">
        <v>0</v>
      </c>
      <c r="AL241" s="110">
        <v>0</v>
      </c>
      <c r="AM241" s="110">
        <v>0</v>
      </c>
      <c r="AN241" s="110">
        <v>0</v>
      </c>
      <c r="AO241" s="110">
        <v>0</v>
      </c>
      <c r="AP241" s="110">
        <v>0</v>
      </c>
      <c r="AQ241" s="110">
        <v>0</v>
      </c>
      <c r="AR241" s="110">
        <v>0</v>
      </c>
      <c r="AS241" s="110">
        <v>0</v>
      </c>
      <c r="AT241" s="110">
        <v>0</v>
      </c>
      <c r="AU241" s="110">
        <v>0</v>
      </c>
      <c r="AV241" s="110">
        <v>0</v>
      </c>
      <c r="AW241" s="110">
        <v>0</v>
      </c>
      <c r="AX241" s="110">
        <v>0</v>
      </c>
      <c r="AY241" s="110">
        <v>0</v>
      </c>
    </row>
    <row r="242" spans="1:51">
      <c r="A242" s="109"/>
      <c r="B242" s="127">
        <v>34</v>
      </c>
      <c r="C242" s="106">
        <v>0</v>
      </c>
      <c r="D242" s="110">
        <v>0</v>
      </c>
      <c r="E242" s="110">
        <v>0</v>
      </c>
      <c r="F242" s="110">
        <v>0</v>
      </c>
      <c r="G242" s="110">
        <v>0</v>
      </c>
      <c r="H242" s="110">
        <v>0</v>
      </c>
      <c r="I242" s="110">
        <v>0</v>
      </c>
      <c r="J242" s="110">
        <v>0</v>
      </c>
      <c r="K242" s="110">
        <v>0</v>
      </c>
      <c r="L242" s="110">
        <v>0</v>
      </c>
      <c r="M242" s="110">
        <v>0</v>
      </c>
      <c r="N242" s="110">
        <v>0</v>
      </c>
      <c r="O242" s="110">
        <v>0</v>
      </c>
      <c r="P242" s="110">
        <v>0</v>
      </c>
      <c r="Q242" s="110">
        <v>0</v>
      </c>
      <c r="R242" s="110">
        <v>0</v>
      </c>
      <c r="S242" s="110">
        <v>0</v>
      </c>
      <c r="T242" s="110">
        <v>0</v>
      </c>
      <c r="U242" s="110">
        <v>0</v>
      </c>
      <c r="V242" s="110">
        <v>0</v>
      </c>
      <c r="W242" s="110">
        <v>0</v>
      </c>
      <c r="X242" s="110">
        <v>0</v>
      </c>
      <c r="Y242" s="110">
        <v>0</v>
      </c>
      <c r="Z242" s="110">
        <v>0</v>
      </c>
      <c r="AA242" s="110">
        <v>0</v>
      </c>
      <c r="AB242" s="110">
        <v>0</v>
      </c>
      <c r="AC242" s="110">
        <v>0</v>
      </c>
      <c r="AD242" s="110">
        <v>0</v>
      </c>
      <c r="AE242" s="110">
        <v>0</v>
      </c>
      <c r="AF242" s="110">
        <v>0</v>
      </c>
      <c r="AG242" s="110">
        <v>0</v>
      </c>
      <c r="AH242" s="110">
        <v>0</v>
      </c>
      <c r="AI242" s="110">
        <v>0</v>
      </c>
      <c r="AJ242" s="110">
        <v>0</v>
      </c>
      <c r="AK242" s="110">
        <v>0</v>
      </c>
      <c r="AL242" s="110">
        <v>0</v>
      </c>
      <c r="AM242" s="110">
        <v>0</v>
      </c>
      <c r="AN242" s="110">
        <v>0</v>
      </c>
      <c r="AO242" s="110">
        <v>0</v>
      </c>
      <c r="AP242" s="110">
        <v>0</v>
      </c>
      <c r="AQ242" s="110">
        <v>0</v>
      </c>
      <c r="AR242" s="110">
        <v>0</v>
      </c>
      <c r="AS242" s="110">
        <v>0</v>
      </c>
      <c r="AT242" s="110">
        <v>0</v>
      </c>
      <c r="AU242" s="110">
        <v>0</v>
      </c>
      <c r="AV242" s="110">
        <v>0</v>
      </c>
      <c r="AW242" s="110">
        <v>0</v>
      </c>
      <c r="AX242" s="110">
        <v>0</v>
      </c>
      <c r="AY242" s="110">
        <v>0</v>
      </c>
    </row>
    <row r="243" spans="1:51">
      <c r="A243" s="109"/>
      <c r="B243" s="127">
        <v>35</v>
      </c>
      <c r="C243" s="106">
        <v>0</v>
      </c>
      <c r="D243" s="110">
        <v>0</v>
      </c>
      <c r="E243" s="110">
        <v>0</v>
      </c>
      <c r="F243" s="110">
        <v>0</v>
      </c>
      <c r="G243" s="110">
        <v>0</v>
      </c>
      <c r="H243" s="110">
        <v>0</v>
      </c>
      <c r="I243" s="110">
        <v>0</v>
      </c>
      <c r="J243" s="110">
        <v>0</v>
      </c>
      <c r="K243" s="110">
        <v>0</v>
      </c>
      <c r="L243" s="110">
        <v>0</v>
      </c>
      <c r="M243" s="110">
        <v>0</v>
      </c>
      <c r="N243" s="110">
        <v>0</v>
      </c>
      <c r="O243" s="110">
        <v>0</v>
      </c>
      <c r="P243" s="110">
        <v>0</v>
      </c>
      <c r="Q243" s="110">
        <v>0</v>
      </c>
      <c r="R243" s="110">
        <v>0</v>
      </c>
      <c r="S243" s="110">
        <v>0</v>
      </c>
      <c r="T243" s="110">
        <v>0</v>
      </c>
      <c r="U243" s="110">
        <v>0</v>
      </c>
      <c r="V243" s="110">
        <v>0</v>
      </c>
      <c r="W243" s="110">
        <v>0</v>
      </c>
      <c r="X243" s="110">
        <v>0</v>
      </c>
      <c r="Y243" s="110">
        <v>0</v>
      </c>
      <c r="Z243" s="110">
        <v>0</v>
      </c>
      <c r="AA243" s="110">
        <v>0</v>
      </c>
      <c r="AB243" s="110">
        <v>0</v>
      </c>
      <c r="AC243" s="110">
        <v>0</v>
      </c>
      <c r="AD243" s="110">
        <v>0</v>
      </c>
      <c r="AE243" s="110">
        <v>0</v>
      </c>
      <c r="AF243" s="110">
        <v>0</v>
      </c>
      <c r="AG243" s="110">
        <v>0</v>
      </c>
      <c r="AH243" s="110">
        <v>0</v>
      </c>
      <c r="AI243" s="110">
        <v>0</v>
      </c>
      <c r="AJ243" s="110">
        <v>0</v>
      </c>
      <c r="AK243" s="110">
        <v>0</v>
      </c>
      <c r="AL243" s="110">
        <v>0</v>
      </c>
      <c r="AM243" s="110">
        <v>0</v>
      </c>
      <c r="AN243" s="110">
        <v>0</v>
      </c>
      <c r="AO243" s="110">
        <v>0</v>
      </c>
      <c r="AP243" s="110">
        <v>0</v>
      </c>
      <c r="AQ243" s="110">
        <v>0</v>
      </c>
      <c r="AR243" s="110">
        <v>0</v>
      </c>
      <c r="AS243" s="110">
        <v>0</v>
      </c>
      <c r="AT243" s="110">
        <v>0</v>
      </c>
      <c r="AU243" s="110">
        <v>0</v>
      </c>
      <c r="AV243" s="110">
        <v>0</v>
      </c>
      <c r="AW243" s="110">
        <v>0</v>
      </c>
      <c r="AX243" s="110">
        <v>0</v>
      </c>
      <c r="AY243" s="110">
        <v>0</v>
      </c>
    </row>
    <row r="244" spans="1:51">
      <c r="A244" s="109"/>
      <c r="B244" s="127">
        <v>36</v>
      </c>
      <c r="C244" s="106">
        <v>0</v>
      </c>
      <c r="D244" s="110">
        <v>0</v>
      </c>
      <c r="E244" s="110">
        <v>0</v>
      </c>
      <c r="F244" s="110">
        <v>0</v>
      </c>
      <c r="G244" s="110">
        <v>0</v>
      </c>
      <c r="H244" s="110">
        <v>0</v>
      </c>
      <c r="I244" s="110">
        <v>0</v>
      </c>
      <c r="J244" s="110">
        <v>0</v>
      </c>
      <c r="K244" s="110">
        <v>0</v>
      </c>
      <c r="L244" s="110">
        <v>0</v>
      </c>
      <c r="M244" s="110">
        <v>0</v>
      </c>
      <c r="N244" s="110">
        <v>0</v>
      </c>
      <c r="O244" s="110">
        <v>0</v>
      </c>
      <c r="P244" s="110">
        <v>0</v>
      </c>
      <c r="Q244" s="110">
        <v>0</v>
      </c>
      <c r="R244" s="110">
        <v>0</v>
      </c>
      <c r="S244" s="110">
        <v>0</v>
      </c>
      <c r="T244" s="110">
        <v>0</v>
      </c>
      <c r="U244" s="110">
        <v>0</v>
      </c>
      <c r="V244" s="110">
        <v>0</v>
      </c>
      <c r="W244" s="110">
        <v>0</v>
      </c>
      <c r="X244" s="110">
        <v>0</v>
      </c>
      <c r="Y244" s="110">
        <v>0</v>
      </c>
      <c r="Z244" s="110">
        <v>0</v>
      </c>
      <c r="AA244" s="110">
        <v>0</v>
      </c>
      <c r="AB244" s="110">
        <v>0</v>
      </c>
      <c r="AC244" s="110">
        <v>0</v>
      </c>
      <c r="AD244" s="110">
        <v>0</v>
      </c>
      <c r="AE244" s="110">
        <v>0</v>
      </c>
      <c r="AF244" s="110">
        <v>0</v>
      </c>
      <c r="AG244" s="110">
        <v>0</v>
      </c>
      <c r="AH244" s="110">
        <v>0</v>
      </c>
      <c r="AI244" s="110">
        <v>0</v>
      </c>
      <c r="AJ244" s="110">
        <v>0</v>
      </c>
      <c r="AK244" s="110">
        <v>0</v>
      </c>
      <c r="AL244" s="110">
        <v>0</v>
      </c>
      <c r="AM244" s="110">
        <v>0</v>
      </c>
      <c r="AN244" s="110">
        <v>0</v>
      </c>
      <c r="AO244" s="110">
        <v>0</v>
      </c>
      <c r="AP244" s="110">
        <v>0</v>
      </c>
      <c r="AQ244" s="110">
        <v>0</v>
      </c>
      <c r="AR244" s="110">
        <v>0</v>
      </c>
      <c r="AS244" s="110">
        <v>0</v>
      </c>
      <c r="AT244" s="110">
        <v>0</v>
      </c>
      <c r="AU244" s="110">
        <v>0</v>
      </c>
      <c r="AV244" s="110">
        <v>0</v>
      </c>
      <c r="AW244" s="110">
        <v>0</v>
      </c>
      <c r="AX244" s="110">
        <v>0</v>
      </c>
      <c r="AY244" s="110">
        <v>0</v>
      </c>
    </row>
    <row r="245" spans="1:51">
      <c r="A245" s="109"/>
      <c r="B245" s="130">
        <v>37</v>
      </c>
      <c r="C245" s="106">
        <v>0</v>
      </c>
      <c r="D245" s="110">
        <v>0</v>
      </c>
      <c r="E245" s="110">
        <v>0</v>
      </c>
      <c r="F245" s="110">
        <v>0</v>
      </c>
      <c r="G245" s="110">
        <v>0</v>
      </c>
      <c r="H245" s="110">
        <v>0</v>
      </c>
      <c r="I245" s="110">
        <v>0</v>
      </c>
      <c r="J245" s="110">
        <v>0</v>
      </c>
      <c r="K245" s="110">
        <v>0</v>
      </c>
      <c r="L245" s="110">
        <v>0</v>
      </c>
      <c r="M245" s="110">
        <v>0</v>
      </c>
      <c r="N245" s="110">
        <v>0</v>
      </c>
      <c r="O245" s="110">
        <v>0</v>
      </c>
      <c r="P245" s="110">
        <v>0</v>
      </c>
      <c r="Q245" s="110">
        <v>0</v>
      </c>
      <c r="R245" s="110">
        <v>0</v>
      </c>
      <c r="S245" s="110">
        <v>0</v>
      </c>
      <c r="T245" s="110">
        <v>0</v>
      </c>
      <c r="U245" s="110">
        <v>0</v>
      </c>
      <c r="V245" s="110">
        <v>0</v>
      </c>
      <c r="W245" s="110">
        <v>0</v>
      </c>
      <c r="X245" s="110">
        <v>0</v>
      </c>
      <c r="Y245" s="110">
        <v>0</v>
      </c>
      <c r="Z245" s="110">
        <v>0</v>
      </c>
      <c r="AA245" s="110">
        <v>0</v>
      </c>
      <c r="AB245" s="110">
        <v>0</v>
      </c>
      <c r="AC245" s="110">
        <v>0</v>
      </c>
      <c r="AD245" s="110">
        <v>0</v>
      </c>
      <c r="AE245" s="110">
        <v>0</v>
      </c>
      <c r="AF245" s="110">
        <v>0</v>
      </c>
      <c r="AG245" s="110">
        <v>0</v>
      </c>
      <c r="AH245" s="110">
        <v>0</v>
      </c>
      <c r="AI245" s="110">
        <v>0</v>
      </c>
      <c r="AJ245" s="110">
        <v>0</v>
      </c>
      <c r="AK245" s="110">
        <v>0</v>
      </c>
      <c r="AL245" s="110">
        <v>0</v>
      </c>
      <c r="AM245" s="110">
        <v>0</v>
      </c>
      <c r="AN245" s="110">
        <v>0</v>
      </c>
      <c r="AO245" s="110">
        <v>0</v>
      </c>
      <c r="AP245" s="110">
        <v>0</v>
      </c>
      <c r="AQ245" s="110">
        <v>0</v>
      </c>
      <c r="AR245" s="110">
        <v>0</v>
      </c>
      <c r="AS245" s="110">
        <v>0</v>
      </c>
      <c r="AT245" s="110">
        <v>0</v>
      </c>
      <c r="AU245" s="110">
        <v>0</v>
      </c>
      <c r="AV245" s="110">
        <v>0</v>
      </c>
      <c r="AW245" s="110">
        <v>0</v>
      </c>
      <c r="AX245" s="110">
        <v>0</v>
      </c>
      <c r="AY245" s="110">
        <v>0</v>
      </c>
    </row>
    <row r="246" spans="1:51">
      <c r="A246" s="109"/>
      <c r="B246" s="130">
        <v>38</v>
      </c>
      <c r="C246" s="106">
        <v>0</v>
      </c>
      <c r="D246" s="110">
        <v>0</v>
      </c>
      <c r="E246" s="110">
        <v>0</v>
      </c>
      <c r="F246" s="110">
        <v>0</v>
      </c>
      <c r="G246" s="110">
        <v>0</v>
      </c>
      <c r="H246" s="110">
        <v>0</v>
      </c>
      <c r="I246" s="110">
        <v>0</v>
      </c>
      <c r="J246" s="110">
        <v>0</v>
      </c>
      <c r="K246" s="110">
        <v>0</v>
      </c>
      <c r="L246" s="110">
        <v>0</v>
      </c>
      <c r="M246" s="110">
        <v>0</v>
      </c>
      <c r="N246" s="110">
        <v>0</v>
      </c>
      <c r="O246" s="110">
        <v>0</v>
      </c>
      <c r="P246" s="110">
        <v>0</v>
      </c>
      <c r="Q246" s="110">
        <v>0</v>
      </c>
      <c r="R246" s="110">
        <v>0</v>
      </c>
      <c r="S246" s="110">
        <v>0</v>
      </c>
      <c r="T246" s="110">
        <v>0</v>
      </c>
      <c r="U246" s="110">
        <v>0</v>
      </c>
      <c r="V246" s="110">
        <v>0</v>
      </c>
      <c r="W246" s="110">
        <v>0</v>
      </c>
      <c r="X246" s="110">
        <v>0</v>
      </c>
      <c r="Y246" s="110">
        <v>0</v>
      </c>
      <c r="Z246" s="110">
        <v>0</v>
      </c>
      <c r="AA246" s="110">
        <v>0</v>
      </c>
      <c r="AB246" s="110">
        <v>0</v>
      </c>
      <c r="AC246" s="110">
        <v>0</v>
      </c>
      <c r="AD246" s="110">
        <v>0</v>
      </c>
      <c r="AE246" s="110">
        <v>0</v>
      </c>
      <c r="AF246" s="110">
        <v>0</v>
      </c>
      <c r="AG246" s="110">
        <v>0</v>
      </c>
      <c r="AH246" s="110">
        <v>0</v>
      </c>
      <c r="AI246" s="110">
        <v>0</v>
      </c>
      <c r="AJ246" s="110">
        <v>0</v>
      </c>
      <c r="AK246" s="110">
        <v>0</v>
      </c>
      <c r="AL246" s="110">
        <v>0</v>
      </c>
      <c r="AM246" s="110">
        <v>0</v>
      </c>
      <c r="AN246" s="110">
        <v>0</v>
      </c>
      <c r="AO246" s="110">
        <v>0</v>
      </c>
      <c r="AP246" s="110">
        <v>0</v>
      </c>
      <c r="AQ246" s="110">
        <v>0</v>
      </c>
      <c r="AR246" s="110">
        <v>0</v>
      </c>
      <c r="AS246" s="110">
        <v>0</v>
      </c>
      <c r="AT246" s="110">
        <v>0</v>
      </c>
      <c r="AU246" s="110">
        <v>0</v>
      </c>
      <c r="AV246" s="110">
        <v>0</v>
      </c>
      <c r="AW246" s="110">
        <v>0</v>
      </c>
      <c r="AX246" s="110">
        <v>0</v>
      </c>
      <c r="AY246" s="110">
        <v>0</v>
      </c>
    </row>
    <row r="247" spans="1:51">
      <c r="A247" s="109"/>
      <c r="B247" s="130">
        <v>39</v>
      </c>
      <c r="C247" s="106">
        <v>0</v>
      </c>
      <c r="D247" s="110">
        <v>0</v>
      </c>
      <c r="E247" s="110">
        <v>0</v>
      </c>
      <c r="F247" s="110">
        <v>0</v>
      </c>
      <c r="G247" s="110">
        <v>0</v>
      </c>
      <c r="H247" s="110">
        <v>0</v>
      </c>
      <c r="I247" s="110">
        <v>0</v>
      </c>
      <c r="J247" s="110">
        <v>0</v>
      </c>
      <c r="K247" s="110">
        <v>0</v>
      </c>
      <c r="L247" s="110">
        <v>0</v>
      </c>
      <c r="M247" s="110">
        <v>0</v>
      </c>
      <c r="N247" s="110">
        <v>0</v>
      </c>
      <c r="O247" s="110">
        <v>0</v>
      </c>
      <c r="P247" s="110">
        <v>0</v>
      </c>
      <c r="Q247" s="110">
        <v>0</v>
      </c>
      <c r="R247" s="110">
        <v>0</v>
      </c>
      <c r="S247" s="110">
        <v>0</v>
      </c>
      <c r="T247" s="110">
        <v>0</v>
      </c>
      <c r="U247" s="110">
        <v>0</v>
      </c>
      <c r="V247" s="110">
        <v>0</v>
      </c>
      <c r="W247" s="110">
        <v>0</v>
      </c>
      <c r="X247" s="110">
        <v>0</v>
      </c>
      <c r="Y247" s="110">
        <v>0</v>
      </c>
      <c r="Z247" s="110">
        <v>0</v>
      </c>
      <c r="AA247" s="110">
        <v>0</v>
      </c>
      <c r="AB247" s="110">
        <v>0</v>
      </c>
      <c r="AC247" s="110">
        <v>0</v>
      </c>
      <c r="AD247" s="110">
        <v>0</v>
      </c>
      <c r="AE247" s="110">
        <v>0</v>
      </c>
      <c r="AF247" s="110">
        <v>0</v>
      </c>
      <c r="AG247" s="110">
        <v>0</v>
      </c>
      <c r="AH247" s="110">
        <v>0</v>
      </c>
      <c r="AI247" s="110">
        <v>0</v>
      </c>
      <c r="AJ247" s="110">
        <v>0</v>
      </c>
      <c r="AK247" s="110">
        <v>0</v>
      </c>
      <c r="AL247" s="110">
        <v>0</v>
      </c>
      <c r="AM247" s="110">
        <v>0</v>
      </c>
      <c r="AN247" s="110">
        <v>0</v>
      </c>
      <c r="AO247" s="110">
        <v>0</v>
      </c>
      <c r="AP247" s="110">
        <v>0</v>
      </c>
      <c r="AQ247" s="110">
        <v>0</v>
      </c>
      <c r="AR247" s="110">
        <v>0</v>
      </c>
      <c r="AS247" s="110">
        <v>0</v>
      </c>
      <c r="AT247" s="110">
        <v>0</v>
      </c>
      <c r="AU247" s="110">
        <v>0</v>
      </c>
      <c r="AV247" s="110">
        <v>0</v>
      </c>
      <c r="AW247" s="110">
        <v>0</v>
      </c>
      <c r="AX247" s="110">
        <v>0</v>
      </c>
      <c r="AY247" s="110">
        <v>0</v>
      </c>
    </row>
    <row r="248" spans="1:51">
      <c r="A248" s="109"/>
      <c r="B248" s="130">
        <v>40</v>
      </c>
      <c r="C248" s="106">
        <v>0</v>
      </c>
      <c r="D248" s="110">
        <v>0</v>
      </c>
      <c r="E248" s="110">
        <v>0</v>
      </c>
      <c r="F248" s="110">
        <v>0</v>
      </c>
      <c r="G248" s="110">
        <v>0</v>
      </c>
      <c r="H248" s="110">
        <v>0</v>
      </c>
      <c r="I248" s="110">
        <v>0</v>
      </c>
      <c r="J248" s="110">
        <v>0</v>
      </c>
      <c r="K248" s="110">
        <v>0</v>
      </c>
      <c r="L248" s="110">
        <v>0</v>
      </c>
      <c r="M248" s="110">
        <v>0</v>
      </c>
      <c r="N248" s="110">
        <v>0</v>
      </c>
      <c r="O248" s="110">
        <v>0</v>
      </c>
      <c r="P248" s="110">
        <v>0</v>
      </c>
      <c r="Q248" s="110">
        <v>0</v>
      </c>
      <c r="R248" s="110">
        <v>0</v>
      </c>
      <c r="S248" s="110">
        <v>0</v>
      </c>
      <c r="T248" s="110">
        <v>0</v>
      </c>
      <c r="U248" s="110">
        <v>0</v>
      </c>
      <c r="V248" s="110">
        <v>0</v>
      </c>
      <c r="W248" s="110">
        <v>0</v>
      </c>
      <c r="X248" s="110">
        <v>0</v>
      </c>
      <c r="Y248" s="110">
        <v>0</v>
      </c>
      <c r="Z248" s="110">
        <v>0</v>
      </c>
      <c r="AA248" s="110">
        <v>0</v>
      </c>
      <c r="AB248" s="110">
        <v>0</v>
      </c>
      <c r="AC248" s="110">
        <v>0</v>
      </c>
      <c r="AD248" s="110">
        <v>0</v>
      </c>
      <c r="AE248" s="110">
        <v>0</v>
      </c>
      <c r="AF248" s="110">
        <v>0</v>
      </c>
      <c r="AG248" s="110">
        <v>0</v>
      </c>
      <c r="AH248" s="110">
        <v>0</v>
      </c>
      <c r="AI248" s="110">
        <v>0</v>
      </c>
      <c r="AJ248" s="110">
        <v>0</v>
      </c>
      <c r="AK248" s="110">
        <v>0</v>
      </c>
      <c r="AL248" s="110">
        <v>0</v>
      </c>
      <c r="AM248" s="110">
        <v>0</v>
      </c>
      <c r="AN248" s="110">
        <v>0</v>
      </c>
      <c r="AO248" s="110">
        <v>0</v>
      </c>
      <c r="AP248" s="110">
        <v>0</v>
      </c>
      <c r="AQ248" s="110">
        <v>0</v>
      </c>
      <c r="AR248" s="110">
        <v>0</v>
      </c>
      <c r="AS248" s="110">
        <v>0</v>
      </c>
      <c r="AT248" s="110">
        <v>0</v>
      </c>
      <c r="AU248" s="110">
        <v>0</v>
      </c>
      <c r="AV248" s="110">
        <v>0</v>
      </c>
      <c r="AW248" s="110">
        <v>0</v>
      </c>
      <c r="AX248" s="110">
        <v>0</v>
      </c>
      <c r="AY248" s="110">
        <v>0</v>
      </c>
    </row>
    <row r="249" spans="1:51">
      <c r="A249" s="109"/>
      <c r="B249" s="130">
        <v>41</v>
      </c>
      <c r="C249" s="106">
        <v>0</v>
      </c>
      <c r="D249" s="110">
        <v>0</v>
      </c>
      <c r="E249" s="110">
        <v>0</v>
      </c>
      <c r="F249" s="110">
        <v>0</v>
      </c>
      <c r="G249" s="110">
        <v>0</v>
      </c>
      <c r="H249" s="110">
        <v>0</v>
      </c>
      <c r="I249" s="110">
        <v>0</v>
      </c>
      <c r="J249" s="110">
        <v>0</v>
      </c>
      <c r="K249" s="110">
        <v>0</v>
      </c>
      <c r="L249" s="110">
        <v>0</v>
      </c>
      <c r="M249" s="110">
        <v>0</v>
      </c>
      <c r="N249" s="110">
        <v>0</v>
      </c>
      <c r="O249" s="110">
        <v>0</v>
      </c>
      <c r="P249" s="110">
        <v>0</v>
      </c>
      <c r="Q249" s="110">
        <v>0</v>
      </c>
      <c r="R249" s="110">
        <v>0</v>
      </c>
      <c r="S249" s="110">
        <v>0</v>
      </c>
      <c r="T249" s="110">
        <v>0</v>
      </c>
      <c r="U249" s="110">
        <v>0</v>
      </c>
      <c r="V249" s="110">
        <v>0</v>
      </c>
      <c r="W249" s="110">
        <v>0</v>
      </c>
      <c r="X249" s="110">
        <v>0</v>
      </c>
      <c r="Y249" s="110">
        <v>0</v>
      </c>
      <c r="Z249" s="110">
        <v>0</v>
      </c>
      <c r="AA249" s="110">
        <v>0</v>
      </c>
      <c r="AB249" s="110">
        <v>0</v>
      </c>
      <c r="AC249" s="110">
        <v>0</v>
      </c>
      <c r="AD249" s="110">
        <v>0</v>
      </c>
      <c r="AE249" s="110">
        <v>0</v>
      </c>
      <c r="AF249" s="110">
        <v>0</v>
      </c>
      <c r="AG249" s="110">
        <v>0</v>
      </c>
      <c r="AH249" s="110">
        <v>0</v>
      </c>
      <c r="AI249" s="110">
        <v>0</v>
      </c>
      <c r="AJ249" s="110">
        <v>0</v>
      </c>
      <c r="AK249" s="110">
        <v>0</v>
      </c>
      <c r="AL249" s="110">
        <v>0</v>
      </c>
      <c r="AM249" s="110">
        <v>0</v>
      </c>
      <c r="AN249" s="110">
        <v>0</v>
      </c>
      <c r="AO249" s="110">
        <v>0</v>
      </c>
      <c r="AP249" s="110">
        <v>0</v>
      </c>
      <c r="AQ249" s="110">
        <v>0</v>
      </c>
      <c r="AR249" s="110">
        <v>0</v>
      </c>
      <c r="AS249" s="110">
        <v>0</v>
      </c>
      <c r="AT249" s="110">
        <v>0</v>
      </c>
      <c r="AU249" s="110">
        <v>0</v>
      </c>
      <c r="AV249" s="110">
        <v>0</v>
      </c>
      <c r="AW249" s="110">
        <v>0</v>
      </c>
      <c r="AX249" s="110">
        <v>0</v>
      </c>
      <c r="AY249" s="110">
        <v>0</v>
      </c>
    </row>
    <row r="250" spans="1:51">
      <c r="A250" s="109"/>
      <c r="B250" s="130">
        <v>42</v>
      </c>
      <c r="C250" s="106">
        <v>0</v>
      </c>
      <c r="D250" s="110">
        <v>0</v>
      </c>
      <c r="E250" s="110">
        <v>0</v>
      </c>
      <c r="F250" s="110">
        <v>0</v>
      </c>
      <c r="G250" s="110">
        <v>0</v>
      </c>
      <c r="H250" s="110">
        <v>0</v>
      </c>
      <c r="I250" s="110">
        <v>0</v>
      </c>
      <c r="J250" s="110">
        <v>0</v>
      </c>
      <c r="K250" s="110">
        <v>0</v>
      </c>
      <c r="L250" s="110">
        <v>0</v>
      </c>
      <c r="M250" s="110">
        <v>0</v>
      </c>
      <c r="N250" s="110">
        <v>0</v>
      </c>
      <c r="O250" s="110">
        <v>0</v>
      </c>
      <c r="P250" s="110">
        <v>0</v>
      </c>
      <c r="Q250" s="110">
        <v>0</v>
      </c>
      <c r="R250" s="110">
        <v>0</v>
      </c>
      <c r="S250" s="110">
        <v>0</v>
      </c>
      <c r="T250" s="110">
        <v>0</v>
      </c>
      <c r="U250" s="110">
        <v>0</v>
      </c>
      <c r="V250" s="110">
        <v>0</v>
      </c>
      <c r="W250" s="110">
        <v>0</v>
      </c>
      <c r="X250" s="110">
        <v>0</v>
      </c>
      <c r="Y250" s="110">
        <v>0</v>
      </c>
      <c r="Z250" s="110">
        <v>0</v>
      </c>
      <c r="AA250" s="110">
        <v>0</v>
      </c>
      <c r="AB250" s="110">
        <v>0</v>
      </c>
      <c r="AC250" s="110">
        <v>0</v>
      </c>
      <c r="AD250" s="110">
        <v>0</v>
      </c>
      <c r="AE250" s="110">
        <v>0</v>
      </c>
      <c r="AF250" s="110">
        <v>0</v>
      </c>
      <c r="AG250" s="110">
        <v>0</v>
      </c>
      <c r="AH250" s="110">
        <v>0</v>
      </c>
      <c r="AI250" s="110">
        <v>0</v>
      </c>
      <c r="AJ250" s="110">
        <v>0</v>
      </c>
      <c r="AK250" s="110">
        <v>0</v>
      </c>
      <c r="AL250" s="110">
        <v>0</v>
      </c>
      <c r="AM250" s="110">
        <v>0</v>
      </c>
      <c r="AN250" s="110">
        <v>0</v>
      </c>
      <c r="AO250" s="110">
        <v>0</v>
      </c>
      <c r="AP250" s="110">
        <v>0</v>
      </c>
      <c r="AQ250" s="110">
        <v>0</v>
      </c>
      <c r="AR250" s="110">
        <v>0</v>
      </c>
      <c r="AS250" s="110">
        <v>0</v>
      </c>
      <c r="AT250" s="110">
        <v>0</v>
      </c>
      <c r="AU250" s="110">
        <v>0</v>
      </c>
      <c r="AV250" s="110">
        <v>0</v>
      </c>
      <c r="AW250" s="110">
        <v>0</v>
      </c>
      <c r="AX250" s="110">
        <v>0</v>
      </c>
      <c r="AY250" s="110">
        <v>0</v>
      </c>
    </row>
    <row r="251" spans="1:51">
      <c r="A251" s="109"/>
      <c r="B251" s="130">
        <v>43</v>
      </c>
      <c r="C251" s="106">
        <v>0</v>
      </c>
      <c r="D251" s="110">
        <v>0</v>
      </c>
      <c r="E251" s="110">
        <v>0</v>
      </c>
      <c r="F251" s="110">
        <v>0</v>
      </c>
      <c r="G251" s="110">
        <v>0</v>
      </c>
      <c r="H251" s="110">
        <v>0</v>
      </c>
      <c r="I251" s="110">
        <v>0</v>
      </c>
      <c r="J251" s="110">
        <v>0</v>
      </c>
      <c r="K251" s="110">
        <v>0</v>
      </c>
      <c r="L251" s="110">
        <v>0</v>
      </c>
      <c r="M251" s="110">
        <v>0</v>
      </c>
      <c r="N251" s="110">
        <v>0</v>
      </c>
      <c r="O251" s="110">
        <v>0</v>
      </c>
      <c r="P251" s="110">
        <v>0</v>
      </c>
      <c r="Q251" s="110">
        <v>0</v>
      </c>
      <c r="R251" s="110">
        <v>0</v>
      </c>
      <c r="S251" s="110">
        <v>0</v>
      </c>
      <c r="T251" s="110">
        <v>0</v>
      </c>
      <c r="U251" s="110">
        <v>0</v>
      </c>
      <c r="V251" s="110">
        <v>0</v>
      </c>
      <c r="W251" s="110">
        <v>0</v>
      </c>
      <c r="X251" s="110">
        <v>0</v>
      </c>
      <c r="Y251" s="110">
        <v>0</v>
      </c>
      <c r="Z251" s="110">
        <v>0</v>
      </c>
      <c r="AA251" s="110">
        <v>0</v>
      </c>
      <c r="AB251" s="110">
        <v>0</v>
      </c>
      <c r="AC251" s="110">
        <v>0</v>
      </c>
      <c r="AD251" s="110">
        <v>0</v>
      </c>
      <c r="AE251" s="110">
        <v>0</v>
      </c>
      <c r="AF251" s="110">
        <v>0</v>
      </c>
      <c r="AG251" s="110">
        <v>0</v>
      </c>
      <c r="AH251" s="110">
        <v>0</v>
      </c>
      <c r="AI251" s="110">
        <v>0</v>
      </c>
      <c r="AJ251" s="110">
        <v>0</v>
      </c>
      <c r="AK251" s="110">
        <v>0</v>
      </c>
      <c r="AL251" s="110">
        <v>0</v>
      </c>
      <c r="AM251" s="110">
        <v>0</v>
      </c>
      <c r="AN251" s="110">
        <v>0</v>
      </c>
      <c r="AO251" s="110">
        <v>0</v>
      </c>
      <c r="AP251" s="110">
        <v>0</v>
      </c>
      <c r="AQ251" s="110">
        <v>0</v>
      </c>
      <c r="AR251" s="110">
        <v>0</v>
      </c>
      <c r="AS251" s="110">
        <v>0</v>
      </c>
      <c r="AT251" s="110">
        <v>0</v>
      </c>
      <c r="AU251" s="110">
        <v>0</v>
      </c>
      <c r="AV251" s="110">
        <v>0</v>
      </c>
      <c r="AW251" s="110">
        <v>0</v>
      </c>
      <c r="AX251" s="110">
        <v>0</v>
      </c>
      <c r="AY251" s="110">
        <v>0</v>
      </c>
    </row>
    <row r="252" spans="1:51">
      <c r="A252" s="109"/>
      <c r="B252" s="130">
        <v>44</v>
      </c>
      <c r="C252" s="106">
        <v>0</v>
      </c>
      <c r="D252" s="110">
        <v>0</v>
      </c>
      <c r="E252" s="110">
        <v>0</v>
      </c>
      <c r="F252" s="110">
        <v>0</v>
      </c>
      <c r="G252" s="110">
        <v>0</v>
      </c>
      <c r="H252" s="110">
        <v>0</v>
      </c>
      <c r="I252" s="110">
        <v>0</v>
      </c>
      <c r="J252" s="110">
        <v>0</v>
      </c>
      <c r="K252" s="110">
        <v>0</v>
      </c>
      <c r="L252" s="110">
        <v>0</v>
      </c>
      <c r="M252" s="110">
        <v>0</v>
      </c>
      <c r="N252" s="110">
        <v>0</v>
      </c>
      <c r="O252" s="110">
        <v>0</v>
      </c>
      <c r="P252" s="110">
        <v>0</v>
      </c>
      <c r="Q252" s="110">
        <v>0</v>
      </c>
      <c r="R252" s="110">
        <v>0</v>
      </c>
      <c r="S252" s="110">
        <v>0</v>
      </c>
      <c r="T252" s="110">
        <v>0</v>
      </c>
      <c r="U252" s="110">
        <v>0</v>
      </c>
      <c r="V252" s="110">
        <v>0</v>
      </c>
      <c r="W252" s="110">
        <v>0</v>
      </c>
      <c r="X252" s="110">
        <v>0</v>
      </c>
      <c r="Y252" s="110">
        <v>0</v>
      </c>
      <c r="Z252" s="110">
        <v>0</v>
      </c>
      <c r="AA252" s="110">
        <v>0</v>
      </c>
      <c r="AB252" s="110">
        <v>0</v>
      </c>
      <c r="AC252" s="110">
        <v>0</v>
      </c>
      <c r="AD252" s="110">
        <v>0</v>
      </c>
      <c r="AE252" s="110">
        <v>0</v>
      </c>
      <c r="AF252" s="110">
        <v>0</v>
      </c>
      <c r="AG252" s="110">
        <v>0</v>
      </c>
      <c r="AH252" s="110">
        <v>0</v>
      </c>
      <c r="AI252" s="110">
        <v>0</v>
      </c>
      <c r="AJ252" s="110">
        <v>0</v>
      </c>
      <c r="AK252" s="110">
        <v>0</v>
      </c>
      <c r="AL252" s="110">
        <v>0</v>
      </c>
      <c r="AM252" s="110">
        <v>0</v>
      </c>
      <c r="AN252" s="110">
        <v>0</v>
      </c>
      <c r="AO252" s="110">
        <v>0</v>
      </c>
      <c r="AP252" s="110">
        <v>0</v>
      </c>
      <c r="AQ252" s="110">
        <v>0</v>
      </c>
      <c r="AR252" s="110">
        <v>0</v>
      </c>
      <c r="AS252" s="110">
        <v>0</v>
      </c>
      <c r="AT252" s="110">
        <v>0</v>
      </c>
      <c r="AU252" s="110">
        <v>0</v>
      </c>
      <c r="AV252" s="110">
        <v>0</v>
      </c>
      <c r="AW252" s="110">
        <v>0</v>
      </c>
      <c r="AX252" s="110">
        <v>0</v>
      </c>
      <c r="AY252" s="110">
        <v>0</v>
      </c>
    </row>
    <row r="253" spans="1:51">
      <c r="A253" s="109"/>
      <c r="B253" s="130">
        <v>45</v>
      </c>
      <c r="C253" s="106">
        <v>0</v>
      </c>
      <c r="D253" s="110">
        <v>0</v>
      </c>
      <c r="E253" s="110">
        <v>0</v>
      </c>
      <c r="F253" s="110">
        <v>0</v>
      </c>
      <c r="G253" s="110">
        <v>0</v>
      </c>
      <c r="H253" s="110">
        <v>0</v>
      </c>
      <c r="I253" s="110">
        <v>0</v>
      </c>
      <c r="J253" s="110">
        <v>0</v>
      </c>
      <c r="K253" s="110">
        <v>0</v>
      </c>
      <c r="L253" s="110">
        <v>0</v>
      </c>
      <c r="M253" s="110">
        <v>0</v>
      </c>
      <c r="N253" s="110">
        <v>0</v>
      </c>
      <c r="O253" s="110">
        <v>0</v>
      </c>
      <c r="P253" s="110">
        <v>0</v>
      </c>
      <c r="Q253" s="110">
        <v>0</v>
      </c>
      <c r="R253" s="110">
        <v>0</v>
      </c>
      <c r="S253" s="110">
        <v>0</v>
      </c>
      <c r="T253" s="110">
        <v>0</v>
      </c>
      <c r="U253" s="110">
        <v>0</v>
      </c>
      <c r="V253" s="110">
        <v>0</v>
      </c>
      <c r="W253" s="110">
        <v>0</v>
      </c>
      <c r="X253" s="110">
        <v>0</v>
      </c>
      <c r="Y253" s="110">
        <v>0</v>
      </c>
      <c r="Z253" s="110">
        <v>0</v>
      </c>
      <c r="AA253" s="110">
        <v>0</v>
      </c>
      <c r="AB253" s="110">
        <v>0</v>
      </c>
      <c r="AC253" s="110">
        <v>0</v>
      </c>
      <c r="AD253" s="110">
        <v>0</v>
      </c>
      <c r="AE253" s="110">
        <v>0</v>
      </c>
      <c r="AF253" s="110">
        <v>0</v>
      </c>
      <c r="AG253" s="110">
        <v>0</v>
      </c>
      <c r="AH253" s="110">
        <v>0</v>
      </c>
      <c r="AI253" s="110">
        <v>0</v>
      </c>
      <c r="AJ253" s="110">
        <v>0</v>
      </c>
      <c r="AK253" s="110">
        <v>0</v>
      </c>
      <c r="AL253" s="110">
        <v>0</v>
      </c>
      <c r="AM253" s="110">
        <v>0</v>
      </c>
      <c r="AN253" s="110">
        <v>0</v>
      </c>
      <c r="AO253" s="110">
        <v>0</v>
      </c>
      <c r="AP253" s="110">
        <v>0</v>
      </c>
      <c r="AQ253" s="110">
        <v>0</v>
      </c>
      <c r="AR253" s="110">
        <v>0</v>
      </c>
      <c r="AS253" s="110">
        <v>0</v>
      </c>
      <c r="AT253" s="110">
        <v>0</v>
      </c>
      <c r="AU253" s="110">
        <v>0</v>
      </c>
      <c r="AV253" s="110">
        <v>0</v>
      </c>
      <c r="AW253" s="110">
        <v>0</v>
      </c>
      <c r="AX253" s="110">
        <v>0</v>
      </c>
      <c r="AY253" s="110">
        <v>0</v>
      </c>
    </row>
    <row r="254" spans="1:51">
      <c r="A254" s="109"/>
      <c r="B254" s="130">
        <v>46</v>
      </c>
      <c r="C254" s="106">
        <v>0</v>
      </c>
      <c r="D254" s="110">
        <v>0</v>
      </c>
      <c r="E254" s="110">
        <v>0</v>
      </c>
      <c r="F254" s="110">
        <v>0</v>
      </c>
      <c r="G254" s="110">
        <v>0</v>
      </c>
      <c r="H254" s="110">
        <v>0</v>
      </c>
      <c r="I254" s="110">
        <v>0</v>
      </c>
      <c r="J254" s="110">
        <v>0</v>
      </c>
      <c r="K254" s="110">
        <v>0</v>
      </c>
      <c r="L254" s="110">
        <v>0</v>
      </c>
      <c r="M254" s="110">
        <v>0</v>
      </c>
      <c r="N254" s="110">
        <v>0</v>
      </c>
      <c r="O254" s="110">
        <v>0</v>
      </c>
      <c r="P254" s="110">
        <v>0</v>
      </c>
      <c r="Q254" s="110">
        <v>0</v>
      </c>
      <c r="R254" s="110">
        <v>0</v>
      </c>
      <c r="S254" s="110">
        <v>0</v>
      </c>
      <c r="T254" s="110">
        <v>0</v>
      </c>
      <c r="U254" s="110">
        <v>0</v>
      </c>
      <c r="V254" s="110">
        <v>0</v>
      </c>
      <c r="W254" s="110">
        <v>0</v>
      </c>
      <c r="X254" s="110">
        <v>0</v>
      </c>
      <c r="Y254" s="110">
        <v>0</v>
      </c>
      <c r="Z254" s="110">
        <v>0</v>
      </c>
      <c r="AA254" s="110">
        <v>0</v>
      </c>
      <c r="AB254" s="110">
        <v>0</v>
      </c>
      <c r="AC254" s="110">
        <v>0</v>
      </c>
      <c r="AD254" s="110">
        <v>0</v>
      </c>
      <c r="AE254" s="110">
        <v>0</v>
      </c>
      <c r="AF254" s="110">
        <v>0</v>
      </c>
      <c r="AG254" s="110">
        <v>0</v>
      </c>
      <c r="AH254" s="110">
        <v>0</v>
      </c>
      <c r="AI254" s="110">
        <v>0</v>
      </c>
      <c r="AJ254" s="110">
        <v>0</v>
      </c>
      <c r="AK254" s="110">
        <v>0</v>
      </c>
      <c r="AL254" s="110">
        <v>0</v>
      </c>
      <c r="AM254" s="110">
        <v>0</v>
      </c>
      <c r="AN254" s="110">
        <v>0</v>
      </c>
      <c r="AO254" s="110">
        <v>0</v>
      </c>
      <c r="AP254" s="110">
        <v>0</v>
      </c>
      <c r="AQ254" s="110">
        <v>0</v>
      </c>
      <c r="AR254" s="110">
        <v>0</v>
      </c>
      <c r="AS254" s="110">
        <v>0</v>
      </c>
      <c r="AT254" s="110">
        <v>0</v>
      </c>
      <c r="AU254" s="110">
        <v>0</v>
      </c>
      <c r="AV254" s="110">
        <v>0</v>
      </c>
      <c r="AW254" s="110">
        <v>0</v>
      </c>
      <c r="AX254" s="110">
        <v>0</v>
      </c>
      <c r="AY254" s="110">
        <v>0</v>
      </c>
    </row>
    <row r="255" spans="1:51">
      <c r="A255" s="109"/>
      <c r="B255" s="130">
        <v>47</v>
      </c>
      <c r="C255" s="106">
        <v>0</v>
      </c>
      <c r="D255" s="110">
        <v>0</v>
      </c>
      <c r="E255" s="110">
        <v>0</v>
      </c>
      <c r="F255" s="110">
        <v>0</v>
      </c>
      <c r="G255" s="110">
        <v>0</v>
      </c>
      <c r="H255" s="110">
        <v>0</v>
      </c>
      <c r="I255" s="110">
        <v>0</v>
      </c>
      <c r="J255" s="110">
        <v>0</v>
      </c>
      <c r="K255" s="110">
        <v>0</v>
      </c>
      <c r="L255" s="110">
        <v>0</v>
      </c>
      <c r="M255" s="110">
        <v>0</v>
      </c>
      <c r="N255" s="110">
        <v>0</v>
      </c>
      <c r="O255" s="110">
        <v>0</v>
      </c>
      <c r="P255" s="110">
        <v>0</v>
      </c>
      <c r="Q255" s="110">
        <v>0</v>
      </c>
      <c r="R255" s="110">
        <v>0</v>
      </c>
      <c r="S255" s="110">
        <v>0</v>
      </c>
      <c r="T255" s="110">
        <v>0</v>
      </c>
      <c r="U255" s="110">
        <v>0</v>
      </c>
      <c r="V255" s="110">
        <v>0</v>
      </c>
      <c r="W255" s="110">
        <v>0</v>
      </c>
      <c r="X255" s="110">
        <v>0</v>
      </c>
      <c r="Y255" s="110">
        <v>0</v>
      </c>
      <c r="Z255" s="110">
        <v>0</v>
      </c>
      <c r="AA255" s="110">
        <v>0</v>
      </c>
      <c r="AB255" s="110">
        <v>0</v>
      </c>
      <c r="AC255" s="110">
        <v>0</v>
      </c>
      <c r="AD255" s="110">
        <v>0</v>
      </c>
      <c r="AE255" s="110">
        <v>0</v>
      </c>
      <c r="AF255" s="110">
        <v>0</v>
      </c>
      <c r="AG255" s="110">
        <v>0</v>
      </c>
      <c r="AH255" s="110">
        <v>0</v>
      </c>
      <c r="AI255" s="110">
        <v>0</v>
      </c>
      <c r="AJ255" s="110">
        <v>0</v>
      </c>
      <c r="AK255" s="110">
        <v>0</v>
      </c>
      <c r="AL255" s="110">
        <v>0</v>
      </c>
      <c r="AM255" s="110">
        <v>0</v>
      </c>
      <c r="AN255" s="110">
        <v>0</v>
      </c>
      <c r="AO255" s="110">
        <v>0</v>
      </c>
      <c r="AP255" s="110">
        <v>0</v>
      </c>
      <c r="AQ255" s="110">
        <v>0</v>
      </c>
      <c r="AR255" s="110">
        <v>0</v>
      </c>
      <c r="AS255" s="110">
        <v>0</v>
      </c>
      <c r="AT255" s="110">
        <v>0</v>
      </c>
      <c r="AU255" s="110">
        <v>0</v>
      </c>
      <c r="AV255" s="110">
        <v>0</v>
      </c>
      <c r="AW255" s="110">
        <v>0</v>
      </c>
      <c r="AX255" s="110">
        <v>0</v>
      </c>
      <c r="AY255" s="110">
        <v>0</v>
      </c>
    </row>
    <row r="256" spans="1:51">
      <c r="A256" s="128"/>
      <c r="B256" s="129">
        <v>48</v>
      </c>
      <c r="C256" s="114">
        <v>0</v>
      </c>
      <c r="D256" s="125">
        <v>0</v>
      </c>
      <c r="E256" s="125">
        <v>0</v>
      </c>
      <c r="F256" s="125">
        <v>0</v>
      </c>
      <c r="G256" s="125">
        <v>0</v>
      </c>
      <c r="H256" s="125">
        <v>0</v>
      </c>
      <c r="I256" s="125">
        <v>0</v>
      </c>
      <c r="J256" s="125">
        <v>0</v>
      </c>
      <c r="K256" s="125">
        <v>0</v>
      </c>
      <c r="L256" s="125">
        <v>0</v>
      </c>
      <c r="M256" s="125">
        <v>0</v>
      </c>
      <c r="N256" s="125">
        <v>0</v>
      </c>
      <c r="O256" s="125">
        <v>0</v>
      </c>
      <c r="P256" s="125">
        <v>0</v>
      </c>
      <c r="Q256" s="125">
        <v>0</v>
      </c>
      <c r="R256" s="125">
        <v>0</v>
      </c>
      <c r="S256" s="125">
        <v>0</v>
      </c>
      <c r="T256" s="125">
        <v>0</v>
      </c>
      <c r="U256" s="125">
        <v>0</v>
      </c>
      <c r="V256" s="125">
        <v>0</v>
      </c>
      <c r="W256" s="125">
        <v>0</v>
      </c>
      <c r="X256" s="125">
        <v>0</v>
      </c>
      <c r="Y256" s="125">
        <v>0</v>
      </c>
      <c r="Z256" s="125">
        <v>0</v>
      </c>
      <c r="AA256" s="125">
        <v>0</v>
      </c>
      <c r="AB256" s="125">
        <v>0</v>
      </c>
      <c r="AC256" s="125">
        <v>0</v>
      </c>
      <c r="AD256" s="125">
        <v>0</v>
      </c>
      <c r="AE256" s="125">
        <v>0</v>
      </c>
      <c r="AF256" s="125">
        <v>0</v>
      </c>
      <c r="AG256" s="125">
        <v>0</v>
      </c>
      <c r="AH256" s="125">
        <v>0</v>
      </c>
      <c r="AI256" s="125">
        <v>0</v>
      </c>
      <c r="AJ256" s="125">
        <v>0</v>
      </c>
      <c r="AK256" s="125">
        <v>0</v>
      </c>
      <c r="AL256" s="125">
        <v>0</v>
      </c>
      <c r="AM256" s="125">
        <v>0</v>
      </c>
      <c r="AN256" s="125">
        <v>0</v>
      </c>
      <c r="AO256" s="125">
        <v>0</v>
      </c>
      <c r="AP256" s="125">
        <v>0</v>
      </c>
      <c r="AQ256" s="125">
        <v>0</v>
      </c>
      <c r="AR256" s="125">
        <v>0</v>
      </c>
      <c r="AS256" s="125">
        <v>0</v>
      </c>
      <c r="AT256" s="125">
        <v>0</v>
      </c>
      <c r="AU256" s="125">
        <v>0</v>
      </c>
      <c r="AV256" s="125">
        <v>0</v>
      </c>
      <c r="AW256" s="125">
        <v>0</v>
      </c>
      <c r="AX256" s="125">
        <v>0</v>
      </c>
      <c r="AY256" s="125">
        <v>0</v>
      </c>
    </row>
    <row r="258" spans="1:52">
      <c r="A258" s="102" t="s">
        <v>301</v>
      </c>
    </row>
    <row r="259" spans="1:52">
      <c r="A259" s="137" t="s">
        <v>124</v>
      </c>
      <c r="B259" s="138">
        <v>650</v>
      </c>
      <c r="C259" s="124" t="s">
        <v>293</v>
      </c>
      <c r="D259" s="124">
        <f>E$14*$B$259</f>
        <v>152154.59457662277</v>
      </c>
      <c r="E259" s="124">
        <f t="shared" ref="E259:AX259" si="5">F$14*$B$259</f>
        <v>147572.94743069244</v>
      </c>
      <c r="F259" s="124">
        <f t="shared" si="5"/>
        <v>240160.7794375573</v>
      </c>
      <c r="G259" s="124">
        <f t="shared" si="5"/>
        <v>240160.7794375573</v>
      </c>
      <c r="H259" s="124">
        <f t="shared" si="5"/>
        <v>187304.32505163093</v>
      </c>
      <c r="I259" s="124">
        <f t="shared" si="5"/>
        <v>240160.7794375573</v>
      </c>
      <c r="J259" s="124">
        <f t="shared" si="5"/>
        <v>240160.7794375573</v>
      </c>
      <c r="K259" s="124">
        <f t="shared" si="5"/>
        <v>200916.84388431531</v>
      </c>
      <c r="L259" s="124">
        <f t="shared" si="5"/>
        <v>237142.01516423095</v>
      </c>
      <c r="M259" s="124">
        <f t="shared" si="5"/>
        <v>335279.93365005188</v>
      </c>
      <c r="N259" s="124">
        <f t="shared" si="5"/>
        <v>271309.11167365621</v>
      </c>
      <c r="O259" s="124">
        <f t="shared" si="5"/>
        <v>191970.76965208896</v>
      </c>
      <c r="P259" s="124">
        <f t="shared" si="5"/>
        <v>289998.46955015732</v>
      </c>
      <c r="Q259" s="124">
        <f t="shared" si="5"/>
        <v>240160.77943755727</v>
      </c>
      <c r="R259" s="124">
        <f t="shared" si="5"/>
        <v>240160.77943755727</v>
      </c>
      <c r="S259" s="124">
        <f t="shared" si="5"/>
        <v>240160.77943755727</v>
      </c>
      <c r="T259" s="124">
        <f t="shared" si="5"/>
        <v>145041.62522506263</v>
      </c>
      <c r="U259" s="124">
        <f t="shared" si="5"/>
        <v>335279.93365005188</v>
      </c>
      <c r="V259" s="124">
        <f t="shared" si="5"/>
        <v>153135.13701152091</v>
      </c>
      <c r="W259" s="124">
        <f t="shared" si="5"/>
        <v>285442.24353745184</v>
      </c>
      <c r="X259" s="124">
        <f t="shared" si="5"/>
        <v>240160.77943755727</v>
      </c>
      <c r="Y259" s="124">
        <f t="shared" si="5"/>
        <v>194879.31533766267</v>
      </c>
      <c r="Z259" s="124">
        <f t="shared" si="5"/>
        <v>335279.93365005188</v>
      </c>
      <c r="AA259" s="124">
        <f t="shared" si="5"/>
        <v>240160.77943755727</v>
      </c>
      <c r="AB259" s="124">
        <f t="shared" si="5"/>
        <v>190323.0893249572</v>
      </c>
      <c r="AC259" s="124">
        <f t="shared" si="5"/>
        <v>289998.46955015726</v>
      </c>
      <c r="AD259" s="124">
        <f t="shared" si="5"/>
        <v>240160.77943755727</v>
      </c>
      <c r="AE259" s="124">
        <f t="shared" si="5"/>
        <v>240160.77943755727</v>
      </c>
      <c r="AF259" s="124">
        <f t="shared" si="5"/>
        <v>240160.77943755727</v>
      </c>
      <c r="AG259" s="124">
        <f t="shared" si="5"/>
        <v>145041.62522506263</v>
      </c>
      <c r="AH259" s="124">
        <f t="shared" si="5"/>
        <v>353697.76596921496</v>
      </c>
      <c r="AI259" s="124">
        <f t="shared" si="5"/>
        <v>258578.61175672029</v>
      </c>
      <c r="AJ259" s="124">
        <f t="shared" si="5"/>
        <v>145041.62522506263</v>
      </c>
      <c r="AK259" s="124">
        <f t="shared" si="5"/>
        <v>190323.0893249572</v>
      </c>
      <c r="AL259" s="124">
        <f t="shared" si="5"/>
        <v>326834.13418848329</v>
      </c>
      <c r="AM259" s="124">
        <f t="shared" si="5"/>
        <v>285442.2435374519</v>
      </c>
      <c r="AN259" s="124">
        <f t="shared" si="5"/>
        <v>215801.26855066064</v>
      </c>
      <c r="AO259" s="124">
        <f t="shared" si="5"/>
        <v>240160.77943755727</v>
      </c>
      <c r="AP259" s="124">
        <f t="shared" si="5"/>
        <v>335279.93365005188</v>
      </c>
      <c r="AQ259" s="124">
        <f t="shared" si="5"/>
        <v>145041.62522506263</v>
      </c>
      <c r="AR259" s="124">
        <f t="shared" si="5"/>
        <v>335279.93365005188</v>
      </c>
      <c r="AS259" s="124">
        <f t="shared" si="5"/>
        <v>248131.58250874074</v>
      </c>
      <c r="AT259" s="124">
        <f t="shared" si="5"/>
        <v>240160.77943755727</v>
      </c>
      <c r="AU259" s="124">
        <f t="shared" si="5"/>
        <v>145041.62522506263</v>
      </c>
      <c r="AV259" s="124">
        <f t="shared" si="5"/>
        <v>285442.24353745184</v>
      </c>
      <c r="AW259" s="124">
        <f t="shared" si="5"/>
        <v>194879.31533766267</v>
      </c>
      <c r="AX259" s="124">
        <f t="shared" si="5"/>
        <v>335279.93365005188</v>
      </c>
      <c r="AY259" s="124">
        <f>AZ$14*$B$259</f>
        <v>145041.62522506263</v>
      </c>
      <c r="AZ259" s="139">
        <f>SUM($D259:$AY259)</f>
        <v>11395457.851832978</v>
      </c>
    </row>
    <row r="260" spans="1:52">
      <c r="A260" s="140" t="s">
        <v>302</v>
      </c>
      <c r="B260" s="114">
        <v>60</v>
      </c>
      <c r="C260" s="125" t="s">
        <v>293</v>
      </c>
      <c r="D260" s="125">
        <f>(D$175-D$176+D$177-D$178+D$179-D$180+D$181-D$182)*$B$260</f>
        <v>16576.109715011575</v>
      </c>
      <c r="E260" s="125">
        <f t="shared" ref="E260:AY260" si="6">(E$175-E$176+E$177-E$178+E$179-E$180+E$181-E$182)*$B$260</f>
        <v>17912.219430023149</v>
      </c>
      <c r="F260" s="125">
        <f t="shared" si="6"/>
        <v>4788.3291450347306</v>
      </c>
      <c r="G260" s="125">
        <f t="shared" si="6"/>
        <v>16009.151112717704</v>
      </c>
      <c r="H260" s="125">
        <f t="shared" si="6"/>
        <v>10220.548575057881</v>
      </c>
      <c r="I260" s="125">
        <f t="shared" si="6"/>
        <v>5136.6582900694575</v>
      </c>
      <c r="J260" s="125">
        <f t="shared" si="6"/>
        <v>1972.7680050810295</v>
      </c>
      <c r="K260" s="125">
        <f t="shared" si="6"/>
        <v>0</v>
      </c>
      <c r="L260" s="125">
        <f t="shared" si="6"/>
        <v>0</v>
      </c>
      <c r="M260" s="125">
        <f t="shared" si="6"/>
        <v>44042.341272005491</v>
      </c>
      <c r="N260" s="125">
        <f t="shared" si="6"/>
        <v>43746.856700413642</v>
      </c>
      <c r="O260" s="125">
        <f t="shared" si="6"/>
        <v>13411.067887359251</v>
      </c>
      <c r="P260" s="125">
        <f t="shared" si="6"/>
        <v>23683.561263357013</v>
      </c>
      <c r="Q260" s="125">
        <f t="shared" si="6"/>
        <v>32444.383231040003</v>
      </c>
      <c r="R260" s="125">
        <f t="shared" si="6"/>
        <v>34305.205198722993</v>
      </c>
      <c r="S260" s="125">
        <f t="shared" si="6"/>
        <v>40666.027166405955</v>
      </c>
      <c r="T260" s="125">
        <f t="shared" si="6"/>
        <v>23584.438860046303</v>
      </c>
      <c r="U260" s="125">
        <f t="shared" si="6"/>
        <v>60857.864819809467</v>
      </c>
      <c r="V260" s="125">
        <f t="shared" si="6"/>
        <v>35421.090470396171</v>
      </c>
      <c r="W260" s="125">
        <f t="shared" si="6"/>
        <v>34462.191957074319</v>
      </c>
      <c r="X260" s="125">
        <f t="shared" si="6"/>
        <v>32971.528712829786</v>
      </c>
      <c r="Y260" s="125">
        <f t="shared" si="6"/>
        <v>13284.987435104184</v>
      </c>
      <c r="Z260" s="125">
        <f t="shared" si="6"/>
        <v>52630.521655458564</v>
      </c>
      <c r="AA260" s="125">
        <f t="shared" si="6"/>
        <v>45960.260575454027</v>
      </c>
      <c r="AB260" s="125">
        <f t="shared" si="6"/>
        <v>25572.165037475013</v>
      </c>
      <c r="AC260" s="125">
        <f t="shared" si="6"/>
        <v>37212.987558507513</v>
      </c>
      <c r="AD260" s="125">
        <f t="shared" si="6"/>
        <v>27553.809526190485</v>
      </c>
      <c r="AE260" s="125">
        <f t="shared" si="6"/>
        <v>22154.631493873458</v>
      </c>
      <c r="AF260" s="125">
        <f t="shared" si="6"/>
        <v>20292.447411874789</v>
      </c>
      <c r="AG260" s="125">
        <f t="shared" si="6"/>
        <v>25163.249098575947</v>
      </c>
      <c r="AH260" s="125">
        <f t="shared" si="6"/>
        <v>81798.956439936359</v>
      </c>
      <c r="AI260" s="125">
        <f t="shared" si="6"/>
        <v>91898.976079629865</v>
      </c>
      <c r="AJ260" s="125">
        <f t="shared" si="6"/>
        <v>47520.96218698984</v>
      </c>
      <c r="AK260" s="125">
        <f t="shared" si="6"/>
        <v>46637.071902001415</v>
      </c>
      <c r="AL260" s="125">
        <f t="shared" si="6"/>
        <v>78228.856721666831</v>
      </c>
      <c r="AM260" s="125">
        <f t="shared" si="6"/>
        <v>91809.338066212891</v>
      </c>
      <c r="AN260" s="125">
        <f t="shared" si="6"/>
        <v>67790.500657032782</v>
      </c>
      <c r="AO260" s="125">
        <f t="shared" si="6"/>
        <v>66351.322624715773</v>
      </c>
      <c r="AP260" s="125">
        <f t="shared" si="6"/>
        <v>96756.856845070157</v>
      </c>
      <c r="AQ260" s="125">
        <f t="shared" si="6"/>
        <v>39653.730192070878</v>
      </c>
      <c r="AR260" s="125">
        <f t="shared" si="6"/>
        <v>74141.26217568366</v>
      </c>
      <c r="AS260" s="125">
        <f t="shared" si="6"/>
        <v>74189.003332420718</v>
      </c>
      <c r="AT260" s="125">
        <f t="shared" si="6"/>
        <v>55480.908347791214</v>
      </c>
      <c r="AU260" s="125">
        <f t="shared" si="6"/>
        <v>31498.169052117169</v>
      </c>
      <c r="AV260" s="125">
        <f t="shared" si="6"/>
        <v>40783.702719122048</v>
      </c>
      <c r="AW260" s="125">
        <f t="shared" si="6"/>
        <v>21750.388482140315</v>
      </c>
      <c r="AX260" s="125">
        <f t="shared" si="6"/>
        <v>51855.922702494703</v>
      </c>
      <c r="AY260" s="125">
        <f t="shared" si="6"/>
        <v>12962.607912163472</v>
      </c>
      <c r="AZ260" s="141">
        <f>SUM($D260:$AY260)</f>
        <v>1833145.93804423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U138"/>
  <sheetViews>
    <sheetView workbookViewId="0"/>
  </sheetViews>
  <sheetFormatPr baseColWidth="10" defaultColWidth="8.83203125" defaultRowHeight="12" x14ac:dyDescent="0"/>
  <cols>
    <col min="1" max="16384" width="8.83203125" style="100"/>
  </cols>
  <sheetData>
    <row r="2" spans="1:99">
      <c r="B2" s="102" t="s">
        <v>272</v>
      </c>
    </row>
    <row r="3" spans="1:99">
      <c r="B3" s="103" t="s">
        <v>283</v>
      </c>
    </row>
    <row r="4" spans="1:99">
      <c r="A4" s="101"/>
      <c r="B4" s="101"/>
      <c r="C4" s="99" t="s">
        <v>274</v>
      </c>
      <c r="D4" s="99" t="s">
        <v>92</v>
      </c>
      <c r="E4" s="101"/>
      <c r="F4" s="101"/>
      <c r="G4" s="101"/>
      <c r="H4" s="101"/>
      <c r="I4" s="101"/>
      <c r="J4" s="101"/>
      <c r="K4" s="101"/>
      <c r="L4" s="99" t="s">
        <v>93</v>
      </c>
      <c r="M4" s="101"/>
      <c r="N4" s="101"/>
      <c r="O4" s="101"/>
      <c r="P4" s="101"/>
      <c r="Q4" s="101"/>
      <c r="R4" s="101"/>
      <c r="S4" s="101"/>
      <c r="T4" s="99" t="s">
        <v>94</v>
      </c>
      <c r="U4" s="101"/>
      <c r="V4" s="101"/>
      <c r="W4" s="101"/>
      <c r="X4" s="101"/>
      <c r="Y4" s="101"/>
      <c r="Z4" s="101"/>
      <c r="AA4" s="101"/>
      <c r="AB4" s="99" t="s">
        <v>95</v>
      </c>
      <c r="AC4" s="101"/>
      <c r="AD4" s="101"/>
      <c r="AE4" s="101"/>
      <c r="AF4" s="101"/>
      <c r="AG4" s="101"/>
      <c r="AH4" s="101"/>
      <c r="AI4" s="101"/>
      <c r="AJ4" s="99" t="s">
        <v>96</v>
      </c>
      <c r="AK4" s="101"/>
      <c r="AL4" s="101"/>
      <c r="AM4" s="101"/>
      <c r="AN4" s="101"/>
      <c r="AO4" s="101"/>
      <c r="AP4" s="101"/>
      <c r="AQ4" s="101"/>
      <c r="AR4" s="99" t="s">
        <v>97</v>
      </c>
      <c r="AS4" s="101"/>
      <c r="AT4" s="101"/>
      <c r="AU4" s="101"/>
      <c r="AV4" s="101"/>
      <c r="AW4" s="101"/>
      <c r="AX4" s="101"/>
      <c r="AY4" s="101"/>
      <c r="AZ4" s="99" t="s">
        <v>98</v>
      </c>
      <c r="BA4" s="101"/>
      <c r="BB4" s="101"/>
      <c r="BC4" s="101"/>
      <c r="BD4" s="101"/>
      <c r="BE4" s="101"/>
      <c r="BF4" s="101"/>
      <c r="BG4" s="101"/>
      <c r="BH4" s="99" t="s">
        <v>99</v>
      </c>
      <c r="BI4" s="101"/>
      <c r="BJ4" s="101"/>
      <c r="BK4" s="101"/>
      <c r="BL4" s="101"/>
      <c r="BM4" s="101"/>
      <c r="BN4" s="101"/>
      <c r="BO4" s="101"/>
      <c r="BP4" s="99" t="s">
        <v>100</v>
      </c>
      <c r="BQ4" s="101"/>
      <c r="BR4" s="101"/>
      <c r="BS4" s="101"/>
      <c r="BT4" s="101"/>
      <c r="BU4" s="101"/>
      <c r="BV4" s="101"/>
      <c r="BW4" s="101"/>
      <c r="BX4" s="99" t="s">
        <v>101</v>
      </c>
      <c r="BY4" s="101"/>
      <c r="BZ4" s="101"/>
      <c r="CA4" s="101"/>
      <c r="CB4" s="101"/>
      <c r="CC4" s="101"/>
      <c r="CD4" s="101"/>
      <c r="CE4" s="101"/>
      <c r="CF4" s="99" t="s">
        <v>102</v>
      </c>
      <c r="CG4" s="101"/>
      <c r="CH4" s="101"/>
      <c r="CI4" s="101"/>
      <c r="CJ4" s="101"/>
      <c r="CK4" s="101"/>
      <c r="CL4" s="101"/>
      <c r="CM4" s="101"/>
      <c r="CN4" s="99" t="s">
        <v>103</v>
      </c>
      <c r="CO4" s="101"/>
      <c r="CP4" s="101"/>
      <c r="CQ4" s="101"/>
      <c r="CR4" s="101"/>
      <c r="CS4" s="101"/>
      <c r="CT4" s="101"/>
      <c r="CU4" s="101"/>
    </row>
    <row r="5" spans="1:99">
      <c r="B5" s="99" t="s">
        <v>167</v>
      </c>
      <c r="C5" s="99" t="s">
        <v>275</v>
      </c>
      <c r="D5" s="99">
        <v>1</v>
      </c>
      <c r="E5" s="99"/>
      <c r="F5" s="99">
        <v>2</v>
      </c>
      <c r="G5" s="99"/>
      <c r="H5" s="99">
        <v>3</v>
      </c>
      <c r="I5" s="99"/>
      <c r="J5" s="99">
        <v>4</v>
      </c>
      <c r="K5" s="99"/>
      <c r="L5" s="99">
        <v>1</v>
      </c>
      <c r="M5" s="99"/>
      <c r="N5" s="99">
        <v>2</v>
      </c>
      <c r="O5" s="99"/>
      <c r="P5" s="99">
        <v>3</v>
      </c>
      <c r="Q5" s="99"/>
      <c r="R5" s="99">
        <v>4</v>
      </c>
      <c r="S5" s="99"/>
      <c r="T5" s="99">
        <v>1</v>
      </c>
      <c r="U5" s="99"/>
      <c r="V5" s="99">
        <v>2</v>
      </c>
      <c r="W5" s="99"/>
      <c r="X5" s="99">
        <v>3</v>
      </c>
      <c r="Y5" s="99"/>
      <c r="Z5" s="99">
        <v>4</v>
      </c>
      <c r="AA5" s="99"/>
      <c r="AB5" s="99">
        <v>1</v>
      </c>
      <c r="AC5" s="99"/>
      <c r="AD5" s="99">
        <v>2</v>
      </c>
      <c r="AE5" s="99"/>
      <c r="AF5" s="99">
        <v>3</v>
      </c>
      <c r="AG5" s="99"/>
      <c r="AH5" s="99">
        <v>4</v>
      </c>
      <c r="AI5" s="99"/>
      <c r="AJ5" s="99">
        <v>1</v>
      </c>
      <c r="AK5" s="99"/>
      <c r="AL5" s="99">
        <v>2</v>
      </c>
      <c r="AM5" s="99"/>
      <c r="AN5" s="99">
        <v>3</v>
      </c>
      <c r="AO5" s="99"/>
      <c r="AP5" s="99">
        <v>4</v>
      </c>
      <c r="AQ5" s="99"/>
      <c r="AR5" s="99">
        <v>1</v>
      </c>
      <c r="AS5" s="99"/>
      <c r="AT5" s="99">
        <v>2</v>
      </c>
      <c r="AU5" s="99"/>
      <c r="AV5" s="99">
        <v>3</v>
      </c>
      <c r="AW5" s="99"/>
      <c r="AX5" s="99">
        <v>4</v>
      </c>
      <c r="AY5" s="99"/>
      <c r="AZ5" s="99">
        <v>1</v>
      </c>
      <c r="BA5" s="99"/>
      <c r="BB5" s="99">
        <v>2</v>
      </c>
      <c r="BC5" s="99"/>
      <c r="BD5" s="99">
        <v>3</v>
      </c>
      <c r="BE5" s="99"/>
      <c r="BF5" s="99">
        <v>4</v>
      </c>
      <c r="BG5" s="99"/>
      <c r="BH5" s="99">
        <v>1</v>
      </c>
      <c r="BI5" s="99"/>
      <c r="BJ5" s="99">
        <v>2</v>
      </c>
      <c r="BK5" s="99"/>
      <c r="BL5" s="99">
        <v>3</v>
      </c>
      <c r="BM5" s="99"/>
      <c r="BN5" s="99">
        <v>4</v>
      </c>
      <c r="BO5" s="99"/>
      <c r="BP5" s="99">
        <v>1</v>
      </c>
      <c r="BQ5" s="99"/>
      <c r="BR5" s="99">
        <v>2</v>
      </c>
      <c r="BS5" s="99"/>
      <c r="BT5" s="99">
        <v>3</v>
      </c>
      <c r="BU5" s="99"/>
      <c r="BV5" s="99">
        <v>4</v>
      </c>
      <c r="BW5" s="99"/>
      <c r="BX5" s="99">
        <v>1</v>
      </c>
      <c r="BY5" s="99"/>
      <c r="BZ5" s="99">
        <v>2</v>
      </c>
      <c r="CA5" s="99"/>
      <c r="CB5" s="99">
        <v>3</v>
      </c>
      <c r="CC5" s="99"/>
      <c r="CD5" s="99">
        <v>4</v>
      </c>
      <c r="CE5" s="99"/>
      <c r="CF5" s="99">
        <v>1</v>
      </c>
      <c r="CG5" s="99"/>
      <c r="CH5" s="99">
        <v>2</v>
      </c>
      <c r="CI5" s="99"/>
      <c r="CJ5" s="99">
        <v>3</v>
      </c>
      <c r="CK5" s="99"/>
      <c r="CL5" s="99">
        <v>4</v>
      </c>
      <c r="CM5" s="99"/>
      <c r="CN5" s="99">
        <v>1</v>
      </c>
      <c r="CO5" s="99"/>
      <c r="CP5" s="99">
        <v>2</v>
      </c>
      <c r="CQ5" s="99"/>
      <c r="CR5" s="99">
        <v>3</v>
      </c>
      <c r="CS5" s="99"/>
      <c r="CT5" s="99">
        <v>4</v>
      </c>
      <c r="CU5" s="99"/>
    </row>
    <row r="6" spans="1:99">
      <c r="B6" s="99" t="s">
        <v>126</v>
      </c>
      <c r="C6" s="99" t="s">
        <v>172</v>
      </c>
      <c r="D6" s="100">
        <v>13</v>
      </c>
      <c r="E6" s="100">
        <v>7519.2</v>
      </c>
      <c r="F6" s="100">
        <v>18</v>
      </c>
      <c r="G6" s="100">
        <v>10411.199999999999</v>
      </c>
      <c r="H6" s="100">
        <v>26</v>
      </c>
      <c r="I6" s="100">
        <v>15038.4</v>
      </c>
      <c r="J6" s="100">
        <v>19</v>
      </c>
      <c r="K6" s="100">
        <v>10989.6</v>
      </c>
      <c r="L6" s="100">
        <v>17</v>
      </c>
      <c r="M6" s="100">
        <v>9832.7999999999993</v>
      </c>
      <c r="N6" s="100">
        <v>18</v>
      </c>
      <c r="O6" s="100">
        <v>10411.199999999999</v>
      </c>
      <c r="P6" s="100">
        <v>22</v>
      </c>
      <c r="Q6" s="100">
        <v>12724.8</v>
      </c>
      <c r="R6" s="100">
        <v>18.950467347375984</v>
      </c>
      <c r="S6" s="100">
        <v>10960.950313722269</v>
      </c>
      <c r="T6" s="100">
        <v>19.329104936076583</v>
      </c>
      <c r="U6" s="100">
        <v>11179.954295026695</v>
      </c>
      <c r="V6" s="100">
        <v>12.575402594380721</v>
      </c>
      <c r="W6" s="100">
        <v>7273.6128605898084</v>
      </c>
      <c r="X6" s="100">
        <v>22</v>
      </c>
      <c r="Y6" s="100">
        <v>12724.8</v>
      </c>
      <c r="Z6" s="100">
        <v>22</v>
      </c>
      <c r="AA6" s="100">
        <v>12724.8</v>
      </c>
      <c r="AB6" s="100">
        <v>17.925675827633128</v>
      </c>
      <c r="AC6" s="100">
        <v>10368.210898703001</v>
      </c>
      <c r="AD6" s="100">
        <v>22</v>
      </c>
      <c r="AE6" s="100">
        <v>12724.8</v>
      </c>
      <c r="AF6" s="100">
        <v>17</v>
      </c>
      <c r="AG6" s="100">
        <v>9832.7999999999993</v>
      </c>
      <c r="AH6" s="100">
        <v>22</v>
      </c>
      <c r="AI6" s="100">
        <v>12724.8</v>
      </c>
      <c r="AJ6" s="100">
        <v>18</v>
      </c>
      <c r="AK6" s="100">
        <v>10411.199999999999</v>
      </c>
      <c r="AL6" s="100">
        <v>18</v>
      </c>
      <c r="AM6" s="100">
        <v>10411.199999999999</v>
      </c>
      <c r="AN6" s="100">
        <v>14</v>
      </c>
      <c r="AO6" s="100">
        <v>8097.5999999999995</v>
      </c>
      <c r="AP6" s="100">
        <v>14</v>
      </c>
      <c r="AQ6" s="100">
        <v>8097.5999999999995</v>
      </c>
      <c r="AR6" s="100">
        <v>16</v>
      </c>
      <c r="AS6" s="100">
        <v>9254.4</v>
      </c>
      <c r="AT6" s="100">
        <v>27</v>
      </c>
      <c r="AU6" s="100">
        <v>15616.8</v>
      </c>
      <c r="AV6" s="100">
        <v>15</v>
      </c>
      <c r="AW6" s="100">
        <v>8676</v>
      </c>
      <c r="AX6" s="100">
        <v>20</v>
      </c>
      <c r="AY6" s="100">
        <v>11568</v>
      </c>
      <c r="AZ6" s="100">
        <v>22</v>
      </c>
      <c r="BA6" s="100">
        <v>12724.8</v>
      </c>
      <c r="BB6" s="100">
        <v>19</v>
      </c>
      <c r="BC6" s="100">
        <v>10989.6</v>
      </c>
      <c r="BD6" s="100">
        <v>27</v>
      </c>
      <c r="BE6" s="100">
        <v>15616.8</v>
      </c>
      <c r="BF6" s="100">
        <v>21</v>
      </c>
      <c r="BG6" s="100">
        <v>12146.4</v>
      </c>
      <c r="BH6" s="100">
        <v>27</v>
      </c>
      <c r="BI6" s="100">
        <v>15616.8</v>
      </c>
      <c r="BJ6" s="100">
        <v>21</v>
      </c>
      <c r="BK6" s="100">
        <v>12146.4</v>
      </c>
      <c r="BL6" s="100">
        <v>27</v>
      </c>
      <c r="BM6" s="100">
        <v>15616.8</v>
      </c>
      <c r="BN6" s="100">
        <v>22</v>
      </c>
      <c r="BO6" s="100">
        <v>12724.8</v>
      </c>
      <c r="BP6" s="100">
        <v>16</v>
      </c>
      <c r="BQ6" s="100">
        <v>9254.4</v>
      </c>
      <c r="BR6" s="100">
        <v>17</v>
      </c>
      <c r="BS6" s="100">
        <v>9832.7999999999993</v>
      </c>
      <c r="BT6" s="100">
        <v>17</v>
      </c>
      <c r="BU6" s="100">
        <v>9832.7999999999993</v>
      </c>
      <c r="BV6" s="100">
        <v>22</v>
      </c>
      <c r="BW6" s="100">
        <v>12724.8</v>
      </c>
      <c r="BX6" s="100">
        <v>23</v>
      </c>
      <c r="BY6" s="100">
        <v>13303.199999999999</v>
      </c>
      <c r="BZ6" s="100">
        <v>26</v>
      </c>
      <c r="CA6" s="100">
        <v>15038.4</v>
      </c>
      <c r="CB6" s="100">
        <v>25</v>
      </c>
      <c r="CC6" s="100">
        <v>14460</v>
      </c>
      <c r="CD6" s="100">
        <v>29</v>
      </c>
      <c r="CE6" s="100">
        <v>16773.599999999999</v>
      </c>
      <c r="CF6" s="100">
        <v>27</v>
      </c>
      <c r="CG6" s="100">
        <v>15616.8</v>
      </c>
      <c r="CH6" s="100">
        <v>25</v>
      </c>
      <c r="CI6" s="100">
        <v>14460</v>
      </c>
      <c r="CJ6" s="100">
        <v>28</v>
      </c>
      <c r="CK6" s="100">
        <v>16195.199999999999</v>
      </c>
      <c r="CL6" s="100">
        <v>16</v>
      </c>
      <c r="CM6" s="100">
        <v>9254.4</v>
      </c>
      <c r="CN6" s="100">
        <v>18</v>
      </c>
      <c r="CO6" s="100">
        <v>10411.199999999999</v>
      </c>
      <c r="CP6" s="100">
        <v>18</v>
      </c>
      <c r="CQ6" s="100">
        <v>10411.199999999999</v>
      </c>
      <c r="CR6" s="100">
        <v>25</v>
      </c>
      <c r="CS6" s="100">
        <v>14460</v>
      </c>
      <c r="CT6" s="100">
        <v>23</v>
      </c>
      <c r="CU6" s="100">
        <v>13303.199999999999</v>
      </c>
    </row>
    <row r="7" spans="1:99">
      <c r="C7" s="99" t="s">
        <v>173</v>
      </c>
      <c r="D7" s="100">
        <v>12</v>
      </c>
      <c r="E7" s="100">
        <v>9460.7999999999993</v>
      </c>
      <c r="F7" s="100">
        <v>18</v>
      </c>
      <c r="G7" s="100">
        <v>14191.199999999999</v>
      </c>
      <c r="H7" s="100">
        <v>23</v>
      </c>
      <c r="I7" s="100">
        <v>18133.2</v>
      </c>
      <c r="J7" s="100">
        <v>18</v>
      </c>
      <c r="K7" s="100">
        <v>14191.199999999999</v>
      </c>
      <c r="L7" s="100">
        <v>16</v>
      </c>
      <c r="M7" s="100">
        <v>12614.4</v>
      </c>
      <c r="N7" s="100">
        <v>19</v>
      </c>
      <c r="O7" s="100">
        <v>14979.6</v>
      </c>
      <c r="P7" s="100">
        <v>18</v>
      </c>
      <c r="Q7" s="100">
        <v>14191.199999999999</v>
      </c>
      <c r="R7" s="100">
        <v>21.942646402224824</v>
      </c>
      <c r="S7" s="100">
        <v>17299.58242351405</v>
      </c>
      <c r="T7" s="100">
        <v>19.329104936076583</v>
      </c>
      <c r="U7" s="100">
        <v>15239.066331602777</v>
      </c>
      <c r="V7" s="100">
        <v>13.542741255486931</v>
      </c>
      <c r="W7" s="100">
        <v>10677.097205825896</v>
      </c>
      <c r="X7" s="100">
        <v>22</v>
      </c>
      <c r="Y7" s="100">
        <v>17344.8</v>
      </c>
      <c r="Z7" s="100">
        <v>21</v>
      </c>
      <c r="AA7" s="100">
        <v>16556.399999999998</v>
      </c>
      <c r="AB7" s="100">
        <v>16.982219205126121</v>
      </c>
      <c r="AC7" s="100">
        <v>13388.781621321434</v>
      </c>
      <c r="AD7" s="100">
        <v>22</v>
      </c>
      <c r="AE7" s="100">
        <v>17344.8</v>
      </c>
      <c r="AF7" s="100">
        <v>15</v>
      </c>
      <c r="AG7" s="100">
        <v>11826</v>
      </c>
      <c r="AH7" s="100">
        <v>21</v>
      </c>
      <c r="AI7" s="100">
        <v>16556.399999999998</v>
      </c>
      <c r="AJ7" s="100">
        <v>19</v>
      </c>
      <c r="AK7" s="100">
        <v>14979.6</v>
      </c>
      <c r="AL7" s="100">
        <v>17</v>
      </c>
      <c r="AM7" s="100">
        <v>13402.8</v>
      </c>
      <c r="AN7" s="100">
        <v>13</v>
      </c>
      <c r="AO7" s="100">
        <v>10249.199999999999</v>
      </c>
      <c r="AP7" s="100">
        <v>13</v>
      </c>
      <c r="AQ7" s="100">
        <v>10249.199999999999</v>
      </c>
      <c r="AR7" s="100">
        <v>17</v>
      </c>
      <c r="AS7" s="100">
        <v>13402.8</v>
      </c>
      <c r="AT7" s="100">
        <v>22</v>
      </c>
      <c r="AU7" s="100">
        <v>17344.8</v>
      </c>
      <c r="AV7" s="100">
        <v>17</v>
      </c>
      <c r="AW7" s="100">
        <v>13402.8</v>
      </c>
      <c r="AX7" s="100">
        <v>18</v>
      </c>
      <c r="AY7" s="100">
        <v>14191.199999999999</v>
      </c>
      <c r="AZ7" s="100">
        <v>22</v>
      </c>
      <c r="BA7" s="100">
        <v>17344.8</v>
      </c>
      <c r="BB7" s="100">
        <v>20</v>
      </c>
      <c r="BC7" s="100">
        <v>15768</v>
      </c>
      <c r="BD7" s="100">
        <v>27</v>
      </c>
      <c r="BE7" s="100">
        <v>21286.799999999999</v>
      </c>
      <c r="BF7" s="100">
        <v>20</v>
      </c>
      <c r="BG7" s="100">
        <v>15768</v>
      </c>
      <c r="BH7" s="100">
        <v>27</v>
      </c>
      <c r="BI7" s="100">
        <v>21286.799999999999</v>
      </c>
      <c r="BJ7" s="100">
        <v>19</v>
      </c>
      <c r="BK7" s="100">
        <v>14979.6</v>
      </c>
      <c r="BL7" s="100">
        <v>27</v>
      </c>
      <c r="BM7" s="100">
        <v>21286.799999999999</v>
      </c>
      <c r="BN7" s="100">
        <v>20</v>
      </c>
      <c r="BO7" s="100">
        <v>15768</v>
      </c>
      <c r="BP7" s="100">
        <v>16</v>
      </c>
      <c r="BQ7" s="100">
        <v>12614.4</v>
      </c>
      <c r="BR7" s="100">
        <v>18</v>
      </c>
      <c r="BS7" s="100">
        <v>14191.199999999999</v>
      </c>
      <c r="BT7" s="100">
        <v>14</v>
      </c>
      <c r="BU7" s="100">
        <v>11037.6</v>
      </c>
      <c r="BV7" s="100">
        <v>21</v>
      </c>
      <c r="BW7" s="100">
        <v>16556.399999999998</v>
      </c>
      <c r="BX7" s="100">
        <v>22</v>
      </c>
      <c r="BY7" s="100">
        <v>17344.8</v>
      </c>
      <c r="BZ7" s="100">
        <v>27</v>
      </c>
      <c r="CA7" s="100">
        <v>21286.799999999999</v>
      </c>
      <c r="CB7" s="100">
        <v>25</v>
      </c>
      <c r="CC7" s="100">
        <v>19710</v>
      </c>
      <c r="CD7" s="100">
        <v>28</v>
      </c>
      <c r="CE7" s="100">
        <v>22075.200000000001</v>
      </c>
      <c r="CF7" s="100">
        <v>27</v>
      </c>
      <c r="CG7" s="100">
        <v>21286.799999999999</v>
      </c>
      <c r="CH7" s="100">
        <v>22</v>
      </c>
      <c r="CI7" s="100">
        <v>17344.8</v>
      </c>
      <c r="CJ7" s="100">
        <v>30</v>
      </c>
      <c r="CK7" s="100">
        <v>23652</v>
      </c>
      <c r="CL7" s="100">
        <v>15</v>
      </c>
      <c r="CM7" s="100">
        <v>11826</v>
      </c>
      <c r="CN7" s="100">
        <v>16</v>
      </c>
      <c r="CO7" s="100">
        <v>12614.4</v>
      </c>
      <c r="CP7" s="100">
        <v>14</v>
      </c>
      <c r="CQ7" s="100">
        <v>11037.6</v>
      </c>
      <c r="CR7" s="100">
        <v>22</v>
      </c>
      <c r="CS7" s="100">
        <v>17344.8</v>
      </c>
      <c r="CT7" s="100">
        <v>23</v>
      </c>
      <c r="CU7" s="100">
        <v>18133.2</v>
      </c>
    </row>
    <row r="8" spans="1:99">
      <c r="C8" s="99" t="s">
        <v>174</v>
      </c>
      <c r="D8" s="100">
        <v>13</v>
      </c>
      <c r="E8" s="100">
        <v>4024.7999999999997</v>
      </c>
      <c r="F8" s="100">
        <v>20</v>
      </c>
      <c r="G8" s="100">
        <v>6191.9999999999991</v>
      </c>
      <c r="H8" s="100">
        <v>25</v>
      </c>
      <c r="I8" s="100">
        <v>7739.9999999999991</v>
      </c>
      <c r="J8" s="100">
        <v>23</v>
      </c>
      <c r="K8" s="100">
        <v>7120.7999999999993</v>
      </c>
      <c r="L8" s="100">
        <v>20</v>
      </c>
      <c r="M8" s="100">
        <v>6191.9999999999991</v>
      </c>
      <c r="N8" s="100">
        <v>21</v>
      </c>
      <c r="O8" s="100">
        <v>6501.5999999999995</v>
      </c>
      <c r="P8" s="100">
        <v>22</v>
      </c>
      <c r="Q8" s="100">
        <v>6811.1999999999989</v>
      </c>
      <c r="R8" s="100">
        <v>22.940039420507766</v>
      </c>
      <c r="S8" s="100">
        <v>7102.2362045892032</v>
      </c>
      <c r="T8" s="100">
        <v>20.295560182880415</v>
      </c>
      <c r="U8" s="100">
        <v>6283.505432619776</v>
      </c>
      <c r="V8" s="100">
        <v>14.510079916593138</v>
      </c>
      <c r="W8" s="100">
        <v>4492.3207421772349</v>
      </c>
      <c r="X8" s="100">
        <v>23</v>
      </c>
      <c r="Y8" s="100">
        <v>7120.7999999999993</v>
      </c>
      <c r="Z8" s="100">
        <v>23</v>
      </c>
      <c r="AA8" s="100">
        <v>7120.7999999999993</v>
      </c>
      <c r="AB8" s="100">
        <v>18.869132450140135</v>
      </c>
      <c r="AC8" s="100">
        <v>5841.8834065633855</v>
      </c>
      <c r="AD8" s="100">
        <v>26</v>
      </c>
      <c r="AE8" s="100">
        <v>8049.5999999999995</v>
      </c>
      <c r="AF8" s="100">
        <v>18</v>
      </c>
      <c r="AG8" s="100">
        <v>5572.7999999999993</v>
      </c>
      <c r="AH8" s="100">
        <v>22</v>
      </c>
      <c r="AI8" s="100">
        <v>6811.1999999999989</v>
      </c>
      <c r="AJ8" s="100">
        <v>21</v>
      </c>
      <c r="AK8" s="100">
        <v>6501.5999999999995</v>
      </c>
      <c r="AL8" s="100">
        <v>18</v>
      </c>
      <c r="AM8" s="100">
        <v>5572.7999999999993</v>
      </c>
      <c r="AN8" s="100">
        <v>16</v>
      </c>
      <c r="AO8" s="100">
        <v>4953.5999999999995</v>
      </c>
      <c r="AP8" s="100">
        <v>14</v>
      </c>
      <c r="AQ8" s="100">
        <v>4334.3999999999996</v>
      </c>
      <c r="AR8" s="100">
        <v>20</v>
      </c>
      <c r="AS8" s="100">
        <v>6191.9999999999991</v>
      </c>
      <c r="AT8" s="100">
        <v>27</v>
      </c>
      <c r="AU8" s="100">
        <v>8359.1999999999989</v>
      </c>
      <c r="AV8" s="100">
        <v>18</v>
      </c>
      <c r="AW8" s="100">
        <v>5572.7999999999993</v>
      </c>
      <c r="AX8" s="100">
        <v>19</v>
      </c>
      <c r="AY8" s="100">
        <v>5882.4</v>
      </c>
      <c r="AZ8" s="100">
        <v>24</v>
      </c>
      <c r="BA8" s="100">
        <v>7430.4</v>
      </c>
      <c r="BB8" s="100">
        <v>23</v>
      </c>
      <c r="BC8" s="100">
        <v>7120.7999999999993</v>
      </c>
      <c r="BD8" s="100">
        <v>32</v>
      </c>
      <c r="BE8" s="100">
        <v>9907.1999999999989</v>
      </c>
      <c r="BF8" s="100">
        <v>20</v>
      </c>
      <c r="BG8" s="100">
        <v>6191.9999999999991</v>
      </c>
      <c r="BH8" s="100">
        <v>29</v>
      </c>
      <c r="BI8" s="100">
        <v>8978.4</v>
      </c>
      <c r="BJ8" s="100">
        <v>21</v>
      </c>
      <c r="BK8" s="100">
        <v>6501.5999999999995</v>
      </c>
      <c r="BL8" s="100">
        <v>30</v>
      </c>
      <c r="BM8" s="100">
        <v>9287.9999999999982</v>
      </c>
      <c r="BN8" s="100">
        <v>23</v>
      </c>
      <c r="BO8" s="100">
        <v>7120.7999999999993</v>
      </c>
      <c r="BP8" s="100">
        <v>17</v>
      </c>
      <c r="BQ8" s="100">
        <v>5263.2</v>
      </c>
      <c r="BR8" s="100">
        <v>18</v>
      </c>
      <c r="BS8" s="100">
        <v>5572.7999999999993</v>
      </c>
      <c r="BT8" s="100">
        <v>16</v>
      </c>
      <c r="BU8" s="100">
        <v>4953.5999999999995</v>
      </c>
      <c r="BV8" s="100">
        <v>25</v>
      </c>
      <c r="BW8" s="100">
        <v>7739.9999999999991</v>
      </c>
      <c r="BX8" s="100">
        <v>20</v>
      </c>
      <c r="BY8" s="100">
        <v>6191.9999999999991</v>
      </c>
      <c r="BZ8" s="100">
        <v>25</v>
      </c>
      <c r="CA8" s="100">
        <v>7739.9999999999991</v>
      </c>
      <c r="CB8" s="100">
        <v>28</v>
      </c>
      <c r="CC8" s="100">
        <v>8668.7999999999993</v>
      </c>
      <c r="CD8" s="100">
        <v>32</v>
      </c>
      <c r="CE8" s="100">
        <v>9907.1999999999989</v>
      </c>
      <c r="CF8" s="100">
        <v>25</v>
      </c>
      <c r="CG8" s="100">
        <v>7739.9999999999991</v>
      </c>
      <c r="CH8" s="100">
        <v>25</v>
      </c>
      <c r="CI8" s="100">
        <v>7739.9999999999991</v>
      </c>
      <c r="CJ8" s="100">
        <v>29</v>
      </c>
      <c r="CK8" s="100">
        <v>8978.4</v>
      </c>
      <c r="CL8" s="100">
        <v>17</v>
      </c>
      <c r="CM8" s="100">
        <v>5263.2</v>
      </c>
      <c r="CN8" s="100">
        <v>17</v>
      </c>
      <c r="CO8" s="100">
        <v>5263.2</v>
      </c>
      <c r="CP8" s="100">
        <v>16</v>
      </c>
      <c r="CQ8" s="100">
        <v>4953.5999999999995</v>
      </c>
      <c r="CR8" s="100">
        <v>24</v>
      </c>
      <c r="CS8" s="100">
        <v>7430.4</v>
      </c>
      <c r="CT8" s="100">
        <v>23</v>
      </c>
      <c r="CU8" s="100">
        <v>7120.7999999999993</v>
      </c>
    </row>
    <row r="9" spans="1:99">
      <c r="C9" s="99" t="s">
        <v>175</v>
      </c>
      <c r="D9" s="100">
        <v>13</v>
      </c>
      <c r="E9" s="100">
        <v>9126</v>
      </c>
      <c r="F9" s="100">
        <v>19</v>
      </c>
      <c r="G9" s="100">
        <v>13338</v>
      </c>
      <c r="H9" s="100">
        <v>22</v>
      </c>
      <c r="I9" s="100">
        <v>15444</v>
      </c>
      <c r="J9" s="100">
        <v>22</v>
      </c>
      <c r="K9" s="100">
        <v>15444</v>
      </c>
      <c r="L9" s="100">
        <v>17</v>
      </c>
      <c r="M9" s="100">
        <v>11934</v>
      </c>
      <c r="N9" s="100">
        <v>19</v>
      </c>
      <c r="O9" s="100">
        <v>13338</v>
      </c>
      <c r="P9" s="100">
        <v>22</v>
      </c>
      <c r="Q9" s="100">
        <v>15444</v>
      </c>
      <c r="R9" s="100">
        <v>21.942646402224824</v>
      </c>
      <c r="S9" s="100">
        <v>15403.737774361827</v>
      </c>
      <c r="T9" s="100">
        <v>19.329104936076583</v>
      </c>
      <c r="U9" s="100">
        <v>13569.031665125762</v>
      </c>
      <c r="V9" s="100">
        <v>13.542741255486931</v>
      </c>
      <c r="W9" s="100">
        <v>9507.0043613518246</v>
      </c>
      <c r="X9" s="100">
        <v>24</v>
      </c>
      <c r="Y9" s="100">
        <v>16848</v>
      </c>
      <c r="Z9" s="100">
        <v>23</v>
      </c>
      <c r="AA9" s="100">
        <v>16146</v>
      </c>
      <c r="AB9" s="100">
        <v>16.982219205126121</v>
      </c>
      <c r="AC9" s="100">
        <v>11921.517881998538</v>
      </c>
      <c r="AD9" s="100">
        <v>21</v>
      </c>
      <c r="AE9" s="100">
        <v>14742</v>
      </c>
      <c r="AF9" s="100">
        <v>15</v>
      </c>
      <c r="AG9" s="100">
        <v>10530</v>
      </c>
      <c r="AH9" s="100">
        <v>19</v>
      </c>
      <c r="AI9" s="100">
        <v>13338</v>
      </c>
      <c r="AJ9" s="100">
        <v>19</v>
      </c>
      <c r="AK9" s="100">
        <v>13338</v>
      </c>
      <c r="AL9" s="100">
        <v>18</v>
      </c>
      <c r="AM9" s="100">
        <v>12636</v>
      </c>
      <c r="AN9" s="100">
        <v>14</v>
      </c>
      <c r="AO9" s="100">
        <v>9828</v>
      </c>
      <c r="AP9" s="100">
        <v>14</v>
      </c>
      <c r="AQ9" s="100">
        <v>9828</v>
      </c>
      <c r="AR9" s="100">
        <v>19</v>
      </c>
      <c r="AS9" s="100">
        <v>13338</v>
      </c>
      <c r="AT9" s="100">
        <v>24</v>
      </c>
      <c r="AU9" s="100">
        <v>16848</v>
      </c>
      <c r="AV9" s="100">
        <v>17</v>
      </c>
      <c r="AW9" s="100">
        <v>11934</v>
      </c>
      <c r="AX9" s="100">
        <v>17</v>
      </c>
      <c r="AY9" s="100">
        <v>11934</v>
      </c>
      <c r="AZ9" s="100">
        <v>21</v>
      </c>
      <c r="BA9" s="100">
        <v>14742</v>
      </c>
      <c r="BB9" s="100">
        <v>19</v>
      </c>
      <c r="BC9" s="100">
        <v>13338</v>
      </c>
      <c r="BD9" s="100">
        <v>30</v>
      </c>
      <c r="BE9" s="100">
        <v>21060</v>
      </c>
      <c r="BF9" s="100">
        <v>22</v>
      </c>
      <c r="BG9" s="100">
        <v>15444</v>
      </c>
      <c r="BH9" s="100">
        <v>26</v>
      </c>
      <c r="BI9" s="100">
        <v>18252</v>
      </c>
      <c r="BJ9" s="100">
        <v>20</v>
      </c>
      <c r="BK9" s="100">
        <v>14040</v>
      </c>
      <c r="BL9" s="100">
        <v>28</v>
      </c>
      <c r="BM9" s="100">
        <v>19656</v>
      </c>
      <c r="BN9" s="100">
        <v>21</v>
      </c>
      <c r="BO9" s="100">
        <v>14742</v>
      </c>
      <c r="BP9" s="100">
        <v>16</v>
      </c>
      <c r="BQ9" s="100">
        <v>11232</v>
      </c>
      <c r="BR9" s="100">
        <v>18</v>
      </c>
      <c r="BS9" s="100">
        <v>12636</v>
      </c>
      <c r="BT9" s="100">
        <v>17</v>
      </c>
      <c r="BU9" s="100">
        <v>11934</v>
      </c>
      <c r="BV9" s="100">
        <v>22</v>
      </c>
      <c r="BW9" s="100">
        <v>15444</v>
      </c>
      <c r="BX9" s="100">
        <v>22</v>
      </c>
      <c r="BY9" s="100">
        <v>15444</v>
      </c>
      <c r="BZ9" s="100">
        <v>26</v>
      </c>
      <c r="CA9" s="100">
        <v>18252</v>
      </c>
      <c r="CB9" s="100">
        <v>24</v>
      </c>
      <c r="CC9" s="100">
        <v>16848</v>
      </c>
      <c r="CD9" s="100">
        <v>28</v>
      </c>
      <c r="CE9" s="100">
        <v>19656</v>
      </c>
      <c r="CF9" s="100">
        <v>25</v>
      </c>
      <c r="CG9" s="100">
        <v>17550</v>
      </c>
      <c r="CH9" s="100">
        <v>22</v>
      </c>
      <c r="CI9" s="100">
        <v>15444</v>
      </c>
      <c r="CJ9" s="100">
        <v>30</v>
      </c>
      <c r="CK9" s="100">
        <v>21060</v>
      </c>
      <c r="CL9" s="100">
        <v>16</v>
      </c>
      <c r="CM9" s="100">
        <v>11232</v>
      </c>
      <c r="CN9" s="100">
        <v>16</v>
      </c>
      <c r="CO9" s="100">
        <v>11232</v>
      </c>
      <c r="CP9" s="100">
        <v>15</v>
      </c>
      <c r="CQ9" s="100">
        <v>10530</v>
      </c>
      <c r="CR9" s="100">
        <v>25</v>
      </c>
      <c r="CS9" s="100">
        <v>17550</v>
      </c>
      <c r="CT9" s="100">
        <v>20</v>
      </c>
      <c r="CU9" s="100">
        <v>14040</v>
      </c>
    </row>
    <row r="10" spans="1:99">
      <c r="C10" s="99" t="s">
        <v>176</v>
      </c>
      <c r="D10" s="100">
        <v>12</v>
      </c>
      <c r="E10" s="100">
        <v>6537.5999999999995</v>
      </c>
      <c r="F10" s="100">
        <v>18</v>
      </c>
      <c r="G10" s="100">
        <v>9806.4</v>
      </c>
      <c r="H10" s="100">
        <v>26</v>
      </c>
      <c r="I10" s="100">
        <v>14164.8</v>
      </c>
      <c r="J10" s="100">
        <v>20</v>
      </c>
      <c r="K10" s="100">
        <v>10896</v>
      </c>
      <c r="L10" s="100">
        <v>18</v>
      </c>
      <c r="M10" s="100">
        <v>9806.4</v>
      </c>
      <c r="N10" s="100">
        <v>19</v>
      </c>
      <c r="O10" s="100">
        <v>10351.199999999999</v>
      </c>
      <c r="P10" s="100">
        <v>19</v>
      </c>
      <c r="Q10" s="100">
        <v>10351.199999999999</v>
      </c>
      <c r="R10" s="100">
        <v>20.945253383941875</v>
      </c>
      <c r="S10" s="100">
        <v>11410.974043571532</v>
      </c>
      <c r="T10" s="100">
        <v>21.26201542968424</v>
      </c>
      <c r="U10" s="100">
        <v>11583.546006091972</v>
      </c>
      <c r="V10" s="100">
        <v>13.542741255486931</v>
      </c>
      <c r="W10" s="100">
        <v>7378.0854359892792</v>
      </c>
      <c r="X10" s="100">
        <v>23</v>
      </c>
      <c r="Y10" s="100">
        <v>12530.4</v>
      </c>
      <c r="Z10" s="100">
        <v>26</v>
      </c>
      <c r="AA10" s="100">
        <v>14164.8</v>
      </c>
      <c r="AB10" s="100">
        <v>16.982219205126121</v>
      </c>
      <c r="AC10" s="100">
        <v>9251.9130229527109</v>
      </c>
      <c r="AD10" s="100">
        <v>24</v>
      </c>
      <c r="AE10" s="100">
        <v>13075.199999999999</v>
      </c>
      <c r="AF10" s="100">
        <v>16</v>
      </c>
      <c r="AG10" s="100">
        <v>8716.7999999999993</v>
      </c>
      <c r="AH10" s="100">
        <v>22</v>
      </c>
      <c r="AI10" s="100">
        <v>11985.599999999999</v>
      </c>
      <c r="AJ10" s="100">
        <v>18</v>
      </c>
      <c r="AK10" s="100">
        <v>9806.4</v>
      </c>
      <c r="AL10" s="100">
        <v>19</v>
      </c>
      <c r="AM10" s="100">
        <v>10351.199999999999</v>
      </c>
      <c r="AN10" s="100">
        <v>16</v>
      </c>
      <c r="AO10" s="100">
        <v>8716.7999999999993</v>
      </c>
      <c r="AP10" s="100">
        <v>13</v>
      </c>
      <c r="AQ10" s="100">
        <v>7082.4</v>
      </c>
      <c r="AR10" s="100">
        <v>19</v>
      </c>
      <c r="AS10" s="100">
        <v>10351.199999999999</v>
      </c>
      <c r="AT10" s="100">
        <v>23</v>
      </c>
      <c r="AU10" s="100">
        <v>12530.4</v>
      </c>
      <c r="AV10" s="100">
        <v>15</v>
      </c>
      <c r="AW10" s="100">
        <v>8171.9999999999991</v>
      </c>
      <c r="AX10" s="100">
        <v>19</v>
      </c>
      <c r="AY10" s="100">
        <v>10351.199999999999</v>
      </c>
      <c r="AZ10" s="100">
        <v>21</v>
      </c>
      <c r="BA10" s="100">
        <v>11440.8</v>
      </c>
      <c r="BB10" s="100">
        <v>21</v>
      </c>
      <c r="BC10" s="100">
        <v>11440.8</v>
      </c>
      <c r="BD10" s="100">
        <v>30</v>
      </c>
      <c r="BE10" s="100">
        <v>16343.999999999998</v>
      </c>
      <c r="BF10" s="100">
        <v>20</v>
      </c>
      <c r="BG10" s="100">
        <v>10896</v>
      </c>
      <c r="BH10" s="100">
        <v>31</v>
      </c>
      <c r="BI10" s="100">
        <v>16888.8</v>
      </c>
      <c r="BJ10" s="100">
        <v>22</v>
      </c>
      <c r="BK10" s="100">
        <v>11985.599999999999</v>
      </c>
      <c r="BL10" s="100">
        <v>25</v>
      </c>
      <c r="BM10" s="100">
        <v>13619.999999999998</v>
      </c>
      <c r="BN10" s="100">
        <v>20</v>
      </c>
      <c r="BO10" s="100">
        <v>10896</v>
      </c>
      <c r="BP10" s="100">
        <v>16</v>
      </c>
      <c r="BQ10" s="100">
        <v>8716.7999999999993</v>
      </c>
      <c r="BR10" s="100">
        <v>16</v>
      </c>
      <c r="BS10" s="100">
        <v>8716.7999999999993</v>
      </c>
      <c r="BT10" s="100">
        <v>17</v>
      </c>
      <c r="BU10" s="100">
        <v>9261.5999999999985</v>
      </c>
      <c r="BV10" s="100">
        <v>25</v>
      </c>
      <c r="BW10" s="100">
        <v>13619.999999999998</v>
      </c>
      <c r="BX10" s="100">
        <v>21</v>
      </c>
      <c r="BY10" s="100">
        <v>11440.8</v>
      </c>
      <c r="BZ10" s="100">
        <v>24</v>
      </c>
      <c r="CA10" s="100">
        <v>13075.199999999999</v>
      </c>
      <c r="CB10" s="100">
        <v>27</v>
      </c>
      <c r="CC10" s="100">
        <v>14709.599999999999</v>
      </c>
      <c r="CD10" s="100">
        <v>30</v>
      </c>
      <c r="CE10" s="100">
        <v>16343.999999999998</v>
      </c>
      <c r="CF10" s="100">
        <v>27</v>
      </c>
      <c r="CG10" s="100">
        <v>14709.599999999999</v>
      </c>
      <c r="CH10" s="100">
        <v>23</v>
      </c>
      <c r="CI10" s="100">
        <v>12530.4</v>
      </c>
      <c r="CJ10" s="100">
        <v>29</v>
      </c>
      <c r="CK10" s="100">
        <v>15799.199999999999</v>
      </c>
      <c r="CL10" s="100">
        <v>17</v>
      </c>
      <c r="CM10" s="100">
        <v>9261.5999999999985</v>
      </c>
      <c r="CN10" s="100">
        <v>16</v>
      </c>
      <c r="CO10" s="100">
        <v>8716.7999999999993</v>
      </c>
      <c r="CP10" s="100">
        <v>17</v>
      </c>
      <c r="CQ10" s="100">
        <v>9261.5999999999985</v>
      </c>
      <c r="CR10" s="100">
        <v>24</v>
      </c>
      <c r="CS10" s="100">
        <v>13075.199999999999</v>
      </c>
      <c r="CT10" s="100">
        <v>21</v>
      </c>
      <c r="CU10" s="100">
        <v>11440.8</v>
      </c>
    </row>
    <row r="11" spans="1:99">
      <c r="C11" s="99" t="s">
        <v>177</v>
      </c>
      <c r="D11" s="100">
        <v>12</v>
      </c>
      <c r="E11" s="100">
        <v>6393.5999999999995</v>
      </c>
      <c r="F11" s="100">
        <v>18</v>
      </c>
      <c r="G11" s="100">
        <v>9590.4</v>
      </c>
      <c r="H11" s="100">
        <v>26</v>
      </c>
      <c r="I11" s="100">
        <v>13852.8</v>
      </c>
      <c r="J11" s="100">
        <v>20</v>
      </c>
      <c r="K11" s="100">
        <v>10656</v>
      </c>
      <c r="L11" s="100">
        <v>17</v>
      </c>
      <c r="M11" s="100">
        <v>9057.5999999999985</v>
      </c>
      <c r="N11" s="100">
        <v>21</v>
      </c>
      <c r="O11" s="100">
        <v>11188.8</v>
      </c>
      <c r="P11" s="100">
        <v>21</v>
      </c>
      <c r="Q11" s="100">
        <v>11188.8</v>
      </c>
      <c r="R11" s="100">
        <v>19.947860365658929</v>
      </c>
      <c r="S11" s="100">
        <v>10628.220002823076</v>
      </c>
      <c r="T11" s="100">
        <v>19.329104936076583</v>
      </c>
      <c r="U11" s="100">
        <v>10298.547109941603</v>
      </c>
      <c r="V11" s="100">
        <v>13.542741255486931</v>
      </c>
      <c r="W11" s="100">
        <v>7215.5725409234365</v>
      </c>
      <c r="X11" s="100">
        <v>23</v>
      </c>
      <c r="Y11" s="100">
        <v>12254.4</v>
      </c>
      <c r="Z11" s="100">
        <v>22</v>
      </c>
      <c r="AA11" s="100">
        <v>11721.599999999999</v>
      </c>
      <c r="AB11" s="100">
        <v>20.75604569515415</v>
      </c>
      <c r="AC11" s="100">
        <v>11058.82114637813</v>
      </c>
      <c r="AD11" s="100">
        <v>24</v>
      </c>
      <c r="AE11" s="100">
        <v>12787.199999999999</v>
      </c>
      <c r="AF11" s="100">
        <v>15</v>
      </c>
      <c r="AG11" s="100">
        <v>7991.9999999999991</v>
      </c>
      <c r="AH11" s="100">
        <v>23</v>
      </c>
      <c r="AI11" s="100">
        <v>12254.4</v>
      </c>
      <c r="AJ11" s="100">
        <v>20</v>
      </c>
      <c r="AK11" s="100">
        <v>10656</v>
      </c>
      <c r="AL11" s="100">
        <v>19</v>
      </c>
      <c r="AM11" s="100">
        <v>10123.199999999999</v>
      </c>
      <c r="AN11" s="100">
        <v>14</v>
      </c>
      <c r="AO11" s="100">
        <v>7459.1999999999989</v>
      </c>
      <c r="AP11" s="100">
        <v>14</v>
      </c>
      <c r="AQ11" s="100">
        <v>7459.1999999999989</v>
      </c>
      <c r="AR11" s="100">
        <v>18</v>
      </c>
      <c r="AS11" s="100">
        <v>9590.4</v>
      </c>
      <c r="AT11" s="100">
        <v>26</v>
      </c>
      <c r="AU11" s="100">
        <v>13852.8</v>
      </c>
      <c r="AV11" s="100">
        <v>15</v>
      </c>
      <c r="AW11" s="100">
        <v>7991.9999999999991</v>
      </c>
      <c r="AX11" s="100">
        <v>18</v>
      </c>
      <c r="AY11" s="100">
        <v>9590.4</v>
      </c>
      <c r="AZ11" s="100">
        <v>20</v>
      </c>
      <c r="BA11" s="100">
        <v>10656</v>
      </c>
      <c r="BB11" s="100">
        <v>21</v>
      </c>
      <c r="BC11" s="100">
        <v>11188.8</v>
      </c>
      <c r="BD11" s="100">
        <v>28</v>
      </c>
      <c r="BE11" s="100">
        <v>14918.399999999998</v>
      </c>
      <c r="BF11" s="100">
        <v>21</v>
      </c>
      <c r="BG11" s="100">
        <v>11188.8</v>
      </c>
      <c r="BH11" s="100">
        <v>28</v>
      </c>
      <c r="BI11" s="100">
        <v>14918.399999999998</v>
      </c>
      <c r="BJ11" s="100">
        <v>21</v>
      </c>
      <c r="BK11" s="100">
        <v>11188.8</v>
      </c>
      <c r="BL11" s="100">
        <v>28</v>
      </c>
      <c r="BM11" s="100">
        <v>14918.399999999998</v>
      </c>
      <c r="BN11" s="100">
        <v>19</v>
      </c>
      <c r="BO11" s="100">
        <v>10123.199999999999</v>
      </c>
      <c r="BP11" s="100">
        <v>16</v>
      </c>
      <c r="BQ11" s="100">
        <v>8524.7999999999993</v>
      </c>
      <c r="BR11" s="100">
        <v>18</v>
      </c>
      <c r="BS11" s="100">
        <v>9590.4</v>
      </c>
      <c r="BT11" s="100">
        <v>16</v>
      </c>
      <c r="BU11" s="100">
        <v>8524.7999999999993</v>
      </c>
      <c r="BV11" s="100">
        <v>21</v>
      </c>
      <c r="BW11" s="100">
        <v>11188.8</v>
      </c>
      <c r="BX11" s="100">
        <v>22</v>
      </c>
      <c r="BY11" s="100">
        <v>11721.599999999999</v>
      </c>
      <c r="BZ11" s="100">
        <v>28</v>
      </c>
      <c r="CA11" s="100">
        <v>14918.399999999998</v>
      </c>
      <c r="CB11" s="100">
        <v>30</v>
      </c>
      <c r="CC11" s="100">
        <v>15983.999999999998</v>
      </c>
      <c r="CD11" s="100">
        <v>31</v>
      </c>
      <c r="CE11" s="100">
        <v>16516.8</v>
      </c>
      <c r="CF11" s="100">
        <v>26</v>
      </c>
      <c r="CG11" s="100">
        <v>13852.8</v>
      </c>
      <c r="CH11" s="100">
        <v>27</v>
      </c>
      <c r="CI11" s="100">
        <v>14385.599999999999</v>
      </c>
      <c r="CJ11" s="100">
        <v>29</v>
      </c>
      <c r="CK11" s="100">
        <v>15451.199999999999</v>
      </c>
      <c r="CL11" s="100">
        <v>16</v>
      </c>
      <c r="CM11" s="100">
        <v>8524.7999999999993</v>
      </c>
      <c r="CN11" s="100">
        <v>16</v>
      </c>
      <c r="CO11" s="100">
        <v>8524.7999999999993</v>
      </c>
      <c r="CP11" s="100">
        <v>15</v>
      </c>
      <c r="CQ11" s="100">
        <v>7991.9999999999991</v>
      </c>
      <c r="CR11" s="100">
        <v>23</v>
      </c>
      <c r="CS11" s="100">
        <v>12254.4</v>
      </c>
      <c r="CT11" s="100">
        <v>21</v>
      </c>
      <c r="CU11" s="100">
        <v>11188.8</v>
      </c>
    </row>
    <row r="12" spans="1:99">
      <c r="C12" s="99" t="s">
        <v>178</v>
      </c>
      <c r="D12" s="100">
        <v>13</v>
      </c>
      <c r="E12" s="100">
        <v>7316.4</v>
      </c>
      <c r="F12" s="100">
        <v>21</v>
      </c>
      <c r="G12" s="100">
        <v>11818.8</v>
      </c>
      <c r="H12" s="100">
        <v>23</v>
      </c>
      <c r="I12" s="100">
        <v>12944.4</v>
      </c>
      <c r="J12" s="100">
        <v>20</v>
      </c>
      <c r="K12" s="100">
        <v>11256</v>
      </c>
      <c r="L12" s="100">
        <v>18</v>
      </c>
      <c r="M12" s="100">
        <v>10130.4</v>
      </c>
      <c r="N12" s="100">
        <v>17</v>
      </c>
      <c r="O12" s="100">
        <v>9567.5999999999985</v>
      </c>
      <c r="P12" s="100">
        <v>22</v>
      </c>
      <c r="Q12" s="100">
        <v>12381.599999999999</v>
      </c>
      <c r="R12" s="100">
        <v>20.945253383941875</v>
      </c>
      <c r="S12" s="100">
        <v>11787.988604482487</v>
      </c>
      <c r="T12" s="100">
        <v>18.362649689272754</v>
      </c>
      <c r="U12" s="100">
        <v>10334.499245122704</v>
      </c>
      <c r="V12" s="100">
        <v>12.575402594380721</v>
      </c>
      <c r="W12" s="100">
        <v>7077.436580117469</v>
      </c>
      <c r="X12" s="100">
        <v>21</v>
      </c>
      <c r="Y12" s="100">
        <v>11818.8</v>
      </c>
      <c r="Z12" s="100">
        <v>22</v>
      </c>
      <c r="AA12" s="100">
        <v>12381.599999999999</v>
      </c>
      <c r="AB12" s="100">
        <v>17.925675827633128</v>
      </c>
      <c r="AC12" s="100">
        <v>10088.570355791924</v>
      </c>
      <c r="AD12" s="100">
        <v>25</v>
      </c>
      <c r="AE12" s="100">
        <v>14069.999999999998</v>
      </c>
      <c r="AF12" s="100">
        <v>15</v>
      </c>
      <c r="AG12" s="100">
        <v>8442</v>
      </c>
      <c r="AH12" s="100">
        <v>21</v>
      </c>
      <c r="AI12" s="100">
        <v>11818.8</v>
      </c>
      <c r="AJ12" s="100">
        <v>18</v>
      </c>
      <c r="AK12" s="100">
        <v>10130.4</v>
      </c>
      <c r="AL12" s="100">
        <v>17</v>
      </c>
      <c r="AM12" s="100">
        <v>9567.5999999999985</v>
      </c>
      <c r="AN12" s="100">
        <v>14</v>
      </c>
      <c r="AO12" s="100">
        <v>7879.1999999999989</v>
      </c>
      <c r="AP12" s="100">
        <v>15</v>
      </c>
      <c r="AQ12" s="100">
        <v>8442</v>
      </c>
      <c r="AR12" s="100">
        <v>17</v>
      </c>
      <c r="AS12" s="100">
        <v>9567.5999999999985</v>
      </c>
      <c r="AT12" s="100">
        <v>24</v>
      </c>
      <c r="AU12" s="100">
        <v>13507.199999999999</v>
      </c>
      <c r="AV12" s="100">
        <v>17</v>
      </c>
      <c r="AW12" s="100">
        <v>9567.5999999999985</v>
      </c>
      <c r="AX12" s="100">
        <v>18</v>
      </c>
      <c r="AY12" s="100">
        <v>10130.4</v>
      </c>
      <c r="AZ12" s="100">
        <v>24</v>
      </c>
      <c r="BA12" s="100">
        <v>13507.199999999999</v>
      </c>
      <c r="BB12" s="100">
        <v>22</v>
      </c>
      <c r="BC12" s="100">
        <v>12381.599999999999</v>
      </c>
      <c r="BD12" s="100">
        <v>32</v>
      </c>
      <c r="BE12" s="100">
        <v>18009.599999999999</v>
      </c>
      <c r="BF12" s="100">
        <v>20</v>
      </c>
      <c r="BG12" s="100">
        <v>11256</v>
      </c>
      <c r="BH12" s="100">
        <v>30</v>
      </c>
      <c r="BI12" s="100">
        <v>16884</v>
      </c>
      <c r="BJ12" s="100">
        <v>20</v>
      </c>
      <c r="BK12" s="100">
        <v>11256</v>
      </c>
      <c r="BL12" s="100">
        <v>28</v>
      </c>
      <c r="BM12" s="100">
        <v>15758.399999999998</v>
      </c>
      <c r="BN12" s="100">
        <v>22</v>
      </c>
      <c r="BO12" s="100">
        <v>12381.599999999999</v>
      </c>
      <c r="BP12" s="100">
        <v>16</v>
      </c>
      <c r="BQ12" s="100">
        <v>9004.7999999999993</v>
      </c>
      <c r="BR12" s="100">
        <v>18</v>
      </c>
      <c r="BS12" s="100">
        <v>10130.4</v>
      </c>
      <c r="BT12" s="100">
        <v>16</v>
      </c>
      <c r="BU12" s="100">
        <v>9004.7999999999993</v>
      </c>
      <c r="BV12" s="100">
        <v>25</v>
      </c>
      <c r="BW12" s="100">
        <v>14069.999999999998</v>
      </c>
      <c r="BX12" s="100">
        <v>24</v>
      </c>
      <c r="BY12" s="100">
        <v>13507.199999999999</v>
      </c>
      <c r="BZ12" s="100">
        <v>26</v>
      </c>
      <c r="CA12" s="100">
        <v>14632.8</v>
      </c>
      <c r="CB12" s="100">
        <v>26</v>
      </c>
      <c r="CC12" s="100">
        <v>14632.8</v>
      </c>
      <c r="CD12" s="100">
        <v>29</v>
      </c>
      <c r="CE12" s="100">
        <v>16321.199999999999</v>
      </c>
      <c r="CF12" s="100">
        <v>24</v>
      </c>
      <c r="CG12" s="100">
        <v>13507.199999999999</v>
      </c>
      <c r="CH12" s="100">
        <v>26</v>
      </c>
      <c r="CI12" s="100">
        <v>14632.8</v>
      </c>
      <c r="CJ12" s="100">
        <v>28</v>
      </c>
      <c r="CK12" s="100">
        <v>15758.399999999998</v>
      </c>
      <c r="CL12" s="100">
        <v>16</v>
      </c>
      <c r="CM12" s="100">
        <v>9004.7999999999993</v>
      </c>
      <c r="CN12" s="100">
        <v>19</v>
      </c>
      <c r="CO12" s="100">
        <v>10693.199999999999</v>
      </c>
      <c r="CP12" s="100">
        <v>16</v>
      </c>
      <c r="CQ12" s="100">
        <v>9004.7999999999993</v>
      </c>
      <c r="CR12" s="100">
        <v>23</v>
      </c>
      <c r="CS12" s="100">
        <v>12944.4</v>
      </c>
      <c r="CT12" s="100">
        <v>22</v>
      </c>
      <c r="CU12" s="100">
        <v>12381.599999999999</v>
      </c>
    </row>
    <row r="13" spans="1:99">
      <c r="C13" s="99" t="s">
        <v>179</v>
      </c>
      <c r="D13" s="100">
        <v>15</v>
      </c>
      <c r="E13" s="100">
        <v>1278</v>
      </c>
      <c r="F13" s="100">
        <v>21</v>
      </c>
      <c r="G13" s="100">
        <v>1789.2</v>
      </c>
      <c r="H13" s="100">
        <v>28</v>
      </c>
      <c r="I13" s="100">
        <v>2385.6</v>
      </c>
      <c r="J13" s="100">
        <v>21</v>
      </c>
      <c r="K13" s="100">
        <v>1789.2</v>
      </c>
      <c r="L13" s="100">
        <v>21</v>
      </c>
      <c r="M13" s="100">
        <v>1789.2</v>
      </c>
      <c r="N13" s="100">
        <v>22</v>
      </c>
      <c r="O13" s="100">
        <v>1874.4</v>
      </c>
      <c r="P13" s="100">
        <v>21</v>
      </c>
      <c r="Q13" s="100">
        <v>1789.2</v>
      </c>
      <c r="R13" s="100">
        <v>21.942646402224824</v>
      </c>
      <c r="S13" s="100">
        <v>1869.513473469555</v>
      </c>
      <c r="T13" s="100">
        <v>21.26201542968424</v>
      </c>
      <c r="U13" s="100">
        <v>1811.5237146090974</v>
      </c>
      <c r="V13" s="100">
        <v>15.477418577699348</v>
      </c>
      <c r="W13" s="100">
        <v>1318.6760628199845</v>
      </c>
      <c r="X13" s="100">
        <v>25</v>
      </c>
      <c r="Y13" s="100">
        <v>2130</v>
      </c>
      <c r="Z13" s="100">
        <v>23</v>
      </c>
      <c r="AA13" s="100">
        <v>1959.6000000000001</v>
      </c>
      <c r="AB13" s="100">
        <v>20.75604569515415</v>
      </c>
      <c r="AC13" s="100">
        <v>1768.4150932271336</v>
      </c>
      <c r="AD13" s="100">
        <v>25</v>
      </c>
      <c r="AE13" s="100">
        <v>2130</v>
      </c>
      <c r="AF13" s="100">
        <v>17</v>
      </c>
      <c r="AG13" s="100">
        <v>1448.4</v>
      </c>
      <c r="AH13" s="100">
        <v>24</v>
      </c>
      <c r="AI13" s="100">
        <v>2044.8000000000002</v>
      </c>
      <c r="AJ13" s="100">
        <v>21</v>
      </c>
      <c r="AK13" s="100">
        <v>1789.2</v>
      </c>
      <c r="AL13" s="100">
        <v>20</v>
      </c>
      <c r="AM13" s="100">
        <v>1704</v>
      </c>
      <c r="AN13" s="100">
        <v>16</v>
      </c>
      <c r="AO13" s="100">
        <v>1363.2</v>
      </c>
      <c r="AP13" s="100">
        <v>15</v>
      </c>
      <c r="AQ13" s="100">
        <v>1278</v>
      </c>
      <c r="AR13" s="100">
        <v>18</v>
      </c>
      <c r="AS13" s="100">
        <v>1533.6000000000001</v>
      </c>
      <c r="AT13" s="100">
        <v>28</v>
      </c>
      <c r="AU13" s="100">
        <v>2385.6</v>
      </c>
      <c r="AV13" s="100">
        <v>17</v>
      </c>
      <c r="AW13" s="100">
        <v>1448.4</v>
      </c>
      <c r="AX13" s="100">
        <v>21</v>
      </c>
      <c r="AY13" s="100">
        <v>1789.2</v>
      </c>
      <c r="AZ13" s="100">
        <v>25</v>
      </c>
      <c r="BA13" s="100">
        <v>2130</v>
      </c>
      <c r="BB13" s="100">
        <v>24</v>
      </c>
      <c r="BC13" s="100">
        <v>2044.8000000000002</v>
      </c>
      <c r="BD13" s="100">
        <v>32</v>
      </c>
      <c r="BE13" s="100">
        <v>2726.4</v>
      </c>
      <c r="BF13" s="100">
        <v>24</v>
      </c>
      <c r="BG13" s="100">
        <v>2044.8000000000002</v>
      </c>
      <c r="BH13" s="100">
        <v>33</v>
      </c>
      <c r="BI13" s="100">
        <v>2811.6</v>
      </c>
      <c r="BJ13" s="100">
        <v>19</v>
      </c>
      <c r="BK13" s="100">
        <v>1618.8</v>
      </c>
      <c r="BL13" s="100">
        <v>30</v>
      </c>
      <c r="BM13" s="100">
        <v>2556</v>
      </c>
      <c r="BN13" s="100">
        <v>24</v>
      </c>
      <c r="BO13" s="100">
        <v>2044.8000000000002</v>
      </c>
      <c r="BP13" s="100">
        <v>18</v>
      </c>
      <c r="BQ13" s="100">
        <v>1533.6000000000001</v>
      </c>
      <c r="BR13" s="100">
        <v>19</v>
      </c>
      <c r="BS13" s="100">
        <v>1618.8</v>
      </c>
      <c r="BT13" s="100">
        <v>16</v>
      </c>
      <c r="BU13" s="100">
        <v>1363.2</v>
      </c>
      <c r="BV13" s="100">
        <v>26</v>
      </c>
      <c r="BW13" s="100">
        <v>2215.2000000000003</v>
      </c>
      <c r="BX13" s="100">
        <v>23</v>
      </c>
      <c r="BY13" s="100">
        <v>1959.6000000000001</v>
      </c>
      <c r="BZ13" s="100">
        <v>26</v>
      </c>
      <c r="CA13" s="100">
        <v>2215.2000000000003</v>
      </c>
      <c r="CB13" s="100">
        <v>32</v>
      </c>
      <c r="CC13" s="100">
        <v>2726.4</v>
      </c>
      <c r="CD13" s="100">
        <v>32</v>
      </c>
      <c r="CE13" s="100">
        <v>2726.4</v>
      </c>
      <c r="CF13" s="100">
        <v>26</v>
      </c>
      <c r="CG13" s="100">
        <v>2215.2000000000003</v>
      </c>
      <c r="CH13" s="100">
        <v>24</v>
      </c>
      <c r="CI13" s="100">
        <v>2044.8000000000002</v>
      </c>
      <c r="CJ13" s="100">
        <v>32</v>
      </c>
      <c r="CK13" s="100">
        <v>2726.4</v>
      </c>
      <c r="CL13" s="100">
        <v>17</v>
      </c>
      <c r="CM13" s="100">
        <v>1448.4</v>
      </c>
      <c r="CN13" s="100">
        <v>18</v>
      </c>
      <c r="CO13" s="100">
        <v>1533.6000000000001</v>
      </c>
      <c r="CP13" s="100">
        <v>19</v>
      </c>
      <c r="CQ13" s="100">
        <v>1618.8</v>
      </c>
      <c r="CR13" s="100">
        <v>25</v>
      </c>
      <c r="CS13" s="100">
        <v>2130</v>
      </c>
      <c r="CT13" s="100">
        <v>25</v>
      </c>
      <c r="CU13" s="100">
        <v>2130</v>
      </c>
    </row>
    <row r="14" spans="1:99">
      <c r="C14" s="99" t="s">
        <v>180</v>
      </c>
      <c r="D14" s="100">
        <v>12</v>
      </c>
      <c r="E14" s="100">
        <v>5860.7999999999993</v>
      </c>
      <c r="F14" s="100">
        <v>18</v>
      </c>
      <c r="G14" s="100">
        <v>8791.1999999999989</v>
      </c>
      <c r="H14" s="100">
        <v>25</v>
      </c>
      <c r="I14" s="100">
        <v>12210</v>
      </c>
      <c r="J14" s="100">
        <v>22</v>
      </c>
      <c r="K14" s="100">
        <v>10744.8</v>
      </c>
      <c r="L14" s="100">
        <v>19</v>
      </c>
      <c r="M14" s="100">
        <v>9279.6</v>
      </c>
      <c r="N14" s="100">
        <v>18</v>
      </c>
      <c r="O14" s="100">
        <v>8791.1999999999989</v>
      </c>
      <c r="P14" s="100">
        <v>19</v>
      </c>
      <c r="Q14" s="100">
        <v>9279.6</v>
      </c>
      <c r="R14" s="100">
        <v>21.942646402224824</v>
      </c>
      <c r="S14" s="100">
        <v>10716.788502846604</v>
      </c>
      <c r="T14" s="100">
        <v>21.26201542968424</v>
      </c>
      <c r="U14" s="100">
        <v>10384.368335857782</v>
      </c>
      <c r="V14" s="100">
        <v>12.575402594380721</v>
      </c>
      <c r="W14" s="100">
        <v>6141.8266270955437</v>
      </c>
      <c r="X14" s="100">
        <v>22</v>
      </c>
      <c r="Y14" s="100">
        <v>10744.8</v>
      </c>
      <c r="Z14" s="100">
        <v>24</v>
      </c>
      <c r="AA14" s="100">
        <v>11721.599999999999</v>
      </c>
      <c r="AB14" s="100">
        <v>18.869132450140135</v>
      </c>
      <c r="AC14" s="100">
        <v>9215.684288648441</v>
      </c>
      <c r="AD14" s="100">
        <v>25</v>
      </c>
      <c r="AE14" s="100">
        <v>12210</v>
      </c>
      <c r="AF14" s="100">
        <v>17</v>
      </c>
      <c r="AG14" s="100">
        <v>8302.7999999999993</v>
      </c>
      <c r="AH14" s="100">
        <v>22</v>
      </c>
      <c r="AI14" s="100">
        <v>10744.8</v>
      </c>
      <c r="AJ14" s="100">
        <v>20</v>
      </c>
      <c r="AK14" s="100">
        <v>9768</v>
      </c>
      <c r="AL14" s="100">
        <v>17</v>
      </c>
      <c r="AM14" s="100">
        <v>8302.7999999999993</v>
      </c>
      <c r="AN14" s="100">
        <v>15</v>
      </c>
      <c r="AO14" s="100">
        <v>7326</v>
      </c>
      <c r="AP14" s="100">
        <v>16</v>
      </c>
      <c r="AQ14" s="100">
        <v>7814.4</v>
      </c>
      <c r="AR14" s="100">
        <v>19</v>
      </c>
      <c r="AS14" s="100">
        <v>9279.6</v>
      </c>
      <c r="AT14" s="100">
        <v>27</v>
      </c>
      <c r="AU14" s="100">
        <v>13186.8</v>
      </c>
      <c r="AV14" s="100">
        <v>15</v>
      </c>
      <c r="AW14" s="100">
        <v>7326</v>
      </c>
      <c r="AX14" s="100">
        <v>17</v>
      </c>
      <c r="AY14" s="100">
        <v>8302.7999999999993</v>
      </c>
      <c r="AZ14" s="100">
        <v>24</v>
      </c>
      <c r="BA14" s="100">
        <v>11721.599999999999</v>
      </c>
      <c r="BB14" s="100">
        <v>20</v>
      </c>
      <c r="BC14" s="100">
        <v>9768</v>
      </c>
      <c r="BD14" s="100">
        <v>32</v>
      </c>
      <c r="BE14" s="100">
        <v>15628.8</v>
      </c>
      <c r="BF14" s="100">
        <v>22</v>
      </c>
      <c r="BG14" s="100">
        <v>10744.8</v>
      </c>
      <c r="BH14" s="100">
        <v>27</v>
      </c>
      <c r="BI14" s="100">
        <v>13186.8</v>
      </c>
      <c r="BJ14" s="100">
        <v>20</v>
      </c>
      <c r="BK14" s="100">
        <v>9768</v>
      </c>
      <c r="BL14" s="100">
        <v>25</v>
      </c>
      <c r="BM14" s="100">
        <v>12210</v>
      </c>
      <c r="BN14" s="100">
        <v>22</v>
      </c>
      <c r="BO14" s="100">
        <v>10744.8</v>
      </c>
      <c r="BP14" s="100">
        <v>14</v>
      </c>
      <c r="BQ14" s="100">
        <v>6837.5999999999995</v>
      </c>
      <c r="BR14" s="100">
        <v>17</v>
      </c>
      <c r="BS14" s="100">
        <v>8302.7999999999993</v>
      </c>
      <c r="BT14" s="100">
        <v>15</v>
      </c>
      <c r="BU14" s="100">
        <v>7326</v>
      </c>
      <c r="BV14" s="100">
        <v>23</v>
      </c>
      <c r="BW14" s="100">
        <v>11233.199999999999</v>
      </c>
      <c r="BX14" s="100">
        <v>21</v>
      </c>
      <c r="BY14" s="100">
        <v>10256.4</v>
      </c>
      <c r="BZ14" s="100">
        <v>28</v>
      </c>
      <c r="CA14" s="100">
        <v>13675.199999999999</v>
      </c>
      <c r="CB14" s="100">
        <v>28</v>
      </c>
      <c r="CC14" s="100">
        <v>13675.199999999999</v>
      </c>
      <c r="CD14" s="100">
        <v>27</v>
      </c>
      <c r="CE14" s="100">
        <v>13186.8</v>
      </c>
      <c r="CF14" s="100">
        <v>24</v>
      </c>
      <c r="CG14" s="100">
        <v>11721.599999999999</v>
      </c>
      <c r="CH14" s="100">
        <v>26</v>
      </c>
      <c r="CI14" s="100">
        <v>12698.4</v>
      </c>
      <c r="CJ14" s="100">
        <v>30</v>
      </c>
      <c r="CK14" s="100">
        <v>14652</v>
      </c>
      <c r="CL14" s="100">
        <v>15</v>
      </c>
      <c r="CM14" s="100">
        <v>7326</v>
      </c>
      <c r="CN14" s="100">
        <v>19</v>
      </c>
      <c r="CO14" s="100">
        <v>9279.6</v>
      </c>
      <c r="CP14" s="100">
        <v>15</v>
      </c>
      <c r="CQ14" s="100">
        <v>7326</v>
      </c>
      <c r="CR14" s="100">
        <v>24</v>
      </c>
      <c r="CS14" s="100">
        <v>11721.599999999999</v>
      </c>
      <c r="CT14" s="100">
        <v>20</v>
      </c>
      <c r="CU14" s="100">
        <v>9768</v>
      </c>
    </row>
    <row r="15" spans="1:99">
      <c r="C15" s="99" t="s">
        <v>181</v>
      </c>
      <c r="D15" s="100">
        <v>13</v>
      </c>
      <c r="E15" s="100">
        <v>9921.5999999999985</v>
      </c>
      <c r="F15" s="100">
        <v>21</v>
      </c>
      <c r="G15" s="100">
        <v>16027.199999999999</v>
      </c>
      <c r="H15" s="100">
        <v>24</v>
      </c>
      <c r="I15" s="100">
        <v>18316.8</v>
      </c>
      <c r="J15" s="100">
        <v>19</v>
      </c>
      <c r="K15" s="100">
        <v>14500.8</v>
      </c>
      <c r="L15" s="100">
        <v>19</v>
      </c>
      <c r="M15" s="100">
        <v>14500.8</v>
      </c>
      <c r="N15" s="100">
        <v>17</v>
      </c>
      <c r="O15" s="100">
        <v>12974.4</v>
      </c>
      <c r="P15" s="100">
        <v>19</v>
      </c>
      <c r="Q15" s="100">
        <v>14500.8</v>
      </c>
      <c r="R15" s="100">
        <v>18.950467347375984</v>
      </c>
      <c r="S15" s="100">
        <v>14462.99667951735</v>
      </c>
      <c r="T15" s="100">
        <v>19.329104936076583</v>
      </c>
      <c r="U15" s="100">
        <v>14751.972887213646</v>
      </c>
      <c r="V15" s="100">
        <v>13.542741255486931</v>
      </c>
      <c r="W15" s="100">
        <v>10335.820126187624</v>
      </c>
      <c r="X15" s="100">
        <v>22</v>
      </c>
      <c r="Y15" s="100">
        <v>16790.399999999998</v>
      </c>
      <c r="Z15" s="100">
        <v>25</v>
      </c>
      <c r="AA15" s="100">
        <v>19080</v>
      </c>
      <c r="AB15" s="100">
        <v>19.812589072647139</v>
      </c>
      <c r="AC15" s="100">
        <v>15120.967980244295</v>
      </c>
      <c r="AD15" s="100">
        <v>24</v>
      </c>
      <c r="AE15" s="100">
        <v>18316.8</v>
      </c>
      <c r="AF15" s="100">
        <v>15</v>
      </c>
      <c r="AG15" s="100">
        <v>11447.999999999998</v>
      </c>
      <c r="AH15" s="100">
        <v>22</v>
      </c>
      <c r="AI15" s="100">
        <v>16790.399999999998</v>
      </c>
      <c r="AJ15" s="100">
        <v>18</v>
      </c>
      <c r="AK15" s="100">
        <v>13737.599999999999</v>
      </c>
      <c r="AL15" s="100">
        <v>19</v>
      </c>
      <c r="AM15" s="100">
        <v>14500.8</v>
      </c>
      <c r="AN15" s="100">
        <v>13</v>
      </c>
      <c r="AO15" s="100">
        <v>9921.5999999999985</v>
      </c>
      <c r="AP15" s="100">
        <v>13</v>
      </c>
      <c r="AQ15" s="100">
        <v>9921.5999999999985</v>
      </c>
      <c r="AR15" s="100">
        <v>18</v>
      </c>
      <c r="AS15" s="100">
        <v>13737.599999999999</v>
      </c>
      <c r="AT15" s="100">
        <v>22</v>
      </c>
      <c r="AU15" s="100">
        <v>16790.399999999998</v>
      </c>
      <c r="AV15" s="100">
        <v>15</v>
      </c>
      <c r="AW15" s="100">
        <v>11447.999999999998</v>
      </c>
      <c r="AX15" s="100">
        <v>17</v>
      </c>
      <c r="AY15" s="100">
        <v>12974.4</v>
      </c>
      <c r="AZ15" s="100">
        <v>22</v>
      </c>
      <c r="BA15" s="100">
        <v>16790.399999999998</v>
      </c>
      <c r="BB15" s="100">
        <v>20</v>
      </c>
      <c r="BC15" s="100">
        <v>15263.999999999998</v>
      </c>
      <c r="BD15" s="100">
        <v>30</v>
      </c>
      <c r="BE15" s="100">
        <v>22895.999999999996</v>
      </c>
      <c r="BF15" s="100">
        <v>21</v>
      </c>
      <c r="BG15" s="100">
        <v>16027.199999999999</v>
      </c>
      <c r="BH15" s="100">
        <v>29</v>
      </c>
      <c r="BI15" s="100">
        <v>22132.799999999999</v>
      </c>
      <c r="BJ15" s="100">
        <v>19</v>
      </c>
      <c r="BK15" s="100">
        <v>14500.8</v>
      </c>
      <c r="BL15" s="100">
        <v>26</v>
      </c>
      <c r="BM15" s="100">
        <v>19843.199999999997</v>
      </c>
      <c r="BN15" s="100">
        <v>19</v>
      </c>
      <c r="BO15" s="100">
        <v>14500.8</v>
      </c>
      <c r="BP15" s="100">
        <v>14</v>
      </c>
      <c r="BQ15" s="100">
        <v>10684.8</v>
      </c>
      <c r="BR15" s="100">
        <v>17</v>
      </c>
      <c r="BS15" s="100">
        <v>12974.4</v>
      </c>
      <c r="BT15" s="100">
        <v>14</v>
      </c>
      <c r="BU15" s="100">
        <v>10684.8</v>
      </c>
      <c r="BV15" s="100">
        <v>25</v>
      </c>
      <c r="BW15" s="100">
        <v>19080</v>
      </c>
      <c r="BX15" s="100">
        <v>21</v>
      </c>
      <c r="BY15" s="100">
        <v>16027.199999999999</v>
      </c>
      <c r="BZ15" s="100">
        <v>28</v>
      </c>
      <c r="CA15" s="100">
        <v>21369.599999999999</v>
      </c>
      <c r="CB15" s="100">
        <v>26</v>
      </c>
      <c r="CC15" s="100">
        <v>19843.199999999997</v>
      </c>
      <c r="CD15" s="100">
        <v>31</v>
      </c>
      <c r="CE15" s="100">
        <v>23659.199999999997</v>
      </c>
      <c r="CF15" s="100">
        <v>27</v>
      </c>
      <c r="CG15" s="100">
        <v>20606.399999999998</v>
      </c>
      <c r="CH15" s="100">
        <v>23</v>
      </c>
      <c r="CI15" s="100">
        <v>17553.599999999999</v>
      </c>
      <c r="CJ15" s="100">
        <v>29</v>
      </c>
      <c r="CK15" s="100">
        <v>22132.799999999999</v>
      </c>
      <c r="CL15" s="100">
        <v>16</v>
      </c>
      <c r="CM15" s="100">
        <v>12211.199999999999</v>
      </c>
      <c r="CN15" s="100">
        <v>18</v>
      </c>
      <c r="CO15" s="100">
        <v>13737.599999999999</v>
      </c>
      <c r="CP15" s="100">
        <v>17</v>
      </c>
      <c r="CQ15" s="100">
        <v>12974.4</v>
      </c>
      <c r="CR15" s="100">
        <v>22</v>
      </c>
      <c r="CS15" s="100">
        <v>16790.399999999998</v>
      </c>
      <c r="CT15" s="100">
        <v>19</v>
      </c>
      <c r="CU15" s="100">
        <v>14500.8</v>
      </c>
    </row>
    <row r="16" spans="1:99">
      <c r="C16" s="99" t="s">
        <v>182</v>
      </c>
      <c r="D16" s="100">
        <v>14</v>
      </c>
      <c r="E16" s="100">
        <v>4771.2</v>
      </c>
      <c r="F16" s="100">
        <v>21</v>
      </c>
      <c r="G16" s="100">
        <v>7156.8</v>
      </c>
      <c r="H16" s="100">
        <v>28</v>
      </c>
      <c r="I16" s="100">
        <v>9542.4</v>
      </c>
      <c r="J16" s="100">
        <v>21</v>
      </c>
      <c r="K16" s="100">
        <v>7156.8</v>
      </c>
      <c r="L16" s="100">
        <v>20</v>
      </c>
      <c r="M16" s="100">
        <v>6816</v>
      </c>
      <c r="N16" s="100">
        <v>20</v>
      </c>
      <c r="O16" s="100">
        <v>6816</v>
      </c>
      <c r="P16" s="100">
        <v>21</v>
      </c>
      <c r="Q16" s="100">
        <v>7156.8</v>
      </c>
      <c r="R16" s="100">
        <v>21.942646402224824</v>
      </c>
      <c r="S16" s="100">
        <v>7478.0538938782202</v>
      </c>
      <c r="T16" s="100">
        <v>20.295560182880415</v>
      </c>
      <c r="U16" s="100">
        <v>6916.7269103256458</v>
      </c>
      <c r="V16" s="100">
        <v>14.510079916593138</v>
      </c>
      <c r="W16" s="100">
        <v>4945.0352355749419</v>
      </c>
      <c r="X16" s="100">
        <v>25</v>
      </c>
      <c r="Y16" s="100">
        <v>8520</v>
      </c>
      <c r="Z16" s="100">
        <v>22</v>
      </c>
      <c r="AA16" s="100">
        <v>7497.6</v>
      </c>
      <c r="AB16" s="100">
        <v>18.869132450140135</v>
      </c>
      <c r="AC16" s="100">
        <v>6430.6003390077585</v>
      </c>
      <c r="AD16" s="100">
        <v>24</v>
      </c>
      <c r="AE16" s="100">
        <v>8179.2000000000007</v>
      </c>
      <c r="AF16" s="100">
        <v>17</v>
      </c>
      <c r="AG16" s="100">
        <v>5793.6</v>
      </c>
      <c r="AH16" s="100">
        <v>22</v>
      </c>
      <c r="AI16" s="100">
        <v>7497.6</v>
      </c>
      <c r="AJ16" s="100">
        <v>20</v>
      </c>
      <c r="AK16" s="100">
        <v>6816</v>
      </c>
      <c r="AL16" s="100">
        <v>19</v>
      </c>
      <c r="AM16" s="100">
        <v>6475.2</v>
      </c>
      <c r="AN16" s="100">
        <v>15</v>
      </c>
      <c r="AO16" s="100">
        <v>5112</v>
      </c>
      <c r="AP16" s="100">
        <v>16</v>
      </c>
      <c r="AQ16" s="100">
        <v>5452.8</v>
      </c>
      <c r="AR16" s="100">
        <v>18</v>
      </c>
      <c r="AS16" s="100">
        <v>6134.4000000000005</v>
      </c>
      <c r="AT16" s="100">
        <v>25</v>
      </c>
      <c r="AU16" s="100">
        <v>8520</v>
      </c>
      <c r="AV16" s="100">
        <v>16</v>
      </c>
      <c r="AW16" s="100">
        <v>5452.8</v>
      </c>
      <c r="AX16" s="100">
        <v>18</v>
      </c>
      <c r="AY16" s="100">
        <v>6134.4000000000005</v>
      </c>
      <c r="AZ16" s="100">
        <v>25</v>
      </c>
      <c r="BA16" s="100">
        <v>8520</v>
      </c>
      <c r="BB16" s="100">
        <v>23</v>
      </c>
      <c r="BC16" s="100">
        <v>7838.4000000000005</v>
      </c>
      <c r="BD16" s="100">
        <v>33</v>
      </c>
      <c r="BE16" s="100">
        <v>11246.4</v>
      </c>
      <c r="BF16" s="100">
        <v>23</v>
      </c>
      <c r="BG16" s="100">
        <v>7838.4000000000005</v>
      </c>
      <c r="BH16" s="100">
        <v>30</v>
      </c>
      <c r="BI16" s="100">
        <v>10224</v>
      </c>
      <c r="BJ16" s="100">
        <v>21</v>
      </c>
      <c r="BK16" s="100">
        <v>7156.8</v>
      </c>
      <c r="BL16" s="100">
        <v>26</v>
      </c>
      <c r="BM16" s="100">
        <v>8860.8000000000011</v>
      </c>
      <c r="BN16" s="100">
        <v>24</v>
      </c>
      <c r="BO16" s="100">
        <v>8179.2000000000007</v>
      </c>
      <c r="BP16" s="100">
        <v>15</v>
      </c>
      <c r="BQ16" s="100">
        <v>5112</v>
      </c>
      <c r="BR16" s="100">
        <v>19</v>
      </c>
      <c r="BS16" s="100">
        <v>6475.2</v>
      </c>
      <c r="BT16" s="100">
        <v>16</v>
      </c>
      <c r="BU16" s="100">
        <v>5452.8</v>
      </c>
      <c r="BV16" s="100">
        <v>26</v>
      </c>
      <c r="BW16" s="100">
        <v>8860.8000000000011</v>
      </c>
      <c r="BX16" s="100">
        <v>22</v>
      </c>
      <c r="BY16" s="100">
        <v>7497.6</v>
      </c>
      <c r="BZ16" s="100">
        <v>26</v>
      </c>
      <c r="CA16" s="100">
        <v>8860.8000000000011</v>
      </c>
      <c r="CB16" s="100">
        <v>27</v>
      </c>
      <c r="CC16" s="100">
        <v>9201.6</v>
      </c>
      <c r="CD16" s="100">
        <v>27</v>
      </c>
      <c r="CE16" s="100">
        <v>9201.6</v>
      </c>
      <c r="CF16" s="100">
        <v>28</v>
      </c>
      <c r="CG16" s="100">
        <v>9542.4</v>
      </c>
      <c r="CH16" s="100">
        <v>27</v>
      </c>
      <c r="CI16" s="100">
        <v>9201.6</v>
      </c>
      <c r="CJ16" s="100">
        <v>30</v>
      </c>
      <c r="CK16" s="100">
        <v>10224</v>
      </c>
      <c r="CL16" s="100">
        <v>15</v>
      </c>
      <c r="CM16" s="100">
        <v>5112</v>
      </c>
      <c r="CN16" s="100">
        <v>18</v>
      </c>
      <c r="CO16" s="100">
        <v>6134.4000000000005</v>
      </c>
      <c r="CP16" s="100">
        <v>17</v>
      </c>
      <c r="CQ16" s="100">
        <v>5793.6</v>
      </c>
      <c r="CR16" s="100">
        <v>24</v>
      </c>
      <c r="CS16" s="100">
        <v>8179.2000000000007</v>
      </c>
      <c r="CT16" s="100">
        <v>23</v>
      </c>
      <c r="CU16" s="100">
        <v>7838.4000000000005</v>
      </c>
    </row>
    <row r="17" spans="2:99">
      <c r="C17" s="99" t="s">
        <v>183</v>
      </c>
      <c r="D17" s="100">
        <v>13</v>
      </c>
      <c r="E17" s="100">
        <v>5491.2</v>
      </c>
      <c r="F17" s="100">
        <v>21</v>
      </c>
      <c r="G17" s="100">
        <v>8870.4</v>
      </c>
      <c r="H17" s="100">
        <v>24</v>
      </c>
      <c r="I17" s="100">
        <v>10137.599999999999</v>
      </c>
      <c r="J17" s="100">
        <v>20</v>
      </c>
      <c r="K17" s="100">
        <v>8448</v>
      </c>
      <c r="L17" s="100">
        <v>18</v>
      </c>
      <c r="M17" s="100">
        <v>7603.2</v>
      </c>
      <c r="N17" s="100">
        <v>18</v>
      </c>
      <c r="O17" s="100">
        <v>7603.2</v>
      </c>
      <c r="P17" s="100">
        <v>21</v>
      </c>
      <c r="Q17" s="100">
        <v>8870.4</v>
      </c>
      <c r="R17" s="100">
        <v>19.947860365658929</v>
      </c>
      <c r="S17" s="100">
        <v>8425.9762184543306</v>
      </c>
      <c r="T17" s="100">
        <v>20.295560182880415</v>
      </c>
      <c r="U17" s="100">
        <v>8572.844621248687</v>
      </c>
      <c r="V17" s="100">
        <v>13.542741255486931</v>
      </c>
      <c r="W17" s="100">
        <v>5720.453906317679</v>
      </c>
      <c r="X17" s="100">
        <v>24</v>
      </c>
      <c r="Y17" s="100">
        <v>10137.599999999999</v>
      </c>
      <c r="Z17" s="100">
        <v>23</v>
      </c>
      <c r="AA17" s="100">
        <v>9715.1999999999989</v>
      </c>
      <c r="AB17" s="100">
        <v>19.812589072647139</v>
      </c>
      <c r="AC17" s="100">
        <v>8368.8376242861505</v>
      </c>
      <c r="AD17" s="100">
        <v>23</v>
      </c>
      <c r="AE17" s="100">
        <v>9715.1999999999989</v>
      </c>
      <c r="AF17" s="100">
        <v>16</v>
      </c>
      <c r="AG17" s="100">
        <v>6758.4</v>
      </c>
      <c r="AH17" s="100">
        <v>22</v>
      </c>
      <c r="AI17" s="100">
        <v>9292.7999999999993</v>
      </c>
      <c r="AJ17" s="100">
        <v>21</v>
      </c>
      <c r="AK17" s="100">
        <v>8870.4</v>
      </c>
      <c r="AL17" s="100">
        <v>17</v>
      </c>
      <c r="AM17" s="100">
        <v>7180.7999999999993</v>
      </c>
      <c r="AN17" s="100">
        <v>16</v>
      </c>
      <c r="AO17" s="100">
        <v>6758.4</v>
      </c>
      <c r="AP17" s="100">
        <v>16</v>
      </c>
      <c r="AQ17" s="100">
        <v>6758.4</v>
      </c>
      <c r="AR17" s="100">
        <v>19</v>
      </c>
      <c r="AS17" s="100">
        <v>8025.5999999999995</v>
      </c>
      <c r="AT17" s="100">
        <v>26</v>
      </c>
      <c r="AU17" s="100">
        <v>10982.4</v>
      </c>
      <c r="AV17" s="100">
        <v>15</v>
      </c>
      <c r="AW17" s="100">
        <v>6336</v>
      </c>
      <c r="AX17" s="100">
        <v>20</v>
      </c>
      <c r="AY17" s="100">
        <v>8448</v>
      </c>
      <c r="AZ17" s="100">
        <v>22</v>
      </c>
      <c r="BA17" s="100">
        <v>9292.7999999999993</v>
      </c>
      <c r="BB17" s="100">
        <v>21</v>
      </c>
      <c r="BC17" s="100">
        <v>8870.4</v>
      </c>
      <c r="BD17" s="100">
        <v>30</v>
      </c>
      <c r="BE17" s="100">
        <v>12672</v>
      </c>
      <c r="BF17" s="100">
        <v>20</v>
      </c>
      <c r="BG17" s="100">
        <v>8448</v>
      </c>
      <c r="BH17" s="100">
        <v>32</v>
      </c>
      <c r="BI17" s="100">
        <v>13516.8</v>
      </c>
      <c r="BJ17" s="100">
        <v>22</v>
      </c>
      <c r="BK17" s="100">
        <v>9292.7999999999993</v>
      </c>
      <c r="BL17" s="100">
        <v>25</v>
      </c>
      <c r="BM17" s="100">
        <v>10560</v>
      </c>
      <c r="BN17" s="100">
        <v>22</v>
      </c>
      <c r="BO17" s="100">
        <v>9292.7999999999993</v>
      </c>
      <c r="BP17" s="100">
        <v>14</v>
      </c>
      <c r="BQ17" s="100">
        <v>5913.5999999999995</v>
      </c>
      <c r="BR17" s="100">
        <v>19</v>
      </c>
      <c r="BS17" s="100">
        <v>8025.5999999999995</v>
      </c>
      <c r="BT17" s="100">
        <v>16</v>
      </c>
      <c r="BU17" s="100">
        <v>6758.4</v>
      </c>
      <c r="BV17" s="100">
        <v>22</v>
      </c>
      <c r="BW17" s="100">
        <v>9292.7999999999993</v>
      </c>
      <c r="BX17" s="100">
        <v>24</v>
      </c>
      <c r="BY17" s="100">
        <v>10137.599999999999</v>
      </c>
      <c r="BZ17" s="100">
        <v>26</v>
      </c>
      <c r="CA17" s="100">
        <v>10982.4</v>
      </c>
      <c r="CB17" s="100">
        <v>28</v>
      </c>
      <c r="CC17" s="100">
        <v>11827.199999999999</v>
      </c>
      <c r="CD17" s="100">
        <v>32</v>
      </c>
      <c r="CE17" s="100">
        <v>13516.8</v>
      </c>
      <c r="CF17" s="100">
        <v>26</v>
      </c>
      <c r="CG17" s="100">
        <v>10982.4</v>
      </c>
      <c r="CH17" s="100">
        <v>26</v>
      </c>
      <c r="CI17" s="100">
        <v>10982.4</v>
      </c>
      <c r="CJ17" s="100">
        <v>27</v>
      </c>
      <c r="CK17" s="100">
        <v>11404.8</v>
      </c>
      <c r="CL17" s="100">
        <v>16</v>
      </c>
      <c r="CM17" s="100">
        <v>6758.4</v>
      </c>
      <c r="CN17" s="100">
        <v>18</v>
      </c>
      <c r="CO17" s="100">
        <v>7603.2</v>
      </c>
      <c r="CP17" s="100">
        <v>16</v>
      </c>
      <c r="CQ17" s="100">
        <v>6758.4</v>
      </c>
      <c r="CR17" s="100">
        <v>26</v>
      </c>
      <c r="CS17" s="100">
        <v>10982.4</v>
      </c>
      <c r="CT17" s="100">
        <v>21</v>
      </c>
      <c r="CU17" s="100">
        <v>8870.4</v>
      </c>
    </row>
    <row r="18" spans="2:99">
      <c r="C18" s="99" t="s">
        <v>184</v>
      </c>
      <c r="D18" s="100">
        <v>13</v>
      </c>
      <c r="E18" s="100">
        <v>8486.4</v>
      </c>
      <c r="F18" s="100">
        <v>19</v>
      </c>
      <c r="G18" s="100">
        <v>12403.199999999999</v>
      </c>
      <c r="H18" s="100">
        <v>26</v>
      </c>
      <c r="I18" s="100">
        <v>16972.8</v>
      </c>
      <c r="J18" s="100">
        <v>19</v>
      </c>
      <c r="K18" s="100">
        <v>12403.199999999999</v>
      </c>
      <c r="L18" s="100">
        <v>20</v>
      </c>
      <c r="M18" s="100">
        <v>13056</v>
      </c>
      <c r="N18" s="100">
        <v>18</v>
      </c>
      <c r="O18" s="100">
        <v>11750.4</v>
      </c>
      <c r="P18" s="100">
        <v>18</v>
      </c>
      <c r="Q18" s="100">
        <v>11750.4</v>
      </c>
      <c r="R18" s="100">
        <v>21.942646402224824</v>
      </c>
      <c r="S18" s="100">
        <v>14324.159571372364</v>
      </c>
      <c r="T18" s="100">
        <v>18.362649689272754</v>
      </c>
      <c r="U18" s="100">
        <v>11987.137717157253</v>
      </c>
      <c r="V18" s="100">
        <v>12.575402594380721</v>
      </c>
      <c r="W18" s="100">
        <v>8209.2228136117337</v>
      </c>
      <c r="X18" s="100">
        <v>22</v>
      </c>
      <c r="Y18" s="100">
        <v>14361.599999999999</v>
      </c>
      <c r="Z18" s="100">
        <v>22</v>
      </c>
      <c r="AA18" s="100">
        <v>14361.599999999999</v>
      </c>
      <c r="AB18" s="100">
        <v>17.925675827633128</v>
      </c>
      <c r="AC18" s="100">
        <v>11701.881180278906</v>
      </c>
      <c r="AD18" s="100">
        <v>24</v>
      </c>
      <c r="AE18" s="100">
        <v>15667.199999999999</v>
      </c>
      <c r="AF18" s="100">
        <v>16</v>
      </c>
      <c r="AG18" s="100">
        <v>10444.799999999999</v>
      </c>
      <c r="AH18" s="100">
        <v>21</v>
      </c>
      <c r="AI18" s="100">
        <v>13708.8</v>
      </c>
      <c r="AJ18" s="100">
        <v>19</v>
      </c>
      <c r="AK18" s="100">
        <v>12403.199999999999</v>
      </c>
      <c r="AL18" s="100">
        <v>16</v>
      </c>
      <c r="AM18" s="100">
        <v>10444.799999999999</v>
      </c>
      <c r="AN18" s="100">
        <v>15</v>
      </c>
      <c r="AO18" s="100">
        <v>9792</v>
      </c>
      <c r="AP18" s="100">
        <v>13</v>
      </c>
      <c r="AQ18" s="100">
        <v>8486.4</v>
      </c>
      <c r="AR18" s="100">
        <v>19</v>
      </c>
      <c r="AS18" s="100">
        <v>12403.199999999999</v>
      </c>
      <c r="AT18" s="100">
        <v>25</v>
      </c>
      <c r="AU18" s="100">
        <v>16319.999999999998</v>
      </c>
      <c r="AV18" s="100">
        <v>15</v>
      </c>
      <c r="AW18" s="100">
        <v>9792</v>
      </c>
      <c r="AX18" s="100">
        <v>20</v>
      </c>
      <c r="AY18" s="100">
        <v>13056</v>
      </c>
      <c r="AZ18" s="100">
        <v>21</v>
      </c>
      <c r="BA18" s="100">
        <v>13708.8</v>
      </c>
      <c r="BB18" s="100">
        <v>22</v>
      </c>
      <c r="BC18" s="100">
        <v>14361.599999999999</v>
      </c>
      <c r="BD18" s="100">
        <v>30</v>
      </c>
      <c r="BE18" s="100">
        <v>19584</v>
      </c>
      <c r="BF18" s="100">
        <v>22</v>
      </c>
      <c r="BG18" s="100">
        <v>14361.599999999999</v>
      </c>
      <c r="BH18" s="100">
        <v>31</v>
      </c>
      <c r="BI18" s="100">
        <v>20236.8</v>
      </c>
      <c r="BJ18" s="100">
        <v>21</v>
      </c>
      <c r="BK18" s="100">
        <v>13708.8</v>
      </c>
      <c r="BL18" s="100">
        <v>28</v>
      </c>
      <c r="BM18" s="100">
        <v>18278.399999999998</v>
      </c>
      <c r="BN18" s="100">
        <v>22</v>
      </c>
      <c r="BO18" s="100">
        <v>14361.599999999999</v>
      </c>
      <c r="BP18" s="100">
        <v>14</v>
      </c>
      <c r="BQ18" s="100">
        <v>9139.1999999999989</v>
      </c>
      <c r="BR18" s="100">
        <v>19</v>
      </c>
      <c r="BS18" s="100">
        <v>12403.199999999999</v>
      </c>
      <c r="BT18" s="100">
        <v>15</v>
      </c>
      <c r="BU18" s="100">
        <v>9792</v>
      </c>
      <c r="BV18" s="100">
        <v>25</v>
      </c>
      <c r="BW18" s="100">
        <v>16319.999999999998</v>
      </c>
      <c r="BX18" s="100">
        <v>20</v>
      </c>
      <c r="BY18" s="100">
        <v>13056</v>
      </c>
      <c r="BZ18" s="100">
        <v>29</v>
      </c>
      <c r="CA18" s="100">
        <v>18931.199999999997</v>
      </c>
      <c r="CB18" s="100">
        <v>25</v>
      </c>
      <c r="CC18" s="100">
        <v>16319.999999999998</v>
      </c>
      <c r="CD18" s="100">
        <v>31</v>
      </c>
      <c r="CE18" s="100">
        <v>20236.8</v>
      </c>
      <c r="CF18" s="100">
        <v>28</v>
      </c>
      <c r="CG18" s="100">
        <v>18278.399999999998</v>
      </c>
      <c r="CH18" s="100">
        <v>22</v>
      </c>
      <c r="CI18" s="100">
        <v>14361.599999999999</v>
      </c>
      <c r="CJ18" s="100">
        <v>30</v>
      </c>
      <c r="CK18" s="100">
        <v>19584</v>
      </c>
      <c r="CL18" s="100">
        <v>15</v>
      </c>
      <c r="CM18" s="100">
        <v>9792</v>
      </c>
      <c r="CN18" s="100">
        <v>19</v>
      </c>
      <c r="CO18" s="100">
        <v>12403.199999999999</v>
      </c>
      <c r="CP18" s="100">
        <v>17</v>
      </c>
      <c r="CQ18" s="100">
        <v>11097.599999999999</v>
      </c>
      <c r="CR18" s="100">
        <v>24</v>
      </c>
      <c r="CS18" s="100">
        <v>15667.199999999999</v>
      </c>
      <c r="CT18" s="100">
        <v>23</v>
      </c>
      <c r="CU18" s="100">
        <v>15014.4</v>
      </c>
    </row>
    <row r="19" spans="2:99">
      <c r="C19" s="99" t="s">
        <v>185</v>
      </c>
      <c r="D19" s="100">
        <v>13</v>
      </c>
      <c r="E19" s="100">
        <v>4290</v>
      </c>
      <c r="F19" s="100">
        <v>21</v>
      </c>
      <c r="G19" s="100">
        <v>6930</v>
      </c>
      <c r="H19" s="100">
        <v>23</v>
      </c>
      <c r="I19" s="100">
        <v>7590</v>
      </c>
      <c r="J19" s="100">
        <v>21</v>
      </c>
      <c r="K19" s="100">
        <v>6930</v>
      </c>
      <c r="L19" s="100">
        <v>18</v>
      </c>
      <c r="M19" s="100">
        <v>5940</v>
      </c>
      <c r="N19" s="100">
        <v>18</v>
      </c>
      <c r="O19" s="100">
        <v>5940</v>
      </c>
      <c r="P19" s="100">
        <v>20</v>
      </c>
      <c r="Q19" s="100">
        <v>6600</v>
      </c>
      <c r="R19" s="100">
        <v>19.947860365658929</v>
      </c>
      <c r="S19" s="100">
        <v>6582.7939206674464</v>
      </c>
      <c r="T19" s="100">
        <v>19.329104936076583</v>
      </c>
      <c r="U19" s="100">
        <v>6378.604628905272</v>
      </c>
      <c r="V19" s="100">
        <v>14.510079916593138</v>
      </c>
      <c r="W19" s="100">
        <v>4788.3263724757353</v>
      </c>
      <c r="X19" s="100">
        <v>24</v>
      </c>
      <c r="Y19" s="100">
        <v>7920</v>
      </c>
      <c r="Z19" s="100">
        <v>22</v>
      </c>
      <c r="AA19" s="100">
        <v>7260</v>
      </c>
      <c r="AB19" s="100">
        <v>17.925675827633128</v>
      </c>
      <c r="AC19" s="100">
        <v>5915.4730231189324</v>
      </c>
      <c r="AD19" s="100">
        <v>22</v>
      </c>
      <c r="AE19" s="100">
        <v>7260</v>
      </c>
      <c r="AF19" s="100">
        <v>17</v>
      </c>
      <c r="AG19" s="100">
        <v>5610</v>
      </c>
      <c r="AH19" s="100">
        <v>21</v>
      </c>
      <c r="AI19" s="100">
        <v>6930</v>
      </c>
      <c r="AJ19" s="100">
        <v>20</v>
      </c>
      <c r="AK19" s="100">
        <v>6600</v>
      </c>
      <c r="AL19" s="100">
        <v>18</v>
      </c>
      <c r="AM19" s="100">
        <v>5940</v>
      </c>
      <c r="AN19" s="100">
        <v>14</v>
      </c>
      <c r="AO19" s="100">
        <v>4620</v>
      </c>
      <c r="AP19" s="100">
        <v>14</v>
      </c>
      <c r="AQ19" s="100">
        <v>4620</v>
      </c>
      <c r="AR19" s="100">
        <v>18</v>
      </c>
      <c r="AS19" s="100">
        <v>5940</v>
      </c>
      <c r="AT19" s="100">
        <v>24</v>
      </c>
      <c r="AU19" s="100">
        <v>7920</v>
      </c>
      <c r="AV19" s="100">
        <v>17</v>
      </c>
      <c r="AW19" s="100">
        <v>5610</v>
      </c>
      <c r="AX19" s="100">
        <v>20</v>
      </c>
      <c r="AY19" s="100">
        <v>6600</v>
      </c>
      <c r="AZ19" s="100">
        <v>23</v>
      </c>
      <c r="BA19" s="100">
        <v>7590</v>
      </c>
      <c r="BB19" s="100">
        <v>21</v>
      </c>
      <c r="BC19" s="100">
        <v>6930</v>
      </c>
      <c r="BD19" s="100">
        <v>31</v>
      </c>
      <c r="BE19" s="100">
        <v>10230</v>
      </c>
      <c r="BF19" s="100">
        <v>21</v>
      </c>
      <c r="BG19" s="100">
        <v>6930</v>
      </c>
      <c r="BH19" s="100">
        <v>28</v>
      </c>
      <c r="BI19" s="100">
        <v>9240</v>
      </c>
      <c r="BJ19" s="100">
        <v>21</v>
      </c>
      <c r="BK19" s="100">
        <v>6930</v>
      </c>
      <c r="BL19" s="100">
        <v>30</v>
      </c>
      <c r="BM19" s="100">
        <v>9900</v>
      </c>
      <c r="BN19" s="100">
        <v>22</v>
      </c>
      <c r="BO19" s="100">
        <v>7260</v>
      </c>
      <c r="BP19" s="100">
        <v>17</v>
      </c>
      <c r="BQ19" s="100">
        <v>5610</v>
      </c>
      <c r="BR19" s="100">
        <v>19</v>
      </c>
      <c r="BS19" s="100">
        <v>6270</v>
      </c>
      <c r="BT19" s="100">
        <v>16</v>
      </c>
      <c r="BU19" s="100">
        <v>5280</v>
      </c>
      <c r="BV19" s="100">
        <v>24</v>
      </c>
      <c r="BW19" s="100">
        <v>7920</v>
      </c>
      <c r="BX19" s="100">
        <v>24</v>
      </c>
      <c r="BY19" s="100">
        <v>7920</v>
      </c>
      <c r="BZ19" s="100">
        <v>25</v>
      </c>
      <c r="CA19" s="100">
        <v>8250</v>
      </c>
      <c r="CB19" s="100">
        <v>29</v>
      </c>
      <c r="CC19" s="100">
        <v>9570</v>
      </c>
      <c r="CD19" s="100">
        <v>29</v>
      </c>
      <c r="CE19" s="100">
        <v>9570</v>
      </c>
      <c r="CF19" s="100">
        <v>25</v>
      </c>
      <c r="CG19" s="100">
        <v>8250</v>
      </c>
      <c r="CH19" s="100">
        <v>24</v>
      </c>
      <c r="CI19" s="100">
        <v>7920</v>
      </c>
      <c r="CJ19" s="100">
        <v>27</v>
      </c>
      <c r="CK19" s="100">
        <v>8910</v>
      </c>
      <c r="CL19" s="100">
        <v>17</v>
      </c>
      <c r="CM19" s="100">
        <v>5610</v>
      </c>
      <c r="CN19" s="100">
        <v>19</v>
      </c>
      <c r="CO19" s="100">
        <v>6270</v>
      </c>
      <c r="CP19" s="100">
        <v>18</v>
      </c>
      <c r="CQ19" s="100">
        <v>5940</v>
      </c>
      <c r="CR19" s="100">
        <v>26</v>
      </c>
      <c r="CS19" s="100">
        <v>8580</v>
      </c>
      <c r="CT19" s="100">
        <v>22</v>
      </c>
      <c r="CU19" s="100">
        <v>7260</v>
      </c>
    </row>
    <row r="20" spans="2:99">
      <c r="B20" s="99" t="s">
        <v>127</v>
      </c>
      <c r="C20" s="99" t="s">
        <v>186</v>
      </c>
      <c r="D20" s="100">
        <v>17</v>
      </c>
      <c r="E20" s="100">
        <v>4875.6000000000004</v>
      </c>
      <c r="F20" s="100">
        <v>24</v>
      </c>
      <c r="G20" s="100">
        <v>6883.2000000000007</v>
      </c>
      <c r="H20" s="100">
        <v>31</v>
      </c>
      <c r="I20" s="100">
        <v>8890.8000000000011</v>
      </c>
      <c r="J20" s="100">
        <v>17</v>
      </c>
      <c r="K20" s="100">
        <v>4875.6000000000004</v>
      </c>
      <c r="L20" s="100">
        <v>21</v>
      </c>
      <c r="M20" s="100">
        <v>6022.8</v>
      </c>
      <c r="N20" s="100">
        <v>24</v>
      </c>
      <c r="O20" s="100">
        <v>6883.2000000000007</v>
      </c>
      <c r="P20" s="100">
        <v>27</v>
      </c>
      <c r="Q20" s="100">
        <v>7743.6</v>
      </c>
      <c r="R20" s="100">
        <v>25.932218475356606</v>
      </c>
      <c r="S20" s="100">
        <v>7437.3602587322748</v>
      </c>
      <c r="T20" s="100">
        <v>26.094291663703387</v>
      </c>
      <c r="U20" s="100">
        <v>7483.8428491501318</v>
      </c>
      <c r="V20" s="100">
        <v>28.052821172080066</v>
      </c>
      <c r="W20" s="100">
        <v>8045.5491121525629</v>
      </c>
      <c r="X20" s="100">
        <v>18</v>
      </c>
      <c r="Y20" s="100">
        <v>5162.4000000000005</v>
      </c>
      <c r="Z20" s="100">
        <v>28</v>
      </c>
      <c r="AA20" s="100">
        <v>8030.4000000000005</v>
      </c>
      <c r="AB20" s="100">
        <v>21.699502317661157</v>
      </c>
      <c r="AC20" s="100">
        <v>6223.4172647052201</v>
      </c>
      <c r="AD20" s="100">
        <v>14</v>
      </c>
      <c r="AE20" s="100">
        <v>4015.2000000000003</v>
      </c>
      <c r="AF20" s="100">
        <v>20</v>
      </c>
      <c r="AG20" s="100">
        <v>5736</v>
      </c>
      <c r="AH20" s="100">
        <v>16</v>
      </c>
      <c r="AI20" s="100">
        <v>4588.8</v>
      </c>
      <c r="AJ20" s="100">
        <v>22</v>
      </c>
      <c r="AK20" s="100">
        <v>6309.6</v>
      </c>
      <c r="AL20" s="100">
        <v>26</v>
      </c>
      <c r="AM20" s="100">
        <v>7456.8</v>
      </c>
      <c r="AN20" s="100">
        <v>23</v>
      </c>
      <c r="AO20" s="100">
        <v>6596.4000000000005</v>
      </c>
      <c r="AP20" s="100">
        <v>29</v>
      </c>
      <c r="AQ20" s="100">
        <v>8317.2000000000007</v>
      </c>
      <c r="AR20" s="100">
        <v>22</v>
      </c>
      <c r="AS20" s="100">
        <v>6309.6</v>
      </c>
      <c r="AT20" s="100">
        <v>29</v>
      </c>
      <c r="AU20" s="100">
        <v>8317.2000000000007</v>
      </c>
      <c r="AV20" s="100">
        <v>23</v>
      </c>
      <c r="AW20" s="100">
        <v>6596.4000000000005</v>
      </c>
      <c r="AX20" s="100">
        <v>22</v>
      </c>
      <c r="AY20" s="100">
        <v>6309.6</v>
      </c>
      <c r="AZ20" s="100">
        <v>16</v>
      </c>
      <c r="BA20" s="100">
        <v>4588.8</v>
      </c>
      <c r="BB20" s="100">
        <v>24</v>
      </c>
      <c r="BC20" s="100">
        <v>6883.2000000000007</v>
      </c>
      <c r="BD20" s="100">
        <v>22</v>
      </c>
      <c r="BE20" s="100">
        <v>6309.6</v>
      </c>
      <c r="BF20" s="100">
        <v>26</v>
      </c>
      <c r="BG20" s="100">
        <v>7456.8</v>
      </c>
      <c r="BH20" s="100">
        <v>21</v>
      </c>
      <c r="BI20" s="100">
        <v>6022.8</v>
      </c>
      <c r="BJ20" s="100">
        <v>28</v>
      </c>
      <c r="BK20" s="100">
        <v>8030.4000000000005</v>
      </c>
      <c r="BL20" s="100">
        <v>21</v>
      </c>
      <c r="BM20" s="100">
        <v>6022.8</v>
      </c>
      <c r="BN20" s="100">
        <v>25</v>
      </c>
      <c r="BO20" s="100">
        <v>7170</v>
      </c>
      <c r="BP20" s="100">
        <v>26</v>
      </c>
      <c r="BQ20" s="100">
        <v>7456.8</v>
      </c>
      <c r="BR20" s="100">
        <v>24</v>
      </c>
      <c r="BS20" s="100">
        <v>6883.2000000000007</v>
      </c>
      <c r="BT20" s="100">
        <v>21</v>
      </c>
      <c r="BU20" s="100">
        <v>6022.8</v>
      </c>
      <c r="BV20" s="100">
        <v>19</v>
      </c>
      <c r="BW20" s="100">
        <v>5449.2</v>
      </c>
      <c r="BX20" s="100">
        <v>21</v>
      </c>
      <c r="BY20" s="100">
        <v>6022.8</v>
      </c>
      <c r="BZ20" s="100">
        <v>18</v>
      </c>
      <c r="CA20" s="100">
        <v>5162.4000000000005</v>
      </c>
      <c r="CB20" s="100">
        <v>20</v>
      </c>
      <c r="CC20" s="100">
        <v>5736</v>
      </c>
      <c r="CD20" s="100">
        <v>32</v>
      </c>
      <c r="CE20" s="100">
        <v>9177.6</v>
      </c>
      <c r="CF20" s="100">
        <v>20</v>
      </c>
      <c r="CG20" s="100">
        <v>5736</v>
      </c>
      <c r="CH20" s="100">
        <v>25</v>
      </c>
      <c r="CI20" s="100">
        <v>7170</v>
      </c>
      <c r="CJ20" s="100">
        <v>23</v>
      </c>
      <c r="CK20" s="100">
        <v>6596.4000000000005</v>
      </c>
      <c r="CL20" s="100">
        <v>28</v>
      </c>
      <c r="CM20" s="100">
        <v>8030.4000000000005</v>
      </c>
      <c r="CN20" s="100">
        <v>33</v>
      </c>
      <c r="CO20" s="100">
        <v>9464.4</v>
      </c>
      <c r="CP20" s="100">
        <v>23</v>
      </c>
      <c r="CQ20" s="100">
        <v>6596.4000000000005</v>
      </c>
      <c r="CR20" s="100">
        <v>24</v>
      </c>
      <c r="CS20" s="100">
        <v>6883.2000000000007</v>
      </c>
      <c r="CT20" s="100">
        <v>28</v>
      </c>
      <c r="CU20" s="100">
        <v>8030.4000000000005</v>
      </c>
    </row>
    <row r="21" spans="2:99">
      <c r="C21" s="99" t="s">
        <v>187</v>
      </c>
      <c r="D21" s="100">
        <v>17</v>
      </c>
      <c r="E21" s="100">
        <v>1060.8</v>
      </c>
      <c r="F21" s="100">
        <v>26</v>
      </c>
      <c r="G21" s="100">
        <v>1622.3999999999999</v>
      </c>
      <c r="H21" s="100">
        <v>32</v>
      </c>
      <c r="I21" s="100">
        <v>1996.8</v>
      </c>
      <c r="J21" s="100">
        <v>20</v>
      </c>
      <c r="K21" s="100">
        <v>1248</v>
      </c>
      <c r="L21" s="100">
        <v>24</v>
      </c>
      <c r="M21" s="100">
        <v>1497.6</v>
      </c>
      <c r="N21" s="100">
        <v>28</v>
      </c>
      <c r="O21" s="100">
        <v>1747.2</v>
      </c>
      <c r="P21" s="100">
        <v>29</v>
      </c>
      <c r="Q21" s="100">
        <v>1809.6</v>
      </c>
      <c r="R21" s="100">
        <v>26.929611493639555</v>
      </c>
      <c r="S21" s="100">
        <v>1680.4077572031083</v>
      </c>
      <c r="T21" s="100">
        <v>27.060746910507216</v>
      </c>
      <c r="U21" s="100">
        <v>1688.5906072156502</v>
      </c>
      <c r="V21" s="100">
        <v>29.987498494292485</v>
      </c>
      <c r="W21" s="100">
        <v>1871.2199060438511</v>
      </c>
      <c r="X21" s="100">
        <v>20</v>
      </c>
      <c r="Y21" s="100">
        <v>1248</v>
      </c>
      <c r="Z21" s="100">
        <v>29</v>
      </c>
      <c r="AA21" s="100">
        <v>1809.6</v>
      </c>
      <c r="AB21" s="100">
        <v>24.529872185182175</v>
      </c>
      <c r="AC21" s="100">
        <v>1530.6640243553677</v>
      </c>
      <c r="AD21" s="100">
        <v>16</v>
      </c>
      <c r="AE21" s="100">
        <v>998.4</v>
      </c>
      <c r="AF21" s="100">
        <v>20</v>
      </c>
      <c r="AG21" s="100">
        <v>1248</v>
      </c>
      <c r="AH21" s="100">
        <v>18</v>
      </c>
      <c r="AI21" s="100">
        <v>1123.2</v>
      </c>
      <c r="AJ21" s="100">
        <v>24</v>
      </c>
      <c r="AK21" s="100">
        <v>1497.6</v>
      </c>
      <c r="AL21" s="100">
        <v>23</v>
      </c>
      <c r="AM21" s="100">
        <v>1435.2</v>
      </c>
      <c r="AN21" s="100">
        <v>25</v>
      </c>
      <c r="AO21" s="100">
        <v>1560</v>
      </c>
      <c r="AP21" s="100">
        <v>28</v>
      </c>
      <c r="AQ21" s="100">
        <v>1747.2</v>
      </c>
      <c r="AR21" s="100">
        <v>23</v>
      </c>
      <c r="AS21" s="100">
        <v>1435.2</v>
      </c>
      <c r="AT21" s="100">
        <v>32</v>
      </c>
      <c r="AU21" s="100">
        <v>1996.8</v>
      </c>
      <c r="AV21" s="100">
        <v>28</v>
      </c>
      <c r="AW21" s="100">
        <v>1747.2</v>
      </c>
      <c r="AX21" s="100">
        <v>23</v>
      </c>
      <c r="AY21" s="100">
        <v>1435.2</v>
      </c>
      <c r="AZ21" s="100">
        <v>15</v>
      </c>
      <c r="BA21" s="100">
        <v>936</v>
      </c>
      <c r="BB21" s="100">
        <v>23</v>
      </c>
      <c r="BC21" s="100">
        <v>1435.2</v>
      </c>
      <c r="BD21" s="100">
        <v>21</v>
      </c>
      <c r="BE21" s="100">
        <v>1310.3999999999999</v>
      </c>
      <c r="BF21" s="100">
        <v>23</v>
      </c>
      <c r="BG21" s="100">
        <v>1435.2</v>
      </c>
      <c r="BH21" s="100">
        <v>24</v>
      </c>
      <c r="BI21" s="100">
        <v>1497.6</v>
      </c>
      <c r="BJ21" s="100">
        <v>33</v>
      </c>
      <c r="BK21" s="100">
        <v>2059.1999999999998</v>
      </c>
      <c r="BL21" s="100">
        <v>21</v>
      </c>
      <c r="BM21" s="100">
        <v>1310.3999999999999</v>
      </c>
      <c r="BN21" s="100">
        <v>25</v>
      </c>
      <c r="BO21" s="100">
        <v>1560</v>
      </c>
      <c r="BP21" s="100">
        <v>27</v>
      </c>
      <c r="BQ21" s="100">
        <v>1684.8</v>
      </c>
      <c r="BR21" s="100">
        <v>26</v>
      </c>
      <c r="BS21" s="100">
        <v>1622.3999999999999</v>
      </c>
      <c r="BT21" s="100">
        <v>23</v>
      </c>
      <c r="BU21" s="100">
        <v>1435.2</v>
      </c>
      <c r="BV21" s="100">
        <v>19</v>
      </c>
      <c r="BW21" s="100">
        <v>1185.5999999999999</v>
      </c>
      <c r="BX21" s="100">
        <v>18</v>
      </c>
      <c r="BY21" s="100">
        <v>1123.2</v>
      </c>
      <c r="BZ21" s="100">
        <v>18</v>
      </c>
      <c r="CA21" s="100">
        <v>1123.2</v>
      </c>
      <c r="CB21" s="100">
        <v>18</v>
      </c>
      <c r="CC21" s="100">
        <v>1123.2</v>
      </c>
      <c r="CD21" s="100">
        <v>36</v>
      </c>
      <c r="CE21" s="100">
        <v>2246.4</v>
      </c>
      <c r="CF21" s="100">
        <v>22</v>
      </c>
      <c r="CG21" s="100">
        <v>1372.8</v>
      </c>
      <c r="CH21" s="100">
        <v>27</v>
      </c>
      <c r="CI21" s="100">
        <v>1684.8</v>
      </c>
      <c r="CJ21" s="100">
        <v>20</v>
      </c>
      <c r="CK21" s="100">
        <v>1248</v>
      </c>
      <c r="CL21" s="100">
        <v>27</v>
      </c>
      <c r="CM21" s="100">
        <v>1684.8</v>
      </c>
      <c r="CN21" s="100">
        <v>34</v>
      </c>
      <c r="CO21" s="100">
        <v>2121.6</v>
      </c>
      <c r="CP21" s="100">
        <v>22</v>
      </c>
      <c r="CQ21" s="100">
        <v>1372.8</v>
      </c>
      <c r="CR21" s="100">
        <v>21</v>
      </c>
      <c r="CS21" s="100">
        <v>1310.3999999999999</v>
      </c>
      <c r="CT21" s="100">
        <v>35</v>
      </c>
      <c r="CU21" s="100">
        <v>2184</v>
      </c>
    </row>
    <row r="22" spans="2:99">
      <c r="C22" s="99" t="s">
        <v>188</v>
      </c>
      <c r="D22" s="100">
        <v>20</v>
      </c>
      <c r="E22" s="100">
        <v>3744</v>
      </c>
      <c r="F22" s="100">
        <v>24</v>
      </c>
      <c r="G22" s="100">
        <v>4492.7999999999993</v>
      </c>
      <c r="H22" s="100">
        <v>32</v>
      </c>
      <c r="I22" s="100">
        <v>5990.4</v>
      </c>
      <c r="J22" s="100">
        <v>18</v>
      </c>
      <c r="K22" s="100">
        <v>3369.6</v>
      </c>
      <c r="L22" s="100">
        <v>24</v>
      </c>
      <c r="M22" s="100">
        <v>4492.7999999999993</v>
      </c>
      <c r="N22" s="100">
        <v>28</v>
      </c>
      <c r="O22" s="100">
        <v>5241.5999999999995</v>
      </c>
      <c r="P22" s="100">
        <v>31</v>
      </c>
      <c r="Q22" s="100">
        <v>5803.2</v>
      </c>
      <c r="R22" s="100">
        <v>24.934825457073661</v>
      </c>
      <c r="S22" s="100">
        <v>4667.7993255641886</v>
      </c>
      <c r="T22" s="100">
        <v>27.060746910507216</v>
      </c>
      <c r="U22" s="100">
        <v>5065.7718216469502</v>
      </c>
      <c r="V22" s="100">
        <v>26.11814384986765</v>
      </c>
      <c r="W22" s="100">
        <v>4889.3165286952235</v>
      </c>
      <c r="X22" s="100">
        <v>19</v>
      </c>
      <c r="Y22" s="100">
        <v>3556.7999999999997</v>
      </c>
      <c r="Z22" s="100">
        <v>30</v>
      </c>
      <c r="AA22" s="100">
        <v>5616</v>
      </c>
      <c r="AB22" s="100">
        <v>23.586415562675167</v>
      </c>
      <c r="AC22" s="100">
        <v>4415.3769933327912</v>
      </c>
      <c r="AD22" s="100">
        <v>17</v>
      </c>
      <c r="AE22" s="100">
        <v>3182.3999999999996</v>
      </c>
      <c r="AF22" s="100">
        <v>19</v>
      </c>
      <c r="AG22" s="100">
        <v>3556.7999999999997</v>
      </c>
      <c r="AH22" s="100">
        <v>18</v>
      </c>
      <c r="AI22" s="100">
        <v>3369.6</v>
      </c>
      <c r="AJ22" s="100">
        <v>22</v>
      </c>
      <c r="AK22" s="100">
        <v>4118.3999999999996</v>
      </c>
      <c r="AL22" s="100">
        <v>25</v>
      </c>
      <c r="AM22" s="100">
        <v>4680</v>
      </c>
      <c r="AN22" s="100">
        <v>21</v>
      </c>
      <c r="AO22" s="100">
        <v>3931.2</v>
      </c>
      <c r="AP22" s="100">
        <v>32</v>
      </c>
      <c r="AQ22" s="100">
        <v>5990.4</v>
      </c>
      <c r="AR22" s="100">
        <v>23</v>
      </c>
      <c r="AS22" s="100">
        <v>4305.5999999999995</v>
      </c>
      <c r="AT22" s="100">
        <v>31</v>
      </c>
      <c r="AU22" s="100">
        <v>5803.2</v>
      </c>
      <c r="AV22" s="100">
        <v>26</v>
      </c>
      <c r="AW22" s="100">
        <v>4867.2</v>
      </c>
      <c r="AX22" s="100">
        <v>23</v>
      </c>
      <c r="AY22" s="100">
        <v>4305.5999999999995</v>
      </c>
      <c r="AZ22" s="100">
        <v>16</v>
      </c>
      <c r="BA22" s="100">
        <v>2995.2</v>
      </c>
      <c r="BB22" s="100">
        <v>20</v>
      </c>
      <c r="BC22" s="100">
        <v>3744</v>
      </c>
      <c r="BD22" s="100">
        <v>23</v>
      </c>
      <c r="BE22" s="100">
        <v>4305.5999999999995</v>
      </c>
      <c r="BF22" s="100">
        <v>24</v>
      </c>
      <c r="BG22" s="100">
        <v>4492.7999999999993</v>
      </c>
      <c r="BH22" s="100">
        <v>23</v>
      </c>
      <c r="BI22" s="100">
        <v>4305.5999999999995</v>
      </c>
      <c r="BJ22" s="100">
        <v>29</v>
      </c>
      <c r="BK22" s="100">
        <v>5428.7999999999993</v>
      </c>
      <c r="BL22" s="100">
        <v>21</v>
      </c>
      <c r="BM22" s="100">
        <v>3931.2</v>
      </c>
      <c r="BN22" s="100">
        <v>25</v>
      </c>
      <c r="BO22" s="100">
        <v>4680</v>
      </c>
      <c r="BP22" s="100">
        <v>27</v>
      </c>
      <c r="BQ22" s="100">
        <v>5054.3999999999996</v>
      </c>
      <c r="BR22" s="100">
        <v>23</v>
      </c>
      <c r="BS22" s="100">
        <v>4305.5999999999995</v>
      </c>
      <c r="BT22" s="100">
        <v>24</v>
      </c>
      <c r="BU22" s="100">
        <v>4492.7999999999993</v>
      </c>
      <c r="BV22" s="100">
        <v>19</v>
      </c>
      <c r="BW22" s="100">
        <v>3556.7999999999997</v>
      </c>
      <c r="BX22" s="100">
        <v>19</v>
      </c>
      <c r="BY22" s="100">
        <v>3556.7999999999997</v>
      </c>
      <c r="BZ22" s="100">
        <v>16</v>
      </c>
      <c r="CA22" s="100">
        <v>2995.2</v>
      </c>
      <c r="CB22" s="100">
        <v>20</v>
      </c>
      <c r="CC22" s="100">
        <v>3744</v>
      </c>
      <c r="CD22" s="100">
        <v>34</v>
      </c>
      <c r="CE22" s="100">
        <v>6364.7999999999993</v>
      </c>
      <c r="CF22" s="100">
        <v>19</v>
      </c>
      <c r="CG22" s="100">
        <v>3556.7999999999997</v>
      </c>
      <c r="CH22" s="100">
        <v>28</v>
      </c>
      <c r="CI22" s="100">
        <v>5241.5999999999995</v>
      </c>
      <c r="CJ22" s="100">
        <v>23</v>
      </c>
      <c r="CK22" s="100">
        <v>4305.5999999999995</v>
      </c>
      <c r="CL22" s="100">
        <v>27</v>
      </c>
      <c r="CM22" s="100">
        <v>5054.3999999999996</v>
      </c>
      <c r="CN22" s="100">
        <v>28</v>
      </c>
      <c r="CO22" s="100">
        <v>5241.5999999999995</v>
      </c>
      <c r="CP22" s="100">
        <v>23</v>
      </c>
      <c r="CQ22" s="100">
        <v>4305.5999999999995</v>
      </c>
      <c r="CR22" s="100">
        <v>22</v>
      </c>
      <c r="CS22" s="100">
        <v>4118.3999999999996</v>
      </c>
      <c r="CT22" s="100">
        <v>28</v>
      </c>
      <c r="CU22" s="100">
        <v>5241.5999999999995</v>
      </c>
    </row>
    <row r="23" spans="2:99">
      <c r="C23" s="99" t="s">
        <v>189</v>
      </c>
      <c r="D23" s="100">
        <v>17</v>
      </c>
      <c r="E23" s="100">
        <v>4998</v>
      </c>
      <c r="F23" s="100">
        <v>25</v>
      </c>
      <c r="G23" s="100">
        <v>7350</v>
      </c>
      <c r="H23" s="100">
        <v>27</v>
      </c>
      <c r="I23" s="100">
        <v>7938</v>
      </c>
      <c r="J23" s="100">
        <v>17</v>
      </c>
      <c r="K23" s="100">
        <v>4998</v>
      </c>
      <c r="L23" s="100">
        <v>24</v>
      </c>
      <c r="M23" s="100">
        <v>7056</v>
      </c>
      <c r="N23" s="100">
        <v>29</v>
      </c>
      <c r="O23" s="100">
        <v>8526</v>
      </c>
      <c r="P23" s="100">
        <v>26</v>
      </c>
      <c r="Q23" s="100">
        <v>7644</v>
      </c>
      <c r="R23" s="100">
        <v>23.937432438790715</v>
      </c>
      <c r="S23" s="100">
        <v>7037.6051370044706</v>
      </c>
      <c r="T23" s="100">
        <v>23.194925923291901</v>
      </c>
      <c r="U23" s="100">
        <v>6819.3082214478191</v>
      </c>
      <c r="V23" s="100">
        <v>25.150805188761442</v>
      </c>
      <c r="W23" s="100">
        <v>7394.3367254958639</v>
      </c>
      <c r="X23" s="100">
        <v>19</v>
      </c>
      <c r="Y23" s="100">
        <v>5586</v>
      </c>
      <c r="Z23" s="100">
        <v>27</v>
      </c>
      <c r="AA23" s="100">
        <v>7938</v>
      </c>
      <c r="AB23" s="100">
        <v>23.586415562675167</v>
      </c>
      <c r="AC23" s="100">
        <v>6934.4061754264994</v>
      </c>
      <c r="AD23" s="100">
        <v>14</v>
      </c>
      <c r="AE23" s="100">
        <v>4116</v>
      </c>
      <c r="AF23" s="100">
        <v>19</v>
      </c>
      <c r="AG23" s="100">
        <v>5586</v>
      </c>
      <c r="AH23" s="100">
        <v>16</v>
      </c>
      <c r="AI23" s="100">
        <v>4704</v>
      </c>
      <c r="AJ23" s="100">
        <v>24</v>
      </c>
      <c r="AK23" s="100">
        <v>7056</v>
      </c>
      <c r="AL23" s="100">
        <v>24</v>
      </c>
      <c r="AM23" s="100">
        <v>7056</v>
      </c>
      <c r="AN23" s="100">
        <v>23</v>
      </c>
      <c r="AO23" s="100">
        <v>6762</v>
      </c>
      <c r="AP23" s="100">
        <v>31</v>
      </c>
      <c r="AQ23" s="100">
        <v>9114</v>
      </c>
      <c r="AR23" s="100">
        <v>22</v>
      </c>
      <c r="AS23" s="100">
        <v>6468</v>
      </c>
      <c r="AT23" s="100">
        <v>30</v>
      </c>
      <c r="AU23" s="100">
        <v>8820</v>
      </c>
      <c r="AV23" s="100">
        <v>26</v>
      </c>
      <c r="AW23" s="100">
        <v>7644</v>
      </c>
      <c r="AX23" s="100">
        <v>23</v>
      </c>
      <c r="AY23" s="100">
        <v>6762</v>
      </c>
      <c r="AZ23" s="100">
        <v>16</v>
      </c>
      <c r="BA23" s="100">
        <v>4704</v>
      </c>
      <c r="BB23" s="100">
        <v>20</v>
      </c>
      <c r="BC23" s="100">
        <v>5880</v>
      </c>
      <c r="BD23" s="100">
        <v>23</v>
      </c>
      <c r="BE23" s="100">
        <v>6762</v>
      </c>
      <c r="BF23" s="100">
        <v>24</v>
      </c>
      <c r="BG23" s="100">
        <v>7056</v>
      </c>
      <c r="BH23" s="100">
        <v>21</v>
      </c>
      <c r="BI23" s="100">
        <v>6174</v>
      </c>
      <c r="BJ23" s="100">
        <v>30</v>
      </c>
      <c r="BK23" s="100">
        <v>8820</v>
      </c>
      <c r="BL23" s="100">
        <v>20</v>
      </c>
      <c r="BM23" s="100">
        <v>5880</v>
      </c>
      <c r="BN23" s="100">
        <v>26</v>
      </c>
      <c r="BO23" s="100">
        <v>7644</v>
      </c>
      <c r="BP23" s="100">
        <v>27</v>
      </c>
      <c r="BQ23" s="100">
        <v>7938</v>
      </c>
      <c r="BR23" s="100">
        <v>26</v>
      </c>
      <c r="BS23" s="100">
        <v>7644</v>
      </c>
      <c r="BT23" s="100">
        <v>24</v>
      </c>
      <c r="BU23" s="100">
        <v>7056</v>
      </c>
      <c r="BV23" s="100">
        <v>20</v>
      </c>
      <c r="BW23" s="100">
        <v>5880</v>
      </c>
      <c r="BX23" s="100">
        <v>18</v>
      </c>
      <c r="BY23" s="100">
        <v>5292</v>
      </c>
      <c r="BZ23" s="100">
        <v>15</v>
      </c>
      <c r="CA23" s="100">
        <v>4410</v>
      </c>
      <c r="CB23" s="100">
        <v>19</v>
      </c>
      <c r="CC23" s="100">
        <v>5586</v>
      </c>
      <c r="CD23" s="100">
        <v>33</v>
      </c>
      <c r="CE23" s="100">
        <v>9702</v>
      </c>
      <c r="CF23" s="100">
        <v>20</v>
      </c>
      <c r="CG23" s="100">
        <v>5880</v>
      </c>
      <c r="CH23" s="100">
        <v>27</v>
      </c>
      <c r="CI23" s="100">
        <v>7938</v>
      </c>
      <c r="CJ23" s="100">
        <v>24</v>
      </c>
      <c r="CK23" s="100">
        <v>7056</v>
      </c>
      <c r="CL23" s="100">
        <v>28</v>
      </c>
      <c r="CM23" s="100">
        <v>8232</v>
      </c>
      <c r="CN23" s="100">
        <v>34</v>
      </c>
      <c r="CO23" s="100">
        <v>9996</v>
      </c>
      <c r="CP23" s="100">
        <v>24</v>
      </c>
      <c r="CQ23" s="100">
        <v>7056</v>
      </c>
      <c r="CR23" s="100">
        <v>22</v>
      </c>
      <c r="CS23" s="100">
        <v>6468</v>
      </c>
      <c r="CT23" s="100">
        <v>30</v>
      </c>
      <c r="CU23" s="100">
        <v>8820</v>
      </c>
    </row>
    <row r="24" spans="2:99">
      <c r="C24" s="99" t="s">
        <v>190</v>
      </c>
      <c r="D24" s="100">
        <v>19</v>
      </c>
      <c r="E24" s="100">
        <v>6976.8</v>
      </c>
      <c r="F24" s="100">
        <v>24</v>
      </c>
      <c r="G24" s="100">
        <v>8812.7999999999993</v>
      </c>
      <c r="H24" s="100">
        <v>29</v>
      </c>
      <c r="I24" s="100">
        <v>10648.8</v>
      </c>
      <c r="J24" s="100">
        <v>17</v>
      </c>
      <c r="K24" s="100">
        <v>6242.4</v>
      </c>
      <c r="L24" s="100">
        <v>22</v>
      </c>
      <c r="M24" s="100">
        <v>8078.4</v>
      </c>
      <c r="N24" s="100">
        <v>24</v>
      </c>
      <c r="O24" s="100">
        <v>8812.7999999999993</v>
      </c>
      <c r="P24" s="100">
        <v>26</v>
      </c>
      <c r="Q24" s="100">
        <v>9547.1999999999989</v>
      </c>
      <c r="R24" s="100">
        <v>24.934825457073661</v>
      </c>
      <c r="S24" s="100">
        <v>9156.0679078374487</v>
      </c>
      <c r="T24" s="100">
        <v>24.161381170095726</v>
      </c>
      <c r="U24" s="100">
        <v>8872.0591656591496</v>
      </c>
      <c r="V24" s="100">
        <v>27.085482510973861</v>
      </c>
      <c r="W24" s="100">
        <v>9945.7891780296013</v>
      </c>
      <c r="X24" s="100">
        <v>18</v>
      </c>
      <c r="Y24" s="100">
        <v>6609.5999999999995</v>
      </c>
      <c r="Z24" s="100">
        <v>26</v>
      </c>
      <c r="AA24" s="100">
        <v>9547.1999999999989</v>
      </c>
      <c r="AB24" s="100">
        <v>23.586415562675167</v>
      </c>
      <c r="AC24" s="100">
        <v>8660.9317946143219</v>
      </c>
      <c r="AD24" s="100">
        <v>15</v>
      </c>
      <c r="AE24" s="100">
        <v>5508</v>
      </c>
      <c r="AF24" s="100">
        <v>20</v>
      </c>
      <c r="AG24" s="100">
        <v>7344</v>
      </c>
      <c r="AH24" s="100">
        <v>17</v>
      </c>
      <c r="AI24" s="100">
        <v>6242.4</v>
      </c>
      <c r="AJ24" s="100">
        <v>23</v>
      </c>
      <c r="AK24" s="100">
        <v>8445.6</v>
      </c>
      <c r="AL24" s="100">
        <v>25</v>
      </c>
      <c r="AM24" s="100">
        <v>9180</v>
      </c>
      <c r="AN24" s="100">
        <v>22</v>
      </c>
      <c r="AO24" s="100">
        <v>8078.4</v>
      </c>
      <c r="AP24" s="100">
        <v>27</v>
      </c>
      <c r="AQ24" s="100">
        <v>9914.4</v>
      </c>
      <c r="AR24" s="100">
        <v>25</v>
      </c>
      <c r="AS24" s="100">
        <v>9180</v>
      </c>
      <c r="AT24" s="100">
        <v>26</v>
      </c>
      <c r="AU24" s="100">
        <v>9547.1999999999989</v>
      </c>
      <c r="AV24" s="100">
        <v>24</v>
      </c>
      <c r="AW24" s="100">
        <v>8812.7999999999993</v>
      </c>
      <c r="AX24" s="100">
        <v>23</v>
      </c>
      <c r="AY24" s="100">
        <v>8445.6</v>
      </c>
      <c r="AZ24" s="100">
        <v>16</v>
      </c>
      <c r="BA24" s="100">
        <v>5875.2</v>
      </c>
      <c r="BB24" s="100">
        <v>22</v>
      </c>
      <c r="BC24" s="100">
        <v>8078.4</v>
      </c>
      <c r="BD24" s="100">
        <v>21</v>
      </c>
      <c r="BE24" s="100">
        <v>7711.2</v>
      </c>
      <c r="BF24" s="100">
        <v>23</v>
      </c>
      <c r="BG24" s="100">
        <v>8445.6</v>
      </c>
      <c r="BH24" s="100">
        <v>22</v>
      </c>
      <c r="BI24" s="100">
        <v>8078.4</v>
      </c>
      <c r="BJ24" s="100">
        <v>29</v>
      </c>
      <c r="BK24" s="100">
        <v>10648.8</v>
      </c>
      <c r="BL24" s="100">
        <v>20</v>
      </c>
      <c r="BM24" s="100">
        <v>7344</v>
      </c>
      <c r="BN24" s="100">
        <v>26</v>
      </c>
      <c r="BO24" s="100">
        <v>9547.1999999999989</v>
      </c>
      <c r="BP24" s="100">
        <v>28</v>
      </c>
      <c r="BQ24" s="100">
        <v>10281.6</v>
      </c>
      <c r="BR24" s="100">
        <v>25</v>
      </c>
      <c r="BS24" s="100">
        <v>9180</v>
      </c>
      <c r="BT24" s="100">
        <v>21</v>
      </c>
      <c r="BU24" s="100">
        <v>7711.2</v>
      </c>
      <c r="BV24" s="100">
        <v>21</v>
      </c>
      <c r="BW24" s="100">
        <v>7711.2</v>
      </c>
      <c r="BX24" s="100">
        <v>19</v>
      </c>
      <c r="BY24" s="100">
        <v>6976.8</v>
      </c>
      <c r="BZ24" s="100">
        <v>16</v>
      </c>
      <c r="CA24" s="100">
        <v>5875.2</v>
      </c>
      <c r="CB24" s="100">
        <v>20</v>
      </c>
      <c r="CC24" s="100">
        <v>7344</v>
      </c>
      <c r="CD24" s="100">
        <v>30</v>
      </c>
      <c r="CE24" s="100">
        <v>11016</v>
      </c>
      <c r="CF24" s="100">
        <v>19</v>
      </c>
      <c r="CG24" s="100">
        <v>6976.8</v>
      </c>
      <c r="CH24" s="100">
        <v>24</v>
      </c>
      <c r="CI24" s="100">
        <v>8812.7999999999993</v>
      </c>
      <c r="CJ24" s="100">
        <v>22</v>
      </c>
      <c r="CK24" s="100">
        <v>8078.4</v>
      </c>
      <c r="CL24" s="100">
        <v>27</v>
      </c>
      <c r="CM24" s="100">
        <v>9914.4</v>
      </c>
      <c r="CN24" s="100">
        <v>29</v>
      </c>
      <c r="CO24" s="100">
        <v>10648.8</v>
      </c>
      <c r="CP24" s="100">
        <v>21</v>
      </c>
      <c r="CQ24" s="100">
        <v>7711.2</v>
      </c>
      <c r="CR24" s="100">
        <v>22</v>
      </c>
      <c r="CS24" s="100">
        <v>8078.4</v>
      </c>
      <c r="CT24" s="100">
        <v>31</v>
      </c>
      <c r="CU24" s="100">
        <v>11383.199999999999</v>
      </c>
    </row>
    <row r="25" spans="2:99">
      <c r="C25" s="99" t="s">
        <v>191</v>
      </c>
      <c r="D25" s="100">
        <v>18</v>
      </c>
      <c r="E25" s="100">
        <v>9547.1999999999989</v>
      </c>
      <c r="F25" s="100">
        <v>22</v>
      </c>
      <c r="G25" s="100">
        <v>11668.8</v>
      </c>
      <c r="H25" s="100">
        <v>26</v>
      </c>
      <c r="I25" s="100">
        <v>13790.4</v>
      </c>
      <c r="J25" s="100">
        <v>17</v>
      </c>
      <c r="K25" s="100">
        <v>9016.7999999999993</v>
      </c>
      <c r="L25" s="100">
        <v>22</v>
      </c>
      <c r="M25" s="100">
        <v>11668.8</v>
      </c>
      <c r="N25" s="100">
        <v>28</v>
      </c>
      <c r="O25" s="100">
        <v>14851.199999999999</v>
      </c>
      <c r="P25" s="100">
        <v>30</v>
      </c>
      <c r="Q25" s="100">
        <v>15912</v>
      </c>
      <c r="R25" s="100">
        <v>22.940039420507766</v>
      </c>
      <c r="S25" s="100">
        <v>12167.396908637318</v>
      </c>
      <c r="T25" s="100">
        <v>21.26201542968424</v>
      </c>
      <c r="U25" s="100">
        <v>11277.372983904521</v>
      </c>
      <c r="V25" s="100">
        <v>25.150805188761442</v>
      </c>
      <c r="W25" s="100">
        <v>13339.987072119069</v>
      </c>
      <c r="X25" s="100">
        <v>16</v>
      </c>
      <c r="Y25" s="100">
        <v>8486.4</v>
      </c>
      <c r="Z25" s="100">
        <v>25</v>
      </c>
      <c r="AA25" s="100">
        <v>13260</v>
      </c>
      <c r="AB25" s="100">
        <v>24.529872185182175</v>
      </c>
      <c r="AC25" s="100">
        <v>13010.644207020625</v>
      </c>
      <c r="AD25" s="100">
        <v>15</v>
      </c>
      <c r="AE25" s="100">
        <v>7956</v>
      </c>
      <c r="AF25" s="100">
        <v>18</v>
      </c>
      <c r="AG25" s="100">
        <v>9547.1999999999989</v>
      </c>
      <c r="AH25" s="100">
        <v>17</v>
      </c>
      <c r="AI25" s="100">
        <v>9016.7999999999993</v>
      </c>
      <c r="AJ25" s="100">
        <v>22</v>
      </c>
      <c r="AK25" s="100">
        <v>11668.8</v>
      </c>
      <c r="AL25" s="100">
        <v>24</v>
      </c>
      <c r="AM25" s="100">
        <v>12729.599999999999</v>
      </c>
      <c r="AN25" s="100">
        <v>20</v>
      </c>
      <c r="AO25" s="100">
        <v>10608</v>
      </c>
      <c r="AP25" s="100">
        <v>28</v>
      </c>
      <c r="AQ25" s="100">
        <v>14851.199999999999</v>
      </c>
      <c r="AR25" s="100">
        <v>22</v>
      </c>
      <c r="AS25" s="100">
        <v>11668.8</v>
      </c>
      <c r="AT25" s="100">
        <v>28</v>
      </c>
      <c r="AU25" s="100">
        <v>14851.199999999999</v>
      </c>
      <c r="AV25" s="100">
        <v>23</v>
      </c>
      <c r="AW25" s="100">
        <v>12199.199999999999</v>
      </c>
      <c r="AX25" s="100">
        <v>21</v>
      </c>
      <c r="AY25" s="100">
        <v>11138.4</v>
      </c>
      <c r="AZ25" s="100">
        <v>16</v>
      </c>
      <c r="BA25" s="100">
        <v>8486.4</v>
      </c>
      <c r="BB25" s="100">
        <v>19</v>
      </c>
      <c r="BC25" s="100">
        <v>10077.6</v>
      </c>
      <c r="BD25" s="100">
        <v>19</v>
      </c>
      <c r="BE25" s="100">
        <v>10077.6</v>
      </c>
      <c r="BF25" s="100">
        <v>23</v>
      </c>
      <c r="BG25" s="100">
        <v>12199.199999999999</v>
      </c>
      <c r="BH25" s="100">
        <v>21</v>
      </c>
      <c r="BI25" s="100">
        <v>11138.4</v>
      </c>
      <c r="BJ25" s="100">
        <v>28</v>
      </c>
      <c r="BK25" s="100">
        <v>14851.199999999999</v>
      </c>
      <c r="BL25" s="100">
        <v>21</v>
      </c>
      <c r="BM25" s="100">
        <v>11138.4</v>
      </c>
      <c r="BN25" s="100">
        <v>25</v>
      </c>
      <c r="BO25" s="100">
        <v>13260</v>
      </c>
      <c r="BP25" s="100">
        <v>27</v>
      </c>
      <c r="BQ25" s="100">
        <v>14320.8</v>
      </c>
      <c r="BR25" s="100">
        <v>23</v>
      </c>
      <c r="BS25" s="100">
        <v>12199.199999999999</v>
      </c>
      <c r="BT25" s="100">
        <v>21</v>
      </c>
      <c r="BU25" s="100">
        <v>11138.4</v>
      </c>
      <c r="BV25" s="100">
        <v>19</v>
      </c>
      <c r="BW25" s="100">
        <v>10077.6</v>
      </c>
      <c r="BX25" s="100">
        <v>18</v>
      </c>
      <c r="BY25" s="100">
        <v>9547.1999999999989</v>
      </c>
      <c r="BZ25" s="100">
        <v>15</v>
      </c>
      <c r="CA25" s="100">
        <v>7956</v>
      </c>
      <c r="CB25" s="100">
        <v>19</v>
      </c>
      <c r="CC25" s="100">
        <v>10077.6</v>
      </c>
      <c r="CD25" s="100">
        <v>32</v>
      </c>
      <c r="CE25" s="100">
        <v>16972.8</v>
      </c>
      <c r="CF25" s="100">
        <v>19</v>
      </c>
      <c r="CG25" s="100">
        <v>10077.6</v>
      </c>
      <c r="CH25" s="100">
        <v>24</v>
      </c>
      <c r="CI25" s="100">
        <v>12729.599999999999</v>
      </c>
      <c r="CJ25" s="100">
        <v>21</v>
      </c>
      <c r="CK25" s="100">
        <v>11138.4</v>
      </c>
      <c r="CL25" s="100">
        <v>30</v>
      </c>
      <c r="CM25" s="100">
        <v>15912</v>
      </c>
      <c r="CN25" s="100">
        <v>27</v>
      </c>
      <c r="CO25" s="100">
        <v>14320.8</v>
      </c>
      <c r="CP25" s="100">
        <v>23</v>
      </c>
      <c r="CQ25" s="100">
        <v>12199.199999999999</v>
      </c>
      <c r="CR25" s="100">
        <v>22</v>
      </c>
      <c r="CS25" s="100">
        <v>11668.8</v>
      </c>
      <c r="CT25" s="100">
        <v>31</v>
      </c>
      <c r="CU25" s="100">
        <v>16442.399999999998</v>
      </c>
    </row>
    <row r="26" spans="2:99">
      <c r="C26" s="99" t="s">
        <v>192</v>
      </c>
      <c r="D26" s="100">
        <v>18</v>
      </c>
      <c r="E26" s="100">
        <v>8748</v>
      </c>
      <c r="F26" s="100">
        <v>24</v>
      </c>
      <c r="G26" s="100">
        <v>11664</v>
      </c>
      <c r="H26" s="100">
        <v>28</v>
      </c>
      <c r="I26" s="100">
        <v>13608</v>
      </c>
      <c r="J26" s="100">
        <v>19</v>
      </c>
      <c r="K26" s="100">
        <v>9234</v>
      </c>
      <c r="L26" s="100">
        <v>21</v>
      </c>
      <c r="M26" s="100">
        <v>10206</v>
      </c>
      <c r="N26" s="100">
        <v>25</v>
      </c>
      <c r="O26" s="100">
        <v>12150</v>
      </c>
      <c r="P26" s="100">
        <v>29</v>
      </c>
      <c r="Q26" s="100">
        <v>14094</v>
      </c>
      <c r="R26" s="100">
        <v>21.942646402224824</v>
      </c>
      <c r="S26" s="100">
        <v>10664.126151481265</v>
      </c>
      <c r="T26" s="100">
        <v>23.194925923291901</v>
      </c>
      <c r="U26" s="100">
        <v>11272.733998719865</v>
      </c>
      <c r="V26" s="100">
        <v>28.052821172080066</v>
      </c>
      <c r="W26" s="100">
        <v>13633.671089630912</v>
      </c>
      <c r="X26" s="100">
        <v>17</v>
      </c>
      <c r="Y26" s="100">
        <v>8262</v>
      </c>
      <c r="Z26" s="100">
        <v>28</v>
      </c>
      <c r="AA26" s="100">
        <v>13608</v>
      </c>
      <c r="AB26" s="100">
        <v>22.642958940168164</v>
      </c>
      <c r="AC26" s="100">
        <v>11004.478044921727</v>
      </c>
      <c r="AD26" s="100">
        <v>15</v>
      </c>
      <c r="AE26" s="100">
        <v>7290</v>
      </c>
      <c r="AF26" s="100">
        <v>19</v>
      </c>
      <c r="AG26" s="100">
        <v>9234</v>
      </c>
      <c r="AH26" s="100">
        <v>17</v>
      </c>
      <c r="AI26" s="100">
        <v>8262</v>
      </c>
      <c r="AJ26" s="100">
        <v>23</v>
      </c>
      <c r="AK26" s="100">
        <v>11178</v>
      </c>
      <c r="AL26" s="100">
        <v>24</v>
      </c>
      <c r="AM26" s="100">
        <v>11664</v>
      </c>
      <c r="AN26" s="100">
        <v>20</v>
      </c>
      <c r="AO26" s="100">
        <v>9720</v>
      </c>
      <c r="AP26" s="100">
        <v>27</v>
      </c>
      <c r="AQ26" s="100">
        <v>13122</v>
      </c>
      <c r="AR26" s="100">
        <v>21</v>
      </c>
      <c r="AS26" s="100">
        <v>10206</v>
      </c>
      <c r="AT26" s="100">
        <v>28</v>
      </c>
      <c r="AU26" s="100">
        <v>13608</v>
      </c>
      <c r="AV26" s="100">
        <v>27</v>
      </c>
      <c r="AW26" s="100">
        <v>13122</v>
      </c>
      <c r="AX26" s="100">
        <v>25</v>
      </c>
      <c r="AY26" s="100">
        <v>12150</v>
      </c>
      <c r="AZ26" s="100">
        <v>16</v>
      </c>
      <c r="BA26" s="100">
        <v>7776</v>
      </c>
      <c r="BB26" s="100">
        <v>22</v>
      </c>
      <c r="BC26" s="100">
        <v>10692</v>
      </c>
      <c r="BD26" s="100">
        <v>21</v>
      </c>
      <c r="BE26" s="100">
        <v>10206</v>
      </c>
      <c r="BF26" s="100">
        <v>25</v>
      </c>
      <c r="BG26" s="100">
        <v>12150</v>
      </c>
      <c r="BH26" s="100">
        <v>21</v>
      </c>
      <c r="BI26" s="100">
        <v>10206</v>
      </c>
      <c r="BJ26" s="100">
        <v>30</v>
      </c>
      <c r="BK26" s="100">
        <v>14580</v>
      </c>
      <c r="BL26" s="100">
        <v>21</v>
      </c>
      <c r="BM26" s="100">
        <v>10206</v>
      </c>
      <c r="BN26" s="100">
        <v>23</v>
      </c>
      <c r="BO26" s="100">
        <v>11178</v>
      </c>
      <c r="BP26" s="100">
        <v>26</v>
      </c>
      <c r="BQ26" s="100">
        <v>12636</v>
      </c>
      <c r="BR26" s="100">
        <v>25</v>
      </c>
      <c r="BS26" s="100">
        <v>12150</v>
      </c>
      <c r="BT26" s="100">
        <v>21</v>
      </c>
      <c r="BU26" s="100">
        <v>10206</v>
      </c>
      <c r="BV26" s="100">
        <v>19</v>
      </c>
      <c r="BW26" s="100">
        <v>9234</v>
      </c>
      <c r="BX26" s="100">
        <v>18</v>
      </c>
      <c r="BY26" s="100">
        <v>8748</v>
      </c>
      <c r="BZ26" s="100">
        <v>16</v>
      </c>
      <c r="CA26" s="100">
        <v>7776</v>
      </c>
      <c r="CB26" s="100">
        <v>21</v>
      </c>
      <c r="CC26" s="100">
        <v>10206</v>
      </c>
      <c r="CD26" s="100">
        <v>30</v>
      </c>
      <c r="CE26" s="100">
        <v>14580</v>
      </c>
      <c r="CF26" s="100">
        <v>20</v>
      </c>
      <c r="CG26" s="100">
        <v>9720</v>
      </c>
      <c r="CH26" s="100">
        <v>24</v>
      </c>
      <c r="CI26" s="100">
        <v>11664</v>
      </c>
      <c r="CJ26" s="100">
        <v>22</v>
      </c>
      <c r="CK26" s="100">
        <v>10692</v>
      </c>
      <c r="CL26" s="100">
        <v>27</v>
      </c>
      <c r="CM26" s="100">
        <v>13122</v>
      </c>
      <c r="CN26" s="100">
        <v>27</v>
      </c>
      <c r="CO26" s="100">
        <v>13122</v>
      </c>
      <c r="CP26" s="100">
        <v>23</v>
      </c>
      <c r="CQ26" s="100">
        <v>11178</v>
      </c>
      <c r="CR26" s="100">
        <v>20</v>
      </c>
      <c r="CS26" s="100">
        <v>9720</v>
      </c>
      <c r="CT26" s="100">
        <v>32</v>
      </c>
      <c r="CU26" s="100">
        <v>15552</v>
      </c>
    </row>
    <row r="27" spans="2:99">
      <c r="C27" s="99" t="s">
        <v>193</v>
      </c>
      <c r="D27" s="100">
        <v>17</v>
      </c>
      <c r="E27" s="100">
        <v>7262.4</v>
      </c>
      <c r="F27" s="100">
        <v>26</v>
      </c>
      <c r="G27" s="100">
        <v>11107.199999999999</v>
      </c>
      <c r="H27" s="100">
        <v>26</v>
      </c>
      <c r="I27" s="100">
        <v>11107.199999999999</v>
      </c>
      <c r="J27" s="100">
        <v>19</v>
      </c>
      <c r="K27" s="100">
        <v>8116.8</v>
      </c>
      <c r="L27" s="100">
        <v>24</v>
      </c>
      <c r="M27" s="100">
        <v>10252.799999999999</v>
      </c>
      <c r="N27" s="100">
        <v>26</v>
      </c>
      <c r="O27" s="100">
        <v>11107.199999999999</v>
      </c>
      <c r="P27" s="100">
        <v>29</v>
      </c>
      <c r="Q27" s="100">
        <v>12388.8</v>
      </c>
      <c r="R27" s="100">
        <v>21.942646402224824</v>
      </c>
      <c r="S27" s="100">
        <v>9373.8985430304438</v>
      </c>
      <c r="T27" s="100">
        <v>22.228470676488072</v>
      </c>
      <c r="U27" s="100">
        <v>9496.0026729957044</v>
      </c>
      <c r="V27" s="100">
        <v>26.11814384986765</v>
      </c>
      <c r="W27" s="100">
        <v>11157.67105266346</v>
      </c>
      <c r="X27" s="100">
        <v>17</v>
      </c>
      <c r="Y27" s="100">
        <v>7262.4</v>
      </c>
      <c r="Z27" s="100">
        <v>26</v>
      </c>
      <c r="AA27" s="100">
        <v>11107.199999999999</v>
      </c>
      <c r="AB27" s="100">
        <v>24.529872185182175</v>
      </c>
      <c r="AC27" s="100">
        <v>10479.161397509824</v>
      </c>
      <c r="AD27" s="100">
        <v>15</v>
      </c>
      <c r="AE27" s="100">
        <v>6408</v>
      </c>
      <c r="AF27" s="100">
        <v>19</v>
      </c>
      <c r="AG27" s="100">
        <v>8116.8</v>
      </c>
      <c r="AH27" s="100">
        <v>16</v>
      </c>
      <c r="AI27" s="100">
        <v>6835.2</v>
      </c>
      <c r="AJ27" s="100">
        <v>24</v>
      </c>
      <c r="AK27" s="100">
        <v>10252.799999999999</v>
      </c>
      <c r="AL27" s="100">
        <v>25</v>
      </c>
      <c r="AM27" s="100">
        <v>10680</v>
      </c>
      <c r="AN27" s="100">
        <v>21</v>
      </c>
      <c r="AO27" s="100">
        <v>8971.1999999999989</v>
      </c>
      <c r="AP27" s="100">
        <v>30</v>
      </c>
      <c r="AQ27" s="100">
        <v>12816</v>
      </c>
      <c r="AR27" s="100">
        <v>25</v>
      </c>
      <c r="AS27" s="100">
        <v>10680</v>
      </c>
      <c r="AT27" s="100">
        <v>25</v>
      </c>
      <c r="AU27" s="100">
        <v>10680</v>
      </c>
      <c r="AV27" s="100">
        <v>27</v>
      </c>
      <c r="AW27" s="100">
        <v>11534.4</v>
      </c>
      <c r="AX27" s="100">
        <v>23</v>
      </c>
      <c r="AY27" s="100">
        <v>9825.6</v>
      </c>
      <c r="AZ27" s="100">
        <v>17</v>
      </c>
      <c r="BA27" s="100">
        <v>7262.4</v>
      </c>
      <c r="BB27" s="100">
        <v>21</v>
      </c>
      <c r="BC27" s="100">
        <v>8971.1999999999989</v>
      </c>
      <c r="BD27" s="100">
        <v>21</v>
      </c>
      <c r="BE27" s="100">
        <v>8971.1999999999989</v>
      </c>
      <c r="BF27" s="100">
        <v>25</v>
      </c>
      <c r="BG27" s="100">
        <v>10680</v>
      </c>
      <c r="BH27" s="100">
        <v>23</v>
      </c>
      <c r="BI27" s="100">
        <v>9825.6</v>
      </c>
      <c r="BJ27" s="100">
        <v>30</v>
      </c>
      <c r="BK27" s="100">
        <v>12816</v>
      </c>
      <c r="BL27" s="100">
        <v>21</v>
      </c>
      <c r="BM27" s="100">
        <v>8971.1999999999989</v>
      </c>
      <c r="BN27" s="100">
        <v>22</v>
      </c>
      <c r="BO27" s="100">
        <v>9398.4</v>
      </c>
      <c r="BP27" s="100">
        <v>25</v>
      </c>
      <c r="BQ27" s="100">
        <v>10680</v>
      </c>
      <c r="BR27" s="100">
        <v>21</v>
      </c>
      <c r="BS27" s="100">
        <v>8971.1999999999989</v>
      </c>
      <c r="BT27" s="100">
        <v>21</v>
      </c>
      <c r="BU27" s="100">
        <v>8971.1999999999989</v>
      </c>
      <c r="BV27" s="100">
        <v>18</v>
      </c>
      <c r="BW27" s="100">
        <v>7689.5999999999995</v>
      </c>
      <c r="BX27" s="100">
        <v>18</v>
      </c>
      <c r="BY27" s="100">
        <v>7689.5999999999995</v>
      </c>
      <c r="BZ27" s="100">
        <v>16</v>
      </c>
      <c r="CA27" s="100">
        <v>6835.2</v>
      </c>
      <c r="CB27" s="100">
        <v>17</v>
      </c>
      <c r="CC27" s="100">
        <v>7262.4</v>
      </c>
      <c r="CD27" s="100">
        <v>29</v>
      </c>
      <c r="CE27" s="100">
        <v>12388.8</v>
      </c>
      <c r="CF27" s="100">
        <v>19</v>
      </c>
      <c r="CG27" s="100">
        <v>8116.8</v>
      </c>
      <c r="CH27" s="100">
        <v>28</v>
      </c>
      <c r="CI27" s="100">
        <v>11961.6</v>
      </c>
      <c r="CJ27" s="100">
        <v>23</v>
      </c>
      <c r="CK27" s="100">
        <v>9825.6</v>
      </c>
      <c r="CL27" s="100">
        <v>30</v>
      </c>
      <c r="CM27" s="100">
        <v>12816</v>
      </c>
      <c r="CN27" s="100">
        <v>31</v>
      </c>
      <c r="CO27" s="100">
        <v>13243.199999999999</v>
      </c>
      <c r="CP27" s="100">
        <v>24</v>
      </c>
      <c r="CQ27" s="100">
        <v>10252.799999999999</v>
      </c>
      <c r="CR27" s="100">
        <v>22</v>
      </c>
      <c r="CS27" s="100">
        <v>9398.4</v>
      </c>
      <c r="CT27" s="100">
        <v>28</v>
      </c>
      <c r="CU27" s="100">
        <v>11961.6</v>
      </c>
    </row>
    <row r="28" spans="2:99">
      <c r="C28" s="99" t="s">
        <v>194</v>
      </c>
      <c r="D28" s="100">
        <v>18</v>
      </c>
      <c r="E28" s="100">
        <v>13284</v>
      </c>
      <c r="F28" s="100">
        <v>23</v>
      </c>
      <c r="G28" s="100">
        <v>16974</v>
      </c>
      <c r="H28" s="100">
        <v>29</v>
      </c>
      <c r="I28" s="100">
        <v>21402</v>
      </c>
      <c r="J28" s="100">
        <v>17</v>
      </c>
      <c r="K28" s="100">
        <v>12546</v>
      </c>
      <c r="L28" s="100">
        <v>20</v>
      </c>
      <c r="M28" s="100">
        <v>14760</v>
      </c>
      <c r="N28" s="100">
        <v>23</v>
      </c>
      <c r="O28" s="100">
        <v>16974</v>
      </c>
      <c r="P28" s="100">
        <v>27</v>
      </c>
      <c r="Q28" s="100">
        <v>19926</v>
      </c>
      <c r="R28" s="100">
        <v>21.942646402224824</v>
      </c>
      <c r="S28" s="100">
        <v>16193.67304484192</v>
      </c>
      <c r="T28" s="100">
        <v>25.127836416899559</v>
      </c>
      <c r="U28" s="100">
        <v>18544.343275671876</v>
      </c>
      <c r="V28" s="100">
        <v>28.052821172080066</v>
      </c>
      <c r="W28" s="100">
        <v>20702.98202499509</v>
      </c>
      <c r="X28" s="100">
        <v>17</v>
      </c>
      <c r="Y28" s="100">
        <v>12546</v>
      </c>
      <c r="Z28" s="100">
        <v>27</v>
      </c>
      <c r="AA28" s="100">
        <v>19926</v>
      </c>
      <c r="AB28" s="100">
        <v>21.699502317661157</v>
      </c>
      <c r="AC28" s="100">
        <v>16014.232710433933</v>
      </c>
      <c r="AD28" s="100">
        <v>14</v>
      </c>
      <c r="AE28" s="100">
        <v>10332</v>
      </c>
      <c r="AF28" s="100">
        <v>20</v>
      </c>
      <c r="AG28" s="100">
        <v>14760</v>
      </c>
      <c r="AH28" s="100">
        <v>18</v>
      </c>
      <c r="AI28" s="100">
        <v>13284</v>
      </c>
      <c r="AJ28" s="100">
        <v>22</v>
      </c>
      <c r="AK28" s="100">
        <v>16236</v>
      </c>
      <c r="AL28" s="100">
        <v>24</v>
      </c>
      <c r="AM28" s="100">
        <v>17712</v>
      </c>
      <c r="AN28" s="100">
        <v>20</v>
      </c>
      <c r="AO28" s="100">
        <v>14760</v>
      </c>
      <c r="AP28" s="100">
        <v>29</v>
      </c>
      <c r="AQ28" s="100">
        <v>21402</v>
      </c>
      <c r="AR28" s="100">
        <v>23</v>
      </c>
      <c r="AS28" s="100">
        <v>16974</v>
      </c>
      <c r="AT28" s="100">
        <v>28</v>
      </c>
      <c r="AU28" s="100">
        <v>20664</v>
      </c>
      <c r="AV28" s="100">
        <v>26</v>
      </c>
      <c r="AW28" s="100">
        <v>19188</v>
      </c>
      <c r="AX28" s="100">
        <v>20</v>
      </c>
      <c r="AY28" s="100">
        <v>14760</v>
      </c>
      <c r="AZ28" s="100">
        <v>15</v>
      </c>
      <c r="BA28" s="100">
        <v>11070</v>
      </c>
      <c r="BB28" s="100">
        <v>22</v>
      </c>
      <c r="BC28" s="100">
        <v>16236</v>
      </c>
      <c r="BD28" s="100">
        <v>20</v>
      </c>
      <c r="BE28" s="100">
        <v>14760</v>
      </c>
      <c r="BF28" s="100">
        <v>22</v>
      </c>
      <c r="BG28" s="100">
        <v>16236</v>
      </c>
      <c r="BH28" s="100">
        <v>22</v>
      </c>
      <c r="BI28" s="100">
        <v>16236</v>
      </c>
      <c r="BJ28" s="100">
        <v>26</v>
      </c>
      <c r="BK28" s="100">
        <v>19188</v>
      </c>
      <c r="BL28" s="100">
        <v>21</v>
      </c>
      <c r="BM28" s="100">
        <v>15498</v>
      </c>
      <c r="BN28" s="100">
        <v>23</v>
      </c>
      <c r="BO28" s="100">
        <v>16974</v>
      </c>
      <c r="BP28" s="100">
        <v>28</v>
      </c>
      <c r="BQ28" s="100">
        <v>20664</v>
      </c>
      <c r="BR28" s="100">
        <v>22</v>
      </c>
      <c r="BS28" s="100">
        <v>16236</v>
      </c>
      <c r="BT28" s="100">
        <v>19</v>
      </c>
      <c r="BU28" s="100">
        <v>14022</v>
      </c>
      <c r="BV28" s="100">
        <v>17</v>
      </c>
      <c r="BW28" s="100">
        <v>12546</v>
      </c>
      <c r="BX28" s="100">
        <v>16</v>
      </c>
      <c r="BY28" s="100">
        <v>11808</v>
      </c>
      <c r="BZ28" s="100">
        <v>15</v>
      </c>
      <c r="CA28" s="100">
        <v>11070</v>
      </c>
      <c r="CB28" s="100">
        <v>18</v>
      </c>
      <c r="CC28" s="100">
        <v>13284</v>
      </c>
      <c r="CD28" s="100">
        <v>29</v>
      </c>
      <c r="CE28" s="100">
        <v>21402</v>
      </c>
      <c r="CF28" s="100">
        <v>18</v>
      </c>
      <c r="CG28" s="100">
        <v>13284</v>
      </c>
      <c r="CH28" s="100">
        <v>25</v>
      </c>
      <c r="CI28" s="100">
        <v>18450</v>
      </c>
      <c r="CJ28" s="100">
        <v>22</v>
      </c>
      <c r="CK28" s="100">
        <v>16236</v>
      </c>
      <c r="CL28" s="100">
        <v>27</v>
      </c>
      <c r="CM28" s="100">
        <v>19926</v>
      </c>
      <c r="CN28" s="100">
        <v>27</v>
      </c>
      <c r="CO28" s="100">
        <v>19926</v>
      </c>
      <c r="CP28" s="100">
        <v>23</v>
      </c>
      <c r="CQ28" s="100">
        <v>16974</v>
      </c>
      <c r="CR28" s="100">
        <v>22</v>
      </c>
      <c r="CS28" s="100">
        <v>16236</v>
      </c>
      <c r="CT28" s="100">
        <v>29</v>
      </c>
      <c r="CU28" s="100">
        <v>21402</v>
      </c>
    </row>
    <row r="29" spans="2:99">
      <c r="C29" s="99" t="s">
        <v>195</v>
      </c>
      <c r="D29" s="100">
        <v>17</v>
      </c>
      <c r="E29" s="100">
        <v>5752.7999999999993</v>
      </c>
      <c r="F29" s="100">
        <v>24</v>
      </c>
      <c r="G29" s="100">
        <v>8121.5999999999995</v>
      </c>
      <c r="H29" s="100">
        <v>28</v>
      </c>
      <c r="I29" s="100">
        <v>9475.1999999999989</v>
      </c>
      <c r="J29" s="100">
        <v>16</v>
      </c>
      <c r="K29" s="100">
        <v>5414.4</v>
      </c>
      <c r="L29" s="100">
        <v>25</v>
      </c>
      <c r="M29" s="100">
        <v>8460</v>
      </c>
      <c r="N29" s="100">
        <v>28</v>
      </c>
      <c r="O29" s="100">
        <v>9475.1999999999989</v>
      </c>
      <c r="P29" s="100">
        <v>27</v>
      </c>
      <c r="Q29" s="100">
        <v>9136.7999999999993</v>
      </c>
      <c r="R29" s="100">
        <v>25.932218475356606</v>
      </c>
      <c r="S29" s="100">
        <v>8775.4627320606742</v>
      </c>
      <c r="T29" s="100">
        <v>26.094291663703387</v>
      </c>
      <c r="U29" s="100">
        <v>8830.3082989972263</v>
      </c>
      <c r="V29" s="100">
        <v>28.052821172080066</v>
      </c>
      <c r="W29" s="100">
        <v>9493.0746846318943</v>
      </c>
      <c r="X29" s="100">
        <v>16</v>
      </c>
      <c r="Y29" s="100">
        <v>5414.4</v>
      </c>
      <c r="Z29" s="100">
        <v>24</v>
      </c>
      <c r="AA29" s="100">
        <v>8121.5999999999995</v>
      </c>
      <c r="AB29" s="100">
        <v>21.699502317661157</v>
      </c>
      <c r="AC29" s="100">
        <v>7343.1115842965346</v>
      </c>
      <c r="AD29" s="100">
        <v>14</v>
      </c>
      <c r="AE29" s="100">
        <v>4737.5999999999995</v>
      </c>
      <c r="AF29" s="100">
        <v>21</v>
      </c>
      <c r="AG29" s="100">
        <v>7106.4</v>
      </c>
      <c r="AH29" s="100">
        <v>16</v>
      </c>
      <c r="AI29" s="100">
        <v>5414.4</v>
      </c>
      <c r="AJ29" s="100">
        <v>21</v>
      </c>
      <c r="AK29" s="100">
        <v>7106.4</v>
      </c>
      <c r="AL29" s="100">
        <v>23</v>
      </c>
      <c r="AM29" s="100">
        <v>7783.2</v>
      </c>
      <c r="AN29" s="100">
        <v>23</v>
      </c>
      <c r="AO29" s="100">
        <v>7783.2</v>
      </c>
      <c r="AP29" s="100">
        <v>30</v>
      </c>
      <c r="AQ29" s="100">
        <v>10152</v>
      </c>
      <c r="AR29" s="100">
        <v>21</v>
      </c>
      <c r="AS29" s="100">
        <v>7106.4</v>
      </c>
      <c r="AT29" s="100">
        <v>27</v>
      </c>
      <c r="AU29" s="100">
        <v>9136.7999999999993</v>
      </c>
      <c r="AV29" s="100">
        <v>26</v>
      </c>
      <c r="AW29" s="100">
        <v>8798.4</v>
      </c>
      <c r="AX29" s="100">
        <v>22</v>
      </c>
      <c r="AY29" s="100">
        <v>7444.7999999999993</v>
      </c>
      <c r="AZ29" s="100">
        <v>16</v>
      </c>
      <c r="BA29" s="100">
        <v>5414.4</v>
      </c>
      <c r="BB29" s="100">
        <v>21</v>
      </c>
      <c r="BC29" s="100">
        <v>7106.4</v>
      </c>
      <c r="BD29" s="100">
        <v>20</v>
      </c>
      <c r="BE29" s="100">
        <v>6768</v>
      </c>
      <c r="BF29" s="100">
        <v>23</v>
      </c>
      <c r="BG29" s="100">
        <v>7783.2</v>
      </c>
      <c r="BH29" s="100">
        <v>24</v>
      </c>
      <c r="BI29" s="100">
        <v>8121.5999999999995</v>
      </c>
      <c r="BJ29" s="100">
        <v>30</v>
      </c>
      <c r="BK29" s="100">
        <v>10152</v>
      </c>
      <c r="BL29" s="100">
        <v>19</v>
      </c>
      <c r="BM29" s="100">
        <v>6429.5999999999995</v>
      </c>
      <c r="BN29" s="100">
        <v>22</v>
      </c>
      <c r="BO29" s="100">
        <v>7444.7999999999993</v>
      </c>
      <c r="BP29" s="100">
        <v>25</v>
      </c>
      <c r="BQ29" s="100">
        <v>8460</v>
      </c>
      <c r="BR29" s="100">
        <v>26</v>
      </c>
      <c r="BS29" s="100">
        <v>8798.4</v>
      </c>
      <c r="BT29" s="100">
        <v>23</v>
      </c>
      <c r="BU29" s="100">
        <v>7783.2</v>
      </c>
      <c r="BV29" s="100">
        <v>21</v>
      </c>
      <c r="BW29" s="100">
        <v>7106.4</v>
      </c>
      <c r="BX29" s="100">
        <v>20</v>
      </c>
      <c r="BY29" s="100">
        <v>6768</v>
      </c>
      <c r="BZ29" s="100">
        <v>17</v>
      </c>
      <c r="CA29" s="100">
        <v>5752.7999999999993</v>
      </c>
      <c r="CB29" s="100">
        <v>18</v>
      </c>
      <c r="CC29" s="100">
        <v>6091.2</v>
      </c>
      <c r="CD29" s="100">
        <v>35</v>
      </c>
      <c r="CE29" s="100">
        <v>11844</v>
      </c>
      <c r="CF29" s="100">
        <v>21</v>
      </c>
      <c r="CG29" s="100">
        <v>7106.4</v>
      </c>
      <c r="CH29" s="100">
        <v>24</v>
      </c>
      <c r="CI29" s="100">
        <v>8121.5999999999995</v>
      </c>
      <c r="CJ29" s="100">
        <v>20</v>
      </c>
      <c r="CK29" s="100">
        <v>6768</v>
      </c>
      <c r="CL29" s="100">
        <v>30</v>
      </c>
      <c r="CM29" s="100">
        <v>10152</v>
      </c>
      <c r="CN29" s="100">
        <v>29</v>
      </c>
      <c r="CO29" s="100">
        <v>9813.5999999999985</v>
      </c>
      <c r="CP29" s="100">
        <v>22</v>
      </c>
      <c r="CQ29" s="100">
        <v>7444.7999999999993</v>
      </c>
      <c r="CR29" s="100">
        <v>24</v>
      </c>
      <c r="CS29" s="100">
        <v>8121.5999999999995</v>
      </c>
      <c r="CT29" s="100">
        <v>28</v>
      </c>
      <c r="CU29" s="100">
        <v>9475.1999999999989</v>
      </c>
    </row>
    <row r="30" spans="2:99">
      <c r="C30" s="99" t="s">
        <v>196</v>
      </c>
      <c r="D30" s="100">
        <v>20</v>
      </c>
      <c r="E30" s="100">
        <v>2784</v>
      </c>
      <c r="F30" s="100">
        <v>23</v>
      </c>
      <c r="G30" s="100">
        <v>3201.6</v>
      </c>
      <c r="H30" s="100">
        <v>31</v>
      </c>
      <c r="I30" s="100">
        <v>4315.2</v>
      </c>
      <c r="J30" s="100">
        <v>20</v>
      </c>
      <c r="K30" s="100">
        <v>2784</v>
      </c>
      <c r="L30" s="100">
        <v>25</v>
      </c>
      <c r="M30" s="100">
        <v>3479.9999999999995</v>
      </c>
      <c r="N30" s="100">
        <v>29</v>
      </c>
      <c r="O30" s="100">
        <v>4036.7999999999997</v>
      </c>
      <c r="P30" s="100">
        <v>28</v>
      </c>
      <c r="Q30" s="100">
        <v>3897.5999999999995</v>
      </c>
      <c r="R30" s="100">
        <v>22.940039420507766</v>
      </c>
      <c r="S30" s="100">
        <v>3193.2534873346808</v>
      </c>
      <c r="T30" s="100">
        <v>24.161381170095726</v>
      </c>
      <c r="U30" s="100">
        <v>3363.2642588773247</v>
      </c>
      <c r="V30" s="100">
        <v>28.052821172080066</v>
      </c>
      <c r="W30" s="100">
        <v>3904.9527071535449</v>
      </c>
      <c r="X30" s="100">
        <v>17</v>
      </c>
      <c r="Y30" s="100">
        <v>2366.3999999999996</v>
      </c>
      <c r="Z30" s="100">
        <v>26</v>
      </c>
      <c r="AA30" s="100">
        <v>3619.2</v>
      </c>
      <c r="AB30" s="100">
        <v>22.642958940168164</v>
      </c>
      <c r="AC30" s="100">
        <v>3151.8998844714083</v>
      </c>
      <c r="AD30" s="100">
        <v>15</v>
      </c>
      <c r="AE30" s="100">
        <v>2088</v>
      </c>
      <c r="AF30" s="100">
        <v>19</v>
      </c>
      <c r="AG30" s="100">
        <v>2644.7999999999997</v>
      </c>
      <c r="AH30" s="100">
        <v>17</v>
      </c>
      <c r="AI30" s="100">
        <v>2366.3999999999996</v>
      </c>
      <c r="AJ30" s="100">
        <v>23</v>
      </c>
      <c r="AK30" s="100">
        <v>3201.6</v>
      </c>
      <c r="AL30" s="100">
        <v>23</v>
      </c>
      <c r="AM30" s="100">
        <v>3201.6</v>
      </c>
      <c r="AN30" s="100">
        <v>23</v>
      </c>
      <c r="AO30" s="100">
        <v>3201.6</v>
      </c>
      <c r="AP30" s="100">
        <v>31</v>
      </c>
      <c r="AQ30" s="100">
        <v>4315.2</v>
      </c>
      <c r="AR30" s="100">
        <v>26</v>
      </c>
      <c r="AS30" s="100">
        <v>3619.2</v>
      </c>
      <c r="AT30" s="100">
        <v>28</v>
      </c>
      <c r="AU30" s="100">
        <v>3897.5999999999995</v>
      </c>
      <c r="AV30" s="100">
        <v>25</v>
      </c>
      <c r="AW30" s="100">
        <v>3479.9999999999995</v>
      </c>
      <c r="AX30" s="100">
        <v>22</v>
      </c>
      <c r="AY30" s="100">
        <v>3062.3999999999996</v>
      </c>
      <c r="AZ30" s="100">
        <v>15</v>
      </c>
      <c r="BA30" s="100">
        <v>2088</v>
      </c>
      <c r="BB30" s="100">
        <v>22</v>
      </c>
      <c r="BC30" s="100">
        <v>3062.3999999999996</v>
      </c>
      <c r="BD30" s="100">
        <v>21</v>
      </c>
      <c r="BE30" s="100">
        <v>2923.2</v>
      </c>
      <c r="BF30" s="100">
        <v>24</v>
      </c>
      <c r="BG30" s="100">
        <v>3340.7999999999997</v>
      </c>
      <c r="BH30" s="100">
        <v>23</v>
      </c>
      <c r="BI30" s="100">
        <v>3201.6</v>
      </c>
      <c r="BJ30" s="100">
        <v>28</v>
      </c>
      <c r="BK30" s="100">
        <v>3897.5999999999995</v>
      </c>
      <c r="BL30" s="100">
        <v>22</v>
      </c>
      <c r="BM30" s="100">
        <v>3062.3999999999996</v>
      </c>
      <c r="BN30" s="100">
        <v>26</v>
      </c>
      <c r="BO30" s="100">
        <v>3619.2</v>
      </c>
      <c r="BP30" s="100">
        <v>26</v>
      </c>
      <c r="BQ30" s="100">
        <v>3619.2</v>
      </c>
      <c r="BR30" s="100">
        <v>23</v>
      </c>
      <c r="BS30" s="100">
        <v>3201.6</v>
      </c>
      <c r="BT30" s="100">
        <v>23</v>
      </c>
      <c r="BU30" s="100">
        <v>3201.6</v>
      </c>
      <c r="BV30" s="100">
        <v>19</v>
      </c>
      <c r="BW30" s="100">
        <v>2644.7999999999997</v>
      </c>
      <c r="BX30" s="100">
        <v>20</v>
      </c>
      <c r="BY30" s="100">
        <v>2784</v>
      </c>
      <c r="BZ30" s="100">
        <v>18</v>
      </c>
      <c r="CA30" s="100">
        <v>2505.6</v>
      </c>
      <c r="CB30" s="100">
        <v>20</v>
      </c>
      <c r="CC30" s="100">
        <v>2784</v>
      </c>
      <c r="CD30" s="100">
        <v>33</v>
      </c>
      <c r="CE30" s="100">
        <v>4593.5999999999995</v>
      </c>
      <c r="CF30" s="100">
        <v>21</v>
      </c>
      <c r="CG30" s="100">
        <v>2923.2</v>
      </c>
      <c r="CH30" s="100">
        <v>27</v>
      </c>
      <c r="CI30" s="100">
        <v>3758.3999999999996</v>
      </c>
      <c r="CJ30" s="100">
        <v>21</v>
      </c>
      <c r="CK30" s="100">
        <v>2923.2</v>
      </c>
      <c r="CL30" s="100">
        <v>32</v>
      </c>
      <c r="CM30" s="100">
        <v>4454.3999999999996</v>
      </c>
      <c r="CN30" s="100">
        <v>34</v>
      </c>
      <c r="CO30" s="100">
        <v>4732.7999999999993</v>
      </c>
      <c r="CP30" s="100">
        <v>25</v>
      </c>
      <c r="CQ30" s="100">
        <v>3479.9999999999995</v>
      </c>
      <c r="CR30" s="100">
        <v>22</v>
      </c>
      <c r="CS30" s="100">
        <v>3062.3999999999996</v>
      </c>
      <c r="CT30" s="100">
        <v>28</v>
      </c>
      <c r="CU30" s="100">
        <v>3897.5999999999995</v>
      </c>
    </row>
    <row r="31" spans="2:99">
      <c r="C31" s="99" t="s">
        <v>197</v>
      </c>
      <c r="D31" s="100">
        <v>19</v>
      </c>
      <c r="E31" s="100">
        <v>6475.2</v>
      </c>
      <c r="F31" s="100">
        <v>26</v>
      </c>
      <c r="G31" s="100">
        <v>8860.8000000000011</v>
      </c>
      <c r="H31" s="100">
        <v>27</v>
      </c>
      <c r="I31" s="100">
        <v>9201.6</v>
      </c>
      <c r="J31" s="100">
        <v>18</v>
      </c>
      <c r="K31" s="100">
        <v>6134.4000000000005</v>
      </c>
      <c r="L31" s="100">
        <v>23</v>
      </c>
      <c r="M31" s="100">
        <v>7838.4000000000005</v>
      </c>
      <c r="N31" s="100">
        <v>25</v>
      </c>
      <c r="O31" s="100">
        <v>8520</v>
      </c>
      <c r="P31" s="100">
        <v>26</v>
      </c>
      <c r="Q31" s="100">
        <v>8860.8000000000011</v>
      </c>
      <c r="R31" s="100">
        <v>21.942646402224824</v>
      </c>
      <c r="S31" s="100">
        <v>7478.0538938782202</v>
      </c>
      <c r="T31" s="100">
        <v>26.094291663703387</v>
      </c>
      <c r="U31" s="100">
        <v>8892.934598990114</v>
      </c>
      <c r="V31" s="100">
        <v>28.052821172080066</v>
      </c>
      <c r="W31" s="100">
        <v>9560.4014554448859</v>
      </c>
      <c r="X31" s="100">
        <v>18</v>
      </c>
      <c r="Y31" s="100">
        <v>6134.4000000000005</v>
      </c>
      <c r="Z31" s="100">
        <v>26</v>
      </c>
      <c r="AA31" s="100">
        <v>8860.8000000000011</v>
      </c>
      <c r="AB31" s="100">
        <v>24.529872185182175</v>
      </c>
      <c r="AC31" s="100">
        <v>8359.7804407100848</v>
      </c>
      <c r="AD31" s="100">
        <v>16</v>
      </c>
      <c r="AE31" s="100">
        <v>5452.8</v>
      </c>
      <c r="AF31" s="100">
        <v>18</v>
      </c>
      <c r="AG31" s="100">
        <v>6134.4000000000005</v>
      </c>
      <c r="AH31" s="100">
        <v>16</v>
      </c>
      <c r="AI31" s="100">
        <v>5452.8</v>
      </c>
      <c r="AJ31" s="100">
        <v>21</v>
      </c>
      <c r="AK31" s="100">
        <v>7156.8</v>
      </c>
      <c r="AL31" s="100">
        <v>27</v>
      </c>
      <c r="AM31" s="100">
        <v>9201.6</v>
      </c>
      <c r="AN31" s="100">
        <v>21</v>
      </c>
      <c r="AO31" s="100">
        <v>7156.8</v>
      </c>
      <c r="AP31" s="100">
        <v>27</v>
      </c>
      <c r="AQ31" s="100">
        <v>9201.6</v>
      </c>
      <c r="AR31" s="100">
        <v>24</v>
      </c>
      <c r="AS31" s="100">
        <v>8179.2000000000007</v>
      </c>
      <c r="AT31" s="100">
        <v>31</v>
      </c>
      <c r="AU31" s="100">
        <v>10564.800000000001</v>
      </c>
      <c r="AV31" s="100">
        <v>26</v>
      </c>
      <c r="AW31" s="100">
        <v>8860.8000000000011</v>
      </c>
      <c r="AX31" s="100">
        <v>23</v>
      </c>
      <c r="AY31" s="100">
        <v>7838.4000000000005</v>
      </c>
      <c r="AZ31" s="100">
        <v>17</v>
      </c>
      <c r="BA31" s="100">
        <v>5793.6</v>
      </c>
      <c r="BB31" s="100">
        <v>23</v>
      </c>
      <c r="BC31" s="100">
        <v>7838.4000000000005</v>
      </c>
      <c r="BD31" s="100">
        <v>22</v>
      </c>
      <c r="BE31" s="100">
        <v>7497.6</v>
      </c>
      <c r="BF31" s="100">
        <v>26</v>
      </c>
      <c r="BG31" s="100">
        <v>8860.8000000000011</v>
      </c>
      <c r="BH31" s="100">
        <v>23</v>
      </c>
      <c r="BI31" s="100">
        <v>7838.4000000000005</v>
      </c>
      <c r="BJ31" s="100">
        <v>28</v>
      </c>
      <c r="BK31" s="100">
        <v>9542.4</v>
      </c>
      <c r="BL31" s="100">
        <v>20</v>
      </c>
      <c r="BM31" s="100">
        <v>6816</v>
      </c>
      <c r="BN31" s="100">
        <v>27</v>
      </c>
      <c r="BO31" s="100">
        <v>9201.6</v>
      </c>
      <c r="BP31" s="100">
        <v>24</v>
      </c>
      <c r="BQ31" s="100">
        <v>8179.2000000000007</v>
      </c>
      <c r="BR31" s="100">
        <v>26</v>
      </c>
      <c r="BS31" s="100">
        <v>8860.8000000000011</v>
      </c>
      <c r="BT31" s="100">
        <v>20</v>
      </c>
      <c r="BU31" s="100">
        <v>6816</v>
      </c>
      <c r="BV31" s="100">
        <v>19</v>
      </c>
      <c r="BW31" s="100">
        <v>6475.2</v>
      </c>
      <c r="BX31" s="100">
        <v>19</v>
      </c>
      <c r="BY31" s="100">
        <v>6475.2</v>
      </c>
      <c r="BZ31" s="100">
        <v>15</v>
      </c>
      <c r="CA31" s="100">
        <v>5112</v>
      </c>
      <c r="CB31" s="100">
        <v>19</v>
      </c>
      <c r="CC31" s="100">
        <v>6475.2</v>
      </c>
      <c r="CD31" s="100">
        <v>29</v>
      </c>
      <c r="CE31" s="100">
        <v>9883.2000000000007</v>
      </c>
      <c r="CF31" s="100">
        <v>19</v>
      </c>
      <c r="CG31" s="100">
        <v>6475.2</v>
      </c>
      <c r="CH31" s="100">
        <v>27</v>
      </c>
      <c r="CI31" s="100">
        <v>9201.6</v>
      </c>
      <c r="CJ31" s="100">
        <v>22</v>
      </c>
      <c r="CK31" s="100">
        <v>7497.6</v>
      </c>
      <c r="CL31" s="100">
        <v>29</v>
      </c>
      <c r="CM31" s="100">
        <v>9883.2000000000007</v>
      </c>
      <c r="CN31" s="100">
        <v>28</v>
      </c>
      <c r="CO31" s="100">
        <v>9542.4</v>
      </c>
      <c r="CP31" s="100">
        <v>22</v>
      </c>
      <c r="CQ31" s="100">
        <v>7497.6</v>
      </c>
      <c r="CR31" s="100">
        <v>23</v>
      </c>
      <c r="CS31" s="100">
        <v>7838.4000000000005</v>
      </c>
      <c r="CT31" s="100">
        <v>32</v>
      </c>
      <c r="CU31" s="100">
        <v>10905.6</v>
      </c>
    </row>
    <row r="32" spans="2:99">
      <c r="C32" s="99" t="s">
        <v>198</v>
      </c>
      <c r="D32" s="100">
        <v>19</v>
      </c>
      <c r="E32" s="100">
        <v>15960</v>
      </c>
      <c r="F32" s="100">
        <v>22</v>
      </c>
      <c r="G32" s="100">
        <v>18480</v>
      </c>
      <c r="H32" s="100">
        <v>29</v>
      </c>
      <c r="I32" s="100">
        <v>24360</v>
      </c>
      <c r="J32" s="100">
        <v>16</v>
      </c>
      <c r="K32" s="100">
        <v>13440</v>
      </c>
      <c r="L32" s="100">
        <v>19</v>
      </c>
      <c r="M32" s="100">
        <v>15960</v>
      </c>
      <c r="N32" s="100">
        <v>24</v>
      </c>
      <c r="O32" s="100">
        <v>20160</v>
      </c>
      <c r="P32" s="100">
        <v>28</v>
      </c>
      <c r="Q32" s="100">
        <v>23520</v>
      </c>
      <c r="R32" s="100">
        <v>22.940039420507766</v>
      </c>
      <c r="S32" s="100">
        <v>19269.633113226522</v>
      </c>
      <c r="T32" s="100">
        <v>22.228470676488072</v>
      </c>
      <c r="U32" s="100">
        <v>18671.915368249982</v>
      </c>
      <c r="V32" s="100">
        <v>27.085482510973861</v>
      </c>
      <c r="W32" s="100">
        <v>22751.805309218042</v>
      </c>
      <c r="X32" s="100">
        <v>18</v>
      </c>
      <c r="Y32" s="100">
        <v>15120</v>
      </c>
      <c r="Z32" s="100">
        <v>26</v>
      </c>
      <c r="AA32" s="100">
        <v>21840</v>
      </c>
      <c r="AB32" s="100">
        <v>24.529872185182175</v>
      </c>
      <c r="AC32" s="100">
        <v>20605.092635553028</v>
      </c>
      <c r="AD32" s="100">
        <v>14</v>
      </c>
      <c r="AE32" s="100">
        <v>11760</v>
      </c>
      <c r="AF32" s="100">
        <v>18</v>
      </c>
      <c r="AG32" s="100">
        <v>15120</v>
      </c>
      <c r="AH32" s="100">
        <v>16</v>
      </c>
      <c r="AI32" s="100">
        <v>13440</v>
      </c>
      <c r="AJ32" s="100">
        <v>21</v>
      </c>
      <c r="AK32" s="100">
        <v>17640</v>
      </c>
      <c r="AL32" s="100">
        <v>22</v>
      </c>
      <c r="AM32" s="100">
        <v>18480</v>
      </c>
      <c r="AN32" s="100">
        <v>19</v>
      </c>
      <c r="AO32" s="100">
        <v>15960</v>
      </c>
      <c r="AP32" s="100">
        <v>26</v>
      </c>
      <c r="AQ32" s="100">
        <v>21840</v>
      </c>
      <c r="AR32" s="100">
        <v>24</v>
      </c>
      <c r="AS32" s="100">
        <v>20160</v>
      </c>
      <c r="AT32" s="100">
        <v>25</v>
      </c>
      <c r="AU32" s="100">
        <v>21000</v>
      </c>
      <c r="AV32" s="100">
        <v>22</v>
      </c>
      <c r="AW32" s="100">
        <v>18480</v>
      </c>
      <c r="AX32" s="100">
        <v>21</v>
      </c>
      <c r="AY32" s="100">
        <v>17640</v>
      </c>
      <c r="AZ32" s="100">
        <v>15</v>
      </c>
      <c r="BA32" s="100">
        <v>12600</v>
      </c>
      <c r="BB32" s="100">
        <v>21</v>
      </c>
      <c r="BC32" s="100">
        <v>17640</v>
      </c>
      <c r="BD32" s="100">
        <v>21</v>
      </c>
      <c r="BE32" s="100">
        <v>17640</v>
      </c>
      <c r="BF32" s="100">
        <v>24</v>
      </c>
      <c r="BG32" s="100">
        <v>20160</v>
      </c>
      <c r="BH32" s="100">
        <v>19</v>
      </c>
      <c r="BI32" s="100">
        <v>15960</v>
      </c>
      <c r="BJ32" s="100">
        <v>29</v>
      </c>
      <c r="BK32" s="100">
        <v>24360</v>
      </c>
      <c r="BL32" s="100">
        <v>19</v>
      </c>
      <c r="BM32" s="100">
        <v>15960</v>
      </c>
      <c r="BN32" s="100">
        <v>25</v>
      </c>
      <c r="BO32" s="100">
        <v>21000</v>
      </c>
      <c r="BP32" s="100">
        <v>23</v>
      </c>
      <c r="BQ32" s="100">
        <v>19320</v>
      </c>
      <c r="BR32" s="100">
        <v>21</v>
      </c>
      <c r="BS32" s="100">
        <v>17640</v>
      </c>
      <c r="BT32" s="100">
        <v>23</v>
      </c>
      <c r="BU32" s="100">
        <v>19320</v>
      </c>
      <c r="BV32" s="100">
        <v>19</v>
      </c>
      <c r="BW32" s="100">
        <v>15960</v>
      </c>
      <c r="BX32" s="100">
        <v>18</v>
      </c>
      <c r="BY32" s="100">
        <v>15120</v>
      </c>
      <c r="BZ32" s="100">
        <v>17</v>
      </c>
      <c r="CA32" s="100">
        <v>14280</v>
      </c>
      <c r="CB32" s="100">
        <v>17</v>
      </c>
      <c r="CC32" s="100">
        <v>14280</v>
      </c>
      <c r="CD32" s="100">
        <v>30</v>
      </c>
      <c r="CE32" s="100">
        <v>25200</v>
      </c>
      <c r="CF32" s="100">
        <v>19</v>
      </c>
      <c r="CG32" s="100">
        <v>15960</v>
      </c>
      <c r="CH32" s="100">
        <v>23</v>
      </c>
      <c r="CI32" s="100">
        <v>19320</v>
      </c>
      <c r="CJ32" s="100">
        <v>21</v>
      </c>
      <c r="CK32" s="100">
        <v>17640</v>
      </c>
      <c r="CL32" s="100">
        <v>25</v>
      </c>
      <c r="CM32" s="100">
        <v>21000</v>
      </c>
      <c r="CN32" s="100">
        <v>27</v>
      </c>
      <c r="CO32" s="100">
        <v>22680</v>
      </c>
      <c r="CP32" s="100">
        <v>21</v>
      </c>
      <c r="CQ32" s="100">
        <v>17640</v>
      </c>
      <c r="CR32" s="100">
        <v>21</v>
      </c>
      <c r="CS32" s="100">
        <v>17640</v>
      </c>
      <c r="CT32" s="100">
        <v>26</v>
      </c>
      <c r="CU32" s="100">
        <v>21840</v>
      </c>
    </row>
    <row r="33" spans="2:99">
      <c r="C33" s="99" t="s">
        <v>199</v>
      </c>
      <c r="D33" s="100">
        <v>17</v>
      </c>
      <c r="E33" s="100">
        <v>8058</v>
      </c>
      <c r="F33" s="100">
        <v>25</v>
      </c>
      <c r="G33" s="100">
        <v>11850</v>
      </c>
      <c r="H33" s="100">
        <v>26</v>
      </c>
      <c r="I33" s="100">
        <v>12324</v>
      </c>
      <c r="J33" s="100">
        <v>17</v>
      </c>
      <c r="K33" s="100">
        <v>8058</v>
      </c>
      <c r="L33" s="100">
        <v>23</v>
      </c>
      <c r="M33" s="100">
        <v>10902</v>
      </c>
      <c r="N33" s="100">
        <v>28</v>
      </c>
      <c r="O33" s="100">
        <v>13272</v>
      </c>
      <c r="P33" s="100">
        <v>27</v>
      </c>
      <c r="Q33" s="100">
        <v>12798</v>
      </c>
      <c r="R33" s="100">
        <v>25.932218475356606</v>
      </c>
      <c r="S33" s="100">
        <v>12291.871557319031</v>
      </c>
      <c r="T33" s="100">
        <v>24.161381170095726</v>
      </c>
      <c r="U33" s="100">
        <v>11452.494674625374</v>
      </c>
      <c r="V33" s="100">
        <v>28.052821172080066</v>
      </c>
      <c r="W33" s="100">
        <v>13297.037235565951</v>
      </c>
      <c r="X33" s="100">
        <v>16</v>
      </c>
      <c r="Y33" s="100">
        <v>7584</v>
      </c>
      <c r="Z33" s="100">
        <v>29</v>
      </c>
      <c r="AA33" s="100">
        <v>13746</v>
      </c>
      <c r="AB33" s="100">
        <v>24.529872185182175</v>
      </c>
      <c r="AC33" s="100">
        <v>11627.15941577635</v>
      </c>
      <c r="AD33" s="100">
        <v>14</v>
      </c>
      <c r="AE33" s="100">
        <v>6636</v>
      </c>
      <c r="AF33" s="100">
        <v>21</v>
      </c>
      <c r="AG33" s="100">
        <v>9954</v>
      </c>
      <c r="AH33" s="100">
        <v>17</v>
      </c>
      <c r="AI33" s="100">
        <v>8058</v>
      </c>
      <c r="AJ33" s="100">
        <v>21</v>
      </c>
      <c r="AK33" s="100">
        <v>9954</v>
      </c>
      <c r="AL33" s="100">
        <v>23</v>
      </c>
      <c r="AM33" s="100">
        <v>10902</v>
      </c>
      <c r="AN33" s="100">
        <v>21</v>
      </c>
      <c r="AO33" s="100">
        <v>9954</v>
      </c>
      <c r="AP33" s="100">
        <v>30</v>
      </c>
      <c r="AQ33" s="100">
        <v>14220</v>
      </c>
      <c r="AR33" s="100">
        <v>21</v>
      </c>
      <c r="AS33" s="100">
        <v>9954</v>
      </c>
      <c r="AT33" s="100">
        <v>26</v>
      </c>
      <c r="AU33" s="100">
        <v>12324</v>
      </c>
      <c r="AV33" s="100">
        <v>24</v>
      </c>
      <c r="AW33" s="100">
        <v>11376</v>
      </c>
      <c r="AX33" s="100">
        <v>22</v>
      </c>
      <c r="AY33" s="100">
        <v>10428</v>
      </c>
      <c r="AZ33" s="100">
        <v>14</v>
      </c>
      <c r="BA33" s="100">
        <v>6636</v>
      </c>
      <c r="BB33" s="100">
        <v>20</v>
      </c>
      <c r="BC33" s="100">
        <v>9480</v>
      </c>
      <c r="BD33" s="100">
        <v>20</v>
      </c>
      <c r="BE33" s="100">
        <v>9480</v>
      </c>
      <c r="BF33" s="100">
        <v>26</v>
      </c>
      <c r="BG33" s="100">
        <v>12324</v>
      </c>
      <c r="BH33" s="100">
        <v>20</v>
      </c>
      <c r="BI33" s="100">
        <v>9480</v>
      </c>
      <c r="BJ33" s="100">
        <v>29</v>
      </c>
      <c r="BK33" s="100">
        <v>13746</v>
      </c>
      <c r="BL33" s="100">
        <v>18</v>
      </c>
      <c r="BM33" s="100">
        <v>8532</v>
      </c>
      <c r="BN33" s="100">
        <v>26</v>
      </c>
      <c r="BO33" s="100">
        <v>12324</v>
      </c>
      <c r="BP33" s="100">
        <v>26</v>
      </c>
      <c r="BQ33" s="100">
        <v>12324</v>
      </c>
      <c r="BR33" s="100">
        <v>25</v>
      </c>
      <c r="BS33" s="100">
        <v>11850</v>
      </c>
      <c r="BT33" s="100">
        <v>21</v>
      </c>
      <c r="BU33" s="100">
        <v>9954</v>
      </c>
      <c r="BV33" s="100">
        <v>18</v>
      </c>
      <c r="BW33" s="100">
        <v>8532</v>
      </c>
      <c r="BX33" s="100">
        <v>20</v>
      </c>
      <c r="BY33" s="100">
        <v>9480</v>
      </c>
      <c r="BZ33" s="100">
        <v>15</v>
      </c>
      <c r="CA33" s="100">
        <v>7110</v>
      </c>
      <c r="CB33" s="100">
        <v>18</v>
      </c>
      <c r="CC33" s="100">
        <v>8532</v>
      </c>
      <c r="CD33" s="100">
        <v>30</v>
      </c>
      <c r="CE33" s="100">
        <v>14220</v>
      </c>
      <c r="CF33" s="100">
        <v>20</v>
      </c>
      <c r="CG33" s="100">
        <v>9480</v>
      </c>
      <c r="CH33" s="100">
        <v>24</v>
      </c>
      <c r="CI33" s="100">
        <v>11376</v>
      </c>
      <c r="CJ33" s="100">
        <v>20</v>
      </c>
      <c r="CK33" s="100">
        <v>9480</v>
      </c>
      <c r="CL33" s="100">
        <v>30</v>
      </c>
      <c r="CM33" s="100">
        <v>14220</v>
      </c>
      <c r="CN33" s="100">
        <v>30</v>
      </c>
      <c r="CO33" s="100">
        <v>14220</v>
      </c>
      <c r="CP33" s="100">
        <v>24</v>
      </c>
      <c r="CQ33" s="100">
        <v>11376</v>
      </c>
      <c r="CR33" s="100">
        <v>23</v>
      </c>
      <c r="CS33" s="100">
        <v>10902</v>
      </c>
      <c r="CT33" s="100">
        <v>33</v>
      </c>
      <c r="CU33" s="100">
        <v>15642</v>
      </c>
    </row>
    <row r="34" spans="2:99">
      <c r="C34" s="99" t="s">
        <v>200</v>
      </c>
      <c r="D34" s="100">
        <v>18</v>
      </c>
      <c r="E34" s="100">
        <v>9871.1999999999989</v>
      </c>
      <c r="F34" s="100">
        <v>26</v>
      </c>
      <c r="G34" s="100">
        <v>14258.4</v>
      </c>
      <c r="H34" s="100">
        <v>30</v>
      </c>
      <c r="I34" s="100">
        <v>16452</v>
      </c>
      <c r="J34" s="100">
        <v>16</v>
      </c>
      <c r="K34" s="100">
        <v>8774.4</v>
      </c>
      <c r="L34" s="100">
        <v>20</v>
      </c>
      <c r="M34" s="100">
        <v>10968</v>
      </c>
      <c r="N34" s="100">
        <v>27</v>
      </c>
      <c r="O34" s="100">
        <v>14806.8</v>
      </c>
      <c r="P34" s="100">
        <v>30</v>
      </c>
      <c r="Q34" s="100">
        <v>16452</v>
      </c>
      <c r="R34" s="100">
        <v>22.940039420507766</v>
      </c>
      <c r="S34" s="100">
        <v>12580.317618206458</v>
      </c>
      <c r="T34" s="100">
        <v>22.228470676488072</v>
      </c>
      <c r="U34" s="100">
        <v>12190.093318986059</v>
      </c>
      <c r="V34" s="100">
        <v>29.020159833186277</v>
      </c>
      <c r="W34" s="100">
        <v>15914.655652519354</v>
      </c>
      <c r="X34" s="100">
        <v>19</v>
      </c>
      <c r="Y34" s="100">
        <v>10419.6</v>
      </c>
      <c r="Z34" s="100">
        <v>27</v>
      </c>
      <c r="AA34" s="100">
        <v>14806.8</v>
      </c>
      <c r="AB34" s="100">
        <v>23.586415562675167</v>
      </c>
      <c r="AC34" s="100">
        <v>12934.790294571061</v>
      </c>
      <c r="AD34" s="100">
        <v>14</v>
      </c>
      <c r="AE34" s="100">
        <v>7677.5999999999995</v>
      </c>
      <c r="AF34" s="100">
        <v>20</v>
      </c>
      <c r="AG34" s="100">
        <v>10968</v>
      </c>
      <c r="AH34" s="100">
        <v>15</v>
      </c>
      <c r="AI34" s="100">
        <v>8226</v>
      </c>
      <c r="AJ34" s="100">
        <v>23</v>
      </c>
      <c r="AK34" s="100">
        <v>12613.199999999999</v>
      </c>
      <c r="AL34" s="100">
        <v>25</v>
      </c>
      <c r="AM34" s="100">
        <v>13710</v>
      </c>
      <c r="AN34" s="100">
        <v>22</v>
      </c>
      <c r="AO34" s="100">
        <v>12064.8</v>
      </c>
      <c r="AP34" s="100">
        <v>27</v>
      </c>
      <c r="AQ34" s="100">
        <v>14806.8</v>
      </c>
      <c r="AR34" s="100">
        <v>24</v>
      </c>
      <c r="AS34" s="100">
        <v>13161.599999999999</v>
      </c>
      <c r="AT34" s="100">
        <v>27</v>
      </c>
      <c r="AU34" s="100">
        <v>14806.8</v>
      </c>
      <c r="AV34" s="100">
        <v>25</v>
      </c>
      <c r="AW34" s="100">
        <v>13710</v>
      </c>
      <c r="AX34" s="100">
        <v>22</v>
      </c>
      <c r="AY34" s="100">
        <v>12064.8</v>
      </c>
      <c r="AZ34" s="100">
        <v>15</v>
      </c>
      <c r="BA34" s="100">
        <v>8226</v>
      </c>
      <c r="BB34" s="100">
        <v>20</v>
      </c>
      <c r="BC34" s="100">
        <v>10968</v>
      </c>
      <c r="BD34" s="100">
        <v>22</v>
      </c>
      <c r="BE34" s="100">
        <v>12064.8</v>
      </c>
      <c r="BF34" s="100">
        <v>26</v>
      </c>
      <c r="BG34" s="100">
        <v>14258.4</v>
      </c>
      <c r="BH34" s="100">
        <v>22</v>
      </c>
      <c r="BI34" s="100">
        <v>12064.8</v>
      </c>
      <c r="BJ34" s="100">
        <v>27</v>
      </c>
      <c r="BK34" s="100">
        <v>14806.8</v>
      </c>
      <c r="BL34" s="100">
        <v>19</v>
      </c>
      <c r="BM34" s="100">
        <v>10419.6</v>
      </c>
      <c r="BN34" s="100">
        <v>24</v>
      </c>
      <c r="BO34" s="100">
        <v>13161.599999999999</v>
      </c>
      <c r="BP34" s="100">
        <v>25</v>
      </c>
      <c r="BQ34" s="100">
        <v>13710</v>
      </c>
      <c r="BR34" s="100">
        <v>21</v>
      </c>
      <c r="BS34" s="100">
        <v>11516.4</v>
      </c>
      <c r="BT34" s="100">
        <v>24</v>
      </c>
      <c r="BU34" s="100">
        <v>13161.599999999999</v>
      </c>
      <c r="BV34" s="100">
        <v>20</v>
      </c>
      <c r="BW34" s="100">
        <v>10968</v>
      </c>
      <c r="BX34" s="100">
        <v>18</v>
      </c>
      <c r="BY34" s="100">
        <v>9871.1999999999989</v>
      </c>
      <c r="BZ34" s="100">
        <v>15</v>
      </c>
      <c r="CA34" s="100">
        <v>8226</v>
      </c>
      <c r="CB34" s="100">
        <v>20</v>
      </c>
      <c r="CC34" s="100">
        <v>10968</v>
      </c>
      <c r="CD34" s="100">
        <v>32</v>
      </c>
      <c r="CE34" s="100">
        <v>17548.8</v>
      </c>
      <c r="CF34" s="100">
        <v>21</v>
      </c>
      <c r="CG34" s="100">
        <v>11516.4</v>
      </c>
      <c r="CH34" s="100">
        <v>26</v>
      </c>
      <c r="CI34" s="100">
        <v>14258.4</v>
      </c>
      <c r="CJ34" s="100">
        <v>22</v>
      </c>
      <c r="CK34" s="100">
        <v>12064.8</v>
      </c>
      <c r="CL34" s="100">
        <v>28</v>
      </c>
      <c r="CM34" s="100">
        <v>15355.199999999999</v>
      </c>
      <c r="CN34" s="100">
        <v>28</v>
      </c>
      <c r="CO34" s="100">
        <v>15355.199999999999</v>
      </c>
      <c r="CP34" s="100">
        <v>21</v>
      </c>
      <c r="CQ34" s="100">
        <v>11516.4</v>
      </c>
      <c r="CR34" s="100">
        <v>22</v>
      </c>
      <c r="CS34" s="100">
        <v>12064.8</v>
      </c>
      <c r="CT34" s="100">
        <v>32</v>
      </c>
      <c r="CU34" s="100">
        <v>17548.8</v>
      </c>
    </row>
    <row r="35" spans="2:99">
      <c r="C35" s="99" t="s">
        <v>201</v>
      </c>
      <c r="D35" s="100">
        <v>20</v>
      </c>
      <c r="E35" s="100">
        <v>10055.999999999998</v>
      </c>
      <c r="F35" s="100">
        <v>26</v>
      </c>
      <c r="G35" s="100">
        <v>13072.799999999997</v>
      </c>
      <c r="H35" s="100">
        <v>29</v>
      </c>
      <c r="I35" s="100">
        <v>14581.199999999997</v>
      </c>
      <c r="J35" s="100">
        <v>17</v>
      </c>
      <c r="K35" s="100">
        <v>8547.5999999999985</v>
      </c>
      <c r="L35" s="100">
        <v>23</v>
      </c>
      <c r="M35" s="100">
        <v>11564.399999999998</v>
      </c>
      <c r="N35" s="100">
        <v>24</v>
      </c>
      <c r="O35" s="100">
        <v>12067.199999999997</v>
      </c>
      <c r="P35" s="100">
        <v>26</v>
      </c>
      <c r="Q35" s="100">
        <v>13072.799999999997</v>
      </c>
      <c r="R35" s="100">
        <v>23.937432438790715</v>
      </c>
      <c r="S35" s="100">
        <v>12035.74103022397</v>
      </c>
      <c r="T35" s="100">
        <v>24.161381170095726</v>
      </c>
      <c r="U35" s="100">
        <v>12148.342452324128</v>
      </c>
      <c r="V35" s="100">
        <v>28.052821172080066</v>
      </c>
      <c r="W35" s="100">
        <v>14104.958485321855</v>
      </c>
      <c r="X35" s="100">
        <v>16</v>
      </c>
      <c r="Y35" s="100">
        <v>8044.7999999999984</v>
      </c>
      <c r="Z35" s="100">
        <v>27</v>
      </c>
      <c r="AA35" s="100">
        <v>13575.599999999997</v>
      </c>
      <c r="AB35" s="100">
        <v>24.529872185182175</v>
      </c>
      <c r="AC35" s="100">
        <v>12333.619734709595</v>
      </c>
      <c r="AD35" s="100">
        <v>16</v>
      </c>
      <c r="AE35" s="100">
        <v>8044.7999999999984</v>
      </c>
      <c r="AF35" s="100">
        <v>20</v>
      </c>
      <c r="AG35" s="100">
        <v>10055.999999999998</v>
      </c>
      <c r="AH35" s="100">
        <v>17</v>
      </c>
      <c r="AI35" s="100">
        <v>8547.5999999999985</v>
      </c>
      <c r="AJ35" s="100">
        <v>22</v>
      </c>
      <c r="AK35" s="100">
        <v>11061.599999999999</v>
      </c>
      <c r="AL35" s="100">
        <v>26</v>
      </c>
      <c r="AM35" s="100">
        <v>13072.799999999997</v>
      </c>
      <c r="AN35" s="100">
        <v>20</v>
      </c>
      <c r="AO35" s="100">
        <v>10055.999999999998</v>
      </c>
      <c r="AP35" s="100">
        <v>29</v>
      </c>
      <c r="AQ35" s="100">
        <v>14581.199999999997</v>
      </c>
      <c r="AR35" s="100">
        <v>24</v>
      </c>
      <c r="AS35" s="100">
        <v>12067.199999999997</v>
      </c>
      <c r="AT35" s="100">
        <v>31</v>
      </c>
      <c r="AU35" s="100">
        <v>15586.799999999997</v>
      </c>
      <c r="AV35" s="100">
        <v>25</v>
      </c>
      <c r="AW35" s="100">
        <v>12569.999999999998</v>
      </c>
      <c r="AX35" s="100">
        <v>21</v>
      </c>
      <c r="AY35" s="100">
        <v>10558.799999999997</v>
      </c>
      <c r="AZ35" s="100">
        <v>15</v>
      </c>
      <c r="BA35" s="100">
        <v>7541.9999999999982</v>
      </c>
      <c r="BB35" s="100">
        <v>19</v>
      </c>
      <c r="BC35" s="100">
        <v>9553.1999999999989</v>
      </c>
      <c r="BD35" s="100">
        <v>20</v>
      </c>
      <c r="BE35" s="100">
        <v>10055.999999999998</v>
      </c>
      <c r="BF35" s="100">
        <v>24</v>
      </c>
      <c r="BG35" s="100">
        <v>12067.199999999997</v>
      </c>
      <c r="BH35" s="100">
        <v>20</v>
      </c>
      <c r="BI35" s="100">
        <v>10055.999999999998</v>
      </c>
      <c r="BJ35" s="100">
        <v>29</v>
      </c>
      <c r="BK35" s="100">
        <v>14581.199999999997</v>
      </c>
      <c r="BL35" s="100">
        <v>19</v>
      </c>
      <c r="BM35" s="100">
        <v>9553.1999999999989</v>
      </c>
      <c r="BN35" s="100">
        <v>25</v>
      </c>
      <c r="BO35" s="100">
        <v>12569.999999999998</v>
      </c>
      <c r="BP35" s="100">
        <v>27</v>
      </c>
      <c r="BQ35" s="100">
        <v>13575.599999999997</v>
      </c>
      <c r="BR35" s="100">
        <v>23</v>
      </c>
      <c r="BS35" s="100">
        <v>11564.399999999998</v>
      </c>
      <c r="BT35" s="100">
        <v>21</v>
      </c>
      <c r="BU35" s="100">
        <v>10558.799999999997</v>
      </c>
      <c r="BV35" s="100">
        <v>19</v>
      </c>
      <c r="BW35" s="100">
        <v>9553.1999999999989</v>
      </c>
      <c r="BX35" s="100">
        <v>19</v>
      </c>
      <c r="BY35" s="100">
        <v>9553.1999999999989</v>
      </c>
      <c r="BZ35" s="100">
        <v>15</v>
      </c>
      <c r="CA35" s="100">
        <v>7541.9999999999982</v>
      </c>
      <c r="CB35" s="100">
        <v>19</v>
      </c>
      <c r="CC35" s="100">
        <v>9553.1999999999989</v>
      </c>
      <c r="CD35" s="100">
        <v>28</v>
      </c>
      <c r="CE35" s="100">
        <v>14078.399999999998</v>
      </c>
      <c r="CF35" s="100">
        <v>20</v>
      </c>
      <c r="CG35" s="100">
        <v>10055.999999999998</v>
      </c>
      <c r="CH35" s="100">
        <v>23</v>
      </c>
      <c r="CI35" s="100">
        <v>11564.399999999998</v>
      </c>
      <c r="CJ35" s="100">
        <v>22</v>
      </c>
      <c r="CK35" s="100">
        <v>11061.599999999999</v>
      </c>
      <c r="CL35" s="100">
        <v>25</v>
      </c>
      <c r="CM35" s="100">
        <v>12569.999999999998</v>
      </c>
      <c r="CN35" s="100">
        <v>28</v>
      </c>
      <c r="CO35" s="100">
        <v>14078.399999999998</v>
      </c>
      <c r="CP35" s="100">
        <v>22</v>
      </c>
      <c r="CQ35" s="100">
        <v>11061.599999999999</v>
      </c>
      <c r="CR35" s="100">
        <v>21</v>
      </c>
      <c r="CS35" s="100">
        <v>10558.799999999997</v>
      </c>
      <c r="CT35" s="100">
        <v>27</v>
      </c>
      <c r="CU35" s="100">
        <v>13575.599999999997</v>
      </c>
    </row>
    <row r="36" spans="2:99">
      <c r="C36" s="99" t="s">
        <v>202</v>
      </c>
      <c r="D36" s="100">
        <v>17</v>
      </c>
      <c r="E36" s="100">
        <v>12933.599999999999</v>
      </c>
      <c r="F36" s="100">
        <v>21</v>
      </c>
      <c r="G36" s="100">
        <v>15976.8</v>
      </c>
      <c r="H36" s="100">
        <v>27</v>
      </c>
      <c r="I36" s="100">
        <v>20541.599999999999</v>
      </c>
      <c r="J36" s="100">
        <v>17</v>
      </c>
      <c r="K36" s="100">
        <v>12933.599999999999</v>
      </c>
      <c r="L36" s="100">
        <v>23</v>
      </c>
      <c r="M36" s="100">
        <v>17498.399999999998</v>
      </c>
      <c r="N36" s="100">
        <v>23</v>
      </c>
      <c r="O36" s="100">
        <v>17498.399999999998</v>
      </c>
      <c r="P36" s="100">
        <v>25</v>
      </c>
      <c r="Q36" s="100">
        <v>19020</v>
      </c>
      <c r="R36" s="100">
        <v>21.942646402224824</v>
      </c>
      <c r="S36" s="100">
        <v>16693.965382812647</v>
      </c>
      <c r="T36" s="100">
        <v>24.161381170095726</v>
      </c>
      <c r="U36" s="100">
        <v>18381.978794208826</v>
      </c>
      <c r="V36" s="100">
        <v>28.052821172080066</v>
      </c>
      <c r="W36" s="100">
        <v>21342.586347718512</v>
      </c>
      <c r="X36" s="100">
        <v>18</v>
      </c>
      <c r="Y36" s="100">
        <v>13694.4</v>
      </c>
      <c r="Z36" s="100">
        <v>23</v>
      </c>
      <c r="AA36" s="100">
        <v>17498.399999999998</v>
      </c>
      <c r="AB36" s="100">
        <v>23.586415562675167</v>
      </c>
      <c r="AC36" s="100">
        <v>17944.544960083265</v>
      </c>
      <c r="AD36" s="100">
        <v>15</v>
      </c>
      <c r="AE36" s="100">
        <v>11412</v>
      </c>
      <c r="AF36" s="100">
        <v>18</v>
      </c>
      <c r="AG36" s="100">
        <v>13694.4</v>
      </c>
      <c r="AH36" s="100">
        <v>16</v>
      </c>
      <c r="AI36" s="100">
        <v>12172.8</v>
      </c>
      <c r="AJ36" s="100">
        <v>21</v>
      </c>
      <c r="AK36" s="100">
        <v>15976.8</v>
      </c>
      <c r="AL36" s="100">
        <v>22</v>
      </c>
      <c r="AM36" s="100">
        <v>16737.599999999999</v>
      </c>
      <c r="AN36" s="100">
        <v>19</v>
      </c>
      <c r="AO36" s="100">
        <v>14455.199999999999</v>
      </c>
      <c r="AP36" s="100">
        <v>27</v>
      </c>
      <c r="AQ36" s="100">
        <v>20541.599999999999</v>
      </c>
      <c r="AR36" s="100">
        <v>22</v>
      </c>
      <c r="AS36" s="100">
        <v>16737.599999999999</v>
      </c>
      <c r="AT36" s="100">
        <v>27</v>
      </c>
      <c r="AU36" s="100">
        <v>20541.599999999999</v>
      </c>
      <c r="AV36" s="100">
        <v>25</v>
      </c>
      <c r="AW36" s="100">
        <v>19020</v>
      </c>
      <c r="AX36" s="100">
        <v>23</v>
      </c>
      <c r="AY36" s="100">
        <v>17498.399999999998</v>
      </c>
      <c r="AZ36" s="100">
        <v>15</v>
      </c>
      <c r="BA36" s="100">
        <v>11412</v>
      </c>
      <c r="BB36" s="100">
        <v>22</v>
      </c>
      <c r="BC36" s="100">
        <v>16737.599999999999</v>
      </c>
      <c r="BD36" s="100">
        <v>20</v>
      </c>
      <c r="BE36" s="100">
        <v>15216</v>
      </c>
      <c r="BF36" s="100">
        <v>23</v>
      </c>
      <c r="BG36" s="100">
        <v>17498.399999999998</v>
      </c>
      <c r="BH36" s="100">
        <v>20</v>
      </c>
      <c r="BI36" s="100">
        <v>15216</v>
      </c>
      <c r="BJ36" s="100">
        <v>29</v>
      </c>
      <c r="BK36" s="100">
        <v>22063.199999999997</v>
      </c>
      <c r="BL36" s="100">
        <v>21</v>
      </c>
      <c r="BM36" s="100">
        <v>15976.8</v>
      </c>
      <c r="BN36" s="100">
        <v>23</v>
      </c>
      <c r="BO36" s="100">
        <v>17498.399999999998</v>
      </c>
      <c r="BP36" s="100">
        <v>24</v>
      </c>
      <c r="BQ36" s="100">
        <v>18259.199999999997</v>
      </c>
      <c r="BR36" s="100">
        <v>24</v>
      </c>
      <c r="BS36" s="100">
        <v>18259.199999999997</v>
      </c>
      <c r="BT36" s="100">
        <v>22</v>
      </c>
      <c r="BU36" s="100">
        <v>16737.599999999999</v>
      </c>
      <c r="BV36" s="100">
        <v>19</v>
      </c>
      <c r="BW36" s="100">
        <v>14455.199999999999</v>
      </c>
      <c r="BX36" s="100">
        <v>19</v>
      </c>
      <c r="BY36" s="100">
        <v>14455.199999999999</v>
      </c>
      <c r="BZ36" s="100">
        <v>17</v>
      </c>
      <c r="CA36" s="100">
        <v>12933.599999999999</v>
      </c>
      <c r="CB36" s="100">
        <v>17</v>
      </c>
      <c r="CC36" s="100">
        <v>12933.599999999999</v>
      </c>
      <c r="CD36" s="100">
        <v>33</v>
      </c>
      <c r="CE36" s="100">
        <v>25106.399999999998</v>
      </c>
      <c r="CF36" s="100">
        <v>20</v>
      </c>
      <c r="CG36" s="100">
        <v>15216</v>
      </c>
      <c r="CH36" s="100">
        <v>26</v>
      </c>
      <c r="CI36" s="100">
        <v>19780.8</v>
      </c>
      <c r="CJ36" s="100">
        <v>21</v>
      </c>
      <c r="CK36" s="100">
        <v>15976.8</v>
      </c>
      <c r="CL36" s="100">
        <v>28</v>
      </c>
      <c r="CM36" s="100">
        <v>21302.399999999998</v>
      </c>
      <c r="CN36" s="100">
        <v>30</v>
      </c>
      <c r="CO36" s="100">
        <v>22824</v>
      </c>
      <c r="CP36" s="100">
        <v>23</v>
      </c>
      <c r="CQ36" s="100">
        <v>17498.399999999998</v>
      </c>
      <c r="CR36" s="100">
        <v>22</v>
      </c>
      <c r="CS36" s="100">
        <v>16737.599999999999</v>
      </c>
      <c r="CT36" s="100">
        <v>29</v>
      </c>
      <c r="CU36" s="100">
        <v>22063.199999999997</v>
      </c>
    </row>
    <row r="37" spans="2:99">
      <c r="B37" s="99" t="s">
        <v>128</v>
      </c>
      <c r="C37" s="99" t="s">
        <v>203</v>
      </c>
      <c r="D37" s="100">
        <v>11</v>
      </c>
      <c r="E37" s="100">
        <v>9464.4</v>
      </c>
      <c r="F37" s="100">
        <v>11</v>
      </c>
      <c r="G37" s="100">
        <v>9464.4</v>
      </c>
      <c r="H37" s="100">
        <v>14</v>
      </c>
      <c r="I37" s="100">
        <v>12045.6</v>
      </c>
      <c r="J37" s="100">
        <v>15</v>
      </c>
      <c r="K37" s="100">
        <v>12906</v>
      </c>
      <c r="L37" s="100">
        <v>16</v>
      </c>
      <c r="M37" s="100">
        <v>13766.4</v>
      </c>
      <c r="N37" s="100">
        <v>11</v>
      </c>
      <c r="O37" s="100">
        <v>9464.4</v>
      </c>
      <c r="P37" s="100">
        <v>13</v>
      </c>
      <c r="Q37" s="100">
        <v>11185.199999999999</v>
      </c>
      <c r="R37" s="100">
        <v>10.971323201112412</v>
      </c>
      <c r="S37" s="100">
        <v>9439.7264822371199</v>
      </c>
      <c r="T37" s="100">
        <v>13.530373455253608</v>
      </c>
      <c r="U37" s="100">
        <v>11641.533320900204</v>
      </c>
      <c r="V37" s="100">
        <v>11.608063933274511</v>
      </c>
      <c r="W37" s="100">
        <v>9987.5782081893885</v>
      </c>
      <c r="X37" s="100">
        <v>14</v>
      </c>
      <c r="Y37" s="100">
        <v>12045.6</v>
      </c>
      <c r="Z37" s="100">
        <v>10</v>
      </c>
      <c r="AA37" s="100">
        <v>8604</v>
      </c>
      <c r="AB37" s="100">
        <v>15.095305960112107</v>
      </c>
      <c r="AC37" s="100">
        <v>12988.001248080456</v>
      </c>
      <c r="AD37" s="100">
        <v>14</v>
      </c>
      <c r="AE37" s="100">
        <v>12045.6</v>
      </c>
      <c r="AF37" s="100">
        <v>13</v>
      </c>
      <c r="AG37" s="100">
        <v>11185.199999999999</v>
      </c>
      <c r="AH37" s="100">
        <v>9</v>
      </c>
      <c r="AI37" s="100">
        <v>7743.5999999999995</v>
      </c>
      <c r="AJ37" s="100">
        <v>15</v>
      </c>
      <c r="AK37" s="100">
        <v>12906</v>
      </c>
      <c r="AL37" s="100">
        <v>15</v>
      </c>
      <c r="AM37" s="100">
        <v>12906</v>
      </c>
      <c r="AN37" s="100">
        <v>17</v>
      </c>
      <c r="AO37" s="100">
        <v>14626.8</v>
      </c>
      <c r="AP37" s="100">
        <v>17</v>
      </c>
      <c r="AQ37" s="100">
        <v>14626.8</v>
      </c>
      <c r="AR37" s="100">
        <v>17</v>
      </c>
      <c r="AS37" s="100">
        <v>14626.8</v>
      </c>
      <c r="AT37" s="100">
        <v>13</v>
      </c>
      <c r="AU37" s="100">
        <v>11185.199999999999</v>
      </c>
      <c r="AV37" s="100">
        <v>14</v>
      </c>
      <c r="AW37" s="100">
        <v>12045.6</v>
      </c>
      <c r="AX37" s="100">
        <v>15</v>
      </c>
      <c r="AY37" s="100">
        <v>12906</v>
      </c>
      <c r="AZ37" s="100">
        <v>13</v>
      </c>
      <c r="BA37" s="100">
        <v>11185.199999999999</v>
      </c>
      <c r="BB37" s="100">
        <v>12</v>
      </c>
      <c r="BC37" s="100">
        <v>10324.799999999999</v>
      </c>
      <c r="BD37" s="100">
        <v>16</v>
      </c>
      <c r="BE37" s="100">
        <v>13766.4</v>
      </c>
      <c r="BF37" s="100">
        <v>10</v>
      </c>
      <c r="BG37" s="100">
        <v>8604</v>
      </c>
      <c r="BH37" s="100">
        <v>13</v>
      </c>
      <c r="BI37" s="100">
        <v>11185.199999999999</v>
      </c>
      <c r="BJ37" s="100">
        <v>18</v>
      </c>
      <c r="BK37" s="100">
        <v>15487.199999999999</v>
      </c>
      <c r="BL37" s="100">
        <v>10</v>
      </c>
      <c r="BM37" s="100">
        <v>8604</v>
      </c>
      <c r="BN37" s="100">
        <v>11</v>
      </c>
      <c r="BO37" s="100">
        <v>9464.4</v>
      </c>
      <c r="BP37" s="100">
        <v>18</v>
      </c>
      <c r="BQ37" s="100">
        <v>15487.199999999999</v>
      </c>
      <c r="BR37" s="100">
        <v>9</v>
      </c>
      <c r="BS37" s="100">
        <v>7743.5999999999995</v>
      </c>
      <c r="BT37" s="100">
        <v>19</v>
      </c>
      <c r="BU37" s="100">
        <v>16347.6</v>
      </c>
      <c r="BV37" s="100">
        <v>13</v>
      </c>
      <c r="BW37" s="100">
        <v>11185.199999999999</v>
      </c>
      <c r="BX37" s="100">
        <v>19</v>
      </c>
      <c r="BY37" s="100">
        <v>16347.6</v>
      </c>
      <c r="BZ37" s="100">
        <v>12</v>
      </c>
      <c r="CA37" s="100">
        <v>10324.799999999999</v>
      </c>
      <c r="CB37" s="100">
        <v>14</v>
      </c>
      <c r="CC37" s="100">
        <v>12045.6</v>
      </c>
      <c r="CD37" s="100">
        <v>11</v>
      </c>
      <c r="CE37" s="100">
        <v>9464.4</v>
      </c>
      <c r="CF37" s="100">
        <v>13</v>
      </c>
      <c r="CG37" s="100">
        <v>11185.199999999999</v>
      </c>
      <c r="CH37" s="100">
        <v>11</v>
      </c>
      <c r="CI37" s="100">
        <v>9464.4</v>
      </c>
      <c r="CJ37" s="100">
        <v>11</v>
      </c>
      <c r="CK37" s="100">
        <v>9464.4</v>
      </c>
      <c r="CL37" s="100">
        <v>11</v>
      </c>
      <c r="CM37" s="100">
        <v>9464.4</v>
      </c>
      <c r="CN37" s="100">
        <v>13</v>
      </c>
      <c r="CO37" s="100">
        <v>11185.199999999999</v>
      </c>
      <c r="CP37" s="100">
        <v>17</v>
      </c>
      <c r="CQ37" s="100">
        <v>14626.8</v>
      </c>
      <c r="CR37" s="100">
        <v>14</v>
      </c>
      <c r="CS37" s="100">
        <v>12045.6</v>
      </c>
      <c r="CT37" s="100">
        <v>12</v>
      </c>
      <c r="CU37" s="100">
        <v>10324.799999999999</v>
      </c>
    </row>
    <row r="38" spans="2:99">
      <c r="C38" s="99" t="s">
        <v>204</v>
      </c>
      <c r="D38" s="100">
        <v>12</v>
      </c>
      <c r="E38" s="100">
        <v>14904</v>
      </c>
      <c r="F38" s="100">
        <v>12</v>
      </c>
      <c r="G38" s="100">
        <v>14904</v>
      </c>
      <c r="H38" s="100">
        <v>14</v>
      </c>
      <c r="I38" s="100">
        <v>17388</v>
      </c>
      <c r="J38" s="100">
        <v>13</v>
      </c>
      <c r="K38" s="100">
        <v>16146</v>
      </c>
      <c r="L38" s="100">
        <v>16</v>
      </c>
      <c r="M38" s="100">
        <v>19872</v>
      </c>
      <c r="N38" s="100">
        <v>11</v>
      </c>
      <c r="O38" s="100">
        <v>13662</v>
      </c>
      <c r="P38" s="100">
        <v>12</v>
      </c>
      <c r="Q38" s="100">
        <v>14904</v>
      </c>
      <c r="R38" s="100">
        <v>8.9765371645465173</v>
      </c>
      <c r="S38" s="100">
        <v>11148.859158366775</v>
      </c>
      <c r="T38" s="100">
        <v>12.563918208449779</v>
      </c>
      <c r="U38" s="100">
        <v>15604.386414894627</v>
      </c>
      <c r="V38" s="100">
        <v>9.6733866110620923</v>
      </c>
      <c r="W38" s="100">
        <v>12014.346170939119</v>
      </c>
      <c r="X38" s="100">
        <v>13</v>
      </c>
      <c r="Y38" s="100">
        <v>16146</v>
      </c>
      <c r="Z38" s="100">
        <v>9</v>
      </c>
      <c r="AA38" s="100">
        <v>11178</v>
      </c>
      <c r="AB38" s="100">
        <v>13.208392715098094</v>
      </c>
      <c r="AC38" s="100">
        <v>16404.823752151835</v>
      </c>
      <c r="AD38" s="100">
        <v>13</v>
      </c>
      <c r="AE38" s="100">
        <v>16146</v>
      </c>
      <c r="AF38" s="100">
        <v>12</v>
      </c>
      <c r="AG38" s="100">
        <v>14904</v>
      </c>
      <c r="AH38" s="100">
        <v>9</v>
      </c>
      <c r="AI38" s="100">
        <v>11178</v>
      </c>
      <c r="AJ38" s="100">
        <v>15</v>
      </c>
      <c r="AK38" s="100">
        <v>18630</v>
      </c>
      <c r="AL38" s="100">
        <v>15</v>
      </c>
      <c r="AM38" s="100">
        <v>18630</v>
      </c>
      <c r="AN38" s="100">
        <v>17</v>
      </c>
      <c r="AO38" s="100">
        <v>21114</v>
      </c>
      <c r="AP38" s="100">
        <v>16</v>
      </c>
      <c r="AQ38" s="100">
        <v>19872</v>
      </c>
      <c r="AR38" s="100">
        <v>18</v>
      </c>
      <c r="AS38" s="100">
        <v>22356</v>
      </c>
      <c r="AT38" s="100">
        <v>11</v>
      </c>
      <c r="AU38" s="100">
        <v>13662</v>
      </c>
      <c r="AV38" s="100">
        <v>13</v>
      </c>
      <c r="AW38" s="100">
        <v>16146</v>
      </c>
      <c r="AX38" s="100">
        <v>18</v>
      </c>
      <c r="AY38" s="100">
        <v>22356</v>
      </c>
      <c r="AZ38" s="100">
        <v>13</v>
      </c>
      <c r="BA38" s="100">
        <v>16146</v>
      </c>
      <c r="BB38" s="100">
        <v>10</v>
      </c>
      <c r="BC38" s="100">
        <v>12420</v>
      </c>
      <c r="BD38" s="100">
        <v>15</v>
      </c>
      <c r="BE38" s="100">
        <v>18630</v>
      </c>
      <c r="BF38" s="100">
        <v>11</v>
      </c>
      <c r="BG38" s="100">
        <v>13662</v>
      </c>
      <c r="BH38" s="100">
        <v>12</v>
      </c>
      <c r="BI38" s="100">
        <v>14904</v>
      </c>
      <c r="BJ38" s="100">
        <v>18</v>
      </c>
      <c r="BK38" s="100">
        <v>22356</v>
      </c>
      <c r="BL38" s="100">
        <v>10</v>
      </c>
      <c r="BM38" s="100">
        <v>12420</v>
      </c>
      <c r="BN38" s="100">
        <v>11</v>
      </c>
      <c r="BO38" s="100">
        <v>13662</v>
      </c>
      <c r="BP38" s="100">
        <v>17</v>
      </c>
      <c r="BQ38" s="100">
        <v>21114</v>
      </c>
      <c r="BR38" s="100">
        <v>10</v>
      </c>
      <c r="BS38" s="100">
        <v>12420</v>
      </c>
      <c r="BT38" s="100">
        <v>19</v>
      </c>
      <c r="BU38" s="100">
        <v>23598</v>
      </c>
      <c r="BV38" s="100">
        <v>14</v>
      </c>
      <c r="BW38" s="100">
        <v>17388</v>
      </c>
      <c r="BX38" s="100">
        <v>17</v>
      </c>
      <c r="BY38" s="100">
        <v>21114</v>
      </c>
      <c r="BZ38" s="100">
        <v>12</v>
      </c>
      <c r="CA38" s="100">
        <v>14904</v>
      </c>
      <c r="CB38" s="100">
        <v>14</v>
      </c>
      <c r="CC38" s="100">
        <v>17388</v>
      </c>
      <c r="CD38" s="100">
        <v>11</v>
      </c>
      <c r="CE38" s="100">
        <v>13662</v>
      </c>
      <c r="CF38" s="100">
        <v>13</v>
      </c>
      <c r="CG38" s="100">
        <v>16146</v>
      </c>
      <c r="CH38" s="100">
        <v>10</v>
      </c>
      <c r="CI38" s="100">
        <v>12420</v>
      </c>
      <c r="CJ38" s="100">
        <v>10</v>
      </c>
      <c r="CK38" s="100">
        <v>12420</v>
      </c>
      <c r="CL38" s="100">
        <v>11</v>
      </c>
      <c r="CM38" s="100">
        <v>13662</v>
      </c>
      <c r="CN38" s="100">
        <v>12</v>
      </c>
      <c r="CO38" s="100">
        <v>14904</v>
      </c>
      <c r="CP38" s="100">
        <v>15</v>
      </c>
      <c r="CQ38" s="100">
        <v>18630</v>
      </c>
      <c r="CR38" s="100">
        <v>14</v>
      </c>
      <c r="CS38" s="100">
        <v>17388</v>
      </c>
      <c r="CT38" s="100">
        <v>12</v>
      </c>
      <c r="CU38" s="100">
        <v>14904</v>
      </c>
    </row>
    <row r="39" spans="2:99">
      <c r="C39" s="99" t="s">
        <v>205</v>
      </c>
      <c r="D39" s="100">
        <v>10</v>
      </c>
      <c r="E39" s="100">
        <v>14232</v>
      </c>
      <c r="F39" s="100">
        <v>11</v>
      </c>
      <c r="G39" s="100">
        <v>15655.2</v>
      </c>
      <c r="H39" s="100">
        <v>14</v>
      </c>
      <c r="I39" s="100">
        <v>19924.8</v>
      </c>
      <c r="J39" s="100">
        <v>14</v>
      </c>
      <c r="K39" s="100">
        <v>19924.8</v>
      </c>
      <c r="L39" s="100">
        <v>15</v>
      </c>
      <c r="M39" s="100">
        <v>21348</v>
      </c>
      <c r="N39" s="100">
        <v>11</v>
      </c>
      <c r="O39" s="100">
        <v>15655.2</v>
      </c>
      <c r="P39" s="100">
        <v>13</v>
      </c>
      <c r="Q39" s="100">
        <v>18501.600000000002</v>
      </c>
      <c r="R39" s="100">
        <v>8.9765371645465173</v>
      </c>
      <c r="S39" s="100">
        <v>12775.407692582603</v>
      </c>
      <c r="T39" s="100">
        <v>11.597462961645951</v>
      </c>
      <c r="U39" s="100">
        <v>16505.509287014516</v>
      </c>
      <c r="V39" s="100">
        <v>11.608063933274511</v>
      </c>
      <c r="W39" s="100">
        <v>16520.596589836285</v>
      </c>
      <c r="X39" s="100">
        <v>13</v>
      </c>
      <c r="Y39" s="100">
        <v>18501.600000000002</v>
      </c>
      <c r="Z39" s="100">
        <v>9</v>
      </c>
      <c r="AA39" s="100">
        <v>12808.800000000001</v>
      </c>
      <c r="AB39" s="100">
        <v>15.095305960112107</v>
      </c>
      <c r="AC39" s="100">
        <v>21483.639442431551</v>
      </c>
      <c r="AD39" s="100">
        <v>12</v>
      </c>
      <c r="AE39" s="100">
        <v>17078.400000000001</v>
      </c>
      <c r="AF39" s="100">
        <v>13</v>
      </c>
      <c r="AG39" s="100">
        <v>18501.600000000002</v>
      </c>
      <c r="AH39" s="100">
        <v>8</v>
      </c>
      <c r="AI39" s="100">
        <v>11385.6</v>
      </c>
      <c r="AJ39" s="100">
        <v>15</v>
      </c>
      <c r="AK39" s="100">
        <v>21348</v>
      </c>
      <c r="AL39" s="100">
        <v>14</v>
      </c>
      <c r="AM39" s="100">
        <v>19924.8</v>
      </c>
      <c r="AN39" s="100">
        <v>16</v>
      </c>
      <c r="AO39" s="100">
        <v>22771.200000000001</v>
      </c>
      <c r="AP39" s="100">
        <v>14</v>
      </c>
      <c r="AQ39" s="100">
        <v>19924.8</v>
      </c>
      <c r="AR39" s="100">
        <v>15</v>
      </c>
      <c r="AS39" s="100">
        <v>21348</v>
      </c>
      <c r="AT39" s="100">
        <v>12</v>
      </c>
      <c r="AU39" s="100">
        <v>17078.400000000001</v>
      </c>
      <c r="AV39" s="100">
        <v>14</v>
      </c>
      <c r="AW39" s="100">
        <v>19924.8</v>
      </c>
      <c r="AX39" s="100">
        <v>16</v>
      </c>
      <c r="AY39" s="100">
        <v>22771.200000000001</v>
      </c>
      <c r="AZ39" s="100">
        <v>12</v>
      </c>
      <c r="BA39" s="100">
        <v>17078.400000000001</v>
      </c>
      <c r="BB39" s="100">
        <v>12</v>
      </c>
      <c r="BC39" s="100">
        <v>17078.400000000001</v>
      </c>
      <c r="BD39" s="100">
        <v>15</v>
      </c>
      <c r="BE39" s="100">
        <v>21348</v>
      </c>
      <c r="BF39" s="100">
        <v>11</v>
      </c>
      <c r="BG39" s="100">
        <v>15655.2</v>
      </c>
      <c r="BH39" s="100">
        <v>12</v>
      </c>
      <c r="BI39" s="100">
        <v>17078.400000000001</v>
      </c>
      <c r="BJ39" s="100">
        <v>17</v>
      </c>
      <c r="BK39" s="100">
        <v>24194.400000000001</v>
      </c>
      <c r="BL39" s="100">
        <v>11</v>
      </c>
      <c r="BM39" s="100">
        <v>15655.2</v>
      </c>
      <c r="BN39" s="100">
        <v>11</v>
      </c>
      <c r="BO39" s="100">
        <v>15655.2</v>
      </c>
      <c r="BP39" s="100">
        <v>18</v>
      </c>
      <c r="BQ39" s="100">
        <v>25617.600000000002</v>
      </c>
      <c r="BR39" s="100">
        <v>9</v>
      </c>
      <c r="BS39" s="100">
        <v>12808.800000000001</v>
      </c>
      <c r="BT39" s="100">
        <v>17</v>
      </c>
      <c r="BU39" s="100">
        <v>24194.400000000001</v>
      </c>
      <c r="BV39" s="100">
        <v>12</v>
      </c>
      <c r="BW39" s="100">
        <v>17078.400000000001</v>
      </c>
      <c r="BX39" s="100">
        <v>16</v>
      </c>
      <c r="BY39" s="100">
        <v>22771.200000000001</v>
      </c>
      <c r="BZ39" s="100">
        <v>12</v>
      </c>
      <c r="CA39" s="100">
        <v>17078.400000000001</v>
      </c>
      <c r="CB39" s="100">
        <v>13</v>
      </c>
      <c r="CC39" s="100">
        <v>18501.600000000002</v>
      </c>
      <c r="CD39" s="100">
        <v>11</v>
      </c>
      <c r="CE39" s="100">
        <v>15655.2</v>
      </c>
      <c r="CF39" s="100">
        <v>12</v>
      </c>
      <c r="CG39" s="100">
        <v>17078.400000000001</v>
      </c>
      <c r="CH39" s="100">
        <v>10</v>
      </c>
      <c r="CI39" s="100">
        <v>14232</v>
      </c>
      <c r="CJ39" s="100">
        <v>9</v>
      </c>
      <c r="CK39" s="100">
        <v>12808.800000000001</v>
      </c>
      <c r="CL39" s="100">
        <v>11</v>
      </c>
      <c r="CM39" s="100">
        <v>15655.2</v>
      </c>
      <c r="CN39" s="100">
        <v>12</v>
      </c>
      <c r="CO39" s="100">
        <v>17078.400000000001</v>
      </c>
      <c r="CP39" s="100">
        <v>16</v>
      </c>
      <c r="CQ39" s="100">
        <v>22771.200000000001</v>
      </c>
      <c r="CR39" s="100">
        <v>13</v>
      </c>
      <c r="CS39" s="100">
        <v>18501.600000000002</v>
      </c>
      <c r="CT39" s="100">
        <v>13</v>
      </c>
      <c r="CU39" s="100">
        <v>18501.600000000002</v>
      </c>
    </row>
    <row r="40" spans="2:99">
      <c r="C40" s="99" t="s">
        <v>206</v>
      </c>
      <c r="D40" s="100">
        <v>12</v>
      </c>
      <c r="E40" s="100">
        <v>8697.5999999999985</v>
      </c>
      <c r="F40" s="100">
        <v>12</v>
      </c>
      <c r="G40" s="100">
        <v>8697.5999999999985</v>
      </c>
      <c r="H40" s="100">
        <v>17</v>
      </c>
      <c r="I40" s="100">
        <v>12321.599999999999</v>
      </c>
      <c r="J40" s="100">
        <v>14</v>
      </c>
      <c r="K40" s="100">
        <v>10147.199999999999</v>
      </c>
      <c r="L40" s="100">
        <v>15</v>
      </c>
      <c r="M40" s="100">
        <v>10872</v>
      </c>
      <c r="N40" s="100">
        <v>11</v>
      </c>
      <c r="O40" s="100">
        <v>7972.7999999999993</v>
      </c>
      <c r="P40" s="100">
        <v>14</v>
      </c>
      <c r="Q40" s="100">
        <v>10147.199999999999</v>
      </c>
      <c r="R40" s="100">
        <v>9.9739301828294646</v>
      </c>
      <c r="S40" s="100">
        <v>7229.104596514796</v>
      </c>
      <c r="T40" s="100">
        <v>14.496828702057437</v>
      </c>
      <c r="U40" s="100">
        <v>10507.30144325123</v>
      </c>
      <c r="V40" s="100">
        <v>12.575402594380721</v>
      </c>
      <c r="W40" s="100">
        <v>9114.6518004071459</v>
      </c>
      <c r="X40" s="100">
        <v>13</v>
      </c>
      <c r="Y40" s="100">
        <v>9422.4</v>
      </c>
      <c r="Z40" s="100">
        <v>11</v>
      </c>
      <c r="AA40" s="100">
        <v>7972.7999999999993</v>
      </c>
      <c r="AB40" s="100">
        <v>14.151849337605102</v>
      </c>
      <c r="AC40" s="100">
        <v>10257.260399896177</v>
      </c>
      <c r="AD40" s="100">
        <v>12</v>
      </c>
      <c r="AE40" s="100">
        <v>8697.5999999999985</v>
      </c>
      <c r="AF40" s="100">
        <v>14</v>
      </c>
      <c r="AG40" s="100">
        <v>10147.199999999999</v>
      </c>
      <c r="AH40" s="100">
        <v>10</v>
      </c>
      <c r="AI40" s="100">
        <v>7248</v>
      </c>
      <c r="AJ40" s="100">
        <v>16</v>
      </c>
      <c r="AK40" s="100">
        <v>11596.8</v>
      </c>
      <c r="AL40" s="100">
        <v>16</v>
      </c>
      <c r="AM40" s="100">
        <v>11596.8</v>
      </c>
      <c r="AN40" s="100">
        <v>17</v>
      </c>
      <c r="AO40" s="100">
        <v>12321.599999999999</v>
      </c>
      <c r="AP40" s="100">
        <v>16</v>
      </c>
      <c r="AQ40" s="100">
        <v>11596.8</v>
      </c>
      <c r="AR40" s="100">
        <v>17</v>
      </c>
      <c r="AS40" s="100">
        <v>12321.599999999999</v>
      </c>
      <c r="AT40" s="100">
        <v>13</v>
      </c>
      <c r="AU40" s="100">
        <v>9422.4</v>
      </c>
      <c r="AV40" s="100">
        <v>13</v>
      </c>
      <c r="AW40" s="100">
        <v>9422.4</v>
      </c>
      <c r="AX40" s="100">
        <v>18</v>
      </c>
      <c r="AY40" s="100">
        <v>13046.4</v>
      </c>
      <c r="AZ40" s="100">
        <v>14</v>
      </c>
      <c r="BA40" s="100">
        <v>10147.199999999999</v>
      </c>
      <c r="BB40" s="100">
        <v>11</v>
      </c>
      <c r="BC40" s="100">
        <v>7972.7999999999993</v>
      </c>
      <c r="BD40" s="100">
        <v>16</v>
      </c>
      <c r="BE40" s="100">
        <v>11596.8</v>
      </c>
      <c r="BF40" s="100">
        <v>11</v>
      </c>
      <c r="BG40" s="100">
        <v>7972.7999999999993</v>
      </c>
      <c r="BH40" s="100">
        <v>15</v>
      </c>
      <c r="BI40" s="100">
        <v>10872</v>
      </c>
      <c r="BJ40" s="100">
        <v>17</v>
      </c>
      <c r="BK40" s="100">
        <v>12321.599999999999</v>
      </c>
      <c r="BL40" s="100">
        <v>10</v>
      </c>
      <c r="BM40" s="100">
        <v>7248</v>
      </c>
      <c r="BN40" s="100">
        <v>12</v>
      </c>
      <c r="BO40" s="100">
        <v>8697.5999999999985</v>
      </c>
      <c r="BP40" s="100">
        <v>19</v>
      </c>
      <c r="BQ40" s="100">
        <v>13771.199999999999</v>
      </c>
      <c r="BR40" s="100">
        <v>10</v>
      </c>
      <c r="BS40" s="100">
        <v>7248</v>
      </c>
      <c r="BT40" s="100">
        <v>19</v>
      </c>
      <c r="BU40" s="100">
        <v>13771.199999999999</v>
      </c>
      <c r="BV40" s="100">
        <v>15</v>
      </c>
      <c r="BW40" s="100">
        <v>10872</v>
      </c>
      <c r="BX40" s="100">
        <v>18</v>
      </c>
      <c r="BY40" s="100">
        <v>13046.4</v>
      </c>
      <c r="BZ40" s="100">
        <v>14</v>
      </c>
      <c r="CA40" s="100">
        <v>10147.199999999999</v>
      </c>
      <c r="CB40" s="100">
        <v>15</v>
      </c>
      <c r="CC40" s="100">
        <v>10872</v>
      </c>
      <c r="CD40" s="100">
        <v>12</v>
      </c>
      <c r="CE40" s="100">
        <v>8697.5999999999985</v>
      </c>
      <c r="CF40" s="100">
        <v>14</v>
      </c>
      <c r="CG40" s="100">
        <v>10147.199999999999</v>
      </c>
      <c r="CH40" s="100">
        <v>12</v>
      </c>
      <c r="CI40" s="100">
        <v>8697.5999999999985</v>
      </c>
      <c r="CJ40" s="100">
        <v>10</v>
      </c>
      <c r="CK40" s="100">
        <v>7248</v>
      </c>
      <c r="CL40" s="100">
        <v>11</v>
      </c>
      <c r="CM40" s="100">
        <v>7972.7999999999993</v>
      </c>
      <c r="CN40" s="100">
        <v>13</v>
      </c>
      <c r="CO40" s="100">
        <v>9422.4</v>
      </c>
      <c r="CP40" s="100">
        <v>16</v>
      </c>
      <c r="CQ40" s="100">
        <v>11596.8</v>
      </c>
      <c r="CR40" s="100">
        <v>14</v>
      </c>
      <c r="CS40" s="100">
        <v>10147.199999999999</v>
      </c>
      <c r="CT40" s="100">
        <v>11</v>
      </c>
      <c r="CU40" s="100">
        <v>7972.7999999999993</v>
      </c>
    </row>
    <row r="41" spans="2:99">
      <c r="C41" s="99" t="s">
        <v>207</v>
      </c>
      <c r="D41" s="100">
        <v>12</v>
      </c>
      <c r="E41" s="100">
        <v>7920</v>
      </c>
      <c r="F41" s="100">
        <v>13</v>
      </c>
      <c r="G41" s="100">
        <v>8580</v>
      </c>
      <c r="H41" s="100">
        <v>14</v>
      </c>
      <c r="I41" s="100">
        <v>9240</v>
      </c>
      <c r="J41" s="100">
        <v>15</v>
      </c>
      <c r="K41" s="100">
        <v>9900</v>
      </c>
      <c r="L41" s="100">
        <v>17</v>
      </c>
      <c r="M41" s="100">
        <v>11220</v>
      </c>
      <c r="N41" s="100">
        <v>12</v>
      </c>
      <c r="O41" s="100">
        <v>7920</v>
      </c>
      <c r="P41" s="100">
        <v>13</v>
      </c>
      <c r="Q41" s="100">
        <v>8580</v>
      </c>
      <c r="R41" s="100">
        <v>10.971323201112412</v>
      </c>
      <c r="S41" s="100">
        <v>7241.0733127341919</v>
      </c>
      <c r="T41" s="100">
        <v>14.496828702057437</v>
      </c>
      <c r="U41" s="100">
        <v>9567.9069433579079</v>
      </c>
      <c r="V41" s="100">
        <v>10.640725272168302</v>
      </c>
      <c r="W41" s="100">
        <v>7022.8786796310796</v>
      </c>
      <c r="X41" s="100">
        <v>15</v>
      </c>
      <c r="Y41" s="100">
        <v>9900</v>
      </c>
      <c r="Z41" s="100">
        <v>10</v>
      </c>
      <c r="AA41" s="100">
        <v>6600</v>
      </c>
      <c r="AB41" s="100">
        <v>14.151849337605102</v>
      </c>
      <c r="AC41" s="100">
        <v>9340.2205628193678</v>
      </c>
      <c r="AD41" s="100">
        <v>14</v>
      </c>
      <c r="AE41" s="100">
        <v>9240</v>
      </c>
      <c r="AF41" s="100">
        <v>14</v>
      </c>
      <c r="AG41" s="100">
        <v>9240</v>
      </c>
      <c r="AH41" s="100">
        <v>11</v>
      </c>
      <c r="AI41" s="100">
        <v>7260</v>
      </c>
      <c r="AJ41" s="100">
        <v>14</v>
      </c>
      <c r="AK41" s="100">
        <v>9240</v>
      </c>
      <c r="AL41" s="100">
        <v>14</v>
      </c>
      <c r="AM41" s="100">
        <v>9240</v>
      </c>
      <c r="AN41" s="100">
        <v>20</v>
      </c>
      <c r="AO41" s="100">
        <v>13200</v>
      </c>
      <c r="AP41" s="100">
        <v>16</v>
      </c>
      <c r="AQ41" s="100">
        <v>10560</v>
      </c>
      <c r="AR41" s="100">
        <v>17</v>
      </c>
      <c r="AS41" s="100">
        <v>11220</v>
      </c>
      <c r="AT41" s="100">
        <v>13</v>
      </c>
      <c r="AU41" s="100">
        <v>8580</v>
      </c>
      <c r="AV41" s="100">
        <v>15</v>
      </c>
      <c r="AW41" s="100">
        <v>9900</v>
      </c>
      <c r="AX41" s="100">
        <v>16</v>
      </c>
      <c r="AY41" s="100">
        <v>10560</v>
      </c>
      <c r="AZ41" s="100">
        <v>14</v>
      </c>
      <c r="BA41" s="100">
        <v>9240</v>
      </c>
      <c r="BB41" s="100">
        <v>13</v>
      </c>
      <c r="BC41" s="100">
        <v>8580</v>
      </c>
      <c r="BD41" s="100">
        <v>17</v>
      </c>
      <c r="BE41" s="100">
        <v>11220</v>
      </c>
      <c r="BF41" s="100">
        <v>12</v>
      </c>
      <c r="BG41" s="100">
        <v>7920</v>
      </c>
      <c r="BH41" s="100">
        <v>13</v>
      </c>
      <c r="BI41" s="100">
        <v>8580</v>
      </c>
      <c r="BJ41" s="100">
        <v>19</v>
      </c>
      <c r="BK41" s="100">
        <v>12540</v>
      </c>
      <c r="BL41" s="100">
        <v>12</v>
      </c>
      <c r="BM41" s="100">
        <v>7920</v>
      </c>
      <c r="BN41" s="100">
        <v>12</v>
      </c>
      <c r="BO41" s="100">
        <v>7920</v>
      </c>
      <c r="BP41" s="100">
        <v>17</v>
      </c>
      <c r="BQ41" s="100">
        <v>11220</v>
      </c>
      <c r="BR41" s="100">
        <v>10</v>
      </c>
      <c r="BS41" s="100">
        <v>6600</v>
      </c>
      <c r="BT41" s="100">
        <v>20</v>
      </c>
      <c r="BU41" s="100">
        <v>13200</v>
      </c>
      <c r="BV41" s="100">
        <v>13</v>
      </c>
      <c r="BW41" s="100">
        <v>8580</v>
      </c>
      <c r="BX41" s="100">
        <v>19</v>
      </c>
      <c r="BY41" s="100">
        <v>12540</v>
      </c>
      <c r="BZ41" s="100">
        <v>12</v>
      </c>
      <c r="CA41" s="100">
        <v>7920</v>
      </c>
      <c r="CB41" s="100">
        <v>16</v>
      </c>
      <c r="CC41" s="100">
        <v>10560</v>
      </c>
      <c r="CD41" s="100">
        <v>11</v>
      </c>
      <c r="CE41" s="100">
        <v>7260</v>
      </c>
      <c r="CF41" s="100">
        <v>12</v>
      </c>
      <c r="CG41" s="100">
        <v>7920</v>
      </c>
      <c r="CH41" s="100">
        <v>12</v>
      </c>
      <c r="CI41" s="100">
        <v>7920</v>
      </c>
      <c r="CJ41" s="100">
        <v>10</v>
      </c>
      <c r="CK41" s="100">
        <v>6600</v>
      </c>
      <c r="CL41" s="100">
        <v>12</v>
      </c>
      <c r="CM41" s="100">
        <v>7920</v>
      </c>
      <c r="CN41" s="100">
        <v>13</v>
      </c>
      <c r="CO41" s="100">
        <v>8580</v>
      </c>
      <c r="CP41" s="100">
        <v>17</v>
      </c>
      <c r="CQ41" s="100">
        <v>11220</v>
      </c>
      <c r="CR41" s="100">
        <v>15</v>
      </c>
      <c r="CS41" s="100">
        <v>9900</v>
      </c>
      <c r="CT41" s="100">
        <v>13</v>
      </c>
      <c r="CU41" s="100">
        <v>8580</v>
      </c>
    </row>
    <row r="42" spans="2:99">
      <c r="C42" s="99" t="s">
        <v>208</v>
      </c>
      <c r="D42" s="100">
        <v>11</v>
      </c>
      <c r="E42" s="100">
        <v>9306</v>
      </c>
      <c r="F42" s="100">
        <v>12</v>
      </c>
      <c r="G42" s="100">
        <v>10152</v>
      </c>
      <c r="H42" s="100">
        <v>15</v>
      </c>
      <c r="I42" s="100">
        <v>12690</v>
      </c>
      <c r="J42" s="100">
        <v>16</v>
      </c>
      <c r="K42" s="100">
        <v>13536</v>
      </c>
      <c r="L42" s="100">
        <v>16</v>
      </c>
      <c r="M42" s="100">
        <v>13536</v>
      </c>
      <c r="N42" s="100">
        <v>11</v>
      </c>
      <c r="O42" s="100">
        <v>9306</v>
      </c>
      <c r="P42" s="100">
        <v>12</v>
      </c>
      <c r="Q42" s="100">
        <v>10152</v>
      </c>
      <c r="R42" s="100">
        <v>10.971323201112412</v>
      </c>
      <c r="S42" s="100">
        <v>9281.7394281410998</v>
      </c>
      <c r="T42" s="100">
        <v>12.563918208449779</v>
      </c>
      <c r="U42" s="100">
        <v>10629.074804348513</v>
      </c>
      <c r="V42" s="100">
        <v>11.608063933274511</v>
      </c>
      <c r="W42" s="100">
        <v>9820.422087550236</v>
      </c>
      <c r="X42" s="100">
        <v>15</v>
      </c>
      <c r="Y42" s="100">
        <v>12690</v>
      </c>
      <c r="Z42" s="100">
        <v>11</v>
      </c>
      <c r="AA42" s="100">
        <v>9306</v>
      </c>
      <c r="AB42" s="100">
        <v>16.038762582619114</v>
      </c>
      <c r="AC42" s="100">
        <v>13568.79314489577</v>
      </c>
      <c r="AD42" s="100">
        <v>14</v>
      </c>
      <c r="AE42" s="100">
        <v>11844</v>
      </c>
      <c r="AF42" s="100">
        <v>14</v>
      </c>
      <c r="AG42" s="100">
        <v>11844</v>
      </c>
      <c r="AH42" s="100">
        <v>9</v>
      </c>
      <c r="AI42" s="100">
        <v>7614</v>
      </c>
      <c r="AJ42" s="100">
        <v>16</v>
      </c>
      <c r="AK42" s="100">
        <v>13536</v>
      </c>
      <c r="AL42" s="100">
        <v>15</v>
      </c>
      <c r="AM42" s="100">
        <v>12690</v>
      </c>
      <c r="AN42" s="100">
        <v>16</v>
      </c>
      <c r="AO42" s="100">
        <v>13536</v>
      </c>
      <c r="AP42" s="100">
        <v>17</v>
      </c>
      <c r="AQ42" s="100">
        <v>14382</v>
      </c>
      <c r="AR42" s="100">
        <v>17</v>
      </c>
      <c r="AS42" s="100">
        <v>14382</v>
      </c>
      <c r="AT42" s="100">
        <v>12</v>
      </c>
      <c r="AU42" s="100">
        <v>10152</v>
      </c>
      <c r="AV42" s="100">
        <v>15</v>
      </c>
      <c r="AW42" s="100">
        <v>12690</v>
      </c>
      <c r="AX42" s="100">
        <v>18</v>
      </c>
      <c r="AY42" s="100">
        <v>15228</v>
      </c>
      <c r="AZ42" s="100">
        <v>12</v>
      </c>
      <c r="BA42" s="100">
        <v>10152</v>
      </c>
      <c r="BB42" s="100">
        <v>12</v>
      </c>
      <c r="BC42" s="100">
        <v>10152</v>
      </c>
      <c r="BD42" s="100">
        <v>15</v>
      </c>
      <c r="BE42" s="100">
        <v>12690</v>
      </c>
      <c r="BF42" s="100">
        <v>12</v>
      </c>
      <c r="BG42" s="100">
        <v>10152</v>
      </c>
      <c r="BH42" s="100">
        <v>12</v>
      </c>
      <c r="BI42" s="100">
        <v>10152</v>
      </c>
      <c r="BJ42" s="100">
        <v>18</v>
      </c>
      <c r="BK42" s="100">
        <v>15228</v>
      </c>
      <c r="BL42" s="100">
        <v>11</v>
      </c>
      <c r="BM42" s="100">
        <v>9306</v>
      </c>
      <c r="BN42" s="100">
        <v>12</v>
      </c>
      <c r="BO42" s="100">
        <v>10152</v>
      </c>
      <c r="BP42" s="100">
        <v>16</v>
      </c>
      <c r="BQ42" s="100">
        <v>13536</v>
      </c>
      <c r="BR42" s="100">
        <v>9</v>
      </c>
      <c r="BS42" s="100">
        <v>7614</v>
      </c>
      <c r="BT42" s="100">
        <v>17</v>
      </c>
      <c r="BU42" s="100">
        <v>14382</v>
      </c>
      <c r="BV42" s="100">
        <v>12</v>
      </c>
      <c r="BW42" s="100">
        <v>10152</v>
      </c>
      <c r="BX42" s="100">
        <v>17</v>
      </c>
      <c r="BY42" s="100">
        <v>14382</v>
      </c>
      <c r="BZ42" s="100">
        <v>12</v>
      </c>
      <c r="CA42" s="100">
        <v>10152</v>
      </c>
      <c r="CB42" s="100">
        <v>15</v>
      </c>
      <c r="CC42" s="100">
        <v>12690</v>
      </c>
      <c r="CD42" s="100">
        <v>11</v>
      </c>
      <c r="CE42" s="100">
        <v>9306</v>
      </c>
      <c r="CF42" s="100">
        <v>13</v>
      </c>
      <c r="CG42" s="100">
        <v>10998</v>
      </c>
      <c r="CH42" s="100">
        <v>10</v>
      </c>
      <c r="CI42" s="100">
        <v>8460</v>
      </c>
      <c r="CJ42" s="100">
        <v>11</v>
      </c>
      <c r="CK42" s="100">
        <v>9306</v>
      </c>
      <c r="CL42" s="100">
        <v>12</v>
      </c>
      <c r="CM42" s="100">
        <v>10152</v>
      </c>
      <c r="CN42" s="100">
        <v>13</v>
      </c>
      <c r="CO42" s="100">
        <v>10998</v>
      </c>
      <c r="CP42" s="100">
        <v>16</v>
      </c>
      <c r="CQ42" s="100">
        <v>13536</v>
      </c>
      <c r="CR42" s="100">
        <v>15</v>
      </c>
      <c r="CS42" s="100">
        <v>12690</v>
      </c>
      <c r="CT42" s="100">
        <v>11</v>
      </c>
      <c r="CU42" s="100">
        <v>9306</v>
      </c>
    </row>
    <row r="43" spans="2:99">
      <c r="C43" s="99" t="s">
        <v>209</v>
      </c>
      <c r="D43" s="100">
        <v>11</v>
      </c>
      <c r="E43" s="100">
        <v>11246.4</v>
      </c>
      <c r="F43" s="100">
        <v>13</v>
      </c>
      <c r="G43" s="100">
        <v>13291.199999999999</v>
      </c>
      <c r="H43" s="100">
        <v>15</v>
      </c>
      <c r="I43" s="100">
        <v>15336</v>
      </c>
      <c r="J43" s="100">
        <v>14</v>
      </c>
      <c r="K43" s="100">
        <v>14313.6</v>
      </c>
      <c r="L43" s="100">
        <v>14</v>
      </c>
      <c r="M43" s="100">
        <v>14313.6</v>
      </c>
      <c r="N43" s="100">
        <v>9</v>
      </c>
      <c r="O43" s="100">
        <v>9201.6</v>
      </c>
      <c r="P43" s="100">
        <v>14</v>
      </c>
      <c r="Q43" s="100">
        <v>14313.6</v>
      </c>
      <c r="R43" s="100">
        <v>8.9765371645465173</v>
      </c>
      <c r="S43" s="100">
        <v>9177.611597032359</v>
      </c>
      <c r="T43" s="100">
        <v>12.563918208449779</v>
      </c>
      <c r="U43" s="100">
        <v>12845.349976319054</v>
      </c>
      <c r="V43" s="100">
        <v>10.640725272168302</v>
      </c>
      <c r="W43" s="100">
        <v>10879.077518264872</v>
      </c>
      <c r="X43" s="100">
        <v>15</v>
      </c>
      <c r="Y43" s="100">
        <v>15336</v>
      </c>
      <c r="Z43" s="100">
        <v>9</v>
      </c>
      <c r="AA43" s="100">
        <v>9201.6</v>
      </c>
      <c r="AB43" s="100">
        <v>15.095305960112107</v>
      </c>
      <c r="AC43" s="100">
        <v>15433.440813618618</v>
      </c>
      <c r="AD43" s="100">
        <v>14</v>
      </c>
      <c r="AE43" s="100">
        <v>14313.6</v>
      </c>
      <c r="AF43" s="100">
        <v>13</v>
      </c>
      <c r="AG43" s="100">
        <v>13291.199999999999</v>
      </c>
      <c r="AH43" s="100">
        <v>9</v>
      </c>
      <c r="AI43" s="100">
        <v>9201.6</v>
      </c>
      <c r="AJ43" s="100">
        <v>17</v>
      </c>
      <c r="AK43" s="100">
        <v>17380.8</v>
      </c>
      <c r="AL43" s="100">
        <v>15</v>
      </c>
      <c r="AM43" s="100">
        <v>15336</v>
      </c>
      <c r="AN43" s="100">
        <v>18</v>
      </c>
      <c r="AO43" s="100">
        <v>18403.2</v>
      </c>
      <c r="AP43" s="100">
        <v>15</v>
      </c>
      <c r="AQ43" s="100">
        <v>15336</v>
      </c>
      <c r="AR43" s="100">
        <v>18</v>
      </c>
      <c r="AS43" s="100">
        <v>18403.2</v>
      </c>
      <c r="AT43" s="100">
        <v>12</v>
      </c>
      <c r="AU43" s="100">
        <v>12268.8</v>
      </c>
      <c r="AV43" s="100">
        <v>13</v>
      </c>
      <c r="AW43" s="100">
        <v>13291.199999999999</v>
      </c>
      <c r="AX43" s="100">
        <v>17</v>
      </c>
      <c r="AY43" s="100">
        <v>17380.8</v>
      </c>
      <c r="AZ43" s="100">
        <v>12</v>
      </c>
      <c r="BA43" s="100">
        <v>12268.8</v>
      </c>
      <c r="BB43" s="100">
        <v>11</v>
      </c>
      <c r="BC43" s="100">
        <v>11246.4</v>
      </c>
      <c r="BD43" s="100">
        <v>16</v>
      </c>
      <c r="BE43" s="100">
        <v>16358.4</v>
      </c>
      <c r="BF43" s="100">
        <v>11</v>
      </c>
      <c r="BG43" s="100">
        <v>11246.4</v>
      </c>
      <c r="BH43" s="100">
        <v>14</v>
      </c>
      <c r="BI43" s="100">
        <v>14313.6</v>
      </c>
      <c r="BJ43" s="100">
        <v>17</v>
      </c>
      <c r="BK43" s="100">
        <v>17380.8</v>
      </c>
      <c r="BL43" s="100">
        <v>10</v>
      </c>
      <c r="BM43" s="100">
        <v>10224</v>
      </c>
      <c r="BN43" s="100">
        <v>12</v>
      </c>
      <c r="BO43" s="100">
        <v>12268.8</v>
      </c>
      <c r="BP43" s="100">
        <v>19</v>
      </c>
      <c r="BQ43" s="100">
        <v>19425.599999999999</v>
      </c>
      <c r="BR43" s="100">
        <v>10</v>
      </c>
      <c r="BS43" s="100">
        <v>10224</v>
      </c>
      <c r="BT43" s="100">
        <v>18</v>
      </c>
      <c r="BU43" s="100">
        <v>18403.2</v>
      </c>
      <c r="BV43" s="100">
        <v>14</v>
      </c>
      <c r="BW43" s="100">
        <v>14313.6</v>
      </c>
      <c r="BX43" s="100">
        <v>17</v>
      </c>
      <c r="BY43" s="100">
        <v>17380.8</v>
      </c>
      <c r="BZ43" s="100">
        <v>12</v>
      </c>
      <c r="CA43" s="100">
        <v>12268.8</v>
      </c>
      <c r="CB43" s="100">
        <v>16</v>
      </c>
      <c r="CC43" s="100">
        <v>16358.4</v>
      </c>
      <c r="CD43" s="100">
        <v>11</v>
      </c>
      <c r="CE43" s="100">
        <v>11246.4</v>
      </c>
      <c r="CF43" s="100">
        <v>14</v>
      </c>
      <c r="CG43" s="100">
        <v>14313.6</v>
      </c>
      <c r="CH43" s="100">
        <v>12</v>
      </c>
      <c r="CI43" s="100">
        <v>12268.8</v>
      </c>
      <c r="CJ43" s="100">
        <v>11</v>
      </c>
      <c r="CK43" s="100">
        <v>11246.4</v>
      </c>
      <c r="CL43" s="100">
        <v>10</v>
      </c>
      <c r="CM43" s="100">
        <v>10224</v>
      </c>
      <c r="CN43" s="100">
        <v>14</v>
      </c>
      <c r="CO43" s="100">
        <v>14313.6</v>
      </c>
      <c r="CP43" s="100">
        <v>15</v>
      </c>
      <c r="CQ43" s="100">
        <v>15336</v>
      </c>
      <c r="CR43" s="100">
        <v>15</v>
      </c>
      <c r="CS43" s="100">
        <v>15336</v>
      </c>
      <c r="CT43" s="100">
        <v>12</v>
      </c>
      <c r="CU43" s="100">
        <v>12268.8</v>
      </c>
    </row>
    <row r="44" spans="2:99">
      <c r="C44" s="99" t="s">
        <v>210</v>
      </c>
      <c r="D44" s="100">
        <v>13</v>
      </c>
      <c r="E44" s="100">
        <v>13291.199999999999</v>
      </c>
      <c r="F44" s="100">
        <v>14</v>
      </c>
      <c r="G44" s="100">
        <v>14313.6</v>
      </c>
      <c r="H44" s="100">
        <v>15</v>
      </c>
      <c r="I44" s="100">
        <v>15336</v>
      </c>
      <c r="J44" s="100">
        <v>15</v>
      </c>
      <c r="K44" s="100">
        <v>15336</v>
      </c>
      <c r="L44" s="100">
        <v>14</v>
      </c>
      <c r="M44" s="100">
        <v>14313.6</v>
      </c>
      <c r="N44" s="100">
        <v>11</v>
      </c>
      <c r="O44" s="100">
        <v>11246.4</v>
      </c>
      <c r="P44" s="100">
        <v>13</v>
      </c>
      <c r="Q44" s="100">
        <v>13291.199999999999</v>
      </c>
      <c r="R44" s="100">
        <v>10.971323201112412</v>
      </c>
      <c r="S44" s="100">
        <v>11217.080840817331</v>
      </c>
      <c r="T44" s="100">
        <v>14.496828702057437</v>
      </c>
      <c r="U44" s="100">
        <v>14821.557664983524</v>
      </c>
      <c r="V44" s="100">
        <v>10.640725272168302</v>
      </c>
      <c r="W44" s="100">
        <v>10879.077518264872</v>
      </c>
      <c r="X44" s="100">
        <v>13</v>
      </c>
      <c r="Y44" s="100">
        <v>13291.199999999999</v>
      </c>
      <c r="Z44" s="100">
        <v>10</v>
      </c>
      <c r="AA44" s="100">
        <v>10224</v>
      </c>
      <c r="AB44" s="100">
        <v>13.208392715098094</v>
      </c>
      <c r="AC44" s="100">
        <v>13504.260711916291</v>
      </c>
      <c r="AD44" s="100">
        <v>12</v>
      </c>
      <c r="AE44" s="100">
        <v>12268.8</v>
      </c>
      <c r="AF44" s="100">
        <v>14</v>
      </c>
      <c r="AG44" s="100">
        <v>14313.6</v>
      </c>
      <c r="AH44" s="100">
        <v>10</v>
      </c>
      <c r="AI44" s="100">
        <v>10224</v>
      </c>
      <c r="AJ44" s="100">
        <v>15</v>
      </c>
      <c r="AK44" s="100">
        <v>15336</v>
      </c>
      <c r="AL44" s="100">
        <v>15</v>
      </c>
      <c r="AM44" s="100">
        <v>15336</v>
      </c>
      <c r="AN44" s="100">
        <v>16</v>
      </c>
      <c r="AO44" s="100">
        <v>16358.4</v>
      </c>
      <c r="AP44" s="100">
        <v>14</v>
      </c>
      <c r="AQ44" s="100">
        <v>14313.6</v>
      </c>
      <c r="AR44" s="100">
        <v>16</v>
      </c>
      <c r="AS44" s="100">
        <v>16358.4</v>
      </c>
      <c r="AT44" s="100">
        <v>12</v>
      </c>
      <c r="AU44" s="100">
        <v>12268.8</v>
      </c>
      <c r="AV44" s="100">
        <v>14</v>
      </c>
      <c r="AW44" s="100">
        <v>14313.6</v>
      </c>
      <c r="AX44" s="100">
        <v>17</v>
      </c>
      <c r="AY44" s="100">
        <v>17380.8</v>
      </c>
      <c r="AZ44" s="100">
        <v>14</v>
      </c>
      <c r="BA44" s="100">
        <v>14313.6</v>
      </c>
      <c r="BB44" s="100">
        <v>11</v>
      </c>
      <c r="BC44" s="100">
        <v>11246.4</v>
      </c>
      <c r="BD44" s="100">
        <v>14</v>
      </c>
      <c r="BE44" s="100">
        <v>14313.6</v>
      </c>
      <c r="BF44" s="100">
        <v>11</v>
      </c>
      <c r="BG44" s="100">
        <v>11246.4</v>
      </c>
      <c r="BH44" s="100">
        <v>14</v>
      </c>
      <c r="BI44" s="100">
        <v>14313.6</v>
      </c>
      <c r="BJ44" s="100">
        <v>15</v>
      </c>
      <c r="BK44" s="100">
        <v>15336</v>
      </c>
      <c r="BL44" s="100">
        <v>11</v>
      </c>
      <c r="BM44" s="100">
        <v>11246.4</v>
      </c>
      <c r="BN44" s="100">
        <v>11</v>
      </c>
      <c r="BO44" s="100">
        <v>11246.4</v>
      </c>
      <c r="BP44" s="100">
        <v>16</v>
      </c>
      <c r="BQ44" s="100">
        <v>16358.4</v>
      </c>
      <c r="BR44" s="100">
        <v>10</v>
      </c>
      <c r="BS44" s="100">
        <v>10224</v>
      </c>
      <c r="BT44" s="100">
        <v>19</v>
      </c>
      <c r="BU44" s="100">
        <v>19425.599999999999</v>
      </c>
      <c r="BV44" s="100">
        <v>14</v>
      </c>
      <c r="BW44" s="100">
        <v>14313.6</v>
      </c>
      <c r="BX44" s="100">
        <v>17</v>
      </c>
      <c r="BY44" s="100">
        <v>17380.8</v>
      </c>
      <c r="BZ44" s="100">
        <v>13</v>
      </c>
      <c r="CA44" s="100">
        <v>13291.199999999999</v>
      </c>
      <c r="CB44" s="100">
        <v>16</v>
      </c>
      <c r="CC44" s="100">
        <v>16358.4</v>
      </c>
      <c r="CD44" s="100">
        <v>13</v>
      </c>
      <c r="CE44" s="100">
        <v>13291.199999999999</v>
      </c>
      <c r="CF44" s="100">
        <v>14</v>
      </c>
      <c r="CG44" s="100">
        <v>14313.6</v>
      </c>
      <c r="CH44" s="100">
        <v>11</v>
      </c>
      <c r="CI44" s="100">
        <v>11246.4</v>
      </c>
      <c r="CJ44" s="100">
        <v>10</v>
      </c>
      <c r="CK44" s="100">
        <v>10224</v>
      </c>
      <c r="CL44" s="100">
        <v>12</v>
      </c>
      <c r="CM44" s="100">
        <v>12268.8</v>
      </c>
      <c r="CN44" s="100">
        <v>13</v>
      </c>
      <c r="CO44" s="100">
        <v>13291.199999999999</v>
      </c>
      <c r="CP44" s="100">
        <v>17</v>
      </c>
      <c r="CQ44" s="100">
        <v>17380.8</v>
      </c>
      <c r="CR44" s="100">
        <v>13</v>
      </c>
      <c r="CS44" s="100">
        <v>13291.199999999999</v>
      </c>
      <c r="CT44" s="100">
        <v>11</v>
      </c>
      <c r="CU44" s="100">
        <v>11246.4</v>
      </c>
    </row>
    <row r="45" spans="2:99">
      <c r="C45" s="99" t="s">
        <v>211</v>
      </c>
      <c r="D45" s="100">
        <v>12</v>
      </c>
      <c r="E45" s="100">
        <v>14990.400000000001</v>
      </c>
      <c r="F45" s="100">
        <v>12</v>
      </c>
      <c r="G45" s="100">
        <v>14990.400000000001</v>
      </c>
      <c r="H45" s="100">
        <v>15</v>
      </c>
      <c r="I45" s="100">
        <v>18738</v>
      </c>
      <c r="J45" s="100">
        <v>15</v>
      </c>
      <c r="K45" s="100">
        <v>18738</v>
      </c>
      <c r="L45" s="100">
        <v>15</v>
      </c>
      <c r="M45" s="100">
        <v>18738</v>
      </c>
      <c r="N45" s="100">
        <v>10</v>
      </c>
      <c r="O45" s="100">
        <v>12492</v>
      </c>
      <c r="P45" s="100">
        <v>12</v>
      </c>
      <c r="Q45" s="100">
        <v>14990.400000000001</v>
      </c>
      <c r="R45" s="100">
        <v>9.9739301828294646</v>
      </c>
      <c r="S45" s="100">
        <v>12459.433584390568</v>
      </c>
      <c r="T45" s="100">
        <v>11.597462961645951</v>
      </c>
      <c r="U45" s="100">
        <v>14487.550731688121</v>
      </c>
      <c r="V45" s="100">
        <v>9.6733866110620923</v>
      </c>
      <c r="W45" s="100">
        <v>12083.994554538765</v>
      </c>
      <c r="X45" s="100">
        <v>15</v>
      </c>
      <c r="Y45" s="100">
        <v>18738</v>
      </c>
      <c r="Z45" s="100">
        <v>10</v>
      </c>
      <c r="AA45" s="100">
        <v>12492</v>
      </c>
      <c r="AB45" s="100">
        <v>14.151849337605102</v>
      </c>
      <c r="AC45" s="100">
        <v>17678.490192536294</v>
      </c>
      <c r="AD45" s="100">
        <v>12</v>
      </c>
      <c r="AE45" s="100">
        <v>14990.400000000001</v>
      </c>
      <c r="AF45" s="100">
        <v>14</v>
      </c>
      <c r="AG45" s="100">
        <v>17488.8</v>
      </c>
      <c r="AH45" s="100">
        <v>9</v>
      </c>
      <c r="AI45" s="100">
        <v>11242.800000000001</v>
      </c>
      <c r="AJ45" s="100">
        <v>15</v>
      </c>
      <c r="AK45" s="100">
        <v>18738</v>
      </c>
      <c r="AL45" s="100">
        <v>15</v>
      </c>
      <c r="AM45" s="100">
        <v>18738</v>
      </c>
      <c r="AN45" s="100">
        <v>18</v>
      </c>
      <c r="AO45" s="100">
        <v>22485.600000000002</v>
      </c>
      <c r="AP45" s="100">
        <v>14</v>
      </c>
      <c r="AQ45" s="100">
        <v>17488.8</v>
      </c>
      <c r="AR45" s="100">
        <v>18</v>
      </c>
      <c r="AS45" s="100">
        <v>22485.600000000002</v>
      </c>
      <c r="AT45" s="100">
        <v>11</v>
      </c>
      <c r="AU45" s="100">
        <v>13741.2</v>
      </c>
      <c r="AV45" s="100">
        <v>13</v>
      </c>
      <c r="AW45" s="100">
        <v>16239.6</v>
      </c>
      <c r="AX45" s="100">
        <v>17</v>
      </c>
      <c r="AY45" s="100">
        <v>21236.400000000001</v>
      </c>
      <c r="AZ45" s="100">
        <v>14</v>
      </c>
      <c r="BA45" s="100">
        <v>17488.8</v>
      </c>
      <c r="BB45" s="100">
        <v>12</v>
      </c>
      <c r="BC45" s="100">
        <v>14990.400000000001</v>
      </c>
      <c r="BD45" s="100">
        <v>15</v>
      </c>
      <c r="BE45" s="100">
        <v>18738</v>
      </c>
      <c r="BF45" s="100">
        <v>11</v>
      </c>
      <c r="BG45" s="100">
        <v>13741.2</v>
      </c>
      <c r="BH45" s="100">
        <v>12</v>
      </c>
      <c r="BI45" s="100">
        <v>14990.400000000001</v>
      </c>
      <c r="BJ45" s="100">
        <v>15</v>
      </c>
      <c r="BK45" s="100">
        <v>18738</v>
      </c>
      <c r="BL45" s="100">
        <v>10</v>
      </c>
      <c r="BM45" s="100">
        <v>12492</v>
      </c>
      <c r="BN45" s="100">
        <v>11</v>
      </c>
      <c r="BO45" s="100">
        <v>13741.2</v>
      </c>
      <c r="BP45" s="100">
        <v>17</v>
      </c>
      <c r="BQ45" s="100">
        <v>21236.400000000001</v>
      </c>
      <c r="BR45" s="100">
        <v>10</v>
      </c>
      <c r="BS45" s="100">
        <v>12492</v>
      </c>
      <c r="BT45" s="100">
        <v>18</v>
      </c>
      <c r="BU45" s="100">
        <v>22485.600000000002</v>
      </c>
      <c r="BV45" s="100">
        <v>14</v>
      </c>
      <c r="BW45" s="100">
        <v>17488.8</v>
      </c>
      <c r="BX45" s="100">
        <v>17</v>
      </c>
      <c r="BY45" s="100">
        <v>21236.400000000001</v>
      </c>
      <c r="BZ45" s="100">
        <v>13</v>
      </c>
      <c r="CA45" s="100">
        <v>16239.6</v>
      </c>
      <c r="CB45" s="100">
        <v>13</v>
      </c>
      <c r="CC45" s="100">
        <v>16239.6</v>
      </c>
      <c r="CD45" s="100">
        <v>11</v>
      </c>
      <c r="CE45" s="100">
        <v>13741.2</v>
      </c>
      <c r="CF45" s="100">
        <v>13</v>
      </c>
      <c r="CG45" s="100">
        <v>16239.6</v>
      </c>
      <c r="CH45" s="100">
        <v>10</v>
      </c>
      <c r="CI45" s="100">
        <v>12492</v>
      </c>
      <c r="CJ45" s="100">
        <v>10</v>
      </c>
      <c r="CK45" s="100">
        <v>12492</v>
      </c>
      <c r="CL45" s="100">
        <v>11</v>
      </c>
      <c r="CM45" s="100">
        <v>13741.2</v>
      </c>
      <c r="CN45" s="100">
        <v>12</v>
      </c>
      <c r="CO45" s="100">
        <v>14990.400000000001</v>
      </c>
      <c r="CP45" s="100">
        <v>14</v>
      </c>
      <c r="CQ45" s="100">
        <v>17488.8</v>
      </c>
      <c r="CR45" s="100">
        <v>13</v>
      </c>
      <c r="CS45" s="100">
        <v>16239.6</v>
      </c>
      <c r="CT45" s="100">
        <v>11</v>
      </c>
      <c r="CU45" s="100">
        <v>13741.2</v>
      </c>
    </row>
    <row r="46" spans="2:99">
      <c r="C46" s="99" t="s">
        <v>212</v>
      </c>
      <c r="D46" s="100">
        <v>11</v>
      </c>
      <c r="E46" s="100">
        <v>13332</v>
      </c>
      <c r="F46" s="100">
        <v>13</v>
      </c>
      <c r="G46" s="100">
        <v>15756</v>
      </c>
      <c r="H46" s="100">
        <v>15</v>
      </c>
      <c r="I46" s="100">
        <v>18180</v>
      </c>
      <c r="J46" s="100">
        <v>15</v>
      </c>
      <c r="K46" s="100">
        <v>18180</v>
      </c>
      <c r="L46" s="100">
        <v>14</v>
      </c>
      <c r="M46" s="100">
        <v>16968</v>
      </c>
      <c r="N46" s="100">
        <v>11</v>
      </c>
      <c r="O46" s="100">
        <v>13332</v>
      </c>
      <c r="P46" s="100">
        <v>13</v>
      </c>
      <c r="Q46" s="100">
        <v>15756</v>
      </c>
      <c r="R46" s="100">
        <v>9.9739301828294646</v>
      </c>
      <c r="S46" s="100">
        <v>12088.403381589311</v>
      </c>
      <c r="T46" s="100">
        <v>13.530373455253608</v>
      </c>
      <c r="U46" s="100">
        <v>16398.812627767373</v>
      </c>
      <c r="V46" s="100">
        <v>10.640725272168302</v>
      </c>
      <c r="W46" s="100">
        <v>12896.559029867982</v>
      </c>
      <c r="X46" s="100">
        <v>13</v>
      </c>
      <c r="Y46" s="100">
        <v>15756</v>
      </c>
      <c r="Z46" s="100">
        <v>9</v>
      </c>
      <c r="AA46" s="100">
        <v>10908</v>
      </c>
      <c r="AB46" s="100">
        <v>13.208392715098094</v>
      </c>
      <c r="AC46" s="100">
        <v>16008.571970698891</v>
      </c>
      <c r="AD46" s="100">
        <v>13</v>
      </c>
      <c r="AE46" s="100">
        <v>15756</v>
      </c>
      <c r="AF46" s="100">
        <v>14</v>
      </c>
      <c r="AG46" s="100">
        <v>16968</v>
      </c>
      <c r="AH46" s="100">
        <v>10</v>
      </c>
      <c r="AI46" s="100">
        <v>12120</v>
      </c>
      <c r="AJ46" s="100">
        <v>14</v>
      </c>
      <c r="AK46" s="100">
        <v>16968</v>
      </c>
      <c r="AL46" s="100">
        <v>14</v>
      </c>
      <c r="AM46" s="100">
        <v>16968</v>
      </c>
      <c r="AN46" s="100">
        <v>18</v>
      </c>
      <c r="AO46" s="100">
        <v>21816</v>
      </c>
      <c r="AP46" s="100">
        <v>15</v>
      </c>
      <c r="AQ46" s="100">
        <v>18180</v>
      </c>
      <c r="AR46" s="100">
        <v>17</v>
      </c>
      <c r="AS46" s="100">
        <v>20604</v>
      </c>
      <c r="AT46" s="100">
        <v>12</v>
      </c>
      <c r="AU46" s="100">
        <v>14544</v>
      </c>
      <c r="AV46" s="100">
        <v>13</v>
      </c>
      <c r="AW46" s="100">
        <v>15756</v>
      </c>
      <c r="AX46" s="100">
        <v>17</v>
      </c>
      <c r="AY46" s="100">
        <v>20604</v>
      </c>
      <c r="AZ46" s="100">
        <v>12</v>
      </c>
      <c r="BA46" s="100">
        <v>14544</v>
      </c>
      <c r="BB46" s="100">
        <v>12</v>
      </c>
      <c r="BC46" s="100">
        <v>14544</v>
      </c>
      <c r="BD46" s="100">
        <v>16</v>
      </c>
      <c r="BE46" s="100">
        <v>19392</v>
      </c>
      <c r="BF46" s="100">
        <v>10</v>
      </c>
      <c r="BG46" s="100">
        <v>12120</v>
      </c>
      <c r="BH46" s="100">
        <v>14</v>
      </c>
      <c r="BI46" s="100">
        <v>16968</v>
      </c>
      <c r="BJ46" s="100">
        <v>16</v>
      </c>
      <c r="BK46" s="100">
        <v>19392</v>
      </c>
      <c r="BL46" s="100">
        <v>9</v>
      </c>
      <c r="BM46" s="100">
        <v>10908</v>
      </c>
      <c r="BN46" s="100">
        <v>12</v>
      </c>
      <c r="BO46" s="100">
        <v>14544</v>
      </c>
      <c r="BP46" s="100">
        <v>19</v>
      </c>
      <c r="BQ46" s="100">
        <v>23028</v>
      </c>
      <c r="BR46" s="100">
        <v>10</v>
      </c>
      <c r="BS46" s="100">
        <v>12120</v>
      </c>
      <c r="BT46" s="100">
        <v>18</v>
      </c>
      <c r="BU46" s="100">
        <v>21816</v>
      </c>
      <c r="BV46" s="100">
        <v>13</v>
      </c>
      <c r="BW46" s="100">
        <v>15756</v>
      </c>
      <c r="BX46" s="100">
        <v>18</v>
      </c>
      <c r="BY46" s="100">
        <v>21816</v>
      </c>
      <c r="BZ46" s="100">
        <v>13</v>
      </c>
      <c r="CA46" s="100">
        <v>15756</v>
      </c>
      <c r="CB46" s="100">
        <v>14</v>
      </c>
      <c r="CC46" s="100">
        <v>16968</v>
      </c>
      <c r="CD46" s="100">
        <v>11</v>
      </c>
      <c r="CE46" s="100">
        <v>13332</v>
      </c>
      <c r="CF46" s="100">
        <v>13</v>
      </c>
      <c r="CG46" s="100">
        <v>15756</v>
      </c>
      <c r="CH46" s="100">
        <v>10</v>
      </c>
      <c r="CI46" s="100">
        <v>12120</v>
      </c>
      <c r="CJ46" s="100">
        <v>10</v>
      </c>
      <c r="CK46" s="100">
        <v>12120</v>
      </c>
      <c r="CL46" s="100">
        <v>11</v>
      </c>
      <c r="CM46" s="100">
        <v>13332</v>
      </c>
      <c r="CN46" s="100">
        <v>13</v>
      </c>
      <c r="CO46" s="100">
        <v>15756</v>
      </c>
      <c r="CP46" s="100">
        <v>16</v>
      </c>
      <c r="CQ46" s="100">
        <v>19392</v>
      </c>
      <c r="CR46" s="100">
        <v>13</v>
      </c>
      <c r="CS46" s="100">
        <v>15756</v>
      </c>
      <c r="CT46" s="100">
        <v>12</v>
      </c>
      <c r="CU46" s="100">
        <v>14544</v>
      </c>
    </row>
    <row r="47" spans="2:99">
      <c r="C47" s="99" t="s">
        <v>213</v>
      </c>
      <c r="D47" s="100">
        <v>11</v>
      </c>
      <c r="E47" s="100">
        <v>16803.599999999999</v>
      </c>
      <c r="F47" s="100">
        <v>12</v>
      </c>
      <c r="G47" s="100">
        <v>18331.199999999997</v>
      </c>
      <c r="H47" s="100">
        <v>13</v>
      </c>
      <c r="I47" s="100">
        <v>19858.8</v>
      </c>
      <c r="J47" s="100">
        <v>14</v>
      </c>
      <c r="K47" s="100">
        <v>21386.399999999998</v>
      </c>
      <c r="L47" s="100">
        <v>15</v>
      </c>
      <c r="M47" s="100">
        <v>22914</v>
      </c>
      <c r="N47" s="100">
        <v>9</v>
      </c>
      <c r="O47" s="100">
        <v>13748.4</v>
      </c>
      <c r="P47" s="100">
        <v>13</v>
      </c>
      <c r="Q47" s="100">
        <v>19858.8</v>
      </c>
      <c r="R47" s="100">
        <v>8.9765371645465173</v>
      </c>
      <c r="S47" s="100">
        <v>13712.558172561259</v>
      </c>
      <c r="T47" s="100">
        <v>12.563918208449779</v>
      </c>
      <c r="U47" s="100">
        <v>19192.64145522788</v>
      </c>
      <c r="V47" s="100">
        <v>9.6733866110620923</v>
      </c>
      <c r="W47" s="100">
        <v>14777.065387058452</v>
      </c>
      <c r="X47" s="100">
        <v>13</v>
      </c>
      <c r="Y47" s="100">
        <v>19858.8</v>
      </c>
      <c r="Z47" s="100">
        <v>10</v>
      </c>
      <c r="AA47" s="100">
        <v>15276</v>
      </c>
      <c r="AB47" s="100">
        <v>13.208392715098094</v>
      </c>
      <c r="AC47" s="100">
        <v>20177.140711583848</v>
      </c>
      <c r="AD47" s="100">
        <v>12</v>
      </c>
      <c r="AE47" s="100">
        <v>18331.199999999997</v>
      </c>
      <c r="AF47" s="100">
        <v>13</v>
      </c>
      <c r="AG47" s="100">
        <v>19858.8</v>
      </c>
      <c r="AH47" s="100">
        <v>9</v>
      </c>
      <c r="AI47" s="100">
        <v>13748.4</v>
      </c>
      <c r="AJ47" s="100">
        <v>15</v>
      </c>
      <c r="AK47" s="100">
        <v>22914</v>
      </c>
      <c r="AL47" s="100">
        <v>13</v>
      </c>
      <c r="AM47" s="100">
        <v>19858.8</v>
      </c>
      <c r="AN47" s="100">
        <v>16</v>
      </c>
      <c r="AO47" s="100">
        <v>24441.599999999999</v>
      </c>
      <c r="AP47" s="100">
        <v>16</v>
      </c>
      <c r="AQ47" s="100">
        <v>24441.599999999999</v>
      </c>
      <c r="AR47" s="100">
        <v>17</v>
      </c>
      <c r="AS47" s="100">
        <v>25969.199999999997</v>
      </c>
      <c r="AT47" s="100">
        <v>12</v>
      </c>
      <c r="AU47" s="100">
        <v>18331.199999999997</v>
      </c>
      <c r="AV47" s="100">
        <v>12</v>
      </c>
      <c r="AW47" s="100">
        <v>18331.199999999997</v>
      </c>
      <c r="AX47" s="100">
        <v>15</v>
      </c>
      <c r="AY47" s="100">
        <v>22914</v>
      </c>
      <c r="AZ47" s="100">
        <v>13</v>
      </c>
      <c r="BA47" s="100">
        <v>19858.8</v>
      </c>
      <c r="BB47" s="100">
        <v>11</v>
      </c>
      <c r="BC47" s="100">
        <v>16803.599999999999</v>
      </c>
      <c r="BD47" s="100">
        <v>14</v>
      </c>
      <c r="BE47" s="100">
        <v>21386.399999999998</v>
      </c>
      <c r="BF47" s="100">
        <v>10</v>
      </c>
      <c r="BG47" s="100">
        <v>15276</v>
      </c>
      <c r="BH47" s="100">
        <v>13</v>
      </c>
      <c r="BI47" s="100">
        <v>19858.8</v>
      </c>
      <c r="BJ47" s="100">
        <v>16</v>
      </c>
      <c r="BK47" s="100">
        <v>24441.599999999999</v>
      </c>
      <c r="BL47" s="100">
        <v>11</v>
      </c>
      <c r="BM47" s="100">
        <v>16803.599999999999</v>
      </c>
      <c r="BN47" s="100">
        <v>11</v>
      </c>
      <c r="BO47" s="100">
        <v>16803.599999999999</v>
      </c>
      <c r="BP47" s="100">
        <v>18</v>
      </c>
      <c r="BQ47" s="100">
        <v>27496.799999999999</v>
      </c>
      <c r="BR47" s="100">
        <v>10</v>
      </c>
      <c r="BS47" s="100">
        <v>15276</v>
      </c>
      <c r="BT47" s="100">
        <v>17</v>
      </c>
      <c r="BU47" s="100">
        <v>25969.199999999997</v>
      </c>
      <c r="BV47" s="100">
        <v>13</v>
      </c>
      <c r="BW47" s="100">
        <v>19858.8</v>
      </c>
      <c r="BX47" s="100">
        <v>15</v>
      </c>
      <c r="BY47" s="100">
        <v>22914</v>
      </c>
      <c r="BZ47" s="100">
        <v>12</v>
      </c>
      <c r="CA47" s="100">
        <v>18331.199999999997</v>
      </c>
      <c r="CB47" s="100">
        <v>13</v>
      </c>
      <c r="CC47" s="100">
        <v>19858.8</v>
      </c>
      <c r="CD47" s="100">
        <v>11</v>
      </c>
      <c r="CE47" s="100">
        <v>16803.599999999999</v>
      </c>
      <c r="CF47" s="100">
        <v>11</v>
      </c>
      <c r="CG47" s="100">
        <v>16803.599999999999</v>
      </c>
      <c r="CH47" s="100">
        <v>10</v>
      </c>
      <c r="CI47" s="100">
        <v>15276</v>
      </c>
      <c r="CJ47" s="100">
        <v>9</v>
      </c>
      <c r="CK47" s="100">
        <v>13748.4</v>
      </c>
      <c r="CL47" s="100">
        <v>10</v>
      </c>
      <c r="CM47" s="100">
        <v>15276</v>
      </c>
      <c r="CN47" s="100">
        <v>12</v>
      </c>
      <c r="CO47" s="100">
        <v>18331.199999999997</v>
      </c>
      <c r="CP47" s="100">
        <v>14</v>
      </c>
      <c r="CQ47" s="100">
        <v>21386.399999999998</v>
      </c>
      <c r="CR47" s="100">
        <v>14</v>
      </c>
      <c r="CS47" s="100">
        <v>21386.399999999998</v>
      </c>
      <c r="CT47" s="100">
        <v>12</v>
      </c>
      <c r="CU47" s="100">
        <v>18331.199999999997</v>
      </c>
    </row>
    <row r="48" spans="2:99">
      <c r="C48" s="99" t="s">
        <v>214</v>
      </c>
      <c r="D48" s="100">
        <v>12</v>
      </c>
      <c r="E48" s="100">
        <v>10411.200000000001</v>
      </c>
      <c r="F48" s="100">
        <v>12</v>
      </c>
      <c r="G48" s="100">
        <v>10411.200000000001</v>
      </c>
      <c r="H48" s="100">
        <v>16</v>
      </c>
      <c r="I48" s="100">
        <v>13881.6</v>
      </c>
      <c r="J48" s="100">
        <v>16</v>
      </c>
      <c r="K48" s="100">
        <v>13881.6</v>
      </c>
      <c r="L48" s="100">
        <v>14</v>
      </c>
      <c r="M48" s="100">
        <v>12146.4</v>
      </c>
      <c r="N48" s="100">
        <v>11</v>
      </c>
      <c r="O48" s="100">
        <v>9543.6</v>
      </c>
      <c r="P48" s="100">
        <v>12</v>
      </c>
      <c r="Q48" s="100">
        <v>10411.200000000001</v>
      </c>
      <c r="R48" s="100">
        <v>10.971323201112412</v>
      </c>
      <c r="S48" s="100">
        <v>9518.720009285129</v>
      </c>
      <c r="T48" s="100">
        <v>14.496828702057437</v>
      </c>
      <c r="U48" s="100">
        <v>12577.448581905033</v>
      </c>
      <c r="V48" s="100">
        <v>11.608063933274511</v>
      </c>
      <c r="W48" s="100">
        <v>10071.156268508967</v>
      </c>
      <c r="X48" s="100">
        <v>13</v>
      </c>
      <c r="Y48" s="100">
        <v>11278.800000000001</v>
      </c>
      <c r="Z48" s="100">
        <v>9</v>
      </c>
      <c r="AA48" s="100">
        <v>7808.4000000000005</v>
      </c>
      <c r="AB48" s="100">
        <v>16.038762582619114</v>
      </c>
      <c r="AC48" s="100">
        <v>13915.230416680344</v>
      </c>
      <c r="AD48" s="100">
        <v>12</v>
      </c>
      <c r="AE48" s="100">
        <v>10411.200000000001</v>
      </c>
      <c r="AF48" s="100">
        <v>15</v>
      </c>
      <c r="AG48" s="100">
        <v>13014</v>
      </c>
      <c r="AH48" s="100">
        <v>9</v>
      </c>
      <c r="AI48" s="100">
        <v>7808.4000000000005</v>
      </c>
      <c r="AJ48" s="100">
        <v>15</v>
      </c>
      <c r="AK48" s="100">
        <v>13014</v>
      </c>
      <c r="AL48" s="100">
        <v>16</v>
      </c>
      <c r="AM48" s="100">
        <v>13881.6</v>
      </c>
      <c r="AN48" s="100">
        <v>18</v>
      </c>
      <c r="AO48" s="100">
        <v>15616.800000000001</v>
      </c>
      <c r="AP48" s="100">
        <v>17</v>
      </c>
      <c r="AQ48" s="100">
        <v>14749.2</v>
      </c>
      <c r="AR48" s="100">
        <v>17</v>
      </c>
      <c r="AS48" s="100">
        <v>14749.2</v>
      </c>
      <c r="AT48" s="100">
        <v>12</v>
      </c>
      <c r="AU48" s="100">
        <v>10411.200000000001</v>
      </c>
      <c r="AV48" s="100">
        <v>14</v>
      </c>
      <c r="AW48" s="100">
        <v>12146.4</v>
      </c>
      <c r="AX48" s="100">
        <v>18</v>
      </c>
      <c r="AY48" s="100">
        <v>15616.800000000001</v>
      </c>
      <c r="AZ48" s="100">
        <v>12</v>
      </c>
      <c r="BA48" s="100">
        <v>10411.200000000001</v>
      </c>
      <c r="BB48" s="100">
        <v>11</v>
      </c>
      <c r="BC48" s="100">
        <v>9543.6</v>
      </c>
      <c r="BD48" s="100">
        <v>15</v>
      </c>
      <c r="BE48" s="100">
        <v>13014</v>
      </c>
      <c r="BF48" s="100">
        <v>11</v>
      </c>
      <c r="BG48" s="100">
        <v>9543.6</v>
      </c>
      <c r="BH48" s="100">
        <v>13</v>
      </c>
      <c r="BI48" s="100">
        <v>11278.800000000001</v>
      </c>
      <c r="BJ48" s="100">
        <v>17</v>
      </c>
      <c r="BK48" s="100">
        <v>14749.2</v>
      </c>
      <c r="BL48" s="100">
        <v>11</v>
      </c>
      <c r="BM48" s="100">
        <v>9543.6</v>
      </c>
      <c r="BN48" s="100">
        <v>13</v>
      </c>
      <c r="BO48" s="100">
        <v>11278.800000000001</v>
      </c>
      <c r="BP48" s="100">
        <v>17</v>
      </c>
      <c r="BQ48" s="100">
        <v>14749.2</v>
      </c>
      <c r="BR48" s="100">
        <v>10</v>
      </c>
      <c r="BS48" s="100">
        <v>8676</v>
      </c>
      <c r="BT48" s="100">
        <v>20</v>
      </c>
      <c r="BU48" s="100">
        <v>17352</v>
      </c>
      <c r="BV48" s="100">
        <v>15</v>
      </c>
      <c r="BW48" s="100">
        <v>13014</v>
      </c>
      <c r="BX48" s="100">
        <v>19</v>
      </c>
      <c r="BY48" s="100">
        <v>16484.400000000001</v>
      </c>
      <c r="BZ48" s="100">
        <v>13</v>
      </c>
      <c r="CA48" s="100">
        <v>11278.800000000001</v>
      </c>
      <c r="CB48" s="100">
        <v>15</v>
      </c>
      <c r="CC48" s="100">
        <v>13014</v>
      </c>
      <c r="CD48" s="100">
        <v>13</v>
      </c>
      <c r="CE48" s="100">
        <v>11278.800000000001</v>
      </c>
      <c r="CF48" s="100">
        <v>13</v>
      </c>
      <c r="CG48" s="100">
        <v>11278.800000000001</v>
      </c>
      <c r="CH48" s="100">
        <v>10</v>
      </c>
      <c r="CI48" s="100">
        <v>8676</v>
      </c>
      <c r="CJ48" s="100">
        <v>10</v>
      </c>
      <c r="CK48" s="100">
        <v>8676</v>
      </c>
      <c r="CL48" s="100">
        <v>12</v>
      </c>
      <c r="CM48" s="100">
        <v>10411.200000000001</v>
      </c>
      <c r="CN48" s="100">
        <v>14</v>
      </c>
      <c r="CO48" s="100">
        <v>12146.4</v>
      </c>
      <c r="CP48" s="100">
        <v>17</v>
      </c>
      <c r="CQ48" s="100">
        <v>14749.2</v>
      </c>
      <c r="CR48" s="100">
        <v>13</v>
      </c>
      <c r="CS48" s="100">
        <v>11278.800000000001</v>
      </c>
      <c r="CT48" s="100">
        <v>12</v>
      </c>
      <c r="CU48" s="100">
        <v>10411.200000000001</v>
      </c>
    </row>
    <row r="49" spans="2:99">
      <c r="B49" s="99" t="s">
        <v>129</v>
      </c>
      <c r="C49" s="99" t="s">
        <v>215</v>
      </c>
      <c r="D49" s="100">
        <v>8</v>
      </c>
      <c r="E49" s="100">
        <v>7881.5999999999995</v>
      </c>
      <c r="F49" s="100">
        <v>11</v>
      </c>
      <c r="G49" s="100">
        <v>10837.199999999999</v>
      </c>
      <c r="H49" s="100">
        <v>13</v>
      </c>
      <c r="I49" s="100">
        <v>12807.599999999999</v>
      </c>
      <c r="J49" s="100">
        <v>9</v>
      </c>
      <c r="K49" s="100">
        <v>8866.7999999999993</v>
      </c>
      <c r="L49" s="100">
        <v>14</v>
      </c>
      <c r="M49" s="100">
        <v>13792.8</v>
      </c>
      <c r="N49" s="100">
        <v>15</v>
      </c>
      <c r="O49" s="100">
        <v>14777.999999999998</v>
      </c>
      <c r="P49" s="100">
        <v>12</v>
      </c>
      <c r="Q49" s="100">
        <v>11822.4</v>
      </c>
      <c r="R49" s="100">
        <v>15</v>
      </c>
      <c r="S49" s="100">
        <v>14777.999999999998</v>
      </c>
      <c r="T49" s="100">
        <v>11</v>
      </c>
      <c r="U49" s="100">
        <v>10837.199999999999</v>
      </c>
      <c r="V49" s="100">
        <v>16</v>
      </c>
      <c r="W49" s="100">
        <v>15763.199999999999</v>
      </c>
      <c r="X49" s="100">
        <v>11</v>
      </c>
      <c r="Y49" s="100">
        <v>10837.199999999999</v>
      </c>
      <c r="Z49" s="100">
        <v>11</v>
      </c>
      <c r="AA49" s="100">
        <v>10837.199999999999</v>
      </c>
      <c r="AB49" s="100">
        <v>14</v>
      </c>
      <c r="AC49" s="100">
        <v>13792.8</v>
      </c>
      <c r="AD49" s="100">
        <v>9</v>
      </c>
      <c r="AE49" s="100">
        <v>8866.7999999999993</v>
      </c>
      <c r="AF49" s="100">
        <v>12</v>
      </c>
      <c r="AG49" s="100">
        <v>11822.4</v>
      </c>
      <c r="AH49" s="100">
        <v>12</v>
      </c>
      <c r="AI49" s="100">
        <v>11822.4</v>
      </c>
      <c r="AJ49" s="100">
        <v>13</v>
      </c>
      <c r="AK49" s="100">
        <v>12807.599999999999</v>
      </c>
      <c r="AL49" s="100">
        <v>12</v>
      </c>
      <c r="AM49" s="100">
        <v>11822.4</v>
      </c>
      <c r="AN49" s="100">
        <v>12</v>
      </c>
      <c r="AO49" s="100">
        <v>11822.4</v>
      </c>
      <c r="AP49" s="100">
        <v>13</v>
      </c>
      <c r="AQ49" s="100">
        <v>12807.599999999999</v>
      </c>
      <c r="AR49" s="100">
        <v>13</v>
      </c>
      <c r="AS49" s="100">
        <v>12807.599999999999</v>
      </c>
      <c r="AT49" s="100">
        <v>15</v>
      </c>
      <c r="AU49" s="100">
        <v>14777.999999999998</v>
      </c>
      <c r="AV49" s="100">
        <v>11</v>
      </c>
      <c r="AW49" s="100">
        <v>10837.199999999999</v>
      </c>
      <c r="AX49" s="100">
        <v>13</v>
      </c>
      <c r="AY49" s="100">
        <v>12807.599999999999</v>
      </c>
      <c r="AZ49" s="100">
        <v>10</v>
      </c>
      <c r="BA49" s="100">
        <v>9852</v>
      </c>
      <c r="BB49" s="100">
        <v>12</v>
      </c>
      <c r="BC49" s="100">
        <v>11822.4</v>
      </c>
      <c r="BD49" s="100">
        <v>17</v>
      </c>
      <c r="BE49" s="100">
        <v>16748.399999999998</v>
      </c>
      <c r="BF49" s="100">
        <v>10</v>
      </c>
      <c r="BG49" s="100">
        <v>9852</v>
      </c>
      <c r="BH49" s="100">
        <v>14</v>
      </c>
      <c r="BI49" s="100">
        <v>13792.8</v>
      </c>
      <c r="BJ49" s="100">
        <v>10</v>
      </c>
      <c r="BK49" s="100">
        <v>9852</v>
      </c>
      <c r="BL49" s="100">
        <v>8</v>
      </c>
      <c r="BM49" s="100">
        <v>7881.5999999999995</v>
      </c>
      <c r="BN49" s="100">
        <v>12</v>
      </c>
      <c r="BO49" s="100">
        <v>11822.4</v>
      </c>
      <c r="BP49" s="100">
        <v>13</v>
      </c>
      <c r="BQ49" s="100">
        <v>12807.599999999999</v>
      </c>
      <c r="BR49" s="100">
        <v>17</v>
      </c>
      <c r="BS49" s="100">
        <v>16748.399999999998</v>
      </c>
      <c r="BT49" s="100">
        <v>12</v>
      </c>
      <c r="BU49" s="100">
        <v>11822.4</v>
      </c>
      <c r="BV49" s="100">
        <v>17</v>
      </c>
      <c r="BW49" s="100">
        <v>16748.399999999998</v>
      </c>
      <c r="BX49" s="100">
        <v>8</v>
      </c>
      <c r="BY49" s="100">
        <v>7881.5999999999995</v>
      </c>
      <c r="BZ49" s="100">
        <v>9</v>
      </c>
      <c r="CA49" s="100">
        <v>8866.7999999999993</v>
      </c>
      <c r="CB49" s="100">
        <v>13</v>
      </c>
      <c r="CC49" s="100">
        <v>12807.599999999999</v>
      </c>
      <c r="CD49" s="100">
        <v>9</v>
      </c>
      <c r="CE49" s="100">
        <v>8866.7999999999993</v>
      </c>
      <c r="CF49" s="100">
        <v>8</v>
      </c>
      <c r="CG49" s="100">
        <v>7881.5999999999995</v>
      </c>
      <c r="CH49" s="100">
        <v>9</v>
      </c>
      <c r="CI49" s="100">
        <v>8866.7999999999993</v>
      </c>
      <c r="CJ49" s="100">
        <v>16</v>
      </c>
      <c r="CK49" s="100">
        <v>15763.199999999999</v>
      </c>
      <c r="CL49" s="100">
        <v>16</v>
      </c>
      <c r="CM49" s="100">
        <v>15763.199999999999</v>
      </c>
      <c r="CN49" s="100">
        <v>14</v>
      </c>
      <c r="CO49" s="100">
        <v>13792.8</v>
      </c>
      <c r="CP49" s="100">
        <v>17</v>
      </c>
      <c r="CQ49" s="100">
        <v>16748.399999999998</v>
      </c>
      <c r="CR49" s="100">
        <v>9</v>
      </c>
      <c r="CS49" s="100">
        <v>8866.7999999999993</v>
      </c>
      <c r="CT49" s="100">
        <v>9.7959368196200652E-24</v>
      </c>
      <c r="CU49" s="100">
        <v>9.6509569546896871E-21</v>
      </c>
    </row>
    <row r="50" spans="2:99">
      <c r="C50" s="99" t="s">
        <v>216</v>
      </c>
      <c r="D50" s="100">
        <v>8</v>
      </c>
      <c r="E50" s="100">
        <v>2256</v>
      </c>
      <c r="F50" s="100">
        <v>13</v>
      </c>
      <c r="G50" s="100">
        <v>3666</v>
      </c>
      <c r="H50" s="100">
        <v>14</v>
      </c>
      <c r="I50" s="100">
        <v>3948</v>
      </c>
      <c r="J50" s="100">
        <v>9</v>
      </c>
      <c r="K50" s="100">
        <v>2538</v>
      </c>
      <c r="L50" s="100">
        <v>17</v>
      </c>
      <c r="M50" s="100">
        <v>4794</v>
      </c>
      <c r="N50" s="100">
        <v>19</v>
      </c>
      <c r="O50" s="100">
        <v>5358</v>
      </c>
      <c r="P50" s="100">
        <v>11</v>
      </c>
      <c r="Q50" s="100">
        <v>3102</v>
      </c>
      <c r="R50" s="100">
        <v>15.958288292527143</v>
      </c>
      <c r="S50" s="100">
        <v>4500.2372984926542</v>
      </c>
      <c r="T50" s="100">
        <v>12.563918208449779</v>
      </c>
      <c r="U50" s="100">
        <v>3543.0249347828376</v>
      </c>
      <c r="V50" s="100">
        <v>16.444757238805558</v>
      </c>
      <c r="W50" s="100">
        <v>4637.4215413431675</v>
      </c>
      <c r="X50" s="100">
        <v>11</v>
      </c>
      <c r="Y50" s="100">
        <v>3102</v>
      </c>
      <c r="Z50" s="100">
        <v>13</v>
      </c>
      <c r="AA50" s="100">
        <v>3666</v>
      </c>
      <c r="AB50" s="100">
        <v>15.095305960112107</v>
      </c>
      <c r="AC50" s="100">
        <v>4256.8762807516141</v>
      </c>
      <c r="AD50" s="100">
        <v>10</v>
      </c>
      <c r="AE50" s="100">
        <v>2820</v>
      </c>
      <c r="AF50" s="100">
        <v>11</v>
      </c>
      <c r="AG50" s="100">
        <v>3102</v>
      </c>
      <c r="AH50" s="100">
        <v>13</v>
      </c>
      <c r="AI50" s="100">
        <v>3666</v>
      </c>
      <c r="AJ50" s="100">
        <v>14</v>
      </c>
      <c r="AK50" s="100">
        <v>3948</v>
      </c>
      <c r="AL50" s="100">
        <v>11</v>
      </c>
      <c r="AM50" s="100">
        <v>3102</v>
      </c>
      <c r="AN50" s="100">
        <v>13</v>
      </c>
      <c r="AO50" s="100">
        <v>3666</v>
      </c>
      <c r="AP50" s="100">
        <v>15</v>
      </c>
      <c r="AQ50" s="100">
        <v>4230</v>
      </c>
      <c r="AR50" s="100">
        <v>13</v>
      </c>
      <c r="AS50" s="100">
        <v>3666</v>
      </c>
      <c r="AT50" s="100">
        <v>14</v>
      </c>
      <c r="AU50" s="100">
        <v>3948</v>
      </c>
      <c r="AV50" s="100">
        <v>12</v>
      </c>
      <c r="AW50" s="100">
        <v>3384</v>
      </c>
      <c r="AX50" s="100">
        <v>14</v>
      </c>
      <c r="AY50" s="100">
        <v>3948</v>
      </c>
      <c r="AZ50" s="100">
        <v>10</v>
      </c>
      <c r="BA50" s="100">
        <v>2820</v>
      </c>
      <c r="BB50" s="100">
        <v>13</v>
      </c>
      <c r="BC50" s="100">
        <v>3666</v>
      </c>
      <c r="BD50" s="100">
        <v>18</v>
      </c>
      <c r="BE50" s="100">
        <v>5076</v>
      </c>
      <c r="BF50" s="100">
        <v>10</v>
      </c>
      <c r="BG50" s="100">
        <v>2820</v>
      </c>
      <c r="BH50" s="100">
        <v>17</v>
      </c>
      <c r="BI50" s="100">
        <v>4794</v>
      </c>
      <c r="BJ50" s="100">
        <v>11</v>
      </c>
      <c r="BK50" s="100">
        <v>3102</v>
      </c>
      <c r="BL50" s="100">
        <v>9</v>
      </c>
      <c r="BM50" s="100">
        <v>2538</v>
      </c>
      <c r="BN50" s="100">
        <v>13</v>
      </c>
      <c r="BO50" s="100">
        <v>3666</v>
      </c>
      <c r="BP50" s="100">
        <v>15</v>
      </c>
      <c r="BQ50" s="100">
        <v>4230</v>
      </c>
      <c r="BR50" s="100">
        <v>17</v>
      </c>
      <c r="BS50" s="100">
        <v>4794</v>
      </c>
      <c r="BT50" s="100">
        <v>11</v>
      </c>
      <c r="BU50" s="100">
        <v>3102</v>
      </c>
      <c r="BV50" s="100">
        <v>19</v>
      </c>
      <c r="BW50" s="100">
        <v>5358</v>
      </c>
      <c r="BX50" s="100">
        <v>9</v>
      </c>
      <c r="BY50" s="100">
        <v>2538</v>
      </c>
      <c r="BZ50" s="100">
        <v>10</v>
      </c>
      <c r="CA50" s="100">
        <v>2820</v>
      </c>
      <c r="CB50" s="100">
        <v>14</v>
      </c>
      <c r="CC50" s="100">
        <v>3948</v>
      </c>
      <c r="CD50" s="100">
        <v>10</v>
      </c>
      <c r="CE50" s="100">
        <v>2820</v>
      </c>
      <c r="CF50" s="100">
        <v>9</v>
      </c>
      <c r="CG50" s="100">
        <v>2538</v>
      </c>
      <c r="CH50" s="100">
        <v>9</v>
      </c>
      <c r="CI50" s="100">
        <v>2538</v>
      </c>
      <c r="CJ50" s="100">
        <v>19</v>
      </c>
      <c r="CK50" s="100">
        <v>5358</v>
      </c>
      <c r="CL50" s="100">
        <v>18</v>
      </c>
      <c r="CM50" s="100">
        <v>5076</v>
      </c>
      <c r="CN50" s="100">
        <v>16</v>
      </c>
      <c r="CO50" s="100">
        <v>4512</v>
      </c>
      <c r="CP50" s="100">
        <v>17</v>
      </c>
      <c r="CQ50" s="100">
        <v>4794</v>
      </c>
      <c r="CR50" s="100">
        <v>10</v>
      </c>
      <c r="CS50" s="100">
        <v>2820</v>
      </c>
      <c r="CT50" s="100">
        <v>15</v>
      </c>
      <c r="CU50" s="100">
        <v>4230</v>
      </c>
    </row>
    <row r="51" spans="2:99">
      <c r="C51" s="99" t="s">
        <v>217</v>
      </c>
      <c r="D51" s="100">
        <v>8</v>
      </c>
      <c r="E51" s="100">
        <v>6835.2</v>
      </c>
      <c r="F51" s="100">
        <v>11</v>
      </c>
      <c r="G51" s="100">
        <v>9398.4</v>
      </c>
      <c r="H51" s="100">
        <v>14</v>
      </c>
      <c r="I51" s="100">
        <v>11961.6</v>
      </c>
      <c r="J51" s="100">
        <v>9</v>
      </c>
      <c r="K51" s="100">
        <v>7689.5999999999995</v>
      </c>
      <c r="L51" s="100">
        <v>14</v>
      </c>
      <c r="M51" s="100">
        <v>11961.6</v>
      </c>
      <c r="N51" s="100">
        <v>18</v>
      </c>
      <c r="O51" s="100">
        <v>15379.199999999999</v>
      </c>
      <c r="P51" s="100">
        <v>11</v>
      </c>
      <c r="Q51" s="100">
        <v>9398.4</v>
      </c>
      <c r="R51" s="100">
        <v>15.958288292527143</v>
      </c>
      <c r="S51" s="100">
        <v>13634.761517135192</v>
      </c>
      <c r="T51" s="100">
        <v>10.63100771484212</v>
      </c>
      <c r="U51" s="100">
        <v>9083.1329915611077</v>
      </c>
      <c r="V51" s="100">
        <v>14.510079916593138</v>
      </c>
      <c r="W51" s="100">
        <v>12397.412280737177</v>
      </c>
      <c r="X51" s="100">
        <v>12</v>
      </c>
      <c r="Y51" s="100">
        <v>10252.799999999999</v>
      </c>
      <c r="Z51" s="100">
        <v>12</v>
      </c>
      <c r="AA51" s="100">
        <v>10252.799999999999</v>
      </c>
      <c r="AB51" s="100">
        <v>15.095305960112107</v>
      </c>
      <c r="AC51" s="100">
        <v>12897.429412319783</v>
      </c>
      <c r="AD51" s="100">
        <v>10</v>
      </c>
      <c r="AE51" s="100">
        <v>8544</v>
      </c>
      <c r="AF51" s="100">
        <v>10</v>
      </c>
      <c r="AG51" s="100">
        <v>8544</v>
      </c>
      <c r="AH51" s="100">
        <v>13</v>
      </c>
      <c r="AI51" s="100">
        <v>11107.199999999999</v>
      </c>
      <c r="AJ51" s="100">
        <v>15</v>
      </c>
      <c r="AK51" s="100">
        <v>12816</v>
      </c>
      <c r="AL51" s="100">
        <v>12</v>
      </c>
      <c r="AM51" s="100">
        <v>10252.799999999999</v>
      </c>
      <c r="AN51" s="100">
        <v>10</v>
      </c>
      <c r="AO51" s="100">
        <v>8544</v>
      </c>
      <c r="AP51" s="100">
        <v>14</v>
      </c>
      <c r="AQ51" s="100">
        <v>11961.6</v>
      </c>
      <c r="AR51" s="100">
        <v>14</v>
      </c>
      <c r="AS51" s="100">
        <v>11961.6</v>
      </c>
      <c r="AT51" s="100">
        <v>14</v>
      </c>
      <c r="AU51" s="100">
        <v>11961.6</v>
      </c>
      <c r="AV51" s="100">
        <v>10</v>
      </c>
      <c r="AW51" s="100">
        <v>8544</v>
      </c>
      <c r="AX51" s="100">
        <v>12</v>
      </c>
      <c r="AY51" s="100">
        <v>10252.799999999999</v>
      </c>
      <c r="AZ51" s="100">
        <v>11</v>
      </c>
      <c r="BA51" s="100">
        <v>9398.4</v>
      </c>
      <c r="BB51" s="100">
        <v>13</v>
      </c>
      <c r="BC51" s="100">
        <v>11107.199999999999</v>
      </c>
      <c r="BD51" s="100">
        <v>16</v>
      </c>
      <c r="BE51" s="100">
        <v>13670.4</v>
      </c>
      <c r="BF51" s="100">
        <v>10</v>
      </c>
      <c r="BG51" s="100">
        <v>8544</v>
      </c>
      <c r="BH51" s="100">
        <v>17</v>
      </c>
      <c r="BI51" s="100">
        <v>14524.8</v>
      </c>
      <c r="BJ51" s="100">
        <v>10</v>
      </c>
      <c r="BK51" s="100">
        <v>8544</v>
      </c>
      <c r="BL51" s="100">
        <v>8</v>
      </c>
      <c r="BM51" s="100">
        <v>6835.2</v>
      </c>
      <c r="BN51" s="100">
        <v>12</v>
      </c>
      <c r="BO51" s="100">
        <v>10252.799999999999</v>
      </c>
      <c r="BP51" s="100">
        <v>13</v>
      </c>
      <c r="BQ51" s="100">
        <v>11107.199999999999</v>
      </c>
      <c r="BR51" s="100">
        <v>17</v>
      </c>
      <c r="BS51" s="100">
        <v>14524.8</v>
      </c>
      <c r="BT51" s="100">
        <v>11</v>
      </c>
      <c r="BU51" s="100">
        <v>9398.4</v>
      </c>
      <c r="BV51" s="100">
        <v>16</v>
      </c>
      <c r="BW51" s="100">
        <v>13670.4</v>
      </c>
      <c r="BX51" s="100">
        <v>9</v>
      </c>
      <c r="BY51" s="100">
        <v>7689.5999999999995</v>
      </c>
      <c r="BZ51" s="100">
        <v>10</v>
      </c>
      <c r="CA51" s="100">
        <v>8544</v>
      </c>
      <c r="CB51" s="100">
        <v>13</v>
      </c>
      <c r="CC51" s="100">
        <v>11107.199999999999</v>
      </c>
      <c r="CD51" s="100">
        <v>9</v>
      </c>
      <c r="CE51" s="100">
        <v>7689.5999999999995</v>
      </c>
      <c r="CF51" s="100">
        <v>8</v>
      </c>
      <c r="CG51" s="100">
        <v>6835.2</v>
      </c>
      <c r="CH51" s="100">
        <v>9</v>
      </c>
      <c r="CI51" s="100">
        <v>7689.5999999999995</v>
      </c>
      <c r="CJ51" s="100">
        <v>15</v>
      </c>
      <c r="CK51" s="100">
        <v>12816</v>
      </c>
      <c r="CL51" s="100">
        <v>16</v>
      </c>
      <c r="CM51" s="100">
        <v>13670.4</v>
      </c>
      <c r="CN51" s="100">
        <v>15</v>
      </c>
      <c r="CO51" s="100">
        <v>12816</v>
      </c>
      <c r="CP51" s="100">
        <v>17</v>
      </c>
      <c r="CQ51" s="100">
        <v>14524.8</v>
      </c>
      <c r="CR51" s="100">
        <v>9</v>
      </c>
      <c r="CS51" s="100">
        <v>7689.5999999999995</v>
      </c>
      <c r="CT51" s="100">
        <v>14</v>
      </c>
      <c r="CU51" s="100">
        <v>11961.6</v>
      </c>
    </row>
    <row r="52" spans="2:99">
      <c r="C52" s="99" t="s">
        <v>218</v>
      </c>
      <c r="D52" s="100">
        <v>8</v>
      </c>
      <c r="E52" s="100">
        <v>4320</v>
      </c>
      <c r="F52" s="100">
        <v>11</v>
      </c>
      <c r="G52" s="100">
        <v>5940</v>
      </c>
      <c r="H52" s="100">
        <v>14</v>
      </c>
      <c r="I52" s="100">
        <v>7560</v>
      </c>
      <c r="J52" s="100">
        <v>10</v>
      </c>
      <c r="K52" s="100">
        <v>5400</v>
      </c>
      <c r="L52" s="100">
        <v>17</v>
      </c>
      <c r="M52" s="100">
        <v>9180</v>
      </c>
      <c r="N52" s="100">
        <v>16</v>
      </c>
      <c r="O52" s="100">
        <v>8640</v>
      </c>
      <c r="P52" s="100">
        <v>11</v>
      </c>
      <c r="Q52" s="100">
        <v>5940</v>
      </c>
      <c r="R52" s="100">
        <v>13.96350225596125</v>
      </c>
      <c r="S52" s="100">
        <v>7540.2912182190748</v>
      </c>
      <c r="T52" s="100">
        <v>10.63100771484212</v>
      </c>
      <c r="U52" s="100">
        <v>5740.7441660147451</v>
      </c>
      <c r="V52" s="100">
        <v>15.477418577699348</v>
      </c>
      <c r="W52" s="100">
        <v>8357.8060319576471</v>
      </c>
      <c r="X52" s="100">
        <v>11</v>
      </c>
      <c r="Y52" s="100">
        <v>5940</v>
      </c>
      <c r="Z52" s="100">
        <v>11</v>
      </c>
      <c r="AA52" s="100">
        <v>5940</v>
      </c>
      <c r="AB52" s="100">
        <v>15.095305960112107</v>
      </c>
      <c r="AC52" s="100">
        <v>8151.4652184605375</v>
      </c>
      <c r="AD52" s="100">
        <v>10</v>
      </c>
      <c r="AE52" s="100">
        <v>5400</v>
      </c>
      <c r="AF52" s="100">
        <v>10</v>
      </c>
      <c r="AG52" s="100">
        <v>5400</v>
      </c>
      <c r="AH52" s="100">
        <v>13</v>
      </c>
      <c r="AI52" s="100">
        <v>7020</v>
      </c>
      <c r="AJ52" s="100">
        <v>15</v>
      </c>
      <c r="AK52" s="100">
        <v>8100</v>
      </c>
      <c r="AL52" s="100">
        <v>11</v>
      </c>
      <c r="AM52" s="100">
        <v>5940</v>
      </c>
      <c r="AN52" s="100">
        <v>12</v>
      </c>
      <c r="AO52" s="100">
        <v>6480</v>
      </c>
      <c r="AP52" s="100">
        <v>13</v>
      </c>
      <c r="AQ52" s="100">
        <v>7020</v>
      </c>
      <c r="AR52" s="100">
        <v>13</v>
      </c>
      <c r="AS52" s="100">
        <v>7020</v>
      </c>
      <c r="AT52" s="100">
        <v>14</v>
      </c>
      <c r="AU52" s="100">
        <v>7560</v>
      </c>
      <c r="AV52" s="100">
        <v>10</v>
      </c>
      <c r="AW52" s="100">
        <v>5400</v>
      </c>
      <c r="AX52" s="100">
        <v>12</v>
      </c>
      <c r="AY52" s="100">
        <v>6480</v>
      </c>
      <c r="AZ52" s="100">
        <v>10</v>
      </c>
      <c r="BA52" s="100">
        <v>5400</v>
      </c>
      <c r="BB52" s="100">
        <v>12</v>
      </c>
      <c r="BC52" s="100">
        <v>6480</v>
      </c>
      <c r="BD52" s="100">
        <v>16</v>
      </c>
      <c r="BE52" s="100">
        <v>8640</v>
      </c>
      <c r="BF52" s="100">
        <v>11</v>
      </c>
      <c r="BG52" s="100">
        <v>5940</v>
      </c>
      <c r="BH52" s="100">
        <v>16</v>
      </c>
      <c r="BI52" s="100">
        <v>8640</v>
      </c>
      <c r="BJ52" s="100">
        <v>11</v>
      </c>
      <c r="BK52" s="100">
        <v>5940</v>
      </c>
      <c r="BL52" s="100">
        <v>9</v>
      </c>
      <c r="BM52" s="100">
        <v>4860</v>
      </c>
      <c r="BN52" s="100">
        <v>12</v>
      </c>
      <c r="BO52" s="100">
        <v>6480</v>
      </c>
      <c r="BP52" s="100">
        <v>15</v>
      </c>
      <c r="BQ52" s="100">
        <v>8100</v>
      </c>
      <c r="BR52" s="100">
        <v>17</v>
      </c>
      <c r="BS52" s="100">
        <v>9180</v>
      </c>
      <c r="BT52" s="100">
        <v>11</v>
      </c>
      <c r="BU52" s="100">
        <v>5940</v>
      </c>
      <c r="BV52" s="100">
        <v>19</v>
      </c>
      <c r="BW52" s="100">
        <v>10260</v>
      </c>
      <c r="BX52" s="100">
        <v>9</v>
      </c>
      <c r="BY52" s="100">
        <v>4860</v>
      </c>
      <c r="BZ52" s="100">
        <v>10</v>
      </c>
      <c r="CA52" s="100">
        <v>5400</v>
      </c>
      <c r="CB52" s="100">
        <v>14</v>
      </c>
      <c r="CC52" s="100">
        <v>7560</v>
      </c>
      <c r="CD52" s="100">
        <v>10</v>
      </c>
      <c r="CE52" s="100">
        <v>5400</v>
      </c>
      <c r="CF52" s="100">
        <v>9</v>
      </c>
      <c r="CG52" s="100">
        <v>4860</v>
      </c>
      <c r="CH52" s="100">
        <v>9</v>
      </c>
      <c r="CI52" s="100">
        <v>4860</v>
      </c>
      <c r="CJ52" s="100">
        <v>17</v>
      </c>
      <c r="CK52" s="100">
        <v>9180</v>
      </c>
      <c r="CL52" s="100">
        <v>15</v>
      </c>
      <c r="CM52" s="100">
        <v>8100</v>
      </c>
      <c r="CN52" s="100">
        <v>17</v>
      </c>
      <c r="CO52" s="100">
        <v>9180</v>
      </c>
      <c r="CP52" s="100">
        <v>16</v>
      </c>
      <c r="CQ52" s="100">
        <v>8640</v>
      </c>
      <c r="CR52" s="100">
        <v>10</v>
      </c>
      <c r="CS52" s="100">
        <v>5400</v>
      </c>
      <c r="CT52" s="100">
        <v>15</v>
      </c>
      <c r="CU52" s="100">
        <v>8100</v>
      </c>
    </row>
    <row r="53" spans="2:99">
      <c r="C53" s="99" t="s">
        <v>219</v>
      </c>
      <c r="D53" s="100">
        <v>9</v>
      </c>
      <c r="E53" s="100">
        <v>3661.2000000000003</v>
      </c>
      <c r="F53" s="100">
        <v>11</v>
      </c>
      <c r="G53" s="100">
        <v>4474.8</v>
      </c>
      <c r="H53" s="100">
        <v>16</v>
      </c>
      <c r="I53" s="100">
        <v>6508.8</v>
      </c>
      <c r="J53" s="100">
        <v>10</v>
      </c>
      <c r="K53" s="100">
        <v>4068</v>
      </c>
      <c r="L53" s="100">
        <v>16</v>
      </c>
      <c r="M53" s="100">
        <v>6508.8</v>
      </c>
      <c r="N53" s="100">
        <v>18</v>
      </c>
      <c r="O53" s="100">
        <v>7322.4000000000005</v>
      </c>
      <c r="P53" s="100">
        <v>13</v>
      </c>
      <c r="Q53" s="100">
        <v>5288.4000000000005</v>
      </c>
      <c r="R53" s="100">
        <v>14.960895274244196</v>
      </c>
      <c r="S53" s="100">
        <v>6086.0921975625388</v>
      </c>
      <c r="T53" s="100">
        <v>11.597462961645951</v>
      </c>
      <c r="U53" s="100">
        <v>4717.8479327975729</v>
      </c>
      <c r="V53" s="100">
        <v>14.510079916593138</v>
      </c>
      <c r="W53" s="100">
        <v>5902.700510070089</v>
      </c>
      <c r="X53" s="100">
        <v>12</v>
      </c>
      <c r="Y53" s="100">
        <v>4881.6000000000004</v>
      </c>
      <c r="Z53" s="100">
        <v>13</v>
      </c>
      <c r="AA53" s="100">
        <v>5288.4000000000005</v>
      </c>
      <c r="AB53" s="100">
        <v>14.151849337605102</v>
      </c>
      <c r="AC53" s="100">
        <v>5756.9723105377552</v>
      </c>
      <c r="AD53" s="100">
        <v>10</v>
      </c>
      <c r="AE53" s="100">
        <v>4068</v>
      </c>
      <c r="AF53" s="100">
        <v>11</v>
      </c>
      <c r="AG53" s="100">
        <v>4474.8</v>
      </c>
      <c r="AH53" s="100">
        <v>13</v>
      </c>
      <c r="AI53" s="100">
        <v>5288.4000000000005</v>
      </c>
      <c r="AJ53" s="100">
        <v>14</v>
      </c>
      <c r="AK53" s="100">
        <v>5695.2</v>
      </c>
      <c r="AL53" s="100">
        <v>12</v>
      </c>
      <c r="AM53" s="100">
        <v>4881.6000000000004</v>
      </c>
      <c r="AN53" s="100">
        <v>12</v>
      </c>
      <c r="AO53" s="100">
        <v>4881.6000000000004</v>
      </c>
      <c r="AP53" s="100">
        <v>13</v>
      </c>
      <c r="AQ53" s="100">
        <v>5288.4000000000005</v>
      </c>
      <c r="AR53" s="100">
        <v>14</v>
      </c>
      <c r="AS53" s="100">
        <v>5695.2</v>
      </c>
      <c r="AT53" s="100">
        <v>15</v>
      </c>
      <c r="AU53" s="100">
        <v>6102</v>
      </c>
      <c r="AV53" s="100">
        <v>11</v>
      </c>
      <c r="AW53" s="100">
        <v>4474.8</v>
      </c>
      <c r="AX53" s="100">
        <v>14</v>
      </c>
      <c r="AY53" s="100">
        <v>5695.2</v>
      </c>
      <c r="AZ53" s="100">
        <v>11</v>
      </c>
      <c r="BA53" s="100">
        <v>4474.8</v>
      </c>
      <c r="BB53" s="100">
        <v>13</v>
      </c>
      <c r="BC53" s="100">
        <v>5288.4000000000005</v>
      </c>
      <c r="BD53" s="100">
        <v>16</v>
      </c>
      <c r="BE53" s="100">
        <v>6508.8</v>
      </c>
      <c r="BF53" s="100">
        <v>9</v>
      </c>
      <c r="BG53" s="100">
        <v>3661.2000000000003</v>
      </c>
      <c r="BH53" s="100">
        <v>15</v>
      </c>
      <c r="BI53" s="100">
        <v>6102</v>
      </c>
      <c r="BJ53" s="100">
        <v>12</v>
      </c>
      <c r="BK53" s="100">
        <v>4881.6000000000004</v>
      </c>
      <c r="BL53" s="100">
        <v>9</v>
      </c>
      <c r="BM53" s="100">
        <v>3661.2000000000003</v>
      </c>
      <c r="BN53" s="100">
        <v>12</v>
      </c>
      <c r="BO53" s="100">
        <v>4881.6000000000004</v>
      </c>
      <c r="BP53" s="100">
        <v>14</v>
      </c>
      <c r="BQ53" s="100">
        <v>5695.2</v>
      </c>
      <c r="BR53" s="100">
        <v>16</v>
      </c>
      <c r="BS53" s="100">
        <v>6508.8</v>
      </c>
      <c r="BT53" s="100">
        <v>12</v>
      </c>
      <c r="BU53" s="100">
        <v>4881.6000000000004</v>
      </c>
      <c r="BV53" s="100">
        <v>17</v>
      </c>
      <c r="BW53" s="100">
        <v>6915.6</v>
      </c>
      <c r="BX53" s="100">
        <v>9</v>
      </c>
      <c r="BY53" s="100">
        <v>3661.2000000000003</v>
      </c>
      <c r="BZ53" s="100">
        <v>10</v>
      </c>
      <c r="CA53" s="100">
        <v>4068</v>
      </c>
      <c r="CB53" s="100">
        <v>14</v>
      </c>
      <c r="CC53" s="100">
        <v>5695.2</v>
      </c>
      <c r="CD53" s="100">
        <v>11</v>
      </c>
      <c r="CE53" s="100">
        <v>4474.8</v>
      </c>
      <c r="CF53" s="100">
        <v>9</v>
      </c>
      <c r="CG53" s="100">
        <v>3661.2000000000003</v>
      </c>
      <c r="CH53" s="100">
        <v>9</v>
      </c>
      <c r="CI53" s="100">
        <v>3661.2000000000003</v>
      </c>
      <c r="CJ53" s="100">
        <v>16</v>
      </c>
      <c r="CK53" s="100">
        <v>6508.8</v>
      </c>
      <c r="CL53" s="100">
        <v>15</v>
      </c>
      <c r="CM53" s="100">
        <v>6102</v>
      </c>
      <c r="CN53" s="100">
        <v>17</v>
      </c>
      <c r="CO53" s="100">
        <v>6915.6</v>
      </c>
      <c r="CP53" s="100">
        <v>15</v>
      </c>
      <c r="CQ53" s="100">
        <v>6102</v>
      </c>
      <c r="CR53" s="100">
        <v>10</v>
      </c>
      <c r="CS53" s="100">
        <v>4068</v>
      </c>
      <c r="CT53" s="100">
        <v>14</v>
      </c>
      <c r="CU53" s="100">
        <v>5695.2</v>
      </c>
    </row>
    <row r="54" spans="2:99">
      <c r="C54" s="99" t="s">
        <v>220</v>
      </c>
      <c r="D54" s="100">
        <v>9</v>
      </c>
      <c r="E54" s="100">
        <v>3013.2000000000003</v>
      </c>
      <c r="F54" s="100">
        <v>13</v>
      </c>
      <c r="G54" s="100">
        <v>4352.4000000000005</v>
      </c>
      <c r="H54" s="100">
        <v>16</v>
      </c>
      <c r="I54" s="100">
        <v>5356.8</v>
      </c>
      <c r="J54" s="100">
        <v>9</v>
      </c>
      <c r="K54" s="100">
        <v>3013.2000000000003</v>
      </c>
      <c r="L54" s="100">
        <v>16</v>
      </c>
      <c r="M54" s="100">
        <v>5356.8</v>
      </c>
      <c r="N54" s="100">
        <v>19</v>
      </c>
      <c r="O54" s="100">
        <v>6361.2</v>
      </c>
      <c r="P54" s="100">
        <v>13</v>
      </c>
      <c r="Q54" s="100">
        <v>4352.4000000000005</v>
      </c>
      <c r="R54" s="100">
        <v>16.955681310810089</v>
      </c>
      <c r="S54" s="100">
        <v>5676.7621028592184</v>
      </c>
      <c r="T54" s="100">
        <v>11.597462961645951</v>
      </c>
      <c r="U54" s="100">
        <v>3882.8305995590645</v>
      </c>
      <c r="V54" s="100">
        <v>17.412095899911765</v>
      </c>
      <c r="W54" s="100">
        <v>5829.5697072904595</v>
      </c>
      <c r="X54" s="100">
        <v>11</v>
      </c>
      <c r="Y54" s="100">
        <v>3682.8</v>
      </c>
      <c r="Z54" s="100">
        <v>13</v>
      </c>
      <c r="AA54" s="100">
        <v>4352.4000000000005</v>
      </c>
      <c r="AB54" s="100">
        <v>15.095305960112107</v>
      </c>
      <c r="AC54" s="100">
        <v>5053.9084354455335</v>
      </c>
      <c r="AD54" s="100">
        <v>11</v>
      </c>
      <c r="AE54" s="100">
        <v>3682.8</v>
      </c>
      <c r="AF54" s="100">
        <v>10</v>
      </c>
      <c r="AG54" s="100">
        <v>3348</v>
      </c>
      <c r="AH54" s="100">
        <v>14</v>
      </c>
      <c r="AI54" s="100">
        <v>4687.2</v>
      </c>
      <c r="AJ54" s="100">
        <v>13</v>
      </c>
      <c r="AK54" s="100">
        <v>4352.4000000000005</v>
      </c>
      <c r="AL54" s="100">
        <v>12</v>
      </c>
      <c r="AM54" s="100">
        <v>4017.6000000000004</v>
      </c>
      <c r="AN54" s="100">
        <v>12</v>
      </c>
      <c r="AO54" s="100">
        <v>4017.6000000000004</v>
      </c>
      <c r="AP54" s="100">
        <v>14</v>
      </c>
      <c r="AQ54" s="100">
        <v>4687.2</v>
      </c>
      <c r="AR54" s="100">
        <v>15</v>
      </c>
      <c r="AS54" s="100">
        <v>5022</v>
      </c>
      <c r="AT54" s="100">
        <v>15</v>
      </c>
      <c r="AU54" s="100">
        <v>5022</v>
      </c>
      <c r="AV54" s="100">
        <v>11</v>
      </c>
      <c r="AW54" s="100">
        <v>3682.8</v>
      </c>
      <c r="AX54" s="100">
        <v>13</v>
      </c>
      <c r="AY54" s="100">
        <v>4352.4000000000005</v>
      </c>
      <c r="AZ54" s="100">
        <v>11</v>
      </c>
      <c r="BA54" s="100">
        <v>3682.8</v>
      </c>
      <c r="BB54" s="100">
        <v>13</v>
      </c>
      <c r="BC54" s="100">
        <v>4352.4000000000005</v>
      </c>
      <c r="BD54" s="100">
        <v>17</v>
      </c>
      <c r="BE54" s="100">
        <v>5691.6</v>
      </c>
      <c r="BF54" s="100">
        <v>9</v>
      </c>
      <c r="BG54" s="100">
        <v>3013.2000000000003</v>
      </c>
      <c r="BH54" s="100">
        <v>17</v>
      </c>
      <c r="BI54" s="100">
        <v>5691.6</v>
      </c>
      <c r="BJ54" s="100">
        <v>11</v>
      </c>
      <c r="BK54" s="100">
        <v>3682.8</v>
      </c>
      <c r="BL54" s="100">
        <v>9</v>
      </c>
      <c r="BM54" s="100">
        <v>3013.2000000000003</v>
      </c>
      <c r="BN54" s="100">
        <v>14</v>
      </c>
      <c r="BO54" s="100">
        <v>4687.2</v>
      </c>
      <c r="BP54" s="100">
        <v>15</v>
      </c>
      <c r="BQ54" s="100">
        <v>5022</v>
      </c>
      <c r="BR54" s="100">
        <v>17</v>
      </c>
      <c r="BS54" s="100">
        <v>5691.6</v>
      </c>
      <c r="BT54" s="100">
        <v>13</v>
      </c>
      <c r="BU54" s="100">
        <v>4352.4000000000005</v>
      </c>
      <c r="BV54" s="100">
        <v>18</v>
      </c>
      <c r="BW54" s="100">
        <v>6026.4000000000005</v>
      </c>
      <c r="BX54" s="100">
        <v>9</v>
      </c>
      <c r="BY54" s="100">
        <v>3013.2000000000003</v>
      </c>
      <c r="BZ54" s="100">
        <v>9</v>
      </c>
      <c r="CA54" s="100">
        <v>3013.2000000000003</v>
      </c>
      <c r="CB54" s="100">
        <v>14</v>
      </c>
      <c r="CC54" s="100">
        <v>4687.2</v>
      </c>
      <c r="CD54" s="100">
        <v>10</v>
      </c>
      <c r="CE54" s="100">
        <v>3348</v>
      </c>
      <c r="CF54" s="100">
        <v>9</v>
      </c>
      <c r="CG54" s="100">
        <v>3013.2000000000003</v>
      </c>
      <c r="CH54" s="100">
        <v>8</v>
      </c>
      <c r="CI54" s="100">
        <v>2678.4</v>
      </c>
      <c r="CJ54" s="100">
        <v>16</v>
      </c>
      <c r="CK54" s="100">
        <v>5356.8</v>
      </c>
      <c r="CL54" s="100">
        <v>16</v>
      </c>
      <c r="CM54" s="100">
        <v>5356.8</v>
      </c>
      <c r="CN54" s="100">
        <v>16</v>
      </c>
      <c r="CO54" s="100">
        <v>5356.8</v>
      </c>
      <c r="CP54" s="100">
        <v>15</v>
      </c>
      <c r="CQ54" s="100">
        <v>5022</v>
      </c>
      <c r="CR54" s="100">
        <v>11</v>
      </c>
      <c r="CS54" s="100">
        <v>3682.8</v>
      </c>
      <c r="CT54" s="100">
        <v>14</v>
      </c>
      <c r="CU54" s="100">
        <v>4687.2</v>
      </c>
    </row>
    <row r="55" spans="2:99">
      <c r="C55" s="99" t="s">
        <v>221</v>
      </c>
      <c r="D55" s="100">
        <v>8</v>
      </c>
      <c r="E55" s="100">
        <v>5308.8</v>
      </c>
      <c r="F55" s="100">
        <v>12</v>
      </c>
      <c r="G55" s="100">
        <v>7963.2000000000007</v>
      </c>
      <c r="H55" s="100">
        <v>17</v>
      </c>
      <c r="I55" s="100">
        <v>11281.2</v>
      </c>
      <c r="J55" s="100">
        <v>9</v>
      </c>
      <c r="K55" s="100">
        <v>5972.4000000000005</v>
      </c>
      <c r="L55" s="100">
        <v>16</v>
      </c>
      <c r="M55" s="100">
        <v>10617.6</v>
      </c>
      <c r="N55" s="100">
        <v>17</v>
      </c>
      <c r="O55" s="100">
        <v>11281.2</v>
      </c>
      <c r="P55" s="100">
        <v>11</v>
      </c>
      <c r="Q55" s="100">
        <v>7299.6</v>
      </c>
      <c r="R55" s="100">
        <v>15.958288292527143</v>
      </c>
      <c r="S55" s="100">
        <v>10589.920110921013</v>
      </c>
      <c r="T55" s="100">
        <v>11.597462961645951</v>
      </c>
      <c r="U55" s="100">
        <v>7696.0764213482535</v>
      </c>
      <c r="V55" s="100">
        <v>15.477418577699348</v>
      </c>
      <c r="W55" s="100">
        <v>10270.814968161289</v>
      </c>
      <c r="X55" s="100">
        <v>10</v>
      </c>
      <c r="Y55" s="100">
        <v>6636</v>
      </c>
      <c r="Z55" s="100">
        <v>13</v>
      </c>
      <c r="AA55" s="100">
        <v>8626.8000000000011</v>
      </c>
      <c r="AB55" s="100">
        <v>13.208392715098094</v>
      </c>
      <c r="AC55" s="100">
        <v>8765.089405739096</v>
      </c>
      <c r="AD55" s="100">
        <v>10</v>
      </c>
      <c r="AE55" s="100">
        <v>6636</v>
      </c>
      <c r="AF55" s="100">
        <v>10</v>
      </c>
      <c r="AG55" s="100">
        <v>6636</v>
      </c>
      <c r="AH55" s="100">
        <v>13</v>
      </c>
      <c r="AI55" s="100">
        <v>8626.8000000000011</v>
      </c>
      <c r="AJ55" s="100">
        <v>14</v>
      </c>
      <c r="AK55" s="100">
        <v>9290.4</v>
      </c>
      <c r="AL55" s="100">
        <v>12</v>
      </c>
      <c r="AM55" s="100">
        <v>7963.2000000000007</v>
      </c>
      <c r="AN55" s="100">
        <v>11</v>
      </c>
      <c r="AO55" s="100">
        <v>7299.6</v>
      </c>
      <c r="AP55" s="100">
        <v>14</v>
      </c>
      <c r="AQ55" s="100">
        <v>9290.4</v>
      </c>
      <c r="AR55" s="100">
        <v>14</v>
      </c>
      <c r="AS55" s="100">
        <v>9290.4</v>
      </c>
      <c r="AT55" s="100">
        <v>15</v>
      </c>
      <c r="AU55" s="100">
        <v>9954</v>
      </c>
      <c r="AV55" s="100">
        <v>10</v>
      </c>
      <c r="AW55" s="100">
        <v>6636</v>
      </c>
      <c r="AX55" s="100">
        <v>12</v>
      </c>
      <c r="AY55" s="100">
        <v>7963.2000000000007</v>
      </c>
      <c r="AZ55" s="100">
        <v>11</v>
      </c>
      <c r="BA55" s="100">
        <v>7299.6</v>
      </c>
      <c r="BB55" s="100">
        <v>13</v>
      </c>
      <c r="BC55" s="100">
        <v>8626.8000000000011</v>
      </c>
      <c r="BD55" s="100">
        <v>16</v>
      </c>
      <c r="BE55" s="100">
        <v>10617.6</v>
      </c>
      <c r="BF55" s="100">
        <v>10</v>
      </c>
      <c r="BG55" s="100">
        <v>6636</v>
      </c>
      <c r="BH55" s="100">
        <v>16</v>
      </c>
      <c r="BI55" s="100">
        <v>10617.6</v>
      </c>
      <c r="BJ55" s="100">
        <v>11</v>
      </c>
      <c r="BK55" s="100">
        <v>7299.6</v>
      </c>
      <c r="BL55" s="100">
        <v>9</v>
      </c>
      <c r="BM55" s="100">
        <v>5972.4000000000005</v>
      </c>
      <c r="BN55" s="100">
        <v>11</v>
      </c>
      <c r="BO55" s="100">
        <v>7299.6</v>
      </c>
      <c r="BP55" s="100">
        <v>13</v>
      </c>
      <c r="BQ55" s="100">
        <v>8626.8000000000011</v>
      </c>
      <c r="BR55" s="100">
        <v>19</v>
      </c>
      <c r="BS55" s="100">
        <v>12608.4</v>
      </c>
      <c r="BT55" s="100">
        <v>12</v>
      </c>
      <c r="BU55" s="100">
        <v>7963.2000000000007</v>
      </c>
      <c r="BV55" s="100">
        <v>18</v>
      </c>
      <c r="BW55" s="100">
        <v>11944.800000000001</v>
      </c>
      <c r="BX55" s="100">
        <v>10</v>
      </c>
      <c r="BY55" s="100">
        <v>6636</v>
      </c>
      <c r="BZ55" s="100">
        <v>9</v>
      </c>
      <c r="CA55" s="100">
        <v>5972.4000000000005</v>
      </c>
      <c r="CB55" s="100">
        <v>14</v>
      </c>
      <c r="CC55" s="100">
        <v>9290.4</v>
      </c>
      <c r="CD55" s="100">
        <v>11</v>
      </c>
      <c r="CE55" s="100">
        <v>7299.6</v>
      </c>
      <c r="CF55" s="100">
        <v>8</v>
      </c>
      <c r="CG55" s="100">
        <v>5308.8</v>
      </c>
      <c r="CH55" s="100">
        <v>9</v>
      </c>
      <c r="CI55" s="100">
        <v>5972.4000000000005</v>
      </c>
      <c r="CJ55" s="100">
        <v>16</v>
      </c>
      <c r="CK55" s="100">
        <v>10617.6</v>
      </c>
      <c r="CL55" s="100">
        <v>15</v>
      </c>
      <c r="CM55" s="100">
        <v>9954</v>
      </c>
      <c r="CN55" s="100">
        <v>15</v>
      </c>
      <c r="CO55" s="100">
        <v>9954</v>
      </c>
      <c r="CP55" s="100">
        <v>17</v>
      </c>
      <c r="CQ55" s="100">
        <v>11281.2</v>
      </c>
      <c r="CR55" s="100">
        <v>11</v>
      </c>
      <c r="CS55" s="100">
        <v>7299.6</v>
      </c>
      <c r="CT55" s="100">
        <v>14</v>
      </c>
      <c r="CU55" s="100">
        <v>9290.4</v>
      </c>
    </row>
    <row r="56" spans="2:99">
      <c r="C56" s="99" t="s">
        <v>222</v>
      </c>
      <c r="D56" s="100">
        <v>8</v>
      </c>
      <c r="E56" s="100">
        <v>7852.7999999999993</v>
      </c>
      <c r="F56" s="100">
        <v>10</v>
      </c>
      <c r="G56" s="100">
        <v>9816</v>
      </c>
      <c r="H56" s="100">
        <v>15</v>
      </c>
      <c r="I56" s="100">
        <v>14723.999999999998</v>
      </c>
      <c r="J56" s="100">
        <v>8</v>
      </c>
      <c r="K56" s="100">
        <v>7852.7999999999993</v>
      </c>
      <c r="L56" s="100">
        <v>15</v>
      </c>
      <c r="M56" s="100">
        <v>14723.999999999998</v>
      </c>
      <c r="N56" s="100">
        <v>16</v>
      </c>
      <c r="O56" s="100">
        <v>15705.599999999999</v>
      </c>
      <c r="P56" s="100">
        <v>11</v>
      </c>
      <c r="Q56" s="100">
        <v>10797.599999999999</v>
      </c>
      <c r="R56" s="100">
        <v>15</v>
      </c>
      <c r="S56" s="100">
        <v>14723.999999999998</v>
      </c>
      <c r="T56" s="100">
        <v>13</v>
      </c>
      <c r="U56" s="100">
        <v>12760.8</v>
      </c>
      <c r="V56" s="100">
        <v>15</v>
      </c>
      <c r="W56" s="100">
        <v>14723.999999999998</v>
      </c>
      <c r="X56" s="100">
        <v>10</v>
      </c>
      <c r="Y56" s="100">
        <v>9816</v>
      </c>
      <c r="Z56" s="100">
        <v>12</v>
      </c>
      <c r="AA56" s="100">
        <v>11779.199999999999</v>
      </c>
      <c r="AB56" s="100">
        <v>15</v>
      </c>
      <c r="AC56" s="100">
        <v>14723.999999999998</v>
      </c>
      <c r="AD56" s="100">
        <v>10</v>
      </c>
      <c r="AE56" s="100">
        <v>9816</v>
      </c>
      <c r="AF56" s="100">
        <v>11</v>
      </c>
      <c r="AG56" s="100">
        <v>10797.599999999999</v>
      </c>
      <c r="AH56" s="100">
        <v>14</v>
      </c>
      <c r="AI56" s="100">
        <v>13742.399999999998</v>
      </c>
      <c r="AJ56" s="100">
        <v>15</v>
      </c>
      <c r="AK56" s="100">
        <v>14723.999999999998</v>
      </c>
      <c r="AL56" s="100">
        <v>10</v>
      </c>
      <c r="AM56" s="100">
        <v>9816</v>
      </c>
      <c r="AN56" s="100">
        <v>11</v>
      </c>
      <c r="AO56" s="100">
        <v>10797.599999999999</v>
      </c>
      <c r="AP56" s="100">
        <v>13</v>
      </c>
      <c r="AQ56" s="100">
        <v>12760.8</v>
      </c>
      <c r="AR56" s="100">
        <v>13</v>
      </c>
      <c r="AS56" s="100">
        <v>12760.8</v>
      </c>
      <c r="AT56" s="100">
        <v>14</v>
      </c>
      <c r="AU56" s="100">
        <v>13742.399999999998</v>
      </c>
      <c r="AV56" s="100">
        <v>10</v>
      </c>
      <c r="AW56" s="100">
        <v>9816</v>
      </c>
      <c r="AX56" s="100">
        <v>13</v>
      </c>
      <c r="AY56" s="100">
        <v>12760.8</v>
      </c>
      <c r="AZ56" s="100">
        <v>10</v>
      </c>
      <c r="BA56" s="100">
        <v>9816</v>
      </c>
      <c r="BB56" s="100">
        <v>13</v>
      </c>
      <c r="BC56" s="100">
        <v>12760.8</v>
      </c>
      <c r="BD56" s="100">
        <v>17</v>
      </c>
      <c r="BE56" s="100">
        <v>16687.199999999997</v>
      </c>
      <c r="BF56" s="100">
        <v>10</v>
      </c>
      <c r="BG56" s="100">
        <v>9816</v>
      </c>
      <c r="BH56" s="100">
        <v>16</v>
      </c>
      <c r="BI56" s="100">
        <v>15705.599999999999</v>
      </c>
      <c r="BJ56" s="100">
        <v>12</v>
      </c>
      <c r="BK56" s="100">
        <v>11779.199999999999</v>
      </c>
      <c r="BL56" s="100">
        <v>9</v>
      </c>
      <c r="BM56" s="100">
        <v>8834.4</v>
      </c>
      <c r="BN56" s="100">
        <v>12</v>
      </c>
      <c r="BO56" s="100">
        <v>11779.199999999999</v>
      </c>
      <c r="BP56" s="100">
        <v>12</v>
      </c>
      <c r="BQ56" s="100">
        <v>11779.199999999999</v>
      </c>
      <c r="BR56" s="100">
        <v>16</v>
      </c>
      <c r="BS56" s="100">
        <v>15705.599999999999</v>
      </c>
      <c r="BT56" s="100">
        <v>12</v>
      </c>
      <c r="BU56" s="100">
        <v>11779.199999999999</v>
      </c>
      <c r="BV56" s="100">
        <v>16</v>
      </c>
      <c r="BW56" s="100">
        <v>15705.599999999999</v>
      </c>
      <c r="BX56" s="100">
        <v>8</v>
      </c>
      <c r="BY56" s="100">
        <v>7852.7999999999993</v>
      </c>
      <c r="BZ56" s="100">
        <v>8</v>
      </c>
      <c r="CA56" s="100">
        <v>7852.7999999999993</v>
      </c>
      <c r="CB56" s="100">
        <v>14</v>
      </c>
      <c r="CC56" s="100">
        <v>13742.399999999998</v>
      </c>
      <c r="CD56" s="100">
        <v>9</v>
      </c>
      <c r="CE56" s="100">
        <v>8834.4</v>
      </c>
      <c r="CF56" s="100">
        <v>9</v>
      </c>
      <c r="CG56" s="100">
        <v>8834.4</v>
      </c>
      <c r="CH56" s="100">
        <v>8</v>
      </c>
      <c r="CI56" s="100">
        <v>7852.7999999999993</v>
      </c>
      <c r="CJ56" s="100">
        <v>16</v>
      </c>
      <c r="CK56" s="100">
        <v>15705.599999999999</v>
      </c>
      <c r="CL56" s="100">
        <v>14</v>
      </c>
      <c r="CM56" s="100">
        <v>13742.399999999998</v>
      </c>
      <c r="CN56" s="100">
        <v>16</v>
      </c>
      <c r="CO56" s="100">
        <v>15705.599999999999</v>
      </c>
      <c r="CP56" s="100">
        <v>15</v>
      </c>
      <c r="CQ56" s="100">
        <v>14723.999999999998</v>
      </c>
      <c r="CR56" s="100">
        <v>10</v>
      </c>
      <c r="CS56" s="100">
        <v>9816</v>
      </c>
      <c r="CT56" s="100">
        <v>14</v>
      </c>
      <c r="CU56" s="100">
        <v>13742.399999999998</v>
      </c>
    </row>
    <row r="57" spans="2:99">
      <c r="C57" s="99" t="s">
        <v>223</v>
      </c>
      <c r="D57" s="100">
        <v>8</v>
      </c>
      <c r="E57" s="100">
        <v>11289.6</v>
      </c>
      <c r="F57" s="100">
        <v>10</v>
      </c>
      <c r="G57" s="100">
        <v>14112</v>
      </c>
      <c r="H57" s="100">
        <v>15</v>
      </c>
      <c r="I57" s="100">
        <v>21168</v>
      </c>
      <c r="J57" s="100">
        <v>9</v>
      </c>
      <c r="K57" s="100">
        <v>12700.800000000001</v>
      </c>
      <c r="L57" s="100">
        <v>13</v>
      </c>
      <c r="M57" s="100">
        <v>18345.600000000002</v>
      </c>
      <c r="N57" s="100">
        <v>16</v>
      </c>
      <c r="O57" s="100">
        <v>22579.200000000001</v>
      </c>
      <c r="P57" s="100">
        <v>10</v>
      </c>
      <c r="Q57" s="100">
        <v>14112</v>
      </c>
      <c r="R57" s="100">
        <v>13.96350225596125</v>
      </c>
      <c r="S57" s="100">
        <v>19705.294383612516</v>
      </c>
      <c r="T57" s="100">
        <v>10.63100771484212</v>
      </c>
      <c r="U57" s="100">
        <v>15002.4780871852</v>
      </c>
      <c r="V57" s="100">
        <v>13.542741255486931</v>
      </c>
      <c r="W57" s="100">
        <v>19111.516459743158</v>
      </c>
      <c r="X57" s="100">
        <v>11</v>
      </c>
      <c r="Y57" s="100">
        <v>15523.2</v>
      </c>
      <c r="Z57" s="100">
        <v>10</v>
      </c>
      <c r="AA57" s="100">
        <v>14112</v>
      </c>
      <c r="AB57" s="100">
        <v>13.208392715098094</v>
      </c>
      <c r="AC57" s="100">
        <v>18639.68379954643</v>
      </c>
      <c r="AD57" s="100">
        <v>9</v>
      </c>
      <c r="AE57" s="100">
        <v>12700.800000000001</v>
      </c>
      <c r="AF57" s="100">
        <v>11</v>
      </c>
      <c r="AG57" s="100">
        <v>15523.2</v>
      </c>
      <c r="AH57" s="100">
        <v>13</v>
      </c>
      <c r="AI57" s="100">
        <v>18345.600000000002</v>
      </c>
      <c r="AJ57" s="100">
        <v>13</v>
      </c>
      <c r="AK57" s="100">
        <v>18345.600000000002</v>
      </c>
      <c r="AL57" s="100">
        <v>11</v>
      </c>
      <c r="AM57" s="100">
        <v>15523.2</v>
      </c>
      <c r="AN57" s="100">
        <v>12</v>
      </c>
      <c r="AO57" s="100">
        <v>16934.400000000001</v>
      </c>
      <c r="AP57" s="100">
        <v>14</v>
      </c>
      <c r="AQ57" s="100">
        <v>19756.8</v>
      </c>
      <c r="AR57" s="100">
        <v>13</v>
      </c>
      <c r="AS57" s="100">
        <v>18345.600000000002</v>
      </c>
      <c r="AT57" s="100">
        <v>13</v>
      </c>
      <c r="AU57" s="100">
        <v>18345.600000000002</v>
      </c>
      <c r="AV57" s="100">
        <v>10</v>
      </c>
      <c r="AW57" s="100">
        <v>14112</v>
      </c>
      <c r="AX57" s="100">
        <v>11</v>
      </c>
      <c r="AY57" s="100">
        <v>15523.2</v>
      </c>
      <c r="AZ57" s="100">
        <v>9</v>
      </c>
      <c r="BA57" s="100">
        <v>12700.800000000001</v>
      </c>
      <c r="BB57" s="100">
        <v>12</v>
      </c>
      <c r="BC57" s="100">
        <v>16934.400000000001</v>
      </c>
      <c r="BD57" s="100">
        <v>15</v>
      </c>
      <c r="BE57" s="100">
        <v>21168</v>
      </c>
      <c r="BF57" s="100">
        <v>9</v>
      </c>
      <c r="BG57" s="100">
        <v>12700.800000000001</v>
      </c>
      <c r="BH57" s="100">
        <v>15</v>
      </c>
      <c r="BI57" s="100">
        <v>21168</v>
      </c>
      <c r="BJ57" s="100">
        <v>11</v>
      </c>
      <c r="BK57" s="100">
        <v>15523.2</v>
      </c>
      <c r="BL57" s="100">
        <v>9</v>
      </c>
      <c r="BM57" s="100">
        <v>12700.800000000001</v>
      </c>
      <c r="BN57" s="100">
        <v>11</v>
      </c>
      <c r="BO57" s="100">
        <v>15523.2</v>
      </c>
      <c r="BP57" s="100">
        <v>13</v>
      </c>
      <c r="BQ57" s="100">
        <v>18345.600000000002</v>
      </c>
      <c r="BR57" s="100">
        <v>17</v>
      </c>
      <c r="BS57" s="100">
        <v>23990.400000000001</v>
      </c>
      <c r="BT57" s="100">
        <v>11</v>
      </c>
      <c r="BU57" s="100">
        <v>15523.2</v>
      </c>
      <c r="BV57" s="100">
        <v>16</v>
      </c>
      <c r="BW57" s="100">
        <v>22579.200000000001</v>
      </c>
      <c r="BX57" s="100">
        <v>8</v>
      </c>
      <c r="BY57" s="100">
        <v>11289.6</v>
      </c>
      <c r="BZ57" s="100">
        <v>9</v>
      </c>
      <c r="CA57" s="100">
        <v>12700.800000000001</v>
      </c>
      <c r="CB57" s="100">
        <v>12</v>
      </c>
      <c r="CC57" s="100">
        <v>16934.400000000001</v>
      </c>
      <c r="CD57" s="100">
        <v>9</v>
      </c>
      <c r="CE57" s="100">
        <v>12700.800000000001</v>
      </c>
      <c r="CF57" s="100">
        <v>8</v>
      </c>
      <c r="CG57" s="100">
        <v>11289.6</v>
      </c>
      <c r="CH57" s="100">
        <v>8</v>
      </c>
      <c r="CI57" s="100">
        <v>11289.6</v>
      </c>
      <c r="CJ57" s="100">
        <v>14</v>
      </c>
      <c r="CK57" s="100">
        <v>19756.8</v>
      </c>
      <c r="CL57" s="100">
        <v>14</v>
      </c>
      <c r="CM57" s="100">
        <v>19756.8</v>
      </c>
      <c r="CN57" s="100">
        <v>14</v>
      </c>
      <c r="CO57" s="100">
        <v>19756.8</v>
      </c>
      <c r="CP57" s="100">
        <v>15</v>
      </c>
      <c r="CQ57" s="100">
        <v>21168</v>
      </c>
      <c r="CR57" s="100">
        <v>10</v>
      </c>
      <c r="CS57" s="100">
        <v>14112</v>
      </c>
      <c r="CT57" s="100">
        <v>14</v>
      </c>
      <c r="CU57" s="100">
        <v>19756.8</v>
      </c>
    </row>
    <row r="58" spans="2:99">
      <c r="C58" s="99" t="s">
        <v>224</v>
      </c>
      <c r="D58" s="100">
        <v>9</v>
      </c>
      <c r="E58" s="100">
        <v>10594.800000000001</v>
      </c>
      <c r="F58" s="100">
        <v>10</v>
      </c>
      <c r="G58" s="100">
        <v>11772</v>
      </c>
      <c r="H58" s="100">
        <v>15</v>
      </c>
      <c r="I58" s="100">
        <v>17658</v>
      </c>
      <c r="J58" s="100">
        <v>9</v>
      </c>
      <c r="K58" s="100">
        <v>10594.800000000001</v>
      </c>
      <c r="L58" s="100">
        <v>14</v>
      </c>
      <c r="M58" s="100">
        <v>16480.8</v>
      </c>
      <c r="N58" s="100">
        <v>16</v>
      </c>
      <c r="O58" s="100">
        <v>18835.2</v>
      </c>
      <c r="P58" s="100">
        <v>11</v>
      </c>
      <c r="Q58" s="100">
        <v>12949.2</v>
      </c>
      <c r="R58" s="100">
        <v>14</v>
      </c>
      <c r="S58" s="100">
        <v>16480.8</v>
      </c>
      <c r="T58" s="100">
        <v>12</v>
      </c>
      <c r="U58" s="100">
        <v>14126.400000000001</v>
      </c>
      <c r="V58" s="100">
        <v>14</v>
      </c>
      <c r="W58" s="100">
        <v>16480.8</v>
      </c>
      <c r="X58" s="100">
        <v>10</v>
      </c>
      <c r="Y58" s="100">
        <v>11772</v>
      </c>
      <c r="Z58" s="100">
        <v>10</v>
      </c>
      <c r="AA58" s="100">
        <v>11772</v>
      </c>
      <c r="AB58" s="100">
        <v>15</v>
      </c>
      <c r="AC58" s="100">
        <v>17658</v>
      </c>
      <c r="AD58" s="100">
        <v>10</v>
      </c>
      <c r="AE58" s="100">
        <v>11772</v>
      </c>
      <c r="AF58" s="100">
        <v>10</v>
      </c>
      <c r="AG58" s="100">
        <v>11772</v>
      </c>
      <c r="AH58" s="100">
        <v>14</v>
      </c>
      <c r="AI58" s="100">
        <v>16480.8</v>
      </c>
      <c r="AJ58" s="100">
        <v>14</v>
      </c>
      <c r="AK58" s="100">
        <v>16480.8</v>
      </c>
      <c r="AL58" s="100">
        <v>11</v>
      </c>
      <c r="AM58" s="100">
        <v>12949.2</v>
      </c>
      <c r="AN58" s="100">
        <v>11</v>
      </c>
      <c r="AO58" s="100">
        <v>12949.2</v>
      </c>
      <c r="AP58" s="100">
        <v>13</v>
      </c>
      <c r="AQ58" s="100">
        <v>15303.6</v>
      </c>
      <c r="AR58" s="100">
        <v>11</v>
      </c>
      <c r="AS58" s="100">
        <v>12949.2</v>
      </c>
      <c r="AT58" s="100">
        <v>13</v>
      </c>
      <c r="AU58" s="100">
        <v>15303.6</v>
      </c>
      <c r="AV58" s="100">
        <v>11</v>
      </c>
      <c r="AW58" s="100">
        <v>12949.2</v>
      </c>
      <c r="AX58" s="100">
        <v>11</v>
      </c>
      <c r="AY58" s="100">
        <v>12949.2</v>
      </c>
      <c r="AZ58" s="100">
        <v>9</v>
      </c>
      <c r="BA58" s="100">
        <v>10594.800000000001</v>
      </c>
      <c r="BB58" s="100">
        <v>12</v>
      </c>
      <c r="BC58" s="100">
        <v>14126.400000000001</v>
      </c>
      <c r="BD58" s="100">
        <v>15</v>
      </c>
      <c r="BE58" s="100">
        <v>17658</v>
      </c>
      <c r="BF58" s="100">
        <v>9</v>
      </c>
      <c r="BG58" s="100">
        <v>10594.800000000001</v>
      </c>
      <c r="BH58" s="100">
        <v>16</v>
      </c>
      <c r="BI58" s="100">
        <v>18835.2</v>
      </c>
      <c r="BJ58" s="100">
        <v>10</v>
      </c>
      <c r="BK58" s="100">
        <v>11772</v>
      </c>
      <c r="BL58" s="100">
        <v>9</v>
      </c>
      <c r="BM58" s="100">
        <v>10594.800000000001</v>
      </c>
      <c r="BN58" s="100">
        <v>13</v>
      </c>
      <c r="BO58" s="100">
        <v>15303.6</v>
      </c>
      <c r="BP58" s="100">
        <v>14</v>
      </c>
      <c r="BQ58" s="100">
        <v>16480.8</v>
      </c>
      <c r="BR58" s="100">
        <v>17</v>
      </c>
      <c r="BS58" s="100">
        <v>20012.400000000001</v>
      </c>
      <c r="BT58" s="100">
        <v>10</v>
      </c>
      <c r="BU58" s="100">
        <v>11772</v>
      </c>
      <c r="BV58" s="100">
        <v>16</v>
      </c>
      <c r="BW58" s="100">
        <v>18835.2</v>
      </c>
      <c r="BX58" s="100">
        <v>8</v>
      </c>
      <c r="BY58" s="100">
        <v>9417.6</v>
      </c>
      <c r="BZ58" s="100">
        <v>8</v>
      </c>
      <c r="CA58" s="100">
        <v>9417.6</v>
      </c>
      <c r="CB58" s="100">
        <v>12</v>
      </c>
      <c r="CC58" s="100">
        <v>14126.400000000001</v>
      </c>
      <c r="CD58" s="100">
        <v>9</v>
      </c>
      <c r="CE58" s="100">
        <v>10594.800000000001</v>
      </c>
      <c r="CF58" s="100">
        <v>8</v>
      </c>
      <c r="CG58" s="100">
        <v>9417.6</v>
      </c>
      <c r="CH58" s="100">
        <v>8</v>
      </c>
      <c r="CI58" s="100">
        <v>9417.6</v>
      </c>
      <c r="CJ58" s="100">
        <v>17</v>
      </c>
      <c r="CK58" s="100">
        <v>20012.400000000001</v>
      </c>
      <c r="CL58" s="100">
        <v>15</v>
      </c>
      <c r="CM58" s="100">
        <v>17658</v>
      </c>
      <c r="CN58" s="100">
        <v>14</v>
      </c>
      <c r="CO58" s="100">
        <v>16480.8</v>
      </c>
      <c r="CP58" s="100">
        <v>17</v>
      </c>
      <c r="CQ58" s="100">
        <v>20012.400000000001</v>
      </c>
      <c r="CR58" s="100">
        <v>9</v>
      </c>
      <c r="CS58" s="100">
        <v>10594.800000000001</v>
      </c>
      <c r="CT58" s="100">
        <v>9.7959368196200652E-24</v>
      </c>
      <c r="CU58" s="100">
        <v>1.1531776824056741E-20</v>
      </c>
    </row>
    <row r="59" spans="2:99">
      <c r="C59" s="99" t="s">
        <v>225</v>
      </c>
      <c r="D59" s="100">
        <v>9</v>
      </c>
      <c r="E59" s="100">
        <v>2732.3999999999996</v>
      </c>
      <c r="F59" s="100">
        <v>12</v>
      </c>
      <c r="G59" s="100">
        <v>3643.2</v>
      </c>
      <c r="H59" s="100">
        <v>15</v>
      </c>
      <c r="I59" s="100">
        <v>4553.9999999999991</v>
      </c>
      <c r="J59" s="100">
        <v>9</v>
      </c>
      <c r="K59" s="100">
        <v>2732.3999999999996</v>
      </c>
      <c r="L59" s="100">
        <v>16</v>
      </c>
      <c r="M59" s="100">
        <v>4857.5999999999995</v>
      </c>
      <c r="N59" s="100">
        <v>17</v>
      </c>
      <c r="O59" s="100">
        <v>5161.2</v>
      </c>
      <c r="P59" s="100">
        <v>12</v>
      </c>
      <c r="Q59" s="100">
        <v>3643.2</v>
      </c>
      <c r="R59" s="100">
        <v>15.958288292527143</v>
      </c>
      <c r="S59" s="100">
        <v>4844.9363256112401</v>
      </c>
      <c r="T59" s="100">
        <v>12.563918208449779</v>
      </c>
      <c r="U59" s="100">
        <v>3814.4055680853526</v>
      </c>
      <c r="V59" s="100">
        <v>15.477418577699348</v>
      </c>
      <c r="W59" s="100">
        <v>4698.9442801895211</v>
      </c>
      <c r="X59" s="100">
        <v>11</v>
      </c>
      <c r="Y59" s="100">
        <v>3339.5999999999995</v>
      </c>
      <c r="Z59" s="100">
        <v>11</v>
      </c>
      <c r="AA59" s="100">
        <v>3339.5999999999995</v>
      </c>
      <c r="AB59" s="100">
        <v>15.095305960112107</v>
      </c>
      <c r="AC59" s="100">
        <v>4582.9348894900349</v>
      </c>
      <c r="AD59" s="100">
        <v>10</v>
      </c>
      <c r="AE59" s="100">
        <v>3035.9999999999995</v>
      </c>
      <c r="AF59" s="100">
        <v>12</v>
      </c>
      <c r="AG59" s="100">
        <v>3643.2</v>
      </c>
      <c r="AH59" s="100">
        <v>13</v>
      </c>
      <c r="AI59" s="100">
        <v>3946.7999999999997</v>
      </c>
      <c r="AJ59" s="100">
        <v>14</v>
      </c>
      <c r="AK59" s="100">
        <v>4250.3999999999996</v>
      </c>
      <c r="AL59" s="100">
        <v>11</v>
      </c>
      <c r="AM59" s="100">
        <v>3339.5999999999995</v>
      </c>
      <c r="AN59" s="100">
        <v>12</v>
      </c>
      <c r="AO59" s="100">
        <v>3643.2</v>
      </c>
      <c r="AP59" s="100">
        <v>15</v>
      </c>
      <c r="AQ59" s="100">
        <v>4553.9999999999991</v>
      </c>
      <c r="AR59" s="100">
        <v>13</v>
      </c>
      <c r="AS59" s="100">
        <v>3946.7999999999997</v>
      </c>
      <c r="AT59" s="100">
        <v>14</v>
      </c>
      <c r="AU59" s="100">
        <v>4250.3999999999996</v>
      </c>
      <c r="AV59" s="100">
        <v>11</v>
      </c>
      <c r="AW59" s="100">
        <v>3339.5999999999995</v>
      </c>
      <c r="AX59" s="100">
        <v>14</v>
      </c>
      <c r="AY59" s="100">
        <v>4250.3999999999996</v>
      </c>
      <c r="AZ59" s="100">
        <v>10</v>
      </c>
      <c r="BA59" s="100">
        <v>3035.9999999999995</v>
      </c>
      <c r="BB59" s="100">
        <v>13</v>
      </c>
      <c r="BC59" s="100">
        <v>3946.7999999999997</v>
      </c>
      <c r="BD59" s="100">
        <v>18</v>
      </c>
      <c r="BE59" s="100">
        <v>5464.7999999999993</v>
      </c>
      <c r="BF59" s="100">
        <v>11</v>
      </c>
      <c r="BG59" s="100">
        <v>3339.5999999999995</v>
      </c>
      <c r="BH59" s="100">
        <v>17</v>
      </c>
      <c r="BI59" s="100">
        <v>5161.2</v>
      </c>
      <c r="BJ59" s="100">
        <v>11</v>
      </c>
      <c r="BK59" s="100">
        <v>3339.5999999999995</v>
      </c>
      <c r="BL59" s="100">
        <v>10</v>
      </c>
      <c r="BM59" s="100">
        <v>3035.9999999999995</v>
      </c>
      <c r="BN59" s="100">
        <v>13</v>
      </c>
      <c r="BO59" s="100">
        <v>3946.7999999999997</v>
      </c>
      <c r="BP59" s="100">
        <v>14</v>
      </c>
      <c r="BQ59" s="100">
        <v>4250.3999999999996</v>
      </c>
      <c r="BR59" s="100">
        <v>18</v>
      </c>
      <c r="BS59" s="100">
        <v>5464.7999999999993</v>
      </c>
      <c r="BT59" s="100">
        <v>13</v>
      </c>
      <c r="BU59" s="100">
        <v>3946.7999999999997</v>
      </c>
      <c r="BV59" s="100">
        <v>19</v>
      </c>
      <c r="BW59" s="100">
        <v>5768.4</v>
      </c>
      <c r="BX59" s="100">
        <v>9</v>
      </c>
      <c r="BY59" s="100">
        <v>2732.3999999999996</v>
      </c>
      <c r="BZ59" s="100">
        <v>10</v>
      </c>
      <c r="CA59" s="100">
        <v>3035.9999999999995</v>
      </c>
      <c r="CB59" s="100">
        <v>13</v>
      </c>
      <c r="CC59" s="100">
        <v>3946.7999999999997</v>
      </c>
      <c r="CD59" s="100">
        <v>11</v>
      </c>
      <c r="CE59" s="100">
        <v>3339.5999999999995</v>
      </c>
      <c r="CF59" s="100">
        <v>10</v>
      </c>
      <c r="CG59" s="100">
        <v>3035.9999999999995</v>
      </c>
      <c r="CH59" s="100">
        <v>8</v>
      </c>
      <c r="CI59" s="100">
        <v>2428.7999999999997</v>
      </c>
      <c r="CJ59" s="100">
        <v>18</v>
      </c>
      <c r="CK59" s="100">
        <v>5464.7999999999993</v>
      </c>
      <c r="CL59" s="100">
        <v>16</v>
      </c>
      <c r="CM59" s="100">
        <v>4857.5999999999995</v>
      </c>
      <c r="CN59" s="100">
        <v>16</v>
      </c>
      <c r="CO59" s="100">
        <v>4857.5999999999995</v>
      </c>
      <c r="CP59" s="100">
        <v>18</v>
      </c>
      <c r="CQ59" s="100">
        <v>5464.7999999999993</v>
      </c>
      <c r="CR59" s="100">
        <v>10</v>
      </c>
      <c r="CS59" s="100">
        <v>3035.9999999999995</v>
      </c>
      <c r="CT59" s="100">
        <v>15</v>
      </c>
      <c r="CU59" s="100">
        <v>4553.9999999999991</v>
      </c>
    </row>
    <row r="60" spans="2:99">
      <c r="C60" s="99" t="s">
        <v>226</v>
      </c>
      <c r="D60" s="100">
        <v>9</v>
      </c>
      <c r="E60" s="100">
        <v>5864.4000000000005</v>
      </c>
      <c r="F60" s="100">
        <v>11</v>
      </c>
      <c r="G60" s="100">
        <v>7167.6</v>
      </c>
      <c r="H60" s="100">
        <v>16</v>
      </c>
      <c r="I60" s="100">
        <v>10425.6</v>
      </c>
      <c r="J60" s="100">
        <v>8</v>
      </c>
      <c r="K60" s="100">
        <v>5212.8</v>
      </c>
      <c r="L60" s="100">
        <v>16</v>
      </c>
      <c r="M60" s="100">
        <v>10425.6</v>
      </c>
      <c r="N60" s="100">
        <v>18</v>
      </c>
      <c r="O60" s="100">
        <v>11728.800000000001</v>
      </c>
      <c r="P60" s="100">
        <v>11</v>
      </c>
      <c r="Q60" s="100">
        <v>7167.6</v>
      </c>
      <c r="R60" s="100">
        <v>15.958288292527143</v>
      </c>
      <c r="S60" s="100">
        <v>10398.420651410686</v>
      </c>
      <c r="T60" s="100">
        <v>11.597462961645951</v>
      </c>
      <c r="U60" s="100">
        <v>7556.9068658085016</v>
      </c>
      <c r="V60" s="100">
        <v>16.444757238805558</v>
      </c>
      <c r="W60" s="100">
        <v>10715.403816805701</v>
      </c>
      <c r="X60" s="100">
        <v>11</v>
      </c>
      <c r="Y60" s="100">
        <v>7167.6</v>
      </c>
      <c r="Z60" s="100">
        <v>12</v>
      </c>
      <c r="AA60" s="100">
        <v>7819.2000000000007</v>
      </c>
      <c r="AB60" s="100">
        <v>13.208392715098094</v>
      </c>
      <c r="AC60" s="100">
        <v>8606.5886931579189</v>
      </c>
      <c r="AD60" s="100">
        <v>10</v>
      </c>
      <c r="AE60" s="100">
        <v>6516</v>
      </c>
      <c r="AF60" s="100">
        <v>10</v>
      </c>
      <c r="AG60" s="100">
        <v>6516</v>
      </c>
      <c r="AH60" s="100">
        <v>13</v>
      </c>
      <c r="AI60" s="100">
        <v>8470.8000000000011</v>
      </c>
      <c r="AJ60" s="100">
        <v>13</v>
      </c>
      <c r="AK60" s="100">
        <v>8470.8000000000011</v>
      </c>
      <c r="AL60" s="100">
        <v>11</v>
      </c>
      <c r="AM60" s="100">
        <v>7167.6</v>
      </c>
      <c r="AN60" s="100">
        <v>12</v>
      </c>
      <c r="AO60" s="100">
        <v>7819.2000000000007</v>
      </c>
      <c r="AP60" s="100">
        <v>15</v>
      </c>
      <c r="AQ60" s="100">
        <v>9774</v>
      </c>
      <c r="AR60" s="100">
        <v>13</v>
      </c>
      <c r="AS60" s="100">
        <v>8470.8000000000011</v>
      </c>
      <c r="AT60" s="100">
        <v>13</v>
      </c>
      <c r="AU60" s="100">
        <v>8470.8000000000011</v>
      </c>
      <c r="AV60" s="100">
        <v>11</v>
      </c>
      <c r="AW60" s="100">
        <v>7167.6</v>
      </c>
      <c r="AX60" s="100">
        <v>13</v>
      </c>
      <c r="AY60" s="100">
        <v>8470.8000000000011</v>
      </c>
      <c r="AZ60" s="100">
        <v>9</v>
      </c>
      <c r="BA60" s="100">
        <v>5864.4000000000005</v>
      </c>
      <c r="BB60" s="100">
        <v>13</v>
      </c>
      <c r="BC60" s="100">
        <v>8470.8000000000011</v>
      </c>
      <c r="BD60" s="100">
        <v>17</v>
      </c>
      <c r="BE60" s="100">
        <v>11077.2</v>
      </c>
      <c r="BF60" s="100">
        <v>10</v>
      </c>
      <c r="BG60" s="100">
        <v>6516</v>
      </c>
      <c r="BH60" s="100">
        <v>15</v>
      </c>
      <c r="BI60" s="100">
        <v>9774</v>
      </c>
      <c r="BJ60" s="100">
        <v>11</v>
      </c>
      <c r="BK60" s="100">
        <v>7167.6</v>
      </c>
      <c r="BL60" s="100">
        <v>9</v>
      </c>
      <c r="BM60" s="100">
        <v>5864.4000000000005</v>
      </c>
      <c r="BN60" s="100">
        <v>13</v>
      </c>
      <c r="BO60" s="100">
        <v>8470.8000000000011</v>
      </c>
      <c r="BP60" s="100">
        <v>15</v>
      </c>
      <c r="BQ60" s="100">
        <v>9774</v>
      </c>
      <c r="BR60" s="100">
        <v>17</v>
      </c>
      <c r="BS60" s="100">
        <v>11077.2</v>
      </c>
      <c r="BT60" s="100">
        <v>11</v>
      </c>
      <c r="BU60" s="100">
        <v>7167.6</v>
      </c>
      <c r="BV60" s="100">
        <v>16</v>
      </c>
      <c r="BW60" s="100">
        <v>10425.6</v>
      </c>
      <c r="BX60" s="100">
        <v>8</v>
      </c>
      <c r="BY60" s="100">
        <v>5212.8</v>
      </c>
      <c r="BZ60" s="100">
        <v>9</v>
      </c>
      <c r="CA60" s="100">
        <v>5864.4000000000005</v>
      </c>
      <c r="CB60" s="100">
        <v>12</v>
      </c>
      <c r="CC60" s="100">
        <v>7819.2000000000007</v>
      </c>
      <c r="CD60" s="100">
        <v>11</v>
      </c>
      <c r="CE60" s="100">
        <v>7167.6</v>
      </c>
      <c r="CF60" s="100">
        <v>8</v>
      </c>
      <c r="CG60" s="100">
        <v>5212.8</v>
      </c>
      <c r="CH60" s="100">
        <v>9</v>
      </c>
      <c r="CI60" s="100">
        <v>5864.4000000000005</v>
      </c>
      <c r="CJ60" s="100">
        <v>16</v>
      </c>
      <c r="CK60" s="100">
        <v>10425.6</v>
      </c>
      <c r="CL60" s="100">
        <v>17</v>
      </c>
      <c r="CM60" s="100">
        <v>11077.2</v>
      </c>
      <c r="CN60" s="100">
        <v>14</v>
      </c>
      <c r="CO60" s="100">
        <v>9122.4</v>
      </c>
      <c r="CP60" s="100">
        <v>16</v>
      </c>
      <c r="CQ60" s="100">
        <v>10425.6</v>
      </c>
      <c r="CR60" s="100">
        <v>9</v>
      </c>
      <c r="CS60" s="100">
        <v>5864.4000000000005</v>
      </c>
      <c r="CT60" s="100">
        <v>15</v>
      </c>
      <c r="CU60" s="100">
        <v>9774</v>
      </c>
    </row>
    <row r="61" spans="2:99">
      <c r="C61" s="99" t="s">
        <v>227</v>
      </c>
      <c r="D61" s="100">
        <v>9</v>
      </c>
      <c r="E61" s="100">
        <v>8564.4</v>
      </c>
      <c r="F61" s="100">
        <v>11</v>
      </c>
      <c r="G61" s="100">
        <v>10467.599999999999</v>
      </c>
      <c r="H61" s="100">
        <v>15</v>
      </c>
      <c r="I61" s="100">
        <v>14273.999999999998</v>
      </c>
      <c r="J61" s="100">
        <v>9</v>
      </c>
      <c r="K61" s="100">
        <v>8564.4</v>
      </c>
      <c r="L61" s="100">
        <v>15</v>
      </c>
      <c r="M61" s="100">
        <v>14273.999999999998</v>
      </c>
      <c r="N61" s="100">
        <v>15</v>
      </c>
      <c r="O61" s="100">
        <v>14273.999999999998</v>
      </c>
      <c r="P61" s="100">
        <v>11</v>
      </c>
      <c r="Q61" s="100">
        <v>10467.599999999999</v>
      </c>
      <c r="R61" s="100">
        <v>14.960895274244196</v>
      </c>
      <c r="S61" s="100">
        <v>14236.787942970775</v>
      </c>
      <c r="T61" s="100">
        <v>11.597462961645951</v>
      </c>
      <c r="U61" s="100">
        <v>11036.145754302286</v>
      </c>
      <c r="V61" s="100">
        <v>15.477418577699348</v>
      </c>
      <c r="W61" s="100">
        <v>14728.311518538698</v>
      </c>
      <c r="X61" s="100">
        <v>10</v>
      </c>
      <c r="Y61" s="100">
        <v>9516</v>
      </c>
      <c r="Z61" s="100">
        <v>12</v>
      </c>
      <c r="AA61" s="100">
        <v>11419.199999999999</v>
      </c>
      <c r="AB61" s="100">
        <v>13.208392715098094</v>
      </c>
      <c r="AC61" s="100">
        <v>12569.106507687346</v>
      </c>
      <c r="AD61" s="100">
        <v>10</v>
      </c>
      <c r="AE61" s="100">
        <v>9516</v>
      </c>
      <c r="AF61" s="100">
        <v>11</v>
      </c>
      <c r="AG61" s="100">
        <v>10467.599999999999</v>
      </c>
      <c r="AH61" s="100">
        <v>12</v>
      </c>
      <c r="AI61" s="100">
        <v>11419.199999999999</v>
      </c>
      <c r="AJ61" s="100">
        <v>13</v>
      </c>
      <c r="AK61" s="100">
        <v>12370.8</v>
      </c>
      <c r="AL61" s="100">
        <v>11</v>
      </c>
      <c r="AM61" s="100">
        <v>10467.599999999999</v>
      </c>
      <c r="AN61" s="100">
        <v>12</v>
      </c>
      <c r="AO61" s="100">
        <v>11419.199999999999</v>
      </c>
      <c r="AP61" s="100">
        <v>13</v>
      </c>
      <c r="AQ61" s="100">
        <v>12370.8</v>
      </c>
      <c r="AR61" s="100">
        <v>12</v>
      </c>
      <c r="AS61" s="100">
        <v>11419.199999999999</v>
      </c>
      <c r="AT61" s="100">
        <v>13</v>
      </c>
      <c r="AU61" s="100">
        <v>12370.8</v>
      </c>
      <c r="AV61" s="100">
        <v>9</v>
      </c>
      <c r="AW61" s="100">
        <v>8564.4</v>
      </c>
      <c r="AX61" s="100">
        <v>13</v>
      </c>
      <c r="AY61" s="100">
        <v>12370.8</v>
      </c>
      <c r="AZ61" s="100">
        <v>10</v>
      </c>
      <c r="BA61" s="100">
        <v>9516</v>
      </c>
      <c r="BB61" s="100">
        <v>12</v>
      </c>
      <c r="BC61" s="100">
        <v>11419.199999999999</v>
      </c>
      <c r="BD61" s="100">
        <v>15</v>
      </c>
      <c r="BE61" s="100">
        <v>14273.999999999998</v>
      </c>
      <c r="BF61" s="100">
        <v>10</v>
      </c>
      <c r="BG61" s="100">
        <v>9516</v>
      </c>
      <c r="BH61" s="100">
        <v>14</v>
      </c>
      <c r="BI61" s="100">
        <v>13322.399999999998</v>
      </c>
      <c r="BJ61" s="100">
        <v>11</v>
      </c>
      <c r="BK61" s="100">
        <v>10467.599999999999</v>
      </c>
      <c r="BL61" s="100">
        <v>9</v>
      </c>
      <c r="BM61" s="100">
        <v>8564.4</v>
      </c>
      <c r="BN61" s="100">
        <v>13</v>
      </c>
      <c r="BO61" s="100">
        <v>12370.8</v>
      </c>
      <c r="BP61" s="100">
        <v>13</v>
      </c>
      <c r="BQ61" s="100">
        <v>12370.8</v>
      </c>
      <c r="BR61" s="100">
        <v>17</v>
      </c>
      <c r="BS61" s="100">
        <v>16177.199999999999</v>
      </c>
      <c r="BT61" s="100">
        <v>10</v>
      </c>
      <c r="BU61" s="100">
        <v>9516</v>
      </c>
      <c r="BV61" s="100">
        <v>15</v>
      </c>
      <c r="BW61" s="100">
        <v>14273.999999999998</v>
      </c>
      <c r="BX61" s="100">
        <v>9</v>
      </c>
      <c r="BY61" s="100">
        <v>8564.4</v>
      </c>
      <c r="BZ61" s="100">
        <v>8</v>
      </c>
      <c r="CA61" s="100">
        <v>7612.7999999999993</v>
      </c>
      <c r="CB61" s="100">
        <v>12</v>
      </c>
      <c r="CC61" s="100">
        <v>11419.199999999999</v>
      </c>
      <c r="CD61" s="100">
        <v>10</v>
      </c>
      <c r="CE61" s="100">
        <v>9516</v>
      </c>
      <c r="CF61" s="100">
        <v>8</v>
      </c>
      <c r="CG61" s="100">
        <v>7612.7999999999993</v>
      </c>
      <c r="CH61" s="100">
        <v>9</v>
      </c>
      <c r="CI61" s="100">
        <v>8564.4</v>
      </c>
      <c r="CJ61" s="100">
        <v>16</v>
      </c>
      <c r="CK61" s="100">
        <v>15225.599999999999</v>
      </c>
      <c r="CL61" s="100">
        <v>15</v>
      </c>
      <c r="CM61" s="100">
        <v>14273.999999999998</v>
      </c>
      <c r="CN61" s="100">
        <v>16</v>
      </c>
      <c r="CO61" s="100">
        <v>15225.599999999999</v>
      </c>
      <c r="CP61" s="100">
        <v>14</v>
      </c>
      <c r="CQ61" s="100">
        <v>13322.399999999998</v>
      </c>
      <c r="CR61" s="100">
        <v>10</v>
      </c>
      <c r="CS61" s="100">
        <v>9516</v>
      </c>
      <c r="CT61" s="100">
        <v>14</v>
      </c>
      <c r="CU61" s="100">
        <v>13322.399999999998</v>
      </c>
    </row>
    <row r="62" spans="2:99">
      <c r="C62" s="99" t="s">
        <v>228</v>
      </c>
      <c r="D62" s="100">
        <v>7</v>
      </c>
      <c r="E62" s="100">
        <v>11684.4</v>
      </c>
      <c r="F62" s="100">
        <v>10</v>
      </c>
      <c r="G62" s="100">
        <v>16692</v>
      </c>
      <c r="H62" s="100">
        <v>15</v>
      </c>
      <c r="I62" s="100">
        <v>25038</v>
      </c>
      <c r="J62" s="100">
        <v>8</v>
      </c>
      <c r="K62" s="100">
        <v>13353.6</v>
      </c>
      <c r="L62" s="100">
        <v>14</v>
      </c>
      <c r="M62" s="100">
        <v>23368.799999999999</v>
      </c>
      <c r="N62" s="100">
        <v>16</v>
      </c>
      <c r="O62" s="100">
        <v>26707.200000000001</v>
      </c>
      <c r="P62" s="100">
        <v>11</v>
      </c>
      <c r="Q62" s="100">
        <v>18361.2</v>
      </c>
      <c r="R62" s="100">
        <v>13</v>
      </c>
      <c r="S62" s="100">
        <v>21699.600000000002</v>
      </c>
      <c r="T62" s="100">
        <v>10</v>
      </c>
      <c r="U62" s="100">
        <v>16692</v>
      </c>
      <c r="V62" s="100">
        <v>15</v>
      </c>
      <c r="W62" s="100">
        <v>25038</v>
      </c>
      <c r="X62" s="100">
        <v>11</v>
      </c>
      <c r="Y62" s="100">
        <v>18361.2</v>
      </c>
      <c r="Z62" s="100">
        <v>11</v>
      </c>
      <c r="AA62" s="100">
        <v>18361.2</v>
      </c>
      <c r="AB62" s="100">
        <v>13</v>
      </c>
      <c r="AC62" s="100">
        <v>21699.600000000002</v>
      </c>
      <c r="AD62" s="100">
        <v>8</v>
      </c>
      <c r="AE62" s="100">
        <v>13353.6</v>
      </c>
      <c r="AF62" s="100">
        <v>9</v>
      </c>
      <c r="AG62" s="100">
        <v>15022.800000000001</v>
      </c>
      <c r="AH62" s="100">
        <v>11</v>
      </c>
      <c r="AI62" s="100">
        <v>18361.2</v>
      </c>
      <c r="AJ62" s="100">
        <v>12</v>
      </c>
      <c r="AK62" s="100">
        <v>20030.400000000001</v>
      </c>
      <c r="AL62" s="100">
        <v>9</v>
      </c>
      <c r="AM62" s="100">
        <v>15022.800000000001</v>
      </c>
      <c r="AN62" s="100">
        <v>11</v>
      </c>
      <c r="AO62" s="100">
        <v>18361.2</v>
      </c>
      <c r="AP62" s="100">
        <v>12</v>
      </c>
      <c r="AQ62" s="100">
        <v>20030.400000000001</v>
      </c>
      <c r="AR62" s="100">
        <v>12</v>
      </c>
      <c r="AS62" s="100">
        <v>20030.400000000001</v>
      </c>
      <c r="AT62" s="100">
        <v>11</v>
      </c>
      <c r="AU62" s="100">
        <v>18361.2</v>
      </c>
      <c r="AV62" s="100">
        <v>11</v>
      </c>
      <c r="AW62" s="100">
        <v>18361.2</v>
      </c>
      <c r="AX62" s="100">
        <v>11</v>
      </c>
      <c r="AY62" s="100">
        <v>18361.2</v>
      </c>
      <c r="AZ62" s="100">
        <v>9</v>
      </c>
      <c r="BA62" s="100">
        <v>15022.800000000001</v>
      </c>
      <c r="BB62" s="100">
        <v>12</v>
      </c>
      <c r="BC62" s="100">
        <v>20030.400000000001</v>
      </c>
      <c r="BD62" s="100">
        <v>15</v>
      </c>
      <c r="BE62" s="100">
        <v>25038</v>
      </c>
      <c r="BF62" s="100">
        <v>9</v>
      </c>
      <c r="BG62" s="100">
        <v>15022.800000000001</v>
      </c>
      <c r="BH62" s="100">
        <v>15</v>
      </c>
      <c r="BI62" s="100">
        <v>25038</v>
      </c>
      <c r="BJ62" s="100">
        <v>11</v>
      </c>
      <c r="BK62" s="100">
        <v>18361.2</v>
      </c>
      <c r="BL62" s="100">
        <v>9</v>
      </c>
      <c r="BM62" s="100">
        <v>15022.800000000001</v>
      </c>
      <c r="BN62" s="100">
        <v>11</v>
      </c>
      <c r="BO62" s="100">
        <v>18361.2</v>
      </c>
      <c r="BP62" s="100">
        <v>13</v>
      </c>
      <c r="BQ62" s="100">
        <v>21699.600000000002</v>
      </c>
      <c r="BR62" s="100">
        <v>15</v>
      </c>
      <c r="BS62" s="100">
        <v>25038</v>
      </c>
      <c r="BT62" s="100">
        <v>9</v>
      </c>
      <c r="BU62" s="100">
        <v>15022.800000000001</v>
      </c>
      <c r="BV62" s="100">
        <v>15</v>
      </c>
      <c r="BW62" s="100">
        <v>25038</v>
      </c>
      <c r="BX62" s="100">
        <v>8</v>
      </c>
      <c r="BY62" s="100">
        <v>13353.6</v>
      </c>
      <c r="BZ62" s="100">
        <v>9</v>
      </c>
      <c r="CA62" s="100">
        <v>15022.800000000001</v>
      </c>
      <c r="CB62" s="100">
        <v>11</v>
      </c>
      <c r="CC62" s="100">
        <v>18361.2</v>
      </c>
      <c r="CD62" s="100">
        <v>10</v>
      </c>
      <c r="CE62" s="100">
        <v>16692</v>
      </c>
      <c r="CF62" s="100">
        <v>7</v>
      </c>
      <c r="CG62" s="100">
        <v>11684.4</v>
      </c>
      <c r="CH62" s="100">
        <v>7</v>
      </c>
      <c r="CI62" s="100">
        <v>11684.4</v>
      </c>
      <c r="CJ62" s="100">
        <v>14</v>
      </c>
      <c r="CK62" s="100">
        <v>23368.799999999999</v>
      </c>
      <c r="CL62" s="100">
        <v>14</v>
      </c>
      <c r="CM62" s="100">
        <v>23368.799999999999</v>
      </c>
      <c r="CN62" s="100">
        <v>15</v>
      </c>
      <c r="CO62" s="100">
        <v>25038</v>
      </c>
      <c r="CP62" s="100">
        <v>14</v>
      </c>
      <c r="CQ62" s="100">
        <v>23368.799999999999</v>
      </c>
      <c r="CR62" s="100">
        <v>8</v>
      </c>
      <c r="CS62" s="100">
        <v>13353.6</v>
      </c>
      <c r="CT62" s="100">
        <v>13</v>
      </c>
      <c r="CU62" s="100">
        <v>21699.600000000002</v>
      </c>
    </row>
    <row r="63" spans="2:99">
      <c r="C63" s="99" t="s">
        <v>229</v>
      </c>
      <c r="D63" s="100">
        <v>9</v>
      </c>
      <c r="E63" s="100">
        <v>7160.4000000000005</v>
      </c>
      <c r="F63" s="100">
        <v>10</v>
      </c>
      <c r="G63" s="100">
        <v>7956</v>
      </c>
      <c r="H63" s="100">
        <v>14</v>
      </c>
      <c r="I63" s="100">
        <v>11138.4</v>
      </c>
      <c r="J63" s="100">
        <v>9</v>
      </c>
      <c r="K63" s="100">
        <v>7160.4000000000005</v>
      </c>
      <c r="L63" s="100">
        <v>17</v>
      </c>
      <c r="M63" s="100">
        <v>13525.2</v>
      </c>
      <c r="N63" s="100">
        <v>17</v>
      </c>
      <c r="O63" s="100">
        <v>13525.2</v>
      </c>
      <c r="P63" s="100">
        <v>11</v>
      </c>
      <c r="Q63" s="100">
        <v>8751.6</v>
      </c>
      <c r="R63" s="100">
        <v>14.960895274244196</v>
      </c>
      <c r="S63" s="100">
        <v>11902.888280188683</v>
      </c>
      <c r="T63" s="100">
        <v>11.597462961645951</v>
      </c>
      <c r="U63" s="100">
        <v>9226.9415322855184</v>
      </c>
      <c r="V63" s="100">
        <v>15.477418577699348</v>
      </c>
      <c r="W63" s="100">
        <v>12313.834220417602</v>
      </c>
      <c r="X63" s="100">
        <v>11</v>
      </c>
      <c r="Y63" s="100">
        <v>8751.6</v>
      </c>
      <c r="Z63" s="100">
        <v>12</v>
      </c>
      <c r="AA63" s="100">
        <v>9547.2000000000007</v>
      </c>
      <c r="AB63" s="100">
        <v>14.151849337605102</v>
      </c>
      <c r="AC63" s="100">
        <v>11259.211332998619</v>
      </c>
      <c r="AD63" s="100">
        <v>9</v>
      </c>
      <c r="AE63" s="100">
        <v>7160.4000000000005</v>
      </c>
      <c r="AF63" s="100">
        <v>10</v>
      </c>
      <c r="AG63" s="100">
        <v>7956</v>
      </c>
      <c r="AH63" s="100">
        <v>14</v>
      </c>
      <c r="AI63" s="100">
        <v>11138.4</v>
      </c>
      <c r="AJ63" s="100">
        <v>15</v>
      </c>
      <c r="AK63" s="100">
        <v>11934</v>
      </c>
      <c r="AL63" s="100">
        <v>12</v>
      </c>
      <c r="AM63" s="100">
        <v>9547.2000000000007</v>
      </c>
      <c r="AN63" s="100">
        <v>10</v>
      </c>
      <c r="AO63" s="100">
        <v>7956</v>
      </c>
      <c r="AP63" s="100">
        <v>14</v>
      </c>
      <c r="AQ63" s="100">
        <v>11138.4</v>
      </c>
      <c r="AR63" s="100">
        <v>13</v>
      </c>
      <c r="AS63" s="100">
        <v>10342.800000000001</v>
      </c>
      <c r="AT63" s="100">
        <v>13</v>
      </c>
      <c r="AU63" s="100">
        <v>10342.800000000001</v>
      </c>
      <c r="AV63" s="100">
        <v>11</v>
      </c>
      <c r="AW63" s="100">
        <v>8751.6</v>
      </c>
      <c r="AX63" s="100">
        <v>13</v>
      </c>
      <c r="AY63" s="100">
        <v>10342.800000000001</v>
      </c>
      <c r="AZ63" s="100">
        <v>10</v>
      </c>
      <c r="BA63" s="100">
        <v>7956</v>
      </c>
      <c r="BB63" s="100">
        <v>13</v>
      </c>
      <c r="BC63" s="100">
        <v>10342.800000000001</v>
      </c>
      <c r="BD63" s="100">
        <v>15</v>
      </c>
      <c r="BE63" s="100">
        <v>11934</v>
      </c>
      <c r="BF63" s="100">
        <v>10</v>
      </c>
      <c r="BG63" s="100">
        <v>7956</v>
      </c>
      <c r="BH63" s="100">
        <v>15</v>
      </c>
      <c r="BI63" s="100">
        <v>11934</v>
      </c>
      <c r="BJ63" s="100">
        <v>11</v>
      </c>
      <c r="BK63" s="100">
        <v>8751.6</v>
      </c>
      <c r="BL63" s="100">
        <v>9</v>
      </c>
      <c r="BM63" s="100">
        <v>7160.4000000000005</v>
      </c>
      <c r="BN63" s="100">
        <v>13</v>
      </c>
      <c r="BO63" s="100">
        <v>10342.800000000001</v>
      </c>
      <c r="BP63" s="100">
        <v>14</v>
      </c>
      <c r="BQ63" s="100">
        <v>11138.4</v>
      </c>
      <c r="BR63" s="100">
        <v>15</v>
      </c>
      <c r="BS63" s="100">
        <v>11934</v>
      </c>
      <c r="BT63" s="100">
        <v>11</v>
      </c>
      <c r="BU63" s="100">
        <v>8751.6</v>
      </c>
      <c r="BV63" s="100">
        <v>17</v>
      </c>
      <c r="BW63" s="100">
        <v>13525.2</v>
      </c>
      <c r="BX63" s="100">
        <v>9</v>
      </c>
      <c r="BY63" s="100">
        <v>7160.4000000000005</v>
      </c>
      <c r="BZ63" s="100">
        <v>9</v>
      </c>
      <c r="CA63" s="100">
        <v>7160.4000000000005</v>
      </c>
      <c r="CB63" s="100">
        <v>12</v>
      </c>
      <c r="CC63" s="100">
        <v>9547.2000000000007</v>
      </c>
      <c r="CD63" s="100">
        <v>10</v>
      </c>
      <c r="CE63" s="100">
        <v>7956</v>
      </c>
      <c r="CF63" s="100">
        <v>8</v>
      </c>
      <c r="CG63" s="100">
        <v>6364.8</v>
      </c>
      <c r="CH63" s="100">
        <v>8</v>
      </c>
      <c r="CI63" s="100">
        <v>6364.8</v>
      </c>
      <c r="CJ63" s="100">
        <v>15</v>
      </c>
      <c r="CK63" s="100">
        <v>11934</v>
      </c>
      <c r="CL63" s="100">
        <v>14</v>
      </c>
      <c r="CM63" s="100">
        <v>11138.4</v>
      </c>
      <c r="CN63" s="100">
        <v>16</v>
      </c>
      <c r="CO63" s="100">
        <v>12729.6</v>
      </c>
      <c r="CP63" s="100">
        <v>15</v>
      </c>
      <c r="CQ63" s="100">
        <v>11934</v>
      </c>
      <c r="CR63" s="100">
        <v>10</v>
      </c>
      <c r="CS63" s="100">
        <v>7956</v>
      </c>
      <c r="CT63" s="100">
        <v>15</v>
      </c>
      <c r="CU63" s="100">
        <v>11934</v>
      </c>
    </row>
    <row r="64" spans="2:99">
      <c r="C64" s="99" t="s">
        <v>230</v>
      </c>
      <c r="D64" s="100">
        <v>8</v>
      </c>
      <c r="E64" s="100">
        <v>8073.5999999999985</v>
      </c>
      <c r="F64" s="100">
        <v>11</v>
      </c>
      <c r="G64" s="100">
        <v>11101.199999999997</v>
      </c>
      <c r="H64" s="100">
        <v>14</v>
      </c>
      <c r="I64" s="100">
        <v>14128.799999999997</v>
      </c>
      <c r="J64" s="100">
        <v>9</v>
      </c>
      <c r="K64" s="100">
        <v>9082.7999999999993</v>
      </c>
      <c r="L64" s="100">
        <v>16</v>
      </c>
      <c r="M64" s="100">
        <v>16147.199999999997</v>
      </c>
      <c r="N64" s="100">
        <v>16</v>
      </c>
      <c r="O64" s="100">
        <v>16147.199999999997</v>
      </c>
      <c r="P64" s="100">
        <v>11</v>
      </c>
      <c r="Q64" s="100">
        <v>11101.199999999997</v>
      </c>
      <c r="R64" s="100">
        <v>13.96350225596125</v>
      </c>
      <c r="S64" s="100">
        <v>14091.966476716092</v>
      </c>
      <c r="T64" s="100">
        <v>12.563918208449779</v>
      </c>
      <c r="U64" s="100">
        <v>12679.506255967515</v>
      </c>
      <c r="V64" s="100">
        <v>14.510079916593138</v>
      </c>
      <c r="W64" s="100">
        <v>14643.572651825792</v>
      </c>
      <c r="X64" s="100">
        <v>12</v>
      </c>
      <c r="Y64" s="100">
        <v>12110.399999999998</v>
      </c>
      <c r="Z64" s="100">
        <v>10</v>
      </c>
      <c r="AA64" s="100">
        <v>10091.999999999998</v>
      </c>
      <c r="AB64" s="100">
        <v>14.151849337605102</v>
      </c>
      <c r="AC64" s="100">
        <v>14282.046351511066</v>
      </c>
      <c r="AD64" s="100">
        <v>10</v>
      </c>
      <c r="AE64" s="100">
        <v>10091.999999999998</v>
      </c>
      <c r="AF64" s="100">
        <v>11</v>
      </c>
      <c r="AG64" s="100">
        <v>11101.199999999997</v>
      </c>
      <c r="AH64" s="100">
        <v>14</v>
      </c>
      <c r="AI64" s="100">
        <v>14128.799999999997</v>
      </c>
      <c r="AJ64" s="100">
        <v>13</v>
      </c>
      <c r="AK64" s="100">
        <v>13119.599999999999</v>
      </c>
      <c r="AL64" s="100">
        <v>11</v>
      </c>
      <c r="AM64" s="100">
        <v>11101.199999999997</v>
      </c>
      <c r="AN64" s="100">
        <v>11</v>
      </c>
      <c r="AO64" s="100">
        <v>11101.199999999997</v>
      </c>
      <c r="AP64" s="100">
        <v>13</v>
      </c>
      <c r="AQ64" s="100">
        <v>13119.599999999999</v>
      </c>
      <c r="AR64" s="100">
        <v>12</v>
      </c>
      <c r="AS64" s="100">
        <v>12110.399999999998</v>
      </c>
      <c r="AT64" s="100">
        <v>14</v>
      </c>
      <c r="AU64" s="100">
        <v>14128.799999999997</v>
      </c>
      <c r="AV64" s="100">
        <v>10</v>
      </c>
      <c r="AW64" s="100">
        <v>10091.999999999998</v>
      </c>
      <c r="AX64" s="100">
        <v>11</v>
      </c>
      <c r="AY64" s="100">
        <v>11101.199999999997</v>
      </c>
      <c r="AZ64" s="100">
        <v>9</v>
      </c>
      <c r="BA64" s="100">
        <v>9082.7999999999993</v>
      </c>
      <c r="BB64" s="100">
        <v>13</v>
      </c>
      <c r="BC64" s="100">
        <v>13119.599999999999</v>
      </c>
      <c r="BD64" s="100">
        <v>16</v>
      </c>
      <c r="BE64" s="100">
        <v>16147.199999999997</v>
      </c>
      <c r="BF64" s="100">
        <v>9</v>
      </c>
      <c r="BG64" s="100">
        <v>9082.7999999999993</v>
      </c>
      <c r="BH64" s="100">
        <v>16</v>
      </c>
      <c r="BI64" s="100">
        <v>16147.199999999997</v>
      </c>
      <c r="BJ64" s="100">
        <v>11</v>
      </c>
      <c r="BK64" s="100">
        <v>11101.199999999997</v>
      </c>
      <c r="BL64" s="100">
        <v>9</v>
      </c>
      <c r="BM64" s="100">
        <v>9082.7999999999993</v>
      </c>
      <c r="BN64" s="100">
        <v>11</v>
      </c>
      <c r="BO64" s="100">
        <v>11101.199999999997</v>
      </c>
      <c r="BP64" s="100">
        <v>14</v>
      </c>
      <c r="BQ64" s="100">
        <v>14128.799999999997</v>
      </c>
      <c r="BR64" s="100">
        <v>16</v>
      </c>
      <c r="BS64" s="100">
        <v>16147.199999999997</v>
      </c>
      <c r="BT64" s="100">
        <v>11</v>
      </c>
      <c r="BU64" s="100">
        <v>11101.199999999997</v>
      </c>
      <c r="BV64" s="100">
        <v>15</v>
      </c>
      <c r="BW64" s="100">
        <v>15137.999999999996</v>
      </c>
      <c r="BX64" s="100">
        <v>9</v>
      </c>
      <c r="BY64" s="100">
        <v>9082.7999999999993</v>
      </c>
      <c r="BZ64" s="100">
        <v>8</v>
      </c>
      <c r="CA64" s="100">
        <v>8073.5999999999985</v>
      </c>
      <c r="CB64" s="100">
        <v>12</v>
      </c>
      <c r="CC64" s="100">
        <v>12110.399999999998</v>
      </c>
      <c r="CD64" s="100">
        <v>10</v>
      </c>
      <c r="CE64" s="100">
        <v>10091.999999999998</v>
      </c>
      <c r="CF64" s="100">
        <v>8</v>
      </c>
      <c r="CG64" s="100">
        <v>8073.5999999999985</v>
      </c>
      <c r="CH64" s="100">
        <v>9</v>
      </c>
      <c r="CI64" s="100">
        <v>9082.7999999999993</v>
      </c>
      <c r="CJ64" s="100">
        <v>15</v>
      </c>
      <c r="CK64" s="100">
        <v>15137.999999999996</v>
      </c>
      <c r="CL64" s="100">
        <v>15</v>
      </c>
      <c r="CM64" s="100">
        <v>15137.999999999996</v>
      </c>
      <c r="CN64" s="100">
        <v>15</v>
      </c>
      <c r="CO64" s="100">
        <v>15137.999999999996</v>
      </c>
      <c r="CP64" s="100">
        <v>16</v>
      </c>
      <c r="CQ64" s="100">
        <v>16147.199999999997</v>
      </c>
      <c r="CR64" s="100">
        <v>10</v>
      </c>
      <c r="CS64" s="100">
        <v>10091.999999999998</v>
      </c>
      <c r="CT64" s="100">
        <v>13</v>
      </c>
      <c r="CU64" s="100">
        <v>13119.599999999999</v>
      </c>
    </row>
    <row r="65" spans="2:99">
      <c r="C65" s="99" t="s">
        <v>231</v>
      </c>
      <c r="D65" s="100">
        <v>8</v>
      </c>
      <c r="E65" s="100">
        <v>8208</v>
      </c>
      <c r="F65" s="100">
        <v>11</v>
      </c>
      <c r="G65" s="100">
        <v>11286</v>
      </c>
      <c r="H65" s="100">
        <v>14</v>
      </c>
      <c r="I65" s="100">
        <v>14364</v>
      </c>
      <c r="J65" s="100">
        <v>9</v>
      </c>
      <c r="K65" s="100">
        <v>9234</v>
      </c>
      <c r="L65" s="100">
        <v>15</v>
      </c>
      <c r="M65" s="100">
        <v>15390</v>
      </c>
      <c r="N65" s="100">
        <v>18</v>
      </c>
      <c r="O65" s="100">
        <v>18468</v>
      </c>
      <c r="P65" s="100">
        <v>11</v>
      </c>
      <c r="Q65" s="100">
        <v>11286</v>
      </c>
      <c r="R65" s="100">
        <v>12.966109237678303</v>
      </c>
      <c r="S65" s="100">
        <v>13303.228077857939</v>
      </c>
      <c r="T65" s="100">
        <v>12.563918208449779</v>
      </c>
      <c r="U65" s="100">
        <v>12890.580081869473</v>
      </c>
      <c r="V65" s="100">
        <v>14.510079916593138</v>
      </c>
      <c r="W65" s="100">
        <v>14887.34199442456</v>
      </c>
      <c r="X65" s="100">
        <v>10</v>
      </c>
      <c r="Y65" s="100">
        <v>10260</v>
      </c>
      <c r="Z65" s="100">
        <v>12</v>
      </c>
      <c r="AA65" s="100">
        <v>12312</v>
      </c>
      <c r="AB65" s="100">
        <v>15.095305960112107</v>
      </c>
      <c r="AC65" s="100">
        <v>15487.783915075022</v>
      </c>
      <c r="AD65" s="100">
        <v>10</v>
      </c>
      <c r="AE65" s="100">
        <v>10260</v>
      </c>
      <c r="AF65" s="100">
        <v>10</v>
      </c>
      <c r="AG65" s="100">
        <v>10260</v>
      </c>
      <c r="AH65" s="100">
        <v>14</v>
      </c>
      <c r="AI65" s="100">
        <v>14364</v>
      </c>
      <c r="AJ65" s="100">
        <v>12</v>
      </c>
      <c r="AK65" s="100">
        <v>12312</v>
      </c>
      <c r="AL65" s="100">
        <v>10</v>
      </c>
      <c r="AM65" s="100">
        <v>10260</v>
      </c>
      <c r="AN65" s="100">
        <v>10</v>
      </c>
      <c r="AO65" s="100">
        <v>10260</v>
      </c>
      <c r="AP65" s="100">
        <v>12</v>
      </c>
      <c r="AQ65" s="100">
        <v>12312</v>
      </c>
      <c r="AR65" s="100">
        <v>13</v>
      </c>
      <c r="AS65" s="100">
        <v>13338</v>
      </c>
      <c r="AT65" s="100">
        <v>14</v>
      </c>
      <c r="AU65" s="100">
        <v>14364</v>
      </c>
      <c r="AV65" s="100">
        <v>11</v>
      </c>
      <c r="AW65" s="100">
        <v>11286</v>
      </c>
      <c r="AX65" s="100">
        <v>12</v>
      </c>
      <c r="AY65" s="100">
        <v>12312</v>
      </c>
      <c r="AZ65" s="100">
        <v>9</v>
      </c>
      <c r="BA65" s="100">
        <v>9234</v>
      </c>
      <c r="BB65" s="100">
        <v>12</v>
      </c>
      <c r="BC65" s="100">
        <v>12312</v>
      </c>
      <c r="BD65" s="100">
        <v>15</v>
      </c>
      <c r="BE65" s="100">
        <v>15390</v>
      </c>
      <c r="BF65" s="100">
        <v>10</v>
      </c>
      <c r="BG65" s="100">
        <v>10260</v>
      </c>
      <c r="BH65" s="100">
        <v>14</v>
      </c>
      <c r="BI65" s="100">
        <v>14364</v>
      </c>
      <c r="BJ65" s="100">
        <v>11</v>
      </c>
      <c r="BK65" s="100">
        <v>11286</v>
      </c>
      <c r="BL65" s="100">
        <v>8</v>
      </c>
      <c r="BM65" s="100">
        <v>8208</v>
      </c>
      <c r="BN65" s="100">
        <v>12</v>
      </c>
      <c r="BO65" s="100">
        <v>12312</v>
      </c>
      <c r="BP65" s="100">
        <v>14</v>
      </c>
      <c r="BQ65" s="100">
        <v>14364</v>
      </c>
      <c r="BR65" s="100">
        <v>16</v>
      </c>
      <c r="BS65" s="100">
        <v>16416</v>
      </c>
      <c r="BT65" s="100">
        <v>10</v>
      </c>
      <c r="BU65" s="100">
        <v>10260</v>
      </c>
      <c r="BV65" s="100">
        <v>17</v>
      </c>
      <c r="BW65" s="100">
        <v>17442</v>
      </c>
      <c r="BX65" s="100">
        <v>8</v>
      </c>
      <c r="BY65" s="100">
        <v>8208</v>
      </c>
      <c r="BZ65" s="100">
        <v>8</v>
      </c>
      <c r="CA65" s="100">
        <v>8208</v>
      </c>
      <c r="CB65" s="100">
        <v>13</v>
      </c>
      <c r="CC65" s="100">
        <v>13338</v>
      </c>
      <c r="CD65" s="100">
        <v>9</v>
      </c>
      <c r="CE65" s="100">
        <v>9234</v>
      </c>
      <c r="CF65" s="100">
        <v>8</v>
      </c>
      <c r="CG65" s="100">
        <v>8208</v>
      </c>
      <c r="CH65" s="100">
        <v>8</v>
      </c>
      <c r="CI65" s="100">
        <v>8208</v>
      </c>
      <c r="CJ65" s="100">
        <v>15</v>
      </c>
      <c r="CK65" s="100">
        <v>15390</v>
      </c>
      <c r="CL65" s="100">
        <v>15</v>
      </c>
      <c r="CM65" s="100">
        <v>15390</v>
      </c>
      <c r="CN65" s="100">
        <v>14</v>
      </c>
      <c r="CO65" s="100">
        <v>14364</v>
      </c>
      <c r="CP65" s="100">
        <v>17</v>
      </c>
      <c r="CQ65" s="100">
        <v>17442</v>
      </c>
      <c r="CR65" s="100">
        <v>11</v>
      </c>
      <c r="CS65" s="100">
        <v>11286</v>
      </c>
      <c r="CT65" s="100">
        <v>12</v>
      </c>
      <c r="CU65" s="100">
        <v>12312</v>
      </c>
    </row>
    <row r="66" spans="2:99">
      <c r="C66" s="99" t="s">
        <v>232</v>
      </c>
      <c r="D66" s="100">
        <v>9</v>
      </c>
      <c r="E66" s="100">
        <v>10713.599999999999</v>
      </c>
      <c r="F66" s="100">
        <v>11</v>
      </c>
      <c r="G66" s="100">
        <v>13094.399999999998</v>
      </c>
      <c r="H66" s="100">
        <v>13</v>
      </c>
      <c r="I66" s="100">
        <v>15475.199999999999</v>
      </c>
      <c r="J66" s="100">
        <v>9</v>
      </c>
      <c r="K66" s="100">
        <v>10713.599999999999</v>
      </c>
      <c r="L66" s="100">
        <v>15</v>
      </c>
      <c r="M66" s="100">
        <v>17855.999999999996</v>
      </c>
      <c r="N66" s="100">
        <v>18</v>
      </c>
      <c r="O66" s="100">
        <v>21427.199999999997</v>
      </c>
      <c r="P66" s="100">
        <v>11</v>
      </c>
      <c r="Q66" s="100">
        <v>13094.399999999998</v>
      </c>
      <c r="R66" s="100">
        <v>13.96350225596125</v>
      </c>
      <c r="S66" s="100">
        <v>16622.153085496269</v>
      </c>
      <c r="T66" s="100">
        <v>10.63100771484212</v>
      </c>
      <c r="U66" s="100">
        <v>12655.151583748058</v>
      </c>
      <c r="V66" s="100">
        <v>12.575402594380721</v>
      </c>
      <c r="W66" s="100">
        <v>14969.759248350809</v>
      </c>
      <c r="X66" s="100">
        <v>10</v>
      </c>
      <c r="Y66" s="100">
        <v>11903.999999999998</v>
      </c>
      <c r="Z66" s="100">
        <v>11</v>
      </c>
      <c r="AA66" s="100">
        <v>13094.399999999998</v>
      </c>
      <c r="AB66" s="100">
        <v>12.264936092591087</v>
      </c>
      <c r="AC66" s="100">
        <v>14600.179924620428</v>
      </c>
      <c r="AD66" s="100">
        <v>10</v>
      </c>
      <c r="AE66" s="100">
        <v>11903.999999999998</v>
      </c>
      <c r="AF66" s="100">
        <v>9</v>
      </c>
      <c r="AG66" s="100">
        <v>10713.599999999999</v>
      </c>
      <c r="AH66" s="100">
        <v>14</v>
      </c>
      <c r="AI66" s="100">
        <v>16665.599999999999</v>
      </c>
      <c r="AJ66" s="100">
        <v>13</v>
      </c>
      <c r="AK66" s="100">
        <v>15475.199999999999</v>
      </c>
      <c r="AL66" s="100">
        <v>10</v>
      </c>
      <c r="AM66" s="100">
        <v>11903.999999999998</v>
      </c>
      <c r="AN66" s="100">
        <v>12</v>
      </c>
      <c r="AO66" s="100">
        <v>14284.8</v>
      </c>
      <c r="AP66" s="100">
        <v>14</v>
      </c>
      <c r="AQ66" s="100">
        <v>16665.599999999999</v>
      </c>
      <c r="AR66" s="100">
        <v>12</v>
      </c>
      <c r="AS66" s="100">
        <v>14284.8</v>
      </c>
      <c r="AT66" s="100">
        <v>14</v>
      </c>
      <c r="AU66" s="100">
        <v>16665.599999999999</v>
      </c>
      <c r="AV66" s="100">
        <v>10</v>
      </c>
      <c r="AW66" s="100">
        <v>11903.999999999998</v>
      </c>
      <c r="AX66" s="100">
        <v>13</v>
      </c>
      <c r="AY66" s="100">
        <v>15475.199999999999</v>
      </c>
      <c r="AZ66" s="100">
        <v>10</v>
      </c>
      <c r="BA66" s="100">
        <v>11903.999999999998</v>
      </c>
      <c r="BB66" s="100">
        <v>12</v>
      </c>
      <c r="BC66" s="100">
        <v>14284.8</v>
      </c>
      <c r="BD66" s="100">
        <v>16</v>
      </c>
      <c r="BE66" s="100">
        <v>19046.399999999998</v>
      </c>
      <c r="BF66" s="100">
        <v>9</v>
      </c>
      <c r="BG66" s="100">
        <v>10713.599999999999</v>
      </c>
      <c r="BH66" s="100">
        <v>14</v>
      </c>
      <c r="BI66" s="100">
        <v>16665.599999999999</v>
      </c>
      <c r="BJ66" s="100">
        <v>10</v>
      </c>
      <c r="BK66" s="100">
        <v>11903.999999999998</v>
      </c>
      <c r="BL66" s="100">
        <v>9</v>
      </c>
      <c r="BM66" s="100">
        <v>10713.599999999999</v>
      </c>
      <c r="BN66" s="100">
        <v>11</v>
      </c>
      <c r="BO66" s="100">
        <v>13094.399999999998</v>
      </c>
      <c r="BP66" s="100">
        <v>13</v>
      </c>
      <c r="BQ66" s="100">
        <v>15475.199999999999</v>
      </c>
      <c r="BR66" s="100">
        <v>17</v>
      </c>
      <c r="BS66" s="100">
        <v>20236.8</v>
      </c>
      <c r="BT66" s="100">
        <v>10</v>
      </c>
      <c r="BU66" s="100">
        <v>11903.999999999998</v>
      </c>
      <c r="BV66" s="100">
        <v>15</v>
      </c>
      <c r="BW66" s="100">
        <v>17855.999999999996</v>
      </c>
      <c r="BX66" s="100">
        <v>9</v>
      </c>
      <c r="BY66" s="100">
        <v>10713.599999999999</v>
      </c>
      <c r="BZ66" s="100">
        <v>8</v>
      </c>
      <c r="CA66" s="100">
        <v>9523.1999999999989</v>
      </c>
      <c r="CB66" s="100">
        <v>13</v>
      </c>
      <c r="CC66" s="100">
        <v>15475.199999999999</v>
      </c>
      <c r="CD66" s="100">
        <v>10</v>
      </c>
      <c r="CE66" s="100">
        <v>11903.999999999998</v>
      </c>
      <c r="CF66" s="100">
        <v>8</v>
      </c>
      <c r="CG66" s="100">
        <v>9523.1999999999989</v>
      </c>
      <c r="CH66" s="100">
        <v>9</v>
      </c>
      <c r="CI66" s="100">
        <v>10713.599999999999</v>
      </c>
      <c r="CJ66" s="100">
        <v>16</v>
      </c>
      <c r="CK66" s="100">
        <v>19046.399999999998</v>
      </c>
      <c r="CL66" s="100">
        <v>13</v>
      </c>
      <c r="CM66" s="100">
        <v>15475.199999999999</v>
      </c>
      <c r="CN66" s="100">
        <v>16</v>
      </c>
      <c r="CO66" s="100">
        <v>19046.399999999998</v>
      </c>
      <c r="CP66" s="100">
        <v>16</v>
      </c>
      <c r="CQ66" s="100">
        <v>19046.399999999998</v>
      </c>
      <c r="CR66" s="100">
        <v>10</v>
      </c>
      <c r="CS66" s="100">
        <v>11903.999999999998</v>
      </c>
      <c r="CT66" s="100">
        <v>13</v>
      </c>
      <c r="CU66" s="100">
        <v>15475.199999999999</v>
      </c>
    </row>
    <row r="67" spans="2:99">
      <c r="C67" s="99" t="s">
        <v>233</v>
      </c>
      <c r="D67" s="100">
        <v>9</v>
      </c>
      <c r="E67" s="100">
        <v>10108.800000000001</v>
      </c>
      <c r="F67" s="100">
        <v>11</v>
      </c>
      <c r="G67" s="100">
        <v>12355.2</v>
      </c>
      <c r="H67" s="100">
        <v>14</v>
      </c>
      <c r="I67" s="100">
        <v>15724.800000000001</v>
      </c>
      <c r="J67" s="100">
        <v>9</v>
      </c>
      <c r="K67" s="100">
        <v>10108.800000000001</v>
      </c>
      <c r="L67" s="100">
        <v>16</v>
      </c>
      <c r="M67" s="100">
        <v>17971.2</v>
      </c>
      <c r="N67" s="100">
        <v>18</v>
      </c>
      <c r="O67" s="100">
        <v>20217.600000000002</v>
      </c>
      <c r="P67" s="100">
        <v>10</v>
      </c>
      <c r="Q67" s="100">
        <v>11232</v>
      </c>
      <c r="R67" s="100">
        <v>12.966109237678303</v>
      </c>
      <c r="S67" s="100">
        <v>14563.533895760271</v>
      </c>
      <c r="T67" s="100">
        <v>12.563918208449779</v>
      </c>
      <c r="U67" s="100">
        <v>14111.792931730793</v>
      </c>
      <c r="V67" s="100">
        <v>12.575402594380721</v>
      </c>
      <c r="W67" s="100">
        <v>14124.692194008427</v>
      </c>
      <c r="X67" s="100">
        <v>11</v>
      </c>
      <c r="Y67" s="100">
        <v>12355.2</v>
      </c>
      <c r="Z67" s="100">
        <v>12</v>
      </c>
      <c r="AA67" s="100">
        <v>13478.400000000001</v>
      </c>
      <c r="AB67" s="100">
        <v>14.151849337605102</v>
      </c>
      <c r="AC67" s="100">
        <v>15895.357175998051</v>
      </c>
      <c r="AD67" s="100">
        <v>9</v>
      </c>
      <c r="AE67" s="100">
        <v>10108.800000000001</v>
      </c>
      <c r="AF67" s="100">
        <v>11</v>
      </c>
      <c r="AG67" s="100">
        <v>12355.2</v>
      </c>
      <c r="AH67" s="100">
        <v>14</v>
      </c>
      <c r="AI67" s="100">
        <v>15724.800000000001</v>
      </c>
      <c r="AJ67" s="100">
        <v>13</v>
      </c>
      <c r="AK67" s="100">
        <v>14601.6</v>
      </c>
      <c r="AL67" s="100">
        <v>10</v>
      </c>
      <c r="AM67" s="100">
        <v>11232</v>
      </c>
      <c r="AN67" s="100">
        <v>12</v>
      </c>
      <c r="AO67" s="100">
        <v>13478.400000000001</v>
      </c>
      <c r="AP67" s="100">
        <v>14</v>
      </c>
      <c r="AQ67" s="100">
        <v>15724.800000000001</v>
      </c>
      <c r="AR67" s="100">
        <v>13</v>
      </c>
      <c r="AS67" s="100">
        <v>14601.6</v>
      </c>
      <c r="AT67" s="100">
        <v>13</v>
      </c>
      <c r="AU67" s="100">
        <v>14601.6</v>
      </c>
      <c r="AV67" s="100">
        <v>11</v>
      </c>
      <c r="AW67" s="100">
        <v>12355.2</v>
      </c>
      <c r="AX67" s="100">
        <v>13</v>
      </c>
      <c r="AY67" s="100">
        <v>14601.6</v>
      </c>
      <c r="AZ67" s="100">
        <v>9</v>
      </c>
      <c r="BA67" s="100">
        <v>10108.800000000001</v>
      </c>
      <c r="BB67" s="100">
        <v>11</v>
      </c>
      <c r="BC67" s="100">
        <v>12355.2</v>
      </c>
      <c r="BD67" s="100">
        <v>16</v>
      </c>
      <c r="BE67" s="100">
        <v>17971.2</v>
      </c>
      <c r="BF67" s="100">
        <v>8</v>
      </c>
      <c r="BG67" s="100">
        <v>8985.6</v>
      </c>
      <c r="BH67" s="100">
        <v>14</v>
      </c>
      <c r="BI67" s="100">
        <v>15724.800000000001</v>
      </c>
      <c r="BJ67" s="100">
        <v>11</v>
      </c>
      <c r="BK67" s="100">
        <v>12355.2</v>
      </c>
      <c r="BL67" s="100">
        <v>9</v>
      </c>
      <c r="BM67" s="100">
        <v>10108.800000000001</v>
      </c>
      <c r="BN67" s="100">
        <v>11</v>
      </c>
      <c r="BO67" s="100">
        <v>12355.2</v>
      </c>
      <c r="BP67" s="100">
        <v>13</v>
      </c>
      <c r="BQ67" s="100">
        <v>14601.6</v>
      </c>
      <c r="BR67" s="100">
        <v>17</v>
      </c>
      <c r="BS67" s="100">
        <v>19094.400000000001</v>
      </c>
      <c r="BT67" s="100">
        <v>11</v>
      </c>
      <c r="BU67" s="100">
        <v>12355.2</v>
      </c>
      <c r="BV67" s="100">
        <v>15</v>
      </c>
      <c r="BW67" s="100">
        <v>16848</v>
      </c>
      <c r="BX67" s="100">
        <v>9</v>
      </c>
      <c r="BY67" s="100">
        <v>10108.800000000001</v>
      </c>
      <c r="BZ67" s="100">
        <v>9</v>
      </c>
      <c r="CA67" s="100">
        <v>10108.800000000001</v>
      </c>
      <c r="CB67" s="100">
        <v>13</v>
      </c>
      <c r="CC67" s="100">
        <v>14601.6</v>
      </c>
      <c r="CD67" s="100">
        <v>10</v>
      </c>
      <c r="CE67" s="100">
        <v>11232</v>
      </c>
      <c r="CF67" s="100">
        <v>9</v>
      </c>
      <c r="CG67" s="100">
        <v>10108.800000000001</v>
      </c>
      <c r="CH67" s="100">
        <v>8</v>
      </c>
      <c r="CI67" s="100">
        <v>8985.6</v>
      </c>
      <c r="CJ67" s="100">
        <v>15</v>
      </c>
      <c r="CK67" s="100">
        <v>16848</v>
      </c>
      <c r="CL67" s="100">
        <v>16</v>
      </c>
      <c r="CM67" s="100">
        <v>17971.2</v>
      </c>
      <c r="CN67" s="100">
        <v>16</v>
      </c>
      <c r="CO67" s="100">
        <v>17971.2</v>
      </c>
      <c r="CP67" s="100">
        <v>15</v>
      </c>
      <c r="CQ67" s="100">
        <v>16848</v>
      </c>
      <c r="CR67" s="100">
        <v>9</v>
      </c>
      <c r="CS67" s="100">
        <v>10108.800000000001</v>
      </c>
      <c r="CT67" s="100">
        <v>14</v>
      </c>
      <c r="CU67" s="100">
        <v>15724.800000000001</v>
      </c>
    </row>
    <row r="68" spans="2:99">
      <c r="C68" s="99" t="s">
        <v>234</v>
      </c>
      <c r="D68" s="100">
        <v>9</v>
      </c>
      <c r="E68" s="100">
        <v>9298.8000000000011</v>
      </c>
      <c r="F68" s="100">
        <v>11</v>
      </c>
      <c r="G68" s="100">
        <v>11365.2</v>
      </c>
      <c r="H68" s="100">
        <v>13</v>
      </c>
      <c r="I68" s="100">
        <v>13431.6</v>
      </c>
      <c r="J68" s="100">
        <v>9</v>
      </c>
      <c r="K68" s="100">
        <v>9298.8000000000011</v>
      </c>
      <c r="L68" s="100">
        <v>16</v>
      </c>
      <c r="M68" s="100">
        <v>16531.2</v>
      </c>
      <c r="N68" s="100">
        <v>15</v>
      </c>
      <c r="O68" s="100">
        <v>15498</v>
      </c>
      <c r="P68" s="100">
        <v>11</v>
      </c>
      <c r="Q68" s="100">
        <v>11365.2</v>
      </c>
      <c r="R68" s="100">
        <v>15.958288292527143</v>
      </c>
      <c r="S68" s="100">
        <v>16488.103463839045</v>
      </c>
      <c r="T68" s="100">
        <v>12.563918208449779</v>
      </c>
      <c r="U68" s="100">
        <v>12981.040292970312</v>
      </c>
      <c r="V68" s="100">
        <v>14.510079916593138</v>
      </c>
      <c r="W68" s="100">
        <v>14991.814569824031</v>
      </c>
      <c r="X68" s="100">
        <v>12</v>
      </c>
      <c r="Y68" s="100">
        <v>12398.400000000001</v>
      </c>
      <c r="Z68" s="100">
        <v>11</v>
      </c>
      <c r="AA68" s="100">
        <v>11365.2</v>
      </c>
      <c r="AB68" s="100">
        <v>13.208392715098094</v>
      </c>
      <c r="AC68" s="100">
        <v>13646.911353239351</v>
      </c>
      <c r="AD68" s="100">
        <v>10</v>
      </c>
      <c r="AE68" s="100">
        <v>10332</v>
      </c>
      <c r="AF68" s="100">
        <v>10</v>
      </c>
      <c r="AG68" s="100">
        <v>10332</v>
      </c>
      <c r="AH68" s="100">
        <v>14</v>
      </c>
      <c r="AI68" s="100">
        <v>14464.800000000001</v>
      </c>
      <c r="AJ68" s="100">
        <v>13</v>
      </c>
      <c r="AK68" s="100">
        <v>13431.6</v>
      </c>
      <c r="AL68" s="100">
        <v>11</v>
      </c>
      <c r="AM68" s="100">
        <v>11365.2</v>
      </c>
      <c r="AN68" s="100">
        <v>12</v>
      </c>
      <c r="AO68" s="100">
        <v>12398.400000000001</v>
      </c>
      <c r="AP68" s="100">
        <v>15</v>
      </c>
      <c r="AQ68" s="100">
        <v>15498</v>
      </c>
      <c r="AR68" s="100">
        <v>11</v>
      </c>
      <c r="AS68" s="100">
        <v>11365.2</v>
      </c>
      <c r="AT68" s="100">
        <v>14</v>
      </c>
      <c r="AU68" s="100">
        <v>14464.800000000001</v>
      </c>
      <c r="AV68" s="100">
        <v>11</v>
      </c>
      <c r="AW68" s="100">
        <v>11365.2</v>
      </c>
      <c r="AX68" s="100">
        <v>11</v>
      </c>
      <c r="AY68" s="100">
        <v>11365.2</v>
      </c>
      <c r="AZ68" s="100">
        <v>10</v>
      </c>
      <c r="BA68" s="100">
        <v>10332</v>
      </c>
      <c r="BB68" s="100">
        <v>14</v>
      </c>
      <c r="BC68" s="100">
        <v>14464.800000000001</v>
      </c>
      <c r="BD68" s="100">
        <v>17</v>
      </c>
      <c r="BE68" s="100">
        <v>17564.400000000001</v>
      </c>
      <c r="BF68" s="100">
        <v>9</v>
      </c>
      <c r="BG68" s="100">
        <v>9298.8000000000011</v>
      </c>
      <c r="BH68" s="100">
        <v>14</v>
      </c>
      <c r="BI68" s="100">
        <v>14464.800000000001</v>
      </c>
      <c r="BJ68" s="100">
        <v>12</v>
      </c>
      <c r="BK68" s="100">
        <v>12398.400000000001</v>
      </c>
      <c r="BL68" s="100">
        <v>9</v>
      </c>
      <c r="BM68" s="100">
        <v>9298.8000000000011</v>
      </c>
      <c r="BN68" s="100">
        <v>11</v>
      </c>
      <c r="BO68" s="100">
        <v>11365.2</v>
      </c>
      <c r="BP68" s="100">
        <v>14</v>
      </c>
      <c r="BQ68" s="100">
        <v>14464.800000000001</v>
      </c>
      <c r="BR68" s="100">
        <v>15</v>
      </c>
      <c r="BS68" s="100">
        <v>15498</v>
      </c>
      <c r="BT68" s="100">
        <v>11</v>
      </c>
      <c r="BU68" s="100">
        <v>11365.2</v>
      </c>
      <c r="BV68" s="100">
        <v>16</v>
      </c>
      <c r="BW68" s="100">
        <v>16531.2</v>
      </c>
      <c r="BX68" s="100">
        <v>8</v>
      </c>
      <c r="BY68" s="100">
        <v>8265.6</v>
      </c>
      <c r="BZ68" s="100">
        <v>9</v>
      </c>
      <c r="CA68" s="100">
        <v>9298.8000000000011</v>
      </c>
      <c r="CB68" s="100">
        <v>11</v>
      </c>
      <c r="CC68" s="100">
        <v>11365.2</v>
      </c>
      <c r="CD68" s="100">
        <v>9</v>
      </c>
      <c r="CE68" s="100">
        <v>9298.8000000000011</v>
      </c>
      <c r="CF68" s="100">
        <v>8</v>
      </c>
      <c r="CG68" s="100">
        <v>8265.6</v>
      </c>
      <c r="CH68" s="100">
        <v>9</v>
      </c>
      <c r="CI68" s="100">
        <v>9298.8000000000011</v>
      </c>
      <c r="CJ68" s="100">
        <v>16</v>
      </c>
      <c r="CK68" s="100">
        <v>16531.2</v>
      </c>
      <c r="CL68" s="100">
        <v>17</v>
      </c>
      <c r="CM68" s="100">
        <v>17564.400000000001</v>
      </c>
      <c r="CN68" s="100">
        <v>15</v>
      </c>
      <c r="CO68" s="100">
        <v>15498</v>
      </c>
      <c r="CP68" s="100">
        <v>16</v>
      </c>
      <c r="CQ68" s="100">
        <v>16531.2</v>
      </c>
      <c r="CR68" s="100">
        <v>9</v>
      </c>
      <c r="CS68" s="100">
        <v>9298.8000000000011</v>
      </c>
      <c r="CT68" s="100">
        <v>14</v>
      </c>
      <c r="CU68" s="100">
        <v>14464.800000000001</v>
      </c>
    </row>
    <row r="69" spans="2:99">
      <c r="C69" s="99" t="s">
        <v>235</v>
      </c>
      <c r="D69" s="100">
        <v>9</v>
      </c>
      <c r="E69" s="100">
        <v>6825.5999999999995</v>
      </c>
      <c r="F69" s="100">
        <v>11</v>
      </c>
      <c r="G69" s="100">
        <v>8342.4</v>
      </c>
      <c r="H69" s="100">
        <v>14</v>
      </c>
      <c r="I69" s="100">
        <v>10617.6</v>
      </c>
      <c r="J69" s="100">
        <v>10</v>
      </c>
      <c r="K69" s="100">
        <v>7584</v>
      </c>
      <c r="L69" s="100">
        <v>15</v>
      </c>
      <c r="M69" s="100">
        <v>11376</v>
      </c>
      <c r="N69" s="100">
        <v>16</v>
      </c>
      <c r="O69" s="100">
        <v>12134.4</v>
      </c>
      <c r="P69" s="100">
        <v>11</v>
      </c>
      <c r="Q69" s="100">
        <v>8342.4</v>
      </c>
      <c r="R69" s="100">
        <v>15.958288292527143</v>
      </c>
      <c r="S69" s="100">
        <v>12102.765841052586</v>
      </c>
      <c r="T69" s="100">
        <v>10.63100771484212</v>
      </c>
      <c r="U69" s="100">
        <v>8062.5562509362635</v>
      </c>
      <c r="V69" s="100">
        <v>15.477418577699348</v>
      </c>
      <c r="W69" s="100">
        <v>11738.074249327185</v>
      </c>
      <c r="X69" s="100">
        <v>11</v>
      </c>
      <c r="Y69" s="100">
        <v>8342.4</v>
      </c>
      <c r="Z69" s="100">
        <v>12</v>
      </c>
      <c r="AA69" s="100">
        <v>9100.7999999999993</v>
      </c>
      <c r="AB69" s="100">
        <v>14.151849337605102</v>
      </c>
      <c r="AC69" s="100">
        <v>10732.762537639708</v>
      </c>
      <c r="AD69" s="100">
        <v>9</v>
      </c>
      <c r="AE69" s="100">
        <v>6825.5999999999995</v>
      </c>
      <c r="AF69" s="100">
        <v>11</v>
      </c>
      <c r="AG69" s="100">
        <v>8342.4</v>
      </c>
      <c r="AH69" s="100">
        <v>13</v>
      </c>
      <c r="AI69" s="100">
        <v>9859.1999999999989</v>
      </c>
      <c r="AJ69" s="100">
        <v>14</v>
      </c>
      <c r="AK69" s="100">
        <v>10617.6</v>
      </c>
      <c r="AL69" s="100">
        <v>12</v>
      </c>
      <c r="AM69" s="100">
        <v>9100.7999999999993</v>
      </c>
      <c r="AN69" s="100">
        <v>12</v>
      </c>
      <c r="AO69" s="100">
        <v>9100.7999999999993</v>
      </c>
      <c r="AP69" s="100">
        <v>15</v>
      </c>
      <c r="AQ69" s="100">
        <v>11376</v>
      </c>
      <c r="AR69" s="100">
        <v>14</v>
      </c>
      <c r="AS69" s="100">
        <v>10617.6</v>
      </c>
      <c r="AT69" s="100">
        <v>14</v>
      </c>
      <c r="AU69" s="100">
        <v>10617.6</v>
      </c>
      <c r="AV69" s="100">
        <v>10</v>
      </c>
      <c r="AW69" s="100">
        <v>7584</v>
      </c>
      <c r="AX69" s="100">
        <v>11</v>
      </c>
      <c r="AY69" s="100">
        <v>8342.4</v>
      </c>
      <c r="AZ69" s="100">
        <v>11</v>
      </c>
      <c r="BA69" s="100">
        <v>8342.4</v>
      </c>
      <c r="BB69" s="100">
        <v>13</v>
      </c>
      <c r="BC69" s="100">
        <v>9859.1999999999989</v>
      </c>
      <c r="BD69" s="100">
        <v>18</v>
      </c>
      <c r="BE69" s="100">
        <v>13651.199999999999</v>
      </c>
      <c r="BF69" s="100">
        <v>10</v>
      </c>
      <c r="BG69" s="100">
        <v>7584</v>
      </c>
      <c r="BH69" s="100">
        <v>16</v>
      </c>
      <c r="BI69" s="100">
        <v>12134.4</v>
      </c>
      <c r="BJ69" s="100">
        <v>12</v>
      </c>
      <c r="BK69" s="100">
        <v>9100.7999999999993</v>
      </c>
      <c r="BL69" s="100">
        <v>10</v>
      </c>
      <c r="BM69" s="100">
        <v>7584</v>
      </c>
      <c r="BN69" s="100">
        <v>11</v>
      </c>
      <c r="BO69" s="100">
        <v>8342.4</v>
      </c>
      <c r="BP69" s="100">
        <v>14</v>
      </c>
      <c r="BQ69" s="100">
        <v>10617.6</v>
      </c>
      <c r="BR69" s="100">
        <v>16</v>
      </c>
      <c r="BS69" s="100">
        <v>12134.4</v>
      </c>
      <c r="BT69" s="100">
        <v>12</v>
      </c>
      <c r="BU69" s="100">
        <v>9100.7999999999993</v>
      </c>
      <c r="BV69" s="100">
        <v>18</v>
      </c>
      <c r="BW69" s="100">
        <v>13651.199999999999</v>
      </c>
      <c r="BX69" s="100">
        <v>9</v>
      </c>
      <c r="BY69" s="100">
        <v>6825.5999999999995</v>
      </c>
      <c r="BZ69" s="100">
        <v>9</v>
      </c>
      <c r="CA69" s="100">
        <v>6825.5999999999995</v>
      </c>
      <c r="CB69" s="100">
        <v>14</v>
      </c>
      <c r="CC69" s="100">
        <v>10617.6</v>
      </c>
      <c r="CD69" s="100">
        <v>11</v>
      </c>
      <c r="CE69" s="100">
        <v>8342.4</v>
      </c>
      <c r="CF69" s="100">
        <v>9</v>
      </c>
      <c r="CG69" s="100">
        <v>6825.5999999999995</v>
      </c>
      <c r="CH69" s="100">
        <v>8</v>
      </c>
      <c r="CI69" s="100">
        <v>6067.2</v>
      </c>
      <c r="CJ69" s="100">
        <v>17</v>
      </c>
      <c r="CK69" s="100">
        <v>12892.8</v>
      </c>
      <c r="CL69" s="100">
        <v>16</v>
      </c>
      <c r="CM69" s="100">
        <v>12134.4</v>
      </c>
      <c r="CN69" s="100">
        <v>14</v>
      </c>
      <c r="CO69" s="100">
        <v>10617.6</v>
      </c>
      <c r="CP69" s="100">
        <v>17</v>
      </c>
      <c r="CQ69" s="100">
        <v>12892.8</v>
      </c>
      <c r="CR69" s="100">
        <v>10</v>
      </c>
      <c r="CS69" s="100">
        <v>7584</v>
      </c>
      <c r="CT69" s="100">
        <v>14</v>
      </c>
      <c r="CU69" s="100">
        <v>10617.6</v>
      </c>
    </row>
    <row r="70" spans="2:99">
      <c r="C70" s="99" t="s">
        <v>236</v>
      </c>
      <c r="D70" s="100">
        <v>9</v>
      </c>
      <c r="E70" s="100">
        <v>4816.7999999999993</v>
      </c>
      <c r="F70" s="100">
        <v>13</v>
      </c>
      <c r="G70" s="100">
        <v>6957.5999999999995</v>
      </c>
      <c r="H70" s="100">
        <v>16</v>
      </c>
      <c r="I70" s="100">
        <v>8563.1999999999989</v>
      </c>
      <c r="J70" s="100">
        <v>9</v>
      </c>
      <c r="K70" s="100">
        <v>4816.7999999999993</v>
      </c>
      <c r="L70" s="100">
        <v>15</v>
      </c>
      <c r="M70" s="100">
        <v>8027.9999999999991</v>
      </c>
      <c r="N70" s="100">
        <v>16</v>
      </c>
      <c r="O70" s="100">
        <v>8563.1999999999989</v>
      </c>
      <c r="P70" s="100">
        <v>11</v>
      </c>
      <c r="Q70" s="100">
        <v>5887.1999999999989</v>
      </c>
      <c r="R70" s="100">
        <v>16.955681310810089</v>
      </c>
      <c r="S70" s="100">
        <v>9074.6806375455581</v>
      </c>
      <c r="T70" s="100">
        <v>11.597462961645951</v>
      </c>
      <c r="U70" s="100">
        <v>6206.9621770729118</v>
      </c>
      <c r="V70" s="100">
        <v>14.510079916593138</v>
      </c>
      <c r="W70" s="100">
        <v>7765.7947713606463</v>
      </c>
      <c r="X70" s="100">
        <v>12</v>
      </c>
      <c r="Y70" s="100">
        <v>6422.4</v>
      </c>
      <c r="Z70" s="100">
        <v>11</v>
      </c>
      <c r="AA70" s="100">
        <v>5887.1999999999989</v>
      </c>
      <c r="AB70" s="100">
        <v>15.095305960112107</v>
      </c>
      <c r="AC70" s="100">
        <v>8079.0077498519986</v>
      </c>
      <c r="AD70" s="100">
        <v>10</v>
      </c>
      <c r="AE70" s="100">
        <v>5351.9999999999991</v>
      </c>
      <c r="AF70" s="100">
        <v>11</v>
      </c>
      <c r="AG70" s="100">
        <v>5887.1999999999989</v>
      </c>
      <c r="AH70" s="100">
        <v>14</v>
      </c>
      <c r="AI70" s="100">
        <v>7492.7999999999993</v>
      </c>
      <c r="AJ70" s="100">
        <v>14</v>
      </c>
      <c r="AK70" s="100">
        <v>7492.7999999999993</v>
      </c>
      <c r="AL70" s="100">
        <v>12</v>
      </c>
      <c r="AM70" s="100">
        <v>6422.4</v>
      </c>
      <c r="AN70" s="100">
        <v>12</v>
      </c>
      <c r="AO70" s="100">
        <v>6422.4</v>
      </c>
      <c r="AP70" s="100">
        <v>14</v>
      </c>
      <c r="AQ70" s="100">
        <v>7492.7999999999993</v>
      </c>
      <c r="AR70" s="100">
        <v>14</v>
      </c>
      <c r="AS70" s="100">
        <v>7492.7999999999993</v>
      </c>
      <c r="AT70" s="100">
        <v>14</v>
      </c>
      <c r="AU70" s="100">
        <v>7492.7999999999993</v>
      </c>
      <c r="AV70" s="100">
        <v>11</v>
      </c>
      <c r="AW70" s="100">
        <v>5887.1999999999989</v>
      </c>
      <c r="AX70" s="100">
        <v>13</v>
      </c>
      <c r="AY70" s="100">
        <v>6957.5999999999995</v>
      </c>
      <c r="AZ70" s="100">
        <v>11</v>
      </c>
      <c r="BA70" s="100">
        <v>5887.1999999999989</v>
      </c>
      <c r="BB70" s="100">
        <v>12</v>
      </c>
      <c r="BC70" s="100">
        <v>6422.4</v>
      </c>
      <c r="BD70" s="100">
        <v>17</v>
      </c>
      <c r="BE70" s="100">
        <v>9098.4</v>
      </c>
      <c r="BF70" s="100">
        <v>10</v>
      </c>
      <c r="BG70" s="100">
        <v>5351.9999999999991</v>
      </c>
      <c r="BH70" s="100">
        <v>16</v>
      </c>
      <c r="BI70" s="100">
        <v>8563.1999999999989</v>
      </c>
      <c r="BJ70" s="100">
        <v>12</v>
      </c>
      <c r="BK70" s="100">
        <v>6422.4</v>
      </c>
      <c r="BL70" s="100">
        <v>10</v>
      </c>
      <c r="BM70" s="100">
        <v>5351.9999999999991</v>
      </c>
      <c r="BN70" s="100">
        <v>12</v>
      </c>
      <c r="BO70" s="100">
        <v>6422.4</v>
      </c>
      <c r="BP70" s="100">
        <v>14</v>
      </c>
      <c r="BQ70" s="100">
        <v>7492.7999999999993</v>
      </c>
      <c r="BR70" s="100">
        <v>16</v>
      </c>
      <c r="BS70" s="100">
        <v>8563.1999999999989</v>
      </c>
      <c r="BT70" s="100">
        <v>11</v>
      </c>
      <c r="BU70" s="100">
        <v>5887.1999999999989</v>
      </c>
      <c r="BV70" s="100">
        <v>18</v>
      </c>
      <c r="BW70" s="100">
        <v>9633.5999999999985</v>
      </c>
      <c r="BX70" s="100">
        <v>8</v>
      </c>
      <c r="BY70" s="100">
        <v>4281.5999999999995</v>
      </c>
      <c r="BZ70" s="100">
        <v>9</v>
      </c>
      <c r="CA70" s="100">
        <v>4816.7999999999993</v>
      </c>
      <c r="CB70" s="100">
        <v>14</v>
      </c>
      <c r="CC70" s="100">
        <v>7492.7999999999993</v>
      </c>
      <c r="CD70" s="100">
        <v>9</v>
      </c>
      <c r="CE70" s="100">
        <v>4816.7999999999993</v>
      </c>
      <c r="CF70" s="100">
        <v>9</v>
      </c>
      <c r="CG70" s="100">
        <v>4816.7999999999993</v>
      </c>
      <c r="CH70" s="100">
        <v>8</v>
      </c>
      <c r="CI70" s="100">
        <v>4281.5999999999995</v>
      </c>
      <c r="CJ70" s="100">
        <v>18</v>
      </c>
      <c r="CK70" s="100">
        <v>9633.5999999999985</v>
      </c>
      <c r="CL70" s="100">
        <v>16</v>
      </c>
      <c r="CM70" s="100">
        <v>8563.1999999999989</v>
      </c>
      <c r="CN70" s="100">
        <v>16</v>
      </c>
      <c r="CO70" s="100">
        <v>8563.1999999999989</v>
      </c>
      <c r="CP70" s="100">
        <v>18</v>
      </c>
      <c r="CQ70" s="100">
        <v>9633.5999999999985</v>
      </c>
      <c r="CR70" s="100">
        <v>9</v>
      </c>
      <c r="CS70" s="100">
        <v>4816.7999999999993</v>
      </c>
      <c r="CT70" s="100">
        <v>13</v>
      </c>
      <c r="CU70" s="100">
        <v>6957.5999999999995</v>
      </c>
    </row>
    <row r="71" spans="2:99">
      <c r="B71" s="99" t="s">
        <v>130</v>
      </c>
      <c r="C71" s="99" t="s">
        <v>237</v>
      </c>
      <c r="D71" s="100">
        <v>7</v>
      </c>
      <c r="E71" s="100">
        <v>3948</v>
      </c>
      <c r="F71" s="100">
        <v>6</v>
      </c>
      <c r="G71" s="100">
        <v>3384</v>
      </c>
      <c r="H71" s="100">
        <v>10</v>
      </c>
      <c r="I71" s="100">
        <v>5640</v>
      </c>
      <c r="J71" s="100">
        <v>9</v>
      </c>
      <c r="K71" s="100">
        <v>5076</v>
      </c>
      <c r="L71" s="100">
        <v>9</v>
      </c>
      <c r="M71" s="100">
        <v>5076</v>
      </c>
      <c r="N71" s="100">
        <v>6</v>
      </c>
      <c r="O71" s="100">
        <v>3384</v>
      </c>
      <c r="P71" s="100">
        <v>5</v>
      </c>
      <c r="Q71" s="100">
        <v>2820</v>
      </c>
      <c r="R71" s="100">
        <v>7</v>
      </c>
      <c r="S71" s="100">
        <v>3948</v>
      </c>
      <c r="T71" s="100">
        <v>9</v>
      </c>
      <c r="U71" s="100">
        <v>5076</v>
      </c>
      <c r="V71" s="100">
        <v>9</v>
      </c>
      <c r="W71" s="100">
        <v>5076</v>
      </c>
      <c r="X71" s="100">
        <v>8</v>
      </c>
      <c r="Y71" s="100">
        <v>4512</v>
      </c>
      <c r="Z71" s="100">
        <v>9</v>
      </c>
      <c r="AA71" s="100">
        <v>5076</v>
      </c>
      <c r="AB71" s="100">
        <v>7</v>
      </c>
      <c r="AC71" s="100">
        <v>3948</v>
      </c>
      <c r="AD71" s="100">
        <v>5</v>
      </c>
      <c r="AE71" s="100">
        <v>2820</v>
      </c>
      <c r="AF71" s="100">
        <v>8</v>
      </c>
      <c r="AG71" s="100">
        <v>4512</v>
      </c>
      <c r="AH71" s="100">
        <v>6</v>
      </c>
      <c r="AI71" s="100">
        <v>3384</v>
      </c>
      <c r="AJ71" s="100">
        <v>8</v>
      </c>
      <c r="AK71" s="100">
        <v>4512</v>
      </c>
      <c r="AL71" s="100">
        <v>11</v>
      </c>
      <c r="AM71" s="100">
        <v>6204</v>
      </c>
      <c r="AN71" s="100">
        <v>8</v>
      </c>
      <c r="AO71" s="100">
        <v>4512</v>
      </c>
      <c r="AP71" s="100">
        <v>6</v>
      </c>
      <c r="AQ71" s="100">
        <v>3384</v>
      </c>
      <c r="AR71" s="100">
        <v>6</v>
      </c>
      <c r="AS71" s="100">
        <v>3384</v>
      </c>
      <c r="AT71" s="100">
        <v>8</v>
      </c>
      <c r="AU71" s="100">
        <v>4512</v>
      </c>
      <c r="AV71" s="100">
        <v>6</v>
      </c>
      <c r="AW71" s="100">
        <v>3384</v>
      </c>
      <c r="AX71" s="100">
        <v>7</v>
      </c>
      <c r="AY71" s="100">
        <v>3948</v>
      </c>
      <c r="AZ71" s="100">
        <v>7</v>
      </c>
      <c r="BA71" s="100">
        <v>3948</v>
      </c>
      <c r="BB71" s="100">
        <v>9</v>
      </c>
      <c r="BC71" s="100">
        <v>5076</v>
      </c>
      <c r="BD71" s="100">
        <v>10</v>
      </c>
      <c r="BE71" s="100">
        <v>5640</v>
      </c>
      <c r="BF71" s="100">
        <v>7</v>
      </c>
      <c r="BG71" s="100">
        <v>3948</v>
      </c>
      <c r="BH71" s="100">
        <v>9</v>
      </c>
      <c r="BI71" s="100">
        <v>5076</v>
      </c>
      <c r="BJ71" s="100">
        <v>9</v>
      </c>
      <c r="BK71" s="100">
        <v>5076</v>
      </c>
      <c r="BL71" s="100">
        <v>11</v>
      </c>
      <c r="BM71" s="100">
        <v>6204</v>
      </c>
      <c r="BN71" s="100">
        <v>9</v>
      </c>
      <c r="BO71" s="100">
        <v>5076</v>
      </c>
      <c r="BP71" s="100">
        <v>6</v>
      </c>
      <c r="BQ71" s="100">
        <v>3384</v>
      </c>
      <c r="BR71" s="100">
        <v>7</v>
      </c>
      <c r="BS71" s="100">
        <v>3948</v>
      </c>
      <c r="BT71" s="100">
        <v>5</v>
      </c>
      <c r="BU71" s="100">
        <v>2820</v>
      </c>
      <c r="BV71" s="100">
        <v>9</v>
      </c>
      <c r="BW71" s="100">
        <v>5076</v>
      </c>
      <c r="BX71" s="100">
        <v>6</v>
      </c>
      <c r="BY71" s="100">
        <v>3384</v>
      </c>
      <c r="BZ71" s="100">
        <v>10</v>
      </c>
      <c r="CA71" s="100">
        <v>5640</v>
      </c>
      <c r="CB71" s="100">
        <v>7</v>
      </c>
      <c r="CC71" s="100">
        <v>3948</v>
      </c>
      <c r="CD71" s="100">
        <v>7</v>
      </c>
      <c r="CE71" s="100">
        <v>3948</v>
      </c>
      <c r="CF71" s="100">
        <v>6</v>
      </c>
      <c r="CG71" s="100">
        <v>3384</v>
      </c>
      <c r="CH71" s="100">
        <v>10</v>
      </c>
      <c r="CI71" s="100">
        <v>5640</v>
      </c>
      <c r="CJ71" s="100">
        <v>7</v>
      </c>
      <c r="CK71" s="100">
        <v>3948</v>
      </c>
      <c r="CL71" s="100">
        <v>6</v>
      </c>
      <c r="CM71" s="100">
        <v>3384</v>
      </c>
      <c r="CN71" s="100">
        <v>5</v>
      </c>
      <c r="CO71" s="100">
        <v>2820</v>
      </c>
      <c r="CP71" s="100">
        <v>6</v>
      </c>
      <c r="CQ71" s="100">
        <v>3384</v>
      </c>
      <c r="CR71" s="100">
        <v>9</v>
      </c>
      <c r="CS71" s="100">
        <v>5076</v>
      </c>
      <c r="CT71" s="100">
        <v>5.5976781826400376E-24</v>
      </c>
      <c r="CU71" s="100">
        <v>3.1570904950089812E-21</v>
      </c>
    </row>
    <row r="72" spans="2:99">
      <c r="C72" s="99" t="s">
        <v>238</v>
      </c>
      <c r="D72" s="100">
        <v>7</v>
      </c>
      <c r="E72" s="100">
        <v>520.79999999999995</v>
      </c>
      <c r="F72" s="100">
        <v>7</v>
      </c>
      <c r="G72" s="100">
        <v>520.79999999999995</v>
      </c>
      <c r="H72" s="100">
        <v>9</v>
      </c>
      <c r="I72" s="100">
        <v>669.59999999999991</v>
      </c>
      <c r="J72" s="100">
        <v>11</v>
      </c>
      <c r="K72" s="100">
        <v>818.39999999999986</v>
      </c>
      <c r="L72" s="100">
        <v>10</v>
      </c>
      <c r="M72" s="100">
        <v>743.99999999999989</v>
      </c>
      <c r="N72" s="100">
        <v>7</v>
      </c>
      <c r="O72" s="100">
        <v>520.79999999999995</v>
      </c>
      <c r="P72" s="100">
        <v>6</v>
      </c>
      <c r="Q72" s="100">
        <v>446.4</v>
      </c>
      <c r="R72" s="100">
        <v>8</v>
      </c>
      <c r="S72" s="100">
        <v>595.19999999999993</v>
      </c>
      <c r="T72" s="100">
        <v>9</v>
      </c>
      <c r="U72" s="100">
        <v>669.59999999999991</v>
      </c>
      <c r="V72" s="100">
        <v>9</v>
      </c>
      <c r="W72" s="100">
        <v>669.59999999999991</v>
      </c>
      <c r="X72" s="100">
        <v>8</v>
      </c>
      <c r="Y72" s="100">
        <v>595.19999999999993</v>
      </c>
      <c r="Z72" s="100">
        <v>9</v>
      </c>
      <c r="AA72" s="100">
        <v>669.59999999999991</v>
      </c>
      <c r="AB72" s="100">
        <v>8</v>
      </c>
      <c r="AC72" s="100">
        <v>595.19999999999993</v>
      </c>
      <c r="AD72" s="100">
        <v>6</v>
      </c>
      <c r="AE72" s="100">
        <v>446.4</v>
      </c>
      <c r="AF72" s="100">
        <v>9</v>
      </c>
      <c r="AG72" s="100">
        <v>669.59999999999991</v>
      </c>
      <c r="AH72" s="100">
        <v>6</v>
      </c>
      <c r="AI72" s="100">
        <v>446.4</v>
      </c>
      <c r="AJ72" s="100">
        <v>7</v>
      </c>
      <c r="AK72" s="100">
        <v>520.79999999999995</v>
      </c>
      <c r="AL72" s="100">
        <v>10</v>
      </c>
      <c r="AM72" s="100">
        <v>743.99999999999989</v>
      </c>
      <c r="AN72" s="100">
        <v>8</v>
      </c>
      <c r="AO72" s="100">
        <v>595.19999999999993</v>
      </c>
      <c r="AP72" s="100">
        <v>6</v>
      </c>
      <c r="AQ72" s="100">
        <v>446.4</v>
      </c>
      <c r="AR72" s="100">
        <v>7</v>
      </c>
      <c r="AS72" s="100">
        <v>520.79999999999995</v>
      </c>
      <c r="AT72" s="100">
        <v>9</v>
      </c>
      <c r="AU72" s="100">
        <v>669.59999999999991</v>
      </c>
      <c r="AV72" s="100">
        <v>7</v>
      </c>
      <c r="AW72" s="100">
        <v>520.79999999999995</v>
      </c>
      <c r="AX72" s="100">
        <v>6</v>
      </c>
      <c r="AY72" s="100">
        <v>446.4</v>
      </c>
      <c r="AZ72" s="100">
        <v>6</v>
      </c>
      <c r="BA72" s="100">
        <v>446.4</v>
      </c>
      <c r="BB72" s="100">
        <v>10</v>
      </c>
      <c r="BC72" s="100">
        <v>743.99999999999989</v>
      </c>
      <c r="BD72" s="100">
        <v>10</v>
      </c>
      <c r="BE72" s="100">
        <v>743.99999999999989</v>
      </c>
      <c r="BF72" s="100">
        <v>8</v>
      </c>
      <c r="BG72" s="100">
        <v>595.19999999999993</v>
      </c>
      <c r="BH72" s="100">
        <v>10</v>
      </c>
      <c r="BI72" s="100">
        <v>743.99999999999989</v>
      </c>
      <c r="BJ72" s="100">
        <v>8</v>
      </c>
      <c r="BK72" s="100">
        <v>595.19999999999993</v>
      </c>
      <c r="BL72" s="100">
        <v>10</v>
      </c>
      <c r="BM72" s="100">
        <v>743.99999999999989</v>
      </c>
      <c r="BN72" s="100">
        <v>8</v>
      </c>
      <c r="BO72" s="100">
        <v>595.19999999999993</v>
      </c>
      <c r="BP72" s="100">
        <v>6</v>
      </c>
      <c r="BQ72" s="100">
        <v>446.4</v>
      </c>
      <c r="BR72" s="100">
        <v>6</v>
      </c>
      <c r="BS72" s="100">
        <v>446.4</v>
      </c>
      <c r="BT72" s="100">
        <v>6</v>
      </c>
      <c r="BU72" s="100">
        <v>446.4</v>
      </c>
      <c r="BV72" s="100">
        <v>10</v>
      </c>
      <c r="BW72" s="100">
        <v>743.99999999999989</v>
      </c>
      <c r="BX72" s="100">
        <v>6</v>
      </c>
      <c r="BY72" s="100">
        <v>446.4</v>
      </c>
      <c r="BZ72" s="100">
        <v>10</v>
      </c>
      <c r="CA72" s="100">
        <v>743.99999999999989</v>
      </c>
      <c r="CB72" s="100">
        <v>7</v>
      </c>
      <c r="CC72" s="100">
        <v>520.79999999999995</v>
      </c>
      <c r="CD72" s="100">
        <v>6</v>
      </c>
      <c r="CE72" s="100">
        <v>446.4</v>
      </c>
      <c r="CF72" s="100">
        <v>5</v>
      </c>
      <c r="CG72" s="100">
        <v>371.99999999999994</v>
      </c>
      <c r="CH72" s="100">
        <v>10</v>
      </c>
      <c r="CI72" s="100">
        <v>743.99999999999989</v>
      </c>
      <c r="CJ72" s="100">
        <v>6</v>
      </c>
      <c r="CK72" s="100">
        <v>446.4</v>
      </c>
      <c r="CL72" s="100">
        <v>6</v>
      </c>
      <c r="CM72" s="100">
        <v>446.4</v>
      </c>
      <c r="CN72" s="100">
        <v>6</v>
      </c>
      <c r="CO72" s="100">
        <v>446.4</v>
      </c>
      <c r="CP72" s="100">
        <v>8</v>
      </c>
      <c r="CQ72" s="100">
        <v>595.19999999999993</v>
      </c>
      <c r="CR72" s="100">
        <v>10</v>
      </c>
      <c r="CS72" s="100">
        <v>743.99999999999989</v>
      </c>
      <c r="CT72" s="100">
        <v>5.5976781826400376E-24</v>
      </c>
      <c r="CU72" s="100">
        <v>4.1646725678841875E-22</v>
      </c>
    </row>
    <row r="73" spans="2:99">
      <c r="C73" s="99" t="s">
        <v>239</v>
      </c>
      <c r="D73" s="100">
        <v>7</v>
      </c>
      <c r="E73" s="100">
        <v>3914.3999999999996</v>
      </c>
      <c r="F73" s="100">
        <v>7</v>
      </c>
      <c r="G73" s="100">
        <v>3914.3999999999996</v>
      </c>
      <c r="H73" s="100">
        <v>9</v>
      </c>
      <c r="I73" s="100">
        <v>5032.7999999999993</v>
      </c>
      <c r="J73" s="100">
        <v>10</v>
      </c>
      <c r="K73" s="100">
        <v>5591.9999999999991</v>
      </c>
      <c r="L73" s="100">
        <v>9</v>
      </c>
      <c r="M73" s="100">
        <v>5032.7999999999993</v>
      </c>
      <c r="N73" s="100">
        <v>7</v>
      </c>
      <c r="O73" s="100">
        <v>3914.3999999999996</v>
      </c>
      <c r="P73" s="100">
        <v>6</v>
      </c>
      <c r="Q73" s="100">
        <v>3355.2</v>
      </c>
      <c r="R73" s="100">
        <v>7</v>
      </c>
      <c r="S73" s="100">
        <v>3914.3999999999996</v>
      </c>
      <c r="T73" s="100">
        <v>9</v>
      </c>
      <c r="U73" s="100">
        <v>5032.7999999999993</v>
      </c>
      <c r="V73" s="100">
        <v>9</v>
      </c>
      <c r="W73" s="100">
        <v>5032.7999999999993</v>
      </c>
      <c r="X73" s="100">
        <v>8</v>
      </c>
      <c r="Y73" s="100">
        <v>4473.5999999999995</v>
      </c>
      <c r="Z73" s="100">
        <v>8</v>
      </c>
      <c r="AA73" s="100">
        <v>4473.5999999999995</v>
      </c>
      <c r="AB73" s="100">
        <v>7</v>
      </c>
      <c r="AC73" s="100">
        <v>3914.3999999999996</v>
      </c>
      <c r="AD73" s="100">
        <v>5</v>
      </c>
      <c r="AE73" s="100">
        <v>2795.9999999999995</v>
      </c>
      <c r="AF73" s="100">
        <v>8</v>
      </c>
      <c r="AG73" s="100">
        <v>4473.5999999999995</v>
      </c>
      <c r="AH73" s="100">
        <v>7</v>
      </c>
      <c r="AI73" s="100">
        <v>3914.3999999999996</v>
      </c>
      <c r="AJ73" s="100">
        <v>7</v>
      </c>
      <c r="AK73" s="100">
        <v>3914.3999999999996</v>
      </c>
      <c r="AL73" s="100">
        <v>9</v>
      </c>
      <c r="AM73" s="100">
        <v>5032.7999999999993</v>
      </c>
      <c r="AN73" s="100">
        <v>8</v>
      </c>
      <c r="AO73" s="100">
        <v>4473.5999999999995</v>
      </c>
      <c r="AP73" s="100">
        <v>5</v>
      </c>
      <c r="AQ73" s="100">
        <v>2795.9999999999995</v>
      </c>
      <c r="AR73" s="100">
        <v>6</v>
      </c>
      <c r="AS73" s="100">
        <v>3355.2</v>
      </c>
      <c r="AT73" s="100">
        <v>9</v>
      </c>
      <c r="AU73" s="100">
        <v>5032.7999999999993</v>
      </c>
      <c r="AV73" s="100">
        <v>6</v>
      </c>
      <c r="AW73" s="100">
        <v>3355.2</v>
      </c>
      <c r="AX73" s="100">
        <v>6</v>
      </c>
      <c r="AY73" s="100">
        <v>3355.2</v>
      </c>
      <c r="AZ73" s="100">
        <v>7</v>
      </c>
      <c r="BA73" s="100">
        <v>3914.3999999999996</v>
      </c>
      <c r="BB73" s="100">
        <v>10</v>
      </c>
      <c r="BC73" s="100">
        <v>5591.9999999999991</v>
      </c>
      <c r="BD73" s="100">
        <v>9</v>
      </c>
      <c r="BE73" s="100">
        <v>5032.7999999999993</v>
      </c>
      <c r="BF73" s="100">
        <v>7</v>
      </c>
      <c r="BG73" s="100">
        <v>3914.3999999999996</v>
      </c>
      <c r="BH73" s="100">
        <v>9</v>
      </c>
      <c r="BI73" s="100">
        <v>5032.7999999999993</v>
      </c>
      <c r="BJ73" s="100">
        <v>8</v>
      </c>
      <c r="BK73" s="100">
        <v>4473.5999999999995</v>
      </c>
      <c r="BL73" s="100">
        <v>11</v>
      </c>
      <c r="BM73" s="100">
        <v>6151.1999999999989</v>
      </c>
      <c r="BN73" s="100">
        <v>8</v>
      </c>
      <c r="BO73" s="100">
        <v>4473.5999999999995</v>
      </c>
      <c r="BP73" s="100">
        <v>6</v>
      </c>
      <c r="BQ73" s="100">
        <v>3355.2</v>
      </c>
      <c r="BR73" s="100">
        <v>6</v>
      </c>
      <c r="BS73" s="100">
        <v>3355.2</v>
      </c>
      <c r="BT73" s="100">
        <v>6</v>
      </c>
      <c r="BU73" s="100">
        <v>3355.2</v>
      </c>
      <c r="BV73" s="100">
        <v>9</v>
      </c>
      <c r="BW73" s="100">
        <v>5032.7999999999993</v>
      </c>
      <c r="BX73" s="100">
        <v>7</v>
      </c>
      <c r="BY73" s="100">
        <v>3914.3999999999996</v>
      </c>
      <c r="BZ73" s="100">
        <v>10</v>
      </c>
      <c r="CA73" s="100">
        <v>5591.9999999999991</v>
      </c>
      <c r="CB73" s="100">
        <v>7</v>
      </c>
      <c r="CC73" s="100">
        <v>3914.3999999999996</v>
      </c>
      <c r="CD73" s="100">
        <v>7</v>
      </c>
      <c r="CE73" s="100">
        <v>3914.3999999999996</v>
      </c>
      <c r="CF73" s="100">
        <v>5</v>
      </c>
      <c r="CG73" s="100">
        <v>2795.9999999999995</v>
      </c>
      <c r="CH73" s="100">
        <v>8</v>
      </c>
      <c r="CI73" s="100">
        <v>4473.5999999999995</v>
      </c>
      <c r="CJ73" s="100">
        <v>7</v>
      </c>
      <c r="CK73" s="100">
        <v>3914.3999999999996</v>
      </c>
      <c r="CL73" s="100">
        <v>7</v>
      </c>
      <c r="CM73" s="100">
        <v>3914.3999999999996</v>
      </c>
      <c r="CN73" s="100">
        <v>6</v>
      </c>
      <c r="CO73" s="100">
        <v>3355.2</v>
      </c>
      <c r="CP73" s="100">
        <v>6</v>
      </c>
      <c r="CQ73" s="100">
        <v>3355.2</v>
      </c>
      <c r="CR73" s="100">
        <v>11</v>
      </c>
      <c r="CS73" s="100">
        <v>6151.1999999999989</v>
      </c>
      <c r="CT73" s="100">
        <v>4.8979684098100326E-24</v>
      </c>
      <c r="CU73" s="100">
        <v>2.7389439347657698E-21</v>
      </c>
    </row>
    <row r="74" spans="2:99">
      <c r="C74" s="99" t="s">
        <v>240</v>
      </c>
      <c r="D74" s="100">
        <v>7</v>
      </c>
      <c r="E74" s="100">
        <v>2822.4</v>
      </c>
      <c r="F74" s="100">
        <v>7</v>
      </c>
      <c r="G74" s="100">
        <v>2822.4</v>
      </c>
      <c r="H74" s="100">
        <v>9</v>
      </c>
      <c r="I74" s="100">
        <v>3628.7999999999997</v>
      </c>
      <c r="J74" s="100">
        <v>10</v>
      </c>
      <c r="K74" s="100">
        <v>4032</v>
      </c>
      <c r="L74" s="100">
        <v>10</v>
      </c>
      <c r="M74" s="100">
        <v>4032</v>
      </c>
      <c r="N74" s="100">
        <v>7</v>
      </c>
      <c r="O74" s="100">
        <v>2822.4</v>
      </c>
      <c r="P74" s="100">
        <v>6</v>
      </c>
      <c r="Q74" s="100">
        <v>2419.1999999999998</v>
      </c>
      <c r="R74" s="100">
        <v>6</v>
      </c>
      <c r="S74" s="100">
        <v>2419.1999999999998</v>
      </c>
      <c r="T74" s="100">
        <v>8</v>
      </c>
      <c r="U74" s="100">
        <v>3225.6</v>
      </c>
      <c r="V74" s="100">
        <v>8</v>
      </c>
      <c r="W74" s="100">
        <v>3225.6</v>
      </c>
      <c r="X74" s="100">
        <v>7</v>
      </c>
      <c r="Y74" s="100">
        <v>2822.4</v>
      </c>
      <c r="Z74" s="100">
        <v>10</v>
      </c>
      <c r="AA74" s="100">
        <v>4032</v>
      </c>
      <c r="AB74" s="100">
        <v>8</v>
      </c>
      <c r="AC74" s="100">
        <v>3225.6</v>
      </c>
      <c r="AD74" s="100">
        <v>5</v>
      </c>
      <c r="AE74" s="100">
        <v>2016</v>
      </c>
      <c r="AF74" s="100">
        <v>9</v>
      </c>
      <c r="AG74" s="100">
        <v>3628.7999999999997</v>
      </c>
      <c r="AH74" s="100">
        <v>6</v>
      </c>
      <c r="AI74" s="100">
        <v>2419.1999999999998</v>
      </c>
      <c r="AJ74" s="100">
        <v>7</v>
      </c>
      <c r="AK74" s="100">
        <v>2822.4</v>
      </c>
      <c r="AL74" s="100">
        <v>10</v>
      </c>
      <c r="AM74" s="100">
        <v>4032</v>
      </c>
      <c r="AN74" s="100">
        <v>9</v>
      </c>
      <c r="AO74" s="100">
        <v>3628.7999999999997</v>
      </c>
      <c r="AP74" s="100">
        <v>6</v>
      </c>
      <c r="AQ74" s="100">
        <v>2419.1999999999998</v>
      </c>
      <c r="AR74" s="100">
        <v>6</v>
      </c>
      <c r="AS74" s="100">
        <v>2419.1999999999998</v>
      </c>
      <c r="AT74" s="100">
        <v>9</v>
      </c>
      <c r="AU74" s="100">
        <v>3628.7999999999997</v>
      </c>
      <c r="AV74" s="100">
        <v>6</v>
      </c>
      <c r="AW74" s="100">
        <v>2419.1999999999998</v>
      </c>
      <c r="AX74" s="100">
        <v>6</v>
      </c>
      <c r="AY74" s="100">
        <v>2419.1999999999998</v>
      </c>
      <c r="AZ74" s="100">
        <v>7</v>
      </c>
      <c r="BA74" s="100">
        <v>2822.4</v>
      </c>
      <c r="BB74" s="100">
        <v>9</v>
      </c>
      <c r="BC74" s="100">
        <v>3628.7999999999997</v>
      </c>
      <c r="BD74" s="100">
        <v>10</v>
      </c>
      <c r="BE74" s="100">
        <v>4032</v>
      </c>
      <c r="BF74" s="100">
        <v>7</v>
      </c>
      <c r="BG74" s="100">
        <v>2822.4</v>
      </c>
      <c r="BH74" s="100">
        <v>8</v>
      </c>
      <c r="BI74" s="100">
        <v>3225.6</v>
      </c>
      <c r="BJ74" s="100">
        <v>8</v>
      </c>
      <c r="BK74" s="100">
        <v>3225.6</v>
      </c>
      <c r="BL74" s="100">
        <v>11</v>
      </c>
      <c r="BM74" s="100">
        <v>4435.2</v>
      </c>
      <c r="BN74" s="100">
        <v>8</v>
      </c>
      <c r="BO74" s="100">
        <v>3225.6</v>
      </c>
      <c r="BP74" s="100">
        <v>5</v>
      </c>
      <c r="BQ74" s="100">
        <v>2016</v>
      </c>
      <c r="BR74" s="100">
        <v>7</v>
      </c>
      <c r="BS74" s="100">
        <v>2822.4</v>
      </c>
      <c r="BT74" s="100">
        <v>6</v>
      </c>
      <c r="BU74" s="100">
        <v>2419.1999999999998</v>
      </c>
      <c r="BV74" s="100">
        <v>8</v>
      </c>
      <c r="BW74" s="100">
        <v>3225.6</v>
      </c>
      <c r="BX74" s="100">
        <v>6</v>
      </c>
      <c r="BY74" s="100">
        <v>2419.1999999999998</v>
      </c>
      <c r="BZ74" s="100">
        <v>9</v>
      </c>
      <c r="CA74" s="100">
        <v>3628.7999999999997</v>
      </c>
      <c r="CB74" s="100">
        <v>6</v>
      </c>
      <c r="CC74" s="100">
        <v>2419.1999999999998</v>
      </c>
      <c r="CD74" s="100">
        <v>6</v>
      </c>
      <c r="CE74" s="100">
        <v>2419.1999999999998</v>
      </c>
      <c r="CF74" s="100">
        <v>6</v>
      </c>
      <c r="CG74" s="100">
        <v>2419.1999999999998</v>
      </c>
      <c r="CH74" s="100">
        <v>9</v>
      </c>
      <c r="CI74" s="100">
        <v>3628.7999999999997</v>
      </c>
      <c r="CJ74" s="100">
        <v>6</v>
      </c>
      <c r="CK74" s="100">
        <v>2419.1999999999998</v>
      </c>
      <c r="CL74" s="100">
        <v>6</v>
      </c>
      <c r="CM74" s="100">
        <v>2419.1999999999998</v>
      </c>
      <c r="CN74" s="100">
        <v>5</v>
      </c>
      <c r="CO74" s="100">
        <v>2016</v>
      </c>
      <c r="CP74" s="100">
        <v>7</v>
      </c>
      <c r="CQ74" s="100">
        <v>2822.4</v>
      </c>
      <c r="CR74" s="100">
        <v>10</v>
      </c>
      <c r="CS74" s="100">
        <v>4032</v>
      </c>
      <c r="CT74" s="100">
        <v>4.8979684098100326E-24</v>
      </c>
      <c r="CU74" s="100">
        <v>1.974860862835405E-21</v>
      </c>
    </row>
    <row r="75" spans="2:99">
      <c r="C75" s="99" t="s">
        <v>241</v>
      </c>
      <c r="D75" s="100">
        <v>8</v>
      </c>
      <c r="E75" s="100">
        <v>5145.5999999999995</v>
      </c>
      <c r="F75" s="100">
        <v>7</v>
      </c>
      <c r="G75" s="100">
        <v>4502.3999999999996</v>
      </c>
      <c r="H75" s="100">
        <v>10</v>
      </c>
      <c r="I75" s="100">
        <v>6431.9999999999991</v>
      </c>
      <c r="J75" s="100">
        <v>10</v>
      </c>
      <c r="K75" s="100">
        <v>6431.9999999999991</v>
      </c>
      <c r="L75" s="100">
        <v>10</v>
      </c>
      <c r="M75" s="100">
        <v>6431.9999999999991</v>
      </c>
      <c r="N75" s="100">
        <v>7</v>
      </c>
      <c r="O75" s="100">
        <v>4502.3999999999996</v>
      </c>
      <c r="P75" s="100">
        <v>6</v>
      </c>
      <c r="Q75" s="100">
        <v>3859.2</v>
      </c>
      <c r="R75" s="100">
        <v>6</v>
      </c>
      <c r="S75" s="100">
        <v>3859.2</v>
      </c>
      <c r="T75" s="100">
        <v>8</v>
      </c>
      <c r="U75" s="100">
        <v>5145.5999999999995</v>
      </c>
      <c r="V75" s="100">
        <v>8</v>
      </c>
      <c r="W75" s="100">
        <v>5145.5999999999995</v>
      </c>
      <c r="X75" s="100">
        <v>8</v>
      </c>
      <c r="Y75" s="100">
        <v>5145.5999999999995</v>
      </c>
      <c r="Z75" s="100">
        <v>9</v>
      </c>
      <c r="AA75" s="100">
        <v>5788.7999999999993</v>
      </c>
      <c r="AB75" s="100">
        <v>7</v>
      </c>
      <c r="AC75" s="100">
        <v>4502.3999999999996</v>
      </c>
      <c r="AD75" s="100">
        <v>6</v>
      </c>
      <c r="AE75" s="100">
        <v>3859.2</v>
      </c>
      <c r="AF75" s="100">
        <v>9</v>
      </c>
      <c r="AG75" s="100">
        <v>5788.7999999999993</v>
      </c>
      <c r="AH75" s="100">
        <v>7</v>
      </c>
      <c r="AI75" s="100">
        <v>4502.3999999999996</v>
      </c>
      <c r="AJ75" s="100">
        <v>7</v>
      </c>
      <c r="AK75" s="100">
        <v>4502.3999999999996</v>
      </c>
      <c r="AL75" s="100">
        <v>9</v>
      </c>
      <c r="AM75" s="100">
        <v>5788.7999999999993</v>
      </c>
      <c r="AN75" s="100">
        <v>7</v>
      </c>
      <c r="AO75" s="100">
        <v>4502.3999999999996</v>
      </c>
      <c r="AP75" s="100">
        <v>5</v>
      </c>
      <c r="AQ75" s="100">
        <v>3215.9999999999995</v>
      </c>
      <c r="AR75" s="100">
        <v>6</v>
      </c>
      <c r="AS75" s="100">
        <v>3859.2</v>
      </c>
      <c r="AT75" s="100">
        <v>9</v>
      </c>
      <c r="AU75" s="100">
        <v>5788.7999999999993</v>
      </c>
      <c r="AV75" s="100">
        <v>6</v>
      </c>
      <c r="AW75" s="100">
        <v>3859.2</v>
      </c>
      <c r="AX75" s="100">
        <v>6</v>
      </c>
      <c r="AY75" s="100">
        <v>3859.2</v>
      </c>
      <c r="AZ75" s="100">
        <v>6</v>
      </c>
      <c r="BA75" s="100">
        <v>3859.2</v>
      </c>
      <c r="BB75" s="100">
        <v>10</v>
      </c>
      <c r="BC75" s="100">
        <v>6431.9999999999991</v>
      </c>
      <c r="BD75" s="100">
        <v>10</v>
      </c>
      <c r="BE75" s="100">
        <v>6431.9999999999991</v>
      </c>
      <c r="BF75" s="100">
        <v>7</v>
      </c>
      <c r="BG75" s="100">
        <v>4502.3999999999996</v>
      </c>
      <c r="BH75" s="100">
        <v>9</v>
      </c>
      <c r="BI75" s="100">
        <v>5788.7999999999993</v>
      </c>
      <c r="BJ75" s="100">
        <v>8</v>
      </c>
      <c r="BK75" s="100">
        <v>5145.5999999999995</v>
      </c>
      <c r="BL75" s="100">
        <v>10</v>
      </c>
      <c r="BM75" s="100">
        <v>6431.9999999999991</v>
      </c>
      <c r="BN75" s="100">
        <v>9</v>
      </c>
      <c r="BO75" s="100">
        <v>5788.7999999999993</v>
      </c>
      <c r="BP75" s="100">
        <v>5</v>
      </c>
      <c r="BQ75" s="100">
        <v>3215.9999999999995</v>
      </c>
      <c r="BR75" s="100">
        <v>6</v>
      </c>
      <c r="BS75" s="100">
        <v>3859.2</v>
      </c>
      <c r="BT75" s="100">
        <v>6</v>
      </c>
      <c r="BU75" s="100">
        <v>3859.2</v>
      </c>
      <c r="BV75" s="100">
        <v>9</v>
      </c>
      <c r="BW75" s="100">
        <v>5788.7999999999993</v>
      </c>
      <c r="BX75" s="100">
        <v>6</v>
      </c>
      <c r="BY75" s="100">
        <v>3859.2</v>
      </c>
      <c r="BZ75" s="100">
        <v>9</v>
      </c>
      <c r="CA75" s="100">
        <v>5788.7999999999993</v>
      </c>
      <c r="CB75" s="100">
        <v>6</v>
      </c>
      <c r="CC75" s="100">
        <v>3859.2</v>
      </c>
      <c r="CD75" s="100">
        <v>7</v>
      </c>
      <c r="CE75" s="100">
        <v>4502.3999999999996</v>
      </c>
      <c r="CF75" s="100">
        <v>5</v>
      </c>
      <c r="CG75" s="100">
        <v>3215.9999999999995</v>
      </c>
      <c r="CH75" s="100">
        <v>9</v>
      </c>
      <c r="CI75" s="100">
        <v>5788.7999999999993</v>
      </c>
      <c r="CJ75" s="100">
        <v>7</v>
      </c>
      <c r="CK75" s="100">
        <v>4502.3999999999996</v>
      </c>
      <c r="CL75" s="100">
        <v>6</v>
      </c>
      <c r="CM75" s="100">
        <v>3859.2</v>
      </c>
      <c r="CN75" s="100">
        <v>6</v>
      </c>
      <c r="CO75" s="100">
        <v>3859.2</v>
      </c>
      <c r="CP75" s="100">
        <v>7</v>
      </c>
      <c r="CQ75" s="100">
        <v>4502.3999999999996</v>
      </c>
      <c r="CR75" s="100">
        <v>10</v>
      </c>
      <c r="CS75" s="100">
        <v>6431.9999999999991</v>
      </c>
      <c r="CT75" s="100">
        <v>4.8979684098100326E-24</v>
      </c>
      <c r="CU75" s="100">
        <v>3.1503732811898127E-21</v>
      </c>
    </row>
    <row r="76" spans="2:99">
      <c r="C76" s="99" t="s">
        <v>242</v>
      </c>
      <c r="D76" s="100">
        <v>7</v>
      </c>
      <c r="E76" s="100">
        <v>5451.5999999999995</v>
      </c>
      <c r="F76" s="100">
        <v>7</v>
      </c>
      <c r="G76" s="100">
        <v>5451.5999999999995</v>
      </c>
      <c r="H76" s="100">
        <v>9</v>
      </c>
      <c r="I76" s="100">
        <v>7009.2</v>
      </c>
      <c r="J76" s="100">
        <v>9</v>
      </c>
      <c r="K76" s="100">
        <v>7009.2</v>
      </c>
      <c r="L76" s="100">
        <v>9</v>
      </c>
      <c r="M76" s="100">
        <v>7009.2</v>
      </c>
      <c r="N76" s="100">
        <v>7</v>
      </c>
      <c r="O76" s="100">
        <v>5451.5999999999995</v>
      </c>
      <c r="P76" s="100">
        <v>5</v>
      </c>
      <c r="Q76" s="100">
        <v>3894</v>
      </c>
      <c r="R76" s="100">
        <v>7</v>
      </c>
      <c r="S76" s="100">
        <v>5451.5999999999995</v>
      </c>
      <c r="T76" s="100">
        <v>9</v>
      </c>
      <c r="U76" s="100">
        <v>7009.2</v>
      </c>
      <c r="V76" s="100">
        <v>9</v>
      </c>
      <c r="W76" s="100">
        <v>7009.2</v>
      </c>
      <c r="X76" s="100">
        <v>8</v>
      </c>
      <c r="Y76" s="100">
        <v>6230.4</v>
      </c>
      <c r="Z76" s="100">
        <v>10</v>
      </c>
      <c r="AA76" s="100">
        <v>7788</v>
      </c>
      <c r="AB76" s="100">
        <v>7</v>
      </c>
      <c r="AC76" s="100">
        <v>5451.5999999999995</v>
      </c>
      <c r="AD76" s="100">
        <v>6</v>
      </c>
      <c r="AE76" s="100">
        <v>4672.7999999999993</v>
      </c>
      <c r="AF76" s="100">
        <v>8</v>
      </c>
      <c r="AG76" s="100">
        <v>6230.4</v>
      </c>
      <c r="AH76" s="100">
        <v>6</v>
      </c>
      <c r="AI76" s="100">
        <v>4672.7999999999993</v>
      </c>
      <c r="AJ76" s="100">
        <v>7</v>
      </c>
      <c r="AK76" s="100">
        <v>5451.5999999999995</v>
      </c>
      <c r="AL76" s="100">
        <v>10</v>
      </c>
      <c r="AM76" s="100">
        <v>7788</v>
      </c>
      <c r="AN76" s="100">
        <v>8</v>
      </c>
      <c r="AO76" s="100">
        <v>6230.4</v>
      </c>
      <c r="AP76" s="100">
        <v>6</v>
      </c>
      <c r="AQ76" s="100">
        <v>4672.7999999999993</v>
      </c>
      <c r="AR76" s="100">
        <v>7</v>
      </c>
      <c r="AS76" s="100">
        <v>5451.5999999999995</v>
      </c>
      <c r="AT76" s="100">
        <v>9</v>
      </c>
      <c r="AU76" s="100">
        <v>7009.2</v>
      </c>
      <c r="AV76" s="100">
        <v>7</v>
      </c>
      <c r="AW76" s="100">
        <v>5451.5999999999995</v>
      </c>
      <c r="AX76" s="100">
        <v>6</v>
      </c>
      <c r="AY76" s="100">
        <v>4672.7999999999993</v>
      </c>
      <c r="AZ76" s="100">
        <v>6</v>
      </c>
      <c r="BA76" s="100">
        <v>4672.7999999999993</v>
      </c>
      <c r="BB76" s="100">
        <v>9</v>
      </c>
      <c r="BC76" s="100">
        <v>7009.2</v>
      </c>
      <c r="BD76" s="100">
        <v>9</v>
      </c>
      <c r="BE76" s="100">
        <v>7009.2</v>
      </c>
      <c r="BF76" s="100">
        <v>7</v>
      </c>
      <c r="BG76" s="100">
        <v>5451.5999999999995</v>
      </c>
      <c r="BH76" s="100">
        <v>9</v>
      </c>
      <c r="BI76" s="100">
        <v>7009.2</v>
      </c>
      <c r="BJ76" s="100">
        <v>7</v>
      </c>
      <c r="BK76" s="100">
        <v>5451.5999999999995</v>
      </c>
      <c r="BL76" s="100">
        <v>10</v>
      </c>
      <c r="BM76" s="100">
        <v>7788</v>
      </c>
      <c r="BN76" s="100">
        <v>8</v>
      </c>
      <c r="BO76" s="100">
        <v>6230.4</v>
      </c>
      <c r="BP76" s="100">
        <v>6</v>
      </c>
      <c r="BQ76" s="100">
        <v>4672.7999999999993</v>
      </c>
      <c r="BR76" s="100">
        <v>6</v>
      </c>
      <c r="BS76" s="100">
        <v>4672.7999999999993</v>
      </c>
      <c r="BT76" s="100">
        <v>6</v>
      </c>
      <c r="BU76" s="100">
        <v>4672.7999999999993</v>
      </c>
      <c r="BV76" s="100">
        <v>8</v>
      </c>
      <c r="BW76" s="100">
        <v>6230.4</v>
      </c>
      <c r="BX76" s="100">
        <v>7</v>
      </c>
      <c r="BY76" s="100">
        <v>5451.5999999999995</v>
      </c>
      <c r="BZ76" s="100">
        <v>10</v>
      </c>
      <c r="CA76" s="100">
        <v>7788</v>
      </c>
      <c r="CB76" s="100">
        <v>6</v>
      </c>
      <c r="CC76" s="100">
        <v>4672.7999999999993</v>
      </c>
      <c r="CD76" s="100">
        <v>7</v>
      </c>
      <c r="CE76" s="100">
        <v>5451.5999999999995</v>
      </c>
      <c r="CF76" s="100">
        <v>5</v>
      </c>
      <c r="CG76" s="100">
        <v>3894</v>
      </c>
      <c r="CH76" s="100">
        <v>10</v>
      </c>
      <c r="CI76" s="100">
        <v>7788</v>
      </c>
      <c r="CJ76" s="100">
        <v>6</v>
      </c>
      <c r="CK76" s="100">
        <v>4672.7999999999993</v>
      </c>
      <c r="CL76" s="100">
        <v>6</v>
      </c>
      <c r="CM76" s="100">
        <v>4672.7999999999993</v>
      </c>
      <c r="CN76" s="100">
        <v>6</v>
      </c>
      <c r="CO76" s="100">
        <v>4672.7999999999993</v>
      </c>
      <c r="CP76" s="100">
        <v>7</v>
      </c>
      <c r="CQ76" s="100">
        <v>5451.5999999999995</v>
      </c>
      <c r="CR76" s="100">
        <v>10</v>
      </c>
      <c r="CS76" s="100">
        <v>7788</v>
      </c>
      <c r="CT76" s="100">
        <v>5.5976781826400376E-24</v>
      </c>
      <c r="CU76" s="100">
        <v>4.3594717686400612E-21</v>
      </c>
    </row>
    <row r="77" spans="2:99">
      <c r="C77" s="99" t="s">
        <v>243</v>
      </c>
      <c r="D77" s="100">
        <v>7</v>
      </c>
      <c r="E77" s="100">
        <v>1948.7999999999997</v>
      </c>
      <c r="F77" s="100">
        <v>7</v>
      </c>
      <c r="G77" s="100">
        <v>1948.7999999999997</v>
      </c>
      <c r="H77" s="100">
        <v>10</v>
      </c>
      <c r="I77" s="100">
        <v>2784</v>
      </c>
      <c r="J77" s="100">
        <v>11</v>
      </c>
      <c r="K77" s="100">
        <v>3062.3999999999996</v>
      </c>
      <c r="L77" s="100">
        <v>11</v>
      </c>
      <c r="M77" s="100">
        <v>3062.3999999999996</v>
      </c>
      <c r="N77" s="100">
        <v>7</v>
      </c>
      <c r="O77" s="100">
        <v>1948.7999999999997</v>
      </c>
      <c r="P77" s="100">
        <v>6</v>
      </c>
      <c r="Q77" s="100">
        <v>1670.3999999999999</v>
      </c>
      <c r="R77" s="100">
        <v>8</v>
      </c>
      <c r="S77" s="100">
        <v>2227.1999999999998</v>
      </c>
      <c r="T77" s="100">
        <v>10</v>
      </c>
      <c r="U77" s="100">
        <v>2784</v>
      </c>
      <c r="V77" s="100">
        <v>8</v>
      </c>
      <c r="W77" s="100">
        <v>2227.1999999999998</v>
      </c>
      <c r="X77" s="100">
        <v>8</v>
      </c>
      <c r="Y77" s="100">
        <v>2227.1999999999998</v>
      </c>
      <c r="Z77" s="100">
        <v>9</v>
      </c>
      <c r="AA77" s="100">
        <v>2505.6</v>
      </c>
      <c r="AB77" s="100">
        <v>7</v>
      </c>
      <c r="AC77" s="100">
        <v>1948.7999999999997</v>
      </c>
      <c r="AD77" s="100">
        <v>6</v>
      </c>
      <c r="AE77" s="100">
        <v>1670.3999999999999</v>
      </c>
      <c r="AF77" s="100">
        <v>9</v>
      </c>
      <c r="AG77" s="100">
        <v>2505.6</v>
      </c>
      <c r="AH77" s="100">
        <v>6</v>
      </c>
      <c r="AI77" s="100">
        <v>1670.3999999999999</v>
      </c>
      <c r="AJ77" s="100">
        <v>7</v>
      </c>
      <c r="AK77" s="100">
        <v>1948.7999999999997</v>
      </c>
      <c r="AL77" s="100">
        <v>9</v>
      </c>
      <c r="AM77" s="100">
        <v>2505.6</v>
      </c>
      <c r="AN77" s="100">
        <v>8</v>
      </c>
      <c r="AO77" s="100">
        <v>2227.1999999999998</v>
      </c>
      <c r="AP77" s="100">
        <v>5</v>
      </c>
      <c r="AQ77" s="100">
        <v>1392</v>
      </c>
      <c r="AR77" s="100">
        <v>7</v>
      </c>
      <c r="AS77" s="100">
        <v>1948.7999999999997</v>
      </c>
      <c r="AT77" s="100">
        <v>9</v>
      </c>
      <c r="AU77" s="100">
        <v>2505.6</v>
      </c>
      <c r="AV77" s="100">
        <v>6</v>
      </c>
      <c r="AW77" s="100">
        <v>1670.3999999999999</v>
      </c>
      <c r="AX77" s="100">
        <v>6</v>
      </c>
      <c r="AY77" s="100">
        <v>1670.3999999999999</v>
      </c>
      <c r="AZ77" s="100">
        <v>7</v>
      </c>
      <c r="BA77" s="100">
        <v>1948.7999999999997</v>
      </c>
      <c r="BB77" s="100">
        <v>9</v>
      </c>
      <c r="BC77" s="100">
        <v>2505.6</v>
      </c>
      <c r="BD77" s="100">
        <v>11</v>
      </c>
      <c r="BE77" s="100">
        <v>3062.3999999999996</v>
      </c>
      <c r="BF77" s="100">
        <v>7</v>
      </c>
      <c r="BG77" s="100">
        <v>1948.7999999999997</v>
      </c>
      <c r="BH77" s="100">
        <v>8</v>
      </c>
      <c r="BI77" s="100">
        <v>2227.1999999999998</v>
      </c>
      <c r="BJ77" s="100">
        <v>9</v>
      </c>
      <c r="BK77" s="100">
        <v>2505.6</v>
      </c>
      <c r="BL77" s="100">
        <v>10</v>
      </c>
      <c r="BM77" s="100">
        <v>2784</v>
      </c>
      <c r="BN77" s="100">
        <v>8</v>
      </c>
      <c r="BO77" s="100">
        <v>2227.1999999999998</v>
      </c>
      <c r="BP77" s="100">
        <v>6</v>
      </c>
      <c r="BQ77" s="100">
        <v>1670.3999999999999</v>
      </c>
      <c r="BR77" s="100">
        <v>6</v>
      </c>
      <c r="BS77" s="100">
        <v>1670.3999999999999</v>
      </c>
      <c r="BT77" s="100">
        <v>5</v>
      </c>
      <c r="BU77" s="100">
        <v>1392</v>
      </c>
      <c r="BV77" s="100">
        <v>8</v>
      </c>
      <c r="BW77" s="100">
        <v>2227.1999999999998</v>
      </c>
      <c r="BX77" s="100">
        <v>6</v>
      </c>
      <c r="BY77" s="100">
        <v>1670.3999999999999</v>
      </c>
      <c r="BZ77" s="100">
        <v>9</v>
      </c>
      <c r="CA77" s="100">
        <v>2505.6</v>
      </c>
      <c r="CB77" s="100">
        <v>6</v>
      </c>
      <c r="CC77" s="100">
        <v>1670.3999999999999</v>
      </c>
      <c r="CD77" s="100">
        <v>7</v>
      </c>
      <c r="CE77" s="100">
        <v>1948.7999999999997</v>
      </c>
      <c r="CF77" s="100">
        <v>6</v>
      </c>
      <c r="CG77" s="100">
        <v>1670.3999999999999</v>
      </c>
      <c r="CH77" s="100">
        <v>8</v>
      </c>
      <c r="CI77" s="100">
        <v>2227.1999999999998</v>
      </c>
      <c r="CJ77" s="100">
        <v>7</v>
      </c>
      <c r="CK77" s="100">
        <v>1948.7999999999997</v>
      </c>
      <c r="CL77" s="100">
        <v>7</v>
      </c>
      <c r="CM77" s="100">
        <v>1948.7999999999997</v>
      </c>
      <c r="CN77" s="100">
        <v>6</v>
      </c>
      <c r="CO77" s="100">
        <v>1670.3999999999999</v>
      </c>
      <c r="CP77" s="100">
        <v>7</v>
      </c>
      <c r="CQ77" s="100">
        <v>1948.7999999999997</v>
      </c>
      <c r="CR77" s="100">
        <v>10</v>
      </c>
      <c r="CS77" s="100">
        <v>2784</v>
      </c>
      <c r="CT77" s="100">
        <v>4.8979684098100326E-24</v>
      </c>
      <c r="CU77" s="100">
        <v>1.3635944052911129E-21</v>
      </c>
    </row>
    <row r="78" spans="2:99">
      <c r="C78" s="99" t="s">
        <v>244</v>
      </c>
      <c r="D78" s="100">
        <v>7</v>
      </c>
      <c r="E78" s="100">
        <v>3864</v>
      </c>
      <c r="F78" s="100">
        <v>7</v>
      </c>
      <c r="G78" s="100">
        <v>3864</v>
      </c>
      <c r="H78" s="100">
        <v>10</v>
      </c>
      <c r="I78" s="100">
        <v>5520</v>
      </c>
      <c r="J78" s="100">
        <v>10</v>
      </c>
      <c r="K78" s="100">
        <v>5520</v>
      </c>
      <c r="L78" s="100">
        <v>9</v>
      </c>
      <c r="M78" s="100">
        <v>4968</v>
      </c>
      <c r="N78" s="100">
        <v>7</v>
      </c>
      <c r="O78" s="100">
        <v>3864</v>
      </c>
      <c r="P78" s="100">
        <v>5</v>
      </c>
      <c r="Q78" s="100">
        <v>2760</v>
      </c>
      <c r="R78" s="100">
        <v>6</v>
      </c>
      <c r="S78" s="100">
        <v>3312</v>
      </c>
      <c r="T78" s="100">
        <v>9</v>
      </c>
      <c r="U78" s="100">
        <v>4968</v>
      </c>
      <c r="V78" s="100">
        <v>9</v>
      </c>
      <c r="W78" s="100">
        <v>4968</v>
      </c>
      <c r="X78" s="100">
        <v>8</v>
      </c>
      <c r="Y78" s="100">
        <v>4416</v>
      </c>
      <c r="Z78" s="100">
        <v>9</v>
      </c>
      <c r="AA78" s="100">
        <v>4968</v>
      </c>
      <c r="AB78" s="100">
        <v>7</v>
      </c>
      <c r="AC78" s="100">
        <v>3864</v>
      </c>
      <c r="AD78" s="100">
        <v>6</v>
      </c>
      <c r="AE78" s="100">
        <v>3312</v>
      </c>
      <c r="AF78" s="100">
        <v>8</v>
      </c>
      <c r="AG78" s="100">
        <v>4416</v>
      </c>
      <c r="AH78" s="100">
        <v>6</v>
      </c>
      <c r="AI78" s="100">
        <v>3312</v>
      </c>
      <c r="AJ78" s="100">
        <v>8</v>
      </c>
      <c r="AK78" s="100">
        <v>4416</v>
      </c>
      <c r="AL78" s="100">
        <v>9</v>
      </c>
      <c r="AM78" s="100">
        <v>4968</v>
      </c>
      <c r="AN78" s="100">
        <v>7</v>
      </c>
      <c r="AO78" s="100">
        <v>3864</v>
      </c>
      <c r="AP78" s="100">
        <v>6</v>
      </c>
      <c r="AQ78" s="100">
        <v>3312</v>
      </c>
      <c r="AR78" s="100">
        <v>6</v>
      </c>
      <c r="AS78" s="100">
        <v>3312</v>
      </c>
      <c r="AT78" s="100">
        <v>8</v>
      </c>
      <c r="AU78" s="100">
        <v>4416</v>
      </c>
      <c r="AV78" s="100">
        <v>7</v>
      </c>
      <c r="AW78" s="100">
        <v>3864</v>
      </c>
      <c r="AX78" s="100">
        <v>6</v>
      </c>
      <c r="AY78" s="100">
        <v>3312</v>
      </c>
      <c r="AZ78" s="100">
        <v>6</v>
      </c>
      <c r="BA78" s="100">
        <v>3312</v>
      </c>
      <c r="BB78" s="100">
        <v>9</v>
      </c>
      <c r="BC78" s="100">
        <v>4968</v>
      </c>
      <c r="BD78" s="100">
        <v>10</v>
      </c>
      <c r="BE78" s="100">
        <v>5520</v>
      </c>
      <c r="BF78" s="100">
        <v>7</v>
      </c>
      <c r="BG78" s="100">
        <v>3864</v>
      </c>
      <c r="BH78" s="100">
        <v>9</v>
      </c>
      <c r="BI78" s="100">
        <v>4968</v>
      </c>
      <c r="BJ78" s="100">
        <v>8</v>
      </c>
      <c r="BK78" s="100">
        <v>4416</v>
      </c>
      <c r="BL78" s="100">
        <v>10</v>
      </c>
      <c r="BM78" s="100">
        <v>5520</v>
      </c>
      <c r="BN78" s="100">
        <v>9</v>
      </c>
      <c r="BO78" s="100">
        <v>4968</v>
      </c>
      <c r="BP78" s="100">
        <v>6</v>
      </c>
      <c r="BQ78" s="100">
        <v>3312</v>
      </c>
      <c r="BR78" s="100">
        <v>7</v>
      </c>
      <c r="BS78" s="100">
        <v>3864</v>
      </c>
      <c r="BT78" s="100">
        <v>6</v>
      </c>
      <c r="BU78" s="100">
        <v>3312</v>
      </c>
      <c r="BV78" s="100">
        <v>9</v>
      </c>
      <c r="BW78" s="100">
        <v>4968</v>
      </c>
      <c r="BX78" s="100">
        <v>6</v>
      </c>
      <c r="BY78" s="100">
        <v>3312</v>
      </c>
      <c r="BZ78" s="100">
        <v>11</v>
      </c>
      <c r="CA78" s="100">
        <v>6072</v>
      </c>
      <c r="CB78" s="100">
        <v>7</v>
      </c>
      <c r="CC78" s="100">
        <v>3864</v>
      </c>
      <c r="CD78" s="100">
        <v>6</v>
      </c>
      <c r="CE78" s="100">
        <v>3312</v>
      </c>
      <c r="CF78" s="100">
        <v>6</v>
      </c>
      <c r="CG78" s="100">
        <v>3312</v>
      </c>
      <c r="CH78" s="100">
        <v>9</v>
      </c>
      <c r="CI78" s="100">
        <v>4968</v>
      </c>
      <c r="CJ78" s="100">
        <v>6</v>
      </c>
      <c r="CK78" s="100">
        <v>3312</v>
      </c>
      <c r="CL78" s="100">
        <v>6</v>
      </c>
      <c r="CM78" s="100">
        <v>3312</v>
      </c>
      <c r="CN78" s="100">
        <v>5</v>
      </c>
      <c r="CO78" s="100">
        <v>2760</v>
      </c>
      <c r="CP78" s="100">
        <v>7</v>
      </c>
      <c r="CQ78" s="100">
        <v>3864</v>
      </c>
      <c r="CR78" s="100">
        <v>10</v>
      </c>
      <c r="CS78" s="100">
        <v>5520</v>
      </c>
      <c r="CT78" s="100">
        <v>5.5976781826400376E-24</v>
      </c>
      <c r="CU78" s="100">
        <v>3.0899183568173006E-21</v>
      </c>
    </row>
    <row r="79" spans="2:99">
      <c r="C79" s="99" t="s">
        <v>245</v>
      </c>
      <c r="D79" s="100">
        <v>8</v>
      </c>
      <c r="E79" s="100">
        <v>6057.5999999999995</v>
      </c>
      <c r="F79" s="100">
        <v>7</v>
      </c>
      <c r="G79" s="100">
        <v>5300.4</v>
      </c>
      <c r="H79" s="100">
        <v>9</v>
      </c>
      <c r="I79" s="100">
        <v>6814.7999999999993</v>
      </c>
      <c r="J79" s="100">
        <v>9</v>
      </c>
      <c r="K79" s="100">
        <v>6814.7999999999993</v>
      </c>
      <c r="L79" s="100">
        <v>9</v>
      </c>
      <c r="M79" s="100">
        <v>6814.7999999999993</v>
      </c>
      <c r="N79" s="100">
        <v>6</v>
      </c>
      <c r="O79" s="100">
        <v>4543.2</v>
      </c>
      <c r="P79" s="100">
        <v>6</v>
      </c>
      <c r="Q79" s="100">
        <v>4543.2</v>
      </c>
      <c r="R79" s="100">
        <v>7</v>
      </c>
      <c r="S79" s="100">
        <v>5300.4</v>
      </c>
      <c r="T79" s="100">
        <v>9</v>
      </c>
      <c r="U79" s="100">
        <v>6814.7999999999993</v>
      </c>
      <c r="V79" s="100">
        <v>8</v>
      </c>
      <c r="W79" s="100">
        <v>6057.5999999999995</v>
      </c>
      <c r="X79" s="100">
        <v>9</v>
      </c>
      <c r="Y79" s="100">
        <v>6814.7999999999993</v>
      </c>
      <c r="Z79" s="100">
        <v>9</v>
      </c>
      <c r="AA79" s="100">
        <v>6814.7999999999993</v>
      </c>
      <c r="AB79" s="100">
        <v>8</v>
      </c>
      <c r="AC79" s="100">
        <v>6057.5999999999995</v>
      </c>
      <c r="AD79" s="100">
        <v>5</v>
      </c>
      <c r="AE79" s="100">
        <v>3785.9999999999995</v>
      </c>
      <c r="AF79" s="100">
        <v>8</v>
      </c>
      <c r="AG79" s="100">
        <v>6057.5999999999995</v>
      </c>
      <c r="AH79" s="100">
        <v>6</v>
      </c>
      <c r="AI79" s="100">
        <v>4543.2</v>
      </c>
      <c r="AJ79" s="100">
        <v>7</v>
      </c>
      <c r="AK79" s="100">
        <v>5300.4</v>
      </c>
      <c r="AL79" s="100">
        <v>10</v>
      </c>
      <c r="AM79" s="100">
        <v>7571.9999999999991</v>
      </c>
      <c r="AN79" s="100">
        <v>8</v>
      </c>
      <c r="AO79" s="100">
        <v>6057.5999999999995</v>
      </c>
      <c r="AP79" s="100">
        <v>6</v>
      </c>
      <c r="AQ79" s="100">
        <v>4543.2</v>
      </c>
      <c r="AR79" s="100">
        <v>6</v>
      </c>
      <c r="AS79" s="100">
        <v>4543.2</v>
      </c>
      <c r="AT79" s="100">
        <v>9</v>
      </c>
      <c r="AU79" s="100">
        <v>6814.7999999999993</v>
      </c>
      <c r="AV79" s="100">
        <v>6</v>
      </c>
      <c r="AW79" s="100">
        <v>4543.2</v>
      </c>
      <c r="AX79" s="100">
        <v>6</v>
      </c>
      <c r="AY79" s="100">
        <v>4543.2</v>
      </c>
      <c r="AZ79" s="100">
        <v>6</v>
      </c>
      <c r="BA79" s="100">
        <v>4543.2</v>
      </c>
      <c r="BB79" s="100">
        <v>8</v>
      </c>
      <c r="BC79" s="100">
        <v>6057.5999999999995</v>
      </c>
      <c r="BD79" s="100">
        <v>9</v>
      </c>
      <c r="BE79" s="100">
        <v>6814.7999999999993</v>
      </c>
      <c r="BF79" s="100">
        <v>6</v>
      </c>
      <c r="BG79" s="100">
        <v>4543.2</v>
      </c>
      <c r="BH79" s="100">
        <v>8</v>
      </c>
      <c r="BI79" s="100">
        <v>6057.5999999999995</v>
      </c>
      <c r="BJ79" s="100">
        <v>8</v>
      </c>
      <c r="BK79" s="100">
        <v>6057.5999999999995</v>
      </c>
      <c r="BL79" s="100">
        <v>9</v>
      </c>
      <c r="BM79" s="100">
        <v>6814.7999999999993</v>
      </c>
      <c r="BN79" s="100">
        <v>8</v>
      </c>
      <c r="BO79" s="100">
        <v>6057.5999999999995</v>
      </c>
      <c r="BP79" s="100">
        <v>6</v>
      </c>
      <c r="BQ79" s="100">
        <v>4543.2</v>
      </c>
      <c r="BR79" s="100">
        <v>6</v>
      </c>
      <c r="BS79" s="100">
        <v>4543.2</v>
      </c>
      <c r="BT79" s="100">
        <v>5</v>
      </c>
      <c r="BU79" s="100">
        <v>3785.9999999999995</v>
      </c>
      <c r="BV79" s="100">
        <v>9</v>
      </c>
      <c r="BW79" s="100">
        <v>6814.7999999999993</v>
      </c>
      <c r="BX79" s="100">
        <v>6</v>
      </c>
      <c r="BY79" s="100">
        <v>4543.2</v>
      </c>
      <c r="BZ79" s="100">
        <v>9</v>
      </c>
      <c r="CA79" s="100">
        <v>6814.7999999999993</v>
      </c>
      <c r="CB79" s="100">
        <v>6</v>
      </c>
      <c r="CC79" s="100">
        <v>4543.2</v>
      </c>
      <c r="CD79" s="100">
        <v>6</v>
      </c>
      <c r="CE79" s="100">
        <v>4543.2</v>
      </c>
      <c r="CF79" s="100">
        <v>5</v>
      </c>
      <c r="CG79" s="100">
        <v>3785.9999999999995</v>
      </c>
      <c r="CH79" s="100">
        <v>9</v>
      </c>
      <c r="CI79" s="100">
        <v>6814.7999999999993</v>
      </c>
      <c r="CJ79" s="100">
        <v>7</v>
      </c>
      <c r="CK79" s="100">
        <v>5300.4</v>
      </c>
      <c r="CL79" s="100">
        <v>6</v>
      </c>
      <c r="CM79" s="100">
        <v>4543.2</v>
      </c>
      <c r="CN79" s="100">
        <v>5</v>
      </c>
      <c r="CO79" s="100">
        <v>3785.9999999999995</v>
      </c>
      <c r="CP79" s="100">
        <v>7</v>
      </c>
      <c r="CQ79" s="100">
        <v>5300.4</v>
      </c>
      <c r="CR79" s="100">
        <v>9</v>
      </c>
      <c r="CS79" s="100">
        <v>6814.7999999999993</v>
      </c>
      <c r="CT79" s="100">
        <v>4.8979684098100326E-24</v>
      </c>
      <c r="CU79" s="100">
        <v>3.7087416799081566E-21</v>
      </c>
    </row>
    <row r="80" spans="2:99">
      <c r="C80" s="99" t="s">
        <v>246</v>
      </c>
      <c r="D80" s="100">
        <v>7</v>
      </c>
      <c r="E80" s="100">
        <v>5636.4</v>
      </c>
      <c r="F80" s="100">
        <v>6</v>
      </c>
      <c r="G80" s="100">
        <v>4831.2</v>
      </c>
      <c r="H80" s="100">
        <v>10</v>
      </c>
      <c r="I80" s="100">
        <v>8051.9999999999991</v>
      </c>
      <c r="J80" s="100">
        <v>9</v>
      </c>
      <c r="K80" s="100">
        <v>7246.7999999999993</v>
      </c>
      <c r="L80" s="100">
        <v>9</v>
      </c>
      <c r="M80" s="100">
        <v>7246.7999999999993</v>
      </c>
      <c r="N80" s="100">
        <v>7</v>
      </c>
      <c r="O80" s="100">
        <v>5636.4</v>
      </c>
      <c r="P80" s="100">
        <v>5</v>
      </c>
      <c r="Q80" s="100">
        <v>4025.9999999999995</v>
      </c>
      <c r="R80" s="100">
        <v>6</v>
      </c>
      <c r="S80" s="100">
        <v>4831.2</v>
      </c>
      <c r="T80" s="100">
        <v>8</v>
      </c>
      <c r="U80" s="100">
        <v>6441.5999999999995</v>
      </c>
      <c r="V80" s="100">
        <v>8</v>
      </c>
      <c r="W80" s="100">
        <v>6441.5999999999995</v>
      </c>
      <c r="X80" s="100">
        <v>9</v>
      </c>
      <c r="Y80" s="100">
        <v>7246.7999999999993</v>
      </c>
      <c r="Z80" s="100">
        <v>9</v>
      </c>
      <c r="AA80" s="100">
        <v>7246.7999999999993</v>
      </c>
      <c r="AB80" s="100">
        <v>8</v>
      </c>
      <c r="AC80" s="100">
        <v>6441.5999999999995</v>
      </c>
      <c r="AD80" s="100">
        <v>6</v>
      </c>
      <c r="AE80" s="100">
        <v>4831.2</v>
      </c>
      <c r="AF80" s="100">
        <v>9</v>
      </c>
      <c r="AG80" s="100">
        <v>7246.7999999999993</v>
      </c>
      <c r="AH80" s="100">
        <v>7</v>
      </c>
      <c r="AI80" s="100">
        <v>5636.4</v>
      </c>
      <c r="AJ80" s="100">
        <v>7</v>
      </c>
      <c r="AK80" s="100">
        <v>5636.4</v>
      </c>
      <c r="AL80" s="100">
        <v>10</v>
      </c>
      <c r="AM80" s="100">
        <v>8051.9999999999991</v>
      </c>
      <c r="AN80" s="100">
        <v>8</v>
      </c>
      <c r="AO80" s="100">
        <v>6441.5999999999995</v>
      </c>
      <c r="AP80" s="100">
        <v>5</v>
      </c>
      <c r="AQ80" s="100">
        <v>4025.9999999999995</v>
      </c>
      <c r="AR80" s="100">
        <v>6</v>
      </c>
      <c r="AS80" s="100">
        <v>4831.2</v>
      </c>
      <c r="AT80" s="100">
        <v>8</v>
      </c>
      <c r="AU80" s="100">
        <v>6441.5999999999995</v>
      </c>
      <c r="AV80" s="100">
        <v>6</v>
      </c>
      <c r="AW80" s="100">
        <v>4831.2</v>
      </c>
      <c r="AX80" s="100">
        <v>6</v>
      </c>
      <c r="AY80" s="100">
        <v>4831.2</v>
      </c>
      <c r="AZ80" s="100">
        <v>7</v>
      </c>
      <c r="BA80" s="100">
        <v>5636.4</v>
      </c>
      <c r="BB80" s="100">
        <v>9</v>
      </c>
      <c r="BC80" s="100">
        <v>7246.7999999999993</v>
      </c>
      <c r="BD80" s="100">
        <v>8</v>
      </c>
      <c r="BE80" s="100">
        <v>6441.5999999999995</v>
      </c>
      <c r="BF80" s="100">
        <v>7</v>
      </c>
      <c r="BG80" s="100">
        <v>5636.4</v>
      </c>
      <c r="BH80" s="100">
        <v>8</v>
      </c>
      <c r="BI80" s="100">
        <v>6441.5999999999995</v>
      </c>
      <c r="BJ80" s="100">
        <v>8</v>
      </c>
      <c r="BK80" s="100">
        <v>6441.5999999999995</v>
      </c>
      <c r="BL80" s="100">
        <v>10</v>
      </c>
      <c r="BM80" s="100">
        <v>8051.9999999999991</v>
      </c>
      <c r="BN80" s="100">
        <v>8</v>
      </c>
      <c r="BO80" s="100">
        <v>6441.5999999999995</v>
      </c>
      <c r="BP80" s="100">
        <v>5</v>
      </c>
      <c r="BQ80" s="100">
        <v>4025.9999999999995</v>
      </c>
      <c r="BR80" s="100">
        <v>6</v>
      </c>
      <c r="BS80" s="100">
        <v>4831.2</v>
      </c>
      <c r="BT80" s="100">
        <v>6</v>
      </c>
      <c r="BU80" s="100">
        <v>4831.2</v>
      </c>
      <c r="BV80" s="100">
        <v>9</v>
      </c>
      <c r="BW80" s="100">
        <v>7246.7999999999993</v>
      </c>
      <c r="BX80" s="100">
        <v>6</v>
      </c>
      <c r="BY80" s="100">
        <v>4831.2</v>
      </c>
      <c r="BZ80" s="100">
        <v>9</v>
      </c>
      <c r="CA80" s="100">
        <v>7246.7999999999993</v>
      </c>
      <c r="CB80" s="100">
        <v>6</v>
      </c>
      <c r="CC80" s="100">
        <v>4831.2</v>
      </c>
      <c r="CD80" s="100">
        <v>7</v>
      </c>
      <c r="CE80" s="100">
        <v>5636.4</v>
      </c>
      <c r="CF80" s="100">
        <v>5</v>
      </c>
      <c r="CG80" s="100">
        <v>4025.9999999999995</v>
      </c>
      <c r="CH80" s="100">
        <v>9</v>
      </c>
      <c r="CI80" s="100">
        <v>7246.7999999999993</v>
      </c>
      <c r="CJ80" s="100">
        <v>7</v>
      </c>
      <c r="CK80" s="100">
        <v>5636.4</v>
      </c>
      <c r="CL80" s="100">
        <v>6</v>
      </c>
      <c r="CM80" s="100">
        <v>4831.2</v>
      </c>
      <c r="CN80" s="100">
        <v>5</v>
      </c>
      <c r="CO80" s="100">
        <v>4025.9999999999995</v>
      </c>
      <c r="CP80" s="100">
        <v>7</v>
      </c>
      <c r="CQ80" s="100">
        <v>5636.4</v>
      </c>
      <c r="CR80" s="100">
        <v>10</v>
      </c>
      <c r="CS80" s="100">
        <v>8051.9999999999991</v>
      </c>
      <c r="CT80" s="100">
        <v>4.8979684098100326E-24</v>
      </c>
      <c r="CU80" s="100">
        <v>3.9438441635790376E-21</v>
      </c>
    </row>
    <row r="81" spans="2:99">
      <c r="C81" s="99" t="s">
        <v>247</v>
      </c>
      <c r="D81" s="100">
        <v>7</v>
      </c>
      <c r="E81" s="100">
        <v>5275.2</v>
      </c>
      <c r="F81" s="100">
        <v>7</v>
      </c>
      <c r="G81" s="100">
        <v>5275.2</v>
      </c>
      <c r="H81" s="100">
        <v>10</v>
      </c>
      <c r="I81" s="100">
        <v>7536</v>
      </c>
      <c r="J81" s="100">
        <v>10</v>
      </c>
      <c r="K81" s="100">
        <v>7536</v>
      </c>
      <c r="L81" s="100">
        <v>10</v>
      </c>
      <c r="M81" s="100">
        <v>7536</v>
      </c>
      <c r="N81" s="100">
        <v>6</v>
      </c>
      <c r="O81" s="100">
        <v>4521.6000000000004</v>
      </c>
      <c r="P81" s="100">
        <v>5</v>
      </c>
      <c r="Q81" s="100">
        <v>3768</v>
      </c>
      <c r="R81" s="100">
        <v>7</v>
      </c>
      <c r="S81" s="100">
        <v>5275.2</v>
      </c>
      <c r="T81" s="100">
        <v>8</v>
      </c>
      <c r="U81" s="100">
        <v>6028.8</v>
      </c>
      <c r="V81" s="100">
        <v>8</v>
      </c>
      <c r="W81" s="100">
        <v>6028.8</v>
      </c>
      <c r="X81" s="100">
        <v>8</v>
      </c>
      <c r="Y81" s="100">
        <v>6028.8</v>
      </c>
      <c r="Z81" s="100">
        <v>10</v>
      </c>
      <c r="AA81" s="100">
        <v>7536</v>
      </c>
      <c r="AB81" s="100">
        <v>8</v>
      </c>
      <c r="AC81" s="100">
        <v>6028.8</v>
      </c>
      <c r="AD81" s="100">
        <v>6</v>
      </c>
      <c r="AE81" s="100">
        <v>4521.6000000000004</v>
      </c>
      <c r="AF81" s="100">
        <v>9</v>
      </c>
      <c r="AG81" s="100">
        <v>6782.4000000000005</v>
      </c>
      <c r="AH81" s="100">
        <v>6</v>
      </c>
      <c r="AI81" s="100">
        <v>4521.6000000000004</v>
      </c>
      <c r="AJ81" s="100">
        <v>7</v>
      </c>
      <c r="AK81" s="100">
        <v>5275.2</v>
      </c>
      <c r="AL81" s="100">
        <v>9</v>
      </c>
      <c r="AM81" s="100">
        <v>6782.4000000000005</v>
      </c>
      <c r="AN81" s="100">
        <v>8</v>
      </c>
      <c r="AO81" s="100">
        <v>6028.8</v>
      </c>
      <c r="AP81" s="100">
        <v>5</v>
      </c>
      <c r="AQ81" s="100">
        <v>3768</v>
      </c>
      <c r="AR81" s="100">
        <v>6</v>
      </c>
      <c r="AS81" s="100">
        <v>4521.6000000000004</v>
      </c>
      <c r="AT81" s="100">
        <v>8</v>
      </c>
      <c r="AU81" s="100">
        <v>6028.8</v>
      </c>
      <c r="AV81" s="100">
        <v>6</v>
      </c>
      <c r="AW81" s="100">
        <v>4521.6000000000004</v>
      </c>
      <c r="AX81" s="100">
        <v>5</v>
      </c>
      <c r="AY81" s="100">
        <v>3768</v>
      </c>
      <c r="AZ81" s="100">
        <v>7</v>
      </c>
      <c r="BA81" s="100">
        <v>5275.2</v>
      </c>
      <c r="BB81" s="100">
        <v>10</v>
      </c>
      <c r="BC81" s="100">
        <v>7536</v>
      </c>
      <c r="BD81" s="100">
        <v>8</v>
      </c>
      <c r="BE81" s="100">
        <v>6028.8</v>
      </c>
      <c r="BF81" s="100">
        <v>7</v>
      </c>
      <c r="BG81" s="100">
        <v>5275.2</v>
      </c>
      <c r="BH81" s="100">
        <v>9</v>
      </c>
      <c r="BI81" s="100">
        <v>6782.4000000000005</v>
      </c>
      <c r="BJ81" s="100">
        <v>7</v>
      </c>
      <c r="BK81" s="100">
        <v>5275.2</v>
      </c>
      <c r="BL81" s="100">
        <v>11</v>
      </c>
      <c r="BM81" s="100">
        <v>8289.6</v>
      </c>
      <c r="BN81" s="100">
        <v>9</v>
      </c>
      <c r="BO81" s="100">
        <v>6782.4000000000005</v>
      </c>
      <c r="BP81" s="100">
        <v>6</v>
      </c>
      <c r="BQ81" s="100">
        <v>4521.6000000000004</v>
      </c>
      <c r="BR81" s="100">
        <v>6</v>
      </c>
      <c r="BS81" s="100">
        <v>4521.6000000000004</v>
      </c>
      <c r="BT81" s="100">
        <v>6</v>
      </c>
      <c r="BU81" s="100">
        <v>4521.6000000000004</v>
      </c>
      <c r="BV81" s="100">
        <v>9</v>
      </c>
      <c r="BW81" s="100">
        <v>6782.4000000000005</v>
      </c>
      <c r="BX81" s="100">
        <v>7</v>
      </c>
      <c r="BY81" s="100">
        <v>5275.2</v>
      </c>
      <c r="BZ81" s="100">
        <v>10</v>
      </c>
      <c r="CA81" s="100">
        <v>7536</v>
      </c>
      <c r="CB81" s="100">
        <v>6</v>
      </c>
      <c r="CC81" s="100">
        <v>4521.6000000000004</v>
      </c>
      <c r="CD81" s="100">
        <v>6</v>
      </c>
      <c r="CE81" s="100">
        <v>4521.6000000000004</v>
      </c>
      <c r="CF81" s="100">
        <v>5</v>
      </c>
      <c r="CG81" s="100">
        <v>3768</v>
      </c>
      <c r="CH81" s="100">
        <v>9</v>
      </c>
      <c r="CI81" s="100">
        <v>6782.4000000000005</v>
      </c>
      <c r="CJ81" s="100">
        <v>6</v>
      </c>
      <c r="CK81" s="100">
        <v>4521.6000000000004</v>
      </c>
      <c r="CL81" s="100">
        <v>6</v>
      </c>
      <c r="CM81" s="100">
        <v>4521.6000000000004</v>
      </c>
      <c r="CN81" s="100">
        <v>6</v>
      </c>
      <c r="CO81" s="100">
        <v>4521.6000000000004</v>
      </c>
      <c r="CP81" s="100">
        <v>7</v>
      </c>
      <c r="CQ81" s="100">
        <v>5275.2</v>
      </c>
      <c r="CR81" s="100">
        <v>9</v>
      </c>
      <c r="CS81" s="100">
        <v>6782.4000000000005</v>
      </c>
      <c r="CT81" s="100">
        <v>4.8979684098100326E-24</v>
      </c>
      <c r="CU81" s="100">
        <v>3.691108993632841E-21</v>
      </c>
    </row>
    <row r="82" spans="2:99">
      <c r="C82" s="99" t="s">
        <v>248</v>
      </c>
      <c r="D82" s="100">
        <v>8</v>
      </c>
      <c r="E82" s="100">
        <v>4070.3999999999992</v>
      </c>
      <c r="F82" s="100">
        <v>7</v>
      </c>
      <c r="G82" s="100">
        <v>3561.5999999999995</v>
      </c>
      <c r="H82" s="100">
        <v>10</v>
      </c>
      <c r="I82" s="100">
        <v>5087.9999999999991</v>
      </c>
      <c r="J82" s="100">
        <v>10</v>
      </c>
      <c r="K82" s="100">
        <v>5087.9999999999991</v>
      </c>
      <c r="L82" s="100">
        <v>10</v>
      </c>
      <c r="M82" s="100">
        <v>5087.9999999999991</v>
      </c>
      <c r="N82" s="100">
        <v>8</v>
      </c>
      <c r="O82" s="100">
        <v>4070.3999999999992</v>
      </c>
      <c r="P82" s="100">
        <v>5</v>
      </c>
      <c r="Q82" s="100">
        <v>2543.9999999999995</v>
      </c>
      <c r="R82" s="100">
        <v>6</v>
      </c>
      <c r="S82" s="100">
        <v>3052.7999999999993</v>
      </c>
      <c r="T82" s="100">
        <v>8</v>
      </c>
      <c r="U82" s="100">
        <v>4070.3999999999992</v>
      </c>
      <c r="V82" s="100">
        <v>9</v>
      </c>
      <c r="W82" s="100">
        <v>4579.1999999999989</v>
      </c>
      <c r="X82" s="100">
        <v>8</v>
      </c>
      <c r="Y82" s="100">
        <v>4070.3999999999992</v>
      </c>
      <c r="Z82" s="100">
        <v>9</v>
      </c>
      <c r="AA82" s="100">
        <v>4579.1999999999989</v>
      </c>
      <c r="AB82" s="100">
        <v>7</v>
      </c>
      <c r="AC82" s="100">
        <v>3561.5999999999995</v>
      </c>
      <c r="AD82" s="100">
        <v>6</v>
      </c>
      <c r="AE82" s="100">
        <v>3052.7999999999993</v>
      </c>
      <c r="AF82" s="100">
        <v>8</v>
      </c>
      <c r="AG82" s="100">
        <v>4070.3999999999992</v>
      </c>
      <c r="AH82" s="100">
        <v>6</v>
      </c>
      <c r="AI82" s="100">
        <v>3052.7999999999993</v>
      </c>
      <c r="AJ82" s="100">
        <v>8</v>
      </c>
      <c r="AK82" s="100">
        <v>4070.3999999999992</v>
      </c>
      <c r="AL82" s="100">
        <v>10</v>
      </c>
      <c r="AM82" s="100">
        <v>5087.9999999999991</v>
      </c>
      <c r="AN82" s="100">
        <v>8</v>
      </c>
      <c r="AO82" s="100">
        <v>4070.3999999999992</v>
      </c>
      <c r="AP82" s="100">
        <v>6</v>
      </c>
      <c r="AQ82" s="100">
        <v>3052.7999999999993</v>
      </c>
      <c r="AR82" s="100">
        <v>6</v>
      </c>
      <c r="AS82" s="100">
        <v>3052.7999999999993</v>
      </c>
      <c r="AT82" s="100">
        <v>8</v>
      </c>
      <c r="AU82" s="100">
        <v>4070.3999999999992</v>
      </c>
      <c r="AV82" s="100">
        <v>6</v>
      </c>
      <c r="AW82" s="100">
        <v>3052.7999999999993</v>
      </c>
      <c r="AX82" s="100">
        <v>6</v>
      </c>
      <c r="AY82" s="100">
        <v>3052.7999999999993</v>
      </c>
      <c r="AZ82" s="100">
        <v>6</v>
      </c>
      <c r="BA82" s="100">
        <v>3052.7999999999993</v>
      </c>
      <c r="BB82" s="100">
        <v>9</v>
      </c>
      <c r="BC82" s="100">
        <v>4579.1999999999989</v>
      </c>
      <c r="BD82" s="100">
        <v>9</v>
      </c>
      <c r="BE82" s="100">
        <v>4579.1999999999989</v>
      </c>
      <c r="BF82" s="100">
        <v>7</v>
      </c>
      <c r="BG82" s="100">
        <v>3561.5999999999995</v>
      </c>
      <c r="BH82" s="100">
        <v>8</v>
      </c>
      <c r="BI82" s="100">
        <v>4070.3999999999992</v>
      </c>
      <c r="BJ82" s="100">
        <v>9</v>
      </c>
      <c r="BK82" s="100">
        <v>4579.1999999999989</v>
      </c>
      <c r="BL82" s="100">
        <v>9</v>
      </c>
      <c r="BM82" s="100">
        <v>4579.1999999999989</v>
      </c>
      <c r="BN82" s="100">
        <v>9</v>
      </c>
      <c r="BO82" s="100">
        <v>4579.1999999999989</v>
      </c>
      <c r="BP82" s="100">
        <v>6</v>
      </c>
      <c r="BQ82" s="100">
        <v>3052.7999999999993</v>
      </c>
      <c r="BR82" s="100">
        <v>7</v>
      </c>
      <c r="BS82" s="100">
        <v>3561.5999999999995</v>
      </c>
      <c r="BT82" s="100">
        <v>6</v>
      </c>
      <c r="BU82" s="100">
        <v>3052.7999999999993</v>
      </c>
      <c r="BV82" s="100">
        <v>9</v>
      </c>
      <c r="BW82" s="100">
        <v>4579.1999999999989</v>
      </c>
      <c r="BX82" s="100">
        <v>6</v>
      </c>
      <c r="BY82" s="100">
        <v>3052.7999999999993</v>
      </c>
      <c r="BZ82" s="100">
        <v>10</v>
      </c>
      <c r="CA82" s="100">
        <v>5087.9999999999991</v>
      </c>
      <c r="CB82" s="100">
        <v>7</v>
      </c>
      <c r="CC82" s="100">
        <v>3561.5999999999995</v>
      </c>
      <c r="CD82" s="100">
        <v>7</v>
      </c>
      <c r="CE82" s="100">
        <v>3561.5999999999995</v>
      </c>
      <c r="CF82" s="100">
        <v>5</v>
      </c>
      <c r="CG82" s="100">
        <v>2543.9999999999995</v>
      </c>
      <c r="CH82" s="100">
        <v>8</v>
      </c>
      <c r="CI82" s="100">
        <v>4070.3999999999992</v>
      </c>
      <c r="CJ82" s="100">
        <v>7</v>
      </c>
      <c r="CK82" s="100">
        <v>3561.5999999999995</v>
      </c>
      <c r="CL82" s="100">
        <v>6</v>
      </c>
      <c r="CM82" s="100">
        <v>3052.7999999999993</v>
      </c>
      <c r="CN82" s="100">
        <v>5</v>
      </c>
      <c r="CO82" s="100">
        <v>2543.9999999999995</v>
      </c>
      <c r="CP82" s="100">
        <v>7</v>
      </c>
      <c r="CQ82" s="100">
        <v>3561.5999999999995</v>
      </c>
      <c r="CR82" s="100">
        <v>11</v>
      </c>
      <c r="CS82" s="100">
        <v>5596.7999999999993</v>
      </c>
      <c r="CT82" s="100">
        <v>4.8979684098100326E-24</v>
      </c>
      <c r="CU82" s="100">
        <v>2.492086326911344E-21</v>
      </c>
    </row>
    <row r="83" spans="2:99">
      <c r="C83" s="99" t="s">
        <v>249</v>
      </c>
      <c r="D83" s="100">
        <v>6</v>
      </c>
      <c r="E83" s="100">
        <v>5162.3999999999996</v>
      </c>
      <c r="F83" s="100">
        <v>7</v>
      </c>
      <c r="G83" s="100">
        <v>6022.8</v>
      </c>
      <c r="H83" s="100">
        <v>9</v>
      </c>
      <c r="I83" s="100">
        <v>7743.5999999999995</v>
      </c>
      <c r="J83" s="100">
        <v>9</v>
      </c>
      <c r="K83" s="100">
        <v>7743.5999999999995</v>
      </c>
      <c r="L83" s="100">
        <v>8</v>
      </c>
      <c r="M83" s="100">
        <v>6883.2</v>
      </c>
      <c r="N83" s="100">
        <v>6</v>
      </c>
      <c r="O83" s="100">
        <v>5162.3999999999996</v>
      </c>
      <c r="P83" s="100">
        <v>5</v>
      </c>
      <c r="Q83" s="100">
        <v>4302</v>
      </c>
      <c r="R83" s="100">
        <v>6</v>
      </c>
      <c r="S83" s="100">
        <v>5162.3999999999996</v>
      </c>
      <c r="T83" s="100">
        <v>8</v>
      </c>
      <c r="U83" s="100">
        <v>6883.2</v>
      </c>
      <c r="V83" s="100">
        <v>8</v>
      </c>
      <c r="W83" s="100">
        <v>6883.2</v>
      </c>
      <c r="X83" s="100">
        <v>8</v>
      </c>
      <c r="Y83" s="100">
        <v>6883.2</v>
      </c>
      <c r="Z83" s="100">
        <v>9</v>
      </c>
      <c r="AA83" s="100">
        <v>7743.5999999999995</v>
      </c>
      <c r="AB83" s="100">
        <v>7</v>
      </c>
      <c r="AC83" s="100">
        <v>6022.8</v>
      </c>
      <c r="AD83" s="100">
        <v>6</v>
      </c>
      <c r="AE83" s="100">
        <v>5162.3999999999996</v>
      </c>
      <c r="AF83" s="100">
        <v>9</v>
      </c>
      <c r="AG83" s="100">
        <v>7743.5999999999995</v>
      </c>
      <c r="AH83" s="100">
        <v>6</v>
      </c>
      <c r="AI83" s="100">
        <v>5162.3999999999996</v>
      </c>
      <c r="AJ83" s="100">
        <v>7</v>
      </c>
      <c r="AK83" s="100">
        <v>6022.8</v>
      </c>
      <c r="AL83" s="100">
        <v>9</v>
      </c>
      <c r="AM83" s="100">
        <v>7743.5999999999995</v>
      </c>
      <c r="AN83" s="100">
        <v>7</v>
      </c>
      <c r="AO83" s="100">
        <v>6022.8</v>
      </c>
      <c r="AP83" s="100">
        <v>6</v>
      </c>
      <c r="AQ83" s="100">
        <v>5162.3999999999996</v>
      </c>
      <c r="AR83" s="100">
        <v>6</v>
      </c>
      <c r="AS83" s="100">
        <v>5162.3999999999996</v>
      </c>
      <c r="AT83" s="100">
        <v>9</v>
      </c>
      <c r="AU83" s="100">
        <v>7743.5999999999995</v>
      </c>
      <c r="AV83" s="100">
        <v>6</v>
      </c>
      <c r="AW83" s="100">
        <v>5162.3999999999996</v>
      </c>
      <c r="AX83" s="100">
        <v>6</v>
      </c>
      <c r="AY83" s="100">
        <v>5162.3999999999996</v>
      </c>
      <c r="AZ83" s="100">
        <v>7</v>
      </c>
      <c r="BA83" s="100">
        <v>6022.8</v>
      </c>
      <c r="BB83" s="100">
        <v>9</v>
      </c>
      <c r="BC83" s="100">
        <v>7743.5999999999995</v>
      </c>
      <c r="BD83" s="100">
        <v>9</v>
      </c>
      <c r="BE83" s="100">
        <v>7743.5999999999995</v>
      </c>
      <c r="BF83" s="100">
        <v>7</v>
      </c>
      <c r="BG83" s="100">
        <v>6022.8</v>
      </c>
      <c r="BH83" s="100">
        <v>9</v>
      </c>
      <c r="BI83" s="100">
        <v>7743.5999999999995</v>
      </c>
      <c r="BJ83" s="100">
        <v>7</v>
      </c>
      <c r="BK83" s="100">
        <v>6022.8</v>
      </c>
      <c r="BL83" s="100">
        <v>10</v>
      </c>
      <c r="BM83" s="100">
        <v>8604</v>
      </c>
      <c r="BN83" s="100">
        <v>8</v>
      </c>
      <c r="BO83" s="100">
        <v>6883.2</v>
      </c>
      <c r="BP83" s="100">
        <v>6</v>
      </c>
      <c r="BQ83" s="100">
        <v>5162.3999999999996</v>
      </c>
      <c r="BR83" s="100">
        <v>6</v>
      </c>
      <c r="BS83" s="100">
        <v>5162.3999999999996</v>
      </c>
      <c r="BT83" s="100">
        <v>5</v>
      </c>
      <c r="BU83" s="100">
        <v>4302</v>
      </c>
      <c r="BV83" s="100">
        <v>9</v>
      </c>
      <c r="BW83" s="100">
        <v>7743.5999999999995</v>
      </c>
      <c r="BX83" s="100">
        <v>6</v>
      </c>
      <c r="BY83" s="100">
        <v>5162.3999999999996</v>
      </c>
      <c r="BZ83" s="100">
        <v>10</v>
      </c>
      <c r="CA83" s="100">
        <v>8604</v>
      </c>
      <c r="CB83" s="100">
        <v>6</v>
      </c>
      <c r="CC83" s="100">
        <v>5162.3999999999996</v>
      </c>
      <c r="CD83" s="100">
        <v>7</v>
      </c>
      <c r="CE83" s="100">
        <v>6022.8</v>
      </c>
      <c r="CF83" s="100">
        <v>5</v>
      </c>
      <c r="CG83" s="100">
        <v>4302</v>
      </c>
      <c r="CH83" s="100">
        <v>9</v>
      </c>
      <c r="CI83" s="100">
        <v>7743.5999999999995</v>
      </c>
      <c r="CJ83" s="100">
        <v>7</v>
      </c>
      <c r="CK83" s="100">
        <v>6022.8</v>
      </c>
      <c r="CL83" s="100">
        <v>6</v>
      </c>
      <c r="CM83" s="100">
        <v>5162.3999999999996</v>
      </c>
      <c r="CN83" s="100">
        <v>5</v>
      </c>
      <c r="CO83" s="100">
        <v>4302</v>
      </c>
      <c r="CP83" s="100">
        <v>6</v>
      </c>
      <c r="CQ83" s="100">
        <v>5162.3999999999996</v>
      </c>
      <c r="CR83" s="100">
        <v>11</v>
      </c>
      <c r="CS83" s="100">
        <v>9464.4</v>
      </c>
      <c r="CT83" s="100">
        <v>5.5976781826400376E-24</v>
      </c>
      <c r="CU83" s="100">
        <v>4.8162423083434885E-21</v>
      </c>
    </row>
    <row r="84" spans="2:99">
      <c r="C84" s="99" t="s">
        <v>250</v>
      </c>
      <c r="D84" s="100">
        <v>6</v>
      </c>
      <c r="E84" s="100">
        <v>4687.2</v>
      </c>
      <c r="F84" s="100">
        <v>7</v>
      </c>
      <c r="G84" s="100">
        <v>5468.4</v>
      </c>
      <c r="H84" s="100">
        <v>8</v>
      </c>
      <c r="I84" s="100">
        <v>6249.5999999999995</v>
      </c>
      <c r="J84" s="100">
        <v>9</v>
      </c>
      <c r="K84" s="100">
        <v>7030.7999999999993</v>
      </c>
      <c r="L84" s="100">
        <v>10</v>
      </c>
      <c r="M84" s="100">
        <v>7811.9999999999991</v>
      </c>
      <c r="N84" s="100">
        <v>7</v>
      </c>
      <c r="O84" s="100">
        <v>5468.4</v>
      </c>
      <c r="P84" s="100">
        <v>6</v>
      </c>
      <c r="Q84" s="100">
        <v>4687.2</v>
      </c>
      <c r="R84" s="100">
        <v>7</v>
      </c>
      <c r="S84" s="100">
        <v>5468.4</v>
      </c>
      <c r="T84" s="100">
        <v>8</v>
      </c>
      <c r="U84" s="100">
        <v>6249.5999999999995</v>
      </c>
      <c r="V84" s="100">
        <v>8</v>
      </c>
      <c r="W84" s="100">
        <v>6249.5999999999995</v>
      </c>
      <c r="X84" s="100">
        <v>8</v>
      </c>
      <c r="Y84" s="100">
        <v>6249.5999999999995</v>
      </c>
      <c r="Z84" s="100">
        <v>9</v>
      </c>
      <c r="AA84" s="100">
        <v>7030.7999999999993</v>
      </c>
      <c r="AB84" s="100">
        <v>7</v>
      </c>
      <c r="AC84" s="100">
        <v>5468.4</v>
      </c>
      <c r="AD84" s="100">
        <v>5</v>
      </c>
      <c r="AE84" s="100">
        <v>3905.9999999999995</v>
      </c>
      <c r="AF84" s="100">
        <v>9</v>
      </c>
      <c r="AG84" s="100">
        <v>7030.7999999999993</v>
      </c>
      <c r="AH84" s="100">
        <v>6</v>
      </c>
      <c r="AI84" s="100">
        <v>4687.2</v>
      </c>
      <c r="AJ84" s="100">
        <v>7</v>
      </c>
      <c r="AK84" s="100">
        <v>5468.4</v>
      </c>
      <c r="AL84" s="100">
        <v>10</v>
      </c>
      <c r="AM84" s="100">
        <v>7811.9999999999991</v>
      </c>
      <c r="AN84" s="100">
        <v>7</v>
      </c>
      <c r="AO84" s="100">
        <v>5468.4</v>
      </c>
      <c r="AP84" s="100">
        <v>6</v>
      </c>
      <c r="AQ84" s="100">
        <v>4687.2</v>
      </c>
      <c r="AR84" s="100">
        <v>7</v>
      </c>
      <c r="AS84" s="100">
        <v>5468.4</v>
      </c>
      <c r="AT84" s="100">
        <v>8</v>
      </c>
      <c r="AU84" s="100">
        <v>6249.5999999999995</v>
      </c>
      <c r="AV84" s="100">
        <v>7</v>
      </c>
      <c r="AW84" s="100">
        <v>5468.4</v>
      </c>
      <c r="AX84" s="100">
        <v>7</v>
      </c>
      <c r="AY84" s="100">
        <v>5468.4</v>
      </c>
      <c r="AZ84" s="100">
        <v>6</v>
      </c>
      <c r="BA84" s="100">
        <v>4687.2</v>
      </c>
      <c r="BB84" s="100">
        <v>9</v>
      </c>
      <c r="BC84" s="100">
        <v>7030.7999999999993</v>
      </c>
      <c r="BD84" s="100">
        <v>9</v>
      </c>
      <c r="BE84" s="100">
        <v>7030.7999999999993</v>
      </c>
      <c r="BF84" s="100">
        <v>7</v>
      </c>
      <c r="BG84" s="100">
        <v>5468.4</v>
      </c>
      <c r="BH84" s="100">
        <v>9</v>
      </c>
      <c r="BI84" s="100">
        <v>7030.7999999999993</v>
      </c>
      <c r="BJ84" s="100">
        <v>8</v>
      </c>
      <c r="BK84" s="100">
        <v>6249.5999999999995</v>
      </c>
      <c r="BL84" s="100">
        <v>9</v>
      </c>
      <c r="BM84" s="100">
        <v>7030.7999999999993</v>
      </c>
      <c r="BN84" s="100">
        <v>8</v>
      </c>
      <c r="BO84" s="100">
        <v>6249.5999999999995</v>
      </c>
      <c r="BP84" s="100">
        <v>6</v>
      </c>
      <c r="BQ84" s="100">
        <v>4687.2</v>
      </c>
      <c r="BR84" s="100">
        <v>7</v>
      </c>
      <c r="BS84" s="100">
        <v>5468.4</v>
      </c>
      <c r="BT84" s="100">
        <v>6</v>
      </c>
      <c r="BU84" s="100">
        <v>4687.2</v>
      </c>
      <c r="BV84" s="100">
        <v>9</v>
      </c>
      <c r="BW84" s="100">
        <v>7030.7999999999993</v>
      </c>
      <c r="BX84" s="100">
        <v>5</v>
      </c>
      <c r="BY84" s="100">
        <v>3905.9999999999995</v>
      </c>
      <c r="BZ84" s="100">
        <v>9</v>
      </c>
      <c r="CA84" s="100">
        <v>7030.7999999999993</v>
      </c>
      <c r="CB84" s="100">
        <v>6</v>
      </c>
      <c r="CC84" s="100">
        <v>4687.2</v>
      </c>
      <c r="CD84" s="100">
        <v>6</v>
      </c>
      <c r="CE84" s="100">
        <v>4687.2</v>
      </c>
      <c r="CF84" s="100">
        <v>5</v>
      </c>
      <c r="CG84" s="100">
        <v>3905.9999999999995</v>
      </c>
      <c r="CH84" s="100">
        <v>9</v>
      </c>
      <c r="CI84" s="100">
        <v>7030.7999999999993</v>
      </c>
      <c r="CJ84" s="100">
        <v>7</v>
      </c>
      <c r="CK84" s="100">
        <v>5468.4</v>
      </c>
      <c r="CL84" s="100">
        <v>7</v>
      </c>
      <c r="CM84" s="100">
        <v>5468.4</v>
      </c>
      <c r="CN84" s="100">
        <v>5</v>
      </c>
      <c r="CO84" s="100">
        <v>3905.9999999999995</v>
      </c>
      <c r="CP84" s="100">
        <v>7</v>
      </c>
      <c r="CQ84" s="100">
        <v>5468.4</v>
      </c>
      <c r="CR84" s="100">
        <v>9</v>
      </c>
      <c r="CS84" s="100">
        <v>7030.7999999999993</v>
      </c>
      <c r="CT84" s="100">
        <v>5.5976781826400376E-24</v>
      </c>
      <c r="CU84" s="100">
        <v>4.3729061962783973E-21</v>
      </c>
    </row>
    <row r="85" spans="2:99">
      <c r="C85" s="99" t="s">
        <v>251</v>
      </c>
      <c r="D85" s="100">
        <v>7</v>
      </c>
      <c r="E85" s="100">
        <v>1050</v>
      </c>
      <c r="F85" s="100">
        <v>7</v>
      </c>
      <c r="G85" s="100">
        <v>1050</v>
      </c>
      <c r="H85" s="100">
        <v>10</v>
      </c>
      <c r="I85" s="100">
        <v>1500</v>
      </c>
      <c r="J85" s="100">
        <v>9</v>
      </c>
      <c r="K85" s="100">
        <v>1350</v>
      </c>
      <c r="L85" s="100">
        <v>9</v>
      </c>
      <c r="M85" s="100">
        <v>1350</v>
      </c>
      <c r="N85" s="100">
        <v>7</v>
      </c>
      <c r="O85" s="100">
        <v>1050</v>
      </c>
      <c r="P85" s="100">
        <v>5</v>
      </c>
      <c r="Q85" s="100">
        <v>750</v>
      </c>
      <c r="R85" s="100">
        <v>7</v>
      </c>
      <c r="S85" s="100">
        <v>1050</v>
      </c>
      <c r="T85" s="100">
        <v>10</v>
      </c>
      <c r="U85" s="100">
        <v>1500</v>
      </c>
      <c r="V85" s="100">
        <v>8</v>
      </c>
      <c r="W85" s="100">
        <v>1200</v>
      </c>
      <c r="X85" s="100">
        <v>9</v>
      </c>
      <c r="Y85" s="100">
        <v>1350</v>
      </c>
      <c r="Z85" s="100">
        <v>10</v>
      </c>
      <c r="AA85" s="100">
        <v>1500</v>
      </c>
      <c r="AB85" s="100">
        <v>7</v>
      </c>
      <c r="AC85" s="100">
        <v>1050</v>
      </c>
      <c r="AD85" s="100">
        <v>6</v>
      </c>
      <c r="AE85" s="100">
        <v>900</v>
      </c>
      <c r="AF85" s="100">
        <v>9</v>
      </c>
      <c r="AG85" s="100">
        <v>1350</v>
      </c>
      <c r="AH85" s="100">
        <v>7</v>
      </c>
      <c r="AI85" s="100">
        <v>1050</v>
      </c>
      <c r="AJ85" s="100">
        <v>8</v>
      </c>
      <c r="AK85" s="100">
        <v>1200</v>
      </c>
      <c r="AL85" s="100">
        <v>10</v>
      </c>
      <c r="AM85" s="100">
        <v>1500</v>
      </c>
      <c r="AN85" s="100">
        <v>9</v>
      </c>
      <c r="AO85" s="100">
        <v>1350</v>
      </c>
      <c r="AP85" s="100">
        <v>6</v>
      </c>
      <c r="AQ85" s="100">
        <v>900</v>
      </c>
      <c r="AR85" s="100">
        <v>6</v>
      </c>
      <c r="AS85" s="100">
        <v>900</v>
      </c>
      <c r="AT85" s="100">
        <v>8</v>
      </c>
      <c r="AU85" s="100">
        <v>1200</v>
      </c>
      <c r="AV85" s="100">
        <v>6</v>
      </c>
      <c r="AW85" s="100">
        <v>900</v>
      </c>
      <c r="AX85" s="100">
        <v>6</v>
      </c>
      <c r="AY85" s="100">
        <v>900</v>
      </c>
      <c r="AZ85" s="100">
        <v>7</v>
      </c>
      <c r="BA85" s="100">
        <v>1050</v>
      </c>
      <c r="BB85" s="100">
        <v>10</v>
      </c>
      <c r="BC85" s="100">
        <v>1500</v>
      </c>
      <c r="BD85" s="100">
        <v>9</v>
      </c>
      <c r="BE85" s="100">
        <v>1350</v>
      </c>
      <c r="BF85" s="100">
        <v>6</v>
      </c>
      <c r="BG85" s="100">
        <v>900</v>
      </c>
      <c r="BH85" s="100">
        <v>9</v>
      </c>
      <c r="BI85" s="100">
        <v>1350</v>
      </c>
      <c r="BJ85" s="100">
        <v>8</v>
      </c>
      <c r="BK85" s="100">
        <v>1200</v>
      </c>
      <c r="BL85" s="100">
        <v>10</v>
      </c>
      <c r="BM85" s="100">
        <v>1500</v>
      </c>
      <c r="BN85" s="100">
        <v>9</v>
      </c>
      <c r="BO85" s="100">
        <v>1350</v>
      </c>
      <c r="BP85" s="100">
        <v>6</v>
      </c>
      <c r="BQ85" s="100">
        <v>900</v>
      </c>
      <c r="BR85" s="100">
        <v>6</v>
      </c>
      <c r="BS85" s="100">
        <v>900</v>
      </c>
      <c r="BT85" s="100">
        <v>6</v>
      </c>
      <c r="BU85" s="100">
        <v>900</v>
      </c>
      <c r="BV85" s="100">
        <v>8</v>
      </c>
      <c r="BW85" s="100">
        <v>1200</v>
      </c>
      <c r="BX85" s="100">
        <v>6</v>
      </c>
      <c r="BY85" s="100">
        <v>900</v>
      </c>
      <c r="BZ85" s="100">
        <v>11</v>
      </c>
      <c r="CA85" s="100">
        <v>1650</v>
      </c>
      <c r="CB85" s="100">
        <v>7</v>
      </c>
      <c r="CC85" s="100">
        <v>1050</v>
      </c>
      <c r="CD85" s="100">
        <v>7</v>
      </c>
      <c r="CE85" s="100">
        <v>1050</v>
      </c>
      <c r="CF85" s="100">
        <v>6</v>
      </c>
      <c r="CG85" s="100">
        <v>900</v>
      </c>
      <c r="CH85" s="100">
        <v>9</v>
      </c>
      <c r="CI85" s="100">
        <v>1350</v>
      </c>
      <c r="CJ85" s="100">
        <v>6</v>
      </c>
      <c r="CK85" s="100">
        <v>900</v>
      </c>
      <c r="CL85" s="100">
        <v>6</v>
      </c>
      <c r="CM85" s="100">
        <v>900</v>
      </c>
      <c r="CN85" s="100">
        <v>5</v>
      </c>
      <c r="CO85" s="100">
        <v>750</v>
      </c>
      <c r="CP85" s="100">
        <v>7</v>
      </c>
      <c r="CQ85" s="100">
        <v>1050</v>
      </c>
      <c r="CR85" s="100">
        <v>11</v>
      </c>
      <c r="CS85" s="100">
        <v>1650</v>
      </c>
      <c r="CT85" s="100">
        <v>5.5976781826400376E-24</v>
      </c>
      <c r="CU85" s="100">
        <v>8.3965172739600565E-22</v>
      </c>
    </row>
    <row r="86" spans="2:99">
      <c r="C86" s="99" t="s">
        <v>252</v>
      </c>
      <c r="D86" s="100">
        <v>7</v>
      </c>
      <c r="E86" s="100">
        <v>3780</v>
      </c>
      <c r="F86" s="100">
        <v>7</v>
      </c>
      <c r="G86" s="100">
        <v>3780</v>
      </c>
      <c r="H86" s="100">
        <v>9</v>
      </c>
      <c r="I86" s="100">
        <v>4860</v>
      </c>
      <c r="J86" s="100">
        <v>9</v>
      </c>
      <c r="K86" s="100">
        <v>4860</v>
      </c>
      <c r="L86" s="100">
        <v>8</v>
      </c>
      <c r="M86" s="100">
        <v>4320</v>
      </c>
      <c r="N86" s="100">
        <v>6</v>
      </c>
      <c r="O86" s="100">
        <v>3240</v>
      </c>
      <c r="P86" s="100">
        <v>6</v>
      </c>
      <c r="Q86" s="100">
        <v>3240</v>
      </c>
      <c r="R86" s="100">
        <v>6</v>
      </c>
      <c r="S86" s="100">
        <v>3240</v>
      </c>
      <c r="T86" s="100">
        <v>10</v>
      </c>
      <c r="U86" s="100">
        <v>5400</v>
      </c>
      <c r="V86" s="100">
        <v>8</v>
      </c>
      <c r="W86" s="100">
        <v>4320</v>
      </c>
      <c r="X86" s="100">
        <v>8</v>
      </c>
      <c r="Y86" s="100">
        <v>4320</v>
      </c>
      <c r="Z86" s="100">
        <v>10</v>
      </c>
      <c r="AA86" s="100">
        <v>5400</v>
      </c>
      <c r="AB86" s="100">
        <v>7</v>
      </c>
      <c r="AC86" s="100">
        <v>3780</v>
      </c>
      <c r="AD86" s="100">
        <v>5</v>
      </c>
      <c r="AE86" s="100">
        <v>2700</v>
      </c>
      <c r="AF86" s="100">
        <v>9</v>
      </c>
      <c r="AG86" s="100">
        <v>4860</v>
      </c>
      <c r="AH86" s="100">
        <v>6</v>
      </c>
      <c r="AI86" s="100">
        <v>3240</v>
      </c>
      <c r="AJ86" s="100">
        <v>7</v>
      </c>
      <c r="AK86" s="100">
        <v>3780</v>
      </c>
      <c r="AL86" s="100">
        <v>10</v>
      </c>
      <c r="AM86" s="100">
        <v>5400</v>
      </c>
      <c r="AN86" s="100">
        <v>8</v>
      </c>
      <c r="AO86" s="100">
        <v>4320</v>
      </c>
      <c r="AP86" s="100">
        <v>5</v>
      </c>
      <c r="AQ86" s="100">
        <v>2700</v>
      </c>
      <c r="AR86" s="100">
        <v>6</v>
      </c>
      <c r="AS86" s="100">
        <v>3240</v>
      </c>
      <c r="AT86" s="100">
        <v>9</v>
      </c>
      <c r="AU86" s="100">
        <v>4860</v>
      </c>
      <c r="AV86" s="100">
        <v>6</v>
      </c>
      <c r="AW86" s="100">
        <v>3240</v>
      </c>
      <c r="AX86" s="100">
        <v>6</v>
      </c>
      <c r="AY86" s="100">
        <v>3240</v>
      </c>
      <c r="AZ86" s="100">
        <v>7</v>
      </c>
      <c r="BA86" s="100">
        <v>3780</v>
      </c>
      <c r="BB86" s="100">
        <v>9</v>
      </c>
      <c r="BC86" s="100">
        <v>4860</v>
      </c>
      <c r="BD86" s="100">
        <v>10</v>
      </c>
      <c r="BE86" s="100">
        <v>5400</v>
      </c>
      <c r="BF86" s="100">
        <v>6</v>
      </c>
      <c r="BG86" s="100">
        <v>3240</v>
      </c>
      <c r="BH86" s="100">
        <v>8</v>
      </c>
      <c r="BI86" s="100">
        <v>4320</v>
      </c>
      <c r="BJ86" s="100">
        <v>8</v>
      </c>
      <c r="BK86" s="100">
        <v>4320</v>
      </c>
      <c r="BL86" s="100">
        <v>9</v>
      </c>
      <c r="BM86" s="100">
        <v>4860</v>
      </c>
      <c r="BN86" s="100">
        <v>9</v>
      </c>
      <c r="BO86" s="100">
        <v>4860</v>
      </c>
      <c r="BP86" s="100">
        <v>6</v>
      </c>
      <c r="BQ86" s="100">
        <v>3240</v>
      </c>
      <c r="BR86" s="100">
        <v>6</v>
      </c>
      <c r="BS86" s="100">
        <v>3240</v>
      </c>
      <c r="BT86" s="100">
        <v>6</v>
      </c>
      <c r="BU86" s="100">
        <v>3240</v>
      </c>
      <c r="BV86" s="100">
        <v>8</v>
      </c>
      <c r="BW86" s="100">
        <v>4320</v>
      </c>
      <c r="BX86" s="100">
        <v>7</v>
      </c>
      <c r="BY86" s="100">
        <v>3780</v>
      </c>
      <c r="BZ86" s="100">
        <v>9</v>
      </c>
      <c r="CA86" s="100">
        <v>4860</v>
      </c>
      <c r="CB86" s="100">
        <v>6</v>
      </c>
      <c r="CC86" s="100">
        <v>3240</v>
      </c>
      <c r="CD86" s="100">
        <v>6</v>
      </c>
      <c r="CE86" s="100">
        <v>3240</v>
      </c>
      <c r="CF86" s="100">
        <v>6</v>
      </c>
      <c r="CG86" s="100">
        <v>3240</v>
      </c>
      <c r="CH86" s="100">
        <v>9</v>
      </c>
      <c r="CI86" s="100">
        <v>4860</v>
      </c>
      <c r="CJ86" s="100">
        <v>7</v>
      </c>
      <c r="CK86" s="100">
        <v>3780</v>
      </c>
      <c r="CL86" s="100">
        <v>6</v>
      </c>
      <c r="CM86" s="100">
        <v>3240</v>
      </c>
      <c r="CN86" s="100">
        <v>5</v>
      </c>
      <c r="CO86" s="100">
        <v>2700</v>
      </c>
      <c r="CP86" s="100">
        <v>7</v>
      </c>
      <c r="CQ86" s="100">
        <v>3780</v>
      </c>
      <c r="CR86" s="100">
        <v>9</v>
      </c>
      <c r="CS86" s="100">
        <v>4860</v>
      </c>
      <c r="CT86" s="100">
        <v>5.5976781826400376E-24</v>
      </c>
      <c r="CU86" s="100">
        <v>3.0227462186256204E-21</v>
      </c>
    </row>
    <row r="87" spans="2:99">
      <c r="B87" s="99" t="s">
        <v>131</v>
      </c>
      <c r="C87" s="99" t="s">
        <v>253</v>
      </c>
      <c r="D87" s="100">
        <v>7</v>
      </c>
      <c r="E87" s="100">
        <v>7518</v>
      </c>
      <c r="F87" s="100">
        <v>9</v>
      </c>
      <c r="G87" s="100">
        <v>9666</v>
      </c>
      <c r="H87" s="100">
        <v>9</v>
      </c>
      <c r="I87" s="100">
        <v>9666</v>
      </c>
      <c r="J87" s="100">
        <v>6</v>
      </c>
      <c r="K87" s="100">
        <v>6444</v>
      </c>
      <c r="L87" s="100">
        <v>8</v>
      </c>
      <c r="M87" s="100">
        <v>8592</v>
      </c>
      <c r="N87" s="100">
        <v>11</v>
      </c>
      <c r="O87" s="100">
        <v>11814</v>
      </c>
      <c r="P87" s="100">
        <v>6</v>
      </c>
      <c r="Q87" s="100">
        <v>6444</v>
      </c>
      <c r="R87" s="100">
        <v>8</v>
      </c>
      <c r="S87" s="100">
        <v>8592</v>
      </c>
      <c r="T87" s="100">
        <v>11</v>
      </c>
      <c r="U87" s="100">
        <v>11814</v>
      </c>
      <c r="V87" s="100">
        <v>6</v>
      </c>
      <c r="W87" s="100">
        <v>6444</v>
      </c>
      <c r="X87" s="100">
        <v>11</v>
      </c>
      <c r="Y87" s="100">
        <v>11814</v>
      </c>
      <c r="Z87" s="100">
        <v>10</v>
      </c>
      <c r="AA87" s="100">
        <v>10740</v>
      </c>
      <c r="AB87" s="100">
        <v>9</v>
      </c>
      <c r="AC87" s="100">
        <v>9666</v>
      </c>
      <c r="AD87" s="100">
        <v>9</v>
      </c>
      <c r="AE87" s="100">
        <v>9666</v>
      </c>
      <c r="AF87" s="100">
        <v>8</v>
      </c>
      <c r="AG87" s="100">
        <v>8592</v>
      </c>
      <c r="AH87" s="100">
        <v>7</v>
      </c>
      <c r="AI87" s="100">
        <v>7518</v>
      </c>
      <c r="AJ87" s="100">
        <v>8</v>
      </c>
      <c r="AK87" s="100">
        <v>8592</v>
      </c>
      <c r="AL87" s="100">
        <v>11</v>
      </c>
      <c r="AM87" s="100">
        <v>11814</v>
      </c>
      <c r="AN87" s="100">
        <v>8</v>
      </c>
      <c r="AO87" s="100">
        <v>8592</v>
      </c>
      <c r="AP87" s="100">
        <v>8</v>
      </c>
      <c r="AQ87" s="100">
        <v>8592</v>
      </c>
      <c r="AR87" s="100">
        <v>9</v>
      </c>
      <c r="AS87" s="100">
        <v>9666</v>
      </c>
      <c r="AT87" s="100">
        <v>8</v>
      </c>
      <c r="AU87" s="100">
        <v>8592</v>
      </c>
      <c r="AV87" s="100">
        <v>12</v>
      </c>
      <c r="AW87" s="100">
        <v>12888</v>
      </c>
      <c r="AX87" s="100">
        <v>11</v>
      </c>
      <c r="AY87" s="100">
        <v>11814</v>
      </c>
      <c r="AZ87" s="100">
        <v>8</v>
      </c>
      <c r="BA87" s="100">
        <v>8592</v>
      </c>
      <c r="BB87" s="100">
        <v>11</v>
      </c>
      <c r="BC87" s="100">
        <v>11814</v>
      </c>
      <c r="BD87" s="100">
        <v>11</v>
      </c>
      <c r="BE87" s="100">
        <v>11814</v>
      </c>
      <c r="BF87" s="100">
        <v>8</v>
      </c>
      <c r="BG87" s="100">
        <v>8592</v>
      </c>
      <c r="BH87" s="100">
        <v>7</v>
      </c>
      <c r="BI87" s="100">
        <v>7518</v>
      </c>
      <c r="BJ87" s="100">
        <v>11</v>
      </c>
      <c r="BK87" s="100">
        <v>11814</v>
      </c>
      <c r="BL87" s="100">
        <v>10</v>
      </c>
      <c r="BM87" s="100">
        <v>10740</v>
      </c>
      <c r="BN87" s="100">
        <v>11</v>
      </c>
      <c r="BO87" s="100">
        <v>11814</v>
      </c>
      <c r="BP87" s="100">
        <v>11</v>
      </c>
      <c r="BQ87" s="100">
        <v>11814</v>
      </c>
      <c r="BR87" s="100">
        <v>8</v>
      </c>
      <c r="BS87" s="100">
        <v>8592</v>
      </c>
      <c r="BT87" s="100">
        <v>12</v>
      </c>
      <c r="BU87" s="100">
        <v>12888</v>
      </c>
      <c r="BV87" s="100">
        <v>11</v>
      </c>
      <c r="BW87" s="100">
        <v>11814</v>
      </c>
      <c r="BX87" s="100">
        <v>9</v>
      </c>
      <c r="BY87" s="100">
        <v>9666</v>
      </c>
      <c r="BZ87" s="100">
        <v>11</v>
      </c>
      <c r="CA87" s="100">
        <v>11814</v>
      </c>
      <c r="CB87" s="100">
        <v>11</v>
      </c>
      <c r="CC87" s="100">
        <v>11814</v>
      </c>
      <c r="CD87" s="100">
        <v>11</v>
      </c>
      <c r="CE87" s="100">
        <v>11814</v>
      </c>
      <c r="CF87" s="100">
        <v>7</v>
      </c>
      <c r="CG87" s="100">
        <v>7518</v>
      </c>
      <c r="CH87" s="100">
        <v>12</v>
      </c>
      <c r="CI87" s="100">
        <v>12888</v>
      </c>
      <c r="CJ87" s="100">
        <v>11</v>
      </c>
      <c r="CK87" s="100">
        <v>11814</v>
      </c>
      <c r="CL87" s="100">
        <v>11</v>
      </c>
      <c r="CM87" s="100">
        <v>11814</v>
      </c>
      <c r="CN87" s="100">
        <v>10</v>
      </c>
      <c r="CO87" s="100">
        <v>10740</v>
      </c>
      <c r="CP87" s="100">
        <v>9</v>
      </c>
      <c r="CQ87" s="100">
        <v>9666</v>
      </c>
      <c r="CR87" s="100">
        <v>7</v>
      </c>
      <c r="CS87" s="100">
        <v>7518</v>
      </c>
      <c r="CT87" s="100">
        <v>11</v>
      </c>
      <c r="CU87" s="100">
        <v>11814</v>
      </c>
    </row>
    <row r="88" spans="2:99">
      <c r="C88" s="99" t="s">
        <v>254</v>
      </c>
      <c r="D88" s="100">
        <v>8</v>
      </c>
      <c r="E88" s="100">
        <v>7939.2</v>
      </c>
      <c r="F88" s="100">
        <v>10</v>
      </c>
      <c r="G88" s="100">
        <v>9924</v>
      </c>
      <c r="H88" s="100">
        <v>9</v>
      </c>
      <c r="I88" s="100">
        <v>8931.6</v>
      </c>
      <c r="J88" s="100">
        <v>6</v>
      </c>
      <c r="K88" s="100">
        <v>5954.4</v>
      </c>
      <c r="L88" s="100">
        <v>9</v>
      </c>
      <c r="M88" s="100">
        <v>8931.6</v>
      </c>
      <c r="N88" s="100">
        <v>10</v>
      </c>
      <c r="O88" s="100">
        <v>9924</v>
      </c>
      <c r="P88" s="100">
        <v>6</v>
      </c>
      <c r="Q88" s="100">
        <v>5954.4</v>
      </c>
      <c r="R88" s="100">
        <v>8</v>
      </c>
      <c r="S88" s="100">
        <v>7939.2</v>
      </c>
      <c r="T88" s="100">
        <v>12</v>
      </c>
      <c r="U88" s="100">
        <v>11908.8</v>
      </c>
      <c r="V88" s="100">
        <v>6</v>
      </c>
      <c r="W88" s="100">
        <v>5954.4</v>
      </c>
      <c r="X88" s="100">
        <v>12</v>
      </c>
      <c r="Y88" s="100">
        <v>11908.8</v>
      </c>
      <c r="Z88" s="100">
        <v>10</v>
      </c>
      <c r="AA88" s="100">
        <v>9924</v>
      </c>
      <c r="AB88" s="100">
        <v>9</v>
      </c>
      <c r="AC88" s="100">
        <v>8931.6</v>
      </c>
      <c r="AD88" s="100">
        <v>9</v>
      </c>
      <c r="AE88" s="100">
        <v>8931.6</v>
      </c>
      <c r="AF88" s="100">
        <v>7</v>
      </c>
      <c r="AG88" s="100">
        <v>6946.8</v>
      </c>
      <c r="AH88" s="100">
        <v>8</v>
      </c>
      <c r="AI88" s="100">
        <v>7939.2</v>
      </c>
      <c r="AJ88" s="100">
        <v>7</v>
      </c>
      <c r="AK88" s="100">
        <v>6946.8</v>
      </c>
      <c r="AL88" s="100">
        <v>11</v>
      </c>
      <c r="AM88" s="100">
        <v>10916.4</v>
      </c>
      <c r="AN88" s="100">
        <v>9</v>
      </c>
      <c r="AO88" s="100">
        <v>8931.6</v>
      </c>
      <c r="AP88" s="100">
        <v>7</v>
      </c>
      <c r="AQ88" s="100">
        <v>6946.8</v>
      </c>
      <c r="AR88" s="100">
        <v>10</v>
      </c>
      <c r="AS88" s="100">
        <v>9924</v>
      </c>
      <c r="AT88" s="100">
        <v>8</v>
      </c>
      <c r="AU88" s="100">
        <v>7939.2</v>
      </c>
      <c r="AV88" s="100">
        <v>12</v>
      </c>
      <c r="AW88" s="100">
        <v>11908.8</v>
      </c>
      <c r="AX88" s="100">
        <v>12</v>
      </c>
      <c r="AY88" s="100">
        <v>11908.8</v>
      </c>
      <c r="AZ88" s="100">
        <v>8</v>
      </c>
      <c r="BA88" s="100">
        <v>7939.2</v>
      </c>
      <c r="BB88" s="100">
        <v>12</v>
      </c>
      <c r="BC88" s="100">
        <v>11908.8</v>
      </c>
      <c r="BD88" s="100">
        <v>10</v>
      </c>
      <c r="BE88" s="100">
        <v>9924</v>
      </c>
      <c r="BF88" s="100">
        <v>9</v>
      </c>
      <c r="BG88" s="100">
        <v>8931.6</v>
      </c>
      <c r="BH88" s="100">
        <v>8</v>
      </c>
      <c r="BI88" s="100">
        <v>7939.2</v>
      </c>
      <c r="BJ88" s="100">
        <v>11</v>
      </c>
      <c r="BK88" s="100">
        <v>10916.4</v>
      </c>
      <c r="BL88" s="100">
        <v>9</v>
      </c>
      <c r="BM88" s="100">
        <v>8931.6</v>
      </c>
      <c r="BN88" s="100">
        <v>11</v>
      </c>
      <c r="BO88" s="100">
        <v>10916.4</v>
      </c>
      <c r="BP88" s="100">
        <v>13</v>
      </c>
      <c r="BQ88" s="100">
        <v>12901.199999999999</v>
      </c>
      <c r="BR88" s="100">
        <v>9</v>
      </c>
      <c r="BS88" s="100">
        <v>8931.6</v>
      </c>
      <c r="BT88" s="100">
        <v>12</v>
      </c>
      <c r="BU88" s="100">
        <v>11908.8</v>
      </c>
      <c r="BV88" s="100">
        <v>10</v>
      </c>
      <c r="BW88" s="100">
        <v>9924</v>
      </c>
      <c r="BX88" s="100">
        <v>8</v>
      </c>
      <c r="BY88" s="100">
        <v>7939.2</v>
      </c>
      <c r="BZ88" s="100">
        <v>11</v>
      </c>
      <c r="CA88" s="100">
        <v>10916.4</v>
      </c>
      <c r="CB88" s="100">
        <v>11</v>
      </c>
      <c r="CC88" s="100">
        <v>10916.4</v>
      </c>
      <c r="CD88" s="100">
        <v>10</v>
      </c>
      <c r="CE88" s="100">
        <v>9924</v>
      </c>
      <c r="CF88" s="100">
        <v>7</v>
      </c>
      <c r="CG88" s="100">
        <v>6946.8</v>
      </c>
      <c r="CH88" s="100">
        <v>12</v>
      </c>
      <c r="CI88" s="100">
        <v>11908.8</v>
      </c>
      <c r="CJ88" s="100">
        <v>11</v>
      </c>
      <c r="CK88" s="100">
        <v>10916.4</v>
      </c>
      <c r="CL88" s="100">
        <v>11</v>
      </c>
      <c r="CM88" s="100">
        <v>10916.4</v>
      </c>
      <c r="CN88" s="100">
        <v>10</v>
      </c>
      <c r="CO88" s="100">
        <v>9924</v>
      </c>
      <c r="CP88" s="100">
        <v>9</v>
      </c>
      <c r="CQ88" s="100">
        <v>8931.6</v>
      </c>
      <c r="CR88" s="100">
        <v>7</v>
      </c>
      <c r="CS88" s="100">
        <v>6946.8</v>
      </c>
      <c r="CT88" s="100">
        <v>10</v>
      </c>
      <c r="CU88" s="100">
        <v>9924</v>
      </c>
    </row>
    <row r="89" spans="2:99">
      <c r="C89" s="99" t="s">
        <v>255</v>
      </c>
      <c r="D89" s="100">
        <v>8</v>
      </c>
      <c r="E89" s="100">
        <v>8496</v>
      </c>
      <c r="F89" s="100">
        <v>9</v>
      </c>
      <c r="G89" s="100">
        <v>9558</v>
      </c>
      <c r="H89" s="100">
        <v>9</v>
      </c>
      <c r="I89" s="100">
        <v>9558</v>
      </c>
      <c r="J89" s="100">
        <v>7</v>
      </c>
      <c r="K89" s="100">
        <v>7434</v>
      </c>
      <c r="L89" s="100">
        <v>9</v>
      </c>
      <c r="M89" s="100">
        <v>9558</v>
      </c>
      <c r="N89" s="100">
        <v>10</v>
      </c>
      <c r="O89" s="100">
        <v>10620</v>
      </c>
      <c r="P89" s="100">
        <v>7</v>
      </c>
      <c r="Q89" s="100">
        <v>7434</v>
      </c>
      <c r="R89" s="100">
        <v>8</v>
      </c>
      <c r="S89" s="100">
        <v>8496</v>
      </c>
      <c r="T89" s="100">
        <v>12</v>
      </c>
      <c r="U89" s="100">
        <v>12744</v>
      </c>
      <c r="V89" s="100">
        <v>6</v>
      </c>
      <c r="W89" s="100">
        <v>6372</v>
      </c>
      <c r="X89" s="100">
        <v>11</v>
      </c>
      <c r="Y89" s="100">
        <v>11682</v>
      </c>
      <c r="Z89" s="100">
        <v>11</v>
      </c>
      <c r="AA89" s="100">
        <v>11682</v>
      </c>
      <c r="AB89" s="100">
        <v>9</v>
      </c>
      <c r="AC89" s="100">
        <v>9558</v>
      </c>
      <c r="AD89" s="100">
        <v>9</v>
      </c>
      <c r="AE89" s="100">
        <v>9558</v>
      </c>
      <c r="AF89" s="100">
        <v>7</v>
      </c>
      <c r="AG89" s="100">
        <v>7434</v>
      </c>
      <c r="AH89" s="100">
        <v>7</v>
      </c>
      <c r="AI89" s="100">
        <v>7434</v>
      </c>
      <c r="AJ89" s="100">
        <v>7</v>
      </c>
      <c r="AK89" s="100">
        <v>7434</v>
      </c>
      <c r="AL89" s="100">
        <v>9</v>
      </c>
      <c r="AM89" s="100">
        <v>9558</v>
      </c>
      <c r="AN89" s="100">
        <v>9</v>
      </c>
      <c r="AO89" s="100">
        <v>9558</v>
      </c>
      <c r="AP89" s="100">
        <v>8</v>
      </c>
      <c r="AQ89" s="100">
        <v>8496</v>
      </c>
      <c r="AR89" s="100">
        <v>10</v>
      </c>
      <c r="AS89" s="100">
        <v>10620</v>
      </c>
      <c r="AT89" s="100">
        <v>8</v>
      </c>
      <c r="AU89" s="100">
        <v>8496</v>
      </c>
      <c r="AV89" s="100">
        <v>12</v>
      </c>
      <c r="AW89" s="100">
        <v>12744</v>
      </c>
      <c r="AX89" s="100">
        <v>12</v>
      </c>
      <c r="AY89" s="100">
        <v>12744</v>
      </c>
      <c r="AZ89" s="100">
        <v>8</v>
      </c>
      <c r="BA89" s="100">
        <v>8496</v>
      </c>
      <c r="BB89" s="100">
        <v>12</v>
      </c>
      <c r="BC89" s="100">
        <v>12744</v>
      </c>
      <c r="BD89" s="100">
        <v>11</v>
      </c>
      <c r="BE89" s="100">
        <v>11682</v>
      </c>
      <c r="BF89" s="100">
        <v>8</v>
      </c>
      <c r="BG89" s="100">
        <v>8496</v>
      </c>
      <c r="BH89" s="100">
        <v>8</v>
      </c>
      <c r="BI89" s="100">
        <v>8496</v>
      </c>
      <c r="BJ89" s="100">
        <v>12</v>
      </c>
      <c r="BK89" s="100">
        <v>12744</v>
      </c>
      <c r="BL89" s="100">
        <v>9</v>
      </c>
      <c r="BM89" s="100">
        <v>9558</v>
      </c>
      <c r="BN89" s="100">
        <v>11</v>
      </c>
      <c r="BO89" s="100">
        <v>11682</v>
      </c>
      <c r="BP89" s="100">
        <v>12</v>
      </c>
      <c r="BQ89" s="100">
        <v>12744</v>
      </c>
      <c r="BR89" s="100">
        <v>8</v>
      </c>
      <c r="BS89" s="100">
        <v>8496</v>
      </c>
      <c r="BT89" s="100">
        <v>14</v>
      </c>
      <c r="BU89" s="100">
        <v>14868</v>
      </c>
      <c r="BV89" s="100">
        <v>10</v>
      </c>
      <c r="BW89" s="100">
        <v>10620</v>
      </c>
      <c r="BX89" s="100">
        <v>8</v>
      </c>
      <c r="BY89" s="100">
        <v>8496</v>
      </c>
      <c r="BZ89" s="100">
        <v>10</v>
      </c>
      <c r="CA89" s="100">
        <v>10620</v>
      </c>
      <c r="CB89" s="100">
        <v>11</v>
      </c>
      <c r="CC89" s="100">
        <v>11682</v>
      </c>
      <c r="CD89" s="100">
        <v>11</v>
      </c>
      <c r="CE89" s="100">
        <v>11682</v>
      </c>
      <c r="CF89" s="100">
        <v>7</v>
      </c>
      <c r="CG89" s="100">
        <v>7434</v>
      </c>
      <c r="CH89" s="100">
        <v>11</v>
      </c>
      <c r="CI89" s="100">
        <v>11682</v>
      </c>
      <c r="CJ89" s="100">
        <v>12</v>
      </c>
      <c r="CK89" s="100">
        <v>12744</v>
      </c>
      <c r="CL89" s="100">
        <v>10</v>
      </c>
      <c r="CM89" s="100">
        <v>10620</v>
      </c>
      <c r="CN89" s="100">
        <v>10</v>
      </c>
      <c r="CO89" s="100">
        <v>10620</v>
      </c>
      <c r="CP89" s="100">
        <v>9</v>
      </c>
      <c r="CQ89" s="100">
        <v>9558</v>
      </c>
      <c r="CR89" s="100">
        <v>7</v>
      </c>
      <c r="CS89" s="100">
        <v>7434</v>
      </c>
      <c r="CT89" s="100">
        <v>10</v>
      </c>
      <c r="CU89" s="100">
        <v>10620</v>
      </c>
    </row>
    <row r="90" spans="2:99">
      <c r="C90" s="99" t="s">
        <v>256</v>
      </c>
      <c r="D90" s="100">
        <v>8</v>
      </c>
      <c r="E90" s="100">
        <v>8870.4</v>
      </c>
      <c r="F90" s="100">
        <v>9</v>
      </c>
      <c r="G90" s="100">
        <v>9979.1999999999989</v>
      </c>
      <c r="H90" s="100">
        <v>10</v>
      </c>
      <c r="I90" s="100">
        <v>11088</v>
      </c>
      <c r="J90" s="100">
        <v>7</v>
      </c>
      <c r="K90" s="100">
        <v>7761.5999999999995</v>
      </c>
      <c r="L90" s="100">
        <v>9</v>
      </c>
      <c r="M90" s="100">
        <v>9979.1999999999989</v>
      </c>
      <c r="N90" s="100">
        <v>10</v>
      </c>
      <c r="O90" s="100">
        <v>11088</v>
      </c>
      <c r="P90" s="100">
        <v>6</v>
      </c>
      <c r="Q90" s="100">
        <v>6652.7999999999993</v>
      </c>
      <c r="R90" s="100">
        <v>7</v>
      </c>
      <c r="S90" s="100">
        <v>7761.5999999999995</v>
      </c>
      <c r="T90" s="100">
        <v>11</v>
      </c>
      <c r="U90" s="100">
        <v>12196.8</v>
      </c>
      <c r="V90" s="100">
        <v>6</v>
      </c>
      <c r="W90" s="100">
        <v>6652.7999999999993</v>
      </c>
      <c r="X90" s="100">
        <v>12</v>
      </c>
      <c r="Y90" s="100">
        <v>13305.599999999999</v>
      </c>
      <c r="Z90" s="100">
        <v>11</v>
      </c>
      <c r="AA90" s="100">
        <v>12196.8</v>
      </c>
      <c r="AB90" s="100">
        <v>10</v>
      </c>
      <c r="AC90" s="100">
        <v>11088</v>
      </c>
      <c r="AD90" s="100">
        <v>9</v>
      </c>
      <c r="AE90" s="100">
        <v>9979.1999999999989</v>
      </c>
      <c r="AF90" s="100">
        <v>7</v>
      </c>
      <c r="AG90" s="100">
        <v>7761.5999999999995</v>
      </c>
      <c r="AH90" s="100">
        <v>7</v>
      </c>
      <c r="AI90" s="100">
        <v>7761.5999999999995</v>
      </c>
      <c r="AJ90" s="100">
        <v>7</v>
      </c>
      <c r="AK90" s="100">
        <v>7761.5999999999995</v>
      </c>
      <c r="AL90" s="100">
        <v>10</v>
      </c>
      <c r="AM90" s="100">
        <v>11088</v>
      </c>
      <c r="AN90" s="100">
        <v>9</v>
      </c>
      <c r="AO90" s="100">
        <v>9979.1999999999989</v>
      </c>
      <c r="AP90" s="100">
        <v>8</v>
      </c>
      <c r="AQ90" s="100">
        <v>8870.4</v>
      </c>
      <c r="AR90" s="100">
        <v>10</v>
      </c>
      <c r="AS90" s="100">
        <v>11088</v>
      </c>
      <c r="AT90" s="100">
        <v>8</v>
      </c>
      <c r="AU90" s="100">
        <v>8870.4</v>
      </c>
      <c r="AV90" s="100">
        <v>11</v>
      </c>
      <c r="AW90" s="100">
        <v>12196.8</v>
      </c>
      <c r="AX90" s="100">
        <v>13</v>
      </c>
      <c r="AY90" s="100">
        <v>14414.4</v>
      </c>
      <c r="AZ90" s="100">
        <v>8</v>
      </c>
      <c r="BA90" s="100">
        <v>8870.4</v>
      </c>
      <c r="BB90" s="100">
        <v>12</v>
      </c>
      <c r="BC90" s="100">
        <v>13305.599999999999</v>
      </c>
      <c r="BD90" s="100">
        <v>10</v>
      </c>
      <c r="BE90" s="100">
        <v>11088</v>
      </c>
      <c r="BF90" s="100">
        <v>8</v>
      </c>
      <c r="BG90" s="100">
        <v>8870.4</v>
      </c>
      <c r="BH90" s="100">
        <v>8</v>
      </c>
      <c r="BI90" s="100">
        <v>8870.4</v>
      </c>
      <c r="BJ90" s="100">
        <v>12</v>
      </c>
      <c r="BK90" s="100">
        <v>13305.599999999999</v>
      </c>
      <c r="BL90" s="100">
        <v>9</v>
      </c>
      <c r="BM90" s="100">
        <v>9979.1999999999989</v>
      </c>
      <c r="BN90" s="100">
        <v>11</v>
      </c>
      <c r="BO90" s="100">
        <v>12196.8</v>
      </c>
      <c r="BP90" s="100">
        <v>11</v>
      </c>
      <c r="BQ90" s="100">
        <v>12196.8</v>
      </c>
      <c r="BR90" s="100">
        <v>8</v>
      </c>
      <c r="BS90" s="100">
        <v>8870.4</v>
      </c>
      <c r="BT90" s="100">
        <v>12</v>
      </c>
      <c r="BU90" s="100">
        <v>13305.599999999999</v>
      </c>
      <c r="BV90" s="100">
        <v>10</v>
      </c>
      <c r="BW90" s="100">
        <v>11088</v>
      </c>
      <c r="BX90" s="100">
        <v>8</v>
      </c>
      <c r="BY90" s="100">
        <v>8870.4</v>
      </c>
      <c r="BZ90" s="100">
        <v>10</v>
      </c>
      <c r="CA90" s="100">
        <v>11088</v>
      </c>
      <c r="CB90" s="100">
        <v>12</v>
      </c>
      <c r="CC90" s="100">
        <v>13305.599999999999</v>
      </c>
      <c r="CD90" s="100">
        <v>10</v>
      </c>
      <c r="CE90" s="100">
        <v>11088</v>
      </c>
      <c r="CF90" s="100">
        <v>6</v>
      </c>
      <c r="CG90" s="100">
        <v>6652.7999999999993</v>
      </c>
      <c r="CH90" s="100">
        <v>13</v>
      </c>
      <c r="CI90" s="100">
        <v>14414.4</v>
      </c>
      <c r="CJ90" s="100">
        <v>10</v>
      </c>
      <c r="CK90" s="100">
        <v>11088</v>
      </c>
      <c r="CL90" s="100">
        <v>11</v>
      </c>
      <c r="CM90" s="100">
        <v>12196.8</v>
      </c>
      <c r="CN90" s="100">
        <v>10</v>
      </c>
      <c r="CO90" s="100">
        <v>11088</v>
      </c>
      <c r="CP90" s="100">
        <v>9</v>
      </c>
      <c r="CQ90" s="100">
        <v>9979.1999999999989</v>
      </c>
      <c r="CR90" s="100">
        <v>8</v>
      </c>
      <c r="CS90" s="100">
        <v>8870.4</v>
      </c>
      <c r="CT90" s="100">
        <v>10</v>
      </c>
      <c r="CU90" s="100">
        <v>11088</v>
      </c>
    </row>
    <row r="91" spans="2:99">
      <c r="C91" s="99" t="s">
        <v>257</v>
      </c>
      <c r="D91" s="100">
        <v>7</v>
      </c>
      <c r="E91" s="100">
        <v>7954.7999999999993</v>
      </c>
      <c r="F91" s="100">
        <v>10</v>
      </c>
      <c r="G91" s="100">
        <v>11363.999999999998</v>
      </c>
      <c r="H91" s="100">
        <v>10</v>
      </c>
      <c r="I91" s="100">
        <v>11363.999999999998</v>
      </c>
      <c r="J91" s="100">
        <v>7</v>
      </c>
      <c r="K91" s="100">
        <v>7954.7999999999993</v>
      </c>
      <c r="L91" s="100">
        <v>8</v>
      </c>
      <c r="M91" s="100">
        <v>9091.1999999999989</v>
      </c>
      <c r="N91" s="100">
        <v>10</v>
      </c>
      <c r="O91" s="100">
        <v>11363.999999999998</v>
      </c>
      <c r="P91" s="100">
        <v>7</v>
      </c>
      <c r="Q91" s="100">
        <v>7954.7999999999993</v>
      </c>
      <c r="R91" s="100">
        <v>7</v>
      </c>
      <c r="S91" s="100">
        <v>7954.7999999999993</v>
      </c>
      <c r="T91" s="100">
        <v>12</v>
      </c>
      <c r="U91" s="100">
        <v>13636.8</v>
      </c>
      <c r="V91" s="100">
        <v>6</v>
      </c>
      <c r="W91" s="100">
        <v>6818.4</v>
      </c>
      <c r="X91" s="100">
        <v>12</v>
      </c>
      <c r="Y91" s="100">
        <v>13636.8</v>
      </c>
      <c r="Z91" s="100">
        <v>11</v>
      </c>
      <c r="AA91" s="100">
        <v>12500.399999999998</v>
      </c>
      <c r="AB91" s="100">
        <v>9</v>
      </c>
      <c r="AC91" s="100">
        <v>10227.599999999999</v>
      </c>
      <c r="AD91" s="100">
        <v>9</v>
      </c>
      <c r="AE91" s="100">
        <v>10227.599999999999</v>
      </c>
      <c r="AF91" s="100">
        <v>7</v>
      </c>
      <c r="AG91" s="100">
        <v>7954.7999999999993</v>
      </c>
      <c r="AH91" s="100">
        <v>7</v>
      </c>
      <c r="AI91" s="100">
        <v>7954.7999999999993</v>
      </c>
      <c r="AJ91" s="100">
        <v>7</v>
      </c>
      <c r="AK91" s="100">
        <v>7954.7999999999993</v>
      </c>
      <c r="AL91" s="100">
        <v>11</v>
      </c>
      <c r="AM91" s="100">
        <v>12500.399999999998</v>
      </c>
      <c r="AN91" s="100">
        <v>9</v>
      </c>
      <c r="AO91" s="100">
        <v>10227.599999999999</v>
      </c>
      <c r="AP91" s="100">
        <v>7</v>
      </c>
      <c r="AQ91" s="100">
        <v>7954.7999999999993</v>
      </c>
      <c r="AR91" s="100">
        <v>9</v>
      </c>
      <c r="AS91" s="100">
        <v>10227.599999999999</v>
      </c>
      <c r="AT91" s="100">
        <v>7</v>
      </c>
      <c r="AU91" s="100">
        <v>7954.7999999999993</v>
      </c>
      <c r="AV91" s="100">
        <v>11</v>
      </c>
      <c r="AW91" s="100">
        <v>12500.399999999998</v>
      </c>
      <c r="AX91" s="100">
        <v>12</v>
      </c>
      <c r="AY91" s="100">
        <v>13636.8</v>
      </c>
      <c r="AZ91" s="100">
        <v>8</v>
      </c>
      <c r="BA91" s="100">
        <v>9091.1999999999989</v>
      </c>
      <c r="BB91" s="100">
        <v>11</v>
      </c>
      <c r="BC91" s="100">
        <v>12500.399999999998</v>
      </c>
      <c r="BD91" s="100">
        <v>11</v>
      </c>
      <c r="BE91" s="100">
        <v>12500.399999999998</v>
      </c>
      <c r="BF91" s="100">
        <v>8</v>
      </c>
      <c r="BG91" s="100">
        <v>9091.1999999999989</v>
      </c>
      <c r="BH91" s="100">
        <v>8</v>
      </c>
      <c r="BI91" s="100">
        <v>9091.1999999999989</v>
      </c>
      <c r="BJ91" s="100">
        <v>11</v>
      </c>
      <c r="BK91" s="100">
        <v>12500.399999999998</v>
      </c>
      <c r="BL91" s="100">
        <v>9</v>
      </c>
      <c r="BM91" s="100">
        <v>10227.599999999999</v>
      </c>
      <c r="BN91" s="100">
        <v>10</v>
      </c>
      <c r="BO91" s="100">
        <v>11363.999999999998</v>
      </c>
      <c r="BP91" s="100">
        <v>12</v>
      </c>
      <c r="BQ91" s="100">
        <v>13636.8</v>
      </c>
      <c r="BR91" s="100">
        <v>7</v>
      </c>
      <c r="BS91" s="100">
        <v>7954.7999999999993</v>
      </c>
      <c r="BT91" s="100">
        <v>14</v>
      </c>
      <c r="BU91" s="100">
        <v>15909.599999999999</v>
      </c>
      <c r="BV91" s="100">
        <v>11</v>
      </c>
      <c r="BW91" s="100">
        <v>12500.399999999998</v>
      </c>
      <c r="BX91" s="100">
        <v>9</v>
      </c>
      <c r="BY91" s="100">
        <v>10227.599999999999</v>
      </c>
      <c r="BZ91" s="100">
        <v>11</v>
      </c>
      <c r="CA91" s="100">
        <v>12500.399999999998</v>
      </c>
      <c r="CB91" s="100">
        <v>12</v>
      </c>
      <c r="CC91" s="100">
        <v>13636.8</v>
      </c>
      <c r="CD91" s="100">
        <v>10</v>
      </c>
      <c r="CE91" s="100">
        <v>11363.999999999998</v>
      </c>
      <c r="CF91" s="100">
        <v>7</v>
      </c>
      <c r="CG91" s="100">
        <v>7954.7999999999993</v>
      </c>
      <c r="CH91" s="100">
        <v>13</v>
      </c>
      <c r="CI91" s="100">
        <v>14773.199999999999</v>
      </c>
      <c r="CJ91" s="100">
        <v>10</v>
      </c>
      <c r="CK91" s="100">
        <v>11363.999999999998</v>
      </c>
      <c r="CL91" s="100">
        <v>10</v>
      </c>
      <c r="CM91" s="100">
        <v>11363.999999999998</v>
      </c>
      <c r="CN91" s="100">
        <v>11</v>
      </c>
      <c r="CO91" s="100">
        <v>12500.399999999998</v>
      </c>
      <c r="CP91" s="100">
        <v>8</v>
      </c>
      <c r="CQ91" s="100">
        <v>9091.1999999999989</v>
      </c>
      <c r="CR91" s="100">
        <v>6</v>
      </c>
      <c r="CS91" s="100">
        <v>6818.4</v>
      </c>
      <c r="CT91" s="100">
        <v>11</v>
      </c>
      <c r="CU91" s="100">
        <v>12500.399999999998</v>
      </c>
    </row>
    <row r="92" spans="2:99">
      <c r="C92" s="99" t="s">
        <v>258</v>
      </c>
      <c r="D92" s="100">
        <v>8</v>
      </c>
      <c r="E92" s="100">
        <v>6278.4</v>
      </c>
      <c r="F92" s="100">
        <v>9</v>
      </c>
      <c r="G92" s="100">
        <v>7063.2</v>
      </c>
      <c r="H92" s="100">
        <v>10</v>
      </c>
      <c r="I92" s="100">
        <v>7848</v>
      </c>
      <c r="J92" s="100">
        <v>7</v>
      </c>
      <c r="K92" s="100">
        <v>5493.5999999999995</v>
      </c>
      <c r="L92" s="100">
        <v>9</v>
      </c>
      <c r="M92" s="100">
        <v>7063.2</v>
      </c>
      <c r="N92" s="100">
        <v>12</v>
      </c>
      <c r="O92" s="100">
        <v>9417.5999999999985</v>
      </c>
      <c r="P92" s="100">
        <v>7</v>
      </c>
      <c r="Q92" s="100">
        <v>5493.5999999999995</v>
      </c>
      <c r="R92" s="100">
        <v>8</v>
      </c>
      <c r="S92" s="100">
        <v>6278.4</v>
      </c>
      <c r="T92" s="100">
        <v>13</v>
      </c>
      <c r="U92" s="100">
        <v>10202.4</v>
      </c>
      <c r="V92" s="100">
        <v>6</v>
      </c>
      <c r="W92" s="100">
        <v>4708.7999999999993</v>
      </c>
      <c r="X92" s="100">
        <v>11</v>
      </c>
      <c r="Y92" s="100">
        <v>8632.7999999999993</v>
      </c>
      <c r="Z92" s="100">
        <v>10</v>
      </c>
      <c r="AA92" s="100">
        <v>7848</v>
      </c>
      <c r="AB92" s="100">
        <v>10</v>
      </c>
      <c r="AC92" s="100">
        <v>7848</v>
      </c>
      <c r="AD92" s="100">
        <v>9</v>
      </c>
      <c r="AE92" s="100">
        <v>7063.2</v>
      </c>
      <c r="AF92" s="100">
        <v>8</v>
      </c>
      <c r="AG92" s="100">
        <v>6278.4</v>
      </c>
      <c r="AH92" s="100">
        <v>8</v>
      </c>
      <c r="AI92" s="100">
        <v>6278.4</v>
      </c>
      <c r="AJ92" s="100">
        <v>7</v>
      </c>
      <c r="AK92" s="100">
        <v>5493.5999999999995</v>
      </c>
      <c r="AL92" s="100">
        <v>11</v>
      </c>
      <c r="AM92" s="100">
        <v>8632.7999999999993</v>
      </c>
      <c r="AN92" s="100">
        <v>9</v>
      </c>
      <c r="AO92" s="100">
        <v>7063.2</v>
      </c>
      <c r="AP92" s="100">
        <v>7</v>
      </c>
      <c r="AQ92" s="100">
        <v>5493.5999999999995</v>
      </c>
      <c r="AR92" s="100">
        <v>10</v>
      </c>
      <c r="AS92" s="100">
        <v>7848</v>
      </c>
      <c r="AT92" s="100">
        <v>8</v>
      </c>
      <c r="AU92" s="100">
        <v>6278.4</v>
      </c>
      <c r="AV92" s="100">
        <v>12</v>
      </c>
      <c r="AW92" s="100">
        <v>9417.5999999999985</v>
      </c>
      <c r="AX92" s="100">
        <v>12</v>
      </c>
      <c r="AY92" s="100">
        <v>9417.5999999999985</v>
      </c>
      <c r="AZ92" s="100">
        <v>8</v>
      </c>
      <c r="BA92" s="100">
        <v>6278.4</v>
      </c>
      <c r="BB92" s="100">
        <v>11</v>
      </c>
      <c r="BC92" s="100">
        <v>8632.7999999999993</v>
      </c>
      <c r="BD92" s="100">
        <v>12</v>
      </c>
      <c r="BE92" s="100">
        <v>9417.5999999999985</v>
      </c>
      <c r="BF92" s="100">
        <v>8</v>
      </c>
      <c r="BG92" s="100">
        <v>6278.4</v>
      </c>
      <c r="BH92" s="100">
        <v>7</v>
      </c>
      <c r="BI92" s="100">
        <v>5493.5999999999995</v>
      </c>
      <c r="BJ92" s="100">
        <v>12</v>
      </c>
      <c r="BK92" s="100">
        <v>9417.5999999999985</v>
      </c>
      <c r="BL92" s="100">
        <v>10</v>
      </c>
      <c r="BM92" s="100">
        <v>7848</v>
      </c>
      <c r="BN92" s="100">
        <v>10</v>
      </c>
      <c r="BO92" s="100">
        <v>7848</v>
      </c>
      <c r="BP92" s="100">
        <v>13</v>
      </c>
      <c r="BQ92" s="100">
        <v>10202.4</v>
      </c>
      <c r="BR92" s="100">
        <v>7</v>
      </c>
      <c r="BS92" s="100">
        <v>5493.5999999999995</v>
      </c>
      <c r="BT92" s="100">
        <v>12</v>
      </c>
      <c r="BU92" s="100">
        <v>9417.5999999999985</v>
      </c>
      <c r="BV92" s="100">
        <v>12</v>
      </c>
      <c r="BW92" s="100">
        <v>9417.5999999999985</v>
      </c>
      <c r="BX92" s="100">
        <v>8</v>
      </c>
      <c r="BY92" s="100">
        <v>6278.4</v>
      </c>
      <c r="BZ92" s="100">
        <v>10</v>
      </c>
      <c r="CA92" s="100">
        <v>7848</v>
      </c>
      <c r="CB92" s="100">
        <v>11</v>
      </c>
      <c r="CC92" s="100">
        <v>8632.7999999999993</v>
      </c>
      <c r="CD92" s="100">
        <v>11</v>
      </c>
      <c r="CE92" s="100">
        <v>8632.7999999999993</v>
      </c>
      <c r="CF92" s="100">
        <v>7</v>
      </c>
      <c r="CG92" s="100">
        <v>5493.5999999999995</v>
      </c>
      <c r="CH92" s="100">
        <v>14</v>
      </c>
      <c r="CI92" s="100">
        <v>10987.199999999999</v>
      </c>
      <c r="CJ92" s="100">
        <v>12</v>
      </c>
      <c r="CK92" s="100">
        <v>9417.5999999999985</v>
      </c>
      <c r="CL92" s="100">
        <v>12</v>
      </c>
      <c r="CM92" s="100">
        <v>9417.5999999999985</v>
      </c>
      <c r="CN92" s="100">
        <v>11</v>
      </c>
      <c r="CO92" s="100">
        <v>8632.7999999999993</v>
      </c>
      <c r="CP92" s="100">
        <v>9</v>
      </c>
      <c r="CQ92" s="100">
        <v>7063.2</v>
      </c>
      <c r="CR92" s="100">
        <v>8</v>
      </c>
      <c r="CS92" s="100">
        <v>6278.4</v>
      </c>
      <c r="CT92" s="100">
        <v>11</v>
      </c>
      <c r="CU92" s="100">
        <v>8632.7999999999993</v>
      </c>
    </row>
    <row r="93" spans="2:99">
      <c r="C93" s="99" t="s">
        <v>259</v>
      </c>
      <c r="D93" s="100">
        <v>8</v>
      </c>
      <c r="E93" s="100">
        <v>5548.8</v>
      </c>
      <c r="F93" s="100">
        <v>10</v>
      </c>
      <c r="G93" s="100">
        <v>6936</v>
      </c>
      <c r="H93" s="100">
        <v>10</v>
      </c>
      <c r="I93" s="100">
        <v>6936</v>
      </c>
      <c r="J93" s="100">
        <v>7</v>
      </c>
      <c r="K93" s="100">
        <v>4855.2</v>
      </c>
      <c r="L93" s="100">
        <v>9</v>
      </c>
      <c r="M93" s="100">
        <v>6242.4000000000005</v>
      </c>
      <c r="N93" s="100">
        <v>11</v>
      </c>
      <c r="O93" s="100">
        <v>7629.6</v>
      </c>
      <c r="P93" s="100">
        <v>7</v>
      </c>
      <c r="Q93" s="100">
        <v>4855.2</v>
      </c>
      <c r="R93" s="100">
        <v>8</v>
      </c>
      <c r="S93" s="100">
        <v>5548.8</v>
      </c>
      <c r="T93" s="100">
        <v>12</v>
      </c>
      <c r="U93" s="100">
        <v>8323.2000000000007</v>
      </c>
      <c r="V93" s="100">
        <v>6</v>
      </c>
      <c r="W93" s="100">
        <v>4161.6000000000004</v>
      </c>
      <c r="X93" s="100">
        <v>12</v>
      </c>
      <c r="Y93" s="100">
        <v>8323.2000000000007</v>
      </c>
      <c r="Z93" s="100">
        <v>11</v>
      </c>
      <c r="AA93" s="100">
        <v>7629.6</v>
      </c>
      <c r="AB93" s="100">
        <v>10</v>
      </c>
      <c r="AC93" s="100">
        <v>6936</v>
      </c>
      <c r="AD93" s="100">
        <v>10</v>
      </c>
      <c r="AE93" s="100">
        <v>6936</v>
      </c>
      <c r="AF93" s="100">
        <v>8</v>
      </c>
      <c r="AG93" s="100">
        <v>5548.8</v>
      </c>
      <c r="AH93" s="100">
        <v>7</v>
      </c>
      <c r="AI93" s="100">
        <v>4855.2</v>
      </c>
      <c r="AJ93" s="100">
        <v>7</v>
      </c>
      <c r="AK93" s="100">
        <v>4855.2</v>
      </c>
      <c r="AL93" s="100">
        <v>10</v>
      </c>
      <c r="AM93" s="100">
        <v>6936</v>
      </c>
      <c r="AN93" s="100">
        <v>9</v>
      </c>
      <c r="AO93" s="100">
        <v>6242.4000000000005</v>
      </c>
      <c r="AP93" s="100">
        <v>8</v>
      </c>
      <c r="AQ93" s="100">
        <v>5548.8</v>
      </c>
      <c r="AR93" s="100">
        <v>9</v>
      </c>
      <c r="AS93" s="100">
        <v>6242.4000000000005</v>
      </c>
      <c r="AT93" s="100">
        <v>8</v>
      </c>
      <c r="AU93" s="100">
        <v>5548.8</v>
      </c>
      <c r="AV93" s="100">
        <v>12</v>
      </c>
      <c r="AW93" s="100">
        <v>8323.2000000000007</v>
      </c>
      <c r="AX93" s="100">
        <v>13</v>
      </c>
      <c r="AY93" s="100">
        <v>9016.8000000000011</v>
      </c>
      <c r="AZ93" s="100">
        <v>8</v>
      </c>
      <c r="BA93" s="100">
        <v>5548.8</v>
      </c>
      <c r="BB93" s="100">
        <v>11</v>
      </c>
      <c r="BC93" s="100">
        <v>7629.6</v>
      </c>
      <c r="BD93" s="100">
        <v>11</v>
      </c>
      <c r="BE93" s="100">
        <v>7629.6</v>
      </c>
      <c r="BF93" s="100">
        <v>9</v>
      </c>
      <c r="BG93" s="100">
        <v>6242.4000000000005</v>
      </c>
      <c r="BH93" s="100">
        <v>9</v>
      </c>
      <c r="BI93" s="100">
        <v>6242.4000000000005</v>
      </c>
      <c r="BJ93" s="100">
        <v>11</v>
      </c>
      <c r="BK93" s="100">
        <v>7629.6</v>
      </c>
      <c r="BL93" s="100">
        <v>10</v>
      </c>
      <c r="BM93" s="100">
        <v>6936</v>
      </c>
      <c r="BN93" s="100">
        <v>10</v>
      </c>
      <c r="BO93" s="100">
        <v>6936</v>
      </c>
      <c r="BP93" s="100">
        <v>12</v>
      </c>
      <c r="BQ93" s="100">
        <v>8323.2000000000007</v>
      </c>
      <c r="BR93" s="100">
        <v>8</v>
      </c>
      <c r="BS93" s="100">
        <v>5548.8</v>
      </c>
      <c r="BT93" s="100">
        <v>14</v>
      </c>
      <c r="BU93" s="100">
        <v>9710.4</v>
      </c>
      <c r="BV93" s="100">
        <v>11</v>
      </c>
      <c r="BW93" s="100">
        <v>7629.6</v>
      </c>
      <c r="BX93" s="100">
        <v>9</v>
      </c>
      <c r="BY93" s="100">
        <v>6242.4000000000005</v>
      </c>
      <c r="BZ93" s="100">
        <v>10</v>
      </c>
      <c r="CA93" s="100">
        <v>6936</v>
      </c>
      <c r="CB93" s="100">
        <v>13</v>
      </c>
      <c r="CC93" s="100">
        <v>9016.8000000000011</v>
      </c>
      <c r="CD93" s="100">
        <v>11</v>
      </c>
      <c r="CE93" s="100">
        <v>7629.6</v>
      </c>
      <c r="CF93" s="100">
        <v>7</v>
      </c>
      <c r="CG93" s="100">
        <v>4855.2</v>
      </c>
      <c r="CH93" s="100">
        <v>13</v>
      </c>
      <c r="CI93" s="100">
        <v>9016.8000000000011</v>
      </c>
      <c r="CJ93" s="100">
        <v>11</v>
      </c>
      <c r="CK93" s="100">
        <v>7629.6</v>
      </c>
      <c r="CL93" s="100">
        <v>10</v>
      </c>
      <c r="CM93" s="100">
        <v>6936</v>
      </c>
      <c r="CN93" s="100">
        <v>10</v>
      </c>
      <c r="CO93" s="100">
        <v>6936</v>
      </c>
      <c r="CP93" s="100">
        <v>9</v>
      </c>
      <c r="CQ93" s="100">
        <v>6242.4000000000005</v>
      </c>
      <c r="CR93" s="100">
        <v>8</v>
      </c>
      <c r="CS93" s="100">
        <v>5548.8</v>
      </c>
      <c r="CT93" s="100">
        <v>11</v>
      </c>
      <c r="CU93" s="100">
        <v>7629.6</v>
      </c>
    </row>
    <row r="94" spans="2:99">
      <c r="C94" s="99" t="s">
        <v>260</v>
      </c>
      <c r="D94" s="100">
        <v>8</v>
      </c>
      <c r="E94" s="100">
        <v>9542.4</v>
      </c>
      <c r="F94" s="100">
        <v>9</v>
      </c>
      <c r="G94" s="100">
        <v>10735.199999999999</v>
      </c>
      <c r="H94" s="100">
        <v>9</v>
      </c>
      <c r="I94" s="100">
        <v>10735.199999999999</v>
      </c>
      <c r="J94" s="100">
        <v>7</v>
      </c>
      <c r="K94" s="100">
        <v>8349.6</v>
      </c>
      <c r="L94" s="100">
        <v>8</v>
      </c>
      <c r="M94" s="100">
        <v>9542.4</v>
      </c>
      <c r="N94" s="100">
        <v>10</v>
      </c>
      <c r="O94" s="100">
        <v>11928</v>
      </c>
      <c r="P94" s="100">
        <v>6</v>
      </c>
      <c r="Q94" s="100">
        <v>7156.7999999999993</v>
      </c>
      <c r="R94" s="100">
        <v>8</v>
      </c>
      <c r="S94" s="100">
        <v>9542.4</v>
      </c>
      <c r="T94" s="100">
        <v>12</v>
      </c>
      <c r="U94" s="100">
        <v>14313.599999999999</v>
      </c>
      <c r="V94" s="100">
        <v>6</v>
      </c>
      <c r="W94" s="100">
        <v>7156.7999999999993</v>
      </c>
      <c r="X94" s="100">
        <v>10</v>
      </c>
      <c r="Y94" s="100">
        <v>11928</v>
      </c>
      <c r="Z94" s="100">
        <v>12</v>
      </c>
      <c r="AA94" s="100">
        <v>14313.599999999999</v>
      </c>
      <c r="AB94" s="100">
        <v>9</v>
      </c>
      <c r="AC94" s="100">
        <v>10735.199999999999</v>
      </c>
      <c r="AD94" s="100">
        <v>9</v>
      </c>
      <c r="AE94" s="100">
        <v>10735.199999999999</v>
      </c>
      <c r="AF94" s="100">
        <v>8</v>
      </c>
      <c r="AG94" s="100">
        <v>9542.4</v>
      </c>
      <c r="AH94" s="100">
        <v>7</v>
      </c>
      <c r="AI94" s="100">
        <v>8349.6</v>
      </c>
      <c r="AJ94" s="100">
        <v>7</v>
      </c>
      <c r="AK94" s="100">
        <v>8349.6</v>
      </c>
      <c r="AL94" s="100">
        <v>11</v>
      </c>
      <c r="AM94" s="100">
        <v>13120.8</v>
      </c>
      <c r="AN94" s="100">
        <v>9</v>
      </c>
      <c r="AO94" s="100">
        <v>10735.199999999999</v>
      </c>
      <c r="AP94" s="100">
        <v>7</v>
      </c>
      <c r="AQ94" s="100">
        <v>8349.6</v>
      </c>
      <c r="AR94" s="100">
        <v>9</v>
      </c>
      <c r="AS94" s="100">
        <v>10735.199999999999</v>
      </c>
      <c r="AT94" s="100">
        <v>9</v>
      </c>
      <c r="AU94" s="100">
        <v>10735.199999999999</v>
      </c>
      <c r="AV94" s="100">
        <v>13</v>
      </c>
      <c r="AW94" s="100">
        <v>15506.4</v>
      </c>
      <c r="AX94" s="100">
        <v>13</v>
      </c>
      <c r="AY94" s="100">
        <v>15506.4</v>
      </c>
      <c r="AZ94" s="100">
        <v>7</v>
      </c>
      <c r="BA94" s="100">
        <v>8349.6</v>
      </c>
      <c r="BB94" s="100">
        <v>10</v>
      </c>
      <c r="BC94" s="100">
        <v>11928</v>
      </c>
      <c r="BD94" s="100">
        <v>10</v>
      </c>
      <c r="BE94" s="100">
        <v>11928</v>
      </c>
      <c r="BF94" s="100">
        <v>9</v>
      </c>
      <c r="BG94" s="100">
        <v>10735.199999999999</v>
      </c>
      <c r="BH94" s="100">
        <v>7</v>
      </c>
      <c r="BI94" s="100">
        <v>8349.6</v>
      </c>
      <c r="BJ94" s="100">
        <v>13</v>
      </c>
      <c r="BK94" s="100">
        <v>15506.4</v>
      </c>
      <c r="BL94" s="100">
        <v>9</v>
      </c>
      <c r="BM94" s="100">
        <v>10735.199999999999</v>
      </c>
      <c r="BN94" s="100">
        <v>10</v>
      </c>
      <c r="BO94" s="100">
        <v>11928</v>
      </c>
      <c r="BP94" s="100">
        <v>11</v>
      </c>
      <c r="BQ94" s="100">
        <v>13120.8</v>
      </c>
      <c r="BR94" s="100">
        <v>7</v>
      </c>
      <c r="BS94" s="100">
        <v>8349.6</v>
      </c>
      <c r="BT94" s="100">
        <v>13</v>
      </c>
      <c r="BU94" s="100">
        <v>15506.4</v>
      </c>
      <c r="BV94" s="100">
        <v>12</v>
      </c>
      <c r="BW94" s="100">
        <v>14313.599999999999</v>
      </c>
      <c r="BX94" s="100">
        <v>9</v>
      </c>
      <c r="BY94" s="100">
        <v>10735.199999999999</v>
      </c>
      <c r="BZ94" s="100">
        <v>10</v>
      </c>
      <c r="CA94" s="100">
        <v>11928</v>
      </c>
      <c r="CB94" s="100">
        <v>11</v>
      </c>
      <c r="CC94" s="100">
        <v>13120.8</v>
      </c>
      <c r="CD94" s="100">
        <v>9</v>
      </c>
      <c r="CE94" s="100">
        <v>10735.199999999999</v>
      </c>
      <c r="CF94" s="100">
        <v>7</v>
      </c>
      <c r="CG94" s="100">
        <v>8349.6</v>
      </c>
      <c r="CH94" s="100">
        <v>13</v>
      </c>
      <c r="CI94" s="100">
        <v>15506.4</v>
      </c>
      <c r="CJ94" s="100">
        <v>11</v>
      </c>
      <c r="CK94" s="100">
        <v>13120.8</v>
      </c>
      <c r="CL94" s="100">
        <v>10</v>
      </c>
      <c r="CM94" s="100">
        <v>11928</v>
      </c>
      <c r="CN94" s="100">
        <v>11</v>
      </c>
      <c r="CO94" s="100">
        <v>13120.8</v>
      </c>
      <c r="CP94" s="100">
        <v>9</v>
      </c>
      <c r="CQ94" s="100">
        <v>10735.199999999999</v>
      </c>
      <c r="CR94" s="100">
        <v>7</v>
      </c>
      <c r="CS94" s="100">
        <v>8349.6</v>
      </c>
      <c r="CT94" s="100">
        <v>10</v>
      </c>
      <c r="CU94" s="100">
        <v>11928</v>
      </c>
    </row>
    <row r="95" spans="2:99">
      <c r="B95" s="99" t="s">
        <v>132</v>
      </c>
      <c r="C95" s="99" t="s">
        <v>261</v>
      </c>
      <c r="D95" s="100">
        <v>6</v>
      </c>
      <c r="E95" s="100">
        <v>1972.8000000000002</v>
      </c>
      <c r="F95" s="100">
        <v>7</v>
      </c>
      <c r="G95" s="100">
        <v>2301.6</v>
      </c>
      <c r="H95" s="100">
        <v>8</v>
      </c>
      <c r="I95" s="100">
        <v>2630.4</v>
      </c>
      <c r="J95" s="100">
        <v>7</v>
      </c>
      <c r="K95" s="100">
        <v>2301.6</v>
      </c>
      <c r="L95" s="100">
        <v>8</v>
      </c>
      <c r="M95" s="100">
        <v>2630.4</v>
      </c>
      <c r="N95" s="100">
        <v>8</v>
      </c>
      <c r="O95" s="100">
        <v>2630.4</v>
      </c>
      <c r="P95" s="100">
        <v>7</v>
      </c>
      <c r="Q95" s="100">
        <v>2301.6</v>
      </c>
      <c r="R95" s="100">
        <v>9</v>
      </c>
      <c r="S95" s="100">
        <v>2959.2000000000003</v>
      </c>
      <c r="T95" s="100">
        <v>11</v>
      </c>
      <c r="U95" s="100">
        <v>3616.8</v>
      </c>
      <c r="V95" s="100">
        <v>10</v>
      </c>
      <c r="W95" s="100">
        <v>3288</v>
      </c>
      <c r="X95" s="100">
        <v>10</v>
      </c>
      <c r="Y95" s="100">
        <v>3288</v>
      </c>
      <c r="Z95" s="100">
        <v>11</v>
      </c>
      <c r="AA95" s="100">
        <v>3616.8</v>
      </c>
      <c r="AB95" s="100">
        <v>9</v>
      </c>
      <c r="AC95" s="100">
        <v>2959.2000000000003</v>
      </c>
      <c r="AD95" s="100">
        <v>9</v>
      </c>
      <c r="AE95" s="100">
        <v>2959.2000000000003</v>
      </c>
      <c r="AF95" s="100">
        <v>10</v>
      </c>
      <c r="AG95" s="100">
        <v>3288</v>
      </c>
      <c r="AH95" s="100">
        <v>10</v>
      </c>
      <c r="AI95" s="100">
        <v>3288</v>
      </c>
      <c r="AJ95" s="100">
        <v>8</v>
      </c>
      <c r="AK95" s="100">
        <v>2630.4</v>
      </c>
      <c r="AL95" s="100">
        <v>7</v>
      </c>
      <c r="AM95" s="100">
        <v>2301.6</v>
      </c>
      <c r="AN95" s="100">
        <v>9</v>
      </c>
      <c r="AO95" s="100">
        <v>2959.2000000000003</v>
      </c>
      <c r="AP95" s="100">
        <v>10</v>
      </c>
      <c r="AQ95" s="100">
        <v>3288</v>
      </c>
      <c r="AR95" s="100">
        <v>6</v>
      </c>
      <c r="AS95" s="100">
        <v>1972.8000000000002</v>
      </c>
      <c r="AT95" s="100">
        <v>6</v>
      </c>
      <c r="AU95" s="100">
        <v>1972.8000000000002</v>
      </c>
      <c r="AV95" s="100">
        <v>8</v>
      </c>
      <c r="AW95" s="100">
        <v>2630.4</v>
      </c>
      <c r="AX95" s="100">
        <v>11</v>
      </c>
      <c r="AY95" s="100">
        <v>3616.8</v>
      </c>
      <c r="AZ95" s="100">
        <v>9</v>
      </c>
      <c r="BA95" s="100">
        <v>2959.2000000000003</v>
      </c>
      <c r="BB95" s="100">
        <v>10</v>
      </c>
      <c r="BC95" s="100">
        <v>3288</v>
      </c>
      <c r="BD95" s="100">
        <v>7</v>
      </c>
      <c r="BE95" s="100">
        <v>2301.6</v>
      </c>
      <c r="BF95" s="100">
        <v>8</v>
      </c>
      <c r="BG95" s="100">
        <v>2630.4</v>
      </c>
      <c r="BH95" s="100">
        <v>8</v>
      </c>
      <c r="BI95" s="100">
        <v>2630.4</v>
      </c>
      <c r="BJ95" s="100">
        <v>6</v>
      </c>
      <c r="BK95" s="100">
        <v>1972.8000000000002</v>
      </c>
      <c r="BL95" s="100">
        <v>12</v>
      </c>
      <c r="BM95" s="100">
        <v>3945.6000000000004</v>
      </c>
      <c r="BN95" s="100">
        <v>9</v>
      </c>
      <c r="BO95" s="100">
        <v>2959.2000000000003</v>
      </c>
      <c r="BP95" s="100">
        <v>8</v>
      </c>
      <c r="BQ95" s="100">
        <v>2630.4</v>
      </c>
      <c r="BR95" s="100">
        <v>8</v>
      </c>
      <c r="BS95" s="100">
        <v>2630.4</v>
      </c>
      <c r="BT95" s="100">
        <v>10</v>
      </c>
      <c r="BU95" s="100">
        <v>3288</v>
      </c>
      <c r="BV95" s="100">
        <v>7</v>
      </c>
      <c r="BW95" s="100">
        <v>2301.6</v>
      </c>
      <c r="BX95" s="100">
        <v>9</v>
      </c>
      <c r="BY95" s="100">
        <v>2959.2000000000003</v>
      </c>
      <c r="BZ95" s="100">
        <v>9</v>
      </c>
      <c r="CA95" s="100">
        <v>2959.2000000000003</v>
      </c>
      <c r="CB95" s="100">
        <v>10</v>
      </c>
      <c r="CC95" s="100">
        <v>3288</v>
      </c>
      <c r="CD95" s="100">
        <v>11</v>
      </c>
      <c r="CE95" s="100">
        <v>3616.8</v>
      </c>
      <c r="CF95" s="100">
        <v>7</v>
      </c>
      <c r="CG95" s="100">
        <v>2301.6</v>
      </c>
      <c r="CH95" s="100">
        <v>12</v>
      </c>
      <c r="CI95" s="100">
        <v>3945.6000000000004</v>
      </c>
      <c r="CJ95" s="100">
        <v>7</v>
      </c>
      <c r="CK95" s="100">
        <v>2301.6</v>
      </c>
      <c r="CL95" s="100">
        <v>11</v>
      </c>
      <c r="CM95" s="100">
        <v>3616.8</v>
      </c>
      <c r="CN95" s="100">
        <v>9</v>
      </c>
      <c r="CO95" s="100">
        <v>2959.2000000000003</v>
      </c>
      <c r="CP95" s="100">
        <v>6</v>
      </c>
      <c r="CQ95" s="100">
        <v>1972.8000000000002</v>
      </c>
      <c r="CR95" s="100">
        <v>10</v>
      </c>
      <c r="CS95" s="100">
        <v>3288</v>
      </c>
      <c r="CT95" s="100">
        <v>13</v>
      </c>
      <c r="CU95" s="100">
        <v>4274.4000000000005</v>
      </c>
    </row>
    <row r="96" spans="2:99">
      <c r="C96" s="99" t="s">
        <v>262</v>
      </c>
      <c r="D96" s="100">
        <v>6</v>
      </c>
      <c r="E96" s="100">
        <v>4168.7999999999993</v>
      </c>
      <c r="F96" s="100">
        <v>6</v>
      </c>
      <c r="G96" s="100">
        <v>4168.7999999999993</v>
      </c>
      <c r="H96" s="100">
        <v>6</v>
      </c>
      <c r="I96" s="100">
        <v>4168.7999999999993</v>
      </c>
      <c r="J96" s="100">
        <v>6</v>
      </c>
      <c r="K96" s="100">
        <v>4168.7999999999993</v>
      </c>
      <c r="L96" s="100">
        <v>8</v>
      </c>
      <c r="M96" s="100">
        <v>5558.4</v>
      </c>
      <c r="N96" s="100">
        <v>9</v>
      </c>
      <c r="O96" s="100">
        <v>6253.2</v>
      </c>
      <c r="P96" s="100">
        <v>7</v>
      </c>
      <c r="Q96" s="100">
        <v>4863.5999999999995</v>
      </c>
      <c r="R96" s="100">
        <v>9</v>
      </c>
      <c r="S96" s="100">
        <v>6253.2</v>
      </c>
      <c r="T96" s="100">
        <v>10</v>
      </c>
      <c r="U96" s="100">
        <v>6948</v>
      </c>
      <c r="V96" s="100">
        <v>9</v>
      </c>
      <c r="W96" s="100">
        <v>6253.2</v>
      </c>
      <c r="X96" s="100">
        <v>10</v>
      </c>
      <c r="Y96" s="100">
        <v>6948</v>
      </c>
      <c r="Z96" s="100">
        <v>11</v>
      </c>
      <c r="AA96" s="100">
        <v>7642.7999999999993</v>
      </c>
      <c r="AB96" s="100">
        <v>10</v>
      </c>
      <c r="AC96" s="100">
        <v>6948</v>
      </c>
      <c r="AD96" s="100">
        <v>7</v>
      </c>
      <c r="AE96" s="100">
        <v>4863.5999999999995</v>
      </c>
      <c r="AF96" s="100">
        <v>9</v>
      </c>
      <c r="AG96" s="100">
        <v>6253.2</v>
      </c>
      <c r="AH96" s="100">
        <v>11</v>
      </c>
      <c r="AI96" s="100">
        <v>7642.7999999999993</v>
      </c>
      <c r="AJ96" s="100">
        <v>9</v>
      </c>
      <c r="AK96" s="100">
        <v>6253.2</v>
      </c>
      <c r="AL96" s="100">
        <v>7</v>
      </c>
      <c r="AM96" s="100">
        <v>4863.5999999999995</v>
      </c>
      <c r="AN96" s="100">
        <v>10</v>
      </c>
      <c r="AO96" s="100">
        <v>6948</v>
      </c>
      <c r="AP96" s="100">
        <v>10</v>
      </c>
      <c r="AQ96" s="100">
        <v>6948</v>
      </c>
      <c r="AR96" s="100">
        <v>6</v>
      </c>
      <c r="AS96" s="100">
        <v>4168.7999999999993</v>
      </c>
      <c r="AT96" s="100">
        <v>6</v>
      </c>
      <c r="AU96" s="100">
        <v>4168.7999999999993</v>
      </c>
      <c r="AV96" s="100">
        <v>9</v>
      </c>
      <c r="AW96" s="100">
        <v>6253.2</v>
      </c>
      <c r="AX96" s="100">
        <v>10</v>
      </c>
      <c r="AY96" s="100">
        <v>6948</v>
      </c>
      <c r="AZ96" s="100">
        <v>8</v>
      </c>
      <c r="BA96" s="100">
        <v>5558.4</v>
      </c>
      <c r="BB96" s="100">
        <v>10</v>
      </c>
      <c r="BC96" s="100">
        <v>6948</v>
      </c>
      <c r="BD96" s="100">
        <v>6</v>
      </c>
      <c r="BE96" s="100">
        <v>4168.7999999999993</v>
      </c>
      <c r="BF96" s="100">
        <v>8</v>
      </c>
      <c r="BG96" s="100">
        <v>5558.4</v>
      </c>
      <c r="BH96" s="100">
        <v>8</v>
      </c>
      <c r="BI96" s="100">
        <v>5558.4</v>
      </c>
      <c r="BJ96" s="100">
        <v>7</v>
      </c>
      <c r="BK96" s="100">
        <v>4863.5999999999995</v>
      </c>
      <c r="BL96" s="100">
        <v>11</v>
      </c>
      <c r="BM96" s="100">
        <v>7642.7999999999993</v>
      </c>
      <c r="BN96" s="100">
        <v>8</v>
      </c>
      <c r="BO96" s="100">
        <v>5558.4</v>
      </c>
      <c r="BP96" s="100">
        <v>8</v>
      </c>
      <c r="BQ96" s="100">
        <v>5558.4</v>
      </c>
      <c r="BR96" s="100">
        <v>8</v>
      </c>
      <c r="BS96" s="100">
        <v>5558.4</v>
      </c>
      <c r="BT96" s="100">
        <v>8</v>
      </c>
      <c r="BU96" s="100">
        <v>5558.4</v>
      </c>
      <c r="BV96" s="100">
        <v>7</v>
      </c>
      <c r="BW96" s="100">
        <v>4863.5999999999995</v>
      </c>
      <c r="BX96" s="100">
        <v>8</v>
      </c>
      <c r="BY96" s="100">
        <v>5558.4</v>
      </c>
      <c r="BZ96" s="100">
        <v>9</v>
      </c>
      <c r="CA96" s="100">
        <v>6253.2</v>
      </c>
      <c r="CB96" s="100">
        <v>9</v>
      </c>
      <c r="CC96" s="100">
        <v>6253.2</v>
      </c>
      <c r="CD96" s="100">
        <v>10</v>
      </c>
      <c r="CE96" s="100">
        <v>6948</v>
      </c>
      <c r="CF96" s="100">
        <v>7</v>
      </c>
      <c r="CG96" s="100">
        <v>4863.5999999999995</v>
      </c>
      <c r="CH96" s="100">
        <v>10</v>
      </c>
      <c r="CI96" s="100">
        <v>6948</v>
      </c>
      <c r="CJ96" s="100">
        <v>8</v>
      </c>
      <c r="CK96" s="100">
        <v>5558.4</v>
      </c>
      <c r="CL96" s="100">
        <v>9</v>
      </c>
      <c r="CM96" s="100">
        <v>6253.2</v>
      </c>
      <c r="CN96" s="100">
        <v>10</v>
      </c>
      <c r="CO96" s="100">
        <v>6948</v>
      </c>
      <c r="CP96" s="100">
        <v>7</v>
      </c>
      <c r="CQ96" s="100">
        <v>4863.5999999999995</v>
      </c>
      <c r="CR96" s="100">
        <v>10</v>
      </c>
      <c r="CS96" s="100">
        <v>6948</v>
      </c>
      <c r="CT96" s="100">
        <v>12</v>
      </c>
      <c r="CU96" s="100">
        <v>8337.5999999999985</v>
      </c>
    </row>
    <row r="97" spans="2:99">
      <c r="C97" s="99" t="s">
        <v>263</v>
      </c>
      <c r="D97" s="100">
        <v>6</v>
      </c>
      <c r="E97" s="100">
        <v>2354.3999999999996</v>
      </c>
      <c r="F97" s="100">
        <v>6</v>
      </c>
      <c r="G97" s="100">
        <v>2354.3999999999996</v>
      </c>
      <c r="H97" s="100">
        <v>7</v>
      </c>
      <c r="I97" s="100">
        <v>2746.7999999999997</v>
      </c>
      <c r="J97" s="100">
        <v>7</v>
      </c>
      <c r="K97" s="100">
        <v>2746.7999999999997</v>
      </c>
      <c r="L97" s="100">
        <v>9</v>
      </c>
      <c r="M97" s="100">
        <v>3531.6</v>
      </c>
      <c r="N97" s="100">
        <v>9</v>
      </c>
      <c r="O97" s="100">
        <v>3531.6</v>
      </c>
      <c r="P97" s="100">
        <v>7</v>
      </c>
      <c r="Q97" s="100">
        <v>2746.7999999999997</v>
      </c>
      <c r="R97" s="100">
        <v>10</v>
      </c>
      <c r="S97" s="100">
        <v>3924</v>
      </c>
      <c r="T97" s="100">
        <v>10</v>
      </c>
      <c r="U97" s="100">
        <v>3924</v>
      </c>
      <c r="V97" s="100">
        <v>10</v>
      </c>
      <c r="W97" s="100">
        <v>3924</v>
      </c>
      <c r="X97" s="100">
        <v>10</v>
      </c>
      <c r="Y97" s="100">
        <v>3924</v>
      </c>
      <c r="Z97" s="100">
        <v>11</v>
      </c>
      <c r="AA97" s="100">
        <v>4316.3999999999996</v>
      </c>
      <c r="AB97" s="100">
        <v>10</v>
      </c>
      <c r="AC97" s="100">
        <v>3924</v>
      </c>
      <c r="AD97" s="100">
        <v>8</v>
      </c>
      <c r="AE97" s="100">
        <v>3139.2</v>
      </c>
      <c r="AF97" s="100">
        <v>9</v>
      </c>
      <c r="AG97" s="100">
        <v>3531.6</v>
      </c>
      <c r="AH97" s="100">
        <v>12</v>
      </c>
      <c r="AI97" s="100">
        <v>4708.7999999999993</v>
      </c>
      <c r="AJ97" s="100">
        <v>9</v>
      </c>
      <c r="AK97" s="100">
        <v>3531.6</v>
      </c>
      <c r="AL97" s="100">
        <v>7</v>
      </c>
      <c r="AM97" s="100">
        <v>2746.7999999999997</v>
      </c>
      <c r="AN97" s="100">
        <v>10</v>
      </c>
      <c r="AO97" s="100">
        <v>3924</v>
      </c>
      <c r="AP97" s="100">
        <v>10</v>
      </c>
      <c r="AQ97" s="100">
        <v>3924</v>
      </c>
      <c r="AR97" s="100">
        <v>6</v>
      </c>
      <c r="AS97" s="100">
        <v>2354.3999999999996</v>
      </c>
      <c r="AT97" s="100">
        <v>7</v>
      </c>
      <c r="AU97" s="100">
        <v>2746.7999999999997</v>
      </c>
      <c r="AV97" s="100">
        <v>9</v>
      </c>
      <c r="AW97" s="100">
        <v>3531.6</v>
      </c>
      <c r="AX97" s="100">
        <v>10</v>
      </c>
      <c r="AY97" s="100">
        <v>3924</v>
      </c>
      <c r="AZ97" s="100">
        <v>10</v>
      </c>
      <c r="BA97" s="100">
        <v>3924</v>
      </c>
      <c r="BB97" s="100">
        <v>11</v>
      </c>
      <c r="BC97" s="100">
        <v>4316.3999999999996</v>
      </c>
      <c r="BD97" s="100">
        <v>6</v>
      </c>
      <c r="BE97" s="100">
        <v>2354.3999999999996</v>
      </c>
      <c r="BF97" s="100">
        <v>9</v>
      </c>
      <c r="BG97" s="100">
        <v>3531.6</v>
      </c>
      <c r="BH97" s="100">
        <v>8</v>
      </c>
      <c r="BI97" s="100">
        <v>3139.2</v>
      </c>
      <c r="BJ97" s="100">
        <v>6</v>
      </c>
      <c r="BK97" s="100">
        <v>2354.3999999999996</v>
      </c>
      <c r="BL97" s="100">
        <v>12</v>
      </c>
      <c r="BM97" s="100">
        <v>4708.7999999999993</v>
      </c>
      <c r="BN97" s="100">
        <v>9</v>
      </c>
      <c r="BO97" s="100">
        <v>3531.6</v>
      </c>
      <c r="BP97" s="100">
        <v>8</v>
      </c>
      <c r="BQ97" s="100">
        <v>3139.2</v>
      </c>
      <c r="BR97" s="100">
        <v>8</v>
      </c>
      <c r="BS97" s="100">
        <v>3139.2</v>
      </c>
      <c r="BT97" s="100">
        <v>9</v>
      </c>
      <c r="BU97" s="100">
        <v>3531.6</v>
      </c>
      <c r="BV97" s="100">
        <v>7</v>
      </c>
      <c r="BW97" s="100">
        <v>2746.7999999999997</v>
      </c>
      <c r="BX97" s="100">
        <v>9</v>
      </c>
      <c r="BY97" s="100">
        <v>3531.6</v>
      </c>
      <c r="BZ97" s="100">
        <v>8</v>
      </c>
      <c r="CA97" s="100">
        <v>3139.2</v>
      </c>
      <c r="CB97" s="100">
        <v>10</v>
      </c>
      <c r="CC97" s="100">
        <v>3924</v>
      </c>
      <c r="CD97" s="100">
        <v>11</v>
      </c>
      <c r="CE97" s="100">
        <v>4316.3999999999996</v>
      </c>
      <c r="CF97" s="100">
        <v>7</v>
      </c>
      <c r="CG97" s="100">
        <v>2746.7999999999997</v>
      </c>
      <c r="CH97" s="100">
        <v>11</v>
      </c>
      <c r="CI97" s="100">
        <v>4316.3999999999996</v>
      </c>
      <c r="CJ97" s="100">
        <v>8</v>
      </c>
      <c r="CK97" s="100">
        <v>3139.2</v>
      </c>
      <c r="CL97" s="100">
        <v>11</v>
      </c>
      <c r="CM97" s="100">
        <v>4316.3999999999996</v>
      </c>
      <c r="CN97" s="100">
        <v>9</v>
      </c>
      <c r="CO97" s="100">
        <v>3531.6</v>
      </c>
      <c r="CP97" s="100">
        <v>7</v>
      </c>
      <c r="CQ97" s="100">
        <v>2746.7999999999997</v>
      </c>
      <c r="CR97" s="100">
        <v>10</v>
      </c>
      <c r="CS97" s="100">
        <v>3924</v>
      </c>
      <c r="CT97" s="100">
        <v>11</v>
      </c>
      <c r="CU97" s="100">
        <v>4316.3999999999996</v>
      </c>
    </row>
    <row r="98" spans="2:99">
      <c r="C98" s="99" t="s">
        <v>264</v>
      </c>
      <c r="D98" s="100">
        <v>6</v>
      </c>
      <c r="E98" s="100">
        <v>3153.6000000000004</v>
      </c>
      <c r="F98" s="100">
        <v>7</v>
      </c>
      <c r="G98" s="100">
        <v>3679.2000000000003</v>
      </c>
      <c r="H98" s="100">
        <v>6</v>
      </c>
      <c r="I98" s="100">
        <v>3153.6000000000004</v>
      </c>
      <c r="J98" s="100">
        <v>6</v>
      </c>
      <c r="K98" s="100">
        <v>3153.6000000000004</v>
      </c>
      <c r="L98" s="100">
        <v>9</v>
      </c>
      <c r="M98" s="100">
        <v>4730.4000000000005</v>
      </c>
      <c r="N98" s="100">
        <v>8</v>
      </c>
      <c r="O98" s="100">
        <v>4204.8</v>
      </c>
      <c r="P98" s="100">
        <v>6</v>
      </c>
      <c r="Q98" s="100">
        <v>3153.6000000000004</v>
      </c>
      <c r="R98" s="100">
        <v>10</v>
      </c>
      <c r="S98" s="100">
        <v>5256</v>
      </c>
      <c r="T98" s="100">
        <v>11</v>
      </c>
      <c r="U98" s="100">
        <v>5781.6</v>
      </c>
      <c r="V98" s="100">
        <v>10</v>
      </c>
      <c r="W98" s="100">
        <v>5256</v>
      </c>
      <c r="X98" s="100">
        <v>9</v>
      </c>
      <c r="Y98" s="100">
        <v>4730.4000000000005</v>
      </c>
      <c r="Z98" s="100">
        <v>10</v>
      </c>
      <c r="AA98" s="100">
        <v>5256</v>
      </c>
      <c r="AB98" s="100">
        <v>9</v>
      </c>
      <c r="AC98" s="100">
        <v>4730.4000000000005</v>
      </c>
      <c r="AD98" s="100">
        <v>8</v>
      </c>
      <c r="AE98" s="100">
        <v>4204.8</v>
      </c>
      <c r="AF98" s="100">
        <v>9</v>
      </c>
      <c r="AG98" s="100">
        <v>4730.4000000000005</v>
      </c>
      <c r="AH98" s="100">
        <v>10</v>
      </c>
      <c r="AI98" s="100">
        <v>5256</v>
      </c>
      <c r="AJ98" s="100">
        <v>9</v>
      </c>
      <c r="AK98" s="100">
        <v>4730.4000000000005</v>
      </c>
      <c r="AL98" s="100">
        <v>7</v>
      </c>
      <c r="AM98" s="100">
        <v>3679.2000000000003</v>
      </c>
      <c r="AN98" s="100">
        <v>10</v>
      </c>
      <c r="AO98" s="100">
        <v>5256</v>
      </c>
      <c r="AP98" s="100">
        <v>10</v>
      </c>
      <c r="AQ98" s="100">
        <v>5256</v>
      </c>
      <c r="AR98" s="100">
        <v>6</v>
      </c>
      <c r="AS98" s="100">
        <v>3153.6000000000004</v>
      </c>
      <c r="AT98" s="100">
        <v>6</v>
      </c>
      <c r="AU98" s="100">
        <v>3153.6000000000004</v>
      </c>
      <c r="AV98" s="100">
        <v>8</v>
      </c>
      <c r="AW98" s="100">
        <v>4204.8</v>
      </c>
      <c r="AX98" s="100">
        <v>10</v>
      </c>
      <c r="AY98" s="100">
        <v>5256</v>
      </c>
      <c r="AZ98" s="100">
        <v>9</v>
      </c>
      <c r="BA98" s="100">
        <v>4730.4000000000005</v>
      </c>
      <c r="BB98" s="100">
        <v>10</v>
      </c>
      <c r="BC98" s="100">
        <v>5256</v>
      </c>
      <c r="BD98" s="100">
        <v>7</v>
      </c>
      <c r="BE98" s="100">
        <v>3679.2000000000003</v>
      </c>
      <c r="BF98" s="100">
        <v>8</v>
      </c>
      <c r="BG98" s="100">
        <v>4204.8</v>
      </c>
      <c r="BH98" s="100">
        <v>10</v>
      </c>
      <c r="BI98" s="100">
        <v>5256</v>
      </c>
      <c r="BJ98" s="100">
        <v>7</v>
      </c>
      <c r="BK98" s="100">
        <v>3679.2000000000003</v>
      </c>
      <c r="BL98" s="100">
        <v>12</v>
      </c>
      <c r="BM98" s="100">
        <v>6307.2000000000007</v>
      </c>
      <c r="BN98" s="100">
        <v>8</v>
      </c>
      <c r="BO98" s="100">
        <v>4204.8</v>
      </c>
      <c r="BP98" s="100">
        <v>8</v>
      </c>
      <c r="BQ98" s="100">
        <v>4204.8</v>
      </c>
      <c r="BR98" s="100">
        <v>8</v>
      </c>
      <c r="BS98" s="100">
        <v>4204.8</v>
      </c>
      <c r="BT98" s="100">
        <v>9</v>
      </c>
      <c r="BU98" s="100">
        <v>4730.4000000000005</v>
      </c>
      <c r="BV98" s="100">
        <v>7</v>
      </c>
      <c r="BW98" s="100">
        <v>3679.2000000000003</v>
      </c>
      <c r="BX98" s="100">
        <v>9</v>
      </c>
      <c r="BY98" s="100">
        <v>4730.4000000000005</v>
      </c>
      <c r="BZ98" s="100">
        <v>8</v>
      </c>
      <c r="CA98" s="100">
        <v>4204.8</v>
      </c>
      <c r="CB98" s="100">
        <v>11</v>
      </c>
      <c r="CC98" s="100">
        <v>5781.6</v>
      </c>
      <c r="CD98" s="100">
        <v>10</v>
      </c>
      <c r="CE98" s="100">
        <v>5256</v>
      </c>
      <c r="CF98" s="100">
        <v>6</v>
      </c>
      <c r="CG98" s="100">
        <v>3153.6000000000004</v>
      </c>
      <c r="CH98" s="100">
        <v>11</v>
      </c>
      <c r="CI98" s="100">
        <v>5781.6</v>
      </c>
      <c r="CJ98" s="100">
        <v>8</v>
      </c>
      <c r="CK98" s="100">
        <v>4204.8</v>
      </c>
      <c r="CL98" s="100">
        <v>10</v>
      </c>
      <c r="CM98" s="100">
        <v>5256</v>
      </c>
      <c r="CN98" s="100">
        <v>10</v>
      </c>
      <c r="CO98" s="100">
        <v>5256</v>
      </c>
      <c r="CP98" s="100">
        <v>7</v>
      </c>
      <c r="CQ98" s="100">
        <v>3679.2000000000003</v>
      </c>
      <c r="CR98" s="100">
        <v>10</v>
      </c>
      <c r="CS98" s="100">
        <v>5256</v>
      </c>
      <c r="CT98" s="100">
        <v>12</v>
      </c>
      <c r="CU98" s="100">
        <v>6307.2000000000007</v>
      </c>
    </row>
    <row r="99" spans="2:99">
      <c r="C99" s="99" t="s">
        <v>265</v>
      </c>
      <c r="D99" s="100">
        <v>4</v>
      </c>
      <c r="E99" s="100">
        <v>16833.599999999999</v>
      </c>
      <c r="F99" s="100">
        <v>5</v>
      </c>
      <c r="G99" s="100">
        <v>21042</v>
      </c>
      <c r="H99" s="100">
        <v>5</v>
      </c>
      <c r="I99" s="100">
        <v>21042</v>
      </c>
      <c r="J99" s="100">
        <v>5</v>
      </c>
      <c r="K99" s="100">
        <v>21042</v>
      </c>
      <c r="L99" s="100">
        <v>7</v>
      </c>
      <c r="M99" s="100">
        <v>29458.799999999996</v>
      </c>
      <c r="N99" s="100">
        <v>6</v>
      </c>
      <c r="O99" s="100">
        <v>25250.399999999998</v>
      </c>
      <c r="P99" s="100">
        <v>4</v>
      </c>
      <c r="Q99" s="100">
        <v>16833.599999999999</v>
      </c>
      <c r="R99" s="100">
        <v>7</v>
      </c>
      <c r="S99" s="100">
        <v>29458.799999999996</v>
      </c>
      <c r="T99" s="100">
        <v>8</v>
      </c>
      <c r="U99" s="100">
        <v>33667.199999999997</v>
      </c>
      <c r="V99" s="100">
        <v>7</v>
      </c>
      <c r="W99" s="100">
        <v>29458.799999999996</v>
      </c>
      <c r="X99" s="100">
        <v>8</v>
      </c>
      <c r="Y99" s="100">
        <v>33667.199999999997</v>
      </c>
      <c r="Z99" s="100">
        <v>9</v>
      </c>
      <c r="AA99" s="100">
        <v>37875.599999999999</v>
      </c>
      <c r="AB99" s="100">
        <v>8</v>
      </c>
      <c r="AC99" s="100">
        <v>33667.199999999997</v>
      </c>
      <c r="AD99" s="100">
        <v>6</v>
      </c>
      <c r="AE99" s="100">
        <v>25250.399999999998</v>
      </c>
      <c r="AF99" s="100">
        <v>8</v>
      </c>
      <c r="AG99" s="100">
        <v>33667.199999999997</v>
      </c>
      <c r="AH99" s="100">
        <v>9</v>
      </c>
      <c r="AI99" s="100">
        <v>37875.599999999999</v>
      </c>
      <c r="AJ99" s="100">
        <v>7</v>
      </c>
      <c r="AK99" s="100">
        <v>29458.799999999996</v>
      </c>
      <c r="AL99" s="100">
        <v>5</v>
      </c>
      <c r="AM99" s="100">
        <v>21042</v>
      </c>
      <c r="AN99" s="100">
        <v>8</v>
      </c>
      <c r="AO99" s="100">
        <v>33667.199999999997</v>
      </c>
      <c r="AP99" s="100">
        <v>7</v>
      </c>
      <c r="AQ99" s="100">
        <v>29458.799999999996</v>
      </c>
      <c r="AR99" s="100">
        <v>5</v>
      </c>
      <c r="AS99" s="100">
        <v>21042</v>
      </c>
      <c r="AT99" s="100">
        <v>4</v>
      </c>
      <c r="AU99" s="100">
        <v>16833.599999999999</v>
      </c>
      <c r="AV99" s="100">
        <v>7</v>
      </c>
      <c r="AW99" s="100">
        <v>29458.799999999996</v>
      </c>
      <c r="AX99" s="100">
        <v>7</v>
      </c>
      <c r="AY99" s="100">
        <v>29458.799999999996</v>
      </c>
      <c r="AZ99" s="100">
        <v>6</v>
      </c>
      <c r="BA99" s="100">
        <v>25250.399999999998</v>
      </c>
      <c r="BB99" s="100">
        <v>8</v>
      </c>
      <c r="BC99" s="100">
        <v>33667.199999999997</v>
      </c>
      <c r="BD99" s="100">
        <v>4</v>
      </c>
      <c r="BE99" s="100">
        <v>16833.599999999999</v>
      </c>
      <c r="BF99" s="100">
        <v>6</v>
      </c>
      <c r="BG99" s="100">
        <v>25250.399999999998</v>
      </c>
      <c r="BH99" s="100">
        <v>7</v>
      </c>
      <c r="BI99" s="100">
        <v>29458.799999999996</v>
      </c>
      <c r="BJ99" s="100">
        <v>4</v>
      </c>
      <c r="BK99" s="100">
        <v>16833.599999999999</v>
      </c>
      <c r="BL99" s="100">
        <v>9</v>
      </c>
      <c r="BM99" s="100">
        <v>37875.599999999999</v>
      </c>
      <c r="BN99" s="100">
        <v>6</v>
      </c>
      <c r="BO99" s="100">
        <v>25250.399999999998</v>
      </c>
      <c r="BP99" s="100">
        <v>7</v>
      </c>
      <c r="BQ99" s="100">
        <v>29458.799999999996</v>
      </c>
      <c r="BR99" s="100">
        <v>6</v>
      </c>
      <c r="BS99" s="100">
        <v>25250.399999999998</v>
      </c>
      <c r="BT99" s="100">
        <v>6</v>
      </c>
      <c r="BU99" s="100">
        <v>25250.399999999998</v>
      </c>
      <c r="BV99" s="100">
        <v>6</v>
      </c>
      <c r="BW99" s="100">
        <v>25250.399999999998</v>
      </c>
      <c r="BX99" s="100">
        <v>6</v>
      </c>
      <c r="BY99" s="100">
        <v>25250.399999999998</v>
      </c>
      <c r="BZ99" s="100">
        <v>6</v>
      </c>
      <c r="CA99" s="100">
        <v>25250.399999999998</v>
      </c>
      <c r="CB99" s="100">
        <v>8</v>
      </c>
      <c r="CC99" s="100">
        <v>33667.199999999997</v>
      </c>
      <c r="CD99" s="100">
        <v>8</v>
      </c>
      <c r="CE99" s="100">
        <v>33667.199999999997</v>
      </c>
      <c r="CF99" s="100">
        <v>5</v>
      </c>
      <c r="CG99" s="100">
        <v>21042</v>
      </c>
      <c r="CH99" s="100">
        <v>8</v>
      </c>
      <c r="CI99" s="100">
        <v>33667.199999999997</v>
      </c>
      <c r="CJ99" s="100">
        <v>5</v>
      </c>
      <c r="CK99" s="100">
        <v>21042</v>
      </c>
      <c r="CL99" s="100">
        <v>8</v>
      </c>
      <c r="CM99" s="100">
        <v>33667.199999999997</v>
      </c>
      <c r="CN99" s="100">
        <v>7</v>
      </c>
      <c r="CO99" s="100">
        <v>29458.799999999996</v>
      </c>
      <c r="CP99" s="100">
        <v>5</v>
      </c>
      <c r="CQ99" s="100">
        <v>21042</v>
      </c>
      <c r="CR99" s="100">
        <v>7</v>
      </c>
      <c r="CS99" s="100">
        <v>29458.799999999996</v>
      </c>
      <c r="CT99" s="100">
        <v>8</v>
      </c>
      <c r="CU99" s="100">
        <v>33667.199999999997</v>
      </c>
    </row>
    <row r="100" spans="2:99">
      <c r="C100" s="99" t="s">
        <v>266</v>
      </c>
      <c r="D100" s="100">
        <v>6</v>
      </c>
      <c r="E100" s="100">
        <v>1944</v>
      </c>
      <c r="F100" s="100">
        <v>7</v>
      </c>
      <c r="G100" s="100">
        <v>2268</v>
      </c>
      <c r="H100" s="100">
        <v>7</v>
      </c>
      <c r="I100" s="100">
        <v>2268</v>
      </c>
      <c r="J100" s="100">
        <v>6</v>
      </c>
      <c r="K100" s="100">
        <v>1944</v>
      </c>
      <c r="L100" s="100">
        <v>8</v>
      </c>
      <c r="M100" s="100">
        <v>2592</v>
      </c>
      <c r="N100" s="100">
        <v>8</v>
      </c>
      <c r="O100" s="100">
        <v>2592</v>
      </c>
      <c r="P100" s="100">
        <v>6</v>
      </c>
      <c r="Q100" s="100">
        <v>1944</v>
      </c>
      <c r="R100" s="100">
        <v>10</v>
      </c>
      <c r="S100" s="100">
        <v>3240</v>
      </c>
      <c r="T100" s="100">
        <v>12</v>
      </c>
      <c r="U100" s="100">
        <v>3888</v>
      </c>
      <c r="V100" s="100">
        <v>9</v>
      </c>
      <c r="W100" s="100">
        <v>2916</v>
      </c>
      <c r="X100" s="100">
        <v>11</v>
      </c>
      <c r="Y100" s="100">
        <v>3564</v>
      </c>
      <c r="Z100" s="100">
        <v>12</v>
      </c>
      <c r="AA100" s="100">
        <v>3888</v>
      </c>
      <c r="AB100" s="100">
        <v>9</v>
      </c>
      <c r="AC100" s="100">
        <v>2916</v>
      </c>
      <c r="AD100" s="100">
        <v>8</v>
      </c>
      <c r="AE100" s="100">
        <v>2592</v>
      </c>
      <c r="AF100" s="100">
        <v>9</v>
      </c>
      <c r="AG100" s="100">
        <v>2916</v>
      </c>
      <c r="AH100" s="100">
        <v>10</v>
      </c>
      <c r="AI100" s="100">
        <v>3240</v>
      </c>
      <c r="AJ100" s="100">
        <v>8</v>
      </c>
      <c r="AK100" s="100">
        <v>2592</v>
      </c>
      <c r="AL100" s="100">
        <v>6</v>
      </c>
      <c r="AM100" s="100">
        <v>1944</v>
      </c>
      <c r="AN100" s="100">
        <v>11</v>
      </c>
      <c r="AO100" s="100">
        <v>3564</v>
      </c>
      <c r="AP100" s="100">
        <v>10</v>
      </c>
      <c r="AQ100" s="100">
        <v>3240</v>
      </c>
      <c r="AR100" s="100">
        <v>7</v>
      </c>
      <c r="AS100" s="100">
        <v>2268</v>
      </c>
      <c r="AT100" s="100">
        <v>7</v>
      </c>
      <c r="AU100" s="100">
        <v>2268</v>
      </c>
      <c r="AV100" s="100">
        <v>9</v>
      </c>
      <c r="AW100" s="100">
        <v>2916</v>
      </c>
      <c r="AX100" s="100">
        <v>11</v>
      </c>
      <c r="AY100" s="100">
        <v>3564</v>
      </c>
      <c r="AZ100" s="100">
        <v>10</v>
      </c>
      <c r="BA100" s="100">
        <v>3240</v>
      </c>
      <c r="BB100" s="100">
        <v>10</v>
      </c>
      <c r="BC100" s="100">
        <v>3240</v>
      </c>
      <c r="BD100" s="100">
        <v>6</v>
      </c>
      <c r="BE100" s="100">
        <v>1944</v>
      </c>
      <c r="BF100" s="100">
        <v>9</v>
      </c>
      <c r="BG100" s="100">
        <v>2916</v>
      </c>
      <c r="BH100" s="100">
        <v>9</v>
      </c>
      <c r="BI100" s="100">
        <v>2916</v>
      </c>
      <c r="BJ100" s="100">
        <v>7</v>
      </c>
      <c r="BK100" s="100">
        <v>2268</v>
      </c>
      <c r="BL100" s="100">
        <v>12</v>
      </c>
      <c r="BM100" s="100">
        <v>3888</v>
      </c>
      <c r="BN100" s="100">
        <v>8</v>
      </c>
      <c r="BO100" s="100">
        <v>2592</v>
      </c>
      <c r="BP100" s="100">
        <v>9</v>
      </c>
      <c r="BQ100" s="100">
        <v>2916</v>
      </c>
      <c r="BR100" s="100">
        <v>7</v>
      </c>
      <c r="BS100" s="100">
        <v>2268</v>
      </c>
      <c r="BT100" s="100">
        <v>9</v>
      </c>
      <c r="BU100" s="100">
        <v>2916</v>
      </c>
      <c r="BV100" s="100">
        <v>7</v>
      </c>
      <c r="BW100" s="100">
        <v>2268</v>
      </c>
      <c r="BX100" s="100">
        <v>8</v>
      </c>
      <c r="BY100" s="100">
        <v>2592</v>
      </c>
      <c r="BZ100" s="100">
        <v>8</v>
      </c>
      <c r="CA100" s="100">
        <v>2592</v>
      </c>
      <c r="CB100" s="100">
        <v>10</v>
      </c>
      <c r="CC100" s="100">
        <v>3240</v>
      </c>
      <c r="CD100" s="100">
        <v>10</v>
      </c>
      <c r="CE100" s="100">
        <v>3240</v>
      </c>
      <c r="CF100" s="100">
        <v>7</v>
      </c>
      <c r="CG100" s="100">
        <v>2268</v>
      </c>
      <c r="CH100" s="100">
        <v>10</v>
      </c>
      <c r="CI100" s="100">
        <v>3240</v>
      </c>
      <c r="CJ100" s="100">
        <v>7</v>
      </c>
      <c r="CK100" s="100">
        <v>2268</v>
      </c>
      <c r="CL100" s="100">
        <v>9</v>
      </c>
      <c r="CM100" s="100">
        <v>2916</v>
      </c>
      <c r="CN100" s="100">
        <v>11</v>
      </c>
      <c r="CO100" s="100">
        <v>3564</v>
      </c>
      <c r="CP100" s="100">
        <v>7</v>
      </c>
      <c r="CQ100" s="100">
        <v>2268</v>
      </c>
      <c r="CR100" s="100">
        <v>10</v>
      </c>
      <c r="CS100" s="100">
        <v>3240</v>
      </c>
      <c r="CT100" s="100">
        <v>13</v>
      </c>
      <c r="CU100" s="100">
        <v>4212</v>
      </c>
    </row>
    <row r="101" spans="2:99">
      <c r="C101" s="99" t="s">
        <v>267</v>
      </c>
      <c r="D101" s="100">
        <v>6</v>
      </c>
      <c r="E101" s="100">
        <v>4341.6000000000004</v>
      </c>
      <c r="F101" s="100">
        <v>6</v>
      </c>
      <c r="G101" s="100">
        <v>4341.6000000000004</v>
      </c>
      <c r="H101" s="100">
        <v>7</v>
      </c>
      <c r="I101" s="100">
        <v>5065.2</v>
      </c>
      <c r="J101" s="100">
        <v>6</v>
      </c>
      <c r="K101" s="100">
        <v>4341.6000000000004</v>
      </c>
      <c r="L101" s="100">
        <v>8</v>
      </c>
      <c r="M101" s="100">
        <v>5788.8</v>
      </c>
      <c r="N101" s="100">
        <v>9</v>
      </c>
      <c r="O101" s="100">
        <v>6512.4000000000005</v>
      </c>
      <c r="P101" s="100">
        <v>6</v>
      </c>
      <c r="Q101" s="100">
        <v>4341.6000000000004</v>
      </c>
      <c r="R101" s="100">
        <v>10</v>
      </c>
      <c r="S101" s="100">
        <v>7236</v>
      </c>
      <c r="T101" s="100">
        <v>10</v>
      </c>
      <c r="U101" s="100">
        <v>7236</v>
      </c>
      <c r="V101" s="100">
        <v>9</v>
      </c>
      <c r="W101" s="100">
        <v>6512.4000000000005</v>
      </c>
      <c r="X101" s="100">
        <v>11</v>
      </c>
      <c r="Y101" s="100">
        <v>7959.6</v>
      </c>
      <c r="Z101" s="100">
        <v>11</v>
      </c>
      <c r="AA101" s="100">
        <v>7959.6</v>
      </c>
      <c r="AB101" s="100">
        <v>10</v>
      </c>
      <c r="AC101" s="100">
        <v>7236</v>
      </c>
      <c r="AD101" s="100">
        <v>8</v>
      </c>
      <c r="AE101" s="100">
        <v>5788.8</v>
      </c>
      <c r="AF101" s="100">
        <v>10</v>
      </c>
      <c r="AG101" s="100">
        <v>7236</v>
      </c>
      <c r="AH101" s="100">
        <v>11</v>
      </c>
      <c r="AI101" s="100">
        <v>7959.6</v>
      </c>
      <c r="AJ101" s="100">
        <v>9</v>
      </c>
      <c r="AK101" s="100">
        <v>6512.4000000000005</v>
      </c>
      <c r="AL101" s="100">
        <v>7</v>
      </c>
      <c r="AM101" s="100">
        <v>5065.2</v>
      </c>
      <c r="AN101" s="100">
        <v>10</v>
      </c>
      <c r="AO101" s="100">
        <v>7236</v>
      </c>
      <c r="AP101" s="100">
        <v>9</v>
      </c>
      <c r="AQ101" s="100">
        <v>6512.4000000000005</v>
      </c>
      <c r="AR101" s="100">
        <v>6</v>
      </c>
      <c r="AS101" s="100">
        <v>4341.6000000000004</v>
      </c>
      <c r="AT101" s="100">
        <v>7</v>
      </c>
      <c r="AU101" s="100">
        <v>5065.2</v>
      </c>
      <c r="AV101" s="100">
        <v>8</v>
      </c>
      <c r="AW101" s="100">
        <v>5788.8</v>
      </c>
      <c r="AX101" s="100">
        <v>11</v>
      </c>
      <c r="AY101" s="100">
        <v>7959.6</v>
      </c>
      <c r="AZ101" s="100">
        <v>9</v>
      </c>
      <c r="BA101" s="100">
        <v>6512.4000000000005</v>
      </c>
      <c r="BB101" s="100">
        <v>10</v>
      </c>
      <c r="BC101" s="100">
        <v>7236</v>
      </c>
      <c r="BD101" s="100">
        <v>6</v>
      </c>
      <c r="BE101" s="100">
        <v>4341.6000000000004</v>
      </c>
      <c r="BF101" s="100">
        <v>8</v>
      </c>
      <c r="BG101" s="100">
        <v>5788.8</v>
      </c>
      <c r="BH101" s="100">
        <v>9</v>
      </c>
      <c r="BI101" s="100">
        <v>6512.4000000000005</v>
      </c>
      <c r="BJ101" s="100">
        <v>7</v>
      </c>
      <c r="BK101" s="100">
        <v>5065.2</v>
      </c>
      <c r="BL101" s="100">
        <v>10</v>
      </c>
      <c r="BM101" s="100">
        <v>7236</v>
      </c>
      <c r="BN101" s="100">
        <v>8</v>
      </c>
      <c r="BO101" s="100">
        <v>5788.8</v>
      </c>
      <c r="BP101" s="100">
        <v>8</v>
      </c>
      <c r="BQ101" s="100">
        <v>5788.8</v>
      </c>
      <c r="BR101" s="100">
        <v>8</v>
      </c>
      <c r="BS101" s="100">
        <v>5788.8</v>
      </c>
      <c r="BT101" s="100">
        <v>9</v>
      </c>
      <c r="BU101" s="100">
        <v>6512.4000000000005</v>
      </c>
      <c r="BV101" s="100">
        <v>7</v>
      </c>
      <c r="BW101" s="100">
        <v>5065.2</v>
      </c>
      <c r="BX101" s="100">
        <v>9</v>
      </c>
      <c r="BY101" s="100">
        <v>6512.4000000000005</v>
      </c>
      <c r="BZ101" s="100">
        <v>9</v>
      </c>
      <c r="CA101" s="100">
        <v>6512.4000000000005</v>
      </c>
      <c r="CB101" s="100">
        <v>10</v>
      </c>
      <c r="CC101" s="100">
        <v>7236</v>
      </c>
      <c r="CD101" s="100">
        <v>9</v>
      </c>
      <c r="CE101" s="100">
        <v>6512.4000000000005</v>
      </c>
      <c r="CF101" s="100">
        <v>6</v>
      </c>
      <c r="CG101" s="100">
        <v>4341.6000000000004</v>
      </c>
      <c r="CH101" s="100">
        <v>11</v>
      </c>
      <c r="CI101" s="100">
        <v>7959.6</v>
      </c>
      <c r="CJ101" s="100">
        <v>8</v>
      </c>
      <c r="CK101" s="100">
        <v>5788.8</v>
      </c>
      <c r="CL101" s="100">
        <v>11</v>
      </c>
      <c r="CM101" s="100">
        <v>7959.6</v>
      </c>
      <c r="CN101" s="100">
        <v>9</v>
      </c>
      <c r="CO101" s="100">
        <v>6512.4000000000005</v>
      </c>
      <c r="CP101" s="100">
        <v>7</v>
      </c>
      <c r="CQ101" s="100">
        <v>5065.2</v>
      </c>
      <c r="CR101" s="100">
        <v>9</v>
      </c>
      <c r="CS101" s="100">
        <v>6512.4000000000005</v>
      </c>
      <c r="CT101" s="100">
        <v>12</v>
      </c>
      <c r="CU101" s="100">
        <v>8683.2000000000007</v>
      </c>
    </row>
    <row r="102" spans="2:99">
      <c r="C102" s="99" t="s">
        <v>268</v>
      </c>
      <c r="D102" s="100">
        <v>7</v>
      </c>
      <c r="E102" s="100">
        <v>3721.2000000000003</v>
      </c>
      <c r="F102" s="100">
        <v>7</v>
      </c>
      <c r="G102" s="100">
        <v>3721.2000000000003</v>
      </c>
      <c r="H102" s="100">
        <v>7</v>
      </c>
      <c r="I102" s="100">
        <v>3721.2000000000003</v>
      </c>
      <c r="J102" s="100">
        <v>6</v>
      </c>
      <c r="K102" s="100">
        <v>3189.6000000000004</v>
      </c>
      <c r="L102" s="100">
        <v>8</v>
      </c>
      <c r="M102" s="100">
        <v>4252.8</v>
      </c>
      <c r="N102" s="100">
        <v>9</v>
      </c>
      <c r="O102" s="100">
        <v>4784.4000000000005</v>
      </c>
      <c r="P102" s="100">
        <v>6</v>
      </c>
      <c r="Q102" s="100">
        <v>3189.6000000000004</v>
      </c>
      <c r="R102" s="100">
        <v>10</v>
      </c>
      <c r="S102" s="100">
        <v>5316</v>
      </c>
      <c r="T102" s="100">
        <v>10</v>
      </c>
      <c r="U102" s="100">
        <v>5316</v>
      </c>
      <c r="V102" s="100">
        <v>10</v>
      </c>
      <c r="W102" s="100">
        <v>5316</v>
      </c>
      <c r="X102" s="100">
        <v>10</v>
      </c>
      <c r="Y102" s="100">
        <v>5316</v>
      </c>
      <c r="Z102" s="100">
        <v>10</v>
      </c>
      <c r="AA102" s="100">
        <v>5316</v>
      </c>
      <c r="AB102" s="100">
        <v>10</v>
      </c>
      <c r="AC102" s="100">
        <v>5316</v>
      </c>
      <c r="AD102" s="100">
        <v>7</v>
      </c>
      <c r="AE102" s="100">
        <v>3721.2000000000003</v>
      </c>
      <c r="AF102" s="100">
        <v>9</v>
      </c>
      <c r="AG102" s="100">
        <v>4784.4000000000005</v>
      </c>
      <c r="AH102" s="100">
        <v>10</v>
      </c>
      <c r="AI102" s="100">
        <v>5316</v>
      </c>
      <c r="AJ102" s="100">
        <v>9</v>
      </c>
      <c r="AK102" s="100">
        <v>4784.4000000000005</v>
      </c>
      <c r="AL102" s="100">
        <v>7</v>
      </c>
      <c r="AM102" s="100">
        <v>3721.2000000000003</v>
      </c>
      <c r="AN102" s="100">
        <v>10</v>
      </c>
      <c r="AO102" s="100">
        <v>5316</v>
      </c>
      <c r="AP102" s="100">
        <v>9</v>
      </c>
      <c r="AQ102" s="100">
        <v>4784.4000000000005</v>
      </c>
      <c r="AR102" s="100">
        <v>6</v>
      </c>
      <c r="AS102" s="100">
        <v>3189.6000000000004</v>
      </c>
      <c r="AT102" s="100">
        <v>7</v>
      </c>
      <c r="AU102" s="100">
        <v>3721.2000000000003</v>
      </c>
      <c r="AV102" s="100">
        <v>9</v>
      </c>
      <c r="AW102" s="100">
        <v>4784.4000000000005</v>
      </c>
      <c r="AX102" s="100">
        <v>10</v>
      </c>
      <c r="AY102" s="100">
        <v>5316</v>
      </c>
      <c r="AZ102" s="100">
        <v>9</v>
      </c>
      <c r="BA102" s="100">
        <v>4784.4000000000005</v>
      </c>
      <c r="BB102" s="100">
        <v>11</v>
      </c>
      <c r="BC102" s="100">
        <v>5847.6</v>
      </c>
      <c r="BD102" s="100">
        <v>6</v>
      </c>
      <c r="BE102" s="100">
        <v>3189.6000000000004</v>
      </c>
      <c r="BF102" s="100">
        <v>8</v>
      </c>
      <c r="BG102" s="100">
        <v>4252.8</v>
      </c>
      <c r="BH102" s="100">
        <v>8</v>
      </c>
      <c r="BI102" s="100">
        <v>4252.8</v>
      </c>
      <c r="BJ102" s="100">
        <v>6</v>
      </c>
      <c r="BK102" s="100">
        <v>3189.6000000000004</v>
      </c>
      <c r="BL102" s="100">
        <v>11</v>
      </c>
      <c r="BM102" s="100">
        <v>5847.6</v>
      </c>
      <c r="BN102" s="100">
        <v>8</v>
      </c>
      <c r="BO102" s="100">
        <v>4252.8</v>
      </c>
      <c r="BP102" s="100">
        <v>9</v>
      </c>
      <c r="BQ102" s="100">
        <v>4784.4000000000005</v>
      </c>
      <c r="BR102" s="100">
        <v>7</v>
      </c>
      <c r="BS102" s="100">
        <v>3721.2000000000003</v>
      </c>
      <c r="BT102" s="100">
        <v>10</v>
      </c>
      <c r="BU102" s="100">
        <v>5316</v>
      </c>
      <c r="BV102" s="100">
        <v>6</v>
      </c>
      <c r="BW102" s="100">
        <v>3189.6000000000004</v>
      </c>
      <c r="BX102" s="100">
        <v>8</v>
      </c>
      <c r="BY102" s="100">
        <v>4252.8</v>
      </c>
      <c r="BZ102" s="100">
        <v>8</v>
      </c>
      <c r="CA102" s="100">
        <v>4252.8</v>
      </c>
      <c r="CB102" s="100">
        <v>10</v>
      </c>
      <c r="CC102" s="100">
        <v>5316</v>
      </c>
      <c r="CD102" s="100">
        <v>10</v>
      </c>
      <c r="CE102" s="100">
        <v>5316</v>
      </c>
      <c r="CF102" s="100">
        <v>7</v>
      </c>
      <c r="CG102" s="100">
        <v>3721.2000000000003</v>
      </c>
      <c r="CH102" s="100">
        <v>11</v>
      </c>
      <c r="CI102" s="100">
        <v>5847.6</v>
      </c>
      <c r="CJ102" s="100">
        <v>8</v>
      </c>
      <c r="CK102" s="100">
        <v>4252.8</v>
      </c>
      <c r="CL102" s="100">
        <v>10</v>
      </c>
      <c r="CM102" s="100">
        <v>5316</v>
      </c>
      <c r="CN102" s="100">
        <v>9</v>
      </c>
      <c r="CO102" s="100">
        <v>4784.4000000000005</v>
      </c>
      <c r="CP102" s="100">
        <v>6</v>
      </c>
      <c r="CQ102" s="100">
        <v>3189.6000000000004</v>
      </c>
      <c r="CR102" s="100">
        <v>11</v>
      </c>
      <c r="CS102" s="100">
        <v>5847.6</v>
      </c>
      <c r="CT102" s="100">
        <v>13</v>
      </c>
      <c r="CU102" s="100">
        <v>6910.8</v>
      </c>
    </row>
    <row r="103" spans="2:99">
      <c r="C103" s="99" t="s">
        <v>269</v>
      </c>
      <c r="D103" s="100">
        <v>6</v>
      </c>
      <c r="E103" s="100">
        <v>3535.2</v>
      </c>
      <c r="F103" s="100">
        <v>7</v>
      </c>
      <c r="G103" s="100">
        <v>4124.3999999999996</v>
      </c>
      <c r="H103" s="100">
        <v>7</v>
      </c>
      <c r="I103" s="100">
        <v>4124.3999999999996</v>
      </c>
      <c r="J103" s="100">
        <v>6</v>
      </c>
      <c r="K103" s="100">
        <v>3535.2</v>
      </c>
      <c r="L103" s="100">
        <v>8</v>
      </c>
      <c r="M103" s="100">
        <v>4713.5999999999995</v>
      </c>
      <c r="N103" s="100">
        <v>9</v>
      </c>
      <c r="O103" s="100">
        <v>5302.7999999999993</v>
      </c>
      <c r="P103" s="100">
        <v>7</v>
      </c>
      <c r="Q103" s="100">
        <v>4124.3999999999996</v>
      </c>
      <c r="R103" s="100">
        <v>10</v>
      </c>
      <c r="S103" s="100">
        <v>5891.9999999999991</v>
      </c>
      <c r="T103" s="100">
        <v>10</v>
      </c>
      <c r="U103" s="100">
        <v>5891.9999999999991</v>
      </c>
      <c r="V103" s="100">
        <v>10</v>
      </c>
      <c r="W103" s="100">
        <v>5891.9999999999991</v>
      </c>
      <c r="X103" s="100">
        <v>9</v>
      </c>
      <c r="Y103" s="100">
        <v>5302.7999999999993</v>
      </c>
      <c r="Z103" s="100">
        <v>10</v>
      </c>
      <c r="AA103" s="100">
        <v>5891.9999999999991</v>
      </c>
      <c r="AB103" s="100">
        <v>9</v>
      </c>
      <c r="AC103" s="100">
        <v>5302.7999999999993</v>
      </c>
      <c r="AD103" s="100">
        <v>8</v>
      </c>
      <c r="AE103" s="100">
        <v>4713.5999999999995</v>
      </c>
      <c r="AF103" s="100">
        <v>10</v>
      </c>
      <c r="AG103" s="100">
        <v>5891.9999999999991</v>
      </c>
      <c r="AH103" s="100">
        <v>12</v>
      </c>
      <c r="AI103" s="100">
        <v>7070.4</v>
      </c>
      <c r="AJ103" s="100">
        <v>9</v>
      </c>
      <c r="AK103" s="100">
        <v>5302.7999999999993</v>
      </c>
      <c r="AL103" s="100">
        <v>6</v>
      </c>
      <c r="AM103" s="100">
        <v>3535.2</v>
      </c>
      <c r="AN103" s="100">
        <v>9</v>
      </c>
      <c r="AO103" s="100">
        <v>5302.7999999999993</v>
      </c>
      <c r="AP103" s="100">
        <v>9</v>
      </c>
      <c r="AQ103" s="100">
        <v>5302.7999999999993</v>
      </c>
      <c r="AR103" s="100">
        <v>7</v>
      </c>
      <c r="AS103" s="100">
        <v>4124.3999999999996</v>
      </c>
      <c r="AT103" s="100">
        <v>6</v>
      </c>
      <c r="AU103" s="100">
        <v>3535.2</v>
      </c>
      <c r="AV103" s="100">
        <v>8</v>
      </c>
      <c r="AW103" s="100">
        <v>4713.5999999999995</v>
      </c>
      <c r="AX103" s="100">
        <v>11</v>
      </c>
      <c r="AY103" s="100">
        <v>6481.1999999999989</v>
      </c>
      <c r="AZ103" s="100">
        <v>10</v>
      </c>
      <c r="BA103" s="100">
        <v>5891.9999999999991</v>
      </c>
      <c r="BB103" s="100">
        <v>10</v>
      </c>
      <c r="BC103" s="100">
        <v>5891.9999999999991</v>
      </c>
      <c r="BD103" s="100">
        <v>6</v>
      </c>
      <c r="BE103" s="100">
        <v>3535.2</v>
      </c>
      <c r="BF103" s="100">
        <v>7</v>
      </c>
      <c r="BG103" s="100">
        <v>4124.3999999999996</v>
      </c>
      <c r="BH103" s="100">
        <v>9</v>
      </c>
      <c r="BI103" s="100">
        <v>5302.7999999999993</v>
      </c>
      <c r="BJ103" s="100">
        <v>6</v>
      </c>
      <c r="BK103" s="100">
        <v>3535.2</v>
      </c>
      <c r="BL103" s="100">
        <v>12</v>
      </c>
      <c r="BM103" s="100">
        <v>7070.4</v>
      </c>
      <c r="BN103" s="100">
        <v>9</v>
      </c>
      <c r="BO103" s="100">
        <v>5302.7999999999993</v>
      </c>
      <c r="BP103" s="100">
        <v>9</v>
      </c>
      <c r="BQ103" s="100">
        <v>5302.7999999999993</v>
      </c>
      <c r="BR103" s="100">
        <v>8</v>
      </c>
      <c r="BS103" s="100">
        <v>4713.5999999999995</v>
      </c>
      <c r="BT103" s="100">
        <v>8</v>
      </c>
      <c r="BU103" s="100">
        <v>4713.5999999999995</v>
      </c>
      <c r="BV103" s="100">
        <v>7</v>
      </c>
      <c r="BW103" s="100">
        <v>4124.3999999999996</v>
      </c>
      <c r="BX103" s="100">
        <v>9</v>
      </c>
      <c r="BY103" s="100">
        <v>5302.7999999999993</v>
      </c>
      <c r="BZ103" s="100">
        <v>8</v>
      </c>
      <c r="CA103" s="100">
        <v>4713.5999999999995</v>
      </c>
      <c r="CB103" s="100">
        <v>11</v>
      </c>
      <c r="CC103" s="100">
        <v>6481.1999999999989</v>
      </c>
      <c r="CD103" s="100">
        <v>10</v>
      </c>
      <c r="CE103" s="100">
        <v>5891.9999999999991</v>
      </c>
      <c r="CF103" s="100">
        <v>7</v>
      </c>
      <c r="CG103" s="100">
        <v>4124.3999999999996</v>
      </c>
      <c r="CH103" s="100">
        <v>11</v>
      </c>
      <c r="CI103" s="100">
        <v>6481.1999999999989</v>
      </c>
      <c r="CJ103" s="100">
        <v>7</v>
      </c>
      <c r="CK103" s="100">
        <v>4124.3999999999996</v>
      </c>
      <c r="CL103" s="100">
        <v>10</v>
      </c>
      <c r="CM103" s="100">
        <v>5891.9999999999991</v>
      </c>
      <c r="CN103" s="100">
        <v>9</v>
      </c>
      <c r="CO103" s="100">
        <v>5302.7999999999993</v>
      </c>
      <c r="CP103" s="100">
        <v>7</v>
      </c>
      <c r="CQ103" s="100">
        <v>4124.3999999999996</v>
      </c>
      <c r="CR103" s="100">
        <v>11</v>
      </c>
      <c r="CS103" s="100">
        <v>6481.1999999999989</v>
      </c>
      <c r="CT103" s="100">
        <v>11</v>
      </c>
      <c r="CU103" s="100">
        <v>6481.1999999999989</v>
      </c>
    </row>
    <row r="104" spans="2:99">
      <c r="C104" s="99" t="s">
        <v>270</v>
      </c>
      <c r="D104" s="100">
        <v>7</v>
      </c>
      <c r="E104" s="100">
        <v>4426.8</v>
      </c>
      <c r="F104" s="100">
        <v>7</v>
      </c>
      <c r="G104" s="100">
        <v>4426.8</v>
      </c>
      <c r="H104" s="100">
        <v>7</v>
      </c>
      <c r="I104" s="100">
        <v>4426.8</v>
      </c>
      <c r="J104" s="100">
        <v>6</v>
      </c>
      <c r="K104" s="100">
        <v>3794.3999999999996</v>
      </c>
      <c r="L104" s="100">
        <v>8</v>
      </c>
      <c r="M104" s="100">
        <v>5059.2</v>
      </c>
      <c r="N104" s="100">
        <v>9</v>
      </c>
      <c r="O104" s="100">
        <v>5691.5999999999995</v>
      </c>
      <c r="P104" s="100">
        <v>6</v>
      </c>
      <c r="Q104" s="100">
        <v>3794.3999999999996</v>
      </c>
      <c r="R104" s="100">
        <v>9</v>
      </c>
      <c r="S104" s="100">
        <v>5691.5999999999995</v>
      </c>
      <c r="T104" s="100">
        <v>11</v>
      </c>
      <c r="U104" s="100">
        <v>6956.4</v>
      </c>
      <c r="V104" s="100">
        <v>9</v>
      </c>
      <c r="W104" s="100">
        <v>5691.5999999999995</v>
      </c>
      <c r="X104" s="100">
        <v>10</v>
      </c>
      <c r="Y104" s="100">
        <v>6324</v>
      </c>
      <c r="Z104" s="100">
        <v>10</v>
      </c>
      <c r="AA104" s="100">
        <v>6324</v>
      </c>
      <c r="AB104" s="100">
        <v>9</v>
      </c>
      <c r="AC104" s="100">
        <v>5691.5999999999995</v>
      </c>
      <c r="AD104" s="100">
        <v>8</v>
      </c>
      <c r="AE104" s="100">
        <v>5059.2</v>
      </c>
      <c r="AF104" s="100">
        <v>9</v>
      </c>
      <c r="AG104" s="100">
        <v>5691.5999999999995</v>
      </c>
      <c r="AH104" s="100">
        <v>10</v>
      </c>
      <c r="AI104" s="100">
        <v>6324</v>
      </c>
      <c r="AJ104" s="100">
        <v>9</v>
      </c>
      <c r="AK104" s="100">
        <v>5691.5999999999995</v>
      </c>
      <c r="AL104" s="100">
        <v>7</v>
      </c>
      <c r="AM104" s="100">
        <v>4426.8</v>
      </c>
      <c r="AN104" s="100">
        <v>10</v>
      </c>
      <c r="AO104" s="100">
        <v>6324</v>
      </c>
      <c r="AP104" s="100">
        <v>10</v>
      </c>
      <c r="AQ104" s="100">
        <v>6324</v>
      </c>
      <c r="AR104" s="100">
        <v>6</v>
      </c>
      <c r="AS104" s="100">
        <v>3794.3999999999996</v>
      </c>
      <c r="AT104" s="100">
        <v>7</v>
      </c>
      <c r="AU104" s="100">
        <v>4426.8</v>
      </c>
      <c r="AV104" s="100">
        <v>8</v>
      </c>
      <c r="AW104" s="100">
        <v>5059.2</v>
      </c>
      <c r="AX104" s="100">
        <v>10</v>
      </c>
      <c r="AY104" s="100">
        <v>6324</v>
      </c>
      <c r="AZ104" s="100">
        <v>9</v>
      </c>
      <c r="BA104" s="100">
        <v>5691.5999999999995</v>
      </c>
      <c r="BB104" s="100">
        <v>11</v>
      </c>
      <c r="BC104" s="100">
        <v>6956.4</v>
      </c>
      <c r="BD104" s="100">
        <v>6</v>
      </c>
      <c r="BE104" s="100">
        <v>3794.3999999999996</v>
      </c>
      <c r="BF104" s="100">
        <v>8</v>
      </c>
      <c r="BG104" s="100">
        <v>5059.2</v>
      </c>
      <c r="BH104" s="100">
        <v>9</v>
      </c>
      <c r="BI104" s="100">
        <v>5691.5999999999995</v>
      </c>
      <c r="BJ104" s="100">
        <v>6</v>
      </c>
      <c r="BK104" s="100">
        <v>3794.3999999999996</v>
      </c>
      <c r="BL104" s="100">
        <v>12</v>
      </c>
      <c r="BM104" s="100">
        <v>7588.7999999999993</v>
      </c>
      <c r="BN104" s="100">
        <v>9</v>
      </c>
      <c r="BO104" s="100">
        <v>5691.5999999999995</v>
      </c>
      <c r="BP104" s="100">
        <v>8</v>
      </c>
      <c r="BQ104" s="100">
        <v>5059.2</v>
      </c>
      <c r="BR104" s="100">
        <v>8</v>
      </c>
      <c r="BS104" s="100">
        <v>5059.2</v>
      </c>
      <c r="BT104" s="100">
        <v>8</v>
      </c>
      <c r="BU104" s="100">
        <v>5059.2</v>
      </c>
      <c r="BV104" s="100">
        <v>7</v>
      </c>
      <c r="BW104" s="100">
        <v>4426.8</v>
      </c>
      <c r="BX104" s="100">
        <v>9</v>
      </c>
      <c r="BY104" s="100">
        <v>5691.5999999999995</v>
      </c>
      <c r="BZ104" s="100">
        <v>8</v>
      </c>
      <c r="CA104" s="100">
        <v>5059.2</v>
      </c>
      <c r="CB104" s="100">
        <v>10</v>
      </c>
      <c r="CC104" s="100">
        <v>6324</v>
      </c>
      <c r="CD104" s="100">
        <v>9</v>
      </c>
      <c r="CE104" s="100">
        <v>5691.5999999999995</v>
      </c>
      <c r="CF104" s="100">
        <v>6</v>
      </c>
      <c r="CG104" s="100">
        <v>3794.3999999999996</v>
      </c>
      <c r="CH104" s="100">
        <v>11</v>
      </c>
      <c r="CI104" s="100">
        <v>6956.4</v>
      </c>
      <c r="CJ104" s="100">
        <v>7</v>
      </c>
      <c r="CK104" s="100">
        <v>4426.8</v>
      </c>
      <c r="CL104" s="100">
        <v>9</v>
      </c>
      <c r="CM104" s="100">
        <v>5691.5999999999995</v>
      </c>
      <c r="CN104" s="100">
        <v>10</v>
      </c>
      <c r="CO104" s="100">
        <v>6324</v>
      </c>
      <c r="CP104" s="100">
        <v>6</v>
      </c>
      <c r="CQ104" s="100">
        <v>3794.3999999999996</v>
      </c>
      <c r="CR104" s="100">
        <v>11</v>
      </c>
      <c r="CS104" s="100">
        <v>6956.4</v>
      </c>
      <c r="CT104" s="100">
        <v>13</v>
      </c>
      <c r="CU104" s="100">
        <v>8221.1999999999989</v>
      </c>
    </row>
    <row r="105" spans="2:99">
      <c r="C105" s="99" t="s">
        <v>271</v>
      </c>
      <c r="D105" s="100">
        <v>6</v>
      </c>
      <c r="E105" s="100">
        <v>3340.7999999999997</v>
      </c>
      <c r="F105" s="100">
        <v>7</v>
      </c>
      <c r="G105" s="100">
        <v>3897.5999999999995</v>
      </c>
      <c r="H105" s="100">
        <v>6</v>
      </c>
      <c r="I105" s="100">
        <v>3340.7999999999997</v>
      </c>
      <c r="J105" s="100">
        <v>6</v>
      </c>
      <c r="K105" s="100">
        <v>3340.7999999999997</v>
      </c>
      <c r="L105" s="100">
        <v>8</v>
      </c>
      <c r="M105" s="100">
        <v>4454.3999999999996</v>
      </c>
      <c r="N105" s="100">
        <v>8</v>
      </c>
      <c r="O105" s="100">
        <v>4454.3999999999996</v>
      </c>
      <c r="P105" s="100">
        <v>6</v>
      </c>
      <c r="Q105" s="100">
        <v>3340.7999999999997</v>
      </c>
      <c r="R105" s="100">
        <v>11</v>
      </c>
      <c r="S105" s="100">
        <v>6124.7999999999993</v>
      </c>
      <c r="T105" s="100">
        <v>10</v>
      </c>
      <c r="U105" s="100">
        <v>5568</v>
      </c>
      <c r="V105" s="100">
        <v>9</v>
      </c>
      <c r="W105" s="100">
        <v>5011.2</v>
      </c>
      <c r="X105" s="100">
        <v>10</v>
      </c>
      <c r="Y105" s="100">
        <v>5568</v>
      </c>
      <c r="Z105" s="100">
        <v>11</v>
      </c>
      <c r="AA105" s="100">
        <v>6124.7999999999993</v>
      </c>
      <c r="AB105" s="100">
        <v>9</v>
      </c>
      <c r="AC105" s="100">
        <v>5011.2</v>
      </c>
      <c r="AD105" s="100">
        <v>7</v>
      </c>
      <c r="AE105" s="100">
        <v>3897.5999999999995</v>
      </c>
      <c r="AF105" s="100">
        <v>9</v>
      </c>
      <c r="AG105" s="100">
        <v>5011.2</v>
      </c>
      <c r="AH105" s="100">
        <v>11</v>
      </c>
      <c r="AI105" s="100">
        <v>6124.7999999999993</v>
      </c>
      <c r="AJ105" s="100">
        <v>9</v>
      </c>
      <c r="AK105" s="100">
        <v>5011.2</v>
      </c>
      <c r="AL105" s="100">
        <v>7</v>
      </c>
      <c r="AM105" s="100">
        <v>3897.5999999999995</v>
      </c>
      <c r="AN105" s="100">
        <v>9</v>
      </c>
      <c r="AO105" s="100">
        <v>5011.2</v>
      </c>
      <c r="AP105" s="100">
        <v>9</v>
      </c>
      <c r="AQ105" s="100">
        <v>5011.2</v>
      </c>
      <c r="AR105" s="100">
        <v>7</v>
      </c>
      <c r="AS105" s="100">
        <v>3897.5999999999995</v>
      </c>
      <c r="AT105" s="100">
        <v>6</v>
      </c>
      <c r="AU105" s="100">
        <v>3340.7999999999997</v>
      </c>
      <c r="AV105" s="100">
        <v>8</v>
      </c>
      <c r="AW105" s="100">
        <v>4454.3999999999996</v>
      </c>
      <c r="AX105" s="100">
        <v>10</v>
      </c>
      <c r="AY105" s="100">
        <v>5568</v>
      </c>
      <c r="AZ105" s="100">
        <v>9</v>
      </c>
      <c r="BA105" s="100">
        <v>5011.2</v>
      </c>
      <c r="BB105" s="100">
        <v>10</v>
      </c>
      <c r="BC105" s="100">
        <v>5568</v>
      </c>
      <c r="BD105" s="100">
        <v>7</v>
      </c>
      <c r="BE105" s="100">
        <v>3897.5999999999995</v>
      </c>
      <c r="BF105" s="100">
        <v>8</v>
      </c>
      <c r="BG105" s="100">
        <v>4454.3999999999996</v>
      </c>
      <c r="BH105" s="100">
        <v>9</v>
      </c>
      <c r="BI105" s="100">
        <v>5011.2</v>
      </c>
      <c r="BJ105" s="100">
        <v>7</v>
      </c>
      <c r="BK105" s="100">
        <v>3897.5999999999995</v>
      </c>
      <c r="BL105" s="100">
        <v>12</v>
      </c>
      <c r="BM105" s="100">
        <v>6681.5999999999995</v>
      </c>
      <c r="BN105" s="100">
        <v>8</v>
      </c>
      <c r="BO105" s="100">
        <v>4454.3999999999996</v>
      </c>
      <c r="BP105" s="100">
        <v>8</v>
      </c>
      <c r="BQ105" s="100">
        <v>4454.3999999999996</v>
      </c>
      <c r="BR105" s="100">
        <v>7</v>
      </c>
      <c r="BS105" s="100">
        <v>3897.5999999999995</v>
      </c>
      <c r="BT105" s="100">
        <v>9</v>
      </c>
      <c r="BU105" s="100">
        <v>5011.2</v>
      </c>
      <c r="BV105" s="100">
        <v>7</v>
      </c>
      <c r="BW105" s="100">
        <v>3897.5999999999995</v>
      </c>
      <c r="BX105" s="100">
        <v>9</v>
      </c>
      <c r="BY105" s="100">
        <v>5011.2</v>
      </c>
      <c r="BZ105" s="100">
        <v>8</v>
      </c>
      <c r="CA105" s="100">
        <v>4454.3999999999996</v>
      </c>
      <c r="CB105" s="100">
        <v>9</v>
      </c>
      <c r="CC105" s="100">
        <v>5011.2</v>
      </c>
      <c r="CD105" s="100">
        <v>10</v>
      </c>
      <c r="CE105" s="100">
        <v>5568</v>
      </c>
      <c r="CF105" s="100">
        <v>7</v>
      </c>
      <c r="CG105" s="100">
        <v>3897.5999999999995</v>
      </c>
      <c r="CH105" s="100">
        <v>11</v>
      </c>
      <c r="CI105" s="100">
        <v>6124.7999999999993</v>
      </c>
      <c r="CJ105" s="100">
        <v>7</v>
      </c>
      <c r="CK105" s="100">
        <v>3897.5999999999995</v>
      </c>
      <c r="CL105" s="100">
        <v>9</v>
      </c>
      <c r="CM105" s="100">
        <v>5011.2</v>
      </c>
      <c r="CN105" s="100">
        <v>10</v>
      </c>
      <c r="CO105" s="100">
        <v>5568</v>
      </c>
      <c r="CP105" s="100">
        <v>7</v>
      </c>
      <c r="CQ105" s="100">
        <v>3897.5999999999995</v>
      </c>
      <c r="CR105" s="100">
        <v>11</v>
      </c>
      <c r="CS105" s="100">
        <v>6124.7999999999993</v>
      </c>
      <c r="CT105" s="100">
        <v>12</v>
      </c>
      <c r="CU105" s="100">
        <v>6681.5999999999995</v>
      </c>
    </row>
    <row r="107" spans="2:99">
      <c r="B107" s="104" t="s">
        <v>276</v>
      </c>
    </row>
    <row r="108" spans="2:99">
      <c r="C108" s="99" t="s">
        <v>277</v>
      </c>
      <c r="D108" s="99" t="s">
        <v>92</v>
      </c>
      <c r="E108" s="99" t="s">
        <v>93</v>
      </c>
      <c r="F108" s="99" t="s">
        <v>94</v>
      </c>
      <c r="G108" s="99" t="s">
        <v>95</v>
      </c>
      <c r="H108" s="99" t="s">
        <v>96</v>
      </c>
      <c r="I108" s="99" t="s">
        <v>97</v>
      </c>
      <c r="J108" s="99" t="s">
        <v>98</v>
      </c>
      <c r="K108" s="99" t="s">
        <v>99</v>
      </c>
      <c r="L108" s="99" t="s">
        <v>100</v>
      </c>
      <c r="M108" s="99" t="s">
        <v>101</v>
      </c>
      <c r="N108" s="99" t="s">
        <v>102</v>
      </c>
      <c r="O108" s="99" t="s">
        <v>103</v>
      </c>
    </row>
    <row r="109" spans="2:99">
      <c r="C109" s="99" t="s">
        <v>126</v>
      </c>
      <c r="D109" s="100">
        <f>SUM(D$6:D$19)+SUM(F$6:F$19)+SUM(H$6:H$19)+SUM(J$6:J$19)</f>
        <v>1089</v>
      </c>
      <c r="E109" s="100">
        <f>SUM(L$6:L$19)+SUM(N$6:N$19)+SUM(P$6:P$19)+SUM(R$6:R$19)</f>
        <v>1102.2309403934692</v>
      </c>
      <c r="F109" s="100">
        <f>SUM(T$6:T$19)+SUM(V$6:V$19)+SUM(X$6:X$19)+SUM(Z$6:Z$19)</f>
        <v>1109.9383720706223</v>
      </c>
      <c r="G109" s="100">
        <f>SUM(AB$6:AB$19)+SUM(AD$6:AD$19)+SUM(AF$6:AF$19)+SUM(AH$6:AH$19)</f>
        <v>1121.3940278119339</v>
      </c>
      <c r="H109" s="100">
        <f>SUM(AJ$6:AJ$19)+SUM(AL$6:AL$19)+SUM(AN$6:AN$19)+SUM(AP$6:AP$19)</f>
        <v>929</v>
      </c>
      <c r="I109" s="100">
        <f>SUM(AR$6:AR$19)+SUM(AT$6:AT$19)+SUM(AV$6:AV$19)+SUM(AX$6:AX$19)</f>
        <v>1091</v>
      </c>
      <c r="J109" s="100">
        <f>SUM(AZ$6:AZ$19)+SUM(BB$6:BB$19)+SUM(BD$6:BD$19)+SUM(BF$6:BF$19)</f>
        <v>1333</v>
      </c>
      <c r="K109" s="100">
        <f>SUM(BH$6:BH$19)+SUM(BJ$6:BJ$19)+SUM(BL$6:BL$19)+SUM(BN$6:BN$19)</f>
        <v>1380</v>
      </c>
      <c r="L109" s="100">
        <f>SUM(BP$6:BP$19)+SUM(BR$6:BR$19)+SUM(BT$6:BT$19)+SUM(BV$6:BV$19)</f>
        <v>1024</v>
      </c>
      <c r="M109" s="100">
        <f>SUM(BX$6:BX$19)+SUM(BZ$6:BZ$19)+SUM(CB$6:CB$19)+SUM(CD$6:CD$19)</f>
        <v>1475</v>
      </c>
      <c r="N109" s="100">
        <f>SUM(CF$6:CF$19)+SUM(CH$6:CH$19)+SUM(CJ$6:CJ$19)+SUM(CL$6:CL$19)</f>
        <v>1339</v>
      </c>
      <c r="O109" s="100">
        <f>SUM(CN$6:CN$19)+SUM(CP$6:CP$19)+SUM(CR$6:CR$19)+SUM(CT$6:CT$19)</f>
        <v>1120</v>
      </c>
    </row>
    <row r="110" spans="2:99">
      <c r="C110" s="99" t="s">
        <v>127</v>
      </c>
      <c r="D110" s="100">
        <f>SUM(D$20:D$36)+SUM(F$20:F$36)+SUM(H$20:H$36)+SUM(J$20:J$36)</f>
        <v>1504</v>
      </c>
      <c r="E110" s="100">
        <f>SUM(L$20:L$36)+SUM(N$20:N$36)+SUM(P$20:P$36)+SUM(R$20:R$36)</f>
        <v>1700.9441724045932</v>
      </c>
      <c r="F110" s="100">
        <f>SUM(T$20:T$36)+SUM(V$20:V$36)+SUM(X$20:X$36)+SUM(Z$20:Z$36)</f>
        <v>1633.8683023606404</v>
      </c>
      <c r="G110" s="100">
        <f>SUM(AB$20:AB$36)+SUM(AD$20:AD$36)+SUM(AF$20:AF$36)+SUM(AH$20:AH$36)</f>
        <v>1265.0256079429707</v>
      </c>
      <c r="H110" s="100">
        <f>SUM(AJ$20:AJ$36)+SUM(AL$20:AL$36)+SUM(AN$20:AN$36)+SUM(AP$20:AP$36)</f>
        <v>1641</v>
      </c>
      <c r="I110" s="100">
        <f>SUM(AR$20:AR$36)+SUM(AT$20:AT$36)+SUM(AV$20:AV$36)+SUM(AX$20:AX$36)</f>
        <v>1678</v>
      </c>
      <c r="J110" s="100">
        <f>SUM(AZ$20:AZ$36)+SUM(BB$20:BB$36)+SUM(BD$20:BD$36)+SUM(BF$20:BF$36)</f>
        <v>1394</v>
      </c>
      <c r="K110" s="100">
        <f>SUM(BH$20:BH$36)+SUM(BJ$20:BJ$36)+SUM(BL$20:BL$36)+SUM(BN$20:BN$36)</f>
        <v>1623</v>
      </c>
      <c r="L110" s="100">
        <f>SUM(BP$20:BP$36)+SUM(BR$20:BR$36)+SUM(BT$20:BT$36)+SUM(BV$20:BV$36)</f>
        <v>1542</v>
      </c>
      <c r="M110" s="100">
        <f>SUM(BX$20:BX$36)+SUM(BZ$20:BZ$36)+SUM(CB$20:CB$36)+SUM(CD$20:CD$36)</f>
        <v>1447</v>
      </c>
      <c r="N110" s="100">
        <f>SUM(CF$20:CF$36)+SUM(CH$20:CH$36)+SUM(CJ$20:CJ$36)+SUM(CL$20:CL$36)</f>
        <v>1616</v>
      </c>
      <c r="O110" s="100">
        <f>SUM(CN$20:CN$36)+SUM(CP$20:CP$36)+SUM(CR$20:CR$36)+SUM(CT$20:CT$36)</f>
        <v>1772</v>
      </c>
    </row>
    <row r="111" spans="2:99">
      <c r="C111" s="99" t="s">
        <v>128</v>
      </c>
      <c r="D111" s="100">
        <f>SUM(D$37:D$48)+SUM(F$37:F$48)+SUM(H$37:H$48)+SUM(J$37:J$48)</f>
        <v>638</v>
      </c>
      <c r="E111" s="100">
        <f>SUM(L$37:L$48)+SUM(N$37:N$48)+SUM(P$37:P$48)+SUM(R$37:R$48)</f>
        <v>583.68455521223655</v>
      </c>
      <c r="F111" s="100">
        <f>SUM(T$37:T$48)+SUM(V$37:V$48)+SUM(X$37:X$48)+SUM(Z$37:Z$48)</f>
        <v>571.08937972516628</v>
      </c>
      <c r="G111" s="100">
        <f>SUM(AB$37:AB$48)+SUM(AD$37:AD$48)+SUM(AF$37:AF$48)+SUM(AH$37:AH$48)</f>
        <v>601.65256191878223</v>
      </c>
      <c r="H111" s="100">
        <f>SUM(AJ$37:AJ$48)+SUM(AL$37:AL$48)+SUM(AN$37:AN$48)+SUM(AP$37:AP$48)</f>
        <v>753</v>
      </c>
      <c r="I111" s="100">
        <f>SUM(AR$37:AR$48)+SUM(AT$37:AT$48)+SUM(AV$37:AV$48)+SUM(AX$37:AX$48)</f>
        <v>714</v>
      </c>
      <c r="J111" s="100">
        <f>SUM(AZ$37:AZ$48)+SUM(BB$37:BB$48)+SUM(BD$37:BD$48)+SUM(BF$37:BF$48)</f>
        <v>608</v>
      </c>
      <c r="K111" s="100">
        <f>SUM(BH$37:BH$48)+SUM(BJ$37:BJ$48)+SUM(BL$37:BL$48)+SUM(BN$37:BN$48)</f>
        <v>625</v>
      </c>
      <c r="L111" s="100">
        <f>SUM(BP$37:BP$48)+SUM(BR$37:BR$48)+SUM(BT$37:BT$48)+SUM(BV$37:BV$48)</f>
        <v>711</v>
      </c>
      <c r="M111" s="100">
        <f>SUM(BX$37:BX$48)+SUM(BZ$37:BZ$48)+SUM(CB$37:CB$48)+SUM(CD$37:CD$48)</f>
        <v>670</v>
      </c>
      <c r="N111" s="100">
        <f>SUM(CF$37:CF$48)+SUM(CH$37:CH$48)+SUM(CJ$37:CJ$48)+SUM(CL$37:CL$48)</f>
        <v>538</v>
      </c>
      <c r="O111" s="100">
        <f>SUM(CN$37:CN$48)+SUM(CP$37:CP$48)+SUM(CR$37:CR$48)+SUM(CT$37:CT$48)</f>
        <v>652</v>
      </c>
    </row>
    <row r="112" spans="2:99">
      <c r="C112" s="99" t="s">
        <v>129</v>
      </c>
      <c r="D112" s="100">
        <f>SUM(D$49:D$70)+SUM(F$49:F$70)+SUM(H$49:H$70)+SUM(J$49:J$70)</f>
        <v>952</v>
      </c>
      <c r="E112" s="100">
        <f>SUM(L$49:L$70)+SUM(N$49:N$70)+SUM(P$49:P$70)+SUM(R$49:R$70)</f>
        <v>1283.2882939912442</v>
      </c>
      <c r="F112" s="100">
        <f>SUM(T$49:T$70)+SUM(V$49:V$70)+SUM(X$49:X$70)+SUM(Z$49:Z$70)</f>
        <v>1080.640936343957</v>
      </c>
      <c r="G112" s="100">
        <f>SUM(AB$49:AB$70)+SUM(AD$49:AD$70)+SUM(AF$49:AF$70)+SUM(AH$49:AH$70)</f>
        <v>1048.7332880768918</v>
      </c>
      <c r="H112" s="100">
        <f>SUM(AJ$49:AJ$70)+SUM(AL$49:AL$70)+SUM(AN$49:AN$70)+SUM(AP$49:AP$70)</f>
        <v>1099</v>
      </c>
      <c r="I112" s="100">
        <f>SUM(AR$49:AR$70)+SUM(AT$49:AT$70)+SUM(AV$49:AV$70)+SUM(AX$49:AX$70)</f>
        <v>1094</v>
      </c>
      <c r="J112" s="100">
        <f>SUM(AZ$49:AZ$70)+SUM(BB$49:BB$70)+SUM(BD$49:BD$70)+SUM(BF$49:BF$70)</f>
        <v>1065</v>
      </c>
      <c r="K112" s="100">
        <f>SUM(BH$49:BH$70)+SUM(BJ$49:BJ$70)+SUM(BL$49:BL$70)+SUM(BN$49:BN$70)</f>
        <v>1044</v>
      </c>
      <c r="L112" s="100">
        <f>SUM(BP$49:BP$70)+SUM(BR$49:BR$70)+SUM(BT$49:BT$70)+SUM(BV$49:BV$70)</f>
        <v>1280</v>
      </c>
      <c r="M112" s="100">
        <f>SUM(BX$49:BX$70)+SUM(BZ$49:BZ$70)+SUM(CB$49:CB$70)+SUM(CD$49:CD$70)</f>
        <v>888</v>
      </c>
      <c r="N112" s="100">
        <f>SUM(CF$49:CF$70)+SUM(CH$49:CH$70)+SUM(CJ$49:CJ$70)+SUM(CL$49:CL$70)</f>
        <v>1062</v>
      </c>
      <c r="O112" s="100">
        <f>SUM(CN$49:CN$70)+SUM(CP$49:CP$70)+SUM(CR$49:CR$70)+SUM(CT$49:CT$70)</f>
        <v>1183</v>
      </c>
    </row>
    <row r="113" spans="2:15">
      <c r="C113" s="99" t="s">
        <v>130</v>
      </c>
      <c r="D113" s="100">
        <f>SUM(D$71:D$86)+SUM(F$71:F$86)+SUM(H$71:H$86)+SUM(J$71:J$86)</f>
        <v>528</v>
      </c>
      <c r="E113" s="100">
        <f>SUM(L$71:L$86)+SUM(N$71:N$86)+SUM(P$71:P$86)+SUM(R$71:R$86)</f>
        <v>453</v>
      </c>
      <c r="F113" s="100">
        <f>SUM(T$71:T$86)+SUM(V$71:V$86)+SUM(X$71:X$86)+SUM(Z$71:Z$86)</f>
        <v>552</v>
      </c>
      <c r="G113" s="100">
        <f>SUM(AB$71:AB$86)+SUM(AD$71:AD$86)+SUM(AF$71:AF$86)+SUM(AH$71:AH$86)</f>
        <v>445</v>
      </c>
      <c r="H113" s="100">
        <f>SUM(AJ$71:AJ$86)+SUM(AL$71:AL$86)+SUM(AN$71:AN$86)+SUM(AP$71:AP$86)</f>
        <v>487</v>
      </c>
      <c r="I113" s="100">
        <f>SUM(AR$71:AR$86)+SUM(AT$71:AT$86)+SUM(AV$71:AV$86)+SUM(AX$71:AX$86)</f>
        <v>434</v>
      </c>
      <c r="J113" s="100">
        <f>SUM(AZ$71:AZ$86)+SUM(BB$71:BB$86)+SUM(BD$71:BD$86)+SUM(BF$71:BF$86)</f>
        <v>513</v>
      </c>
      <c r="K113" s="100">
        <f>SUM(BH$71:BH$86)+SUM(BJ$71:BJ$86)+SUM(BL$71:BL$86)+SUM(BN$71:BN$86)</f>
        <v>562</v>
      </c>
      <c r="L113" s="100">
        <f>SUM(BP$71:BP$86)+SUM(BR$71:BR$86)+SUM(BT$71:BT$86)+SUM(BV$71:BV$86)</f>
        <v>426</v>
      </c>
      <c r="M113" s="100">
        <f>SUM(BX$71:BX$86)+SUM(BZ$71:BZ$86)+SUM(CB$71:CB$86)+SUM(CD$71:CD$86)</f>
        <v>461</v>
      </c>
      <c r="N113" s="100">
        <f>SUM(CF$71:CF$86)+SUM(CH$71:CH$86)+SUM(CJ$71:CJ$86)+SUM(CL$71:CL$86)</f>
        <v>435</v>
      </c>
      <c r="O113" s="100">
        <f>SUM(CN$71:CN$86)+SUM(CP$71:CP$86)+SUM(CR$71:CR$86)+SUM(CT$71:CT$86)</f>
        <v>355</v>
      </c>
    </row>
    <row r="114" spans="2:15">
      <c r="C114" s="99" t="s">
        <v>131</v>
      </c>
      <c r="D114" s="100">
        <f>SUM(D$87:D$94)+SUM(F$87:F$94)+SUM(H$87:H$94)+SUM(J$87:J$94)</f>
        <v>267</v>
      </c>
      <c r="E114" s="100">
        <f>SUM(L$87:L$94)+SUM(N$87:N$94)+SUM(P$87:P$94)+SUM(R$87:R$94)</f>
        <v>267</v>
      </c>
      <c r="F114" s="100">
        <f>SUM(T$87:T$94)+SUM(V$87:V$94)+SUM(X$87:X$94)+SUM(Z$87:Z$94)</f>
        <v>320</v>
      </c>
      <c r="G114" s="100">
        <f>SUM(AB$87:AB$94)+SUM(AD$87:AD$94)+SUM(AF$87:AF$94)+SUM(AH$87:AH$94)</f>
        <v>266</v>
      </c>
      <c r="H114" s="100">
        <f>SUM(AJ$87:AJ$94)+SUM(AL$87:AL$94)+SUM(AN$87:AN$94)+SUM(AP$87:AP$94)</f>
        <v>272</v>
      </c>
      <c r="I114" s="100">
        <f>SUM(AR$87:AR$94)+SUM(AT$87:AT$94)+SUM(AV$87:AV$94)+SUM(AX$87:AX$94)</f>
        <v>333</v>
      </c>
      <c r="J114" s="100">
        <f>SUM(AZ$87:AZ$94)+SUM(BB$87:BB$94)+SUM(BD$87:BD$94)+SUM(BF$87:BF$94)</f>
        <v>306</v>
      </c>
      <c r="K114" s="100">
        <f>SUM(BH$87:BH$94)+SUM(BJ$87:BJ$94)+SUM(BL$87:BL$94)+SUM(BN$87:BN$94)</f>
        <v>314</v>
      </c>
      <c r="L114" s="100">
        <f>SUM(BP$87:BP$94)+SUM(BR$87:BR$94)+SUM(BT$87:BT$94)+SUM(BV$87:BV$94)</f>
        <v>347</v>
      </c>
      <c r="M114" s="100">
        <f>SUM(BX$87:BX$94)+SUM(BZ$87:BZ$94)+SUM(CB$87:CB$94)+SUM(CD$87:CD$94)</f>
        <v>326</v>
      </c>
      <c r="N114" s="100">
        <f>SUM(CF$87:CF$94)+SUM(CH$87:CH$94)+SUM(CJ$87:CJ$94)+SUM(CL$87:CL$94)</f>
        <v>329</v>
      </c>
      <c r="O114" s="100">
        <f>SUM(CN$87:CN$94)+SUM(CP$87:CP$94)+SUM(CR$87:CR$94)+SUM(CT$87:CT$94)</f>
        <v>296</v>
      </c>
    </row>
    <row r="115" spans="2:15">
      <c r="C115" s="99" t="s">
        <v>132</v>
      </c>
      <c r="D115" s="100">
        <f>SUM(D$95:D$105)+SUM(F$95:F$105)+SUM(H$95:H$105)+SUM(J$95:J$105)</f>
        <v>278</v>
      </c>
      <c r="E115" s="100">
        <f>SUM(L$95:L$105)+SUM(N$95:N$105)+SUM(P$95:P$105)+SUM(R$95:R$105)</f>
        <v>354</v>
      </c>
      <c r="F115" s="100">
        <f>SUM(T$95:T$105)+SUM(V$95:V$105)+SUM(X$95:X$105)+SUM(Z$95:Z$105)</f>
        <v>439</v>
      </c>
      <c r="G115" s="100">
        <f>SUM(AB$95:AB$105)+SUM(AD$95:AD$105)+SUM(AF$95:AF$105)+SUM(AH$95:AH$105)</f>
        <v>403</v>
      </c>
      <c r="H115" s="100">
        <f>SUM(AJ$95:AJ$105)+SUM(AL$95:AL$105)+SUM(AN$95:AN$105)+SUM(AP$95:AP$105)</f>
        <v>377</v>
      </c>
      <c r="I115" s="100">
        <f>SUM(AR$95:AR$105)+SUM(AT$95:AT$105)+SUM(AV$95:AV$105)+SUM(AX$95:AX$105)</f>
        <v>339</v>
      </c>
      <c r="J115" s="100">
        <f>SUM(AZ$95:AZ$105)+SUM(BB$95:BB$105)+SUM(BD$95:BD$105)+SUM(BF$95:BF$105)</f>
        <v>363</v>
      </c>
      <c r="K115" s="100">
        <f>SUM(BH$95:BH$105)+SUM(BJ$95:BJ$105)+SUM(BL$95:BL$105)+SUM(BN$95:BN$105)</f>
        <v>378</v>
      </c>
      <c r="L115" s="100">
        <f>SUM(BP$95:BP$105)+SUM(BR$95:BR$105)+SUM(BT$95:BT$105)+SUM(BV$95:BV$105)</f>
        <v>343</v>
      </c>
      <c r="M115" s="100">
        <f>SUM(BX$95:BX$105)+SUM(BZ$95:BZ$105)+SUM(CB$95:CB$105)+SUM(CD$95:CD$105)</f>
        <v>398</v>
      </c>
      <c r="N115" s="100">
        <f>SUM(CF$95:CF$105)+SUM(CH$95:CH$105)+SUM(CJ$95:CJ$105)+SUM(CL$95:CL$105)</f>
        <v>376</v>
      </c>
      <c r="O115" s="100">
        <f>SUM(CN$95:CN$105)+SUM(CP$95:CP$105)+SUM(CR$95:CR$105)+SUM(CT$95:CT$105)</f>
        <v>415</v>
      </c>
    </row>
    <row r="116" spans="2:15">
      <c r="C116" s="99" t="s">
        <v>278</v>
      </c>
      <c r="D116" s="100">
        <f t="shared" ref="D116:O116" si="0">SUM(D$109:D$115)</f>
        <v>5256</v>
      </c>
      <c r="E116" s="100">
        <f t="shared" si="0"/>
        <v>5744.1479620015434</v>
      </c>
      <c r="F116" s="100">
        <f t="shared" si="0"/>
        <v>5706.5369905003863</v>
      </c>
      <c r="G116" s="100">
        <f t="shared" si="0"/>
        <v>5150.8054857505786</v>
      </c>
      <c r="H116" s="100">
        <f t="shared" si="0"/>
        <v>5558</v>
      </c>
      <c r="I116" s="100">
        <f t="shared" si="0"/>
        <v>5683</v>
      </c>
      <c r="J116" s="100">
        <f t="shared" si="0"/>
        <v>5582</v>
      </c>
      <c r="K116" s="100">
        <f t="shared" si="0"/>
        <v>5926</v>
      </c>
      <c r="L116" s="100">
        <f t="shared" si="0"/>
        <v>5673</v>
      </c>
      <c r="M116" s="100">
        <f t="shared" si="0"/>
        <v>5665</v>
      </c>
      <c r="N116" s="100">
        <f t="shared" si="0"/>
        <v>5695</v>
      </c>
      <c r="O116" s="100">
        <f t="shared" si="0"/>
        <v>5793</v>
      </c>
    </row>
    <row r="118" spans="2:15">
      <c r="B118" s="103" t="s">
        <v>279</v>
      </c>
    </row>
    <row r="119" spans="2:15">
      <c r="C119" s="99" t="s">
        <v>277</v>
      </c>
      <c r="D119" s="99" t="s">
        <v>92</v>
      </c>
      <c r="E119" s="99" t="s">
        <v>93</v>
      </c>
      <c r="F119" s="99" t="s">
        <v>94</v>
      </c>
      <c r="G119" s="99" t="s">
        <v>95</v>
      </c>
      <c r="H119" s="99" t="s">
        <v>96</v>
      </c>
      <c r="I119" s="99" t="s">
        <v>97</v>
      </c>
      <c r="J119" s="99" t="s">
        <v>98</v>
      </c>
      <c r="K119" s="99" t="s">
        <v>99</v>
      </c>
      <c r="L119" s="99" t="s">
        <v>100</v>
      </c>
      <c r="M119" s="99" t="s">
        <v>101</v>
      </c>
      <c r="N119" s="99" t="s">
        <v>102</v>
      </c>
      <c r="O119" s="99" t="s">
        <v>103</v>
      </c>
    </row>
    <row r="120" spans="2:15">
      <c r="C120" s="99" t="s">
        <v>126</v>
      </c>
      <c r="D120" s="100">
        <f>D109*pricing!D6*2000</f>
        <v>3702600</v>
      </c>
      <c r="E120" s="100">
        <f>E109*pricing!E6*2000</f>
        <v>3747585.197337795</v>
      </c>
      <c r="F120" s="100">
        <f>F109*pricing!F6*2000</f>
        <v>3773790.4650401161</v>
      </c>
      <c r="G120" s="100">
        <f>G109*pricing!G6*2000</f>
        <v>3812739.6945605753</v>
      </c>
      <c r="H120" s="100">
        <f>H109*pricing!H6*2000</f>
        <v>3158600</v>
      </c>
      <c r="I120" s="100">
        <f>I109*pricing!I6*2000</f>
        <v>3709400</v>
      </c>
      <c r="J120" s="100">
        <f>J109*pricing!J6*2000</f>
        <v>4532200</v>
      </c>
      <c r="K120" s="100">
        <f>K109*pricing!K6*2000</f>
        <v>4692000</v>
      </c>
      <c r="L120" s="100">
        <f>L109*pricing!L6*2000</f>
        <v>3481600</v>
      </c>
      <c r="M120" s="100">
        <f>M109*pricing!M6*2000</f>
        <v>5015000</v>
      </c>
      <c r="N120" s="100">
        <f>N109*pricing!N6*2000</f>
        <v>4552599.9999999991</v>
      </c>
      <c r="O120" s="100">
        <f>O109*pricing!O6*2000</f>
        <v>3808000</v>
      </c>
    </row>
    <row r="121" spans="2:15">
      <c r="C121" s="99" t="s">
        <v>127</v>
      </c>
      <c r="D121" s="100">
        <f>D110*pricing!D7*2000</f>
        <v>6016000</v>
      </c>
      <c r="E121" s="100">
        <f>E110*pricing!E7*2000</f>
        <v>6803776.6896183733</v>
      </c>
      <c r="F121" s="100">
        <f>F110*pricing!F7*2000</f>
        <v>6535473.2094425615</v>
      </c>
      <c r="G121" s="100">
        <f>G110*pricing!G7*2000</f>
        <v>5060102.4317718828</v>
      </c>
      <c r="H121" s="100">
        <f>H110*pricing!H7*2000</f>
        <v>6564000</v>
      </c>
      <c r="I121" s="100">
        <f>I110*pricing!I7*2000</f>
        <v>6712000</v>
      </c>
      <c r="J121" s="100">
        <f>J110*pricing!J7*2000</f>
        <v>5576000</v>
      </c>
      <c r="K121" s="100">
        <f>K110*pricing!K7*2000</f>
        <v>6492000</v>
      </c>
      <c r="L121" s="100">
        <f>L110*pricing!L7*2000</f>
        <v>6168000</v>
      </c>
      <c r="M121" s="100">
        <f>M110*pricing!M7*2000</f>
        <v>5788000</v>
      </c>
      <c r="N121" s="100">
        <f>N110*pricing!N7*2000</f>
        <v>6464000</v>
      </c>
      <c r="O121" s="100">
        <f>O110*pricing!O7*2000</f>
        <v>7088000</v>
      </c>
    </row>
    <row r="122" spans="2:15">
      <c r="C122" s="99" t="s">
        <v>128</v>
      </c>
      <c r="D122" s="100">
        <f>D111*pricing!D8*2000</f>
        <v>2871000</v>
      </c>
      <c r="E122" s="100">
        <f>E111*pricing!E8*2000</f>
        <v>2626580.4984550644</v>
      </c>
      <c r="F122" s="100">
        <f>F111*pricing!F8*2000</f>
        <v>2569902.2087632483</v>
      </c>
      <c r="G122" s="100">
        <f>G111*pricing!G8*2000</f>
        <v>2707436.5286345202</v>
      </c>
      <c r="H122" s="100">
        <f>H111*pricing!H8*2000</f>
        <v>3388500</v>
      </c>
      <c r="I122" s="100">
        <f>I111*pricing!I8*2000</f>
        <v>3213000</v>
      </c>
      <c r="J122" s="100">
        <f>J111*pricing!J8*2000</f>
        <v>2736000</v>
      </c>
      <c r="K122" s="100">
        <f>K111*pricing!K8*2000</f>
        <v>2812500</v>
      </c>
      <c r="L122" s="100">
        <f>L111*pricing!L8*2000</f>
        <v>3199500</v>
      </c>
      <c r="M122" s="100">
        <f>M111*pricing!M8*2000</f>
        <v>3015000</v>
      </c>
      <c r="N122" s="100">
        <f>N111*pricing!N8*2000</f>
        <v>2421000</v>
      </c>
      <c r="O122" s="100">
        <f>O111*pricing!O8*2000</f>
        <v>2934000</v>
      </c>
    </row>
    <row r="123" spans="2:15">
      <c r="C123" s="99" t="s">
        <v>129</v>
      </c>
      <c r="D123" s="100">
        <f>D112*pricing!D9*2000</f>
        <v>4284000</v>
      </c>
      <c r="E123" s="100">
        <f>E112*pricing!E9*2000</f>
        <v>5774797.3229605993</v>
      </c>
      <c r="F123" s="100">
        <f>F112*pricing!F9*2000</f>
        <v>4862884.2135478063</v>
      </c>
      <c r="G123" s="100">
        <f>G112*pricing!G9*2000</f>
        <v>4719299.7963460125</v>
      </c>
      <c r="H123" s="100">
        <f>H112*pricing!H9*2000</f>
        <v>4945500</v>
      </c>
      <c r="I123" s="100">
        <f>I112*pricing!I9*2000</f>
        <v>4923000</v>
      </c>
      <c r="J123" s="100">
        <f>J112*pricing!J9*2000</f>
        <v>4792500</v>
      </c>
      <c r="K123" s="100">
        <f>K112*pricing!K9*2000</f>
        <v>4698000</v>
      </c>
      <c r="L123" s="100">
        <f>L112*pricing!L9*2000</f>
        <v>5760000</v>
      </c>
      <c r="M123" s="100">
        <f>M112*pricing!M9*2000</f>
        <v>3996000</v>
      </c>
      <c r="N123" s="100">
        <f>N112*pricing!N9*2000</f>
        <v>4779000</v>
      </c>
      <c r="O123" s="100">
        <f>O112*pricing!O9*2000</f>
        <v>5323500</v>
      </c>
    </row>
    <row r="124" spans="2:15">
      <c r="C124" s="99" t="s">
        <v>130</v>
      </c>
      <c r="D124" s="100">
        <f>D113*pricing!D10*2000</f>
        <v>2640000</v>
      </c>
      <c r="E124" s="100">
        <f>E113*pricing!E10*2000</f>
        <v>2265000</v>
      </c>
      <c r="F124" s="100">
        <f>F113*pricing!F10*2000</f>
        <v>2760000</v>
      </c>
      <c r="G124" s="100">
        <f>G113*pricing!G10*2000</f>
        <v>2225000</v>
      </c>
      <c r="H124" s="100">
        <f>H113*pricing!H10*2000</f>
        <v>2435000</v>
      </c>
      <c r="I124" s="100">
        <f>I113*pricing!I10*2000</f>
        <v>2170000</v>
      </c>
      <c r="J124" s="100">
        <f>J113*pricing!J10*2000</f>
        <v>2565000</v>
      </c>
      <c r="K124" s="100">
        <f>K113*pricing!K10*2000</f>
        <v>2810000</v>
      </c>
      <c r="L124" s="100">
        <f>L113*pricing!L10*2000</f>
        <v>2130000</v>
      </c>
      <c r="M124" s="100">
        <f>M113*pricing!M10*2000</f>
        <v>2305000</v>
      </c>
      <c r="N124" s="100">
        <f>N113*pricing!N10*2000</f>
        <v>2175000</v>
      </c>
      <c r="O124" s="100">
        <f>O113*pricing!O10*2000</f>
        <v>1775000</v>
      </c>
    </row>
    <row r="125" spans="2:15">
      <c r="C125" s="99" t="s">
        <v>131</v>
      </c>
      <c r="D125" s="100">
        <f>D114*pricing!D11*2000</f>
        <v>1388400</v>
      </c>
      <c r="E125" s="100">
        <f>E114*pricing!E11*2000</f>
        <v>1388400</v>
      </c>
      <c r="F125" s="100">
        <f>F114*pricing!F11*2000</f>
        <v>1664000</v>
      </c>
      <c r="G125" s="100">
        <f>G114*pricing!G11*2000</f>
        <v>1383200</v>
      </c>
      <c r="H125" s="100">
        <f>H114*pricing!H11*2000</f>
        <v>1414400</v>
      </c>
      <c r="I125" s="100">
        <f>I114*pricing!I11*2000</f>
        <v>1731600.0000000002</v>
      </c>
      <c r="J125" s="100">
        <f>J114*pricing!J11*2000</f>
        <v>1591200</v>
      </c>
      <c r="K125" s="100">
        <f>K114*pricing!K11*2000</f>
        <v>1632800</v>
      </c>
      <c r="L125" s="100">
        <f>L114*pricing!L11*2000</f>
        <v>1804400</v>
      </c>
      <c r="M125" s="100">
        <f>M114*pricing!M11*2000</f>
        <v>1695200</v>
      </c>
      <c r="N125" s="100">
        <f>N114*pricing!N11*2000</f>
        <v>1710800</v>
      </c>
      <c r="O125" s="100">
        <f>O114*pricing!O11*2000</f>
        <v>1539200</v>
      </c>
    </row>
    <row r="126" spans="2:15">
      <c r="C126" s="99" t="s">
        <v>132</v>
      </c>
      <c r="D126" s="100">
        <f>D115*pricing!D12*2000</f>
        <v>1501200</v>
      </c>
      <c r="E126" s="100">
        <f>E115*pricing!E12*2000</f>
        <v>1911600.0000000002</v>
      </c>
      <c r="F126" s="100">
        <f>F115*pricing!F12*2000</f>
        <v>2370600.0000000005</v>
      </c>
      <c r="G126" s="100">
        <f>G115*pricing!G12*2000</f>
        <v>2176200.0000000005</v>
      </c>
      <c r="H126" s="100">
        <f>H115*pricing!H12*2000</f>
        <v>2035800.0000000002</v>
      </c>
      <c r="I126" s="100">
        <f>I115*pricing!I12*2000</f>
        <v>1830600.0000000002</v>
      </c>
      <c r="J126" s="100">
        <f>J115*pricing!J12*2000</f>
        <v>1960200</v>
      </c>
      <c r="K126" s="100">
        <f>K115*pricing!K12*2000</f>
        <v>2041200</v>
      </c>
      <c r="L126" s="100">
        <f>L115*pricing!L12*2000</f>
        <v>1852200</v>
      </c>
      <c r="M126" s="100">
        <f>M115*pricing!M12*2000</f>
        <v>2149200.0000000005</v>
      </c>
      <c r="N126" s="100">
        <f>N115*pricing!N12*2000</f>
        <v>2030400</v>
      </c>
      <c r="O126" s="100">
        <f>O115*pricing!O12*2000</f>
        <v>2241000</v>
      </c>
    </row>
    <row r="127" spans="2:15">
      <c r="C127" s="99" t="s">
        <v>278</v>
      </c>
      <c r="D127" s="100">
        <f t="shared" ref="D127:O127" si="1">SUM(D$120:D$126)</f>
        <v>22403200</v>
      </c>
      <c r="E127" s="100">
        <f t="shared" si="1"/>
        <v>24517739.708371833</v>
      </c>
      <c r="F127" s="100">
        <f t="shared" si="1"/>
        <v>24536650.096793734</v>
      </c>
      <c r="G127" s="100">
        <f t="shared" si="1"/>
        <v>22083978.451312989</v>
      </c>
      <c r="H127" s="100">
        <f t="shared" si="1"/>
        <v>23941800</v>
      </c>
      <c r="I127" s="100">
        <f t="shared" si="1"/>
        <v>24289600</v>
      </c>
      <c r="J127" s="100">
        <f t="shared" si="1"/>
        <v>23753100</v>
      </c>
      <c r="K127" s="100">
        <f t="shared" si="1"/>
        <v>25178500</v>
      </c>
      <c r="L127" s="100">
        <f t="shared" si="1"/>
        <v>24395700</v>
      </c>
      <c r="M127" s="100">
        <f t="shared" si="1"/>
        <v>23963400</v>
      </c>
      <c r="N127" s="100">
        <f t="shared" si="1"/>
        <v>24132800</v>
      </c>
      <c r="O127" s="100">
        <f t="shared" si="1"/>
        <v>24708700</v>
      </c>
    </row>
    <row r="129" spans="2:15">
      <c r="B129" s="103" t="s">
        <v>280</v>
      </c>
    </row>
    <row r="130" spans="2:15">
      <c r="C130" s="105" t="s">
        <v>277</v>
      </c>
      <c r="D130" s="105" t="s">
        <v>92</v>
      </c>
      <c r="E130" s="105" t="s">
        <v>93</v>
      </c>
      <c r="F130" s="105" t="s">
        <v>94</v>
      </c>
      <c r="G130" s="105" t="s">
        <v>95</v>
      </c>
      <c r="H130" s="105" t="s">
        <v>96</v>
      </c>
      <c r="I130" s="105" t="s">
        <v>97</v>
      </c>
      <c r="J130" s="105" t="s">
        <v>98</v>
      </c>
      <c r="K130" s="105" t="s">
        <v>99</v>
      </c>
      <c r="L130" s="105" t="s">
        <v>100</v>
      </c>
      <c r="M130" s="105" t="s">
        <v>101</v>
      </c>
      <c r="N130" s="105" t="s">
        <v>102</v>
      </c>
      <c r="O130" s="105" t="s">
        <v>103</v>
      </c>
    </row>
    <row r="131" spans="2:15">
      <c r="C131" s="105" t="s">
        <v>126</v>
      </c>
      <c r="D131" s="106">
        <f>SUM(E$6:E$19)+SUM(G$6:G$19)+SUM(I$6:I$19)+SUM(K$6:K$19)</f>
        <v>544792.80000000005</v>
      </c>
      <c r="E131" s="106">
        <f>SUM(M$6:M$19)+SUM(O$6:O$19)+SUM(Q$6:Q$19)+SUM(S$6:S$19)</f>
        <v>552133.97162727034</v>
      </c>
      <c r="F131" s="106">
        <f>SUM(U$6:U$19)+SUM(W$6:W$19)+SUM(Y$6:Y$19)+SUM(AA$6:AA$19)</f>
        <v>558029.81977190683</v>
      </c>
      <c r="G131" s="106">
        <f>SUM(AC$6:AC$19)+SUM(AE$6:AE$19)+SUM(AG$6:AG$19)+SUM(AI$6:AI$19)</f>
        <v>561930.35786252073</v>
      </c>
      <c r="H131" s="106">
        <f>SUM(AK$6:AK$19)+SUM(AM$6:AM$19)+SUM(AO$6:AO$19)+SUM(AQ$6:AQ$19)</f>
        <v>464321.99999999994</v>
      </c>
      <c r="I131" s="106">
        <f>SUM(AS$6:AS$19)+SUM(AU$6:AU$19)+SUM(AW$6:AW$19)+SUM(AY$6:AY$19)</f>
        <v>546597.6</v>
      </c>
      <c r="J131" s="106">
        <f>SUM(BA$6:BA$19)+SUM(BC$6:BC$19)+SUM(BE$6:BE$19)+SUM(BG$6:BG$19)</f>
        <v>666316.79999999993</v>
      </c>
      <c r="K131" s="106">
        <f>SUM(BI$6:BI$19)+SUM(BK$6:BK$19)+SUM(BM$6:BM$19)+SUM(BO$6:BO$19)</f>
        <v>691741.2</v>
      </c>
      <c r="L131" s="106">
        <f>SUM(BQ$6:BQ$19)+SUM(BS$6:BS$19)+SUM(BU$6:BU$19)+SUM(BW$6:BW$19)</f>
        <v>513654</v>
      </c>
      <c r="M131" s="106">
        <f>SUM(BY$6:BY$19)+SUM(CA$6:CA$19)+SUM(CC$6:CC$19)+SUM(CE$6:CE$19)</f>
        <v>742904.39999999991</v>
      </c>
      <c r="N131" s="106">
        <f>SUM(CG$6:CG$19)+SUM(CI$6:CI$19)+SUM(CK$6:CK$19)+SUM(CM$6:CM$19)</f>
        <v>676312.8</v>
      </c>
      <c r="O131" s="106">
        <f>SUM(CO$6:CO$19)+SUM(CQ$6:CQ$19)+SUM(CS$6:CS$19)+SUM(CU$6:CU$19)</f>
        <v>561217.19999999995</v>
      </c>
    </row>
    <row r="132" spans="2:15">
      <c r="C132" s="105" t="s">
        <v>127</v>
      </c>
      <c r="D132" s="106">
        <f>SUM(E$20:E$36)+SUM(G$20:G$36)+SUM(I$20:I$36)+SUM(K$20:K$36)</f>
        <v>639141.6</v>
      </c>
      <c r="E132" s="106">
        <f>SUM(M$20:M$36)+SUM(O$20:O$36)+SUM(Q$20:Q$36)+SUM(S$20:S$36)</f>
        <v>719159.03384939465</v>
      </c>
      <c r="F132" s="106">
        <f>SUM(U$20:U$36)+SUM(W$20:W$36)+SUM(Y$20:Y$36)+SUM(AA$20:AA$36)</f>
        <v>696209.75192907033</v>
      </c>
      <c r="G132" s="106">
        <f>SUM(AC$20:AC$36)+SUM(AE$20:AE$36)+SUM(AG$20:AG$36)+SUM(AI$20:AI$36)</f>
        <v>542098.91156249167</v>
      </c>
      <c r="H132" s="106">
        <f>SUM(AK$20:AK$36)+SUM(AM$20:AM$36)+SUM(AO$20:AO$36)+SUM(AQ$20:AQ$36)</f>
        <v>695707.20000000007</v>
      </c>
      <c r="I132" s="106">
        <f>SUM(AS$20:AS$36)+SUM(AU$20:AU$36)+SUM(AW$20:AW$36)+SUM(AY$20:AY$36)</f>
        <v>714032.4</v>
      </c>
      <c r="J132" s="106">
        <f>SUM(BA$20:BA$36)+SUM(BC$20:BC$36)+SUM(BE$20:BE$36)+SUM(BG$20:BG$36)</f>
        <v>596293.19999999995</v>
      </c>
      <c r="K132" s="106">
        <f>SUM(BI$20:BI$36)+SUM(BK$20:BK$36)+SUM(BM$20:BM$36)+SUM(BO$20:BO$36)</f>
        <v>690277.2</v>
      </c>
      <c r="L132" s="106">
        <f>SUM(BQ$20:BQ$36)+SUM(BS$20:BS$36)+SUM(BU$20:BU$36)+SUM(BW$20:BW$36)</f>
        <v>656659.19999999995</v>
      </c>
      <c r="M132" s="106">
        <f>SUM(BY$20:BY$36)+SUM(CA$20:CA$36)+SUM(CC$20:CC$36)+SUM(CE$20:CE$36)</f>
        <v>614241.6</v>
      </c>
      <c r="N132" s="106">
        <f>SUM(CG$20:CG$36)+SUM(CI$20:CI$36)+SUM(CK$20:CK$36)+SUM(CM$20:CM$36)</f>
        <v>688705.2</v>
      </c>
      <c r="O132" s="106">
        <f>SUM(CO$20:CO$36)+SUM(CQ$20:CQ$36)+SUM(CS$20:CS$36)+SUM(CU$20:CU$36)</f>
        <v>753264</v>
      </c>
    </row>
    <row r="133" spans="2:15">
      <c r="C133" s="105" t="s">
        <v>128</v>
      </c>
      <c r="D133" s="106">
        <f>SUM(E$37:E$48)+SUM(G$37:G$48)+SUM(I$37:I$48)+SUM(K$37:K$48)</f>
        <v>668481.60000000009</v>
      </c>
      <c r="E133" s="106">
        <f>SUM(M$37:M$48)+SUM(O$37:O$48)+SUM(Q$37:Q$48)+SUM(S$37:S$48)</f>
        <v>610933.31825625256</v>
      </c>
      <c r="F133" s="106">
        <f>SUM(U$37:U$48)+SUM(W$37:W$48)+SUM(Y$37:Y$48)+SUM(AA$37:AA$48)</f>
        <v>596190.47706471512</v>
      </c>
      <c r="G133" s="106">
        <f>SUM(AC$37:AC$48)+SUM(AE$37:AE$48)+SUM(AG$37:AG$48)+SUM(AI$37:AI$48)</f>
        <v>629413.47336730955</v>
      </c>
      <c r="H133" s="106">
        <f>SUM(AK$37:AK$48)+SUM(AM$37:AM$48)+SUM(AO$37:AO$48)+SUM(AQ$37:AQ$48)</f>
        <v>788876.40000000014</v>
      </c>
      <c r="I133" s="106">
        <f>SUM(AS$37:AS$48)+SUM(AU$37:AU$48)+SUM(AW$37:AW$48)+SUM(AY$37:AY$48)</f>
        <v>748676.39999999991</v>
      </c>
      <c r="J133" s="106">
        <f>SUM(BA$37:BA$48)+SUM(BC$37:BC$48)+SUM(BE$37:BE$48)+SUM(BG$37:BG$48)</f>
        <v>637329.6</v>
      </c>
      <c r="K133" s="106">
        <f>SUM(BI$37:BI$48)+SUM(BK$37:BK$48)+SUM(BM$37:BM$48)+SUM(BO$37:BO$48)</f>
        <v>654464.39999999991</v>
      </c>
      <c r="L133" s="106">
        <f>SUM(BQ$37:BQ$48)+SUM(BS$37:BS$48)+SUM(BU$37:BU$48)+SUM(BW$37:BW$48)</f>
        <v>747432</v>
      </c>
      <c r="M133" s="106">
        <f>SUM(BY$37:BY$48)+SUM(CA$37:CA$48)+SUM(CC$37:CC$48)+SUM(CE$37:CE$48)</f>
        <v>699698.4</v>
      </c>
      <c r="N133" s="106">
        <f>SUM(CG$37:CG$48)+SUM(CI$37:CI$48)+SUM(CK$37:CK$48)+SUM(CM$37:CM$48)</f>
        <v>561886.80000000005</v>
      </c>
      <c r="O133" s="106">
        <f>SUM(CO$37:CO$48)+SUM(CQ$37:CQ$48)+SUM(CS$37:CS$48)+SUM(CU$37:CU$48)</f>
        <v>683203.20000000007</v>
      </c>
    </row>
    <row r="134" spans="2:15">
      <c r="C134" s="105" t="s">
        <v>129</v>
      </c>
      <c r="D134" s="106">
        <f>SUM(E$49:E$70)+SUM(G$49:G$70)+SUM(I$49:I$70)+SUM(K$49:K$70)</f>
        <v>797092.79999999993</v>
      </c>
      <c r="E134" s="106">
        <f>SUM(M$49:M$70)+SUM(O$49:O$70)+SUM(Q$49:Q$70)+SUM(S$49:S$70)</f>
        <v>1070411.6235072515</v>
      </c>
      <c r="F134" s="106">
        <f>SUM(U$49:U$70)+SUM(W$49:W$70)+SUM(Y$49:Y$70)+SUM(AA$49:AA$70)</f>
        <v>905210.90944240172</v>
      </c>
      <c r="G134" s="106">
        <f>SUM(AC$49:AC$70)+SUM(AE$49:AE$70)+SUM(AG$49:AG$70)+SUM(AI$49:AI$70)</f>
        <v>880740.91529407026</v>
      </c>
      <c r="H134" s="106">
        <f>SUM(AK$49:AK$70)+SUM(AM$49:AM$70)+SUM(AO$49:AO$70)+SUM(AQ$49:AQ$70)</f>
        <v>920665.2</v>
      </c>
      <c r="I134" s="106">
        <f>SUM(AS$49:AS$70)+SUM(AU$49:AU$70)+SUM(AW$49:AW$70)+SUM(AY$49:AY$70)</f>
        <v>913564.79999999993</v>
      </c>
      <c r="J134" s="106">
        <f>SUM(BA$49:BA$70)+SUM(BC$49:BC$70)+SUM(BE$49:BE$70)+SUM(BG$49:BG$70)</f>
        <v>890846.40000000014</v>
      </c>
      <c r="K134" s="106">
        <f>SUM(BI$49:BI$70)+SUM(BK$49:BK$70)+SUM(BM$49:BM$70)+SUM(BO$49:BO$70)</f>
        <v>875265.60000000009</v>
      </c>
      <c r="L134" s="106">
        <f>SUM(BQ$49:BQ$70)+SUM(BS$49:BS$70)+SUM(BU$49:BU$70)+SUM(BW$49:BW$70)</f>
        <v>1067205.6000000001</v>
      </c>
      <c r="M134" s="106">
        <f>SUM(BY$49:BY$70)+SUM(CA$49:CA$70)+SUM(CC$49:CC$70)+SUM(CE$49:CE$70)</f>
        <v>741169.2</v>
      </c>
      <c r="N134" s="106">
        <f>SUM(CG$49:CG$70)+SUM(CI$49:CI$70)+SUM(CK$49:CK$70)+SUM(CM$49:CM$70)</f>
        <v>884848.8</v>
      </c>
      <c r="O134" s="106">
        <f>SUM(CO$49:CO$70)+SUM(CQ$49:CQ$70)+SUM(CS$49:CS$70)+SUM(CU$49:CU$70)</f>
        <v>985300.79999999981</v>
      </c>
    </row>
    <row r="135" spans="2:15">
      <c r="C135" s="105" t="s">
        <v>130</v>
      </c>
      <c r="D135" s="106">
        <f>SUM(E$71:E$86)+SUM(G$71:G$86)+SUM(I$71:I$86)+SUM(K$71:K$86)</f>
        <v>294805.2</v>
      </c>
      <c r="E135" s="106">
        <f>SUM(M$71:M$86)+SUM(O$71:O$86)+SUM(Q$71:Q$86)+SUM(S$71:S$86)</f>
        <v>251700</v>
      </c>
      <c r="F135" s="106">
        <f>SUM(U$71:U$86)+SUM(W$71:W$86)+SUM(Y$71:Y$86)+SUM(AA$71:AA$86)</f>
        <v>308952</v>
      </c>
      <c r="G135" s="106">
        <f>SUM(AC$71:AC$86)+SUM(AE$71:AE$86)+SUM(AG$71:AG$86)+SUM(AI$71:AI$86)</f>
        <v>249895.19999999998</v>
      </c>
      <c r="H135" s="106">
        <f>SUM(AK$71:AK$86)+SUM(AM$71:AM$86)+SUM(AO$71:AO$86)+SUM(AQ$71:AQ$86)</f>
        <v>272126.40000000002</v>
      </c>
      <c r="I135" s="106">
        <f>SUM(AS$71:AS$86)+SUM(AU$71:AU$86)+SUM(AW$71:AW$86)+SUM(AY$71:AY$86)</f>
        <v>243835.2</v>
      </c>
      <c r="J135" s="106">
        <f>SUM(BA$71:BA$86)+SUM(BC$71:BC$86)+SUM(BE$71:BE$86)+SUM(BG$71:BG$86)</f>
        <v>286036.80000000005</v>
      </c>
      <c r="K135" s="106">
        <f>SUM(BI$71:BI$86)+SUM(BK$71:BK$86)+SUM(BM$71:BM$86)+SUM(BO$71:BO$86)</f>
        <v>314480.40000000002</v>
      </c>
      <c r="L135" s="106">
        <f>SUM(BQ$71:BQ$86)+SUM(BS$71:BS$86)+SUM(BU$71:BU$86)+SUM(BW$71:BW$86)</f>
        <v>239680.80000000005</v>
      </c>
      <c r="M135" s="106">
        <f>SUM(BY$71:BY$86)+SUM(CA$71:CA$86)+SUM(CC$71:CC$86)+SUM(CE$71:CE$86)</f>
        <v>258169.2</v>
      </c>
      <c r="N135" s="106">
        <f>SUM(CG$71:CG$86)+SUM(CI$71:CI$86)+SUM(CK$71:CK$86)+SUM(CM$71:CM$86)</f>
        <v>244724.4</v>
      </c>
      <c r="O135" s="106">
        <f>SUM(CO$71:CO$86)+SUM(CQ$71:CQ$86)+SUM(CS$71:CS$86)+SUM(CU$71:CU$86)</f>
        <v>198072</v>
      </c>
    </row>
    <row r="136" spans="2:15">
      <c r="C136" s="105" t="s">
        <v>131</v>
      </c>
      <c r="D136" s="106">
        <f>SUM(E$87:E$94)+SUM(G$87:G$94)+SUM(I$87:I$94)+SUM(K$87:K$94)</f>
        <v>267747.59999999998</v>
      </c>
      <c r="E136" s="106">
        <f>SUM(M$87:M$94)+SUM(O$87:O$94)+SUM(Q$87:Q$94)+SUM(S$87:S$94)</f>
        <v>266844</v>
      </c>
      <c r="F136" s="106">
        <f>SUM(U$87:U$94)+SUM(W$87:W$94)+SUM(Y$87:Y$94)+SUM(AA$87:AA$94)</f>
        <v>321474</v>
      </c>
      <c r="G136" s="106">
        <f>SUM(AC$87:AC$94)+SUM(AE$87:AE$94)+SUM(AG$87:AG$94)+SUM(AI$87:AI$94)</f>
        <v>266236.79999999999</v>
      </c>
      <c r="H136" s="106">
        <f>SUM(AK$87:AK$94)+SUM(AM$87:AM$94)+SUM(AO$87:AO$94)+SUM(AQ$87:AQ$94)</f>
        <v>273535.2</v>
      </c>
      <c r="I136" s="106">
        <f>SUM(AS$87:AS$94)+SUM(AU$87:AU$94)+SUM(AW$87:AW$94)+SUM(AY$87:AY$94)</f>
        <v>334710</v>
      </c>
      <c r="J136" s="106">
        <f>SUM(BA$87:BA$94)+SUM(BC$87:BC$94)+SUM(BE$87:BE$94)+SUM(BG$87:BG$94)</f>
        <v>306849.60000000003</v>
      </c>
      <c r="K136" s="106">
        <f>SUM(BI$87:BI$94)+SUM(BK$87:BK$94)+SUM(BM$87:BM$94)+SUM(BO$87:BO$94)</f>
        <v>315475.20000000001</v>
      </c>
      <c r="L136" s="106">
        <f>SUM(BQ$87:BQ$94)+SUM(BS$87:BS$94)+SUM(BU$87:BU$94)+SUM(BW$87:BW$94)</f>
        <v>347997.6</v>
      </c>
      <c r="M136" s="106">
        <f>SUM(BY$87:BY$94)+SUM(CA$87:CA$94)+SUM(CC$87:CC$94)+SUM(CE$87:CE$94)</f>
        <v>327100.80000000005</v>
      </c>
      <c r="N136" s="106">
        <f>SUM(CG$87:CG$94)+SUM(CI$87:CI$94)+SUM(CK$87:CK$94)+SUM(CM$87:CM$94)</f>
        <v>329668.8</v>
      </c>
      <c r="O136" s="106">
        <f>SUM(CO$87:CO$94)+SUM(CQ$87:CQ$94)+SUM(CS$87:CS$94)+SUM(CU$87:CU$94)</f>
        <v>296730</v>
      </c>
    </row>
    <row r="137" spans="2:15">
      <c r="C137" s="105" t="s">
        <v>132</v>
      </c>
      <c r="D137" s="106">
        <f>SUM(E$95:E$105)+SUM(G$95:G$105)+SUM(I$95:I$105)+SUM(K$95:K$105)</f>
        <v>216364.79999999999</v>
      </c>
      <c r="E137" s="106">
        <f>SUM(M$95:M$105)+SUM(O$95:O$105)+SUM(Q$95:Q$105)+SUM(S$95:S$105)</f>
        <v>275964</v>
      </c>
      <c r="F137" s="106">
        <f>SUM(U$95:U$105)+SUM(W$95:W$105)+SUM(Y$95:Y$105)+SUM(AA$95:AA$105)</f>
        <v>349117.2</v>
      </c>
      <c r="G137" s="106">
        <f>SUM(AC$95:AC$105)+SUM(AE$95:AE$105)+SUM(AG$95:AG$105)+SUM(AI$95:AI$105)</f>
        <v>327699.59999999998</v>
      </c>
      <c r="H137" s="106">
        <f>SUM(AK$95:AK$105)+SUM(AM$95:AM$105)+SUM(AO$95:AO$105)+SUM(AQ$95:AQ$105)</f>
        <v>299280</v>
      </c>
      <c r="I137" s="106">
        <f>SUM(AS$95:AS$105)+SUM(AU$95:AU$105)+SUM(AW$95:AW$105)+SUM(AY$95:AY$105)</f>
        <v>263751.59999999998</v>
      </c>
      <c r="J137" s="106">
        <f>SUM(BA$95:BA$105)+SUM(BC$95:BC$105)+SUM(BE$95:BE$105)+SUM(BG$95:BG$105)</f>
        <v>279580.79999999999</v>
      </c>
      <c r="K137" s="106">
        <f>SUM(BI$95:BI$105)+SUM(BK$95:BK$105)+SUM(BM$95:BM$105)+SUM(BO$95:BO$105)</f>
        <v>295562.40000000002</v>
      </c>
      <c r="L137" s="106">
        <f>SUM(BQ$95:BQ$105)+SUM(BS$95:BS$105)+SUM(BU$95:BU$105)+SUM(BW$95:BW$105)</f>
        <v>273229.2</v>
      </c>
      <c r="M137" s="106">
        <f>SUM(BY$95:BY$105)+SUM(CA$95:CA$105)+SUM(CC$95:CC$105)+SUM(CE$95:CE$105)</f>
        <v>313330.8</v>
      </c>
      <c r="N137" s="106">
        <f>SUM(CG$95:CG$105)+SUM(CI$95:CI$105)+SUM(CK$95:CK$105)+SUM(CM$95:CM$105)</f>
        <v>294423.59999999998</v>
      </c>
      <c r="O137" s="106">
        <f>SUM(CO$95:CO$105)+SUM(CQ$95:CQ$105)+SUM(CS$95:CS$105)+SUM(CU$95:CU$105)</f>
        <v>318982.8</v>
      </c>
    </row>
    <row r="138" spans="2:15">
      <c r="C138" s="105" t="s">
        <v>278</v>
      </c>
      <c r="D138" s="100">
        <f t="shared" ref="D138:O138" si="2">SUM(D$131:D$137)</f>
        <v>3428426.4</v>
      </c>
      <c r="E138" s="100">
        <f t="shared" si="2"/>
        <v>3747145.9472401692</v>
      </c>
      <c r="F138" s="100">
        <f t="shared" si="2"/>
        <v>3735184.1582080945</v>
      </c>
      <c r="G138" s="100">
        <f t="shared" si="2"/>
        <v>3458015.2580863922</v>
      </c>
      <c r="H138" s="100">
        <f t="shared" si="2"/>
        <v>3714512.4</v>
      </c>
      <c r="I138" s="100">
        <f t="shared" si="2"/>
        <v>3765168</v>
      </c>
      <c r="J138" s="100">
        <f t="shared" si="2"/>
        <v>3663253.1999999997</v>
      </c>
      <c r="K138" s="100">
        <f t="shared" si="2"/>
        <v>3837266.4</v>
      </c>
      <c r="L138" s="100">
        <f t="shared" si="2"/>
        <v>3845858.4</v>
      </c>
      <c r="M138" s="100">
        <f t="shared" si="2"/>
        <v>3696614.3999999994</v>
      </c>
      <c r="N138" s="100">
        <f t="shared" si="2"/>
        <v>3680570.4</v>
      </c>
      <c r="O138" s="100">
        <f t="shared" si="2"/>
        <v>3796769.9999999995</v>
      </c>
    </row>
  </sheetData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U138"/>
  <sheetViews>
    <sheetView workbookViewId="0"/>
  </sheetViews>
  <sheetFormatPr baseColWidth="10" defaultColWidth="8.83203125" defaultRowHeight="12" x14ac:dyDescent="0"/>
  <cols>
    <col min="1" max="16384" width="8.83203125" style="100"/>
  </cols>
  <sheetData>
    <row r="2" spans="1:99">
      <c r="B2" s="102" t="s">
        <v>272</v>
      </c>
    </row>
    <row r="3" spans="1:99">
      <c r="B3" s="103" t="s">
        <v>282</v>
      </c>
    </row>
    <row r="4" spans="1:99">
      <c r="A4" s="101"/>
      <c r="B4" s="101"/>
      <c r="C4" s="99" t="s">
        <v>274</v>
      </c>
      <c r="D4" s="99" t="s">
        <v>92</v>
      </c>
      <c r="E4" s="101"/>
      <c r="F4" s="101"/>
      <c r="G4" s="101"/>
      <c r="H4" s="101"/>
      <c r="I4" s="101"/>
      <c r="J4" s="101"/>
      <c r="K4" s="101"/>
      <c r="L4" s="99" t="s">
        <v>93</v>
      </c>
      <c r="M4" s="101"/>
      <c r="N4" s="101"/>
      <c r="O4" s="101"/>
      <c r="P4" s="101"/>
      <c r="Q4" s="101"/>
      <c r="R4" s="101"/>
      <c r="S4" s="101"/>
      <c r="T4" s="99" t="s">
        <v>94</v>
      </c>
      <c r="U4" s="101"/>
      <c r="V4" s="101"/>
      <c r="W4" s="101"/>
      <c r="X4" s="101"/>
      <c r="Y4" s="101"/>
      <c r="Z4" s="101"/>
      <c r="AA4" s="101"/>
      <c r="AB4" s="99" t="s">
        <v>95</v>
      </c>
      <c r="AC4" s="101"/>
      <c r="AD4" s="101"/>
      <c r="AE4" s="101"/>
      <c r="AF4" s="101"/>
      <c r="AG4" s="101"/>
      <c r="AH4" s="101"/>
      <c r="AI4" s="101"/>
      <c r="AJ4" s="99" t="s">
        <v>96</v>
      </c>
      <c r="AK4" s="101"/>
      <c r="AL4" s="101"/>
      <c r="AM4" s="101"/>
      <c r="AN4" s="101"/>
      <c r="AO4" s="101"/>
      <c r="AP4" s="101"/>
      <c r="AQ4" s="101"/>
      <c r="AR4" s="99" t="s">
        <v>97</v>
      </c>
      <c r="AS4" s="101"/>
      <c r="AT4" s="101"/>
      <c r="AU4" s="101"/>
      <c r="AV4" s="101"/>
      <c r="AW4" s="101"/>
      <c r="AX4" s="101"/>
      <c r="AY4" s="101"/>
      <c r="AZ4" s="99" t="s">
        <v>98</v>
      </c>
      <c r="BA4" s="101"/>
      <c r="BB4" s="101"/>
      <c r="BC4" s="101"/>
      <c r="BD4" s="101"/>
      <c r="BE4" s="101"/>
      <c r="BF4" s="101"/>
      <c r="BG4" s="101"/>
      <c r="BH4" s="99" t="s">
        <v>99</v>
      </c>
      <c r="BI4" s="101"/>
      <c r="BJ4" s="101"/>
      <c r="BK4" s="101"/>
      <c r="BL4" s="101"/>
      <c r="BM4" s="101"/>
      <c r="BN4" s="101"/>
      <c r="BO4" s="101"/>
      <c r="BP4" s="99" t="s">
        <v>100</v>
      </c>
      <c r="BQ4" s="101"/>
      <c r="BR4" s="101"/>
      <c r="BS4" s="101"/>
      <c r="BT4" s="101"/>
      <c r="BU4" s="101"/>
      <c r="BV4" s="101"/>
      <c r="BW4" s="101"/>
      <c r="BX4" s="99" t="s">
        <v>101</v>
      </c>
      <c r="BY4" s="101"/>
      <c r="BZ4" s="101"/>
      <c r="CA4" s="101"/>
      <c r="CB4" s="101"/>
      <c r="CC4" s="101"/>
      <c r="CD4" s="101"/>
      <c r="CE4" s="101"/>
      <c r="CF4" s="99" t="s">
        <v>102</v>
      </c>
      <c r="CG4" s="101"/>
      <c r="CH4" s="101"/>
      <c r="CI4" s="101"/>
      <c r="CJ4" s="101"/>
      <c r="CK4" s="101"/>
      <c r="CL4" s="101"/>
      <c r="CM4" s="101"/>
      <c r="CN4" s="99" t="s">
        <v>103</v>
      </c>
      <c r="CO4" s="101"/>
      <c r="CP4" s="101"/>
      <c r="CQ4" s="101"/>
      <c r="CR4" s="101"/>
      <c r="CS4" s="101"/>
      <c r="CT4" s="101"/>
      <c r="CU4" s="101"/>
    </row>
    <row r="5" spans="1:99">
      <c r="B5" s="99" t="s">
        <v>167</v>
      </c>
      <c r="C5" s="99" t="s">
        <v>275</v>
      </c>
      <c r="D5" s="99">
        <v>1</v>
      </c>
      <c r="E5" s="99"/>
      <c r="F5" s="99">
        <v>2</v>
      </c>
      <c r="G5" s="99"/>
      <c r="H5" s="99">
        <v>3</v>
      </c>
      <c r="I5" s="99"/>
      <c r="J5" s="99">
        <v>4</v>
      </c>
      <c r="K5" s="99"/>
      <c r="L5" s="99">
        <v>1</v>
      </c>
      <c r="M5" s="99"/>
      <c r="N5" s="99">
        <v>2</v>
      </c>
      <c r="O5" s="99"/>
      <c r="P5" s="99">
        <v>3</v>
      </c>
      <c r="Q5" s="99"/>
      <c r="R5" s="99">
        <v>4</v>
      </c>
      <c r="S5" s="99"/>
      <c r="T5" s="99">
        <v>1</v>
      </c>
      <c r="U5" s="99"/>
      <c r="V5" s="99">
        <v>2</v>
      </c>
      <c r="W5" s="99"/>
      <c r="X5" s="99">
        <v>3</v>
      </c>
      <c r="Y5" s="99"/>
      <c r="Z5" s="99">
        <v>4</v>
      </c>
      <c r="AA5" s="99"/>
      <c r="AB5" s="99">
        <v>1</v>
      </c>
      <c r="AC5" s="99"/>
      <c r="AD5" s="99">
        <v>2</v>
      </c>
      <c r="AE5" s="99"/>
      <c r="AF5" s="99">
        <v>3</v>
      </c>
      <c r="AG5" s="99"/>
      <c r="AH5" s="99">
        <v>4</v>
      </c>
      <c r="AI5" s="99"/>
      <c r="AJ5" s="99">
        <v>1</v>
      </c>
      <c r="AK5" s="99"/>
      <c r="AL5" s="99">
        <v>2</v>
      </c>
      <c r="AM5" s="99"/>
      <c r="AN5" s="99">
        <v>3</v>
      </c>
      <c r="AO5" s="99"/>
      <c r="AP5" s="99">
        <v>4</v>
      </c>
      <c r="AQ5" s="99"/>
      <c r="AR5" s="99">
        <v>1</v>
      </c>
      <c r="AS5" s="99"/>
      <c r="AT5" s="99">
        <v>2</v>
      </c>
      <c r="AU5" s="99"/>
      <c r="AV5" s="99">
        <v>3</v>
      </c>
      <c r="AW5" s="99"/>
      <c r="AX5" s="99">
        <v>4</v>
      </c>
      <c r="AY5" s="99"/>
      <c r="AZ5" s="99">
        <v>1</v>
      </c>
      <c r="BA5" s="99"/>
      <c r="BB5" s="99">
        <v>2</v>
      </c>
      <c r="BC5" s="99"/>
      <c r="BD5" s="99">
        <v>3</v>
      </c>
      <c r="BE5" s="99"/>
      <c r="BF5" s="99">
        <v>4</v>
      </c>
      <c r="BG5" s="99"/>
      <c r="BH5" s="99">
        <v>1</v>
      </c>
      <c r="BI5" s="99"/>
      <c r="BJ5" s="99">
        <v>2</v>
      </c>
      <c r="BK5" s="99"/>
      <c r="BL5" s="99">
        <v>3</v>
      </c>
      <c r="BM5" s="99"/>
      <c r="BN5" s="99">
        <v>4</v>
      </c>
      <c r="BO5" s="99"/>
      <c r="BP5" s="99">
        <v>1</v>
      </c>
      <c r="BQ5" s="99"/>
      <c r="BR5" s="99">
        <v>2</v>
      </c>
      <c r="BS5" s="99"/>
      <c r="BT5" s="99">
        <v>3</v>
      </c>
      <c r="BU5" s="99"/>
      <c r="BV5" s="99">
        <v>4</v>
      </c>
      <c r="BW5" s="99"/>
      <c r="BX5" s="99">
        <v>1</v>
      </c>
      <c r="BY5" s="99"/>
      <c r="BZ5" s="99">
        <v>2</v>
      </c>
      <c r="CA5" s="99"/>
      <c r="CB5" s="99">
        <v>3</v>
      </c>
      <c r="CC5" s="99"/>
      <c r="CD5" s="99">
        <v>4</v>
      </c>
      <c r="CE5" s="99"/>
      <c r="CF5" s="99">
        <v>1</v>
      </c>
      <c r="CG5" s="99"/>
      <c r="CH5" s="99">
        <v>2</v>
      </c>
      <c r="CI5" s="99"/>
      <c r="CJ5" s="99">
        <v>3</v>
      </c>
      <c r="CK5" s="99"/>
      <c r="CL5" s="99">
        <v>4</v>
      </c>
      <c r="CM5" s="99"/>
      <c r="CN5" s="99">
        <v>1</v>
      </c>
      <c r="CO5" s="99"/>
      <c r="CP5" s="99">
        <v>2</v>
      </c>
      <c r="CQ5" s="99"/>
      <c r="CR5" s="99">
        <v>3</v>
      </c>
      <c r="CS5" s="99"/>
      <c r="CT5" s="99">
        <v>4</v>
      </c>
      <c r="CU5" s="99"/>
    </row>
    <row r="6" spans="1:99">
      <c r="B6" s="99" t="s">
        <v>126</v>
      </c>
      <c r="C6" s="99" t="s">
        <v>172</v>
      </c>
      <c r="D6" s="100">
        <v>0.26446454634593008</v>
      </c>
      <c r="E6" s="100">
        <v>152.96629360648595</v>
      </c>
      <c r="F6" s="100">
        <v>0.18559961880771725</v>
      </c>
      <c r="G6" s="100">
        <v>107.35081951838366</v>
      </c>
      <c r="H6" s="100">
        <v>7.0301606240136989</v>
      </c>
      <c r="I6" s="100">
        <v>4066.2449049295233</v>
      </c>
      <c r="J6" s="100">
        <v>6</v>
      </c>
      <c r="K6" s="100">
        <v>3470.3999999999996</v>
      </c>
      <c r="L6" s="100">
        <v>3.5339870365695183</v>
      </c>
      <c r="M6" s="100">
        <v>2044.0581019518092</v>
      </c>
      <c r="N6" s="100">
        <v>8.2163031956662351</v>
      </c>
      <c r="O6" s="100">
        <v>4752.3097683733504</v>
      </c>
      <c r="P6" s="100">
        <v>7.9662417940590009</v>
      </c>
      <c r="Q6" s="100">
        <v>4607.6742536837255</v>
      </c>
      <c r="R6" s="100">
        <v>3.750167615550366</v>
      </c>
      <c r="S6" s="100">
        <v>2169.0969488343317</v>
      </c>
      <c r="T6" s="100">
        <v>6.8663244262634962</v>
      </c>
      <c r="U6" s="100">
        <v>3971.4820481508059</v>
      </c>
      <c r="V6" s="100">
        <v>7</v>
      </c>
      <c r="W6" s="100">
        <v>4048.7999999999997</v>
      </c>
      <c r="X6" s="100">
        <v>10</v>
      </c>
      <c r="Y6" s="100">
        <v>5784</v>
      </c>
      <c r="Z6" s="100">
        <v>6</v>
      </c>
      <c r="AA6" s="100">
        <v>3470.3999999999996</v>
      </c>
      <c r="AB6" s="100">
        <v>8</v>
      </c>
      <c r="AC6" s="100">
        <v>4627.2</v>
      </c>
      <c r="AD6" s="100">
        <v>11</v>
      </c>
      <c r="AE6" s="100">
        <v>6362.4</v>
      </c>
      <c r="AF6" s="100">
        <v>8</v>
      </c>
      <c r="AG6" s="100">
        <v>4627.2</v>
      </c>
      <c r="AH6" s="100">
        <v>11</v>
      </c>
      <c r="AI6" s="100">
        <v>6362.4</v>
      </c>
      <c r="AJ6" s="100">
        <v>3.3166268472958067</v>
      </c>
      <c r="AK6" s="100">
        <v>1918.3369684758945</v>
      </c>
      <c r="AL6" s="100">
        <v>6</v>
      </c>
      <c r="AM6" s="100">
        <v>3470.3999999999996</v>
      </c>
      <c r="AN6" s="100">
        <v>8.0854194729646576</v>
      </c>
      <c r="AO6" s="100">
        <v>4676.6066231627574</v>
      </c>
      <c r="AP6" s="100">
        <v>11</v>
      </c>
      <c r="AQ6" s="100">
        <v>6362.4</v>
      </c>
      <c r="AR6" s="100">
        <v>9</v>
      </c>
      <c r="AS6" s="100">
        <v>5205.5999999999995</v>
      </c>
      <c r="AT6" s="100">
        <v>3.8208292916235425</v>
      </c>
      <c r="AU6" s="100">
        <v>2209.9676622750567</v>
      </c>
      <c r="AV6" s="100">
        <v>12</v>
      </c>
      <c r="AW6" s="100">
        <v>6940.7999999999993</v>
      </c>
      <c r="AX6" s="100">
        <v>10</v>
      </c>
      <c r="AY6" s="100">
        <v>5784</v>
      </c>
      <c r="AZ6" s="100">
        <v>9</v>
      </c>
      <c r="BA6" s="100">
        <v>5205.5999999999995</v>
      </c>
      <c r="BB6" s="100">
        <v>10</v>
      </c>
      <c r="BC6" s="100">
        <v>5784</v>
      </c>
      <c r="BD6" s="100">
        <v>13</v>
      </c>
      <c r="BE6" s="100">
        <v>7519.2</v>
      </c>
      <c r="BF6" s="100">
        <v>9</v>
      </c>
      <c r="BG6" s="100">
        <v>5205.5999999999995</v>
      </c>
      <c r="BH6" s="100">
        <v>8.8614019653391374</v>
      </c>
      <c r="BI6" s="100">
        <v>5125.4348967521564</v>
      </c>
      <c r="BJ6" s="100">
        <v>0</v>
      </c>
      <c r="BK6" s="100">
        <v>0</v>
      </c>
      <c r="BL6" s="100">
        <v>6</v>
      </c>
      <c r="BM6" s="100">
        <v>3470.3999999999996</v>
      </c>
      <c r="BN6" s="100">
        <v>9</v>
      </c>
      <c r="BO6" s="100">
        <v>5205.5999999999995</v>
      </c>
      <c r="BP6" s="100">
        <v>6.3900275951878118</v>
      </c>
      <c r="BQ6" s="100">
        <v>3695.9919610566303</v>
      </c>
      <c r="BR6" s="100">
        <v>4.0878059049377562</v>
      </c>
      <c r="BS6" s="100">
        <v>2364.3869354159979</v>
      </c>
      <c r="BT6" s="100">
        <v>9</v>
      </c>
      <c r="BU6" s="100">
        <v>5205.5999999999995</v>
      </c>
      <c r="BV6" s="100">
        <v>11</v>
      </c>
      <c r="BW6" s="100">
        <v>6362.4</v>
      </c>
      <c r="BX6" s="100">
        <v>11</v>
      </c>
      <c r="BY6" s="100">
        <v>6362.4</v>
      </c>
      <c r="BZ6" s="100">
        <v>7</v>
      </c>
      <c r="CA6" s="100">
        <v>4048.7999999999997</v>
      </c>
      <c r="CB6" s="100">
        <v>7</v>
      </c>
      <c r="CC6" s="100">
        <v>4048.7999999999997</v>
      </c>
      <c r="CD6" s="100">
        <v>10.344562738659054</v>
      </c>
      <c r="CE6" s="100">
        <v>5983.2950880403969</v>
      </c>
      <c r="CF6" s="100">
        <v>12</v>
      </c>
      <c r="CG6" s="100">
        <v>6940.7999999999993</v>
      </c>
      <c r="CH6" s="100">
        <v>6</v>
      </c>
      <c r="CI6" s="100">
        <v>3470.3999999999996</v>
      </c>
      <c r="CJ6" s="100">
        <v>9</v>
      </c>
      <c r="CK6" s="100">
        <v>5205.5999999999995</v>
      </c>
      <c r="CL6" s="100">
        <v>4.2112242177392121</v>
      </c>
      <c r="CM6" s="100">
        <v>2435.7720875403602</v>
      </c>
      <c r="CN6" s="100">
        <v>8</v>
      </c>
      <c r="CO6" s="100">
        <v>4627.2</v>
      </c>
      <c r="CP6" s="100">
        <v>9.5709644305459811</v>
      </c>
      <c r="CQ6" s="100">
        <v>5535.8458266277948</v>
      </c>
      <c r="CR6" s="100">
        <v>8</v>
      </c>
      <c r="CS6" s="100">
        <v>4627.2</v>
      </c>
      <c r="CT6" s="100">
        <v>5.3957297206121311</v>
      </c>
      <c r="CU6" s="100">
        <v>3120.8900704020566</v>
      </c>
    </row>
    <row r="7" spans="1:99">
      <c r="C7" s="99" t="s">
        <v>173</v>
      </c>
      <c r="D7" s="100">
        <v>0.26446454634593008</v>
      </c>
      <c r="E7" s="100">
        <v>208.50384833913128</v>
      </c>
      <c r="F7" s="100">
        <v>0.18559961880771725</v>
      </c>
      <c r="G7" s="100">
        <v>146.32673946800426</v>
      </c>
      <c r="H7" s="100">
        <v>6.151390546011986</v>
      </c>
      <c r="I7" s="100">
        <v>4849.7563064758497</v>
      </c>
      <c r="J7" s="100">
        <v>6</v>
      </c>
      <c r="K7" s="100">
        <v>4730.3999999999996</v>
      </c>
      <c r="L7" s="100">
        <v>3.5339870365695183</v>
      </c>
      <c r="M7" s="100">
        <v>2786.1953796314083</v>
      </c>
      <c r="N7" s="100">
        <v>8.2163031956662351</v>
      </c>
      <c r="O7" s="100">
        <v>6477.7334394632599</v>
      </c>
      <c r="P7" s="100">
        <v>7.0811038169413338</v>
      </c>
      <c r="Q7" s="100">
        <v>5582.7422492765472</v>
      </c>
      <c r="R7" s="100">
        <v>3.1251396796253044</v>
      </c>
      <c r="S7" s="100">
        <v>2463.8601234165899</v>
      </c>
      <c r="T7" s="100">
        <v>6.0080338729805591</v>
      </c>
      <c r="U7" s="100">
        <v>4736.7339054578724</v>
      </c>
      <c r="V7" s="100">
        <v>7</v>
      </c>
      <c r="W7" s="100">
        <v>5518.8</v>
      </c>
      <c r="X7" s="100">
        <v>11</v>
      </c>
      <c r="Y7" s="100">
        <v>8672.4</v>
      </c>
      <c r="Z7" s="100">
        <v>7</v>
      </c>
      <c r="AA7" s="100">
        <v>5518.8</v>
      </c>
      <c r="AB7" s="100">
        <v>8</v>
      </c>
      <c r="AC7" s="100">
        <v>6307.2</v>
      </c>
      <c r="AD7" s="100">
        <v>10</v>
      </c>
      <c r="AE7" s="100">
        <v>7884</v>
      </c>
      <c r="AF7" s="100">
        <v>9</v>
      </c>
      <c r="AG7" s="100">
        <v>7095.5999999999995</v>
      </c>
      <c r="AH7" s="100">
        <v>9</v>
      </c>
      <c r="AI7" s="100">
        <v>7095.5999999999995</v>
      </c>
      <c r="AJ7" s="100">
        <v>3.6851409414397853</v>
      </c>
      <c r="AK7" s="100">
        <v>2905.3651182311269</v>
      </c>
      <c r="AL7" s="100">
        <v>6</v>
      </c>
      <c r="AM7" s="100">
        <v>4730.3999999999996</v>
      </c>
      <c r="AN7" s="100">
        <v>8.8939614202611246</v>
      </c>
      <c r="AO7" s="100">
        <v>7011.9991837338703</v>
      </c>
      <c r="AP7" s="100">
        <v>11</v>
      </c>
      <c r="AQ7" s="100">
        <v>8672.4</v>
      </c>
      <c r="AR7" s="100">
        <v>8</v>
      </c>
      <c r="AS7" s="100">
        <v>6307.2</v>
      </c>
      <c r="AT7" s="100">
        <v>3.8208292916235425</v>
      </c>
      <c r="AU7" s="100">
        <v>3012.3418135160009</v>
      </c>
      <c r="AV7" s="100">
        <v>11</v>
      </c>
      <c r="AW7" s="100">
        <v>8672.4</v>
      </c>
      <c r="AX7" s="100">
        <v>11</v>
      </c>
      <c r="AY7" s="100">
        <v>8672.4</v>
      </c>
      <c r="AZ7" s="100">
        <v>9</v>
      </c>
      <c r="BA7" s="100">
        <v>7095.5999999999995</v>
      </c>
      <c r="BB7" s="100">
        <v>9</v>
      </c>
      <c r="BC7" s="100">
        <v>7095.5999999999995</v>
      </c>
      <c r="BD7" s="100">
        <v>11</v>
      </c>
      <c r="BE7" s="100">
        <v>8672.4</v>
      </c>
      <c r="BF7" s="100">
        <v>10</v>
      </c>
      <c r="BG7" s="100">
        <v>7884</v>
      </c>
      <c r="BH7" s="100">
        <v>10.633682358406965</v>
      </c>
      <c r="BI7" s="100">
        <v>8383.5951713680515</v>
      </c>
      <c r="BJ7" s="100">
        <v>0</v>
      </c>
      <c r="BK7" s="100">
        <v>0</v>
      </c>
      <c r="BL7" s="100">
        <v>7</v>
      </c>
      <c r="BM7" s="100">
        <v>5518.8</v>
      </c>
      <c r="BN7" s="100">
        <v>9</v>
      </c>
      <c r="BO7" s="100">
        <v>7095.5999999999995</v>
      </c>
      <c r="BP7" s="100">
        <v>5.5912741457893356</v>
      </c>
      <c r="BQ7" s="100">
        <v>4408.160536540312</v>
      </c>
      <c r="BR7" s="100">
        <v>4.5987816430549762</v>
      </c>
      <c r="BS7" s="100">
        <v>3625.679447384543</v>
      </c>
      <c r="BT7" s="100">
        <v>9</v>
      </c>
      <c r="BU7" s="100">
        <v>7095.5999999999995</v>
      </c>
      <c r="BV7" s="100">
        <v>10</v>
      </c>
      <c r="BW7" s="100">
        <v>7884</v>
      </c>
      <c r="BX7" s="100">
        <v>11</v>
      </c>
      <c r="BY7" s="100">
        <v>8672.4</v>
      </c>
      <c r="BZ7" s="100">
        <v>7</v>
      </c>
      <c r="CA7" s="100">
        <v>5518.8</v>
      </c>
      <c r="CB7" s="100">
        <v>7</v>
      </c>
      <c r="CC7" s="100">
        <v>5518.8</v>
      </c>
      <c r="CD7" s="100">
        <v>9.4041479442355023</v>
      </c>
      <c r="CE7" s="100">
        <v>7414.2302392352694</v>
      </c>
      <c r="CF7" s="100">
        <v>13</v>
      </c>
      <c r="CG7" s="100">
        <v>10249.199999999999</v>
      </c>
      <c r="CH7" s="100">
        <v>7</v>
      </c>
      <c r="CI7" s="100">
        <v>5518.8</v>
      </c>
      <c r="CJ7" s="100">
        <v>9</v>
      </c>
      <c r="CK7" s="100">
        <v>7095.5999999999995</v>
      </c>
      <c r="CL7" s="100">
        <v>4.6791380197102361</v>
      </c>
      <c r="CM7" s="100">
        <v>3689.0324147395499</v>
      </c>
      <c r="CN7" s="100">
        <v>8</v>
      </c>
      <c r="CO7" s="100">
        <v>6307.2</v>
      </c>
      <c r="CP7" s="100">
        <v>10.441052106050162</v>
      </c>
      <c r="CQ7" s="100">
        <v>8231.7254804099466</v>
      </c>
      <c r="CR7" s="100">
        <v>7</v>
      </c>
      <c r="CS7" s="100">
        <v>5518.8</v>
      </c>
      <c r="CT7" s="100">
        <v>5.3957297206121311</v>
      </c>
      <c r="CU7" s="100">
        <v>4253.9933117306036</v>
      </c>
    </row>
    <row r="8" spans="1:99">
      <c r="C8" s="99" t="s">
        <v>174</v>
      </c>
      <c r="D8" s="100">
        <v>0.26446454634593008</v>
      </c>
      <c r="E8" s="100">
        <v>81.87822354869995</v>
      </c>
      <c r="F8" s="100">
        <v>0.18559961880771725</v>
      </c>
      <c r="G8" s="100">
        <v>57.461641982869253</v>
      </c>
      <c r="H8" s="100">
        <v>6.151390546011986</v>
      </c>
      <c r="I8" s="100">
        <v>1904.4705130453106</v>
      </c>
      <c r="J8" s="100">
        <v>5</v>
      </c>
      <c r="K8" s="100">
        <v>1547.9999999999998</v>
      </c>
      <c r="L8" s="100">
        <v>3.0291317456310161</v>
      </c>
      <c r="M8" s="100">
        <v>937.81918844736242</v>
      </c>
      <c r="N8" s="100">
        <v>9.1292257729624815</v>
      </c>
      <c r="O8" s="100">
        <v>2826.4082993091838</v>
      </c>
      <c r="P8" s="100">
        <v>7.9662417940590009</v>
      </c>
      <c r="Q8" s="100">
        <v>2466.3484594406664</v>
      </c>
      <c r="R8" s="100">
        <v>3.750167615550366</v>
      </c>
      <c r="S8" s="100">
        <v>1161.0518937743932</v>
      </c>
      <c r="T8" s="100">
        <v>6.8663244262634962</v>
      </c>
      <c r="U8" s="100">
        <v>2125.8140423711779</v>
      </c>
      <c r="V8" s="100">
        <v>7</v>
      </c>
      <c r="W8" s="100">
        <v>2167.1999999999998</v>
      </c>
      <c r="X8" s="100">
        <v>10</v>
      </c>
      <c r="Y8" s="100">
        <v>3095.9999999999995</v>
      </c>
      <c r="Z8" s="100">
        <v>7</v>
      </c>
      <c r="AA8" s="100">
        <v>2167.1999999999998</v>
      </c>
      <c r="AB8" s="100">
        <v>8</v>
      </c>
      <c r="AC8" s="100">
        <v>2476.7999999999997</v>
      </c>
      <c r="AD8" s="100">
        <v>11</v>
      </c>
      <c r="AE8" s="100">
        <v>3405.5999999999995</v>
      </c>
      <c r="AF8" s="100">
        <v>8</v>
      </c>
      <c r="AG8" s="100">
        <v>2476.7999999999997</v>
      </c>
      <c r="AH8" s="100">
        <v>10</v>
      </c>
      <c r="AI8" s="100">
        <v>3095.9999999999995</v>
      </c>
      <c r="AJ8" s="100">
        <v>3.6851409414397853</v>
      </c>
      <c r="AK8" s="100">
        <v>1140.9196354697574</v>
      </c>
      <c r="AL8" s="100">
        <v>6</v>
      </c>
      <c r="AM8" s="100">
        <v>1857.6</v>
      </c>
      <c r="AN8" s="100">
        <v>8.8939614202611246</v>
      </c>
      <c r="AO8" s="100">
        <v>2753.5704557128438</v>
      </c>
      <c r="AP8" s="100">
        <v>13</v>
      </c>
      <c r="AQ8" s="100">
        <v>4024.7999999999997</v>
      </c>
      <c r="AR8" s="100">
        <v>9</v>
      </c>
      <c r="AS8" s="100">
        <v>2786.3999999999996</v>
      </c>
      <c r="AT8" s="100">
        <v>3.8208292916235425</v>
      </c>
      <c r="AU8" s="100">
        <v>1182.9287486866485</v>
      </c>
      <c r="AV8" s="100">
        <v>11</v>
      </c>
      <c r="AW8" s="100">
        <v>3405.5999999999995</v>
      </c>
      <c r="AX8" s="100">
        <v>11</v>
      </c>
      <c r="AY8" s="100">
        <v>3405.5999999999995</v>
      </c>
      <c r="AZ8" s="100">
        <v>9</v>
      </c>
      <c r="BA8" s="100">
        <v>2786.3999999999996</v>
      </c>
      <c r="BB8" s="100">
        <v>10</v>
      </c>
      <c r="BC8" s="100">
        <v>3095.9999999999995</v>
      </c>
      <c r="BD8" s="100">
        <v>13</v>
      </c>
      <c r="BE8" s="100">
        <v>4024.7999999999997</v>
      </c>
      <c r="BF8" s="100">
        <v>11</v>
      </c>
      <c r="BG8" s="100">
        <v>3405.5999999999995</v>
      </c>
      <c r="BH8" s="100">
        <v>9.7475421618730511</v>
      </c>
      <c r="BI8" s="100">
        <v>3017.8390533158963</v>
      </c>
      <c r="BJ8" s="100">
        <v>0</v>
      </c>
      <c r="BK8" s="100">
        <v>0</v>
      </c>
      <c r="BL8" s="100">
        <v>7</v>
      </c>
      <c r="BM8" s="100">
        <v>2167.1999999999998</v>
      </c>
      <c r="BN8" s="100">
        <v>9</v>
      </c>
      <c r="BO8" s="100">
        <v>2786.3999999999996</v>
      </c>
      <c r="BP8" s="100">
        <v>5.5912741457893356</v>
      </c>
      <c r="BQ8" s="100">
        <v>1731.0584755363782</v>
      </c>
      <c r="BR8" s="100">
        <v>4.5987816430549762</v>
      </c>
      <c r="BS8" s="100">
        <v>1423.7827966898205</v>
      </c>
      <c r="BT8" s="100">
        <v>8</v>
      </c>
      <c r="BU8" s="100">
        <v>2476.7999999999997</v>
      </c>
      <c r="BV8" s="100">
        <v>10</v>
      </c>
      <c r="BW8" s="100">
        <v>3095.9999999999995</v>
      </c>
      <c r="BX8" s="100">
        <v>11</v>
      </c>
      <c r="BY8" s="100">
        <v>3405.5999999999995</v>
      </c>
      <c r="BZ8" s="100">
        <v>7</v>
      </c>
      <c r="CA8" s="100">
        <v>2167.1999999999998</v>
      </c>
      <c r="CB8" s="100">
        <v>7</v>
      </c>
      <c r="CC8" s="100">
        <v>2167.1999999999998</v>
      </c>
      <c r="CD8" s="100">
        <v>9.4041479442355023</v>
      </c>
      <c r="CE8" s="100">
        <v>2911.5242035353112</v>
      </c>
      <c r="CF8" s="100">
        <v>12</v>
      </c>
      <c r="CG8" s="100">
        <v>3715.2</v>
      </c>
      <c r="CH8" s="100">
        <v>6</v>
      </c>
      <c r="CI8" s="100">
        <v>1857.6</v>
      </c>
      <c r="CJ8" s="100">
        <v>9</v>
      </c>
      <c r="CK8" s="100">
        <v>2786.3999999999996</v>
      </c>
      <c r="CL8" s="100">
        <v>5.1470518216812593</v>
      </c>
      <c r="CM8" s="100">
        <v>1593.5272439925177</v>
      </c>
      <c r="CN8" s="100">
        <v>8</v>
      </c>
      <c r="CO8" s="100">
        <v>2476.7999999999997</v>
      </c>
      <c r="CP8" s="100">
        <v>11.311139781554342</v>
      </c>
      <c r="CQ8" s="100">
        <v>3501.9288763692239</v>
      </c>
      <c r="CR8" s="100">
        <v>9</v>
      </c>
      <c r="CS8" s="100">
        <v>2786.3999999999996</v>
      </c>
      <c r="CT8" s="100">
        <v>4.6249111890961121</v>
      </c>
      <c r="CU8" s="100">
        <v>1431.8725041441562</v>
      </c>
    </row>
    <row r="9" spans="1:99">
      <c r="C9" s="99" t="s">
        <v>175</v>
      </c>
      <c r="D9" s="100">
        <v>0.26446454634593008</v>
      </c>
      <c r="E9" s="100">
        <v>185.65411153484291</v>
      </c>
      <c r="F9" s="100">
        <v>0.15908538754947188</v>
      </c>
      <c r="G9" s="100">
        <v>111.67794205972926</v>
      </c>
      <c r="H9" s="100">
        <v>6.151390546011986</v>
      </c>
      <c r="I9" s="100">
        <v>4318.2761633004138</v>
      </c>
      <c r="J9" s="100">
        <v>6</v>
      </c>
      <c r="K9" s="100">
        <v>4212</v>
      </c>
      <c r="L9" s="100">
        <v>3.0291317456310161</v>
      </c>
      <c r="M9" s="100">
        <v>2126.4504854329734</v>
      </c>
      <c r="N9" s="100">
        <v>9.1292257729624815</v>
      </c>
      <c r="O9" s="100">
        <v>6408.7164926196619</v>
      </c>
      <c r="P9" s="100">
        <v>7.0811038169413338</v>
      </c>
      <c r="Q9" s="100">
        <v>4970.9348794928164</v>
      </c>
      <c r="R9" s="100">
        <v>3.750167615550366</v>
      </c>
      <c r="S9" s="100">
        <v>2632.6176661163568</v>
      </c>
      <c r="T9" s="100">
        <v>6.0080338729805591</v>
      </c>
      <c r="U9" s="100">
        <v>4217.6397788323529</v>
      </c>
      <c r="V9" s="100">
        <v>8</v>
      </c>
      <c r="W9" s="100">
        <v>5616</v>
      </c>
      <c r="X9" s="100">
        <v>10</v>
      </c>
      <c r="Y9" s="100">
        <v>7020</v>
      </c>
      <c r="Z9" s="100">
        <v>6</v>
      </c>
      <c r="AA9" s="100">
        <v>4212</v>
      </c>
      <c r="AB9" s="100">
        <v>9</v>
      </c>
      <c r="AC9" s="100">
        <v>6318</v>
      </c>
      <c r="AD9" s="100">
        <v>10</v>
      </c>
      <c r="AE9" s="100">
        <v>7020</v>
      </c>
      <c r="AF9" s="100">
        <v>8</v>
      </c>
      <c r="AG9" s="100">
        <v>5616</v>
      </c>
      <c r="AH9" s="100">
        <v>11</v>
      </c>
      <c r="AI9" s="100">
        <v>7722</v>
      </c>
      <c r="AJ9" s="100">
        <v>3.6851409414397853</v>
      </c>
      <c r="AK9" s="100">
        <v>2586.9689408907293</v>
      </c>
      <c r="AL9" s="100">
        <v>7</v>
      </c>
      <c r="AM9" s="100">
        <v>4914</v>
      </c>
      <c r="AN9" s="100">
        <v>8.8939614202611246</v>
      </c>
      <c r="AO9" s="100">
        <v>6243.5609170233092</v>
      </c>
      <c r="AP9" s="100">
        <v>12</v>
      </c>
      <c r="AQ9" s="100">
        <v>8424</v>
      </c>
      <c r="AR9" s="100">
        <v>7</v>
      </c>
      <c r="AS9" s="100">
        <v>4914</v>
      </c>
      <c r="AT9" s="100">
        <v>3.1840244096862853</v>
      </c>
      <c r="AU9" s="100">
        <v>2235.1851355997724</v>
      </c>
      <c r="AV9" s="100">
        <v>11</v>
      </c>
      <c r="AW9" s="100">
        <v>7722</v>
      </c>
      <c r="AX9" s="100">
        <v>11</v>
      </c>
      <c r="AY9" s="100">
        <v>7722</v>
      </c>
      <c r="AZ9" s="100">
        <v>9</v>
      </c>
      <c r="BA9" s="100">
        <v>6318</v>
      </c>
      <c r="BB9" s="100">
        <v>9</v>
      </c>
      <c r="BC9" s="100">
        <v>6318</v>
      </c>
      <c r="BD9" s="100">
        <v>12</v>
      </c>
      <c r="BE9" s="100">
        <v>8424</v>
      </c>
      <c r="BF9" s="100">
        <v>9</v>
      </c>
      <c r="BG9" s="100">
        <v>6318</v>
      </c>
      <c r="BH9" s="100">
        <v>9.7475421618730511</v>
      </c>
      <c r="BI9" s="100">
        <v>6842.7745976348815</v>
      </c>
      <c r="BJ9" s="100">
        <v>0</v>
      </c>
      <c r="BK9" s="100">
        <v>0</v>
      </c>
      <c r="BL9" s="100">
        <v>7</v>
      </c>
      <c r="BM9" s="100">
        <v>4914</v>
      </c>
      <c r="BN9" s="100">
        <v>9</v>
      </c>
      <c r="BO9" s="100">
        <v>6318</v>
      </c>
      <c r="BP9" s="100">
        <v>5.5912741457893356</v>
      </c>
      <c r="BQ9" s="100">
        <v>3925.0744503441138</v>
      </c>
      <c r="BR9" s="100">
        <v>4.0878059049377562</v>
      </c>
      <c r="BS9" s="100">
        <v>2869.639745266305</v>
      </c>
      <c r="BT9" s="100">
        <v>9</v>
      </c>
      <c r="BU9" s="100">
        <v>6318</v>
      </c>
      <c r="BV9" s="100">
        <v>10</v>
      </c>
      <c r="BW9" s="100">
        <v>7020</v>
      </c>
      <c r="BX9" s="100">
        <v>11</v>
      </c>
      <c r="BY9" s="100">
        <v>7722</v>
      </c>
      <c r="BZ9" s="100">
        <v>7</v>
      </c>
      <c r="CA9" s="100">
        <v>4914</v>
      </c>
      <c r="CB9" s="100">
        <v>6</v>
      </c>
      <c r="CC9" s="100">
        <v>4212</v>
      </c>
      <c r="CD9" s="100">
        <v>9.4041479442355023</v>
      </c>
      <c r="CE9" s="100">
        <v>6601.7118568533224</v>
      </c>
      <c r="CF9" s="100">
        <v>11</v>
      </c>
      <c r="CG9" s="100">
        <v>7722</v>
      </c>
      <c r="CH9" s="100">
        <v>7</v>
      </c>
      <c r="CI9" s="100">
        <v>4914</v>
      </c>
      <c r="CJ9" s="100">
        <v>9</v>
      </c>
      <c r="CK9" s="100">
        <v>6318</v>
      </c>
      <c r="CL9" s="100">
        <v>5.1470518216812593</v>
      </c>
      <c r="CM9" s="100">
        <v>3613.2303788202439</v>
      </c>
      <c r="CN9" s="100">
        <v>9</v>
      </c>
      <c r="CO9" s="100">
        <v>6318</v>
      </c>
      <c r="CP9" s="100">
        <v>10.441052106050162</v>
      </c>
      <c r="CQ9" s="100">
        <v>7329.6185784472136</v>
      </c>
      <c r="CR9" s="100">
        <v>7</v>
      </c>
      <c r="CS9" s="100">
        <v>4914</v>
      </c>
      <c r="CT9" s="100">
        <v>4.6249111890961121</v>
      </c>
      <c r="CU9" s="100">
        <v>3246.6876547454708</v>
      </c>
    </row>
    <row r="10" spans="1:99">
      <c r="C10" s="99" t="s">
        <v>176</v>
      </c>
      <c r="D10" s="100">
        <v>0.26446454634593008</v>
      </c>
      <c r="E10" s="100">
        <v>144.08028484926271</v>
      </c>
      <c r="F10" s="100">
        <v>0.18559961880771725</v>
      </c>
      <c r="G10" s="100">
        <v>101.11467232644435</v>
      </c>
      <c r="H10" s="100">
        <v>6.151390546011986</v>
      </c>
      <c r="I10" s="100">
        <v>3351.2775694673296</v>
      </c>
      <c r="J10" s="100">
        <v>6</v>
      </c>
      <c r="K10" s="100">
        <v>3268.7999999999997</v>
      </c>
      <c r="L10" s="100">
        <v>3.5339870365695183</v>
      </c>
      <c r="M10" s="100">
        <v>1925.3161375230734</v>
      </c>
      <c r="N10" s="100">
        <v>9.1292257729624815</v>
      </c>
      <c r="O10" s="100">
        <v>4973.6022011099594</v>
      </c>
      <c r="P10" s="100">
        <v>7.9662417940590009</v>
      </c>
      <c r="Q10" s="100">
        <v>4340.0085294033433</v>
      </c>
      <c r="R10" s="100">
        <v>3.1251396796253044</v>
      </c>
      <c r="S10" s="100">
        <v>1702.5760974598657</v>
      </c>
      <c r="T10" s="100">
        <v>6.8663244262634962</v>
      </c>
      <c r="U10" s="100">
        <v>3740.7735474283522</v>
      </c>
      <c r="V10" s="100">
        <v>7</v>
      </c>
      <c r="W10" s="100">
        <v>3813.5999999999995</v>
      </c>
      <c r="X10" s="100">
        <v>10</v>
      </c>
      <c r="Y10" s="100">
        <v>5448</v>
      </c>
      <c r="Z10" s="100">
        <v>7</v>
      </c>
      <c r="AA10" s="100">
        <v>3813.5999999999995</v>
      </c>
      <c r="AB10" s="100">
        <v>9</v>
      </c>
      <c r="AC10" s="100">
        <v>4903.2</v>
      </c>
      <c r="AD10" s="100">
        <v>11</v>
      </c>
      <c r="AE10" s="100">
        <v>5992.7999999999993</v>
      </c>
      <c r="AF10" s="100">
        <v>9</v>
      </c>
      <c r="AG10" s="100">
        <v>4903.2</v>
      </c>
      <c r="AH10" s="100">
        <v>10</v>
      </c>
      <c r="AI10" s="100">
        <v>5448</v>
      </c>
      <c r="AJ10" s="100">
        <v>3.6851409414397853</v>
      </c>
      <c r="AK10" s="100">
        <v>2007.6647848963948</v>
      </c>
      <c r="AL10" s="100">
        <v>6</v>
      </c>
      <c r="AM10" s="100">
        <v>3268.7999999999997</v>
      </c>
      <c r="AN10" s="100">
        <v>8.0854194729646576</v>
      </c>
      <c r="AO10" s="100">
        <v>4404.9365288711451</v>
      </c>
      <c r="AP10" s="100">
        <v>12</v>
      </c>
      <c r="AQ10" s="100">
        <v>6537.5999999999995</v>
      </c>
      <c r="AR10" s="100">
        <v>7</v>
      </c>
      <c r="AS10" s="100">
        <v>3813.5999999999995</v>
      </c>
      <c r="AT10" s="100">
        <v>3.8208292916235425</v>
      </c>
      <c r="AU10" s="100">
        <v>2081.5877980765058</v>
      </c>
      <c r="AV10" s="100">
        <v>11</v>
      </c>
      <c r="AW10" s="100">
        <v>5992.7999999999993</v>
      </c>
      <c r="AX10" s="100">
        <v>12</v>
      </c>
      <c r="AY10" s="100">
        <v>6537.5999999999995</v>
      </c>
      <c r="AZ10" s="100">
        <v>9</v>
      </c>
      <c r="BA10" s="100">
        <v>4903.2</v>
      </c>
      <c r="BB10" s="100">
        <v>10</v>
      </c>
      <c r="BC10" s="100">
        <v>5448</v>
      </c>
      <c r="BD10" s="100">
        <v>12</v>
      </c>
      <c r="BE10" s="100">
        <v>6537.5999999999995</v>
      </c>
      <c r="BF10" s="100">
        <v>9</v>
      </c>
      <c r="BG10" s="100">
        <v>4903.2</v>
      </c>
      <c r="BH10" s="100">
        <v>9.7475421618730511</v>
      </c>
      <c r="BI10" s="100">
        <v>5310.460969788438</v>
      </c>
      <c r="BJ10" s="100">
        <v>0</v>
      </c>
      <c r="BK10" s="100">
        <v>0</v>
      </c>
      <c r="BL10" s="100">
        <v>7</v>
      </c>
      <c r="BM10" s="100">
        <v>3813.5999999999995</v>
      </c>
      <c r="BN10" s="100">
        <v>9</v>
      </c>
      <c r="BO10" s="100">
        <v>4903.2</v>
      </c>
      <c r="BP10" s="100">
        <v>5.5912741457893356</v>
      </c>
      <c r="BQ10" s="100">
        <v>3046.1261546260298</v>
      </c>
      <c r="BR10" s="100">
        <v>4.5987816430549762</v>
      </c>
      <c r="BS10" s="100">
        <v>2505.4162391363507</v>
      </c>
      <c r="BT10" s="100">
        <v>9</v>
      </c>
      <c r="BU10" s="100">
        <v>4903.2</v>
      </c>
      <c r="BV10" s="100">
        <v>9</v>
      </c>
      <c r="BW10" s="100">
        <v>4903.2</v>
      </c>
      <c r="BX10" s="100">
        <v>11</v>
      </c>
      <c r="BY10" s="100">
        <v>5992.7999999999993</v>
      </c>
      <c r="BZ10" s="100">
        <v>7</v>
      </c>
      <c r="CA10" s="100">
        <v>3813.5999999999995</v>
      </c>
      <c r="CB10" s="100">
        <v>6</v>
      </c>
      <c r="CC10" s="100">
        <v>3268.7999999999997</v>
      </c>
      <c r="CD10" s="100">
        <v>11.284977533082603</v>
      </c>
      <c r="CE10" s="100">
        <v>6148.0557600234015</v>
      </c>
      <c r="CF10" s="100">
        <v>11</v>
      </c>
      <c r="CG10" s="100">
        <v>5992.7999999999993</v>
      </c>
      <c r="CH10" s="100">
        <v>7</v>
      </c>
      <c r="CI10" s="100">
        <v>3813.5999999999995</v>
      </c>
      <c r="CJ10" s="100">
        <v>8</v>
      </c>
      <c r="CK10" s="100">
        <v>4358.3999999999996</v>
      </c>
      <c r="CL10" s="100">
        <v>4.2112242177392121</v>
      </c>
      <c r="CM10" s="100">
        <v>2294.2749538243224</v>
      </c>
      <c r="CN10" s="100">
        <v>9</v>
      </c>
      <c r="CO10" s="100">
        <v>4903.2</v>
      </c>
      <c r="CP10" s="100">
        <v>10.441052106050162</v>
      </c>
      <c r="CQ10" s="100">
        <v>5688.2851873761274</v>
      </c>
      <c r="CR10" s="100">
        <v>8</v>
      </c>
      <c r="CS10" s="100">
        <v>4358.3999999999996</v>
      </c>
      <c r="CT10" s="100">
        <v>5.3957297206121311</v>
      </c>
      <c r="CU10" s="100">
        <v>2939.5935517894886</v>
      </c>
    </row>
    <row r="11" spans="1:99">
      <c r="C11" s="99" t="s">
        <v>177</v>
      </c>
      <c r="D11" s="100">
        <v>0.26446454634593008</v>
      </c>
      <c r="E11" s="100">
        <v>140.90671029311153</v>
      </c>
      <c r="F11" s="100">
        <v>0.18559961880771725</v>
      </c>
      <c r="G11" s="100">
        <v>98.887476900751736</v>
      </c>
      <c r="H11" s="100">
        <v>6.151390546011986</v>
      </c>
      <c r="I11" s="100">
        <v>3277.4608829151857</v>
      </c>
      <c r="J11" s="100">
        <v>6</v>
      </c>
      <c r="K11" s="100">
        <v>3196.7999999999997</v>
      </c>
      <c r="L11" s="100">
        <v>3.0291317456310161</v>
      </c>
      <c r="M11" s="100">
        <v>1613.9213940722052</v>
      </c>
      <c r="N11" s="100">
        <v>10.042148350258731</v>
      </c>
      <c r="O11" s="100">
        <v>5350.4566410178513</v>
      </c>
      <c r="P11" s="100">
        <v>7.9662417940590009</v>
      </c>
      <c r="Q11" s="100">
        <v>4244.4136278746355</v>
      </c>
      <c r="R11" s="100">
        <v>3.750167615550366</v>
      </c>
      <c r="S11" s="100">
        <v>1998.0893055652348</v>
      </c>
      <c r="T11" s="100">
        <v>6.8663244262634962</v>
      </c>
      <c r="U11" s="100">
        <v>3658.3776543131903</v>
      </c>
      <c r="V11" s="100">
        <v>8</v>
      </c>
      <c r="W11" s="100">
        <v>4262.3999999999996</v>
      </c>
      <c r="X11" s="100">
        <v>11</v>
      </c>
      <c r="Y11" s="100">
        <v>5860.7999999999993</v>
      </c>
      <c r="Z11" s="100">
        <v>7</v>
      </c>
      <c r="AA11" s="100">
        <v>3729.5999999999995</v>
      </c>
      <c r="AB11" s="100">
        <v>8</v>
      </c>
      <c r="AC11" s="100">
        <v>4262.3999999999996</v>
      </c>
      <c r="AD11" s="100">
        <v>10</v>
      </c>
      <c r="AE11" s="100">
        <v>5328</v>
      </c>
      <c r="AF11" s="100">
        <v>8</v>
      </c>
      <c r="AG11" s="100">
        <v>4262.3999999999996</v>
      </c>
      <c r="AH11" s="100">
        <v>9</v>
      </c>
      <c r="AI11" s="100">
        <v>4795.2</v>
      </c>
      <c r="AJ11" s="100">
        <v>4.0536550355837644</v>
      </c>
      <c r="AK11" s="100">
        <v>2159.7874029590294</v>
      </c>
      <c r="AL11" s="100">
        <v>6</v>
      </c>
      <c r="AM11" s="100">
        <v>3196.7999999999997</v>
      </c>
      <c r="AN11" s="100">
        <v>8.8939614202611246</v>
      </c>
      <c r="AO11" s="100">
        <v>4738.7026447151266</v>
      </c>
      <c r="AP11" s="100">
        <v>12</v>
      </c>
      <c r="AQ11" s="100">
        <v>6393.5999999999995</v>
      </c>
      <c r="AR11" s="100">
        <v>9</v>
      </c>
      <c r="AS11" s="100">
        <v>4795.2</v>
      </c>
      <c r="AT11" s="100">
        <v>3.8208292916235425</v>
      </c>
      <c r="AU11" s="100">
        <v>2035.7378465770232</v>
      </c>
      <c r="AV11" s="100">
        <v>11</v>
      </c>
      <c r="AW11" s="100">
        <v>5860.7999999999993</v>
      </c>
      <c r="AX11" s="100">
        <v>11</v>
      </c>
      <c r="AY11" s="100">
        <v>5860.7999999999993</v>
      </c>
      <c r="AZ11" s="100">
        <v>10</v>
      </c>
      <c r="BA11" s="100">
        <v>5328</v>
      </c>
      <c r="BB11" s="100">
        <v>10</v>
      </c>
      <c r="BC11" s="100">
        <v>5328</v>
      </c>
      <c r="BD11" s="100">
        <v>12</v>
      </c>
      <c r="BE11" s="100">
        <v>6393.5999999999995</v>
      </c>
      <c r="BF11" s="100">
        <v>10</v>
      </c>
      <c r="BG11" s="100">
        <v>5328</v>
      </c>
      <c r="BH11" s="100">
        <v>10.633682358406965</v>
      </c>
      <c r="BI11" s="100">
        <v>5665.6259605592304</v>
      </c>
      <c r="BJ11" s="100">
        <v>0</v>
      </c>
      <c r="BK11" s="100">
        <v>0</v>
      </c>
      <c r="BL11" s="100">
        <v>7</v>
      </c>
      <c r="BM11" s="100">
        <v>3729.5999999999995</v>
      </c>
      <c r="BN11" s="100">
        <v>9</v>
      </c>
      <c r="BO11" s="100">
        <v>4795.2</v>
      </c>
      <c r="BP11" s="100">
        <v>6.3900275951878118</v>
      </c>
      <c r="BQ11" s="100">
        <v>3404.6067027160657</v>
      </c>
      <c r="BR11" s="100">
        <v>4.5987816430549762</v>
      </c>
      <c r="BS11" s="100">
        <v>2450.2308594196911</v>
      </c>
      <c r="BT11" s="100">
        <v>8</v>
      </c>
      <c r="BU11" s="100">
        <v>4262.3999999999996</v>
      </c>
      <c r="BV11" s="100">
        <v>9</v>
      </c>
      <c r="BW11" s="100">
        <v>4795.2</v>
      </c>
      <c r="BX11" s="100">
        <v>10</v>
      </c>
      <c r="BY11" s="100">
        <v>5328</v>
      </c>
      <c r="BZ11" s="100">
        <v>7</v>
      </c>
      <c r="CA11" s="100">
        <v>3729.5999999999995</v>
      </c>
      <c r="CB11" s="100">
        <v>7</v>
      </c>
      <c r="CC11" s="100">
        <v>3729.5999999999995</v>
      </c>
      <c r="CD11" s="100">
        <v>9.4041479442355023</v>
      </c>
      <c r="CE11" s="100">
        <v>5010.5300246886754</v>
      </c>
      <c r="CF11" s="100">
        <v>12</v>
      </c>
      <c r="CG11" s="100">
        <v>6393.5999999999995</v>
      </c>
      <c r="CH11" s="100">
        <v>7</v>
      </c>
      <c r="CI11" s="100">
        <v>3729.5999999999995</v>
      </c>
      <c r="CJ11" s="100">
        <v>8</v>
      </c>
      <c r="CK11" s="100">
        <v>4262.3999999999996</v>
      </c>
      <c r="CL11" s="100">
        <v>5.1470518216812593</v>
      </c>
      <c r="CM11" s="100">
        <v>2742.3492105917749</v>
      </c>
      <c r="CN11" s="100">
        <v>8</v>
      </c>
      <c r="CO11" s="100">
        <v>4262.3999999999996</v>
      </c>
      <c r="CP11" s="100">
        <v>9.5709644305459811</v>
      </c>
      <c r="CQ11" s="100">
        <v>5099.409848594898</v>
      </c>
      <c r="CR11" s="100">
        <v>8</v>
      </c>
      <c r="CS11" s="100">
        <v>4262.3999999999996</v>
      </c>
      <c r="CT11" s="100">
        <v>4.6249111890961121</v>
      </c>
      <c r="CU11" s="100">
        <v>2464.1526815504085</v>
      </c>
    </row>
    <row r="12" spans="1:99">
      <c r="C12" s="99" t="s">
        <v>178</v>
      </c>
      <c r="D12" s="100">
        <v>0.26446454634593008</v>
      </c>
      <c r="E12" s="100">
        <v>148.84064668348944</v>
      </c>
      <c r="F12" s="100">
        <v>0.15908538754947188</v>
      </c>
      <c r="G12" s="100">
        <v>89.533256112842764</v>
      </c>
      <c r="H12" s="100">
        <v>7.0301606240136989</v>
      </c>
      <c r="I12" s="100">
        <v>3956.5743991949093</v>
      </c>
      <c r="J12" s="100">
        <v>6</v>
      </c>
      <c r="K12" s="100">
        <v>3376.7999999999997</v>
      </c>
      <c r="L12" s="100">
        <v>3.5339870365695183</v>
      </c>
      <c r="M12" s="100">
        <v>1988.9279041813247</v>
      </c>
      <c r="N12" s="100">
        <v>9.1292257729624815</v>
      </c>
      <c r="O12" s="100">
        <v>5137.9282650232844</v>
      </c>
      <c r="P12" s="100">
        <v>7.0811038169413338</v>
      </c>
      <c r="Q12" s="100">
        <v>3985.2452281745823</v>
      </c>
      <c r="R12" s="100">
        <v>3.750167615550366</v>
      </c>
      <c r="S12" s="100">
        <v>2110.5943340317458</v>
      </c>
      <c r="T12" s="100">
        <v>6.8663244262634962</v>
      </c>
      <c r="U12" s="100">
        <v>3864.3673871010951</v>
      </c>
      <c r="V12" s="100">
        <v>8</v>
      </c>
      <c r="W12" s="100">
        <v>4502.3999999999996</v>
      </c>
      <c r="X12" s="100">
        <v>11</v>
      </c>
      <c r="Y12" s="100">
        <v>6190.7999999999993</v>
      </c>
      <c r="Z12" s="100">
        <v>6</v>
      </c>
      <c r="AA12" s="100">
        <v>3376.7999999999997</v>
      </c>
      <c r="AB12" s="100">
        <v>8</v>
      </c>
      <c r="AC12" s="100">
        <v>4502.3999999999996</v>
      </c>
      <c r="AD12" s="100">
        <v>11</v>
      </c>
      <c r="AE12" s="100">
        <v>6190.7999999999993</v>
      </c>
      <c r="AF12" s="100">
        <v>8</v>
      </c>
      <c r="AG12" s="100">
        <v>4502.3999999999996</v>
      </c>
      <c r="AH12" s="100">
        <v>10</v>
      </c>
      <c r="AI12" s="100">
        <v>5628</v>
      </c>
      <c r="AJ12" s="100">
        <v>3.6851409414397853</v>
      </c>
      <c r="AK12" s="100">
        <v>2073.9973218423111</v>
      </c>
      <c r="AL12" s="100">
        <v>7</v>
      </c>
      <c r="AM12" s="100">
        <v>3939.5999999999995</v>
      </c>
      <c r="AN12" s="100">
        <v>8.8939614202611246</v>
      </c>
      <c r="AO12" s="100">
        <v>5005.5214873229606</v>
      </c>
      <c r="AP12" s="100">
        <v>11</v>
      </c>
      <c r="AQ12" s="100">
        <v>6190.7999999999993</v>
      </c>
      <c r="AR12" s="100">
        <v>8</v>
      </c>
      <c r="AS12" s="100">
        <v>4502.3999999999996</v>
      </c>
      <c r="AT12" s="100">
        <v>3.8208292916235425</v>
      </c>
      <c r="AU12" s="100">
        <v>2150.3627253257296</v>
      </c>
      <c r="AV12" s="100">
        <v>10</v>
      </c>
      <c r="AW12" s="100">
        <v>5628</v>
      </c>
      <c r="AX12" s="100">
        <v>11</v>
      </c>
      <c r="AY12" s="100">
        <v>6190.7999999999993</v>
      </c>
      <c r="AZ12" s="100">
        <v>10</v>
      </c>
      <c r="BA12" s="100">
        <v>5628</v>
      </c>
      <c r="BB12" s="100">
        <v>10</v>
      </c>
      <c r="BC12" s="100">
        <v>5628</v>
      </c>
      <c r="BD12" s="100">
        <v>11</v>
      </c>
      <c r="BE12" s="100">
        <v>6190.7999999999993</v>
      </c>
      <c r="BF12" s="100">
        <v>10</v>
      </c>
      <c r="BG12" s="100">
        <v>5628</v>
      </c>
      <c r="BH12" s="100">
        <v>10.633682358406965</v>
      </c>
      <c r="BI12" s="100">
        <v>5984.6364313114391</v>
      </c>
      <c r="BJ12" s="100">
        <v>0</v>
      </c>
      <c r="BK12" s="100">
        <v>0</v>
      </c>
      <c r="BL12" s="100">
        <v>7</v>
      </c>
      <c r="BM12" s="100">
        <v>3939.5999999999995</v>
      </c>
      <c r="BN12" s="100">
        <v>9</v>
      </c>
      <c r="BO12" s="100">
        <v>5065.2</v>
      </c>
      <c r="BP12" s="100">
        <v>6.3900275951878118</v>
      </c>
      <c r="BQ12" s="100">
        <v>3596.3075305717002</v>
      </c>
      <c r="BR12" s="100">
        <v>4.5987816430549762</v>
      </c>
      <c r="BS12" s="100">
        <v>2588.1943087113405</v>
      </c>
      <c r="BT12" s="100">
        <v>9</v>
      </c>
      <c r="BU12" s="100">
        <v>5065.2</v>
      </c>
      <c r="BV12" s="100">
        <v>10</v>
      </c>
      <c r="BW12" s="100">
        <v>5628</v>
      </c>
      <c r="BX12" s="100">
        <v>11</v>
      </c>
      <c r="BY12" s="100">
        <v>6190.7999999999993</v>
      </c>
      <c r="BZ12" s="100">
        <v>7</v>
      </c>
      <c r="CA12" s="100">
        <v>3939.5999999999995</v>
      </c>
      <c r="CB12" s="100">
        <v>8</v>
      </c>
      <c r="CC12" s="100">
        <v>4502.3999999999996</v>
      </c>
      <c r="CD12" s="100">
        <v>9.4041479442355023</v>
      </c>
      <c r="CE12" s="100">
        <v>5292.6544630157405</v>
      </c>
      <c r="CF12" s="100">
        <v>11</v>
      </c>
      <c r="CG12" s="100">
        <v>6190.7999999999993</v>
      </c>
      <c r="CH12" s="100">
        <v>6</v>
      </c>
      <c r="CI12" s="100">
        <v>3376.7999999999997</v>
      </c>
      <c r="CJ12" s="100">
        <v>9</v>
      </c>
      <c r="CK12" s="100">
        <v>5065.2</v>
      </c>
      <c r="CL12" s="100">
        <v>5.1470518216812593</v>
      </c>
      <c r="CM12" s="100">
        <v>2896.7607652422125</v>
      </c>
      <c r="CN12" s="100">
        <v>9</v>
      </c>
      <c r="CO12" s="100">
        <v>5065.2</v>
      </c>
      <c r="CP12" s="100">
        <v>11.311139781554342</v>
      </c>
      <c r="CQ12" s="100">
        <v>6365.9094690587835</v>
      </c>
      <c r="CR12" s="100">
        <v>8</v>
      </c>
      <c r="CS12" s="100">
        <v>4502.3999999999996</v>
      </c>
      <c r="CT12" s="100">
        <v>5.3957297206121311</v>
      </c>
      <c r="CU12" s="100">
        <v>3036.7166867605069</v>
      </c>
    </row>
    <row r="13" spans="1:99">
      <c r="C13" s="99" t="s">
        <v>179</v>
      </c>
      <c r="D13" s="100">
        <v>0.26446454634593008</v>
      </c>
      <c r="E13" s="100">
        <v>22.532379348673246</v>
      </c>
      <c r="F13" s="100">
        <v>0.18559961880771725</v>
      </c>
      <c r="G13" s="100">
        <v>15.81308752241751</v>
      </c>
      <c r="H13" s="100">
        <v>7.0301606240136989</v>
      </c>
      <c r="I13" s="100">
        <v>598.96968516596712</v>
      </c>
      <c r="J13" s="100">
        <v>6</v>
      </c>
      <c r="K13" s="100">
        <v>511.20000000000005</v>
      </c>
      <c r="L13" s="100">
        <v>3.5339870365695183</v>
      </c>
      <c r="M13" s="100">
        <v>301.09569551572298</v>
      </c>
      <c r="N13" s="100">
        <v>9.1292257729624815</v>
      </c>
      <c r="O13" s="100">
        <v>777.81003585640349</v>
      </c>
      <c r="P13" s="100">
        <v>7.9662417940590009</v>
      </c>
      <c r="Q13" s="100">
        <v>678.7238008538269</v>
      </c>
      <c r="R13" s="100">
        <v>3.750167615550366</v>
      </c>
      <c r="S13" s="100">
        <v>319.51428084489118</v>
      </c>
      <c r="T13" s="100">
        <v>6.8663244262634962</v>
      </c>
      <c r="U13" s="100">
        <v>585.01084111764987</v>
      </c>
      <c r="V13" s="100">
        <v>7</v>
      </c>
      <c r="W13" s="100">
        <v>596.4</v>
      </c>
      <c r="X13" s="100">
        <v>11</v>
      </c>
      <c r="Y13" s="100">
        <v>937.2</v>
      </c>
      <c r="Z13" s="100">
        <v>6</v>
      </c>
      <c r="AA13" s="100">
        <v>511.20000000000005</v>
      </c>
      <c r="AB13" s="100">
        <v>8</v>
      </c>
      <c r="AC13" s="100">
        <v>681.6</v>
      </c>
      <c r="AD13" s="100">
        <v>10</v>
      </c>
      <c r="AE13" s="100">
        <v>852</v>
      </c>
      <c r="AF13" s="100">
        <v>9</v>
      </c>
      <c r="AG13" s="100">
        <v>766.80000000000007</v>
      </c>
      <c r="AH13" s="100">
        <v>10</v>
      </c>
      <c r="AI13" s="100">
        <v>852</v>
      </c>
      <c r="AJ13" s="100">
        <v>4.0536550355837644</v>
      </c>
      <c r="AK13" s="100">
        <v>345.37140903173673</v>
      </c>
      <c r="AL13" s="100">
        <v>7</v>
      </c>
      <c r="AM13" s="100">
        <v>596.4</v>
      </c>
      <c r="AN13" s="100">
        <v>8.8939614202611246</v>
      </c>
      <c r="AO13" s="100">
        <v>757.76551300624783</v>
      </c>
      <c r="AP13" s="100">
        <v>11</v>
      </c>
      <c r="AQ13" s="100">
        <v>937.2</v>
      </c>
      <c r="AR13" s="100">
        <v>9</v>
      </c>
      <c r="AS13" s="100">
        <v>766.80000000000007</v>
      </c>
      <c r="AT13" s="100">
        <v>3.8208292916235425</v>
      </c>
      <c r="AU13" s="100">
        <v>325.5346556463258</v>
      </c>
      <c r="AV13" s="100">
        <v>10</v>
      </c>
      <c r="AW13" s="100">
        <v>852</v>
      </c>
      <c r="AX13" s="100">
        <v>11</v>
      </c>
      <c r="AY13" s="100">
        <v>937.2</v>
      </c>
      <c r="AZ13" s="100">
        <v>10</v>
      </c>
      <c r="BA13" s="100">
        <v>852</v>
      </c>
      <c r="BB13" s="100">
        <v>11</v>
      </c>
      <c r="BC13" s="100">
        <v>937.2</v>
      </c>
      <c r="BD13" s="100">
        <v>13</v>
      </c>
      <c r="BE13" s="100">
        <v>1107.6000000000001</v>
      </c>
      <c r="BF13" s="100">
        <v>11</v>
      </c>
      <c r="BG13" s="100">
        <v>937.2</v>
      </c>
      <c r="BH13" s="100">
        <v>11.51982255494088</v>
      </c>
      <c r="BI13" s="100">
        <v>981.488881680963</v>
      </c>
      <c r="BJ13" s="100">
        <v>0</v>
      </c>
      <c r="BK13" s="100">
        <v>0</v>
      </c>
      <c r="BL13" s="100">
        <v>7</v>
      </c>
      <c r="BM13" s="100">
        <v>596.4</v>
      </c>
      <c r="BN13" s="100">
        <v>9</v>
      </c>
      <c r="BO13" s="100">
        <v>766.80000000000007</v>
      </c>
      <c r="BP13" s="100">
        <v>6.3900275951878118</v>
      </c>
      <c r="BQ13" s="100">
        <v>544.43035111000154</v>
      </c>
      <c r="BR13" s="100">
        <v>5.1097573811721952</v>
      </c>
      <c r="BS13" s="100">
        <v>435.35132887587105</v>
      </c>
      <c r="BT13" s="100">
        <v>9</v>
      </c>
      <c r="BU13" s="100">
        <v>766.80000000000007</v>
      </c>
      <c r="BV13" s="100">
        <v>10</v>
      </c>
      <c r="BW13" s="100">
        <v>852</v>
      </c>
      <c r="BX13" s="100">
        <v>10</v>
      </c>
      <c r="BY13" s="100">
        <v>852</v>
      </c>
      <c r="BZ13" s="100">
        <v>7</v>
      </c>
      <c r="CA13" s="100">
        <v>596.4</v>
      </c>
      <c r="CB13" s="100">
        <v>7</v>
      </c>
      <c r="CC13" s="100">
        <v>596.4</v>
      </c>
      <c r="CD13" s="100">
        <v>9.4041479442355023</v>
      </c>
      <c r="CE13" s="100">
        <v>801.23340484886478</v>
      </c>
      <c r="CF13" s="100">
        <v>12</v>
      </c>
      <c r="CG13" s="100">
        <v>1022.4000000000001</v>
      </c>
      <c r="CH13" s="100">
        <v>7</v>
      </c>
      <c r="CI13" s="100">
        <v>596.4</v>
      </c>
      <c r="CJ13" s="100">
        <v>9</v>
      </c>
      <c r="CK13" s="100">
        <v>766.80000000000007</v>
      </c>
      <c r="CL13" s="100">
        <v>4.6791380197102361</v>
      </c>
      <c r="CM13" s="100">
        <v>398.66255927931212</v>
      </c>
      <c r="CN13" s="100">
        <v>8</v>
      </c>
      <c r="CO13" s="100">
        <v>681.6</v>
      </c>
      <c r="CP13" s="100">
        <v>11.311139781554342</v>
      </c>
      <c r="CQ13" s="100">
        <v>963.70910938842997</v>
      </c>
      <c r="CR13" s="100">
        <v>9</v>
      </c>
      <c r="CS13" s="100">
        <v>766.80000000000007</v>
      </c>
      <c r="CT13" s="100">
        <v>5.3957297206121311</v>
      </c>
      <c r="CU13" s="100">
        <v>459.71617219615359</v>
      </c>
    </row>
    <row r="14" spans="1:99">
      <c r="C14" s="99" t="s">
        <v>180</v>
      </c>
      <c r="D14" s="100">
        <v>0.26446454634593008</v>
      </c>
      <c r="E14" s="100">
        <v>129.16448443535225</v>
      </c>
      <c r="F14" s="100">
        <v>0.21211385006596256</v>
      </c>
      <c r="G14" s="100">
        <v>103.59640437221611</v>
      </c>
      <c r="H14" s="100">
        <v>6.151390546011986</v>
      </c>
      <c r="I14" s="100">
        <v>3004.3391426722537</v>
      </c>
      <c r="J14" s="100">
        <v>5</v>
      </c>
      <c r="K14" s="100">
        <v>2442</v>
      </c>
      <c r="L14" s="100">
        <v>3.5339870365695183</v>
      </c>
      <c r="M14" s="100">
        <v>1725.9992686605526</v>
      </c>
      <c r="N14" s="100">
        <v>10.042148350258731</v>
      </c>
      <c r="O14" s="100">
        <v>4904.5852542663642</v>
      </c>
      <c r="P14" s="100">
        <v>7.0811038169413338</v>
      </c>
      <c r="Q14" s="100">
        <v>3458.4111041941474</v>
      </c>
      <c r="R14" s="100">
        <v>3.750167615550366</v>
      </c>
      <c r="S14" s="100">
        <v>1831.5818634347986</v>
      </c>
      <c r="T14" s="100">
        <v>6.8663244262634962</v>
      </c>
      <c r="U14" s="100">
        <v>3353.5128497870915</v>
      </c>
      <c r="V14" s="100">
        <v>8</v>
      </c>
      <c r="W14" s="100">
        <v>3907.2</v>
      </c>
      <c r="X14" s="100">
        <v>11</v>
      </c>
      <c r="Y14" s="100">
        <v>5372.4</v>
      </c>
      <c r="Z14" s="100">
        <v>6</v>
      </c>
      <c r="AA14" s="100">
        <v>2930.3999999999996</v>
      </c>
      <c r="AB14" s="100">
        <v>9</v>
      </c>
      <c r="AC14" s="100">
        <v>4395.5999999999995</v>
      </c>
      <c r="AD14" s="100">
        <v>10</v>
      </c>
      <c r="AE14" s="100">
        <v>4884</v>
      </c>
      <c r="AF14" s="100">
        <v>8</v>
      </c>
      <c r="AG14" s="100">
        <v>3907.2</v>
      </c>
      <c r="AH14" s="100">
        <v>11</v>
      </c>
      <c r="AI14" s="100">
        <v>5372.4</v>
      </c>
      <c r="AJ14" s="100">
        <v>3.3166268472958067</v>
      </c>
      <c r="AK14" s="100">
        <v>1619.840552219272</v>
      </c>
      <c r="AL14" s="100">
        <v>7</v>
      </c>
      <c r="AM14" s="100">
        <v>3418.7999999999997</v>
      </c>
      <c r="AN14" s="100">
        <v>8.0854194729646576</v>
      </c>
      <c r="AO14" s="100">
        <v>3948.9188705959386</v>
      </c>
      <c r="AP14" s="100">
        <v>12</v>
      </c>
      <c r="AQ14" s="100">
        <v>5860.7999999999993</v>
      </c>
      <c r="AR14" s="100">
        <v>9</v>
      </c>
      <c r="AS14" s="100">
        <v>4395.5999999999995</v>
      </c>
      <c r="AT14" s="100">
        <v>3.8208292916235425</v>
      </c>
      <c r="AU14" s="100">
        <v>1866.0930260289381</v>
      </c>
      <c r="AV14" s="100">
        <v>11</v>
      </c>
      <c r="AW14" s="100">
        <v>5372.4</v>
      </c>
      <c r="AX14" s="100">
        <v>12</v>
      </c>
      <c r="AY14" s="100">
        <v>5860.7999999999993</v>
      </c>
      <c r="AZ14" s="100">
        <v>8</v>
      </c>
      <c r="BA14" s="100">
        <v>3907.2</v>
      </c>
      <c r="BB14" s="100">
        <v>10</v>
      </c>
      <c r="BC14" s="100">
        <v>4884</v>
      </c>
      <c r="BD14" s="100">
        <v>13</v>
      </c>
      <c r="BE14" s="100">
        <v>6349.2</v>
      </c>
      <c r="BF14" s="100">
        <v>10</v>
      </c>
      <c r="BG14" s="100">
        <v>4884</v>
      </c>
      <c r="BH14" s="100">
        <v>9.7475421618730511</v>
      </c>
      <c r="BI14" s="100">
        <v>4760.6995918587982</v>
      </c>
      <c r="BJ14" s="100">
        <v>0</v>
      </c>
      <c r="BK14" s="100">
        <v>0</v>
      </c>
      <c r="BL14" s="100">
        <v>8</v>
      </c>
      <c r="BM14" s="100">
        <v>3907.2</v>
      </c>
      <c r="BN14" s="100">
        <v>8</v>
      </c>
      <c r="BO14" s="100">
        <v>3907.2</v>
      </c>
      <c r="BP14" s="100">
        <v>6.3900275951878118</v>
      </c>
      <c r="BQ14" s="100">
        <v>3120.8894774897271</v>
      </c>
      <c r="BR14" s="100">
        <v>4.0878059049377562</v>
      </c>
      <c r="BS14" s="100">
        <v>1996.4844039715999</v>
      </c>
      <c r="BT14" s="100">
        <v>9</v>
      </c>
      <c r="BU14" s="100">
        <v>4395.5999999999995</v>
      </c>
      <c r="BV14" s="100">
        <v>10</v>
      </c>
      <c r="BW14" s="100">
        <v>4884</v>
      </c>
      <c r="BX14" s="100">
        <v>11</v>
      </c>
      <c r="BY14" s="100">
        <v>5372.4</v>
      </c>
      <c r="BZ14" s="100">
        <v>7</v>
      </c>
      <c r="CA14" s="100">
        <v>3418.7999999999997</v>
      </c>
      <c r="CB14" s="100">
        <v>8</v>
      </c>
      <c r="CC14" s="100">
        <v>3907.2</v>
      </c>
      <c r="CD14" s="100">
        <v>11.284977533082603</v>
      </c>
      <c r="CE14" s="100">
        <v>5511.5830271575433</v>
      </c>
      <c r="CF14" s="100">
        <v>12</v>
      </c>
      <c r="CG14" s="100">
        <v>5860.7999999999993</v>
      </c>
      <c r="CH14" s="100">
        <v>6</v>
      </c>
      <c r="CI14" s="100">
        <v>2930.3999999999996</v>
      </c>
      <c r="CJ14" s="100">
        <v>8</v>
      </c>
      <c r="CK14" s="100">
        <v>3907.2</v>
      </c>
      <c r="CL14" s="100">
        <v>4.6791380197102361</v>
      </c>
      <c r="CM14" s="100">
        <v>2285.2910088264794</v>
      </c>
      <c r="CN14" s="100">
        <v>9</v>
      </c>
      <c r="CO14" s="100">
        <v>4395.5999999999995</v>
      </c>
      <c r="CP14" s="100">
        <v>10.441052106050162</v>
      </c>
      <c r="CQ14" s="100">
        <v>5099.4098485948989</v>
      </c>
      <c r="CR14" s="100">
        <v>8</v>
      </c>
      <c r="CS14" s="100">
        <v>3907.2</v>
      </c>
      <c r="CT14" s="100">
        <v>5.3957297206121311</v>
      </c>
      <c r="CU14" s="100">
        <v>2635.2743955469646</v>
      </c>
    </row>
    <row r="15" spans="1:99">
      <c r="C15" s="99" t="s">
        <v>181</v>
      </c>
      <c r="D15" s="100">
        <v>0.26446454634593008</v>
      </c>
      <c r="E15" s="100">
        <v>201.83934177121381</v>
      </c>
      <c r="F15" s="100">
        <v>0.18559961880771725</v>
      </c>
      <c r="G15" s="100">
        <v>141.64962907404978</v>
      </c>
      <c r="H15" s="100">
        <v>6.151390546011986</v>
      </c>
      <c r="I15" s="100">
        <v>4694.7412647163474</v>
      </c>
      <c r="J15" s="100">
        <v>6</v>
      </c>
      <c r="K15" s="100">
        <v>4579.2</v>
      </c>
      <c r="L15" s="100">
        <v>3.0291317456310161</v>
      </c>
      <c r="M15" s="100">
        <v>2311.8333482655912</v>
      </c>
      <c r="N15" s="100">
        <v>9.1292257729624815</v>
      </c>
      <c r="O15" s="100">
        <v>6967.425109924965</v>
      </c>
      <c r="P15" s="100">
        <v>7.0811038169413338</v>
      </c>
      <c r="Q15" s="100">
        <v>5404.2984330896252</v>
      </c>
      <c r="R15" s="100">
        <v>3.750167615550366</v>
      </c>
      <c r="S15" s="100">
        <v>2862.1279241880393</v>
      </c>
      <c r="T15" s="100">
        <v>6.8663244262634962</v>
      </c>
      <c r="U15" s="100">
        <v>5240.3788021242999</v>
      </c>
      <c r="V15" s="100">
        <v>7</v>
      </c>
      <c r="W15" s="100">
        <v>5342.4</v>
      </c>
      <c r="X15" s="100">
        <v>9</v>
      </c>
      <c r="Y15" s="100">
        <v>6868.7999999999993</v>
      </c>
      <c r="Z15" s="100">
        <v>6</v>
      </c>
      <c r="AA15" s="100">
        <v>4579.2</v>
      </c>
      <c r="AB15" s="100">
        <v>8</v>
      </c>
      <c r="AC15" s="100">
        <v>6105.5999999999995</v>
      </c>
      <c r="AD15" s="100">
        <v>11</v>
      </c>
      <c r="AE15" s="100">
        <v>8395.1999999999989</v>
      </c>
      <c r="AF15" s="100">
        <v>8</v>
      </c>
      <c r="AG15" s="100">
        <v>6105.5999999999995</v>
      </c>
      <c r="AH15" s="100">
        <v>9</v>
      </c>
      <c r="AI15" s="100">
        <v>6868.7999999999993</v>
      </c>
      <c r="AJ15" s="100">
        <v>3.3166268472958067</v>
      </c>
      <c r="AK15" s="100">
        <v>2531.2496098561596</v>
      </c>
      <c r="AL15" s="100">
        <v>7</v>
      </c>
      <c r="AM15" s="100">
        <v>5342.4</v>
      </c>
      <c r="AN15" s="100">
        <v>8.8939614202611246</v>
      </c>
      <c r="AO15" s="100">
        <v>6787.8713559432899</v>
      </c>
      <c r="AP15" s="100">
        <v>11</v>
      </c>
      <c r="AQ15" s="100">
        <v>8395.1999999999989</v>
      </c>
      <c r="AR15" s="100">
        <v>8</v>
      </c>
      <c r="AS15" s="100">
        <v>6105.5999999999995</v>
      </c>
      <c r="AT15" s="100">
        <v>3.8208292916235425</v>
      </c>
      <c r="AU15" s="100">
        <v>2916.0569153670872</v>
      </c>
      <c r="AV15" s="100">
        <v>12</v>
      </c>
      <c r="AW15" s="100">
        <v>9158.4</v>
      </c>
      <c r="AX15" s="100">
        <v>12</v>
      </c>
      <c r="AY15" s="100">
        <v>9158.4</v>
      </c>
      <c r="AZ15" s="100">
        <v>9</v>
      </c>
      <c r="BA15" s="100">
        <v>6868.7999999999993</v>
      </c>
      <c r="BB15" s="100">
        <v>9</v>
      </c>
      <c r="BC15" s="100">
        <v>6868.7999999999993</v>
      </c>
      <c r="BD15" s="100">
        <v>13</v>
      </c>
      <c r="BE15" s="100">
        <v>9921.5999999999985</v>
      </c>
      <c r="BF15" s="100">
        <v>10</v>
      </c>
      <c r="BG15" s="100">
        <v>7631.9999999999991</v>
      </c>
      <c r="BH15" s="100">
        <v>8.8614019653391374</v>
      </c>
      <c r="BI15" s="100">
        <v>6763.0219799468287</v>
      </c>
      <c r="BJ15" s="100">
        <v>0</v>
      </c>
      <c r="BK15" s="100">
        <v>0</v>
      </c>
      <c r="BL15" s="100">
        <v>8</v>
      </c>
      <c r="BM15" s="100">
        <v>6105.5999999999995</v>
      </c>
      <c r="BN15" s="100">
        <v>8</v>
      </c>
      <c r="BO15" s="100">
        <v>6105.5999999999995</v>
      </c>
      <c r="BP15" s="100">
        <v>6.3900275951878118</v>
      </c>
      <c r="BQ15" s="100">
        <v>4876.8690606473374</v>
      </c>
      <c r="BR15" s="100">
        <v>4.0878059049377562</v>
      </c>
      <c r="BS15" s="100">
        <v>3119.8134666484953</v>
      </c>
      <c r="BT15" s="100">
        <v>9</v>
      </c>
      <c r="BU15" s="100">
        <v>6868.7999999999993</v>
      </c>
      <c r="BV15" s="100">
        <v>9</v>
      </c>
      <c r="BW15" s="100">
        <v>6868.7999999999993</v>
      </c>
      <c r="BX15" s="100">
        <v>11</v>
      </c>
      <c r="BY15" s="100">
        <v>8395.1999999999989</v>
      </c>
      <c r="BZ15" s="100">
        <v>7</v>
      </c>
      <c r="CA15" s="100">
        <v>5342.4</v>
      </c>
      <c r="CB15" s="100">
        <v>6</v>
      </c>
      <c r="CC15" s="100">
        <v>4579.2</v>
      </c>
      <c r="CD15" s="100">
        <v>10.344562738659054</v>
      </c>
      <c r="CE15" s="100">
        <v>7894.970282144589</v>
      </c>
      <c r="CF15" s="100">
        <v>12</v>
      </c>
      <c r="CG15" s="100">
        <v>9158.4</v>
      </c>
      <c r="CH15" s="100">
        <v>6</v>
      </c>
      <c r="CI15" s="100">
        <v>4579.2</v>
      </c>
      <c r="CJ15" s="100">
        <v>9</v>
      </c>
      <c r="CK15" s="100">
        <v>6868.7999999999993</v>
      </c>
      <c r="CL15" s="100">
        <v>5.1470518216812593</v>
      </c>
      <c r="CM15" s="100">
        <v>3928.2299503071367</v>
      </c>
      <c r="CN15" s="100">
        <v>8</v>
      </c>
      <c r="CO15" s="100">
        <v>6105.5999999999995</v>
      </c>
      <c r="CP15" s="100">
        <v>11.311139781554342</v>
      </c>
      <c r="CQ15" s="100">
        <v>8632.6618812822726</v>
      </c>
      <c r="CR15" s="100">
        <v>8</v>
      </c>
      <c r="CS15" s="100">
        <v>6105.5999999999995</v>
      </c>
      <c r="CT15" s="100">
        <v>5.3957297206121311</v>
      </c>
      <c r="CU15" s="100">
        <v>4118.0209227711784</v>
      </c>
    </row>
    <row r="16" spans="1:99">
      <c r="C16" s="99" t="s">
        <v>182</v>
      </c>
      <c r="D16" s="100">
        <v>0.22668389686794008</v>
      </c>
      <c r="E16" s="100">
        <v>77.253872052593977</v>
      </c>
      <c r="F16" s="100">
        <v>0.18559961880771725</v>
      </c>
      <c r="G16" s="100">
        <v>63.252350089670038</v>
      </c>
      <c r="H16" s="100">
        <v>7.0301606240136989</v>
      </c>
      <c r="I16" s="100">
        <v>2395.8787406638685</v>
      </c>
      <c r="J16" s="100">
        <v>6</v>
      </c>
      <c r="K16" s="100">
        <v>2044.8000000000002</v>
      </c>
      <c r="L16" s="100">
        <v>3.5339870365695183</v>
      </c>
      <c r="M16" s="100">
        <v>1204.3827820628919</v>
      </c>
      <c r="N16" s="100">
        <v>9.1292257729624815</v>
      </c>
      <c r="O16" s="100">
        <v>3111.240143425614</v>
      </c>
      <c r="P16" s="100">
        <v>7.0811038169413338</v>
      </c>
      <c r="Q16" s="100">
        <v>2413.2401808136065</v>
      </c>
      <c r="R16" s="100">
        <v>3.750167615550366</v>
      </c>
      <c r="S16" s="100">
        <v>1278.0571233795647</v>
      </c>
      <c r="T16" s="100">
        <v>6.8663244262634962</v>
      </c>
      <c r="U16" s="100">
        <v>2340.0433644705995</v>
      </c>
      <c r="V16" s="100">
        <v>7</v>
      </c>
      <c r="W16" s="100">
        <v>2385.6</v>
      </c>
      <c r="X16" s="100">
        <v>10</v>
      </c>
      <c r="Y16" s="100">
        <v>3408</v>
      </c>
      <c r="Z16" s="100">
        <v>7</v>
      </c>
      <c r="AA16" s="100">
        <v>2385.6</v>
      </c>
      <c r="AB16" s="100">
        <v>8</v>
      </c>
      <c r="AC16" s="100">
        <v>2726.4</v>
      </c>
      <c r="AD16" s="100">
        <v>10</v>
      </c>
      <c r="AE16" s="100">
        <v>3408</v>
      </c>
      <c r="AF16" s="100">
        <v>8</v>
      </c>
      <c r="AG16" s="100">
        <v>2726.4</v>
      </c>
      <c r="AH16" s="100">
        <v>10</v>
      </c>
      <c r="AI16" s="100">
        <v>3408</v>
      </c>
      <c r="AJ16" s="100">
        <v>3.6851409414397853</v>
      </c>
      <c r="AK16" s="100">
        <v>1255.8960328426788</v>
      </c>
      <c r="AL16" s="100">
        <v>6</v>
      </c>
      <c r="AM16" s="100">
        <v>2044.8000000000002</v>
      </c>
      <c r="AN16" s="100">
        <v>8.8939614202611246</v>
      </c>
      <c r="AO16" s="100">
        <v>3031.0620520249913</v>
      </c>
      <c r="AP16" s="100">
        <v>11</v>
      </c>
      <c r="AQ16" s="100">
        <v>3748.8</v>
      </c>
      <c r="AR16" s="100">
        <v>8</v>
      </c>
      <c r="AS16" s="100">
        <v>2726.4</v>
      </c>
      <c r="AT16" s="100">
        <v>3.8208292916235425</v>
      </c>
      <c r="AU16" s="100">
        <v>1302.1386225853032</v>
      </c>
      <c r="AV16" s="100">
        <v>11</v>
      </c>
      <c r="AW16" s="100">
        <v>3748.8</v>
      </c>
      <c r="AX16" s="100">
        <v>12</v>
      </c>
      <c r="AY16" s="100">
        <v>4089.6000000000004</v>
      </c>
      <c r="AZ16" s="100">
        <v>9</v>
      </c>
      <c r="BA16" s="100">
        <v>3067.2000000000003</v>
      </c>
      <c r="BB16" s="100">
        <v>9</v>
      </c>
      <c r="BC16" s="100">
        <v>3067.2000000000003</v>
      </c>
      <c r="BD16" s="100">
        <v>11</v>
      </c>
      <c r="BE16" s="100">
        <v>3748.8</v>
      </c>
      <c r="BF16" s="100">
        <v>9</v>
      </c>
      <c r="BG16" s="100">
        <v>3067.2000000000003</v>
      </c>
      <c r="BH16" s="100">
        <v>10.633682358406965</v>
      </c>
      <c r="BI16" s="100">
        <v>3623.9589477450936</v>
      </c>
      <c r="BJ16" s="100">
        <v>0</v>
      </c>
      <c r="BK16" s="100">
        <v>0</v>
      </c>
      <c r="BL16" s="100">
        <v>7</v>
      </c>
      <c r="BM16" s="100">
        <v>2385.6</v>
      </c>
      <c r="BN16" s="100">
        <v>8</v>
      </c>
      <c r="BO16" s="100">
        <v>2726.4</v>
      </c>
      <c r="BP16" s="100">
        <v>5.5912741457893356</v>
      </c>
      <c r="BQ16" s="100">
        <v>1905.5062288850056</v>
      </c>
      <c r="BR16" s="100">
        <v>4.5987816430549762</v>
      </c>
      <c r="BS16" s="100">
        <v>1567.264783953136</v>
      </c>
      <c r="BT16" s="100">
        <v>9</v>
      </c>
      <c r="BU16" s="100">
        <v>3067.2000000000003</v>
      </c>
      <c r="BV16" s="100">
        <v>10</v>
      </c>
      <c r="BW16" s="100">
        <v>3408</v>
      </c>
      <c r="BX16" s="100">
        <v>12</v>
      </c>
      <c r="BY16" s="100">
        <v>4089.6000000000004</v>
      </c>
      <c r="BZ16" s="100">
        <v>8</v>
      </c>
      <c r="CA16" s="100">
        <v>2726.4</v>
      </c>
      <c r="CB16" s="100">
        <v>7</v>
      </c>
      <c r="CC16" s="100">
        <v>2385.6</v>
      </c>
      <c r="CD16" s="100">
        <v>10.344562738659054</v>
      </c>
      <c r="CE16" s="100">
        <v>3525.4269813350056</v>
      </c>
      <c r="CF16" s="100">
        <v>12</v>
      </c>
      <c r="CG16" s="100">
        <v>4089.6000000000004</v>
      </c>
      <c r="CH16" s="100">
        <v>7</v>
      </c>
      <c r="CI16" s="100">
        <v>2385.6</v>
      </c>
      <c r="CJ16" s="100">
        <v>9</v>
      </c>
      <c r="CK16" s="100">
        <v>3067.2000000000003</v>
      </c>
      <c r="CL16" s="100">
        <v>4.2112242177392121</v>
      </c>
      <c r="CM16" s="100">
        <v>1435.1852134055234</v>
      </c>
      <c r="CN16" s="100">
        <v>8</v>
      </c>
      <c r="CO16" s="100">
        <v>2726.4</v>
      </c>
      <c r="CP16" s="100">
        <v>11.311139781554342</v>
      </c>
      <c r="CQ16" s="100">
        <v>3854.8364375537199</v>
      </c>
      <c r="CR16" s="100">
        <v>8</v>
      </c>
      <c r="CS16" s="100">
        <v>2726.4</v>
      </c>
      <c r="CT16" s="100">
        <v>4.6249111890961121</v>
      </c>
      <c r="CU16" s="100">
        <v>1576.1697332439551</v>
      </c>
    </row>
    <row r="17" spans="2:99">
      <c r="C17" s="99" t="s">
        <v>183</v>
      </c>
      <c r="D17" s="100">
        <v>0.26446454634593008</v>
      </c>
      <c r="E17" s="100">
        <v>111.70982437652086</v>
      </c>
      <c r="F17" s="100">
        <v>0.15908538754947188</v>
      </c>
      <c r="G17" s="100">
        <v>67.197667700896915</v>
      </c>
      <c r="H17" s="100">
        <v>7.0301606240136989</v>
      </c>
      <c r="I17" s="100">
        <v>2969.5398475833863</v>
      </c>
      <c r="J17" s="100">
        <v>6</v>
      </c>
      <c r="K17" s="100">
        <v>2534.3999999999996</v>
      </c>
      <c r="L17" s="100">
        <v>3.5339870365695183</v>
      </c>
      <c r="M17" s="100">
        <v>1492.7561242469644</v>
      </c>
      <c r="N17" s="100">
        <v>10.042148350258731</v>
      </c>
      <c r="O17" s="100">
        <v>4241.8034631492883</v>
      </c>
      <c r="P17" s="100">
        <v>7.9662417940590009</v>
      </c>
      <c r="Q17" s="100">
        <v>3364.9405338105216</v>
      </c>
      <c r="R17" s="100">
        <v>3.750167615550366</v>
      </c>
      <c r="S17" s="100">
        <v>1584.0708008084746</v>
      </c>
      <c r="T17" s="100">
        <v>6.8663244262634962</v>
      </c>
      <c r="U17" s="100">
        <v>2900.3354376537004</v>
      </c>
      <c r="V17" s="100">
        <v>7</v>
      </c>
      <c r="W17" s="100">
        <v>2956.7999999999997</v>
      </c>
      <c r="X17" s="100">
        <v>11</v>
      </c>
      <c r="Y17" s="100">
        <v>4646.3999999999996</v>
      </c>
      <c r="Z17" s="100">
        <v>6</v>
      </c>
      <c r="AA17" s="100">
        <v>2534.3999999999996</v>
      </c>
      <c r="AB17" s="100">
        <v>9</v>
      </c>
      <c r="AC17" s="100">
        <v>3801.6</v>
      </c>
      <c r="AD17" s="100">
        <v>11</v>
      </c>
      <c r="AE17" s="100">
        <v>4646.3999999999996</v>
      </c>
      <c r="AF17" s="100">
        <v>9</v>
      </c>
      <c r="AG17" s="100">
        <v>3801.6</v>
      </c>
      <c r="AH17" s="100">
        <v>10</v>
      </c>
      <c r="AI17" s="100">
        <v>4224</v>
      </c>
      <c r="AJ17" s="100">
        <v>3.3166268472958067</v>
      </c>
      <c r="AK17" s="100">
        <v>1400.9431802977488</v>
      </c>
      <c r="AL17" s="100">
        <v>6</v>
      </c>
      <c r="AM17" s="100">
        <v>2534.3999999999996</v>
      </c>
      <c r="AN17" s="100">
        <v>8.0854194729646576</v>
      </c>
      <c r="AO17" s="100">
        <v>3415.2811853802714</v>
      </c>
      <c r="AP17" s="100">
        <v>11</v>
      </c>
      <c r="AQ17" s="100">
        <v>4646.3999999999996</v>
      </c>
      <c r="AR17" s="100">
        <v>8</v>
      </c>
      <c r="AS17" s="100">
        <v>3379.2</v>
      </c>
      <c r="AT17" s="100">
        <v>4.4576341735607992</v>
      </c>
      <c r="AU17" s="100">
        <v>1882.9046749120814</v>
      </c>
      <c r="AV17" s="100">
        <v>11</v>
      </c>
      <c r="AW17" s="100">
        <v>4646.3999999999996</v>
      </c>
      <c r="AX17" s="100">
        <v>10</v>
      </c>
      <c r="AY17" s="100">
        <v>4224</v>
      </c>
      <c r="AZ17" s="100">
        <v>10</v>
      </c>
      <c r="BA17" s="100">
        <v>4224</v>
      </c>
      <c r="BB17" s="100">
        <v>10</v>
      </c>
      <c r="BC17" s="100">
        <v>4224</v>
      </c>
      <c r="BD17" s="100">
        <v>13</v>
      </c>
      <c r="BE17" s="100">
        <v>5491.2</v>
      </c>
      <c r="BF17" s="100">
        <v>9</v>
      </c>
      <c r="BG17" s="100">
        <v>3801.6</v>
      </c>
      <c r="BH17" s="100">
        <v>10.633682358406965</v>
      </c>
      <c r="BI17" s="100">
        <v>4491.6674281911019</v>
      </c>
      <c r="BJ17" s="100">
        <v>0</v>
      </c>
      <c r="BK17" s="100">
        <v>0</v>
      </c>
      <c r="BL17" s="100">
        <v>7</v>
      </c>
      <c r="BM17" s="100">
        <v>2956.7999999999997</v>
      </c>
      <c r="BN17" s="100">
        <v>9</v>
      </c>
      <c r="BO17" s="100">
        <v>3801.6</v>
      </c>
      <c r="BP17" s="100">
        <v>6.3900275951878118</v>
      </c>
      <c r="BQ17" s="100">
        <v>2699.1476562073317</v>
      </c>
      <c r="BR17" s="100">
        <v>4.0878059049377562</v>
      </c>
      <c r="BS17" s="100">
        <v>1726.6892142457082</v>
      </c>
      <c r="BT17" s="100">
        <v>8</v>
      </c>
      <c r="BU17" s="100">
        <v>3379.2</v>
      </c>
      <c r="BV17" s="100">
        <v>11</v>
      </c>
      <c r="BW17" s="100">
        <v>4646.3999999999996</v>
      </c>
      <c r="BX17" s="100">
        <v>10</v>
      </c>
      <c r="BY17" s="100">
        <v>4224</v>
      </c>
      <c r="BZ17" s="100">
        <v>7</v>
      </c>
      <c r="CA17" s="100">
        <v>2956.7999999999997</v>
      </c>
      <c r="CB17" s="100">
        <v>7</v>
      </c>
      <c r="CC17" s="100">
        <v>2956.7999999999997</v>
      </c>
      <c r="CD17" s="100">
        <v>9.4041479442355023</v>
      </c>
      <c r="CE17" s="100">
        <v>3972.3120916450757</v>
      </c>
      <c r="CF17" s="100">
        <v>11</v>
      </c>
      <c r="CG17" s="100">
        <v>4646.3999999999996</v>
      </c>
      <c r="CH17" s="100">
        <v>7</v>
      </c>
      <c r="CI17" s="100">
        <v>2956.7999999999997</v>
      </c>
      <c r="CJ17" s="100">
        <v>9</v>
      </c>
      <c r="CK17" s="100">
        <v>3801.6</v>
      </c>
      <c r="CL17" s="100">
        <v>4.6791380197102361</v>
      </c>
      <c r="CM17" s="100">
        <v>1976.4678995256036</v>
      </c>
      <c r="CN17" s="100">
        <v>9</v>
      </c>
      <c r="CO17" s="100">
        <v>3801.6</v>
      </c>
      <c r="CP17" s="100">
        <v>11.311139781554342</v>
      </c>
      <c r="CQ17" s="100">
        <v>4777.8254437285541</v>
      </c>
      <c r="CR17" s="100">
        <v>8</v>
      </c>
      <c r="CS17" s="100">
        <v>3379.2</v>
      </c>
      <c r="CT17" s="100">
        <v>4.6249111890961121</v>
      </c>
      <c r="CU17" s="100">
        <v>1953.5624862741977</v>
      </c>
    </row>
    <row r="18" spans="2:99">
      <c r="C18" s="99" t="s">
        <v>184</v>
      </c>
      <c r="D18" s="100">
        <v>0.26446454634593008</v>
      </c>
      <c r="E18" s="100">
        <v>172.64245585462314</v>
      </c>
      <c r="F18" s="100">
        <v>0.15908538754947188</v>
      </c>
      <c r="G18" s="100">
        <v>103.85094099229524</v>
      </c>
      <c r="H18" s="100">
        <v>7.0301606240136989</v>
      </c>
      <c r="I18" s="100">
        <v>4589.2888553561424</v>
      </c>
      <c r="J18" s="100">
        <v>5</v>
      </c>
      <c r="K18" s="100">
        <v>3264</v>
      </c>
      <c r="L18" s="100">
        <v>3.0291317456310161</v>
      </c>
      <c r="M18" s="100">
        <v>1977.4172035479271</v>
      </c>
      <c r="N18" s="100">
        <v>9.1292257729624815</v>
      </c>
      <c r="O18" s="100">
        <v>5959.5585845899077</v>
      </c>
      <c r="P18" s="100">
        <v>7.9662417940590009</v>
      </c>
      <c r="Q18" s="100">
        <v>5200.3626431617158</v>
      </c>
      <c r="R18" s="100">
        <v>3.750167615550366</v>
      </c>
      <c r="S18" s="100">
        <v>2448.1094194312786</v>
      </c>
      <c r="T18" s="100">
        <v>6.0080338729805591</v>
      </c>
      <c r="U18" s="100">
        <v>3922.0445122817086</v>
      </c>
      <c r="V18" s="100">
        <v>7</v>
      </c>
      <c r="W18" s="100">
        <v>4569.5999999999995</v>
      </c>
      <c r="X18" s="100">
        <v>10</v>
      </c>
      <c r="Y18" s="100">
        <v>6528</v>
      </c>
      <c r="Z18" s="100">
        <v>6</v>
      </c>
      <c r="AA18" s="100">
        <v>3916.7999999999997</v>
      </c>
      <c r="AB18" s="100">
        <v>8</v>
      </c>
      <c r="AC18" s="100">
        <v>5222.3999999999996</v>
      </c>
      <c r="AD18" s="100">
        <v>11</v>
      </c>
      <c r="AE18" s="100">
        <v>7180.7999999999993</v>
      </c>
      <c r="AF18" s="100">
        <v>9</v>
      </c>
      <c r="AG18" s="100">
        <v>5875.2</v>
      </c>
      <c r="AH18" s="100">
        <v>11</v>
      </c>
      <c r="AI18" s="100">
        <v>7180.7999999999993</v>
      </c>
      <c r="AJ18" s="100">
        <v>3.6851409414397853</v>
      </c>
      <c r="AK18" s="100">
        <v>2405.6600065718917</v>
      </c>
      <c r="AL18" s="100">
        <v>7</v>
      </c>
      <c r="AM18" s="100">
        <v>4569.5999999999995</v>
      </c>
      <c r="AN18" s="100">
        <v>8.8939614202611246</v>
      </c>
      <c r="AO18" s="100">
        <v>5805.978015146462</v>
      </c>
      <c r="AP18" s="100">
        <v>12</v>
      </c>
      <c r="AQ18" s="100">
        <v>7833.5999999999995</v>
      </c>
      <c r="AR18" s="100">
        <v>8</v>
      </c>
      <c r="AS18" s="100">
        <v>5222.3999999999996</v>
      </c>
      <c r="AT18" s="100">
        <v>3.8208292916235425</v>
      </c>
      <c r="AU18" s="100">
        <v>2494.2373615718484</v>
      </c>
      <c r="AV18" s="100">
        <v>11</v>
      </c>
      <c r="AW18" s="100">
        <v>7180.7999999999993</v>
      </c>
      <c r="AX18" s="100">
        <v>10</v>
      </c>
      <c r="AY18" s="100">
        <v>6528</v>
      </c>
      <c r="AZ18" s="100">
        <v>8</v>
      </c>
      <c r="BA18" s="100">
        <v>5222.3999999999996</v>
      </c>
      <c r="BB18" s="100">
        <v>10</v>
      </c>
      <c r="BC18" s="100">
        <v>6528</v>
      </c>
      <c r="BD18" s="100">
        <v>11</v>
      </c>
      <c r="BE18" s="100">
        <v>7180.7999999999993</v>
      </c>
      <c r="BF18" s="100">
        <v>10</v>
      </c>
      <c r="BG18" s="100">
        <v>6528</v>
      </c>
      <c r="BH18" s="100">
        <v>10.633682358406965</v>
      </c>
      <c r="BI18" s="100">
        <v>6941.667843568066</v>
      </c>
      <c r="BJ18" s="100">
        <v>0</v>
      </c>
      <c r="BK18" s="100">
        <v>0</v>
      </c>
      <c r="BL18" s="100">
        <v>7</v>
      </c>
      <c r="BM18" s="100">
        <v>4569.5999999999995</v>
      </c>
      <c r="BN18" s="100">
        <v>8</v>
      </c>
      <c r="BO18" s="100">
        <v>5222.3999999999996</v>
      </c>
      <c r="BP18" s="100">
        <v>6.3900275951878118</v>
      </c>
      <c r="BQ18" s="100">
        <v>4171.4100141386034</v>
      </c>
      <c r="BR18" s="100">
        <v>4.0878059049377562</v>
      </c>
      <c r="BS18" s="100">
        <v>2668.5196947433669</v>
      </c>
      <c r="BT18" s="100">
        <v>8</v>
      </c>
      <c r="BU18" s="100">
        <v>5222.3999999999996</v>
      </c>
      <c r="BV18" s="100">
        <v>11</v>
      </c>
      <c r="BW18" s="100">
        <v>7180.7999999999993</v>
      </c>
      <c r="BX18" s="100">
        <v>10</v>
      </c>
      <c r="BY18" s="100">
        <v>6528</v>
      </c>
      <c r="BZ18" s="100">
        <v>7</v>
      </c>
      <c r="CA18" s="100">
        <v>4569.5999999999995</v>
      </c>
      <c r="CB18" s="100">
        <v>7</v>
      </c>
      <c r="CC18" s="100">
        <v>4569.5999999999995</v>
      </c>
      <c r="CD18" s="100">
        <v>9.4041479442355023</v>
      </c>
      <c r="CE18" s="100">
        <v>6139.0277779969356</v>
      </c>
      <c r="CF18" s="100">
        <v>12</v>
      </c>
      <c r="CG18" s="100">
        <v>7833.5999999999995</v>
      </c>
      <c r="CH18" s="100">
        <v>6</v>
      </c>
      <c r="CI18" s="100">
        <v>3916.7999999999997</v>
      </c>
      <c r="CJ18" s="100">
        <v>8</v>
      </c>
      <c r="CK18" s="100">
        <v>5222.3999999999996</v>
      </c>
      <c r="CL18" s="100">
        <v>4.6791380197102361</v>
      </c>
      <c r="CM18" s="100">
        <v>3054.5412992668421</v>
      </c>
      <c r="CN18" s="100">
        <v>8</v>
      </c>
      <c r="CO18" s="100">
        <v>5222.3999999999996</v>
      </c>
      <c r="CP18" s="100">
        <v>10.441052106050162</v>
      </c>
      <c r="CQ18" s="100">
        <v>6815.9188148295452</v>
      </c>
      <c r="CR18" s="100">
        <v>8</v>
      </c>
      <c r="CS18" s="100">
        <v>5222.3999999999996</v>
      </c>
      <c r="CT18" s="100">
        <v>5.3957297206121311</v>
      </c>
      <c r="CU18" s="100">
        <v>3522.332361615599</v>
      </c>
    </row>
    <row r="19" spans="2:99">
      <c r="C19" s="99" t="s">
        <v>185</v>
      </c>
      <c r="D19" s="100">
        <v>0.26446454634593008</v>
      </c>
      <c r="E19" s="100">
        <v>87.273300294156925</v>
      </c>
      <c r="F19" s="100">
        <v>0.18559961880771725</v>
      </c>
      <c r="G19" s="100">
        <v>61.24787420654669</v>
      </c>
      <c r="H19" s="100">
        <v>7.0301606240136989</v>
      </c>
      <c r="I19" s="100">
        <v>2319.9530059245208</v>
      </c>
      <c r="J19" s="100">
        <v>6</v>
      </c>
      <c r="K19" s="100">
        <v>1980</v>
      </c>
      <c r="L19" s="100">
        <v>3.5339870365695183</v>
      </c>
      <c r="M19" s="100">
        <v>1166.215722067941</v>
      </c>
      <c r="N19" s="100">
        <v>8.2163031956662351</v>
      </c>
      <c r="O19" s="100">
        <v>2711.3800545698577</v>
      </c>
      <c r="P19" s="100">
        <v>7.0811038169413338</v>
      </c>
      <c r="Q19" s="100">
        <v>2336.76425959064</v>
      </c>
      <c r="R19" s="100">
        <v>3.1251396796253044</v>
      </c>
      <c r="S19" s="100">
        <v>1031.2960942763505</v>
      </c>
      <c r="T19" s="100">
        <v>6.8663244262634962</v>
      </c>
      <c r="U19" s="100">
        <v>2265.8870606669539</v>
      </c>
      <c r="V19" s="100">
        <v>7</v>
      </c>
      <c r="W19" s="100">
        <v>2310</v>
      </c>
      <c r="X19" s="100">
        <v>11</v>
      </c>
      <c r="Y19" s="100">
        <v>3630</v>
      </c>
      <c r="Z19" s="100">
        <v>6</v>
      </c>
      <c r="AA19" s="100">
        <v>1980</v>
      </c>
      <c r="AB19" s="100">
        <v>8</v>
      </c>
      <c r="AC19" s="100">
        <v>2640</v>
      </c>
      <c r="AD19" s="100">
        <v>11</v>
      </c>
      <c r="AE19" s="100">
        <v>3630</v>
      </c>
      <c r="AF19" s="100">
        <v>9</v>
      </c>
      <c r="AG19" s="100">
        <v>2970</v>
      </c>
      <c r="AH19" s="100">
        <v>10</v>
      </c>
      <c r="AI19" s="100">
        <v>3300</v>
      </c>
      <c r="AJ19" s="100">
        <v>3.6851409414397853</v>
      </c>
      <c r="AK19" s="100">
        <v>1216.0965106751291</v>
      </c>
      <c r="AL19" s="100">
        <v>6</v>
      </c>
      <c r="AM19" s="100">
        <v>1980</v>
      </c>
      <c r="AN19" s="100">
        <v>8.0854194729646576</v>
      </c>
      <c r="AO19" s="100">
        <v>2668.1884260783372</v>
      </c>
      <c r="AP19" s="100">
        <v>11</v>
      </c>
      <c r="AQ19" s="100">
        <v>3630</v>
      </c>
      <c r="AR19" s="100">
        <v>8</v>
      </c>
      <c r="AS19" s="100">
        <v>2640</v>
      </c>
      <c r="AT19" s="100">
        <v>3.8208292916235425</v>
      </c>
      <c r="AU19" s="100">
        <v>1260.873666235769</v>
      </c>
      <c r="AV19" s="100">
        <v>10</v>
      </c>
      <c r="AW19" s="100">
        <v>3300</v>
      </c>
      <c r="AX19" s="100">
        <v>10</v>
      </c>
      <c r="AY19" s="100">
        <v>3300</v>
      </c>
      <c r="AZ19" s="100">
        <v>8</v>
      </c>
      <c r="BA19" s="100">
        <v>2640</v>
      </c>
      <c r="BB19" s="100">
        <v>11</v>
      </c>
      <c r="BC19" s="100">
        <v>3630</v>
      </c>
      <c r="BD19" s="100">
        <v>12</v>
      </c>
      <c r="BE19" s="100">
        <v>3960</v>
      </c>
      <c r="BF19" s="100">
        <v>9</v>
      </c>
      <c r="BG19" s="100">
        <v>2970</v>
      </c>
      <c r="BH19" s="100">
        <v>9.7475421618730511</v>
      </c>
      <c r="BI19" s="100">
        <v>3216.6889134181069</v>
      </c>
      <c r="BJ19" s="100">
        <v>0</v>
      </c>
      <c r="BK19" s="100">
        <v>0</v>
      </c>
      <c r="BL19" s="100">
        <v>7</v>
      </c>
      <c r="BM19" s="100">
        <v>2310</v>
      </c>
      <c r="BN19" s="100">
        <v>8</v>
      </c>
      <c r="BO19" s="100">
        <v>2640</v>
      </c>
      <c r="BP19" s="100">
        <v>6.3900275951878118</v>
      </c>
      <c r="BQ19" s="100">
        <v>2108.7091064119777</v>
      </c>
      <c r="BR19" s="100">
        <v>4.5987816430549762</v>
      </c>
      <c r="BS19" s="100">
        <v>1517.5979422081421</v>
      </c>
      <c r="BT19" s="100">
        <v>9</v>
      </c>
      <c r="BU19" s="100">
        <v>2970</v>
      </c>
      <c r="BV19" s="100">
        <v>10</v>
      </c>
      <c r="BW19" s="100">
        <v>3300</v>
      </c>
      <c r="BX19" s="100">
        <v>11</v>
      </c>
      <c r="BY19" s="100">
        <v>3630</v>
      </c>
      <c r="BZ19" s="100">
        <v>8</v>
      </c>
      <c r="CA19" s="100">
        <v>2640</v>
      </c>
      <c r="CB19" s="100">
        <v>7</v>
      </c>
      <c r="CC19" s="100">
        <v>2310</v>
      </c>
      <c r="CD19" s="100">
        <v>10.344562738659054</v>
      </c>
      <c r="CE19" s="100">
        <v>3413.7057037574878</v>
      </c>
      <c r="CF19" s="100">
        <v>12</v>
      </c>
      <c r="CG19" s="100">
        <v>3960</v>
      </c>
      <c r="CH19" s="100">
        <v>7</v>
      </c>
      <c r="CI19" s="100">
        <v>2310</v>
      </c>
      <c r="CJ19" s="100">
        <v>9</v>
      </c>
      <c r="CK19" s="100">
        <v>2970</v>
      </c>
      <c r="CL19" s="100">
        <v>4.6791380197102361</v>
      </c>
      <c r="CM19" s="100">
        <v>1544.115546504378</v>
      </c>
      <c r="CN19" s="100">
        <v>8</v>
      </c>
      <c r="CO19" s="100">
        <v>2640</v>
      </c>
      <c r="CP19" s="100">
        <v>9.5709644305459811</v>
      </c>
      <c r="CQ19" s="100">
        <v>3158.4182620801739</v>
      </c>
      <c r="CR19" s="100">
        <v>7</v>
      </c>
      <c r="CS19" s="100">
        <v>2310</v>
      </c>
      <c r="CT19" s="100">
        <v>5.3957297206121311</v>
      </c>
      <c r="CU19" s="100">
        <v>1780.5908078020032</v>
      </c>
    </row>
    <row r="20" spans="2:99">
      <c r="B20" s="99" t="s">
        <v>127</v>
      </c>
      <c r="C20" s="99" t="s">
        <v>186</v>
      </c>
      <c r="D20" s="100">
        <v>0.56670974216985015</v>
      </c>
      <c r="E20" s="100">
        <v>162.53235405431303</v>
      </c>
      <c r="F20" s="100">
        <v>0.26514231258245313</v>
      </c>
      <c r="G20" s="100">
        <v>76.042815248647557</v>
      </c>
      <c r="H20" s="100">
        <v>16.696631482032533</v>
      </c>
      <c r="I20" s="100">
        <v>4788.593909046931</v>
      </c>
      <c r="J20" s="100">
        <v>14</v>
      </c>
      <c r="K20" s="100">
        <v>4015.2000000000003</v>
      </c>
      <c r="L20" s="100">
        <v>6.5631187822005348</v>
      </c>
      <c r="M20" s="100">
        <v>1882.3024667351135</v>
      </c>
      <c r="N20" s="100">
        <v>13.693838659443722</v>
      </c>
      <c r="O20" s="100">
        <v>3927.3929275284595</v>
      </c>
      <c r="P20" s="100">
        <v>11.506793702529668</v>
      </c>
      <c r="Q20" s="100">
        <v>3300.1484338855089</v>
      </c>
      <c r="R20" s="100">
        <v>8.7503911029508537</v>
      </c>
      <c r="S20" s="100">
        <v>2509.612168326305</v>
      </c>
      <c r="T20" s="100">
        <v>15.449229959092866</v>
      </c>
      <c r="U20" s="100">
        <v>4430.8391522678339</v>
      </c>
      <c r="V20" s="100">
        <v>16</v>
      </c>
      <c r="W20" s="100">
        <v>4588.8</v>
      </c>
      <c r="X20" s="100">
        <v>17</v>
      </c>
      <c r="Y20" s="100">
        <v>4875.6000000000004</v>
      </c>
      <c r="Z20" s="100">
        <v>18</v>
      </c>
      <c r="AA20" s="100">
        <v>5162.4000000000005</v>
      </c>
      <c r="AB20" s="100">
        <v>18</v>
      </c>
      <c r="AC20" s="100">
        <v>5162.4000000000005</v>
      </c>
      <c r="AD20" s="100">
        <v>11</v>
      </c>
      <c r="AE20" s="100">
        <v>3154.8</v>
      </c>
      <c r="AF20" s="100">
        <v>19</v>
      </c>
      <c r="AG20" s="100">
        <v>5449.2</v>
      </c>
      <c r="AH20" s="100">
        <v>15</v>
      </c>
      <c r="AI20" s="100">
        <v>4302</v>
      </c>
      <c r="AJ20" s="100">
        <v>7.7387959770235488</v>
      </c>
      <c r="AK20" s="100">
        <v>2219.486686210354</v>
      </c>
      <c r="AL20" s="100">
        <v>13</v>
      </c>
      <c r="AM20" s="100">
        <v>3728.4</v>
      </c>
      <c r="AN20" s="100">
        <v>16.170838945929315</v>
      </c>
      <c r="AO20" s="100">
        <v>4637.7966096925275</v>
      </c>
      <c r="AP20" s="100">
        <v>18</v>
      </c>
      <c r="AQ20" s="100">
        <v>5162.4000000000005</v>
      </c>
      <c r="AR20" s="100">
        <v>14</v>
      </c>
      <c r="AS20" s="100">
        <v>4015.2000000000003</v>
      </c>
      <c r="AT20" s="100">
        <v>14.646512284556913</v>
      </c>
      <c r="AU20" s="100">
        <v>4200.6197232109225</v>
      </c>
      <c r="AV20" s="100">
        <v>12</v>
      </c>
      <c r="AW20" s="100">
        <v>3441.6000000000004</v>
      </c>
      <c r="AX20" s="100">
        <v>18</v>
      </c>
      <c r="AY20" s="100">
        <v>5162.4000000000005</v>
      </c>
      <c r="AZ20" s="100">
        <v>20</v>
      </c>
      <c r="BA20" s="100">
        <v>5736</v>
      </c>
      <c r="BB20" s="100">
        <v>20</v>
      </c>
      <c r="BC20" s="100">
        <v>5736</v>
      </c>
      <c r="BD20" s="100">
        <v>12</v>
      </c>
      <c r="BE20" s="100">
        <v>3441.6000000000004</v>
      </c>
      <c r="BF20" s="100">
        <v>19</v>
      </c>
      <c r="BG20" s="100">
        <v>5449.2</v>
      </c>
      <c r="BH20" s="100">
        <v>12.405962751474792</v>
      </c>
      <c r="BI20" s="100">
        <v>3558.0301171229708</v>
      </c>
      <c r="BJ20" s="100">
        <v>0</v>
      </c>
      <c r="BK20" s="100">
        <v>0</v>
      </c>
      <c r="BL20" s="100">
        <v>13</v>
      </c>
      <c r="BM20" s="100">
        <v>3728.4</v>
      </c>
      <c r="BN20" s="100">
        <v>18</v>
      </c>
      <c r="BO20" s="100">
        <v>5162.4000000000005</v>
      </c>
      <c r="BP20" s="100">
        <v>17.572575886766483</v>
      </c>
      <c r="BQ20" s="100">
        <v>5039.8147643246275</v>
      </c>
      <c r="BR20" s="100">
        <v>6.1317088574066343</v>
      </c>
      <c r="BS20" s="100">
        <v>1758.5741003042228</v>
      </c>
      <c r="BT20" s="100">
        <v>18</v>
      </c>
      <c r="BU20" s="100">
        <v>5162.4000000000005</v>
      </c>
      <c r="BV20" s="100">
        <v>17</v>
      </c>
      <c r="BW20" s="100">
        <v>4875.6000000000004</v>
      </c>
      <c r="BX20" s="100">
        <v>16</v>
      </c>
      <c r="BY20" s="100">
        <v>4588.8</v>
      </c>
      <c r="BZ20" s="100">
        <v>24</v>
      </c>
      <c r="CA20" s="100">
        <v>6883.2000000000007</v>
      </c>
      <c r="CB20" s="100">
        <v>18</v>
      </c>
      <c r="CC20" s="100">
        <v>5162.4000000000005</v>
      </c>
      <c r="CD20" s="100">
        <v>18.808295888471005</v>
      </c>
      <c r="CE20" s="100">
        <v>5394.2192608134847</v>
      </c>
      <c r="CF20" s="100">
        <v>17</v>
      </c>
      <c r="CG20" s="100">
        <v>4875.6000000000004</v>
      </c>
      <c r="CH20" s="100">
        <v>14</v>
      </c>
      <c r="CI20" s="100">
        <v>4015.2000000000003</v>
      </c>
      <c r="CJ20" s="100">
        <v>21</v>
      </c>
      <c r="CK20" s="100">
        <v>6022.8</v>
      </c>
      <c r="CL20" s="100">
        <v>7.4866208315363769</v>
      </c>
      <c r="CM20" s="100">
        <v>2147.162854484633</v>
      </c>
      <c r="CN20" s="100">
        <v>17</v>
      </c>
      <c r="CO20" s="100">
        <v>4875.6000000000004</v>
      </c>
      <c r="CP20" s="100">
        <v>13.051315132562703</v>
      </c>
      <c r="CQ20" s="100">
        <v>3743.1171800189832</v>
      </c>
      <c r="CR20" s="100">
        <v>19</v>
      </c>
      <c r="CS20" s="100">
        <v>5449.2</v>
      </c>
      <c r="CT20" s="100">
        <v>11.562277972740281</v>
      </c>
      <c r="CU20" s="100">
        <v>3316.0613225819129</v>
      </c>
    </row>
    <row r="21" spans="2:99">
      <c r="C21" s="99" t="s">
        <v>187</v>
      </c>
      <c r="D21" s="100">
        <v>0.56670974216985015</v>
      </c>
      <c r="E21" s="100">
        <v>35.362687911398652</v>
      </c>
      <c r="F21" s="100">
        <v>0.26514231258245313</v>
      </c>
      <c r="G21" s="100">
        <v>16.544880305145075</v>
      </c>
      <c r="H21" s="100">
        <v>16.696631482032533</v>
      </c>
      <c r="I21" s="100">
        <v>1041.86980447883</v>
      </c>
      <c r="J21" s="100">
        <v>15</v>
      </c>
      <c r="K21" s="100">
        <v>936</v>
      </c>
      <c r="L21" s="100">
        <v>7.0679740731390366</v>
      </c>
      <c r="M21" s="100">
        <v>441.04158216387589</v>
      </c>
      <c r="N21" s="100">
        <v>15.51968381403622</v>
      </c>
      <c r="O21" s="100">
        <v>968.42826999586009</v>
      </c>
      <c r="P21" s="100">
        <v>13.277069656765001</v>
      </c>
      <c r="Q21" s="100">
        <v>828.48914658213607</v>
      </c>
      <c r="R21" s="100">
        <v>7.5003352311007321</v>
      </c>
      <c r="S21" s="100">
        <v>468.02091842068569</v>
      </c>
      <c r="T21" s="100">
        <v>15.449229959092866</v>
      </c>
      <c r="U21" s="100">
        <v>964.03194944739482</v>
      </c>
      <c r="V21" s="100">
        <v>14</v>
      </c>
      <c r="W21" s="100">
        <v>873.6</v>
      </c>
      <c r="X21" s="100">
        <v>19</v>
      </c>
      <c r="Y21" s="100">
        <v>1185.5999999999999</v>
      </c>
      <c r="Z21" s="100">
        <v>18</v>
      </c>
      <c r="AA21" s="100">
        <v>1123.2</v>
      </c>
      <c r="AB21" s="100">
        <v>17</v>
      </c>
      <c r="AC21" s="100">
        <v>1060.8</v>
      </c>
      <c r="AD21" s="100">
        <v>12</v>
      </c>
      <c r="AE21" s="100">
        <v>748.8</v>
      </c>
      <c r="AF21" s="100">
        <v>20</v>
      </c>
      <c r="AG21" s="100">
        <v>1248</v>
      </c>
      <c r="AH21" s="100">
        <v>16</v>
      </c>
      <c r="AI21" s="100">
        <v>998.4</v>
      </c>
      <c r="AJ21" s="100">
        <v>8.1073100711675288</v>
      </c>
      <c r="AK21" s="100">
        <v>505.89614844085378</v>
      </c>
      <c r="AL21" s="100">
        <v>12</v>
      </c>
      <c r="AM21" s="100">
        <v>748.8</v>
      </c>
      <c r="AN21" s="100">
        <v>14.553755051336385</v>
      </c>
      <c r="AO21" s="100">
        <v>908.15431520339041</v>
      </c>
      <c r="AP21" s="100">
        <v>18</v>
      </c>
      <c r="AQ21" s="100">
        <v>1123.2</v>
      </c>
      <c r="AR21" s="100">
        <v>15</v>
      </c>
      <c r="AS21" s="100">
        <v>936</v>
      </c>
      <c r="AT21" s="100">
        <v>12.736097638745141</v>
      </c>
      <c r="AU21" s="100">
        <v>794.73249265769675</v>
      </c>
      <c r="AV21" s="100">
        <v>11</v>
      </c>
      <c r="AW21" s="100">
        <v>686.4</v>
      </c>
      <c r="AX21" s="100">
        <v>18</v>
      </c>
      <c r="AY21" s="100">
        <v>1123.2</v>
      </c>
      <c r="AZ21" s="100">
        <v>19</v>
      </c>
      <c r="BA21" s="100">
        <v>1185.5999999999999</v>
      </c>
      <c r="BB21" s="100">
        <v>20</v>
      </c>
      <c r="BC21" s="100">
        <v>1248</v>
      </c>
      <c r="BD21" s="100">
        <v>13</v>
      </c>
      <c r="BE21" s="100">
        <v>811.19999999999993</v>
      </c>
      <c r="BF21" s="100">
        <v>16</v>
      </c>
      <c r="BG21" s="100">
        <v>998.4</v>
      </c>
      <c r="BH21" s="100">
        <v>15.064383341076534</v>
      </c>
      <c r="BI21" s="100">
        <v>940.01752048317564</v>
      </c>
      <c r="BJ21" s="100">
        <v>0</v>
      </c>
      <c r="BK21" s="100">
        <v>0</v>
      </c>
      <c r="BL21" s="100">
        <v>15</v>
      </c>
      <c r="BM21" s="100">
        <v>936</v>
      </c>
      <c r="BN21" s="100">
        <v>20</v>
      </c>
      <c r="BO21" s="100">
        <v>1248</v>
      </c>
      <c r="BP21" s="100">
        <v>18.371329336164958</v>
      </c>
      <c r="BQ21" s="100">
        <v>1146.3709505766933</v>
      </c>
      <c r="BR21" s="100">
        <v>5.6207331192894143</v>
      </c>
      <c r="BS21" s="100">
        <v>350.73374664365946</v>
      </c>
      <c r="BT21" s="100">
        <v>20</v>
      </c>
      <c r="BU21" s="100">
        <v>1248</v>
      </c>
      <c r="BV21" s="100">
        <v>15</v>
      </c>
      <c r="BW21" s="100">
        <v>936</v>
      </c>
      <c r="BX21" s="100">
        <v>15</v>
      </c>
      <c r="BY21" s="100">
        <v>936</v>
      </c>
      <c r="BZ21" s="100">
        <v>22</v>
      </c>
      <c r="CA21" s="100">
        <v>1372.8</v>
      </c>
      <c r="CB21" s="100">
        <v>17</v>
      </c>
      <c r="CC21" s="100">
        <v>1060.8</v>
      </c>
      <c r="CD21" s="100">
        <v>22.569955066165207</v>
      </c>
      <c r="CE21" s="100">
        <v>1408.3651961287089</v>
      </c>
      <c r="CF21" s="100">
        <v>15</v>
      </c>
      <c r="CG21" s="100">
        <v>936</v>
      </c>
      <c r="CH21" s="100">
        <v>15</v>
      </c>
      <c r="CI21" s="100">
        <v>936</v>
      </c>
      <c r="CJ21" s="100">
        <v>20</v>
      </c>
      <c r="CK21" s="100">
        <v>1248</v>
      </c>
      <c r="CL21" s="100">
        <v>7.9545346335074001</v>
      </c>
      <c r="CM21" s="100">
        <v>496.36296113086178</v>
      </c>
      <c r="CN21" s="100">
        <v>16</v>
      </c>
      <c r="CO21" s="100">
        <v>998.4</v>
      </c>
      <c r="CP21" s="100">
        <v>13.051315132562703</v>
      </c>
      <c r="CQ21" s="100">
        <v>814.40206427191265</v>
      </c>
      <c r="CR21" s="100">
        <v>19</v>
      </c>
      <c r="CS21" s="100">
        <v>1185.5999999999999</v>
      </c>
      <c r="CT21" s="100">
        <v>13.103915035772317</v>
      </c>
      <c r="CU21" s="100">
        <v>817.68429823219253</v>
      </c>
    </row>
    <row r="22" spans="2:99">
      <c r="C22" s="99" t="s">
        <v>188</v>
      </c>
      <c r="D22" s="100">
        <v>0.60449039164784013</v>
      </c>
      <c r="E22" s="100">
        <v>113.16060131647566</v>
      </c>
      <c r="F22" s="100">
        <v>0.26514231258245313</v>
      </c>
      <c r="G22" s="100">
        <v>49.63464091543522</v>
      </c>
      <c r="H22" s="100">
        <v>17.575401560034248</v>
      </c>
      <c r="I22" s="100">
        <v>3290.1151720384109</v>
      </c>
      <c r="J22" s="100">
        <v>15</v>
      </c>
      <c r="K22" s="100">
        <v>2808</v>
      </c>
      <c r="L22" s="100">
        <v>7.0679740731390366</v>
      </c>
      <c r="M22" s="100">
        <v>1323.1247464916275</v>
      </c>
      <c r="N22" s="100">
        <v>13.693838659443722</v>
      </c>
      <c r="O22" s="100">
        <v>2563.4865970478645</v>
      </c>
      <c r="P22" s="100">
        <v>12.391931679647334</v>
      </c>
      <c r="Q22" s="100">
        <v>2319.7696104299807</v>
      </c>
      <c r="R22" s="100">
        <v>8.1253631670257924</v>
      </c>
      <c r="S22" s="100">
        <v>1521.0679848672282</v>
      </c>
      <c r="T22" s="100">
        <v>13.732648852526992</v>
      </c>
      <c r="U22" s="100">
        <v>2570.7518651930527</v>
      </c>
      <c r="V22" s="100">
        <v>14</v>
      </c>
      <c r="W22" s="100">
        <v>2620.7999999999997</v>
      </c>
      <c r="X22" s="100">
        <v>16</v>
      </c>
      <c r="Y22" s="100">
        <v>2995.2</v>
      </c>
      <c r="Z22" s="100">
        <v>17</v>
      </c>
      <c r="AA22" s="100">
        <v>3182.3999999999996</v>
      </c>
      <c r="AB22" s="100">
        <v>18</v>
      </c>
      <c r="AC22" s="100">
        <v>3369.6</v>
      </c>
      <c r="AD22" s="100">
        <v>10</v>
      </c>
      <c r="AE22" s="100">
        <v>1872</v>
      </c>
      <c r="AF22" s="100">
        <v>20</v>
      </c>
      <c r="AG22" s="100">
        <v>3744</v>
      </c>
      <c r="AH22" s="100">
        <v>15</v>
      </c>
      <c r="AI22" s="100">
        <v>2808</v>
      </c>
      <c r="AJ22" s="100">
        <v>8.1073100711675288</v>
      </c>
      <c r="AK22" s="100">
        <v>1517.6884453225614</v>
      </c>
      <c r="AL22" s="100">
        <v>14</v>
      </c>
      <c r="AM22" s="100">
        <v>2620.7999999999997</v>
      </c>
      <c r="AN22" s="100">
        <v>16.170838945929315</v>
      </c>
      <c r="AO22" s="100">
        <v>3027.1810506779675</v>
      </c>
      <c r="AP22" s="100">
        <v>18</v>
      </c>
      <c r="AQ22" s="100">
        <v>3369.6</v>
      </c>
      <c r="AR22" s="100">
        <v>14</v>
      </c>
      <c r="AS22" s="100">
        <v>2620.7999999999997</v>
      </c>
      <c r="AT22" s="100">
        <v>12.736097638745141</v>
      </c>
      <c r="AU22" s="100">
        <v>2384.1974779730904</v>
      </c>
      <c r="AV22" s="100">
        <v>12</v>
      </c>
      <c r="AW22" s="100">
        <v>2246.3999999999996</v>
      </c>
      <c r="AX22" s="100">
        <v>19</v>
      </c>
      <c r="AY22" s="100">
        <v>3556.7999999999997</v>
      </c>
      <c r="AZ22" s="100">
        <v>22</v>
      </c>
      <c r="BA22" s="100">
        <v>4118.3999999999996</v>
      </c>
      <c r="BB22" s="100">
        <v>23</v>
      </c>
      <c r="BC22" s="100">
        <v>4305.5999999999995</v>
      </c>
      <c r="BD22" s="100">
        <v>12</v>
      </c>
      <c r="BE22" s="100">
        <v>2246.3999999999996</v>
      </c>
      <c r="BF22" s="100">
        <v>17</v>
      </c>
      <c r="BG22" s="100">
        <v>3182.3999999999996</v>
      </c>
      <c r="BH22" s="100">
        <v>12.405962751474792</v>
      </c>
      <c r="BI22" s="100">
        <v>2322.3962270760808</v>
      </c>
      <c r="BJ22" s="100">
        <v>0</v>
      </c>
      <c r="BK22" s="100">
        <v>0</v>
      </c>
      <c r="BL22" s="100">
        <v>15</v>
      </c>
      <c r="BM22" s="100">
        <v>2808</v>
      </c>
      <c r="BN22" s="100">
        <v>17</v>
      </c>
      <c r="BO22" s="100">
        <v>3182.3999999999996</v>
      </c>
      <c r="BP22" s="100">
        <v>16.773822437368008</v>
      </c>
      <c r="BQ22" s="100">
        <v>3140.059560275291</v>
      </c>
      <c r="BR22" s="100">
        <v>6.1317088574066343</v>
      </c>
      <c r="BS22" s="100">
        <v>1147.8558981065219</v>
      </c>
      <c r="BT22" s="100">
        <v>19</v>
      </c>
      <c r="BU22" s="100">
        <v>3556.7999999999997</v>
      </c>
      <c r="BV22" s="100">
        <v>15</v>
      </c>
      <c r="BW22" s="100">
        <v>2808</v>
      </c>
      <c r="BX22" s="100">
        <v>15</v>
      </c>
      <c r="BY22" s="100">
        <v>2808</v>
      </c>
      <c r="BZ22" s="100">
        <v>22</v>
      </c>
      <c r="CA22" s="100">
        <v>4118.3999999999996</v>
      </c>
      <c r="CB22" s="100">
        <v>19</v>
      </c>
      <c r="CC22" s="100">
        <v>3556.7999999999997</v>
      </c>
      <c r="CD22" s="100">
        <v>18.808295888471005</v>
      </c>
      <c r="CE22" s="100">
        <v>3520.9129903217718</v>
      </c>
      <c r="CF22" s="100">
        <v>16</v>
      </c>
      <c r="CG22" s="100">
        <v>2995.2</v>
      </c>
      <c r="CH22" s="100">
        <v>16</v>
      </c>
      <c r="CI22" s="100">
        <v>2995.2</v>
      </c>
      <c r="CJ22" s="100">
        <v>18</v>
      </c>
      <c r="CK22" s="100">
        <v>3369.6</v>
      </c>
      <c r="CL22" s="100">
        <v>8.4224484354784241</v>
      </c>
      <c r="CM22" s="100">
        <v>1576.682347121561</v>
      </c>
      <c r="CN22" s="100">
        <v>15</v>
      </c>
      <c r="CO22" s="100">
        <v>2808</v>
      </c>
      <c r="CP22" s="100">
        <v>12.181227457058522</v>
      </c>
      <c r="CQ22" s="100">
        <v>2280.3257799613552</v>
      </c>
      <c r="CR22" s="100">
        <v>20</v>
      </c>
      <c r="CS22" s="100">
        <v>3744</v>
      </c>
      <c r="CT22" s="100">
        <v>11.562277972740281</v>
      </c>
      <c r="CU22" s="100">
        <v>2164.4584364969805</v>
      </c>
    </row>
    <row r="23" spans="2:99">
      <c r="C23" s="99" t="s">
        <v>189</v>
      </c>
      <c r="D23" s="100">
        <v>0.60449039164784013</v>
      </c>
      <c r="E23" s="100">
        <v>177.720175144465</v>
      </c>
      <c r="F23" s="100">
        <v>0.29165654384069845</v>
      </c>
      <c r="G23" s="100">
        <v>85.747023889165348</v>
      </c>
      <c r="H23" s="100">
        <v>14.939091326029109</v>
      </c>
      <c r="I23" s="100">
        <v>4392.0928498525582</v>
      </c>
      <c r="J23" s="100">
        <v>13</v>
      </c>
      <c r="K23" s="100">
        <v>3822</v>
      </c>
      <c r="L23" s="100">
        <v>7.0679740731390366</v>
      </c>
      <c r="M23" s="100">
        <v>2077.9843775028767</v>
      </c>
      <c r="N23" s="100">
        <v>16.43260639133247</v>
      </c>
      <c r="O23" s="100">
        <v>4831.1862790517462</v>
      </c>
      <c r="P23" s="100">
        <v>12.391931679647334</v>
      </c>
      <c r="Q23" s="100">
        <v>3643.2279138163162</v>
      </c>
      <c r="R23" s="100">
        <v>7.5003352311007321</v>
      </c>
      <c r="S23" s="100">
        <v>2205.0985579436151</v>
      </c>
      <c r="T23" s="100">
        <v>14.590939405809928</v>
      </c>
      <c r="U23" s="100">
        <v>4289.7361853081193</v>
      </c>
      <c r="V23" s="100">
        <v>16</v>
      </c>
      <c r="W23" s="100">
        <v>4704</v>
      </c>
      <c r="X23" s="100">
        <v>17</v>
      </c>
      <c r="Y23" s="100">
        <v>4998</v>
      </c>
      <c r="Z23" s="100">
        <v>16</v>
      </c>
      <c r="AA23" s="100">
        <v>4704</v>
      </c>
      <c r="AB23" s="100">
        <v>18</v>
      </c>
      <c r="AC23" s="100">
        <v>5292</v>
      </c>
      <c r="AD23" s="100">
        <v>11</v>
      </c>
      <c r="AE23" s="100">
        <v>3234</v>
      </c>
      <c r="AF23" s="100">
        <v>19</v>
      </c>
      <c r="AG23" s="100">
        <v>5586</v>
      </c>
      <c r="AH23" s="100">
        <v>15</v>
      </c>
      <c r="AI23" s="100">
        <v>4410</v>
      </c>
      <c r="AJ23" s="100">
        <v>8.1073100711675288</v>
      </c>
      <c r="AK23" s="100">
        <v>2383.5491609232536</v>
      </c>
      <c r="AL23" s="100">
        <v>13</v>
      </c>
      <c r="AM23" s="100">
        <v>3822</v>
      </c>
      <c r="AN23" s="100">
        <v>13.745213104039919</v>
      </c>
      <c r="AO23" s="100">
        <v>4041.0926525877362</v>
      </c>
      <c r="AP23" s="100">
        <v>15</v>
      </c>
      <c r="AQ23" s="100">
        <v>4410</v>
      </c>
      <c r="AR23" s="100">
        <v>13</v>
      </c>
      <c r="AS23" s="100">
        <v>3822</v>
      </c>
      <c r="AT23" s="100">
        <v>13.372902520682398</v>
      </c>
      <c r="AU23" s="100">
        <v>3931.6333410806251</v>
      </c>
      <c r="AV23" s="100">
        <v>11</v>
      </c>
      <c r="AW23" s="100">
        <v>3234</v>
      </c>
      <c r="AX23" s="100">
        <v>17</v>
      </c>
      <c r="AY23" s="100">
        <v>4998</v>
      </c>
      <c r="AZ23" s="100">
        <v>20</v>
      </c>
      <c r="BA23" s="100">
        <v>5880</v>
      </c>
      <c r="BB23" s="100">
        <v>22</v>
      </c>
      <c r="BC23" s="100">
        <v>6468</v>
      </c>
      <c r="BD23" s="100">
        <v>11</v>
      </c>
      <c r="BE23" s="100">
        <v>3234</v>
      </c>
      <c r="BF23" s="100">
        <v>16</v>
      </c>
      <c r="BG23" s="100">
        <v>4704</v>
      </c>
      <c r="BH23" s="100">
        <v>12.405962751474792</v>
      </c>
      <c r="BI23" s="100">
        <v>3647.353048933589</v>
      </c>
      <c r="BJ23" s="100">
        <v>0</v>
      </c>
      <c r="BK23" s="100">
        <v>0</v>
      </c>
      <c r="BL23" s="100">
        <v>14</v>
      </c>
      <c r="BM23" s="100">
        <v>4116</v>
      </c>
      <c r="BN23" s="100">
        <v>17</v>
      </c>
      <c r="BO23" s="100">
        <v>4998</v>
      </c>
      <c r="BP23" s="100">
        <v>18.371329336164958</v>
      </c>
      <c r="BQ23" s="100">
        <v>5401.1708248324976</v>
      </c>
      <c r="BR23" s="100">
        <v>5.6207331192894143</v>
      </c>
      <c r="BS23" s="100">
        <v>1652.4955370710877</v>
      </c>
      <c r="BT23" s="100">
        <v>19</v>
      </c>
      <c r="BU23" s="100">
        <v>5586</v>
      </c>
      <c r="BV23" s="100">
        <v>17</v>
      </c>
      <c r="BW23" s="100">
        <v>4998</v>
      </c>
      <c r="BX23" s="100">
        <v>15</v>
      </c>
      <c r="BY23" s="100">
        <v>4410</v>
      </c>
      <c r="BZ23" s="100">
        <v>21</v>
      </c>
      <c r="CA23" s="100">
        <v>6174</v>
      </c>
      <c r="CB23" s="100">
        <v>17</v>
      </c>
      <c r="CC23" s="100">
        <v>4998</v>
      </c>
      <c r="CD23" s="100">
        <v>18.808295888471005</v>
      </c>
      <c r="CE23" s="100">
        <v>5529.6389912104751</v>
      </c>
      <c r="CF23" s="100">
        <v>14</v>
      </c>
      <c r="CG23" s="100">
        <v>4116</v>
      </c>
      <c r="CH23" s="100">
        <v>16</v>
      </c>
      <c r="CI23" s="100">
        <v>4704</v>
      </c>
      <c r="CJ23" s="100">
        <v>21</v>
      </c>
      <c r="CK23" s="100">
        <v>6174</v>
      </c>
      <c r="CL23" s="100">
        <v>7.0187070295653546</v>
      </c>
      <c r="CM23" s="100">
        <v>2063.4998666922143</v>
      </c>
      <c r="CN23" s="100">
        <v>14</v>
      </c>
      <c r="CO23" s="100">
        <v>4116</v>
      </c>
      <c r="CP23" s="100">
        <v>11.311139781554342</v>
      </c>
      <c r="CQ23" s="100">
        <v>3325.4750957769766</v>
      </c>
      <c r="CR23" s="100">
        <v>18</v>
      </c>
      <c r="CS23" s="100">
        <v>5292</v>
      </c>
      <c r="CT23" s="100">
        <v>12.333096504256298</v>
      </c>
      <c r="CU23" s="100">
        <v>3625.9303722513519</v>
      </c>
    </row>
    <row r="24" spans="2:99">
      <c r="C24" s="99" t="s">
        <v>190</v>
      </c>
      <c r="D24" s="100">
        <v>0.56670974216985015</v>
      </c>
      <c r="E24" s="100">
        <v>208.09581732476897</v>
      </c>
      <c r="F24" s="100">
        <v>0.26514231258245313</v>
      </c>
      <c r="G24" s="100">
        <v>97.36025718027679</v>
      </c>
      <c r="H24" s="100">
        <v>14.939091326029109</v>
      </c>
      <c r="I24" s="100">
        <v>5485.6343349178887</v>
      </c>
      <c r="J24" s="100">
        <v>13</v>
      </c>
      <c r="K24" s="100">
        <v>4773.5999999999995</v>
      </c>
      <c r="L24" s="100">
        <v>6.5631187822005348</v>
      </c>
      <c r="M24" s="100">
        <v>2409.9772168240361</v>
      </c>
      <c r="N24" s="100">
        <v>14.606761236739972</v>
      </c>
      <c r="O24" s="100">
        <v>5363.6027261309173</v>
      </c>
      <c r="P24" s="100">
        <v>12.391931679647334</v>
      </c>
      <c r="Q24" s="100">
        <v>4550.3173127665004</v>
      </c>
      <c r="R24" s="100">
        <v>7.5003352311007321</v>
      </c>
      <c r="S24" s="100">
        <v>2754.1230968601885</v>
      </c>
      <c r="T24" s="100">
        <v>15.449229959092866</v>
      </c>
      <c r="U24" s="100">
        <v>5672.9572409789007</v>
      </c>
      <c r="V24" s="100">
        <v>15</v>
      </c>
      <c r="W24" s="100">
        <v>5508</v>
      </c>
      <c r="X24" s="100">
        <v>17</v>
      </c>
      <c r="Y24" s="100">
        <v>6242.4</v>
      </c>
      <c r="Z24" s="100">
        <v>15</v>
      </c>
      <c r="AA24" s="100">
        <v>5508</v>
      </c>
      <c r="AB24" s="100">
        <v>16</v>
      </c>
      <c r="AC24" s="100">
        <v>5875.2</v>
      </c>
      <c r="AD24" s="100">
        <v>10</v>
      </c>
      <c r="AE24" s="100">
        <v>3672</v>
      </c>
      <c r="AF24" s="100">
        <v>19</v>
      </c>
      <c r="AG24" s="100">
        <v>6976.8</v>
      </c>
      <c r="AH24" s="100">
        <v>14</v>
      </c>
      <c r="AI24" s="100">
        <v>5140.8</v>
      </c>
      <c r="AJ24" s="100">
        <v>7.0017677887355925</v>
      </c>
      <c r="AK24" s="100">
        <v>2571.0491320237093</v>
      </c>
      <c r="AL24" s="100">
        <v>13</v>
      </c>
      <c r="AM24" s="100">
        <v>4773.5999999999995</v>
      </c>
      <c r="AN24" s="100">
        <v>14.553755051336385</v>
      </c>
      <c r="AO24" s="100">
        <v>5344.1388548507202</v>
      </c>
      <c r="AP24" s="100">
        <v>17</v>
      </c>
      <c r="AQ24" s="100">
        <v>6242.4</v>
      </c>
      <c r="AR24" s="100">
        <v>15</v>
      </c>
      <c r="AS24" s="100">
        <v>5508</v>
      </c>
      <c r="AT24" s="100">
        <v>12.736097638745141</v>
      </c>
      <c r="AU24" s="100">
        <v>4676.695052947216</v>
      </c>
      <c r="AV24" s="100">
        <v>11</v>
      </c>
      <c r="AW24" s="100">
        <v>4039.2</v>
      </c>
      <c r="AX24" s="100">
        <v>20</v>
      </c>
      <c r="AY24" s="100">
        <v>7344</v>
      </c>
      <c r="AZ24" s="100">
        <v>21</v>
      </c>
      <c r="BA24" s="100">
        <v>7711.2</v>
      </c>
      <c r="BB24" s="100">
        <v>23</v>
      </c>
      <c r="BC24" s="100">
        <v>8445.6</v>
      </c>
      <c r="BD24" s="100">
        <v>11</v>
      </c>
      <c r="BE24" s="100">
        <v>4039.2</v>
      </c>
      <c r="BF24" s="100">
        <v>18</v>
      </c>
      <c r="BG24" s="100">
        <v>6609.5999999999995</v>
      </c>
      <c r="BH24" s="100">
        <v>14.178243144542622</v>
      </c>
      <c r="BI24" s="100">
        <v>5206.2508826760504</v>
      </c>
      <c r="BJ24" s="100">
        <v>0</v>
      </c>
      <c r="BK24" s="100">
        <v>0</v>
      </c>
      <c r="BL24" s="100">
        <v>13</v>
      </c>
      <c r="BM24" s="100">
        <v>4773.5999999999995</v>
      </c>
      <c r="BN24" s="100">
        <v>18</v>
      </c>
      <c r="BO24" s="100">
        <v>6609.5999999999995</v>
      </c>
      <c r="BP24" s="100">
        <v>17.572575886766483</v>
      </c>
      <c r="BQ24" s="100">
        <v>6452.6498656206522</v>
      </c>
      <c r="BR24" s="100">
        <v>6.1317088574066343</v>
      </c>
      <c r="BS24" s="100">
        <v>2251.5634924397159</v>
      </c>
      <c r="BT24" s="100">
        <v>17</v>
      </c>
      <c r="BU24" s="100">
        <v>6242.4</v>
      </c>
      <c r="BV24" s="100">
        <v>17</v>
      </c>
      <c r="BW24" s="100">
        <v>6242.4</v>
      </c>
      <c r="BX24" s="100">
        <v>16</v>
      </c>
      <c r="BY24" s="100">
        <v>5875.2</v>
      </c>
      <c r="BZ24" s="100">
        <v>23</v>
      </c>
      <c r="CA24" s="100">
        <v>8445.6</v>
      </c>
      <c r="CB24" s="100">
        <v>19</v>
      </c>
      <c r="CC24" s="100">
        <v>6976.8</v>
      </c>
      <c r="CD24" s="100">
        <v>19.748710682894554</v>
      </c>
      <c r="CE24" s="100">
        <v>7251.7265627588804</v>
      </c>
      <c r="CF24" s="100">
        <v>16</v>
      </c>
      <c r="CG24" s="100">
        <v>5875.2</v>
      </c>
      <c r="CH24" s="100">
        <v>13</v>
      </c>
      <c r="CI24" s="100">
        <v>4773.5999999999995</v>
      </c>
      <c r="CJ24" s="100">
        <v>18</v>
      </c>
      <c r="CK24" s="100">
        <v>6609.5999999999995</v>
      </c>
      <c r="CL24" s="100">
        <v>7.0187070295653546</v>
      </c>
      <c r="CM24" s="100">
        <v>2577.2692212563979</v>
      </c>
      <c r="CN24" s="100">
        <v>15</v>
      </c>
      <c r="CO24" s="100">
        <v>5508</v>
      </c>
      <c r="CP24" s="100">
        <v>13.051315132562703</v>
      </c>
      <c r="CQ24" s="100">
        <v>4792.4429166770242</v>
      </c>
      <c r="CR24" s="100">
        <v>20</v>
      </c>
      <c r="CS24" s="100">
        <v>7344</v>
      </c>
      <c r="CT24" s="100">
        <v>12.333096504256298</v>
      </c>
      <c r="CU24" s="100">
        <v>4528.713036362913</v>
      </c>
    </row>
    <row r="25" spans="2:99">
      <c r="C25" s="99" t="s">
        <v>191</v>
      </c>
      <c r="D25" s="100">
        <v>0.52892909269186017</v>
      </c>
      <c r="E25" s="100">
        <v>280.54399076376262</v>
      </c>
      <c r="F25" s="100">
        <v>0.26514231258245313</v>
      </c>
      <c r="G25" s="100">
        <v>140.63148259373312</v>
      </c>
      <c r="H25" s="100">
        <v>14.939091326029109</v>
      </c>
      <c r="I25" s="100">
        <v>7923.6940393258392</v>
      </c>
      <c r="J25" s="100">
        <v>15</v>
      </c>
      <c r="K25" s="100">
        <v>7956</v>
      </c>
      <c r="L25" s="100">
        <v>6.5631187822005348</v>
      </c>
      <c r="M25" s="100">
        <v>3481.0782020791635</v>
      </c>
      <c r="N25" s="100">
        <v>12.780916082147476</v>
      </c>
      <c r="O25" s="100">
        <v>6778.9978899710213</v>
      </c>
      <c r="P25" s="100">
        <v>11.506793702529668</v>
      </c>
      <c r="Q25" s="100">
        <v>6103.2033798217362</v>
      </c>
      <c r="R25" s="100">
        <v>8.1253631670257924</v>
      </c>
      <c r="S25" s="100">
        <v>4309.69262379048</v>
      </c>
      <c r="T25" s="100">
        <v>15.449229959092866</v>
      </c>
      <c r="U25" s="100">
        <v>8194.2715703028553</v>
      </c>
      <c r="V25" s="100">
        <v>14</v>
      </c>
      <c r="W25" s="100">
        <v>7425.5999999999995</v>
      </c>
      <c r="X25" s="100">
        <v>16</v>
      </c>
      <c r="Y25" s="100">
        <v>8486.4</v>
      </c>
      <c r="Z25" s="100">
        <v>17</v>
      </c>
      <c r="AA25" s="100">
        <v>9016.7999999999993</v>
      </c>
      <c r="AB25" s="100">
        <v>18</v>
      </c>
      <c r="AC25" s="100">
        <v>9547.1999999999989</v>
      </c>
      <c r="AD25" s="100">
        <v>11</v>
      </c>
      <c r="AE25" s="100">
        <v>5834.4</v>
      </c>
      <c r="AF25" s="100">
        <v>21</v>
      </c>
      <c r="AG25" s="100">
        <v>11138.4</v>
      </c>
      <c r="AH25" s="100">
        <v>14</v>
      </c>
      <c r="AI25" s="100">
        <v>7425.5999999999995</v>
      </c>
      <c r="AJ25" s="100">
        <v>7.7387959770235488</v>
      </c>
      <c r="AK25" s="100">
        <v>4104.65738621329</v>
      </c>
      <c r="AL25" s="100">
        <v>11</v>
      </c>
      <c r="AM25" s="100">
        <v>5834.4</v>
      </c>
      <c r="AN25" s="100">
        <v>16.170838945929315</v>
      </c>
      <c r="AO25" s="100">
        <v>8577.0129769209088</v>
      </c>
      <c r="AP25" s="100">
        <v>16</v>
      </c>
      <c r="AQ25" s="100">
        <v>8486.4</v>
      </c>
      <c r="AR25" s="100">
        <v>15</v>
      </c>
      <c r="AS25" s="100">
        <v>7956</v>
      </c>
      <c r="AT25" s="100">
        <v>14.646512284556913</v>
      </c>
      <c r="AU25" s="100">
        <v>7768.5101157289864</v>
      </c>
      <c r="AV25" s="100">
        <v>11</v>
      </c>
      <c r="AW25" s="100">
        <v>5834.4</v>
      </c>
      <c r="AX25" s="100">
        <v>17</v>
      </c>
      <c r="AY25" s="100">
        <v>9016.7999999999993</v>
      </c>
      <c r="AZ25" s="100">
        <v>20</v>
      </c>
      <c r="BA25" s="100">
        <v>10608</v>
      </c>
      <c r="BB25" s="100">
        <v>21</v>
      </c>
      <c r="BC25" s="100">
        <v>11138.4</v>
      </c>
      <c r="BD25" s="100">
        <v>12</v>
      </c>
      <c r="BE25" s="100">
        <v>6364.7999999999993</v>
      </c>
      <c r="BF25" s="100">
        <v>17</v>
      </c>
      <c r="BG25" s="100">
        <v>9016.7999999999993</v>
      </c>
      <c r="BH25" s="100">
        <v>14.178243144542622</v>
      </c>
      <c r="BI25" s="100">
        <v>7520.1401638654061</v>
      </c>
      <c r="BJ25" s="100">
        <v>0</v>
      </c>
      <c r="BK25" s="100">
        <v>0</v>
      </c>
      <c r="BL25" s="100">
        <v>16</v>
      </c>
      <c r="BM25" s="100">
        <v>8486.4</v>
      </c>
      <c r="BN25" s="100">
        <v>19</v>
      </c>
      <c r="BO25" s="100">
        <v>10077.6</v>
      </c>
      <c r="BP25" s="100">
        <v>18.371329336164958</v>
      </c>
      <c r="BQ25" s="100">
        <v>9744.1530799018929</v>
      </c>
      <c r="BR25" s="100">
        <v>5.6207331192894143</v>
      </c>
      <c r="BS25" s="100">
        <v>2981.2368464711053</v>
      </c>
      <c r="BT25" s="100">
        <v>19</v>
      </c>
      <c r="BU25" s="100">
        <v>10077.6</v>
      </c>
      <c r="BV25" s="100">
        <v>16</v>
      </c>
      <c r="BW25" s="100">
        <v>8486.4</v>
      </c>
      <c r="BX25" s="100">
        <v>17</v>
      </c>
      <c r="BY25" s="100">
        <v>9016.7999999999993</v>
      </c>
      <c r="BZ25" s="100">
        <v>23</v>
      </c>
      <c r="CA25" s="100">
        <v>12199.199999999999</v>
      </c>
      <c r="CB25" s="100">
        <v>17</v>
      </c>
      <c r="CC25" s="100">
        <v>9016.7999999999993</v>
      </c>
      <c r="CD25" s="100">
        <v>19.748710682894554</v>
      </c>
      <c r="CE25" s="100">
        <v>10474.716146207271</v>
      </c>
      <c r="CF25" s="100">
        <v>15</v>
      </c>
      <c r="CG25" s="100">
        <v>7956</v>
      </c>
      <c r="CH25" s="100">
        <v>15</v>
      </c>
      <c r="CI25" s="100">
        <v>7956</v>
      </c>
      <c r="CJ25" s="100">
        <v>19</v>
      </c>
      <c r="CK25" s="100">
        <v>10077.6</v>
      </c>
      <c r="CL25" s="100">
        <v>8.4224484354784241</v>
      </c>
      <c r="CM25" s="100">
        <v>4467.2666501777558</v>
      </c>
      <c r="CN25" s="100">
        <v>15</v>
      </c>
      <c r="CO25" s="100">
        <v>7956</v>
      </c>
      <c r="CP25" s="100">
        <v>13.051315132562703</v>
      </c>
      <c r="CQ25" s="100">
        <v>6922.417546311257</v>
      </c>
      <c r="CR25" s="100">
        <v>20</v>
      </c>
      <c r="CS25" s="100">
        <v>10608</v>
      </c>
      <c r="CT25" s="100">
        <v>11.562277972740281</v>
      </c>
      <c r="CU25" s="100">
        <v>6132.632236741445</v>
      </c>
    </row>
    <row r="26" spans="2:99">
      <c r="C26" s="99" t="s">
        <v>192</v>
      </c>
      <c r="D26" s="100">
        <v>0.52892909269186017</v>
      </c>
      <c r="E26" s="100">
        <v>257.05953904824406</v>
      </c>
      <c r="F26" s="100">
        <v>0.29165654384069845</v>
      </c>
      <c r="G26" s="100">
        <v>141.74508030657944</v>
      </c>
      <c r="H26" s="100">
        <v>17.575401560034248</v>
      </c>
      <c r="I26" s="100">
        <v>8541.6451581766451</v>
      </c>
      <c r="J26" s="100">
        <v>12</v>
      </c>
      <c r="K26" s="100">
        <v>5832</v>
      </c>
      <c r="L26" s="100">
        <v>7.0679740731390366</v>
      </c>
      <c r="M26" s="100">
        <v>3435.0353995455716</v>
      </c>
      <c r="N26" s="100">
        <v>15.51968381403622</v>
      </c>
      <c r="O26" s="100">
        <v>7542.566333621603</v>
      </c>
      <c r="P26" s="100">
        <v>12.391931679647334</v>
      </c>
      <c r="Q26" s="100">
        <v>6022.4787963086037</v>
      </c>
      <c r="R26" s="100">
        <v>7.5003352311007321</v>
      </c>
      <c r="S26" s="100">
        <v>3645.1629223149557</v>
      </c>
      <c r="T26" s="100">
        <v>16.307520512375802</v>
      </c>
      <c r="U26" s="100">
        <v>7925.4549690146396</v>
      </c>
      <c r="V26" s="100">
        <v>14</v>
      </c>
      <c r="W26" s="100">
        <v>6804</v>
      </c>
      <c r="X26" s="100">
        <v>17</v>
      </c>
      <c r="Y26" s="100">
        <v>8262</v>
      </c>
      <c r="Z26" s="100">
        <v>18</v>
      </c>
      <c r="AA26" s="100">
        <v>8748</v>
      </c>
      <c r="AB26" s="100">
        <v>18</v>
      </c>
      <c r="AC26" s="100">
        <v>8748</v>
      </c>
      <c r="AD26" s="100">
        <v>11</v>
      </c>
      <c r="AE26" s="100">
        <v>5346</v>
      </c>
      <c r="AF26" s="100">
        <v>20</v>
      </c>
      <c r="AG26" s="100">
        <v>9720</v>
      </c>
      <c r="AH26" s="100">
        <v>14</v>
      </c>
      <c r="AI26" s="100">
        <v>6804</v>
      </c>
      <c r="AJ26" s="100">
        <v>7.7387959770235488</v>
      </c>
      <c r="AK26" s="100">
        <v>3761.0548448334448</v>
      </c>
      <c r="AL26" s="100">
        <v>12</v>
      </c>
      <c r="AM26" s="100">
        <v>5832</v>
      </c>
      <c r="AN26" s="100">
        <v>16.170838945929315</v>
      </c>
      <c r="AO26" s="100">
        <v>7859.0277277216474</v>
      </c>
      <c r="AP26" s="100">
        <v>17</v>
      </c>
      <c r="AQ26" s="100">
        <v>8262</v>
      </c>
      <c r="AR26" s="100">
        <v>13</v>
      </c>
      <c r="AS26" s="100">
        <v>6318</v>
      </c>
      <c r="AT26" s="100">
        <v>14.646512284556913</v>
      </c>
      <c r="AU26" s="100">
        <v>7118.2049702946597</v>
      </c>
      <c r="AV26" s="100">
        <v>10</v>
      </c>
      <c r="AW26" s="100">
        <v>4860</v>
      </c>
      <c r="AX26" s="100">
        <v>17</v>
      </c>
      <c r="AY26" s="100">
        <v>8262</v>
      </c>
      <c r="AZ26" s="100">
        <v>20</v>
      </c>
      <c r="BA26" s="100">
        <v>9720</v>
      </c>
      <c r="BB26" s="100">
        <v>19</v>
      </c>
      <c r="BC26" s="100">
        <v>9234</v>
      </c>
      <c r="BD26" s="100">
        <v>13</v>
      </c>
      <c r="BE26" s="100">
        <v>6318</v>
      </c>
      <c r="BF26" s="100">
        <v>16</v>
      </c>
      <c r="BG26" s="100">
        <v>7776</v>
      </c>
      <c r="BH26" s="100">
        <v>13.292102948008706</v>
      </c>
      <c r="BI26" s="100">
        <v>6459.9620327322309</v>
      </c>
      <c r="BJ26" s="100">
        <v>0</v>
      </c>
      <c r="BK26" s="100">
        <v>0</v>
      </c>
      <c r="BL26" s="100">
        <v>15</v>
      </c>
      <c r="BM26" s="100">
        <v>7290</v>
      </c>
      <c r="BN26" s="100">
        <v>18</v>
      </c>
      <c r="BO26" s="100">
        <v>8748</v>
      </c>
      <c r="BP26" s="100">
        <v>18.371329336164958</v>
      </c>
      <c r="BQ26" s="100">
        <v>8928.4660573761703</v>
      </c>
      <c r="BR26" s="100">
        <v>6.1317088574066343</v>
      </c>
      <c r="BS26" s="100">
        <v>2980.0105046996241</v>
      </c>
      <c r="BT26" s="100">
        <v>17</v>
      </c>
      <c r="BU26" s="100">
        <v>8262</v>
      </c>
      <c r="BV26" s="100">
        <v>15</v>
      </c>
      <c r="BW26" s="100">
        <v>7290</v>
      </c>
      <c r="BX26" s="100">
        <v>16</v>
      </c>
      <c r="BY26" s="100">
        <v>7776</v>
      </c>
      <c r="BZ26" s="100">
        <v>24</v>
      </c>
      <c r="CA26" s="100">
        <v>11664</v>
      </c>
      <c r="CB26" s="100">
        <v>18</v>
      </c>
      <c r="CC26" s="100">
        <v>8748</v>
      </c>
      <c r="CD26" s="100">
        <v>19.748710682894554</v>
      </c>
      <c r="CE26" s="100">
        <v>9597.8733918867529</v>
      </c>
      <c r="CF26" s="100">
        <v>15</v>
      </c>
      <c r="CG26" s="100">
        <v>7290</v>
      </c>
      <c r="CH26" s="100">
        <v>14</v>
      </c>
      <c r="CI26" s="100">
        <v>6804</v>
      </c>
      <c r="CJ26" s="100">
        <v>20</v>
      </c>
      <c r="CK26" s="100">
        <v>9720</v>
      </c>
      <c r="CL26" s="100">
        <v>7.4866208315363769</v>
      </c>
      <c r="CM26" s="100">
        <v>3638.4977241266793</v>
      </c>
      <c r="CN26" s="100">
        <v>14</v>
      </c>
      <c r="CO26" s="100">
        <v>6804</v>
      </c>
      <c r="CP26" s="100">
        <v>13.051315132562703</v>
      </c>
      <c r="CQ26" s="100">
        <v>6342.9391544254731</v>
      </c>
      <c r="CR26" s="100">
        <v>18</v>
      </c>
      <c r="CS26" s="100">
        <v>8748</v>
      </c>
      <c r="CT26" s="100">
        <v>11.562277972740281</v>
      </c>
      <c r="CU26" s="100">
        <v>5619.2670947517763</v>
      </c>
    </row>
    <row r="27" spans="2:99">
      <c r="C27" s="99" t="s">
        <v>193</v>
      </c>
      <c r="D27" s="100">
        <v>0.60449039164784013</v>
      </c>
      <c r="E27" s="100">
        <v>258.2382953119573</v>
      </c>
      <c r="F27" s="100">
        <v>0.29165654384069845</v>
      </c>
      <c r="G27" s="100">
        <v>124.59567552874637</v>
      </c>
      <c r="H27" s="100">
        <v>15.817861404030822</v>
      </c>
      <c r="I27" s="100">
        <v>6757.3903918019669</v>
      </c>
      <c r="J27" s="100">
        <v>14</v>
      </c>
      <c r="K27" s="100">
        <v>5980.8</v>
      </c>
      <c r="L27" s="100">
        <v>6.5631187822005348</v>
      </c>
      <c r="M27" s="100">
        <v>2803.7643437560682</v>
      </c>
      <c r="N27" s="100">
        <v>14.606761236739972</v>
      </c>
      <c r="O27" s="100">
        <v>6240.0084003353159</v>
      </c>
      <c r="P27" s="100">
        <v>12.391931679647334</v>
      </c>
      <c r="Q27" s="100">
        <v>5293.8332135453411</v>
      </c>
      <c r="R27" s="100">
        <v>7.5003352311007321</v>
      </c>
      <c r="S27" s="100">
        <v>3204.1432107262326</v>
      </c>
      <c r="T27" s="100">
        <v>16.307520512375802</v>
      </c>
      <c r="U27" s="100">
        <v>6966.5727628869427</v>
      </c>
      <c r="V27" s="100">
        <v>14</v>
      </c>
      <c r="W27" s="100">
        <v>5980.8</v>
      </c>
      <c r="X27" s="100">
        <v>17</v>
      </c>
      <c r="Y27" s="100">
        <v>7262.4</v>
      </c>
      <c r="Z27" s="100">
        <v>18</v>
      </c>
      <c r="AA27" s="100">
        <v>7689.5999999999995</v>
      </c>
      <c r="AB27" s="100">
        <v>15</v>
      </c>
      <c r="AC27" s="100">
        <v>6408</v>
      </c>
      <c r="AD27" s="100">
        <v>11</v>
      </c>
      <c r="AE27" s="100">
        <v>4699.2</v>
      </c>
      <c r="AF27" s="100">
        <v>21</v>
      </c>
      <c r="AG27" s="100">
        <v>8971.1999999999989</v>
      </c>
      <c r="AH27" s="100">
        <v>15</v>
      </c>
      <c r="AI27" s="100">
        <v>6408</v>
      </c>
      <c r="AJ27" s="100">
        <v>8.1073100711675288</v>
      </c>
      <c r="AK27" s="100">
        <v>3463.4428624027682</v>
      </c>
      <c r="AL27" s="100">
        <v>13</v>
      </c>
      <c r="AM27" s="100">
        <v>5553.5999999999995</v>
      </c>
      <c r="AN27" s="100">
        <v>14.553755051336385</v>
      </c>
      <c r="AO27" s="100">
        <v>6217.3641579309033</v>
      </c>
      <c r="AP27" s="100">
        <v>18</v>
      </c>
      <c r="AQ27" s="100">
        <v>7689.5999999999995</v>
      </c>
      <c r="AR27" s="100">
        <v>15</v>
      </c>
      <c r="AS27" s="100">
        <v>6408</v>
      </c>
      <c r="AT27" s="100">
        <v>14.009707402619656</v>
      </c>
      <c r="AU27" s="100">
        <v>5984.9470023991171</v>
      </c>
      <c r="AV27" s="100">
        <v>11</v>
      </c>
      <c r="AW27" s="100">
        <v>4699.2</v>
      </c>
      <c r="AX27" s="100">
        <v>19</v>
      </c>
      <c r="AY27" s="100">
        <v>8116.8</v>
      </c>
      <c r="AZ27" s="100">
        <v>21</v>
      </c>
      <c r="BA27" s="100">
        <v>8971.1999999999989</v>
      </c>
      <c r="BB27" s="100">
        <v>21</v>
      </c>
      <c r="BC27" s="100">
        <v>8971.1999999999989</v>
      </c>
      <c r="BD27" s="100">
        <v>13</v>
      </c>
      <c r="BE27" s="100">
        <v>5553.5999999999995</v>
      </c>
      <c r="BF27" s="100">
        <v>19</v>
      </c>
      <c r="BG27" s="100">
        <v>8116.8</v>
      </c>
      <c r="BH27" s="100">
        <v>14.178243144542622</v>
      </c>
      <c r="BI27" s="100">
        <v>6056.9454713486075</v>
      </c>
      <c r="BJ27" s="100">
        <v>0</v>
      </c>
      <c r="BK27" s="100">
        <v>0</v>
      </c>
      <c r="BL27" s="100">
        <v>15</v>
      </c>
      <c r="BM27" s="100">
        <v>6408</v>
      </c>
      <c r="BN27" s="100">
        <v>19</v>
      </c>
      <c r="BO27" s="100">
        <v>8116.8</v>
      </c>
      <c r="BP27" s="100">
        <v>15.97506898796953</v>
      </c>
      <c r="BQ27" s="100">
        <v>6824.5494716605835</v>
      </c>
      <c r="BR27" s="100">
        <v>6.1317088574066343</v>
      </c>
      <c r="BS27" s="100">
        <v>2619.4660238841143</v>
      </c>
      <c r="BT27" s="100">
        <v>17</v>
      </c>
      <c r="BU27" s="100">
        <v>7262.4</v>
      </c>
      <c r="BV27" s="100">
        <v>17</v>
      </c>
      <c r="BW27" s="100">
        <v>7262.4</v>
      </c>
      <c r="BX27" s="100">
        <v>15</v>
      </c>
      <c r="BY27" s="100">
        <v>6408</v>
      </c>
      <c r="BZ27" s="100">
        <v>23</v>
      </c>
      <c r="CA27" s="100">
        <v>9825.6</v>
      </c>
      <c r="CB27" s="100">
        <v>17</v>
      </c>
      <c r="CC27" s="100">
        <v>7262.4</v>
      </c>
      <c r="CD27" s="100">
        <v>21.629540271741657</v>
      </c>
      <c r="CE27" s="100">
        <v>9240.1396040880354</v>
      </c>
      <c r="CF27" s="100">
        <v>17</v>
      </c>
      <c r="CG27" s="100">
        <v>7262.4</v>
      </c>
      <c r="CH27" s="100">
        <v>15</v>
      </c>
      <c r="CI27" s="100">
        <v>6408</v>
      </c>
      <c r="CJ27" s="100">
        <v>19</v>
      </c>
      <c r="CK27" s="100">
        <v>8116.8</v>
      </c>
      <c r="CL27" s="100">
        <v>7.9545346335074001</v>
      </c>
      <c r="CM27" s="100">
        <v>3398.1771954343612</v>
      </c>
      <c r="CN27" s="100">
        <v>16</v>
      </c>
      <c r="CO27" s="100">
        <v>6835.2</v>
      </c>
      <c r="CP27" s="100">
        <v>12.181227457058522</v>
      </c>
      <c r="CQ27" s="100">
        <v>5203.820369655401</v>
      </c>
      <c r="CR27" s="100">
        <v>21</v>
      </c>
      <c r="CS27" s="100">
        <v>8971.1999999999989</v>
      </c>
      <c r="CT27" s="100">
        <v>13.103915035772317</v>
      </c>
      <c r="CU27" s="100">
        <v>5597.9925032819338</v>
      </c>
    </row>
    <row r="28" spans="2:99">
      <c r="C28" s="99" t="s">
        <v>194</v>
      </c>
      <c r="D28" s="100">
        <v>0.60449039164784013</v>
      </c>
      <c r="E28" s="100">
        <v>446.11390903610601</v>
      </c>
      <c r="F28" s="100">
        <v>0.29165654384069845</v>
      </c>
      <c r="G28" s="100">
        <v>215.24252935443545</v>
      </c>
      <c r="H28" s="100">
        <v>15.817861404030822</v>
      </c>
      <c r="I28" s="100">
        <v>11673.581716174747</v>
      </c>
      <c r="J28" s="100">
        <v>12</v>
      </c>
      <c r="K28" s="100">
        <v>8856</v>
      </c>
      <c r="L28" s="100">
        <v>7.5728293640775401</v>
      </c>
      <c r="M28" s="100">
        <v>5588.7480706892247</v>
      </c>
      <c r="N28" s="100">
        <v>13.693838659443722</v>
      </c>
      <c r="O28" s="100">
        <v>10106.052930669466</v>
      </c>
      <c r="P28" s="100">
        <v>13.277069656765001</v>
      </c>
      <c r="Q28" s="100">
        <v>9798.4774066925711</v>
      </c>
      <c r="R28" s="100">
        <v>7.5003352311007321</v>
      </c>
      <c r="S28" s="100">
        <v>5535.24740055234</v>
      </c>
      <c r="T28" s="100">
        <v>15.449229959092866</v>
      </c>
      <c r="U28" s="100">
        <v>11401.531709810535</v>
      </c>
      <c r="V28" s="100">
        <v>14</v>
      </c>
      <c r="W28" s="100">
        <v>10332</v>
      </c>
      <c r="X28" s="100">
        <v>17</v>
      </c>
      <c r="Y28" s="100">
        <v>12546</v>
      </c>
      <c r="Z28" s="100">
        <v>17</v>
      </c>
      <c r="AA28" s="100">
        <v>12546</v>
      </c>
      <c r="AB28" s="100">
        <v>18</v>
      </c>
      <c r="AC28" s="100">
        <v>13284</v>
      </c>
      <c r="AD28" s="100">
        <v>10</v>
      </c>
      <c r="AE28" s="100">
        <v>7380</v>
      </c>
      <c r="AF28" s="100">
        <v>19</v>
      </c>
      <c r="AG28" s="100">
        <v>14022</v>
      </c>
      <c r="AH28" s="100">
        <v>15</v>
      </c>
      <c r="AI28" s="100">
        <v>11070</v>
      </c>
      <c r="AJ28" s="100">
        <v>6.6332536945916134</v>
      </c>
      <c r="AK28" s="100">
        <v>4895.3412266086107</v>
      </c>
      <c r="AL28" s="100">
        <v>12</v>
      </c>
      <c r="AM28" s="100">
        <v>8856</v>
      </c>
      <c r="AN28" s="100">
        <v>15.36229699863285</v>
      </c>
      <c r="AO28" s="100">
        <v>11337.375184991044</v>
      </c>
      <c r="AP28" s="100">
        <v>16</v>
      </c>
      <c r="AQ28" s="100">
        <v>11808</v>
      </c>
      <c r="AR28" s="100">
        <v>12</v>
      </c>
      <c r="AS28" s="100">
        <v>8856</v>
      </c>
      <c r="AT28" s="100">
        <v>14.009707402619656</v>
      </c>
      <c r="AU28" s="100">
        <v>10339.164063133307</v>
      </c>
      <c r="AV28" s="100">
        <v>12</v>
      </c>
      <c r="AW28" s="100">
        <v>8856</v>
      </c>
      <c r="AX28" s="100">
        <v>18</v>
      </c>
      <c r="AY28" s="100">
        <v>13284</v>
      </c>
      <c r="AZ28" s="100">
        <v>20</v>
      </c>
      <c r="BA28" s="100">
        <v>14760</v>
      </c>
      <c r="BB28" s="100">
        <v>22</v>
      </c>
      <c r="BC28" s="100">
        <v>16236</v>
      </c>
      <c r="BD28" s="100">
        <v>11</v>
      </c>
      <c r="BE28" s="100">
        <v>8118</v>
      </c>
      <c r="BF28" s="100">
        <v>18</v>
      </c>
      <c r="BG28" s="100">
        <v>13284</v>
      </c>
      <c r="BH28" s="100">
        <v>13.292102948008706</v>
      </c>
      <c r="BI28" s="100">
        <v>9809.5719756304243</v>
      </c>
      <c r="BJ28" s="100">
        <v>0</v>
      </c>
      <c r="BK28" s="100">
        <v>0</v>
      </c>
      <c r="BL28" s="100">
        <v>14</v>
      </c>
      <c r="BM28" s="100">
        <v>10332</v>
      </c>
      <c r="BN28" s="100">
        <v>19</v>
      </c>
      <c r="BO28" s="100">
        <v>14022</v>
      </c>
      <c r="BP28" s="100">
        <v>16.773822437368008</v>
      </c>
      <c r="BQ28" s="100">
        <v>12379.080958777589</v>
      </c>
      <c r="BR28" s="100">
        <v>5.6207331192894143</v>
      </c>
      <c r="BS28" s="100">
        <v>4148.1010420355879</v>
      </c>
      <c r="BT28" s="100">
        <v>19</v>
      </c>
      <c r="BU28" s="100">
        <v>14022</v>
      </c>
      <c r="BV28" s="100">
        <v>15</v>
      </c>
      <c r="BW28" s="100">
        <v>11070</v>
      </c>
      <c r="BX28" s="100">
        <v>16</v>
      </c>
      <c r="BY28" s="100">
        <v>11808</v>
      </c>
      <c r="BZ28" s="100">
        <v>23</v>
      </c>
      <c r="CA28" s="100">
        <v>16974</v>
      </c>
      <c r="CB28" s="100">
        <v>16</v>
      </c>
      <c r="CC28" s="100">
        <v>11808</v>
      </c>
      <c r="CD28" s="100">
        <v>19.748710682894554</v>
      </c>
      <c r="CE28" s="100">
        <v>14574.548483976181</v>
      </c>
      <c r="CF28" s="100">
        <v>14</v>
      </c>
      <c r="CG28" s="100">
        <v>10332</v>
      </c>
      <c r="CH28" s="100">
        <v>14</v>
      </c>
      <c r="CI28" s="100">
        <v>10332</v>
      </c>
      <c r="CJ28" s="100">
        <v>19</v>
      </c>
      <c r="CK28" s="100">
        <v>14022</v>
      </c>
      <c r="CL28" s="100">
        <v>7.0187070295653546</v>
      </c>
      <c r="CM28" s="100">
        <v>5179.8057878192321</v>
      </c>
      <c r="CN28" s="100">
        <v>14</v>
      </c>
      <c r="CO28" s="100">
        <v>10332</v>
      </c>
      <c r="CP28" s="100">
        <v>12.181227457058522</v>
      </c>
      <c r="CQ28" s="100">
        <v>8989.7458633091901</v>
      </c>
      <c r="CR28" s="100">
        <v>19</v>
      </c>
      <c r="CS28" s="100">
        <v>14022</v>
      </c>
      <c r="CT28" s="100">
        <v>11.562277972740281</v>
      </c>
      <c r="CU28" s="100">
        <v>8532.9611438823267</v>
      </c>
    </row>
    <row r="29" spans="2:99">
      <c r="C29" s="99" t="s">
        <v>195</v>
      </c>
      <c r="D29" s="100">
        <v>0.56670974216985015</v>
      </c>
      <c r="E29" s="100">
        <v>191.77457675027728</v>
      </c>
      <c r="F29" s="100">
        <v>0.31817077509894376</v>
      </c>
      <c r="G29" s="100">
        <v>107.66899029348257</v>
      </c>
      <c r="H29" s="100">
        <v>15.817861404030822</v>
      </c>
      <c r="I29" s="100">
        <v>5352.76429912403</v>
      </c>
      <c r="J29" s="100">
        <v>14</v>
      </c>
      <c r="K29" s="100">
        <v>4737.5999999999995</v>
      </c>
      <c r="L29" s="100">
        <v>7.5728293640775401</v>
      </c>
      <c r="M29" s="100">
        <v>2562.6454568038394</v>
      </c>
      <c r="N29" s="100">
        <v>13.693838659443722</v>
      </c>
      <c r="O29" s="100">
        <v>4633.9950023557549</v>
      </c>
      <c r="P29" s="100">
        <v>12.391931679647334</v>
      </c>
      <c r="Q29" s="100">
        <v>4193.4296803926572</v>
      </c>
      <c r="R29" s="100">
        <v>8.1253631670257924</v>
      </c>
      <c r="S29" s="100">
        <v>2749.622895721528</v>
      </c>
      <c r="T29" s="100">
        <v>13.732648852526992</v>
      </c>
      <c r="U29" s="100">
        <v>4647.1283716951339</v>
      </c>
      <c r="V29" s="100">
        <v>14</v>
      </c>
      <c r="W29" s="100">
        <v>4737.5999999999995</v>
      </c>
      <c r="X29" s="100">
        <v>17</v>
      </c>
      <c r="Y29" s="100">
        <v>5752.7999999999993</v>
      </c>
      <c r="Z29" s="100">
        <v>16</v>
      </c>
      <c r="AA29" s="100">
        <v>5414.4</v>
      </c>
      <c r="AB29" s="100">
        <v>18</v>
      </c>
      <c r="AC29" s="100">
        <v>6091.2</v>
      </c>
      <c r="AD29" s="100">
        <v>10</v>
      </c>
      <c r="AE29" s="100">
        <v>3384</v>
      </c>
      <c r="AF29" s="100">
        <v>19</v>
      </c>
      <c r="AG29" s="100">
        <v>6429.5999999999995</v>
      </c>
      <c r="AH29" s="100">
        <v>14</v>
      </c>
      <c r="AI29" s="100">
        <v>4737.5999999999995</v>
      </c>
      <c r="AJ29" s="100">
        <v>7.7387959770235488</v>
      </c>
      <c r="AK29" s="100">
        <v>2618.8085586247689</v>
      </c>
      <c r="AL29" s="100">
        <v>11</v>
      </c>
      <c r="AM29" s="100">
        <v>3722.3999999999996</v>
      </c>
      <c r="AN29" s="100">
        <v>16.170838945929315</v>
      </c>
      <c r="AO29" s="100">
        <v>5472.2118993024797</v>
      </c>
      <c r="AP29" s="100">
        <v>16</v>
      </c>
      <c r="AQ29" s="100">
        <v>5414.4</v>
      </c>
      <c r="AR29" s="100">
        <v>15</v>
      </c>
      <c r="AS29" s="100">
        <v>5076</v>
      </c>
      <c r="AT29" s="100">
        <v>12.736097638745141</v>
      </c>
      <c r="AU29" s="100">
        <v>4309.8954409513553</v>
      </c>
      <c r="AV29" s="100">
        <v>12</v>
      </c>
      <c r="AW29" s="100">
        <v>4060.7999999999997</v>
      </c>
      <c r="AX29" s="100">
        <v>16</v>
      </c>
      <c r="AY29" s="100">
        <v>5414.4</v>
      </c>
      <c r="AZ29" s="100">
        <v>20</v>
      </c>
      <c r="BA29" s="100">
        <v>6768</v>
      </c>
      <c r="BB29" s="100">
        <v>22</v>
      </c>
      <c r="BC29" s="100">
        <v>7444.7999999999993</v>
      </c>
      <c r="BD29" s="100">
        <v>11</v>
      </c>
      <c r="BE29" s="100">
        <v>3722.3999999999996</v>
      </c>
      <c r="BF29" s="100">
        <v>19</v>
      </c>
      <c r="BG29" s="100">
        <v>6429.5999999999995</v>
      </c>
      <c r="BH29" s="100">
        <v>12.405962751474792</v>
      </c>
      <c r="BI29" s="100">
        <v>4198.177795099069</v>
      </c>
      <c r="BJ29" s="100">
        <v>0</v>
      </c>
      <c r="BK29" s="100">
        <v>0</v>
      </c>
      <c r="BL29" s="100">
        <v>16</v>
      </c>
      <c r="BM29" s="100">
        <v>5414.4</v>
      </c>
      <c r="BN29" s="100">
        <v>16</v>
      </c>
      <c r="BO29" s="100">
        <v>5414.4</v>
      </c>
      <c r="BP29" s="100">
        <v>18.371329336164958</v>
      </c>
      <c r="BQ29" s="100">
        <v>6216.8578473582211</v>
      </c>
      <c r="BR29" s="100">
        <v>5.6207331192894143</v>
      </c>
      <c r="BS29" s="100">
        <v>1902.0560875675376</v>
      </c>
      <c r="BT29" s="100">
        <v>17</v>
      </c>
      <c r="BU29" s="100">
        <v>5752.7999999999993</v>
      </c>
      <c r="BV29" s="100">
        <v>18</v>
      </c>
      <c r="BW29" s="100">
        <v>6091.2</v>
      </c>
      <c r="BX29" s="100">
        <v>17</v>
      </c>
      <c r="BY29" s="100">
        <v>5752.7999999999993</v>
      </c>
      <c r="BZ29" s="100">
        <v>20</v>
      </c>
      <c r="CA29" s="100">
        <v>6768</v>
      </c>
      <c r="CB29" s="100">
        <v>19</v>
      </c>
      <c r="CC29" s="100">
        <v>6429.5999999999995</v>
      </c>
      <c r="CD29" s="100">
        <v>21.629540271741657</v>
      </c>
      <c r="CE29" s="100">
        <v>7319.4364279573765</v>
      </c>
      <c r="CF29" s="100">
        <v>17</v>
      </c>
      <c r="CG29" s="100">
        <v>5752.7999999999993</v>
      </c>
      <c r="CH29" s="100">
        <v>15</v>
      </c>
      <c r="CI29" s="100">
        <v>5076</v>
      </c>
      <c r="CJ29" s="100">
        <v>20</v>
      </c>
      <c r="CK29" s="100">
        <v>6768</v>
      </c>
      <c r="CL29" s="100">
        <v>8.4224484354784241</v>
      </c>
      <c r="CM29" s="100">
        <v>2850.1565505658987</v>
      </c>
      <c r="CN29" s="100">
        <v>15</v>
      </c>
      <c r="CO29" s="100">
        <v>5076</v>
      </c>
      <c r="CP29" s="100">
        <v>12.181227457058522</v>
      </c>
      <c r="CQ29" s="100">
        <v>4122.127371468604</v>
      </c>
      <c r="CR29" s="100">
        <v>21</v>
      </c>
      <c r="CS29" s="100">
        <v>7106.4</v>
      </c>
      <c r="CT29" s="100">
        <v>11.562277972740281</v>
      </c>
      <c r="CU29" s="100">
        <v>3912.6748659753107</v>
      </c>
    </row>
    <row r="30" spans="2:99">
      <c r="C30" s="99" t="s">
        <v>196</v>
      </c>
      <c r="D30" s="100">
        <v>0.56670974216985015</v>
      </c>
      <c r="E30" s="100">
        <v>78.885996110043138</v>
      </c>
      <c r="F30" s="100">
        <v>0.26514231258245313</v>
      </c>
      <c r="G30" s="100">
        <v>36.907809911477472</v>
      </c>
      <c r="H30" s="100">
        <v>15.817861404030822</v>
      </c>
      <c r="I30" s="100">
        <v>2201.8463074410902</v>
      </c>
      <c r="J30" s="100">
        <v>13</v>
      </c>
      <c r="K30" s="100">
        <v>1809.6</v>
      </c>
      <c r="L30" s="100">
        <v>6.5631187822005348</v>
      </c>
      <c r="M30" s="100">
        <v>913.58613448231438</v>
      </c>
      <c r="N30" s="100">
        <v>15.51968381403622</v>
      </c>
      <c r="O30" s="100">
        <v>2160.3399869138416</v>
      </c>
      <c r="P30" s="100">
        <v>12.391931679647334</v>
      </c>
      <c r="Q30" s="100">
        <v>1724.9568898069087</v>
      </c>
      <c r="R30" s="100">
        <v>7.5003352311007321</v>
      </c>
      <c r="S30" s="100">
        <v>1044.0466641692219</v>
      </c>
      <c r="T30" s="100">
        <v>16.307520512375802</v>
      </c>
      <c r="U30" s="100">
        <v>2270.0068553227115</v>
      </c>
      <c r="V30" s="100">
        <v>14</v>
      </c>
      <c r="W30" s="100">
        <v>1948.7999999999997</v>
      </c>
      <c r="X30" s="100">
        <v>18</v>
      </c>
      <c r="Y30" s="100">
        <v>2505.6</v>
      </c>
      <c r="Z30" s="100">
        <v>16</v>
      </c>
      <c r="AA30" s="100">
        <v>2227.1999999999998</v>
      </c>
      <c r="AB30" s="100">
        <v>17</v>
      </c>
      <c r="AC30" s="100">
        <v>2366.3999999999996</v>
      </c>
      <c r="AD30" s="100">
        <v>10</v>
      </c>
      <c r="AE30" s="100">
        <v>1392</v>
      </c>
      <c r="AF30" s="100">
        <v>21</v>
      </c>
      <c r="AG30" s="100">
        <v>2923.2</v>
      </c>
      <c r="AH30" s="100">
        <v>16</v>
      </c>
      <c r="AI30" s="100">
        <v>2227.1999999999998</v>
      </c>
      <c r="AJ30" s="100">
        <v>7.7387959770235488</v>
      </c>
      <c r="AK30" s="100">
        <v>1077.2404000016779</v>
      </c>
      <c r="AL30" s="100">
        <v>12</v>
      </c>
      <c r="AM30" s="100">
        <v>1670.3999999999999</v>
      </c>
      <c r="AN30" s="100">
        <v>13.745213104039919</v>
      </c>
      <c r="AO30" s="100">
        <v>1913.3336640823566</v>
      </c>
      <c r="AP30" s="100">
        <v>15</v>
      </c>
      <c r="AQ30" s="100">
        <v>2088</v>
      </c>
      <c r="AR30" s="100">
        <v>14</v>
      </c>
      <c r="AS30" s="100">
        <v>1948.7999999999997</v>
      </c>
      <c r="AT30" s="100">
        <v>14.646512284556913</v>
      </c>
      <c r="AU30" s="100">
        <v>2038.794510010322</v>
      </c>
      <c r="AV30" s="100">
        <v>11</v>
      </c>
      <c r="AW30" s="100">
        <v>1531.1999999999998</v>
      </c>
      <c r="AX30" s="100">
        <v>20</v>
      </c>
      <c r="AY30" s="100">
        <v>2784</v>
      </c>
      <c r="AZ30" s="100">
        <v>19</v>
      </c>
      <c r="BA30" s="100">
        <v>2644.7999999999997</v>
      </c>
      <c r="BB30" s="100">
        <v>20</v>
      </c>
      <c r="BC30" s="100">
        <v>2784</v>
      </c>
      <c r="BD30" s="100">
        <v>12</v>
      </c>
      <c r="BE30" s="100">
        <v>1670.3999999999999</v>
      </c>
      <c r="BF30" s="100">
        <v>18</v>
      </c>
      <c r="BG30" s="100">
        <v>2505.6</v>
      </c>
      <c r="BH30" s="100">
        <v>13.292102948008706</v>
      </c>
      <c r="BI30" s="100">
        <v>1850.2607303628117</v>
      </c>
      <c r="BJ30" s="100">
        <v>0</v>
      </c>
      <c r="BK30" s="100">
        <v>0</v>
      </c>
      <c r="BL30" s="100">
        <v>14</v>
      </c>
      <c r="BM30" s="100">
        <v>1948.7999999999997</v>
      </c>
      <c r="BN30" s="100">
        <v>18</v>
      </c>
      <c r="BO30" s="100">
        <v>2505.6</v>
      </c>
      <c r="BP30" s="100">
        <v>15.97506898796953</v>
      </c>
      <c r="BQ30" s="100">
        <v>2223.7296031253586</v>
      </c>
      <c r="BR30" s="100">
        <v>6.1317088574066343</v>
      </c>
      <c r="BS30" s="100">
        <v>853.53387295100345</v>
      </c>
      <c r="BT30" s="100">
        <v>19</v>
      </c>
      <c r="BU30" s="100">
        <v>2644.7999999999997</v>
      </c>
      <c r="BV30" s="100">
        <v>17</v>
      </c>
      <c r="BW30" s="100">
        <v>2366.3999999999996</v>
      </c>
      <c r="BX30" s="100">
        <v>17</v>
      </c>
      <c r="BY30" s="100">
        <v>2366.3999999999996</v>
      </c>
      <c r="BZ30" s="100">
        <v>23</v>
      </c>
      <c r="CA30" s="100">
        <v>3201.6</v>
      </c>
      <c r="CB30" s="100">
        <v>19</v>
      </c>
      <c r="CC30" s="100">
        <v>2644.7999999999997</v>
      </c>
      <c r="CD30" s="100">
        <v>19.748710682894554</v>
      </c>
      <c r="CE30" s="100">
        <v>2749.0205270589217</v>
      </c>
      <c r="CF30" s="100">
        <v>14</v>
      </c>
      <c r="CG30" s="100">
        <v>1948.7999999999997</v>
      </c>
      <c r="CH30" s="100">
        <v>15</v>
      </c>
      <c r="CI30" s="100">
        <v>2088</v>
      </c>
      <c r="CJ30" s="100">
        <v>20</v>
      </c>
      <c r="CK30" s="100">
        <v>2784</v>
      </c>
      <c r="CL30" s="100">
        <v>7.4866208315363769</v>
      </c>
      <c r="CM30" s="100">
        <v>1042.1376197498637</v>
      </c>
      <c r="CN30" s="100">
        <v>16</v>
      </c>
      <c r="CO30" s="100">
        <v>2227.1999999999998</v>
      </c>
      <c r="CP30" s="100">
        <v>13.921402808066883</v>
      </c>
      <c r="CQ30" s="100">
        <v>1937.8592708829101</v>
      </c>
      <c r="CR30" s="100">
        <v>19</v>
      </c>
      <c r="CS30" s="100">
        <v>2644.7999999999997</v>
      </c>
      <c r="CT30" s="100">
        <v>13.103915035772317</v>
      </c>
      <c r="CU30" s="100">
        <v>1824.0649729795064</v>
      </c>
    </row>
    <row r="31" spans="2:99">
      <c r="C31" s="99" t="s">
        <v>197</v>
      </c>
      <c r="D31" s="100">
        <v>0.60449039164784013</v>
      </c>
      <c r="E31" s="100">
        <v>206.01032547358392</v>
      </c>
      <c r="F31" s="100">
        <v>0.26514231258245313</v>
      </c>
      <c r="G31" s="100">
        <v>90.360500128100028</v>
      </c>
      <c r="H31" s="100">
        <v>16.696631482032533</v>
      </c>
      <c r="I31" s="100">
        <v>5690.2120090766875</v>
      </c>
      <c r="J31" s="100">
        <v>14</v>
      </c>
      <c r="K31" s="100">
        <v>4771.2</v>
      </c>
      <c r="L31" s="100">
        <v>7.5728293640775401</v>
      </c>
      <c r="M31" s="100">
        <v>2580.8202472776256</v>
      </c>
      <c r="N31" s="100">
        <v>16.43260639133247</v>
      </c>
      <c r="O31" s="100">
        <v>5600.2322581661065</v>
      </c>
      <c r="P31" s="100">
        <v>12.391931679647334</v>
      </c>
      <c r="Q31" s="100">
        <v>4223.1703164238115</v>
      </c>
      <c r="R31" s="100">
        <v>8.7503911029508537</v>
      </c>
      <c r="S31" s="100">
        <v>2982.133287885651</v>
      </c>
      <c r="T31" s="100">
        <v>15.449229959092866</v>
      </c>
      <c r="U31" s="100">
        <v>5265.0975700588488</v>
      </c>
      <c r="V31" s="100">
        <v>16</v>
      </c>
      <c r="W31" s="100">
        <v>5452.8</v>
      </c>
      <c r="X31" s="100">
        <v>18</v>
      </c>
      <c r="Y31" s="100">
        <v>6134.4000000000005</v>
      </c>
      <c r="Z31" s="100">
        <v>16</v>
      </c>
      <c r="AA31" s="100">
        <v>5452.8</v>
      </c>
      <c r="AB31" s="100">
        <v>15</v>
      </c>
      <c r="AC31" s="100">
        <v>5112</v>
      </c>
      <c r="AD31" s="100">
        <v>10</v>
      </c>
      <c r="AE31" s="100">
        <v>3408</v>
      </c>
      <c r="AF31" s="100">
        <v>21</v>
      </c>
      <c r="AG31" s="100">
        <v>7156.8</v>
      </c>
      <c r="AH31" s="100">
        <v>15</v>
      </c>
      <c r="AI31" s="100">
        <v>5112</v>
      </c>
      <c r="AJ31" s="100">
        <v>8.1073100711675288</v>
      </c>
      <c r="AK31" s="100">
        <v>2762.9712722538939</v>
      </c>
      <c r="AL31" s="100">
        <v>11</v>
      </c>
      <c r="AM31" s="100">
        <v>3748.8</v>
      </c>
      <c r="AN31" s="100">
        <v>15.36229699863285</v>
      </c>
      <c r="AO31" s="100">
        <v>5235.4708171340753</v>
      </c>
      <c r="AP31" s="100">
        <v>15</v>
      </c>
      <c r="AQ31" s="100">
        <v>5112</v>
      </c>
      <c r="AR31" s="100">
        <v>15</v>
      </c>
      <c r="AS31" s="100">
        <v>5112</v>
      </c>
      <c r="AT31" s="100">
        <v>12.736097638745141</v>
      </c>
      <c r="AU31" s="100">
        <v>4340.4620752843439</v>
      </c>
      <c r="AV31" s="100">
        <v>11</v>
      </c>
      <c r="AW31" s="100">
        <v>3748.8</v>
      </c>
      <c r="AX31" s="100">
        <v>19</v>
      </c>
      <c r="AY31" s="100">
        <v>6475.2</v>
      </c>
      <c r="AZ31" s="100">
        <v>21</v>
      </c>
      <c r="BA31" s="100">
        <v>7156.8</v>
      </c>
      <c r="BB31" s="100">
        <v>21</v>
      </c>
      <c r="BC31" s="100">
        <v>7156.8</v>
      </c>
      <c r="BD31" s="100">
        <v>12</v>
      </c>
      <c r="BE31" s="100">
        <v>4089.6000000000004</v>
      </c>
      <c r="BF31" s="100">
        <v>17</v>
      </c>
      <c r="BG31" s="100">
        <v>5793.6</v>
      </c>
      <c r="BH31" s="100">
        <v>12.405962751474792</v>
      </c>
      <c r="BI31" s="100">
        <v>4227.9521057026095</v>
      </c>
      <c r="BJ31" s="100">
        <v>0</v>
      </c>
      <c r="BK31" s="100">
        <v>0</v>
      </c>
      <c r="BL31" s="100">
        <v>15</v>
      </c>
      <c r="BM31" s="100">
        <v>5112</v>
      </c>
      <c r="BN31" s="100">
        <v>16</v>
      </c>
      <c r="BO31" s="100">
        <v>5452.8</v>
      </c>
      <c r="BP31" s="100">
        <v>17.572575886766483</v>
      </c>
      <c r="BQ31" s="100">
        <v>5988.7338622100178</v>
      </c>
      <c r="BR31" s="100">
        <v>6.1317088574066343</v>
      </c>
      <c r="BS31" s="100">
        <v>2089.6863786041808</v>
      </c>
      <c r="BT31" s="100">
        <v>19</v>
      </c>
      <c r="BU31" s="100">
        <v>6475.2</v>
      </c>
      <c r="BV31" s="100">
        <v>17</v>
      </c>
      <c r="BW31" s="100">
        <v>5793.6</v>
      </c>
      <c r="BX31" s="100">
        <v>16</v>
      </c>
      <c r="BY31" s="100">
        <v>5452.8</v>
      </c>
      <c r="BZ31" s="100">
        <v>22</v>
      </c>
      <c r="CA31" s="100">
        <v>7497.6</v>
      </c>
      <c r="CB31" s="100">
        <v>19</v>
      </c>
      <c r="CC31" s="100">
        <v>6475.2</v>
      </c>
      <c r="CD31" s="100">
        <v>18.808295888471005</v>
      </c>
      <c r="CE31" s="100">
        <v>6409.8672387909182</v>
      </c>
      <c r="CF31" s="100">
        <v>16</v>
      </c>
      <c r="CG31" s="100">
        <v>5452.8</v>
      </c>
      <c r="CH31" s="100">
        <v>14</v>
      </c>
      <c r="CI31" s="100">
        <v>4771.2</v>
      </c>
      <c r="CJ31" s="100">
        <v>17</v>
      </c>
      <c r="CK31" s="100">
        <v>5793.6</v>
      </c>
      <c r="CL31" s="100">
        <v>7.9545346335074001</v>
      </c>
      <c r="CM31" s="100">
        <v>2710.905403099322</v>
      </c>
      <c r="CN31" s="100">
        <v>15</v>
      </c>
      <c r="CO31" s="100">
        <v>5112</v>
      </c>
      <c r="CP31" s="100">
        <v>11.311139781554342</v>
      </c>
      <c r="CQ31" s="100">
        <v>3854.8364375537199</v>
      </c>
      <c r="CR31" s="100">
        <v>18</v>
      </c>
      <c r="CS31" s="100">
        <v>6134.4000000000005</v>
      </c>
      <c r="CT31" s="100">
        <v>13.103915035772317</v>
      </c>
      <c r="CU31" s="100">
        <v>4465.8142441912059</v>
      </c>
    </row>
    <row r="32" spans="2:99">
      <c r="C32" s="99" t="s">
        <v>198</v>
      </c>
      <c r="D32" s="100">
        <v>0.52892909269186017</v>
      </c>
      <c r="E32" s="100">
        <v>444.30043786116255</v>
      </c>
      <c r="F32" s="100">
        <v>0.23862808132420787</v>
      </c>
      <c r="G32" s="100">
        <v>200.4475883123346</v>
      </c>
      <c r="H32" s="100">
        <v>15.817861404030822</v>
      </c>
      <c r="I32" s="100">
        <v>13287.00357938589</v>
      </c>
      <c r="J32" s="100">
        <v>14</v>
      </c>
      <c r="K32" s="100">
        <v>11760</v>
      </c>
      <c r="L32" s="100">
        <v>6.5631187822005348</v>
      </c>
      <c r="M32" s="100">
        <v>5513.0197770484492</v>
      </c>
      <c r="N32" s="100">
        <v>13.693838659443722</v>
      </c>
      <c r="O32" s="100">
        <v>11502.824473932727</v>
      </c>
      <c r="P32" s="100">
        <v>13.277069656765001</v>
      </c>
      <c r="Q32" s="100">
        <v>11152.738511682601</v>
      </c>
      <c r="R32" s="100">
        <v>8.1253631670257924</v>
      </c>
      <c r="S32" s="100">
        <v>6825.3050603016654</v>
      </c>
      <c r="T32" s="100">
        <v>14.590939405809928</v>
      </c>
      <c r="U32" s="100">
        <v>12256.38910088034</v>
      </c>
      <c r="V32" s="100">
        <v>15</v>
      </c>
      <c r="W32" s="100">
        <v>12600</v>
      </c>
      <c r="X32" s="100">
        <v>16</v>
      </c>
      <c r="Y32" s="100">
        <v>13440</v>
      </c>
      <c r="Z32" s="100">
        <v>18</v>
      </c>
      <c r="AA32" s="100">
        <v>15120</v>
      </c>
      <c r="AB32" s="100">
        <v>15</v>
      </c>
      <c r="AC32" s="100">
        <v>12600</v>
      </c>
      <c r="AD32" s="100">
        <v>10</v>
      </c>
      <c r="AE32" s="100">
        <v>8400</v>
      </c>
      <c r="AF32" s="100">
        <v>21</v>
      </c>
      <c r="AG32" s="100">
        <v>17640</v>
      </c>
      <c r="AH32" s="100">
        <v>13</v>
      </c>
      <c r="AI32" s="100">
        <v>10920</v>
      </c>
      <c r="AJ32" s="100">
        <v>7.7387959770235488</v>
      </c>
      <c r="AK32" s="100">
        <v>6500.5886206997811</v>
      </c>
      <c r="AL32" s="100">
        <v>12</v>
      </c>
      <c r="AM32" s="100">
        <v>10080</v>
      </c>
      <c r="AN32" s="100">
        <v>13.745213104039919</v>
      </c>
      <c r="AO32" s="100">
        <v>11545.979007393533</v>
      </c>
      <c r="AP32" s="100">
        <v>17</v>
      </c>
      <c r="AQ32" s="100">
        <v>14280</v>
      </c>
      <c r="AR32" s="100">
        <v>14</v>
      </c>
      <c r="AS32" s="100">
        <v>11760</v>
      </c>
      <c r="AT32" s="100">
        <v>14.009707402619656</v>
      </c>
      <c r="AU32" s="100">
        <v>11768.154218200511</v>
      </c>
      <c r="AV32" s="100">
        <v>11</v>
      </c>
      <c r="AW32" s="100">
        <v>9240</v>
      </c>
      <c r="AX32" s="100">
        <v>16</v>
      </c>
      <c r="AY32" s="100">
        <v>13440</v>
      </c>
      <c r="AZ32" s="100">
        <v>21</v>
      </c>
      <c r="BA32" s="100">
        <v>17640</v>
      </c>
      <c r="BB32" s="100">
        <v>21</v>
      </c>
      <c r="BC32" s="100">
        <v>17640</v>
      </c>
      <c r="BD32" s="100">
        <v>12</v>
      </c>
      <c r="BE32" s="100">
        <v>10080</v>
      </c>
      <c r="BF32" s="100">
        <v>18</v>
      </c>
      <c r="BG32" s="100">
        <v>15120</v>
      </c>
      <c r="BH32" s="100">
        <v>12.405962751474792</v>
      </c>
      <c r="BI32" s="100">
        <v>10421.008711238826</v>
      </c>
      <c r="BJ32" s="100">
        <v>0</v>
      </c>
      <c r="BK32" s="100">
        <v>0</v>
      </c>
      <c r="BL32" s="100">
        <v>15</v>
      </c>
      <c r="BM32" s="100">
        <v>12600</v>
      </c>
      <c r="BN32" s="100">
        <v>16</v>
      </c>
      <c r="BO32" s="100">
        <v>13440</v>
      </c>
      <c r="BP32" s="100">
        <v>17.572575886766483</v>
      </c>
      <c r="BQ32" s="100">
        <v>14760.963744883846</v>
      </c>
      <c r="BR32" s="100">
        <v>5.6207331192894143</v>
      </c>
      <c r="BS32" s="100">
        <v>4721.4158202031076</v>
      </c>
      <c r="BT32" s="100">
        <v>17</v>
      </c>
      <c r="BU32" s="100">
        <v>14280</v>
      </c>
      <c r="BV32" s="100">
        <v>16</v>
      </c>
      <c r="BW32" s="100">
        <v>13440</v>
      </c>
      <c r="BX32" s="100">
        <v>17</v>
      </c>
      <c r="BY32" s="100">
        <v>14280</v>
      </c>
      <c r="BZ32" s="100">
        <v>19</v>
      </c>
      <c r="CA32" s="100">
        <v>15960</v>
      </c>
      <c r="CB32" s="100">
        <v>19</v>
      </c>
      <c r="CC32" s="100">
        <v>15960</v>
      </c>
      <c r="CD32" s="100">
        <v>18.808295888471005</v>
      </c>
      <c r="CE32" s="100">
        <v>15798.968546315644</v>
      </c>
      <c r="CF32" s="100">
        <v>14</v>
      </c>
      <c r="CG32" s="100">
        <v>11760</v>
      </c>
      <c r="CH32" s="100">
        <v>16</v>
      </c>
      <c r="CI32" s="100">
        <v>13440</v>
      </c>
      <c r="CJ32" s="100">
        <v>19</v>
      </c>
      <c r="CK32" s="100">
        <v>15960</v>
      </c>
      <c r="CL32" s="100">
        <v>7.4866208315363769</v>
      </c>
      <c r="CM32" s="100">
        <v>6288.7614984905567</v>
      </c>
      <c r="CN32" s="100">
        <v>16</v>
      </c>
      <c r="CO32" s="100">
        <v>13440</v>
      </c>
      <c r="CP32" s="100">
        <v>13.051315132562703</v>
      </c>
      <c r="CQ32" s="100">
        <v>10963.104711352671</v>
      </c>
      <c r="CR32" s="100">
        <v>18</v>
      </c>
      <c r="CS32" s="100">
        <v>15120</v>
      </c>
      <c r="CT32" s="100">
        <v>11.562277972740281</v>
      </c>
      <c r="CU32" s="100">
        <v>9712.3134971018353</v>
      </c>
    </row>
    <row r="33" spans="2:99">
      <c r="C33" s="99" t="s">
        <v>199</v>
      </c>
      <c r="D33" s="100">
        <v>0.64227104112583022</v>
      </c>
      <c r="E33" s="100">
        <v>304.43647349364352</v>
      </c>
      <c r="F33" s="100">
        <v>0.29165654384069845</v>
      </c>
      <c r="G33" s="100">
        <v>138.24520178049107</v>
      </c>
      <c r="H33" s="100">
        <v>14.939091326029109</v>
      </c>
      <c r="I33" s="100">
        <v>7081.1292885377979</v>
      </c>
      <c r="J33" s="100">
        <v>13</v>
      </c>
      <c r="K33" s="100">
        <v>6162</v>
      </c>
      <c r="L33" s="100">
        <v>6.5631187822005348</v>
      </c>
      <c r="M33" s="100">
        <v>3110.9183027630534</v>
      </c>
      <c r="N33" s="100">
        <v>15.51968381403622</v>
      </c>
      <c r="O33" s="100">
        <v>7356.3301278531681</v>
      </c>
      <c r="P33" s="100">
        <v>11.506793702529668</v>
      </c>
      <c r="Q33" s="100">
        <v>5454.2202149990626</v>
      </c>
      <c r="R33" s="100">
        <v>7.5003352311007321</v>
      </c>
      <c r="S33" s="100">
        <v>3555.1588995417469</v>
      </c>
      <c r="T33" s="100">
        <v>14.590939405809928</v>
      </c>
      <c r="U33" s="100">
        <v>6916.1052783539062</v>
      </c>
      <c r="V33" s="100">
        <v>14</v>
      </c>
      <c r="W33" s="100">
        <v>6636</v>
      </c>
      <c r="X33" s="100">
        <v>18</v>
      </c>
      <c r="Y33" s="100">
        <v>8532</v>
      </c>
      <c r="Z33" s="100">
        <v>18</v>
      </c>
      <c r="AA33" s="100">
        <v>8532</v>
      </c>
      <c r="AB33" s="100">
        <v>17</v>
      </c>
      <c r="AC33" s="100">
        <v>8058</v>
      </c>
      <c r="AD33" s="100">
        <v>12</v>
      </c>
      <c r="AE33" s="100">
        <v>5688</v>
      </c>
      <c r="AF33" s="100">
        <v>18</v>
      </c>
      <c r="AG33" s="100">
        <v>8532</v>
      </c>
      <c r="AH33" s="100">
        <v>14</v>
      </c>
      <c r="AI33" s="100">
        <v>6636</v>
      </c>
      <c r="AJ33" s="100">
        <v>7.3702818828795706</v>
      </c>
      <c r="AK33" s="100">
        <v>3493.5136124849164</v>
      </c>
      <c r="AL33" s="100">
        <v>13</v>
      </c>
      <c r="AM33" s="100">
        <v>6162</v>
      </c>
      <c r="AN33" s="100">
        <v>13.745213104039919</v>
      </c>
      <c r="AO33" s="100">
        <v>6515.2310113149215</v>
      </c>
      <c r="AP33" s="100">
        <v>17</v>
      </c>
      <c r="AQ33" s="100">
        <v>8058</v>
      </c>
      <c r="AR33" s="100">
        <v>15</v>
      </c>
      <c r="AS33" s="100">
        <v>7110</v>
      </c>
      <c r="AT33" s="100">
        <v>14.009707402619656</v>
      </c>
      <c r="AU33" s="100">
        <v>6640.6013088417167</v>
      </c>
      <c r="AV33" s="100">
        <v>10</v>
      </c>
      <c r="AW33" s="100">
        <v>4740</v>
      </c>
      <c r="AX33" s="100">
        <v>18</v>
      </c>
      <c r="AY33" s="100">
        <v>8532</v>
      </c>
      <c r="AZ33" s="100">
        <v>21</v>
      </c>
      <c r="BA33" s="100">
        <v>9954</v>
      </c>
      <c r="BB33" s="100">
        <v>20</v>
      </c>
      <c r="BC33" s="100">
        <v>9480</v>
      </c>
      <c r="BD33" s="100">
        <v>12</v>
      </c>
      <c r="BE33" s="100">
        <v>5688</v>
      </c>
      <c r="BF33" s="100">
        <v>18</v>
      </c>
      <c r="BG33" s="100">
        <v>8532</v>
      </c>
      <c r="BH33" s="100">
        <v>15.064383341076534</v>
      </c>
      <c r="BI33" s="100">
        <v>7140.5177036702771</v>
      </c>
      <c r="BJ33" s="100">
        <v>0</v>
      </c>
      <c r="BK33" s="100">
        <v>0</v>
      </c>
      <c r="BL33" s="100">
        <v>14</v>
      </c>
      <c r="BM33" s="100">
        <v>6636</v>
      </c>
      <c r="BN33" s="100">
        <v>19</v>
      </c>
      <c r="BO33" s="100">
        <v>9006</v>
      </c>
      <c r="BP33" s="100">
        <v>15.97506898796953</v>
      </c>
      <c r="BQ33" s="100">
        <v>7572.1827002975579</v>
      </c>
      <c r="BR33" s="100">
        <v>5.6207331192894143</v>
      </c>
      <c r="BS33" s="100">
        <v>2664.2274985431823</v>
      </c>
      <c r="BT33" s="100">
        <v>19</v>
      </c>
      <c r="BU33" s="100">
        <v>9006</v>
      </c>
      <c r="BV33" s="100">
        <v>15</v>
      </c>
      <c r="BW33" s="100">
        <v>7110</v>
      </c>
      <c r="BX33" s="100">
        <v>15</v>
      </c>
      <c r="BY33" s="100">
        <v>7110</v>
      </c>
      <c r="BZ33" s="100">
        <v>23</v>
      </c>
      <c r="CA33" s="100">
        <v>10902</v>
      </c>
      <c r="CB33" s="100">
        <v>18</v>
      </c>
      <c r="CC33" s="100">
        <v>8532</v>
      </c>
      <c r="CD33" s="100">
        <v>21.629540271741657</v>
      </c>
      <c r="CE33" s="100">
        <v>10252.402088805546</v>
      </c>
      <c r="CF33" s="100">
        <v>14</v>
      </c>
      <c r="CG33" s="100">
        <v>6636</v>
      </c>
      <c r="CH33" s="100">
        <v>16</v>
      </c>
      <c r="CI33" s="100">
        <v>7584</v>
      </c>
      <c r="CJ33" s="100">
        <v>18</v>
      </c>
      <c r="CK33" s="100">
        <v>8532</v>
      </c>
      <c r="CL33" s="100">
        <v>7.0187070295653546</v>
      </c>
      <c r="CM33" s="100">
        <v>3326.8671320139779</v>
      </c>
      <c r="CN33" s="100">
        <v>16</v>
      </c>
      <c r="CO33" s="100">
        <v>7584</v>
      </c>
      <c r="CP33" s="100">
        <v>11.311139781554342</v>
      </c>
      <c r="CQ33" s="100">
        <v>5361.4802564567581</v>
      </c>
      <c r="CR33" s="100">
        <v>20</v>
      </c>
      <c r="CS33" s="100">
        <v>9480</v>
      </c>
      <c r="CT33" s="100">
        <v>11.562277972740281</v>
      </c>
      <c r="CU33" s="100">
        <v>5480.519759078893</v>
      </c>
    </row>
    <row r="34" spans="2:99">
      <c r="C34" s="99" t="s">
        <v>200</v>
      </c>
      <c r="D34" s="100">
        <v>0.64227104112583022</v>
      </c>
      <c r="E34" s="100">
        <v>352.22143895340525</v>
      </c>
      <c r="F34" s="100">
        <v>0.29165654384069845</v>
      </c>
      <c r="G34" s="100">
        <v>159.94444864223902</v>
      </c>
      <c r="H34" s="100">
        <v>16.696631482032533</v>
      </c>
      <c r="I34" s="100">
        <v>9156.4327047466413</v>
      </c>
      <c r="J34" s="100">
        <v>14</v>
      </c>
      <c r="K34" s="100">
        <v>7677.5999999999995</v>
      </c>
      <c r="L34" s="100">
        <v>7.5728293640775401</v>
      </c>
      <c r="M34" s="100">
        <v>4152.939623260123</v>
      </c>
      <c r="N34" s="100">
        <v>13.693838659443722</v>
      </c>
      <c r="O34" s="100">
        <v>7509.7011208389367</v>
      </c>
      <c r="P34" s="100">
        <v>11.506793702529668</v>
      </c>
      <c r="Q34" s="100">
        <v>6310.3256664672699</v>
      </c>
      <c r="R34" s="100">
        <v>6.87530729517567</v>
      </c>
      <c r="S34" s="100">
        <v>3770.4185206743373</v>
      </c>
      <c r="T34" s="100">
        <v>16.307520512375802</v>
      </c>
      <c r="U34" s="100">
        <v>8943.0442489868892</v>
      </c>
      <c r="V34" s="100">
        <v>14</v>
      </c>
      <c r="W34" s="100">
        <v>7677.5999999999995</v>
      </c>
      <c r="X34" s="100">
        <v>18</v>
      </c>
      <c r="Y34" s="100">
        <v>9871.1999999999989</v>
      </c>
      <c r="Z34" s="100">
        <v>18</v>
      </c>
      <c r="AA34" s="100">
        <v>9871.1999999999989</v>
      </c>
      <c r="AB34" s="100">
        <v>15</v>
      </c>
      <c r="AC34" s="100">
        <v>8226</v>
      </c>
      <c r="AD34" s="100">
        <v>10</v>
      </c>
      <c r="AE34" s="100">
        <v>5484</v>
      </c>
      <c r="AF34" s="100">
        <v>21</v>
      </c>
      <c r="AG34" s="100">
        <v>11516.4</v>
      </c>
      <c r="AH34" s="100">
        <v>14</v>
      </c>
      <c r="AI34" s="100">
        <v>7677.5999999999995</v>
      </c>
      <c r="AJ34" s="100">
        <v>7.7387959770235488</v>
      </c>
      <c r="AK34" s="100">
        <v>4243.9557137997144</v>
      </c>
      <c r="AL34" s="100">
        <v>12</v>
      </c>
      <c r="AM34" s="100">
        <v>6580.7999999999993</v>
      </c>
      <c r="AN34" s="100">
        <v>15.36229699863285</v>
      </c>
      <c r="AO34" s="100">
        <v>8424.6836740502549</v>
      </c>
      <c r="AP34" s="100">
        <v>17</v>
      </c>
      <c r="AQ34" s="100">
        <v>9322.7999999999993</v>
      </c>
      <c r="AR34" s="100">
        <v>13</v>
      </c>
      <c r="AS34" s="100">
        <v>7129.2</v>
      </c>
      <c r="AT34" s="100">
        <v>12.099292756807884</v>
      </c>
      <c r="AU34" s="100">
        <v>6635.2521478334429</v>
      </c>
      <c r="AV34" s="100">
        <v>11</v>
      </c>
      <c r="AW34" s="100">
        <v>6032.4</v>
      </c>
      <c r="AX34" s="100">
        <v>18</v>
      </c>
      <c r="AY34" s="100">
        <v>9871.1999999999989</v>
      </c>
      <c r="AZ34" s="100">
        <v>18</v>
      </c>
      <c r="BA34" s="100">
        <v>9871.1999999999989</v>
      </c>
      <c r="BB34" s="100">
        <v>19</v>
      </c>
      <c r="BC34" s="100">
        <v>10419.6</v>
      </c>
      <c r="BD34" s="100">
        <v>13</v>
      </c>
      <c r="BE34" s="100">
        <v>7129.2</v>
      </c>
      <c r="BF34" s="100">
        <v>18</v>
      </c>
      <c r="BG34" s="100">
        <v>9871.1999999999989</v>
      </c>
      <c r="BH34" s="100">
        <v>12.405962751474792</v>
      </c>
      <c r="BI34" s="100">
        <v>6803.4299729087761</v>
      </c>
      <c r="BJ34" s="100">
        <v>0</v>
      </c>
      <c r="BK34" s="100">
        <v>0</v>
      </c>
      <c r="BL34" s="100">
        <v>15</v>
      </c>
      <c r="BM34" s="100">
        <v>8226</v>
      </c>
      <c r="BN34" s="100">
        <v>18</v>
      </c>
      <c r="BO34" s="100">
        <v>9871.1999999999989</v>
      </c>
      <c r="BP34" s="100">
        <v>15.97506898796953</v>
      </c>
      <c r="BQ34" s="100">
        <v>8760.727833002491</v>
      </c>
      <c r="BR34" s="100">
        <v>6.1317088574066343</v>
      </c>
      <c r="BS34" s="100">
        <v>3362.6291374017983</v>
      </c>
      <c r="BT34" s="100">
        <v>19</v>
      </c>
      <c r="BU34" s="100">
        <v>10419.6</v>
      </c>
      <c r="BV34" s="100">
        <v>17</v>
      </c>
      <c r="BW34" s="100">
        <v>9322.7999999999993</v>
      </c>
      <c r="BX34" s="100">
        <v>17</v>
      </c>
      <c r="BY34" s="100">
        <v>9322.7999999999993</v>
      </c>
      <c r="BZ34" s="100">
        <v>20</v>
      </c>
      <c r="CA34" s="100">
        <v>10968</v>
      </c>
      <c r="CB34" s="100">
        <v>18</v>
      </c>
      <c r="CC34" s="100">
        <v>9871.1999999999989</v>
      </c>
      <c r="CD34" s="100">
        <v>18.808295888471005</v>
      </c>
      <c r="CE34" s="100">
        <v>10314.469465237498</v>
      </c>
      <c r="CF34" s="100">
        <v>15</v>
      </c>
      <c r="CG34" s="100">
        <v>8226</v>
      </c>
      <c r="CH34" s="100">
        <v>16</v>
      </c>
      <c r="CI34" s="100">
        <v>8774.4</v>
      </c>
      <c r="CJ34" s="100">
        <v>21</v>
      </c>
      <c r="CK34" s="100">
        <v>11516.4</v>
      </c>
      <c r="CL34" s="100">
        <v>7.4866208315363769</v>
      </c>
      <c r="CM34" s="100">
        <v>4105.6628640145491</v>
      </c>
      <c r="CN34" s="100">
        <v>14</v>
      </c>
      <c r="CO34" s="100">
        <v>7677.5999999999995</v>
      </c>
      <c r="CP34" s="100">
        <v>11.311139781554342</v>
      </c>
      <c r="CQ34" s="100">
        <v>6203.0290562044011</v>
      </c>
      <c r="CR34" s="100">
        <v>20</v>
      </c>
      <c r="CS34" s="100">
        <v>10968</v>
      </c>
      <c r="CT34" s="100">
        <v>11.562277972740281</v>
      </c>
      <c r="CU34" s="100">
        <v>6340.7532402507695</v>
      </c>
    </row>
    <row r="35" spans="2:99">
      <c r="C35" s="99" t="s">
        <v>201</v>
      </c>
      <c r="D35" s="100">
        <v>0.60449039164784013</v>
      </c>
      <c r="E35" s="100">
        <v>303.93776892053398</v>
      </c>
      <c r="F35" s="100">
        <v>0.26514231258245313</v>
      </c>
      <c r="G35" s="100">
        <v>133.3135547664574</v>
      </c>
      <c r="H35" s="100">
        <v>17.575401560034248</v>
      </c>
      <c r="I35" s="100">
        <v>8836.9119043852188</v>
      </c>
      <c r="J35" s="100">
        <v>14</v>
      </c>
      <c r="K35" s="100">
        <v>7039.1999999999989</v>
      </c>
      <c r="L35" s="100">
        <v>6.5631187822005348</v>
      </c>
      <c r="M35" s="100">
        <v>3299.9361236904283</v>
      </c>
      <c r="N35" s="100">
        <v>15.51968381403622</v>
      </c>
      <c r="O35" s="100">
        <v>7803.2970216974099</v>
      </c>
      <c r="P35" s="100">
        <v>12.391931679647334</v>
      </c>
      <c r="Q35" s="100">
        <v>6230.6632485266782</v>
      </c>
      <c r="R35" s="100">
        <v>8.1253631670257924</v>
      </c>
      <c r="S35" s="100">
        <v>4085.4326003805677</v>
      </c>
      <c r="T35" s="100">
        <v>15.449229959092866</v>
      </c>
      <c r="U35" s="100">
        <v>7767.8728234318914</v>
      </c>
      <c r="V35" s="100">
        <v>14</v>
      </c>
      <c r="W35" s="100">
        <v>7039.1999999999989</v>
      </c>
      <c r="X35" s="100">
        <v>16</v>
      </c>
      <c r="Y35" s="100">
        <v>8044.7999999999984</v>
      </c>
      <c r="Z35" s="100">
        <v>16</v>
      </c>
      <c r="AA35" s="100">
        <v>8044.7999999999984</v>
      </c>
      <c r="AB35" s="100">
        <v>16</v>
      </c>
      <c r="AC35" s="100">
        <v>8044.7999999999984</v>
      </c>
      <c r="AD35" s="100">
        <v>12</v>
      </c>
      <c r="AE35" s="100">
        <v>6033.5999999999985</v>
      </c>
      <c r="AF35" s="100">
        <v>19</v>
      </c>
      <c r="AG35" s="100">
        <v>9553.1999999999989</v>
      </c>
      <c r="AH35" s="100">
        <v>15</v>
      </c>
      <c r="AI35" s="100">
        <v>7541.9999999999982</v>
      </c>
      <c r="AJ35" s="100">
        <v>8.1073100711675288</v>
      </c>
      <c r="AK35" s="100">
        <v>4076.3555037830324</v>
      </c>
      <c r="AL35" s="100">
        <v>12</v>
      </c>
      <c r="AM35" s="100">
        <v>6033.5999999999985</v>
      </c>
      <c r="AN35" s="100">
        <v>16.170838945929315</v>
      </c>
      <c r="AO35" s="100">
        <v>8130.6978220132578</v>
      </c>
      <c r="AP35" s="100">
        <v>18</v>
      </c>
      <c r="AQ35" s="100">
        <v>9050.3999999999978</v>
      </c>
      <c r="AR35" s="100">
        <v>13</v>
      </c>
      <c r="AS35" s="100">
        <v>6536.3999999999987</v>
      </c>
      <c r="AT35" s="100">
        <v>14.009707402619656</v>
      </c>
      <c r="AU35" s="100">
        <v>7044.0808820371612</v>
      </c>
      <c r="AV35" s="100">
        <v>11</v>
      </c>
      <c r="AW35" s="100">
        <v>5530.7999999999993</v>
      </c>
      <c r="AX35" s="100">
        <v>18</v>
      </c>
      <c r="AY35" s="100">
        <v>9050.3999999999978</v>
      </c>
      <c r="AZ35" s="100">
        <v>19</v>
      </c>
      <c r="BA35" s="100">
        <v>9553.1999999999989</v>
      </c>
      <c r="BB35" s="100">
        <v>22</v>
      </c>
      <c r="BC35" s="100">
        <v>11061.599999999999</v>
      </c>
      <c r="BD35" s="100">
        <v>11</v>
      </c>
      <c r="BE35" s="100">
        <v>5530.7999999999993</v>
      </c>
      <c r="BF35" s="100">
        <v>19</v>
      </c>
      <c r="BG35" s="100">
        <v>9553.1999999999989</v>
      </c>
      <c r="BH35" s="100">
        <v>13.292102948008706</v>
      </c>
      <c r="BI35" s="100">
        <v>6683.2693622587758</v>
      </c>
      <c r="BJ35" s="100">
        <v>0</v>
      </c>
      <c r="BK35" s="100">
        <v>0</v>
      </c>
      <c r="BL35" s="100">
        <v>14</v>
      </c>
      <c r="BM35" s="100">
        <v>7039.1999999999989</v>
      </c>
      <c r="BN35" s="100">
        <v>19</v>
      </c>
      <c r="BO35" s="100">
        <v>9553.1999999999989</v>
      </c>
      <c r="BP35" s="100">
        <v>17.572575886766483</v>
      </c>
      <c r="BQ35" s="100">
        <v>8835.4911558661861</v>
      </c>
      <c r="BR35" s="100">
        <v>5.6207331192894143</v>
      </c>
      <c r="BS35" s="100">
        <v>2826.1046123787169</v>
      </c>
      <c r="BT35" s="100">
        <v>18</v>
      </c>
      <c r="BU35" s="100">
        <v>9050.3999999999978</v>
      </c>
      <c r="BV35" s="100">
        <v>15</v>
      </c>
      <c r="BW35" s="100">
        <v>7541.9999999999982</v>
      </c>
      <c r="BX35" s="100">
        <v>15</v>
      </c>
      <c r="BY35" s="100">
        <v>7541.9999999999982</v>
      </c>
      <c r="BZ35" s="100">
        <v>20</v>
      </c>
      <c r="CA35" s="100">
        <v>10055.999999999998</v>
      </c>
      <c r="CB35" s="100">
        <v>18</v>
      </c>
      <c r="CC35" s="100">
        <v>9050.3999999999978</v>
      </c>
      <c r="CD35" s="100">
        <v>21.629540271741657</v>
      </c>
      <c r="CE35" s="100">
        <v>10875.332848631702</v>
      </c>
      <c r="CF35" s="100">
        <v>17</v>
      </c>
      <c r="CG35" s="100">
        <v>8547.5999999999985</v>
      </c>
      <c r="CH35" s="100">
        <v>14</v>
      </c>
      <c r="CI35" s="100">
        <v>7039.1999999999989</v>
      </c>
      <c r="CJ35" s="100">
        <v>21</v>
      </c>
      <c r="CK35" s="100">
        <v>10558.799999999997</v>
      </c>
      <c r="CL35" s="100">
        <v>7.0187070295653546</v>
      </c>
      <c r="CM35" s="100">
        <v>3529.0058944654597</v>
      </c>
      <c r="CN35" s="100">
        <v>14</v>
      </c>
      <c r="CO35" s="100">
        <v>7039.1999999999989</v>
      </c>
      <c r="CP35" s="100">
        <v>13.051315132562703</v>
      </c>
      <c r="CQ35" s="100">
        <v>6562.2012486525255</v>
      </c>
      <c r="CR35" s="100">
        <v>18</v>
      </c>
      <c r="CS35" s="100">
        <v>9050.3999999999978</v>
      </c>
      <c r="CT35" s="100">
        <v>10.791459441224262</v>
      </c>
      <c r="CU35" s="100">
        <v>5425.9458070475575</v>
      </c>
    </row>
    <row r="36" spans="2:99">
      <c r="C36" s="99" t="s">
        <v>202</v>
      </c>
      <c r="D36" s="100">
        <v>0.56670974216985015</v>
      </c>
      <c r="E36" s="100">
        <v>431.15277184282195</v>
      </c>
      <c r="F36" s="100">
        <v>0.29165654384069845</v>
      </c>
      <c r="G36" s="100">
        <v>221.89229855400336</v>
      </c>
      <c r="H36" s="100">
        <v>15.817861404030822</v>
      </c>
      <c r="I36" s="100">
        <v>12034.228956186649</v>
      </c>
      <c r="J36" s="100">
        <v>14</v>
      </c>
      <c r="K36" s="100">
        <v>10651.199999999999</v>
      </c>
      <c r="L36" s="100">
        <v>6.5631187822005348</v>
      </c>
      <c r="M36" s="100">
        <v>4993.2207694981662</v>
      </c>
      <c r="N36" s="100">
        <v>13.693838659443722</v>
      </c>
      <c r="O36" s="100">
        <v>10418.272452104784</v>
      </c>
      <c r="P36" s="100">
        <v>13.277069656765001</v>
      </c>
      <c r="Q36" s="100">
        <v>10101.194594866813</v>
      </c>
      <c r="R36" s="100">
        <v>7.5003352311007321</v>
      </c>
      <c r="S36" s="100">
        <v>5706.2550438214366</v>
      </c>
      <c r="T36" s="100">
        <v>16.307520512375802</v>
      </c>
      <c r="U36" s="100">
        <v>12406.761605815509</v>
      </c>
      <c r="V36" s="100">
        <v>16</v>
      </c>
      <c r="W36" s="100">
        <v>12172.8</v>
      </c>
      <c r="X36" s="100">
        <v>17</v>
      </c>
      <c r="Y36" s="100">
        <v>12933.599999999999</v>
      </c>
      <c r="Z36" s="100">
        <v>18</v>
      </c>
      <c r="AA36" s="100">
        <v>13694.4</v>
      </c>
      <c r="AB36" s="100">
        <v>16</v>
      </c>
      <c r="AC36" s="100">
        <v>12172.8</v>
      </c>
      <c r="AD36" s="100">
        <v>11</v>
      </c>
      <c r="AE36" s="100">
        <v>8368.7999999999993</v>
      </c>
      <c r="AF36" s="100">
        <v>19</v>
      </c>
      <c r="AG36" s="100">
        <v>14455.199999999999</v>
      </c>
      <c r="AH36" s="100">
        <v>13</v>
      </c>
      <c r="AI36" s="100">
        <v>9890.4</v>
      </c>
      <c r="AJ36" s="100">
        <v>7.0017677887355925</v>
      </c>
      <c r="AK36" s="100">
        <v>5326.9449336700382</v>
      </c>
      <c r="AL36" s="100">
        <v>13</v>
      </c>
      <c r="AM36" s="100">
        <v>9890.4</v>
      </c>
      <c r="AN36" s="100">
        <v>15.36229699863285</v>
      </c>
      <c r="AO36" s="100">
        <v>11687.635556559871</v>
      </c>
      <c r="AP36" s="100">
        <v>18</v>
      </c>
      <c r="AQ36" s="100">
        <v>13694.4</v>
      </c>
      <c r="AR36" s="100">
        <v>14</v>
      </c>
      <c r="AS36" s="100">
        <v>10651.199999999999</v>
      </c>
      <c r="AT36" s="100">
        <v>12.099292756807884</v>
      </c>
      <c r="AU36" s="100">
        <v>9205.141929379437</v>
      </c>
      <c r="AV36" s="100">
        <v>11</v>
      </c>
      <c r="AW36" s="100">
        <v>8368.7999999999993</v>
      </c>
      <c r="AX36" s="100">
        <v>17</v>
      </c>
      <c r="AY36" s="100">
        <v>12933.599999999999</v>
      </c>
      <c r="AZ36" s="100">
        <v>19</v>
      </c>
      <c r="BA36" s="100">
        <v>14455.199999999999</v>
      </c>
      <c r="BB36" s="100">
        <v>19</v>
      </c>
      <c r="BC36" s="100">
        <v>14455.199999999999</v>
      </c>
      <c r="BD36" s="100">
        <v>12</v>
      </c>
      <c r="BE36" s="100">
        <v>9129.5999999999985</v>
      </c>
      <c r="BF36" s="100">
        <v>16</v>
      </c>
      <c r="BG36" s="100">
        <v>12172.8</v>
      </c>
      <c r="BH36" s="100">
        <v>12.405962751474792</v>
      </c>
      <c r="BI36" s="100">
        <v>9438.4564613220209</v>
      </c>
      <c r="BJ36" s="100">
        <v>0</v>
      </c>
      <c r="BK36" s="100">
        <v>0</v>
      </c>
      <c r="BL36" s="100">
        <v>14</v>
      </c>
      <c r="BM36" s="100">
        <v>10651.199999999999</v>
      </c>
      <c r="BN36" s="100">
        <v>19</v>
      </c>
      <c r="BO36" s="100">
        <v>14455.199999999999</v>
      </c>
      <c r="BP36" s="100">
        <v>18.371329336164958</v>
      </c>
      <c r="BQ36" s="100">
        <v>13976.907358954299</v>
      </c>
      <c r="BR36" s="100">
        <v>5.1097573811721952</v>
      </c>
      <c r="BS36" s="100">
        <v>3887.503415595806</v>
      </c>
      <c r="BT36" s="100">
        <v>18</v>
      </c>
      <c r="BU36" s="100">
        <v>13694.4</v>
      </c>
      <c r="BV36" s="100">
        <v>17</v>
      </c>
      <c r="BW36" s="100">
        <v>12933.599999999999</v>
      </c>
      <c r="BX36" s="100">
        <v>16</v>
      </c>
      <c r="BY36" s="100">
        <v>12172.8</v>
      </c>
      <c r="BZ36" s="100">
        <v>22</v>
      </c>
      <c r="CA36" s="100">
        <v>16737.599999999999</v>
      </c>
      <c r="CB36" s="100">
        <v>17</v>
      </c>
      <c r="CC36" s="100">
        <v>12933.599999999999</v>
      </c>
      <c r="CD36" s="100">
        <v>20.689125477318107</v>
      </c>
      <c r="CE36" s="100">
        <v>15740.286663143615</v>
      </c>
      <c r="CF36" s="100">
        <v>16</v>
      </c>
      <c r="CG36" s="100">
        <v>12172.8</v>
      </c>
      <c r="CH36" s="100">
        <v>15</v>
      </c>
      <c r="CI36" s="100">
        <v>11412</v>
      </c>
      <c r="CJ36" s="100">
        <v>18</v>
      </c>
      <c r="CK36" s="100">
        <v>13694.4</v>
      </c>
      <c r="CL36" s="100">
        <v>7.0187070295653546</v>
      </c>
      <c r="CM36" s="100">
        <v>5339.8323080933214</v>
      </c>
      <c r="CN36" s="100">
        <v>14</v>
      </c>
      <c r="CO36" s="100">
        <v>10651.199999999999</v>
      </c>
      <c r="CP36" s="100">
        <v>12.181227457058522</v>
      </c>
      <c r="CQ36" s="100">
        <v>9267.4778493301237</v>
      </c>
      <c r="CR36" s="100">
        <v>20</v>
      </c>
      <c r="CS36" s="100">
        <v>15216</v>
      </c>
      <c r="CT36" s="100">
        <v>12.333096504256298</v>
      </c>
      <c r="CU36" s="100">
        <v>9383.0198204381904</v>
      </c>
    </row>
    <row r="37" spans="2:99">
      <c r="B37" s="99" t="s">
        <v>128</v>
      </c>
      <c r="C37" s="99" t="s">
        <v>203</v>
      </c>
      <c r="D37" s="100">
        <v>0.41558714425789012</v>
      </c>
      <c r="E37" s="100">
        <v>357.57117891948866</v>
      </c>
      <c r="F37" s="100">
        <v>0.31817077509894376</v>
      </c>
      <c r="G37" s="100">
        <v>273.75413489513119</v>
      </c>
      <c r="H37" s="100">
        <v>10.545240936020548</v>
      </c>
      <c r="I37" s="100">
        <v>9073.12530135208</v>
      </c>
      <c r="J37" s="100">
        <v>11</v>
      </c>
      <c r="K37" s="100">
        <v>9464.4</v>
      </c>
      <c r="L37" s="100">
        <v>6.5631187822005348</v>
      </c>
      <c r="M37" s="100">
        <v>5646.9074002053403</v>
      </c>
      <c r="N37" s="100">
        <v>7.3033806183699861</v>
      </c>
      <c r="O37" s="100">
        <v>6283.8286840455357</v>
      </c>
      <c r="P37" s="100">
        <v>11.506793702529668</v>
      </c>
      <c r="Q37" s="100">
        <v>9900.4453016565258</v>
      </c>
      <c r="R37" s="100">
        <v>7.5003352311007321</v>
      </c>
      <c r="S37" s="100">
        <v>6453.2884328390701</v>
      </c>
      <c r="T37" s="100">
        <v>8.5829055328293702</v>
      </c>
      <c r="U37" s="100">
        <v>7384.7319204463902</v>
      </c>
      <c r="V37" s="100">
        <v>8</v>
      </c>
      <c r="W37" s="100">
        <v>6883.2</v>
      </c>
      <c r="X37" s="100">
        <v>11</v>
      </c>
      <c r="Y37" s="100">
        <v>9464.4</v>
      </c>
      <c r="Z37" s="100">
        <v>13</v>
      </c>
      <c r="AA37" s="100">
        <v>11185.199999999999</v>
      </c>
      <c r="AB37" s="100">
        <v>11</v>
      </c>
      <c r="AC37" s="100">
        <v>9464.4</v>
      </c>
      <c r="AD37" s="100">
        <v>8</v>
      </c>
      <c r="AE37" s="100">
        <v>6883.2</v>
      </c>
      <c r="AF37" s="100">
        <v>11</v>
      </c>
      <c r="AG37" s="100">
        <v>9464.4</v>
      </c>
      <c r="AH37" s="100">
        <v>10</v>
      </c>
      <c r="AI37" s="100">
        <v>8604</v>
      </c>
      <c r="AJ37" s="100">
        <v>3.3166268472958067</v>
      </c>
      <c r="AK37" s="100">
        <v>2853.6257394133122</v>
      </c>
      <c r="AL37" s="100">
        <v>12</v>
      </c>
      <c r="AM37" s="100">
        <v>10324.799999999999</v>
      </c>
      <c r="AN37" s="100">
        <v>10.511045314854055</v>
      </c>
      <c r="AO37" s="100">
        <v>9043.7033889004288</v>
      </c>
      <c r="AP37" s="100">
        <v>10</v>
      </c>
      <c r="AQ37" s="100">
        <v>8604</v>
      </c>
      <c r="AR37" s="100">
        <v>9</v>
      </c>
      <c r="AS37" s="100">
        <v>7743.5999999999995</v>
      </c>
      <c r="AT37" s="100">
        <v>8.9152683471215983</v>
      </c>
      <c r="AU37" s="100">
        <v>7670.6968858634227</v>
      </c>
      <c r="AV37" s="100">
        <v>9</v>
      </c>
      <c r="AW37" s="100">
        <v>7743.5999999999995</v>
      </c>
      <c r="AX37" s="100">
        <v>9</v>
      </c>
      <c r="AY37" s="100">
        <v>7743.5999999999995</v>
      </c>
      <c r="AZ37" s="100">
        <v>14</v>
      </c>
      <c r="BA37" s="100">
        <v>12045.6</v>
      </c>
      <c r="BB37" s="100">
        <v>10</v>
      </c>
      <c r="BC37" s="100">
        <v>8604</v>
      </c>
      <c r="BD37" s="100">
        <v>8</v>
      </c>
      <c r="BE37" s="100">
        <v>6883.2</v>
      </c>
      <c r="BF37" s="100">
        <v>14</v>
      </c>
      <c r="BG37" s="100">
        <v>12045.6</v>
      </c>
      <c r="BH37" s="100">
        <v>14.178243144542622</v>
      </c>
      <c r="BI37" s="100">
        <v>12198.960401564471</v>
      </c>
      <c r="BJ37" s="100">
        <v>0</v>
      </c>
      <c r="BK37" s="100">
        <v>0</v>
      </c>
      <c r="BL37" s="100">
        <v>12</v>
      </c>
      <c r="BM37" s="100">
        <v>10324.799999999999</v>
      </c>
      <c r="BN37" s="100">
        <v>15</v>
      </c>
      <c r="BO37" s="100">
        <v>12906</v>
      </c>
      <c r="BP37" s="100">
        <v>11.182548291578671</v>
      </c>
      <c r="BQ37" s="100">
        <v>9621.4645500742881</v>
      </c>
      <c r="BR37" s="100">
        <v>5.6207331192894143</v>
      </c>
      <c r="BS37" s="100">
        <v>4836.0787758366123</v>
      </c>
      <c r="BT37" s="100">
        <v>8</v>
      </c>
      <c r="BU37" s="100">
        <v>6883.2</v>
      </c>
      <c r="BV37" s="100">
        <v>12</v>
      </c>
      <c r="BW37" s="100">
        <v>10324.799999999999</v>
      </c>
      <c r="BX37" s="100">
        <v>10</v>
      </c>
      <c r="BY37" s="100">
        <v>8604</v>
      </c>
      <c r="BZ37" s="100">
        <v>7</v>
      </c>
      <c r="CA37" s="100">
        <v>6022.8</v>
      </c>
      <c r="CB37" s="100">
        <v>9</v>
      </c>
      <c r="CC37" s="100">
        <v>7743.5999999999995</v>
      </c>
      <c r="CD37" s="100">
        <v>12.225392327506153</v>
      </c>
      <c r="CE37" s="100">
        <v>10518.727558586294</v>
      </c>
      <c r="CF37" s="100">
        <v>9</v>
      </c>
      <c r="CG37" s="100">
        <v>7743.5999999999995</v>
      </c>
      <c r="CH37" s="100">
        <v>9</v>
      </c>
      <c r="CI37" s="100">
        <v>7743.5999999999995</v>
      </c>
      <c r="CJ37" s="100">
        <v>11</v>
      </c>
      <c r="CK37" s="100">
        <v>9464.4</v>
      </c>
      <c r="CL37" s="100">
        <v>7.0187070295653546</v>
      </c>
      <c r="CM37" s="100">
        <v>6038.8955282380311</v>
      </c>
      <c r="CN37" s="100">
        <v>9</v>
      </c>
      <c r="CO37" s="100">
        <v>7743.5999999999995</v>
      </c>
      <c r="CP37" s="100">
        <v>9.5709644305459811</v>
      </c>
      <c r="CQ37" s="100">
        <v>8234.8577960417624</v>
      </c>
      <c r="CR37" s="100">
        <v>14</v>
      </c>
      <c r="CS37" s="100">
        <v>12045.6</v>
      </c>
      <c r="CT37" s="100">
        <v>10.791459441224262</v>
      </c>
      <c r="CU37" s="100">
        <v>9284.9717032293556</v>
      </c>
    </row>
    <row r="38" spans="2:99">
      <c r="C38" s="99" t="s">
        <v>204</v>
      </c>
      <c r="D38" s="100">
        <v>0.41558714425789012</v>
      </c>
      <c r="E38" s="100">
        <v>516.15923316829958</v>
      </c>
      <c r="F38" s="100">
        <v>0.34468500635718918</v>
      </c>
      <c r="G38" s="100">
        <v>428.09877789562898</v>
      </c>
      <c r="H38" s="100">
        <v>11.424011014022259</v>
      </c>
      <c r="I38" s="100">
        <v>14188.621679415646</v>
      </c>
      <c r="J38" s="100">
        <v>11</v>
      </c>
      <c r="K38" s="100">
        <v>13662</v>
      </c>
      <c r="L38" s="100">
        <v>6.0582634912620321</v>
      </c>
      <c r="M38" s="100">
        <v>7524.3632561474442</v>
      </c>
      <c r="N38" s="100">
        <v>6.3904580410737379</v>
      </c>
      <c r="O38" s="100">
        <v>7936.9488870135829</v>
      </c>
      <c r="P38" s="100">
        <v>12.391931679647334</v>
      </c>
      <c r="Q38" s="100">
        <v>15390.779146121988</v>
      </c>
      <c r="R38" s="100">
        <v>7.5003352311007321</v>
      </c>
      <c r="S38" s="100">
        <v>9315.4163570271085</v>
      </c>
      <c r="T38" s="100">
        <v>7.7246149795464332</v>
      </c>
      <c r="U38" s="100">
        <v>9593.9718045966692</v>
      </c>
      <c r="V38" s="100">
        <v>7</v>
      </c>
      <c r="W38" s="100">
        <v>8694</v>
      </c>
      <c r="X38" s="100">
        <v>12</v>
      </c>
      <c r="Y38" s="100">
        <v>14904</v>
      </c>
      <c r="Z38" s="100">
        <v>12</v>
      </c>
      <c r="AA38" s="100">
        <v>14904</v>
      </c>
      <c r="AB38" s="100">
        <v>10</v>
      </c>
      <c r="AC38" s="100">
        <v>12420</v>
      </c>
      <c r="AD38" s="100">
        <v>8</v>
      </c>
      <c r="AE38" s="100">
        <v>9936</v>
      </c>
      <c r="AF38" s="100">
        <v>11</v>
      </c>
      <c r="AG38" s="100">
        <v>13662</v>
      </c>
      <c r="AH38" s="100">
        <v>10</v>
      </c>
      <c r="AI38" s="100">
        <v>12420</v>
      </c>
      <c r="AJ38" s="100">
        <v>3.3166268472958067</v>
      </c>
      <c r="AK38" s="100">
        <v>4119.250544341392</v>
      </c>
      <c r="AL38" s="100">
        <v>13</v>
      </c>
      <c r="AM38" s="100">
        <v>16146</v>
      </c>
      <c r="AN38" s="100">
        <v>8.8939614202611246</v>
      </c>
      <c r="AO38" s="100">
        <v>11046.300083964317</v>
      </c>
      <c r="AP38" s="100">
        <v>11</v>
      </c>
      <c r="AQ38" s="100">
        <v>13662</v>
      </c>
      <c r="AR38" s="100">
        <v>9</v>
      </c>
      <c r="AS38" s="100">
        <v>11178</v>
      </c>
      <c r="AT38" s="100">
        <v>8.2784634651843412</v>
      </c>
      <c r="AU38" s="100">
        <v>10281.851623758952</v>
      </c>
      <c r="AV38" s="100">
        <v>9</v>
      </c>
      <c r="AW38" s="100">
        <v>11178</v>
      </c>
      <c r="AX38" s="100">
        <v>8</v>
      </c>
      <c r="AY38" s="100">
        <v>9936</v>
      </c>
      <c r="AZ38" s="100">
        <v>14</v>
      </c>
      <c r="BA38" s="100">
        <v>17388</v>
      </c>
      <c r="BB38" s="100">
        <v>10</v>
      </c>
      <c r="BC38" s="100">
        <v>12420</v>
      </c>
      <c r="BD38" s="100">
        <v>8</v>
      </c>
      <c r="BE38" s="100">
        <v>9936</v>
      </c>
      <c r="BF38" s="100">
        <v>14</v>
      </c>
      <c r="BG38" s="100">
        <v>17388</v>
      </c>
      <c r="BH38" s="100">
        <v>12.405962751474792</v>
      </c>
      <c r="BI38" s="100">
        <v>15408.205737331693</v>
      </c>
      <c r="BJ38" s="100">
        <v>0</v>
      </c>
      <c r="BK38" s="100">
        <v>0</v>
      </c>
      <c r="BL38" s="100">
        <v>10</v>
      </c>
      <c r="BM38" s="100">
        <v>12420</v>
      </c>
      <c r="BN38" s="100">
        <v>13</v>
      </c>
      <c r="BO38" s="100">
        <v>16146</v>
      </c>
      <c r="BP38" s="100">
        <v>12.780055190375624</v>
      </c>
      <c r="BQ38" s="100">
        <v>15872.828546446524</v>
      </c>
      <c r="BR38" s="100">
        <v>6.1317088574066343</v>
      </c>
      <c r="BS38" s="100">
        <v>7615.5824008990394</v>
      </c>
      <c r="BT38" s="100">
        <v>8</v>
      </c>
      <c r="BU38" s="100">
        <v>9936</v>
      </c>
      <c r="BV38" s="100">
        <v>11</v>
      </c>
      <c r="BW38" s="100">
        <v>13662</v>
      </c>
      <c r="BX38" s="100">
        <v>10</v>
      </c>
      <c r="BY38" s="100">
        <v>12420</v>
      </c>
      <c r="BZ38" s="100">
        <v>7</v>
      </c>
      <c r="CA38" s="100">
        <v>8694</v>
      </c>
      <c r="CB38" s="100">
        <v>9</v>
      </c>
      <c r="CC38" s="100">
        <v>11178</v>
      </c>
      <c r="CD38" s="100">
        <v>12.225392327506153</v>
      </c>
      <c r="CE38" s="100">
        <v>15183.937270762643</v>
      </c>
      <c r="CF38" s="100">
        <v>8</v>
      </c>
      <c r="CG38" s="100">
        <v>9936</v>
      </c>
      <c r="CH38" s="100">
        <v>10</v>
      </c>
      <c r="CI38" s="100">
        <v>12420</v>
      </c>
      <c r="CJ38" s="100">
        <v>11</v>
      </c>
      <c r="CK38" s="100">
        <v>13662</v>
      </c>
      <c r="CL38" s="100">
        <v>6.5507932275943297</v>
      </c>
      <c r="CM38" s="100">
        <v>8136.0851886721575</v>
      </c>
      <c r="CN38" s="100">
        <v>9</v>
      </c>
      <c r="CO38" s="100">
        <v>11178</v>
      </c>
      <c r="CP38" s="100">
        <v>8.7008767550418025</v>
      </c>
      <c r="CQ38" s="100">
        <v>10806.488929761919</v>
      </c>
      <c r="CR38" s="100">
        <v>14</v>
      </c>
      <c r="CS38" s="100">
        <v>17388</v>
      </c>
      <c r="CT38" s="100">
        <v>10.791459441224262</v>
      </c>
      <c r="CU38" s="100">
        <v>13402.992626000534</v>
      </c>
    </row>
    <row r="39" spans="2:99">
      <c r="C39" s="99" t="s">
        <v>205</v>
      </c>
      <c r="D39" s="100">
        <v>0.37780649477990008</v>
      </c>
      <c r="E39" s="100">
        <v>537.69420337075383</v>
      </c>
      <c r="F39" s="100">
        <v>0.29165654384069845</v>
      </c>
      <c r="G39" s="100">
        <v>415.08559319408204</v>
      </c>
      <c r="H39" s="100">
        <v>11.424011014022259</v>
      </c>
      <c r="I39" s="100">
        <v>16258.652475156479</v>
      </c>
      <c r="J39" s="100">
        <v>10</v>
      </c>
      <c r="K39" s="100">
        <v>14232</v>
      </c>
      <c r="L39" s="100">
        <v>6.5631187822005348</v>
      </c>
      <c r="M39" s="100">
        <v>9340.6306508278012</v>
      </c>
      <c r="N39" s="100">
        <v>7.3033806183699861</v>
      </c>
      <c r="O39" s="100">
        <v>10394.171296064165</v>
      </c>
      <c r="P39" s="100">
        <v>12.391931679647334</v>
      </c>
      <c r="Q39" s="100">
        <v>17636.197166474085</v>
      </c>
      <c r="R39" s="100">
        <v>8.1253631670257924</v>
      </c>
      <c r="S39" s="100">
        <v>11564.016859311108</v>
      </c>
      <c r="T39" s="100">
        <v>8.5829055328293702</v>
      </c>
      <c r="U39" s="100">
        <v>12215.19115432276</v>
      </c>
      <c r="V39" s="100">
        <v>8</v>
      </c>
      <c r="W39" s="100">
        <v>11385.6</v>
      </c>
      <c r="X39" s="100">
        <v>12</v>
      </c>
      <c r="Y39" s="100">
        <v>17078.400000000001</v>
      </c>
      <c r="Z39" s="100">
        <v>14</v>
      </c>
      <c r="AA39" s="100">
        <v>19924.8</v>
      </c>
      <c r="AB39" s="100">
        <v>10</v>
      </c>
      <c r="AC39" s="100">
        <v>14232</v>
      </c>
      <c r="AD39" s="100">
        <v>8</v>
      </c>
      <c r="AE39" s="100">
        <v>11385.6</v>
      </c>
      <c r="AF39" s="100">
        <v>11</v>
      </c>
      <c r="AG39" s="100">
        <v>15655.2</v>
      </c>
      <c r="AH39" s="100">
        <v>10</v>
      </c>
      <c r="AI39" s="100">
        <v>14232</v>
      </c>
      <c r="AJ39" s="100">
        <v>3.3166268472958067</v>
      </c>
      <c r="AK39" s="100">
        <v>4720.2233290713921</v>
      </c>
      <c r="AL39" s="100">
        <v>13</v>
      </c>
      <c r="AM39" s="100">
        <v>18501.600000000002</v>
      </c>
      <c r="AN39" s="100">
        <v>10.511045314854055</v>
      </c>
      <c r="AO39" s="100">
        <v>14959.319692100291</v>
      </c>
      <c r="AP39" s="100">
        <v>9</v>
      </c>
      <c r="AQ39" s="100">
        <v>12808.800000000001</v>
      </c>
      <c r="AR39" s="100">
        <v>9</v>
      </c>
      <c r="AS39" s="100">
        <v>12808.800000000001</v>
      </c>
      <c r="AT39" s="100">
        <v>8.2784634651843412</v>
      </c>
      <c r="AU39" s="100">
        <v>11781.909203650355</v>
      </c>
      <c r="AV39" s="100">
        <v>9</v>
      </c>
      <c r="AW39" s="100">
        <v>12808.800000000001</v>
      </c>
      <c r="AX39" s="100">
        <v>10</v>
      </c>
      <c r="AY39" s="100">
        <v>14232</v>
      </c>
      <c r="AZ39" s="100">
        <v>12</v>
      </c>
      <c r="BA39" s="100">
        <v>17078.400000000001</v>
      </c>
      <c r="BB39" s="100">
        <v>9</v>
      </c>
      <c r="BC39" s="100">
        <v>12808.800000000001</v>
      </c>
      <c r="BD39" s="100">
        <v>7</v>
      </c>
      <c r="BE39" s="100">
        <v>9962.4</v>
      </c>
      <c r="BF39" s="100">
        <v>14</v>
      </c>
      <c r="BG39" s="100">
        <v>19924.8</v>
      </c>
      <c r="BH39" s="100">
        <v>12.405962751474792</v>
      </c>
      <c r="BI39" s="100">
        <v>17656.166187898925</v>
      </c>
      <c r="BJ39" s="100">
        <v>0</v>
      </c>
      <c r="BK39" s="100">
        <v>0</v>
      </c>
      <c r="BL39" s="100">
        <v>11</v>
      </c>
      <c r="BM39" s="100">
        <v>15655.2</v>
      </c>
      <c r="BN39" s="100">
        <v>15</v>
      </c>
      <c r="BO39" s="100">
        <v>21348</v>
      </c>
      <c r="BP39" s="100">
        <v>12.780055190375624</v>
      </c>
      <c r="BQ39" s="100">
        <v>18188.574546942589</v>
      </c>
      <c r="BR39" s="100">
        <v>5.1097573811721952</v>
      </c>
      <c r="BS39" s="100">
        <v>7272.2067048842682</v>
      </c>
      <c r="BT39" s="100">
        <v>8</v>
      </c>
      <c r="BU39" s="100">
        <v>11385.6</v>
      </c>
      <c r="BV39" s="100">
        <v>11</v>
      </c>
      <c r="BW39" s="100">
        <v>15655.2</v>
      </c>
      <c r="BX39" s="100">
        <v>10</v>
      </c>
      <c r="BY39" s="100">
        <v>14232</v>
      </c>
      <c r="BZ39" s="100">
        <v>7</v>
      </c>
      <c r="CA39" s="100">
        <v>9962.4</v>
      </c>
      <c r="CB39" s="100">
        <v>9</v>
      </c>
      <c r="CC39" s="100">
        <v>12808.800000000001</v>
      </c>
      <c r="CD39" s="100">
        <v>12.225392327506153</v>
      </c>
      <c r="CE39" s="100">
        <v>17399.178360506758</v>
      </c>
      <c r="CF39" s="100">
        <v>9</v>
      </c>
      <c r="CG39" s="100">
        <v>12808.800000000001</v>
      </c>
      <c r="CH39" s="100">
        <v>10</v>
      </c>
      <c r="CI39" s="100">
        <v>14232</v>
      </c>
      <c r="CJ39" s="100">
        <v>11</v>
      </c>
      <c r="CK39" s="100">
        <v>15655.2</v>
      </c>
      <c r="CL39" s="100">
        <v>6.0828794256233065</v>
      </c>
      <c r="CM39" s="100">
        <v>8657.1539985470899</v>
      </c>
      <c r="CN39" s="100">
        <v>9</v>
      </c>
      <c r="CO39" s="100">
        <v>12808.800000000001</v>
      </c>
      <c r="CP39" s="100">
        <v>8.7008767550418025</v>
      </c>
      <c r="CQ39" s="100">
        <v>12383.087797775494</v>
      </c>
      <c r="CR39" s="100">
        <v>12</v>
      </c>
      <c r="CS39" s="100">
        <v>17078.400000000001</v>
      </c>
      <c r="CT39" s="100">
        <v>10.791459441224262</v>
      </c>
      <c r="CU39" s="100">
        <v>15358.40507675037</v>
      </c>
    </row>
    <row r="40" spans="2:99">
      <c r="C40" s="99" t="s">
        <v>206</v>
      </c>
      <c r="D40" s="100">
        <v>0.41558714425789012</v>
      </c>
      <c r="E40" s="100">
        <v>301.21756215811871</v>
      </c>
      <c r="F40" s="100">
        <v>0.31817077509894376</v>
      </c>
      <c r="G40" s="100">
        <v>230.61017779171442</v>
      </c>
      <c r="H40" s="100">
        <v>11.424011014022259</v>
      </c>
      <c r="I40" s="100">
        <v>8280.1231829633325</v>
      </c>
      <c r="J40" s="100">
        <v>9</v>
      </c>
      <c r="K40" s="100">
        <v>6523.2</v>
      </c>
      <c r="L40" s="100">
        <v>6.5631187822005348</v>
      </c>
      <c r="M40" s="100">
        <v>4756.9484933389476</v>
      </c>
      <c r="N40" s="100">
        <v>7.3033806183699861</v>
      </c>
      <c r="O40" s="100">
        <v>5293.4902721945655</v>
      </c>
      <c r="P40" s="100">
        <v>11.506793702529668</v>
      </c>
      <c r="Q40" s="100">
        <v>8340.1240755935032</v>
      </c>
      <c r="R40" s="100">
        <v>7.5003352311007321</v>
      </c>
      <c r="S40" s="100">
        <v>5436.2429755018102</v>
      </c>
      <c r="T40" s="100">
        <v>7.7246149795464332</v>
      </c>
      <c r="U40" s="100">
        <v>5598.8009371752541</v>
      </c>
      <c r="V40" s="100">
        <v>8</v>
      </c>
      <c r="W40" s="100">
        <v>5798.4</v>
      </c>
      <c r="X40" s="100">
        <v>11</v>
      </c>
      <c r="Y40" s="100">
        <v>7972.7999999999993</v>
      </c>
      <c r="Z40" s="100">
        <v>14</v>
      </c>
      <c r="AA40" s="100">
        <v>10147.199999999999</v>
      </c>
      <c r="AB40" s="100">
        <v>12</v>
      </c>
      <c r="AC40" s="100">
        <v>8697.5999999999985</v>
      </c>
      <c r="AD40" s="100">
        <v>9</v>
      </c>
      <c r="AE40" s="100">
        <v>6523.2</v>
      </c>
      <c r="AF40" s="100">
        <v>12</v>
      </c>
      <c r="AG40" s="100">
        <v>8697.5999999999985</v>
      </c>
      <c r="AH40" s="100">
        <v>9</v>
      </c>
      <c r="AI40" s="100">
        <v>6523.2</v>
      </c>
      <c r="AJ40" s="100">
        <v>2.9481127531518281</v>
      </c>
      <c r="AK40" s="100">
        <v>2136.7921234844448</v>
      </c>
      <c r="AL40" s="100">
        <v>13</v>
      </c>
      <c r="AM40" s="100">
        <v>9422.4</v>
      </c>
      <c r="AN40" s="100">
        <v>10.511045314854055</v>
      </c>
      <c r="AO40" s="100">
        <v>7618.4056442062183</v>
      </c>
      <c r="AP40" s="100">
        <v>11</v>
      </c>
      <c r="AQ40" s="100">
        <v>7972.7999999999993</v>
      </c>
      <c r="AR40" s="100">
        <v>9</v>
      </c>
      <c r="AS40" s="100">
        <v>6523.2</v>
      </c>
      <c r="AT40" s="100">
        <v>8.2784634651843412</v>
      </c>
      <c r="AU40" s="100">
        <v>6000.2303195656104</v>
      </c>
      <c r="AV40" s="100">
        <v>9</v>
      </c>
      <c r="AW40" s="100">
        <v>6523.2</v>
      </c>
      <c r="AX40" s="100">
        <v>9</v>
      </c>
      <c r="AY40" s="100">
        <v>6523.2</v>
      </c>
      <c r="AZ40" s="100">
        <v>12</v>
      </c>
      <c r="BA40" s="100">
        <v>8697.5999999999985</v>
      </c>
      <c r="BB40" s="100">
        <v>9</v>
      </c>
      <c r="BC40" s="100">
        <v>6523.2</v>
      </c>
      <c r="BD40" s="100">
        <v>7</v>
      </c>
      <c r="BE40" s="100">
        <v>5073.5999999999995</v>
      </c>
      <c r="BF40" s="100">
        <v>15</v>
      </c>
      <c r="BG40" s="100">
        <v>10872</v>
      </c>
      <c r="BH40" s="100">
        <v>12.405962751474792</v>
      </c>
      <c r="BI40" s="100">
        <v>8991.8418022689293</v>
      </c>
      <c r="BJ40" s="100">
        <v>0</v>
      </c>
      <c r="BK40" s="100">
        <v>0</v>
      </c>
      <c r="BL40" s="100">
        <v>10</v>
      </c>
      <c r="BM40" s="100">
        <v>7248</v>
      </c>
      <c r="BN40" s="100">
        <v>14</v>
      </c>
      <c r="BO40" s="100">
        <v>10147.199999999999</v>
      </c>
      <c r="BP40" s="100">
        <v>11.981301740977147</v>
      </c>
      <c r="BQ40" s="100">
        <v>8684.0475018602356</v>
      </c>
      <c r="BR40" s="100">
        <v>6.1317088574066343</v>
      </c>
      <c r="BS40" s="100">
        <v>4444.2625798483286</v>
      </c>
      <c r="BT40" s="100">
        <v>9</v>
      </c>
      <c r="BU40" s="100">
        <v>6523.2</v>
      </c>
      <c r="BV40" s="100">
        <v>12</v>
      </c>
      <c r="BW40" s="100">
        <v>8697.5999999999985</v>
      </c>
      <c r="BX40" s="100">
        <v>11</v>
      </c>
      <c r="BY40" s="100">
        <v>7972.7999999999993</v>
      </c>
      <c r="BZ40" s="100">
        <v>8</v>
      </c>
      <c r="CA40" s="100">
        <v>5798.4</v>
      </c>
      <c r="CB40" s="100">
        <v>9</v>
      </c>
      <c r="CC40" s="100">
        <v>6523.2</v>
      </c>
      <c r="CD40" s="100">
        <v>12.225392327506153</v>
      </c>
      <c r="CE40" s="100">
        <v>8860.9643589764601</v>
      </c>
      <c r="CF40" s="100">
        <v>10</v>
      </c>
      <c r="CG40" s="100">
        <v>7248</v>
      </c>
      <c r="CH40" s="100">
        <v>10</v>
      </c>
      <c r="CI40" s="100">
        <v>7248</v>
      </c>
      <c r="CJ40" s="100">
        <v>13</v>
      </c>
      <c r="CK40" s="100">
        <v>9422.4</v>
      </c>
      <c r="CL40" s="100">
        <v>7.0187070295653546</v>
      </c>
      <c r="CM40" s="100">
        <v>5087.1588550289689</v>
      </c>
      <c r="CN40" s="100">
        <v>10</v>
      </c>
      <c r="CO40" s="100">
        <v>7248</v>
      </c>
      <c r="CP40" s="100">
        <v>9.5709644305459811</v>
      </c>
      <c r="CQ40" s="100">
        <v>6937.0350192597271</v>
      </c>
      <c r="CR40" s="100">
        <v>13</v>
      </c>
      <c r="CS40" s="100">
        <v>9422.4</v>
      </c>
      <c r="CT40" s="100">
        <v>10.020640909708243</v>
      </c>
      <c r="CU40" s="100">
        <v>7262.9605313565344</v>
      </c>
    </row>
    <row r="41" spans="2:99">
      <c r="C41" s="99" t="s">
        <v>207</v>
      </c>
      <c r="D41" s="100">
        <v>0.37780649477990008</v>
      </c>
      <c r="E41" s="100">
        <v>249.35228655473406</v>
      </c>
      <c r="F41" s="100">
        <v>0.31817077509894376</v>
      </c>
      <c r="G41" s="100">
        <v>209.99271156530287</v>
      </c>
      <c r="H41" s="100">
        <v>11.424011014022259</v>
      </c>
      <c r="I41" s="100">
        <v>7539.8472692546911</v>
      </c>
      <c r="J41" s="100">
        <v>11</v>
      </c>
      <c r="K41" s="100">
        <v>7260</v>
      </c>
      <c r="L41" s="100">
        <v>6.5631187822005348</v>
      </c>
      <c r="M41" s="100">
        <v>4331.6583962523528</v>
      </c>
      <c r="N41" s="100">
        <v>7.3033806183699861</v>
      </c>
      <c r="O41" s="100">
        <v>4820.2312081241907</v>
      </c>
      <c r="P41" s="100">
        <v>11.506793702529668</v>
      </c>
      <c r="Q41" s="100">
        <v>7594.4838436695809</v>
      </c>
      <c r="R41" s="100">
        <v>6.87530729517567</v>
      </c>
      <c r="S41" s="100">
        <v>4537.7028148159425</v>
      </c>
      <c r="T41" s="100">
        <v>7.7246149795464332</v>
      </c>
      <c r="U41" s="100">
        <v>5098.2458865006456</v>
      </c>
      <c r="V41" s="100">
        <v>8</v>
      </c>
      <c r="W41" s="100">
        <v>5280</v>
      </c>
      <c r="X41" s="100">
        <v>11</v>
      </c>
      <c r="Y41" s="100">
        <v>7260</v>
      </c>
      <c r="Z41" s="100">
        <v>14</v>
      </c>
      <c r="AA41" s="100">
        <v>9240</v>
      </c>
      <c r="AB41" s="100">
        <v>11</v>
      </c>
      <c r="AC41" s="100">
        <v>7260</v>
      </c>
      <c r="AD41" s="100">
        <v>9</v>
      </c>
      <c r="AE41" s="100">
        <v>5940</v>
      </c>
      <c r="AF41" s="100">
        <v>12</v>
      </c>
      <c r="AG41" s="100">
        <v>7920</v>
      </c>
      <c r="AH41" s="100">
        <v>9</v>
      </c>
      <c r="AI41" s="100">
        <v>5940</v>
      </c>
      <c r="AJ41" s="100">
        <v>2.9481127531518281</v>
      </c>
      <c r="AK41" s="100">
        <v>1945.7544170802066</v>
      </c>
      <c r="AL41" s="100">
        <v>12</v>
      </c>
      <c r="AM41" s="100">
        <v>7920</v>
      </c>
      <c r="AN41" s="100">
        <v>9.7025033675575898</v>
      </c>
      <c r="AO41" s="100">
        <v>6403.652222588009</v>
      </c>
      <c r="AP41" s="100">
        <v>10</v>
      </c>
      <c r="AQ41" s="100">
        <v>6600</v>
      </c>
      <c r="AR41" s="100">
        <v>11</v>
      </c>
      <c r="AS41" s="100">
        <v>7260</v>
      </c>
      <c r="AT41" s="100">
        <v>8.2784634651843412</v>
      </c>
      <c r="AU41" s="100">
        <v>5463.7858870216651</v>
      </c>
      <c r="AV41" s="100">
        <v>9</v>
      </c>
      <c r="AW41" s="100">
        <v>5940</v>
      </c>
      <c r="AX41" s="100">
        <v>9</v>
      </c>
      <c r="AY41" s="100">
        <v>5940</v>
      </c>
      <c r="AZ41" s="100">
        <v>13</v>
      </c>
      <c r="BA41" s="100">
        <v>8580</v>
      </c>
      <c r="BB41" s="100">
        <v>10</v>
      </c>
      <c r="BC41" s="100">
        <v>6600</v>
      </c>
      <c r="BD41" s="100">
        <v>7</v>
      </c>
      <c r="BE41" s="100">
        <v>4620</v>
      </c>
      <c r="BF41" s="100">
        <v>15</v>
      </c>
      <c r="BG41" s="100">
        <v>9900</v>
      </c>
      <c r="BH41" s="100">
        <v>13.292102948008706</v>
      </c>
      <c r="BI41" s="100">
        <v>8772.7879456857463</v>
      </c>
      <c r="BJ41" s="100">
        <v>0</v>
      </c>
      <c r="BK41" s="100">
        <v>0</v>
      </c>
      <c r="BL41" s="100">
        <v>10</v>
      </c>
      <c r="BM41" s="100">
        <v>6600</v>
      </c>
      <c r="BN41" s="100">
        <v>14</v>
      </c>
      <c r="BO41" s="100">
        <v>9240</v>
      </c>
      <c r="BP41" s="100">
        <v>11.182548291578671</v>
      </c>
      <c r="BQ41" s="100">
        <v>7380.4818724419229</v>
      </c>
      <c r="BR41" s="100">
        <v>5.6207331192894143</v>
      </c>
      <c r="BS41" s="100">
        <v>3709.6838587310135</v>
      </c>
      <c r="BT41" s="100">
        <v>10</v>
      </c>
      <c r="BU41" s="100">
        <v>6600</v>
      </c>
      <c r="BV41" s="100">
        <v>10</v>
      </c>
      <c r="BW41" s="100">
        <v>6600</v>
      </c>
      <c r="BX41" s="100">
        <v>11</v>
      </c>
      <c r="BY41" s="100">
        <v>7260</v>
      </c>
      <c r="BZ41" s="100">
        <v>9</v>
      </c>
      <c r="CA41" s="100">
        <v>5940</v>
      </c>
      <c r="CB41" s="100">
        <v>9</v>
      </c>
      <c r="CC41" s="100">
        <v>5940</v>
      </c>
      <c r="CD41" s="100">
        <v>12.225392327506153</v>
      </c>
      <c r="CE41" s="100">
        <v>8068.7589361540613</v>
      </c>
      <c r="CF41" s="100">
        <v>10</v>
      </c>
      <c r="CG41" s="100">
        <v>6600</v>
      </c>
      <c r="CH41" s="100">
        <v>9</v>
      </c>
      <c r="CI41" s="100">
        <v>5940</v>
      </c>
      <c r="CJ41" s="100">
        <v>11</v>
      </c>
      <c r="CK41" s="100">
        <v>7260</v>
      </c>
      <c r="CL41" s="100">
        <v>6.5507932275943297</v>
      </c>
      <c r="CM41" s="100">
        <v>4323.5235302122574</v>
      </c>
      <c r="CN41" s="100">
        <v>9</v>
      </c>
      <c r="CO41" s="100">
        <v>5940</v>
      </c>
      <c r="CP41" s="100">
        <v>9.5709644305459811</v>
      </c>
      <c r="CQ41" s="100">
        <v>6316.8365241603478</v>
      </c>
      <c r="CR41" s="100">
        <v>13</v>
      </c>
      <c r="CS41" s="100">
        <v>8580</v>
      </c>
      <c r="CT41" s="100">
        <v>11.562277972740281</v>
      </c>
      <c r="CU41" s="100">
        <v>7631.1034620085857</v>
      </c>
    </row>
    <row r="42" spans="2:99">
      <c r="C42" s="99" t="s">
        <v>208</v>
      </c>
      <c r="D42" s="100">
        <v>0.37780649477990008</v>
      </c>
      <c r="E42" s="100">
        <v>319.62429458379546</v>
      </c>
      <c r="F42" s="100">
        <v>0.31817077509894376</v>
      </c>
      <c r="G42" s="100">
        <v>269.17247573370639</v>
      </c>
      <c r="H42" s="100">
        <v>11.424011014022259</v>
      </c>
      <c r="I42" s="100">
        <v>9664.7133178628319</v>
      </c>
      <c r="J42" s="100">
        <v>9</v>
      </c>
      <c r="K42" s="100">
        <v>7614</v>
      </c>
      <c r="L42" s="100">
        <v>7.0679740731390366</v>
      </c>
      <c r="M42" s="100">
        <v>5979.5060658756247</v>
      </c>
      <c r="N42" s="100">
        <v>7.3033806183699861</v>
      </c>
      <c r="O42" s="100">
        <v>6178.660003141008</v>
      </c>
      <c r="P42" s="100">
        <v>12.391931679647334</v>
      </c>
      <c r="Q42" s="100">
        <v>10483.574200981644</v>
      </c>
      <c r="R42" s="100">
        <v>8.1253631670257924</v>
      </c>
      <c r="S42" s="100">
        <v>6874.0572393038201</v>
      </c>
      <c r="T42" s="100">
        <v>7.7246149795464332</v>
      </c>
      <c r="U42" s="100">
        <v>6535.0242726962824</v>
      </c>
      <c r="V42" s="100">
        <v>9</v>
      </c>
      <c r="W42" s="100">
        <v>7614</v>
      </c>
      <c r="X42" s="100">
        <v>12</v>
      </c>
      <c r="Y42" s="100">
        <v>10152</v>
      </c>
      <c r="Z42" s="100">
        <v>13</v>
      </c>
      <c r="AA42" s="100">
        <v>10998</v>
      </c>
      <c r="AB42" s="100">
        <v>12</v>
      </c>
      <c r="AC42" s="100">
        <v>10152</v>
      </c>
      <c r="AD42" s="100">
        <v>8</v>
      </c>
      <c r="AE42" s="100">
        <v>6768</v>
      </c>
      <c r="AF42" s="100">
        <v>10</v>
      </c>
      <c r="AG42" s="100">
        <v>8460</v>
      </c>
      <c r="AH42" s="100">
        <v>9</v>
      </c>
      <c r="AI42" s="100">
        <v>7614</v>
      </c>
      <c r="AJ42" s="100">
        <v>3.3166268472958067</v>
      </c>
      <c r="AK42" s="100">
        <v>2805.8663128122525</v>
      </c>
      <c r="AL42" s="100">
        <v>14</v>
      </c>
      <c r="AM42" s="100">
        <v>11844</v>
      </c>
      <c r="AN42" s="100">
        <v>10.511045314854055</v>
      </c>
      <c r="AO42" s="100">
        <v>8892.3443363665301</v>
      </c>
      <c r="AP42" s="100">
        <v>9</v>
      </c>
      <c r="AQ42" s="100">
        <v>7614</v>
      </c>
      <c r="AR42" s="100">
        <v>9</v>
      </c>
      <c r="AS42" s="100">
        <v>7614</v>
      </c>
      <c r="AT42" s="100">
        <v>8.2784634651843412</v>
      </c>
      <c r="AU42" s="100">
        <v>7003.5800915459522</v>
      </c>
      <c r="AV42" s="100">
        <v>9</v>
      </c>
      <c r="AW42" s="100">
        <v>7614</v>
      </c>
      <c r="AX42" s="100">
        <v>10</v>
      </c>
      <c r="AY42" s="100">
        <v>8460</v>
      </c>
      <c r="AZ42" s="100">
        <v>12</v>
      </c>
      <c r="BA42" s="100">
        <v>10152</v>
      </c>
      <c r="BB42" s="100">
        <v>9</v>
      </c>
      <c r="BC42" s="100">
        <v>7614</v>
      </c>
      <c r="BD42" s="100">
        <v>7</v>
      </c>
      <c r="BE42" s="100">
        <v>5922</v>
      </c>
      <c r="BF42" s="100">
        <v>14</v>
      </c>
      <c r="BG42" s="100">
        <v>11844</v>
      </c>
      <c r="BH42" s="100">
        <v>14.178243144542622</v>
      </c>
      <c r="BI42" s="100">
        <v>11994.793700283059</v>
      </c>
      <c r="BJ42" s="100">
        <v>0</v>
      </c>
      <c r="BK42" s="100">
        <v>0</v>
      </c>
      <c r="BL42" s="100">
        <v>11</v>
      </c>
      <c r="BM42" s="100">
        <v>9306</v>
      </c>
      <c r="BN42" s="100">
        <v>16</v>
      </c>
      <c r="BO42" s="100">
        <v>13536</v>
      </c>
      <c r="BP42" s="100">
        <v>11.182548291578671</v>
      </c>
      <c r="BQ42" s="100">
        <v>9460.4358546755557</v>
      </c>
      <c r="BR42" s="100">
        <v>6.1317088574066343</v>
      </c>
      <c r="BS42" s="100">
        <v>5187.4256933660126</v>
      </c>
      <c r="BT42" s="100">
        <v>9</v>
      </c>
      <c r="BU42" s="100">
        <v>7614</v>
      </c>
      <c r="BV42" s="100">
        <v>12</v>
      </c>
      <c r="BW42" s="100">
        <v>10152</v>
      </c>
      <c r="BX42" s="100">
        <v>10</v>
      </c>
      <c r="BY42" s="100">
        <v>8460</v>
      </c>
      <c r="BZ42" s="100">
        <v>7</v>
      </c>
      <c r="CA42" s="100">
        <v>5922</v>
      </c>
      <c r="CB42" s="100">
        <v>8</v>
      </c>
      <c r="CC42" s="100">
        <v>6768</v>
      </c>
      <c r="CD42" s="100">
        <v>12.225392327506153</v>
      </c>
      <c r="CE42" s="100">
        <v>10342.681909070205</v>
      </c>
      <c r="CF42" s="100">
        <v>9</v>
      </c>
      <c r="CG42" s="100">
        <v>7614</v>
      </c>
      <c r="CH42" s="100">
        <v>11</v>
      </c>
      <c r="CI42" s="100">
        <v>9306</v>
      </c>
      <c r="CJ42" s="100">
        <v>12</v>
      </c>
      <c r="CK42" s="100">
        <v>10152</v>
      </c>
      <c r="CL42" s="100">
        <v>6.0828794256233065</v>
      </c>
      <c r="CM42" s="100">
        <v>5146.1159940773177</v>
      </c>
      <c r="CN42" s="100">
        <v>9</v>
      </c>
      <c r="CO42" s="100">
        <v>7614</v>
      </c>
      <c r="CP42" s="100">
        <v>10.441052106050162</v>
      </c>
      <c r="CQ42" s="100">
        <v>8833.1300817184365</v>
      </c>
      <c r="CR42" s="100">
        <v>13</v>
      </c>
      <c r="CS42" s="100">
        <v>10998</v>
      </c>
      <c r="CT42" s="100">
        <v>10.020640909708243</v>
      </c>
      <c r="CU42" s="100">
        <v>8477.4622096131734</v>
      </c>
    </row>
    <row r="43" spans="2:99">
      <c r="C43" s="99" t="s">
        <v>209</v>
      </c>
      <c r="D43" s="100">
        <v>0.37780649477990008</v>
      </c>
      <c r="E43" s="100">
        <v>386.26936026296983</v>
      </c>
      <c r="F43" s="100">
        <v>0.31817077509894376</v>
      </c>
      <c r="G43" s="100">
        <v>325.29780046116008</v>
      </c>
      <c r="H43" s="100">
        <v>10.545240936020548</v>
      </c>
      <c r="I43" s="100">
        <v>10781.454332987409</v>
      </c>
      <c r="J43" s="100">
        <v>10</v>
      </c>
      <c r="K43" s="100">
        <v>10224</v>
      </c>
      <c r="L43" s="100">
        <v>6.5631187822005348</v>
      </c>
      <c r="M43" s="100">
        <v>6710.132642921827</v>
      </c>
      <c r="N43" s="100">
        <v>7.3033806183699861</v>
      </c>
      <c r="O43" s="100">
        <v>7466.9763442214735</v>
      </c>
      <c r="P43" s="100">
        <v>11.506793702529668</v>
      </c>
      <c r="Q43" s="100">
        <v>11764.545881466333</v>
      </c>
      <c r="R43" s="100">
        <v>8.1253631670257924</v>
      </c>
      <c r="S43" s="100">
        <v>8307.3713019671704</v>
      </c>
      <c r="T43" s="100">
        <v>7.7246149795464332</v>
      </c>
      <c r="U43" s="100">
        <v>7897.6463550882727</v>
      </c>
      <c r="V43" s="100">
        <v>8</v>
      </c>
      <c r="W43" s="100">
        <v>8179.2</v>
      </c>
      <c r="X43" s="100">
        <v>11</v>
      </c>
      <c r="Y43" s="100">
        <v>11246.4</v>
      </c>
      <c r="Z43" s="100">
        <v>12</v>
      </c>
      <c r="AA43" s="100">
        <v>12268.8</v>
      </c>
      <c r="AB43" s="100">
        <v>12</v>
      </c>
      <c r="AC43" s="100">
        <v>12268.8</v>
      </c>
      <c r="AD43" s="100">
        <v>8</v>
      </c>
      <c r="AE43" s="100">
        <v>8179.2</v>
      </c>
      <c r="AF43" s="100">
        <v>12</v>
      </c>
      <c r="AG43" s="100">
        <v>12268.8</v>
      </c>
      <c r="AH43" s="100">
        <v>10</v>
      </c>
      <c r="AI43" s="100">
        <v>10224</v>
      </c>
      <c r="AJ43" s="100">
        <v>2.9481127531518281</v>
      </c>
      <c r="AK43" s="100">
        <v>3014.1504788224288</v>
      </c>
      <c r="AL43" s="100">
        <v>12</v>
      </c>
      <c r="AM43" s="100">
        <v>12268.8</v>
      </c>
      <c r="AN43" s="100">
        <v>9.7025033675575898</v>
      </c>
      <c r="AO43" s="100">
        <v>9919.8394429908803</v>
      </c>
      <c r="AP43" s="100">
        <v>9</v>
      </c>
      <c r="AQ43" s="100">
        <v>9201.6</v>
      </c>
      <c r="AR43" s="100">
        <v>10</v>
      </c>
      <c r="AS43" s="100">
        <v>10224</v>
      </c>
      <c r="AT43" s="100">
        <v>8.2784634651843412</v>
      </c>
      <c r="AU43" s="100">
        <v>8463.9010468044708</v>
      </c>
      <c r="AV43" s="100">
        <v>8</v>
      </c>
      <c r="AW43" s="100">
        <v>8179.2</v>
      </c>
      <c r="AX43" s="100">
        <v>9</v>
      </c>
      <c r="AY43" s="100">
        <v>9201.6</v>
      </c>
      <c r="AZ43" s="100">
        <v>13</v>
      </c>
      <c r="BA43" s="100">
        <v>13291.199999999999</v>
      </c>
      <c r="BB43" s="100">
        <v>10</v>
      </c>
      <c r="BC43" s="100">
        <v>10224</v>
      </c>
      <c r="BD43" s="100">
        <v>8</v>
      </c>
      <c r="BE43" s="100">
        <v>8179.2</v>
      </c>
      <c r="BF43" s="100">
        <v>14</v>
      </c>
      <c r="BG43" s="100">
        <v>14313.6</v>
      </c>
      <c r="BH43" s="100">
        <v>12.405962751474792</v>
      </c>
      <c r="BI43" s="100">
        <v>12683.856317107828</v>
      </c>
      <c r="BJ43" s="100">
        <v>0</v>
      </c>
      <c r="BK43" s="100">
        <v>0</v>
      </c>
      <c r="BL43" s="100">
        <v>11</v>
      </c>
      <c r="BM43" s="100">
        <v>11246.4</v>
      </c>
      <c r="BN43" s="100">
        <v>14</v>
      </c>
      <c r="BO43" s="100">
        <v>14313.6</v>
      </c>
      <c r="BP43" s="100">
        <v>11.182548291578671</v>
      </c>
      <c r="BQ43" s="100">
        <v>11433.037373310033</v>
      </c>
      <c r="BR43" s="100">
        <v>5.6207331192894143</v>
      </c>
      <c r="BS43" s="100">
        <v>5746.6375411614972</v>
      </c>
      <c r="BT43" s="100">
        <v>8</v>
      </c>
      <c r="BU43" s="100">
        <v>8179.2</v>
      </c>
      <c r="BV43" s="100">
        <v>11</v>
      </c>
      <c r="BW43" s="100">
        <v>11246.4</v>
      </c>
      <c r="BX43" s="100">
        <v>11</v>
      </c>
      <c r="BY43" s="100">
        <v>11246.4</v>
      </c>
      <c r="BZ43" s="100">
        <v>8</v>
      </c>
      <c r="CA43" s="100">
        <v>8179.2</v>
      </c>
      <c r="CB43" s="100">
        <v>8</v>
      </c>
      <c r="CC43" s="100">
        <v>8179.2</v>
      </c>
      <c r="CD43" s="100">
        <v>13.165807121929703</v>
      </c>
      <c r="CE43" s="100">
        <v>13460.721201460929</v>
      </c>
      <c r="CF43" s="100">
        <v>9</v>
      </c>
      <c r="CG43" s="100">
        <v>9201.6</v>
      </c>
      <c r="CH43" s="100">
        <v>9</v>
      </c>
      <c r="CI43" s="100">
        <v>9201.6</v>
      </c>
      <c r="CJ43" s="100">
        <v>11</v>
      </c>
      <c r="CK43" s="100">
        <v>11246.4</v>
      </c>
      <c r="CL43" s="100">
        <v>7.0187070295653546</v>
      </c>
      <c r="CM43" s="100">
        <v>7175.926067027618</v>
      </c>
      <c r="CN43" s="100">
        <v>9</v>
      </c>
      <c r="CO43" s="100">
        <v>9201.6</v>
      </c>
      <c r="CP43" s="100">
        <v>9.5709644305459811</v>
      </c>
      <c r="CQ43" s="100">
        <v>9785.3540337902105</v>
      </c>
      <c r="CR43" s="100">
        <v>12</v>
      </c>
      <c r="CS43" s="100">
        <v>12268.8</v>
      </c>
      <c r="CT43" s="100">
        <v>11.562277972740281</v>
      </c>
      <c r="CU43" s="100">
        <v>11821.272999329663</v>
      </c>
    </row>
    <row r="44" spans="2:99">
      <c r="C44" s="99" t="s">
        <v>210</v>
      </c>
      <c r="D44" s="100">
        <v>0.41558714425789012</v>
      </c>
      <c r="E44" s="100">
        <v>424.89629628926684</v>
      </c>
      <c r="F44" s="100">
        <v>0.29165654384069845</v>
      </c>
      <c r="G44" s="100">
        <v>298.1896504227301</v>
      </c>
      <c r="H44" s="100">
        <v>12.302781092023972</v>
      </c>
      <c r="I44" s="100">
        <v>12578.363388485308</v>
      </c>
      <c r="J44" s="100">
        <v>11</v>
      </c>
      <c r="K44" s="100">
        <v>11246.4</v>
      </c>
      <c r="L44" s="100">
        <v>6.5631187822005348</v>
      </c>
      <c r="M44" s="100">
        <v>6710.132642921827</v>
      </c>
      <c r="N44" s="100">
        <v>7.3033806183699861</v>
      </c>
      <c r="O44" s="100">
        <v>7466.9763442214735</v>
      </c>
      <c r="P44" s="100">
        <v>11.506793702529668</v>
      </c>
      <c r="Q44" s="100">
        <v>11764.545881466333</v>
      </c>
      <c r="R44" s="100">
        <v>7.5003352311007321</v>
      </c>
      <c r="S44" s="100">
        <v>7668.3427402773887</v>
      </c>
      <c r="T44" s="100">
        <v>7.7246149795464332</v>
      </c>
      <c r="U44" s="100">
        <v>7897.6463550882727</v>
      </c>
      <c r="V44" s="100">
        <v>8</v>
      </c>
      <c r="W44" s="100">
        <v>8179.2</v>
      </c>
      <c r="X44" s="100">
        <v>12</v>
      </c>
      <c r="Y44" s="100">
        <v>12268.8</v>
      </c>
      <c r="Z44" s="100">
        <v>14</v>
      </c>
      <c r="AA44" s="100">
        <v>14313.6</v>
      </c>
      <c r="AB44" s="100">
        <v>12</v>
      </c>
      <c r="AC44" s="100">
        <v>12268.8</v>
      </c>
      <c r="AD44" s="100">
        <v>7</v>
      </c>
      <c r="AE44" s="100">
        <v>7156.8</v>
      </c>
      <c r="AF44" s="100">
        <v>12</v>
      </c>
      <c r="AG44" s="100">
        <v>12268.8</v>
      </c>
      <c r="AH44" s="100">
        <v>10</v>
      </c>
      <c r="AI44" s="100">
        <v>10224</v>
      </c>
      <c r="AJ44" s="100">
        <v>3.3166268472958067</v>
      </c>
      <c r="AK44" s="100">
        <v>3390.9192886752326</v>
      </c>
      <c r="AL44" s="100">
        <v>13</v>
      </c>
      <c r="AM44" s="100">
        <v>13291.199999999999</v>
      </c>
      <c r="AN44" s="100">
        <v>9.7025033675575898</v>
      </c>
      <c r="AO44" s="100">
        <v>9919.8394429908803</v>
      </c>
      <c r="AP44" s="100">
        <v>11</v>
      </c>
      <c r="AQ44" s="100">
        <v>11246.4</v>
      </c>
      <c r="AR44" s="100">
        <v>9</v>
      </c>
      <c r="AS44" s="100">
        <v>9201.6</v>
      </c>
      <c r="AT44" s="100">
        <v>8.9152683471215983</v>
      </c>
      <c r="AU44" s="100">
        <v>9114.9703580971218</v>
      </c>
      <c r="AV44" s="100">
        <v>9</v>
      </c>
      <c r="AW44" s="100">
        <v>9201.6</v>
      </c>
      <c r="AX44" s="100">
        <v>10</v>
      </c>
      <c r="AY44" s="100">
        <v>10224</v>
      </c>
      <c r="AZ44" s="100">
        <v>13</v>
      </c>
      <c r="BA44" s="100">
        <v>13291.199999999999</v>
      </c>
      <c r="BB44" s="100">
        <v>9</v>
      </c>
      <c r="BC44" s="100">
        <v>9201.6</v>
      </c>
      <c r="BD44" s="100">
        <v>8</v>
      </c>
      <c r="BE44" s="100">
        <v>8179.2</v>
      </c>
      <c r="BF44" s="100">
        <v>14</v>
      </c>
      <c r="BG44" s="100">
        <v>14313.6</v>
      </c>
      <c r="BH44" s="100">
        <v>11.51982255494088</v>
      </c>
      <c r="BI44" s="100">
        <v>11777.866580171556</v>
      </c>
      <c r="BJ44" s="100">
        <v>0</v>
      </c>
      <c r="BK44" s="100">
        <v>0</v>
      </c>
      <c r="BL44" s="100">
        <v>11</v>
      </c>
      <c r="BM44" s="100">
        <v>11246.4</v>
      </c>
      <c r="BN44" s="100">
        <v>14</v>
      </c>
      <c r="BO44" s="100">
        <v>14313.6</v>
      </c>
      <c r="BP44" s="100">
        <v>12.780055190375624</v>
      </c>
      <c r="BQ44" s="100">
        <v>13066.328426640037</v>
      </c>
      <c r="BR44" s="100">
        <v>5.6207331192894143</v>
      </c>
      <c r="BS44" s="100">
        <v>5746.6375411614972</v>
      </c>
      <c r="BT44" s="100">
        <v>9</v>
      </c>
      <c r="BU44" s="100">
        <v>9201.6</v>
      </c>
      <c r="BV44" s="100">
        <v>11</v>
      </c>
      <c r="BW44" s="100">
        <v>11246.4</v>
      </c>
      <c r="BX44" s="100">
        <v>10</v>
      </c>
      <c r="BY44" s="100">
        <v>10224</v>
      </c>
      <c r="BZ44" s="100">
        <v>8</v>
      </c>
      <c r="CA44" s="100">
        <v>8179.2</v>
      </c>
      <c r="CB44" s="100">
        <v>8</v>
      </c>
      <c r="CC44" s="100">
        <v>8179.2</v>
      </c>
      <c r="CD44" s="100">
        <v>14.106221916353253</v>
      </c>
      <c r="CE44" s="100">
        <v>14422.201287279566</v>
      </c>
      <c r="CF44" s="100">
        <v>8</v>
      </c>
      <c r="CG44" s="100">
        <v>8179.2</v>
      </c>
      <c r="CH44" s="100">
        <v>10</v>
      </c>
      <c r="CI44" s="100">
        <v>10224</v>
      </c>
      <c r="CJ44" s="100">
        <v>12</v>
      </c>
      <c r="CK44" s="100">
        <v>12268.8</v>
      </c>
      <c r="CL44" s="100">
        <v>6.5507932275943297</v>
      </c>
      <c r="CM44" s="100">
        <v>6697.5309958924427</v>
      </c>
      <c r="CN44" s="100">
        <v>9</v>
      </c>
      <c r="CO44" s="100">
        <v>9201.6</v>
      </c>
      <c r="CP44" s="100">
        <v>9.5709644305459811</v>
      </c>
      <c r="CQ44" s="100">
        <v>9785.3540337902105</v>
      </c>
      <c r="CR44" s="100">
        <v>12</v>
      </c>
      <c r="CS44" s="100">
        <v>12268.8</v>
      </c>
      <c r="CT44" s="100">
        <v>10.791459441224262</v>
      </c>
      <c r="CU44" s="100">
        <v>11033.188132707686</v>
      </c>
    </row>
    <row r="45" spans="2:99">
      <c r="C45" s="99" t="s">
        <v>211</v>
      </c>
      <c r="D45" s="100">
        <v>0.37780649477990008</v>
      </c>
      <c r="E45" s="100">
        <v>471.95587327905122</v>
      </c>
      <c r="F45" s="100">
        <v>0.31817077509894376</v>
      </c>
      <c r="G45" s="100">
        <v>397.45893225360055</v>
      </c>
      <c r="H45" s="100">
        <v>10.545240936020548</v>
      </c>
      <c r="I45" s="100">
        <v>13173.114977276869</v>
      </c>
      <c r="J45" s="100">
        <v>10</v>
      </c>
      <c r="K45" s="100">
        <v>12492</v>
      </c>
      <c r="L45" s="100">
        <v>6.5631187822005348</v>
      </c>
      <c r="M45" s="100">
        <v>8198.6479827249077</v>
      </c>
      <c r="N45" s="100">
        <v>7.3033806183699861</v>
      </c>
      <c r="O45" s="100">
        <v>9123.3830684677869</v>
      </c>
      <c r="P45" s="100">
        <v>12.391931679647334</v>
      </c>
      <c r="Q45" s="100">
        <v>15480.00105421545</v>
      </c>
      <c r="R45" s="100">
        <v>6.87530729517567</v>
      </c>
      <c r="S45" s="100">
        <v>8588.6338731334472</v>
      </c>
      <c r="T45" s="100">
        <v>7.7246149795464332</v>
      </c>
      <c r="U45" s="100">
        <v>9649.5890324494048</v>
      </c>
      <c r="V45" s="100">
        <v>7</v>
      </c>
      <c r="W45" s="100">
        <v>8744.4</v>
      </c>
      <c r="X45" s="100">
        <v>11</v>
      </c>
      <c r="Y45" s="100">
        <v>13741.2</v>
      </c>
      <c r="Z45" s="100">
        <v>12</v>
      </c>
      <c r="AA45" s="100">
        <v>14990.400000000001</v>
      </c>
      <c r="AB45" s="100">
        <v>10</v>
      </c>
      <c r="AC45" s="100">
        <v>12492</v>
      </c>
      <c r="AD45" s="100">
        <v>8</v>
      </c>
      <c r="AE45" s="100">
        <v>9993.6</v>
      </c>
      <c r="AF45" s="100">
        <v>11</v>
      </c>
      <c r="AG45" s="100">
        <v>13741.2</v>
      </c>
      <c r="AH45" s="100">
        <v>10</v>
      </c>
      <c r="AI45" s="100">
        <v>12492</v>
      </c>
      <c r="AJ45" s="100">
        <v>3.3166268472958067</v>
      </c>
      <c r="AK45" s="100">
        <v>4143.1302576419221</v>
      </c>
      <c r="AL45" s="100">
        <v>12</v>
      </c>
      <c r="AM45" s="100">
        <v>14990.400000000001</v>
      </c>
      <c r="AN45" s="100">
        <v>9.7025033675575898</v>
      </c>
      <c r="AO45" s="100">
        <v>12120.367206752942</v>
      </c>
      <c r="AP45" s="100">
        <v>10</v>
      </c>
      <c r="AQ45" s="100">
        <v>12492</v>
      </c>
      <c r="AR45" s="100">
        <v>10</v>
      </c>
      <c r="AS45" s="100">
        <v>12492</v>
      </c>
      <c r="AT45" s="100">
        <v>8.9152683471215983</v>
      </c>
      <c r="AU45" s="100">
        <v>11136.9532192243</v>
      </c>
      <c r="AV45" s="100">
        <v>8</v>
      </c>
      <c r="AW45" s="100">
        <v>9993.6</v>
      </c>
      <c r="AX45" s="100">
        <v>10</v>
      </c>
      <c r="AY45" s="100">
        <v>12492</v>
      </c>
      <c r="AZ45" s="100">
        <v>13</v>
      </c>
      <c r="BA45" s="100">
        <v>16239.6</v>
      </c>
      <c r="BB45" s="100">
        <v>11</v>
      </c>
      <c r="BC45" s="100">
        <v>13741.2</v>
      </c>
      <c r="BD45" s="100">
        <v>8</v>
      </c>
      <c r="BE45" s="100">
        <v>9993.6</v>
      </c>
      <c r="BF45" s="100">
        <v>15</v>
      </c>
      <c r="BG45" s="100">
        <v>18738</v>
      </c>
      <c r="BH45" s="100">
        <v>12.405962751474792</v>
      </c>
      <c r="BI45" s="100">
        <v>15497.528669142312</v>
      </c>
      <c r="BJ45" s="100">
        <v>0</v>
      </c>
      <c r="BK45" s="100">
        <v>0</v>
      </c>
      <c r="BL45" s="100">
        <v>11</v>
      </c>
      <c r="BM45" s="100">
        <v>13741.2</v>
      </c>
      <c r="BN45" s="100">
        <v>14</v>
      </c>
      <c r="BO45" s="100">
        <v>17488.8</v>
      </c>
      <c r="BP45" s="100">
        <v>11.182548291578671</v>
      </c>
      <c r="BQ45" s="100">
        <v>13969.239325840077</v>
      </c>
      <c r="BR45" s="100">
        <v>5.6207331192894143</v>
      </c>
      <c r="BS45" s="100">
        <v>7021.4198126163365</v>
      </c>
      <c r="BT45" s="100">
        <v>8</v>
      </c>
      <c r="BU45" s="100">
        <v>9993.6</v>
      </c>
      <c r="BV45" s="100">
        <v>11</v>
      </c>
      <c r="BW45" s="100">
        <v>13741.2</v>
      </c>
      <c r="BX45" s="100">
        <v>9</v>
      </c>
      <c r="BY45" s="100">
        <v>11242.800000000001</v>
      </c>
      <c r="BZ45" s="100">
        <v>8</v>
      </c>
      <c r="CA45" s="100">
        <v>9993.6</v>
      </c>
      <c r="CB45" s="100">
        <v>8</v>
      </c>
      <c r="CC45" s="100">
        <v>9993.6</v>
      </c>
      <c r="CD45" s="100">
        <v>13.165807121929703</v>
      </c>
      <c r="CE45" s="100">
        <v>16446.726256714584</v>
      </c>
      <c r="CF45" s="100">
        <v>9</v>
      </c>
      <c r="CG45" s="100">
        <v>11242.800000000001</v>
      </c>
      <c r="CH45" s="100">
        <v>10</v>
      </c>
      <c r="CI45" s="100">
        <v>12492</v>
      </c>
      <c r="CJ45" s="100">
        <v>10</v>
      </c>
      <c r="CK45" s="100">
        <v>12492</v>
      </c>
      <c r="CL45" s="100">
        <v>6.0828794256233065</v>
      </c>
      <c r="CM45" s="100">
        <v>7598.7329784886351</v>
      </c>
      <c r="CN45" s="100">
        <v>9</v>
      </c>
      <c r="CO45" s="100">
        <v>11242.800000000001</v>
      </c>
      <c r="CP45" s="100">
        <v>9.5709644305459811</v>
      </c>
      <c r="CQ45" s="100">
        <v>11956.04876663804</v>
      </c>
      <c r="CR45" s="100">
        <v>14</v>
      </c>
      <c r="CS45" s="100">
        <v>17488.8</v>
      </c>
      <c r="CT45" s="100">
        <v>11.562277972740281</v>
      </c>
      <c r="CU45" s="100">
        <v>14443.59764354716</v>
      </c>
    </row>
    <row r="46" spans="2:99">
      <c r="C46" s="99" t="s">
        <v>212</v>
      </c>
      <c r="D46" s="100">
        <v>0.37780649477990008</v>
      </c>
      <c r="E46" s="100">
        <v>457.90147167323892</v>
      </c>
      <c r="F46" s="100">
        <v>0.34468500635718918</v>
      </c>
      <c r="G46" s="100">
        <v>417.75822770491328</v>
      </c>
      <c r="H46" s="100">
        <v>10.545240936020548</v>
      </c>
      <c r="I46" s="100">
        <v>12780.832014456904</v>
      </c>
      <c r="J46" s="100">
        <v>10</v>
      </c>
      <c r="K46" s="100">
        <v>12120</v>
      </c>
      <c r="L46" s="100">
        <v>7.0679740731390366</v>
      </c>
      <c r="M46" s="100">
        <v>8566.384576644512</v>
      </c>
      <c r="N46" s="100">
        <v>6.3904580410737379</v>
      </c>
      <c r="O46" s="100">
        <v>7745.2351457813702</v>
      </c>
      <c r="P46" s="100">
        <v>12.391931679647334</v>
      </c>
      <c r="Q46" s="100">
        <v>15019.021195732568</v>
      </c>
      <c r="R46" s="100">
        <v>6.87530729517567</v>
      </c>
      <c r="S46" s="100">
        <v>8332.872441752912</v>
      </c>
      <c r="T46" s="100">
        <v>7.7246149795464332</v>
      </c>
      <c r="U46" s="100">
        <v>9362.2333552102773</v>
      </c>
      <c r="V46" s="100">
        <v>8</v>
      </c>
      <c r="W46" s="100">
        <v>9696</v>
      </c>
      <c r="X46" s="100">
        <v>11</v>
      </c>
      <c r="Y46" s="100">
        <v>13332</v>
      </c>
      <c r="Z46" s="100">
        <v>13</v>
      </c>
      <c r="AA46" s="100">
        <v>15756</v>
      </c>
      <c r="AB46" s="100">
        <v>10</v>
      </c>
      <c r="AC46" s="100">
        <v>12120</v>
      </c>
      <c r="AD46" s="100">
        <v>8</v>
      </c>
      <c r="AE46" s="100">
        <v>9696</v>
      </c>
      <c r="AF46" s="100">
        <v>10</v>
      </c>
      <c r="AG46" s="100">
        <v>12120</v>
      </c>
      <c r="AH46" s="100">
        <v>9</v>
      </c>
      <c r="AI46" s="100">
        <v>10908</v>
      </c>
      <c r="AJ46" s="100">
        <v>2.9481127531518281</v>
      </c>
      <c r="AK46" s="100">
        <v>3573.1126568200157</v>
      </c>
      <c r="AL46" s="100">
        <v>12</v>
      </c>
      <c r="AM46" s="100">
        <v>14544</v>
      </c>
      <c r="AN46" s="100">
        <v>8.8939614202611246</v>
      </c>
      <c r="AO46" s="100">
        <v>10779.481241356483</v>
      </c>
      <c r="AP46" s="100">
        <v>10</v>
      </c>
      <c r="AQ46" s="100">
        <v>12120</v>
      </c>
      <c r="AR46" s="100">
        <v>9</v>
      </c>
      <c r="AS46" s="100">
        <v>10908</v>
      </c>
      <c r="AT46" s="100">
        <v>7.6416585832470849</v>
      </c>
      <c r="AU46" s="100">
        <v>9261.6902028954664</v>
      </c>
      <c r="AV46" s="100">
        <v>9</v>
      </c>
      <c r="AW46" s="100">
        <v>10908</v>
      </c>
      <c r="AX46" s="100">
        <v>10</v>
      </c>
      <c r="AY46" s="100">
        <v>12120</v>
      </c>
      <c r="AZ46" s="100">
        <v>12</v>
      </c>
      <c r="BA46" s="100">
        <v>14544</v>
      </c>
      <c r="BB46" s="100">
        <v>10</v>
      </c>
      <c r="BC46" s="100">
        <v>12120</v>
      </c>
      <c r="BD46" s="100">
        <v>7</v>
      </c>
      <c r="BE46" s="100">
        <v>8484</v>
      </c>
      <c r="BF46" s="100">
        <v>15</v>
      </c>
      <c r="BG46" s="100">
        <v>18180</v>
      </c>
      <c r="BH46" s="100">
        <v>12.405962751474792</v>
      </c>
      <c r="BI46" s="100">
        <v>15036.026854787448</v>
      </c>
      <c r="BJ46" s="100">
        <v>0</v>
      </c>
      <c r="BK46" s="100">
        <v>0</v>
      </c>
      <c r="BL46" s="100">
        <v>11</v>
      </c>
      <c r="BM46" s="100">
        <v>13332</v>
      </c>
      <c r="BN46" s="100">
        <v>14</v>
      </c>
      <c r="BO46" s="100">
        <v>16968</v>
      </c>
      <c r="BP46" s="100">
        <v>11.981301740977147</v>
      </c>
      <c r="BQ46" s="100">
        <v>14521.337710064301</v>
      </c>
      <c r="BR46" s="100">
        <v>6.1317088574066343</v>
      </c>
      <c r="BS46" s="100">
        <v>7431.6311351768409</v>
      </c>
      <c r="BT46" s="100">
        <v>8</v>
      </c>
      <c r="BU46" s="100">
        <v>9696</v>
      </c>
      <c r="BV46" s="100">
        <v>12</v>
      </c>
      <c r="BW46" s="100">
        <v>14544</v>
      </c>
      <c r="BX46" s="100">
        <v>10</v>
      </c>
      <c r="BY46" s="100">
        <v>12120</v>
      </c>
      <c r="BZ46" s="100">
        <v>8</v>
      </c>
      <c r="CA46" s="100">
        <v>9696</v>
      </c>
      <c r="CB46" s="100">
        <v>9</v>
      </c>
      <c r="CC46" s="100">
        <v>10908</v>
      </c>
      <c r="CD46" s="100">
        <v>12.225392327506153</v>
      </c>
      <c r="CE46" s="100">
        <v>14817.175500937457</v>
      </c>
      <c r="CF46" s="100">
        <v>9</v>
      </c>
      <c r="CG46" s="100">
        <v>10908</v>
      </c>
      <c r="CH46" s="100">
        <v>10</v>
      </c>
      <c r="CI46" s="100">
        <v>12120</v>
      </c>
      <c r="CJ46" s="100">
        <v>11</v>
      </c>
      <c r="CK46" s="100">
        <v>13332</v>
      </c>
      <c r="CL46" s="100">
        <v>6.0828794256233065</v>
      </c>
      <c r="CM46" s="100">
        <v>7372.4498638554478</v>
      </c>
      <c r="CN46" s="100">
        <v>9</v>
      </c>
      <c r="CO46" s="100">
        <v>10908</v>
      </c>
      <c r="CP46" s="100">
        <v>9.5709644305459811</v>
      </c>
      <c r="CQ46" s="100">
        <v>11600.008889821729</v>
      </c>
      <c r="CR46" s="100">
        <v>12</v>
      </c>
      <c r="CS46" s="100">
        <v>14544</v>
      </c>
      <c r="CT46" s="100">
        <v>12.333096504256298</v>
      </c>
      <c r="CU46" s="100">
        <v>14947.712963158634</v>
      </c>
    </row>
    <row r="47" spans="2:99">
      <c r="C47" s="99" t="s">
        <v>213</v>
      </c>
      <c r="D47" s="100">
        <v>0.41558714425789012</v>
      </c>
      <c r="E47" s="100">
        <v>634.85092156835287</v>
      </c>
      <c r="F47" s="100">
        <v>0.34468500635718918</v>
      </c>
      <c r="G47" s="100">
        <v>526.5408157112422</v>
      </c>
      <c r="H47" s="100">
        <v>10.545240936020548</v>
      </c>
      <c r="I47" s="100">
        <v>16108.910053864987</v>
      </c>
      <c r="J47" s="100">
        <v>9</v>
      </c>
      <c r="K47" s="100">
        <v>13748.4</v>
      </c>
      <c r="L47" s="100">
        <v>6.5631187822005348</v>
      </c>
      <c r="M47" s="100">
        <v>10025.820251689536</v>
      </c>
      <c r="N47" s="100">
        <v>6.3904580410737379</v>
      </c>
      <c r="O47" s="100">
        <v>9762.0637035442414</v>
      </c>
      <c r="P47" s="100">
        <v>13.277069656765001</v>
      </c>
      <c r="Q47" s="100">
        <v>20282.051607674213</v>
      </c>
      <c r="R47" s="100">
        <v>7.5003352311007321</v>
      </c>
      <c r="S47" s="100">
        <v>11457.512099029478</v>
      </c>
      <c r="T47" s="100">
        <v>6.8663244262634962</v>
      </c>
      <c r="U47" s="100">
        <v>10488.997193560115</v>
      </c>
      <c r="V47" s="100">
        <v>7</v>
      </c>
      <c r="W47" s="100">
        <v>10693.199999999999</v>
      </c>
      <c r="X47" s="100">
        <v>10</v>
      </c>
      <c r="Y47" s="100">
        <v>15276</v>
      </c>
      <c r="Z47" s="100">
        <v>14</v>
      </c>
      <c r="AA47" s="100">
        <v>21386.399999999998</v>
      </c>
      <c r="AB47" s="100">
        <v>11</v>
      </c>
      <c r="AC47" s="100">
        <v>16803.599999999999</v>
      </c>
      <c r="AD47" s="100">
        <v>8</v>
      </c>
      <c r="AE47" s="100">
        <v>12220.8</v>
      </c>
      <c r="AF47" s="100">
        <v>10</v>
      </c>
      <c r="AG47" s="100">
        <v>15276</v>
      </c>
      <c r="AH47" s="100">
        <v>9</v>
      </c>
      <c r="AI47" s="100">
        <v>13748.4</v>
      </c>
      <c r="AJ47" s="100">
        <v>2.9481127531518281</v>
      </c>
      <c r="AK47" s="100">
        <v>4503.5370417147324</v>
      </c>
      <c r="AL47" s="100">
        <v>11</v>
      </c>
      <c r="AM47" s="100">
        <v>16803.599999999999</v>
      </c>
      <c r="AN47" s="100">
        <v>9.7025033675575898</v>
      </c>
      <c r="AO47" s="100">
        <v>14821.544144280973</v>
      </c>
      <c r="AP47" s="100">
        <v>9</v>
      </c>
      <c r="AQ47" s="100">
        <v>13748.4</v>
      </c>
      <c r="AR47" s="100">
        <v>9</v>
      </c>
      <c r="AS47" s="100">
        <v>13748.4</v>
      </c>
      <c r="AT47" s="100">
        <v>8.9152683471215983</v>
      </c>
      <c r="AU47" s="100">
        <v>13618.963927062952</v>
      </c>
      <c r="AV47" s="100">
        <v>9</v>
      </c>
      <c r="AW47" s="100">
        <v>13748.4</v>
      </c>
      <c r="AX47" s="100">
        <v>10</v>
      </c>
      <c r="AY47" s="100">
        <v>15276</v>
      </c>
      <c r="AZ47" s="100">
        <v>13</v>
      </c>
      <c r="BA47" s="100">
        <v>19858.8</v>
      </c>
      <c r="BB47" s="100">
        <v>9</v>
      </c>
      <c r="BC47" s="100">
        <v>13748.4</v>
      </c>
      <c r="BD47" s="100">
        <v>7</v>
      </c>
      <c r="BE47" s="100">
        <v>10693.199999999999</v>
      </c>
      <c r="BF47" s="100">
        <v>15</v>
      </c>
      <c r="BG47" s="100">
        <v>22914</v>
      </c>
      <c r="BH47" s="100">
        <v>13.292102948008706</v>
      </c>
      <c r="BI47" s="100">
        <v>20305.016463378099</v>
      </c>
      <c r="BJ47" s="100">
        <v>0</v>
      </c>
      <c r="BK47" s="100">
        <v>0</v>
      </c>
      <c r="BL47" s="100">
        <v>9</v>
      </c>
      <c r="BM47" s="100">
        <v>13748.4</v>
      </c>
      <c r="BN47" s="100">
        <v>15</v>
      </c>
      <c r="BO47" s="100">
        <v>22914</v>
      </c>
      <c r="BP47" s="100">
        <v>11.981301740977147</v>
      </c>
      <c r="BQ47" s="100">
        <v>18302.636539516687</v>
      </c>
      <c r="BR47" s="100">
        <v>5.1097573811721952</v>
      </c>
      <c r="BS47" s="100">
        <v>7805.6653754786448</v>
      </c>
      <c r="BT47" s="100">
        <v>9</v>
      </c>
      <c r="BU47" s="100">
        <v>13748.4</v>
      </c>
      <c r="BV47" s="100">
        <v>10</v>
      </c>
      <c r="BW47" s="100">
        <v>15276</v>
      </c>
      <c r="BX47" s="100">
        <v>10</v>
      </c>
      <c r="BY47" s="100">
        <v>15276</v>
      </c>
      <c r="BZ47" s="100">
        <v>8</v>
      </c>
      <c r="CA47" s="100">
        <v>12220.8</v>
      </c>
      <c r="CB47" s="100">
        <v>8</v>
      </c>
      <c r="CC47" s="100">
        <v>12220.8</v>
      </c>
      <c r="CD47" s="100">
        <v>13.165807121929703</v>
      </c>
      <c r="CE47" s="100">
        <v>20112.086959459812</v>
      </c>
      <c r="CF47" s="100">
        <v>9</v>
      </c>
      <c r="CG47" s="100">
        <v>13748.4</v>
      </c>
      <c r="CH47" s="100">
        <v>9</v>
      </c>
      <c r="CI47" s="100">
        <v>13748.4</v>
      </c>
      <c r="CJ47" s="100">
        <v>12</v>
      </c>
      <c r="CK47" s="100">
        <v>18331.199999999997</v>
      </c>
      <c r="CL47" s="100">
        <v>6.5507932275943297</v>
      </c>
      <c r="CM47" s="100">
        <v>10006.991734473097</v>
      </c>
      <c r="CN47" s="100">
        <v>9</v>
      </c>
      <c r="CO47" s="100">
        <v>13748.4</v>
      </c>
      <c r="CP47" s="100">
        <v>8.7008767550418025</v>
      </c>
      <c r="CQ47" s="100">
        <v>13291.459331001857</v>
      </c>
      <c r="CR47" s="100">
        <v>13</v>
      </c>
      <c r="CS47" s="100">
        <v>19858.8</v>
      </c>
      <c r="CT47" s="100">
        <v>11.562277972740281</v>
      </c>
      <c r="CU47" s="100">
        <v>17662.535831158053</v>
      </c>
    </row>
    <row r="48" spans="2:99">
      <c r="C48" s="99" t="s">
        <v>214</v>
      </c>
      <c r="D48" s="100">
        <v>0.37780649477990008</v>
      </c>
      <c r="E48" s="100">
        <v>327.78491487104134</v>
      </c>
      <c r="F48" s="100">
        <v>0.31817077509894376</v>
      </c>
      <c r="G48" s="100">
        <v>276.04496447584359</v>
      </c>
      <c r="H48" s="100">
        <v>10.545240936020548</v>
      </c>
      <c r="I48" s="100">
        <v>9149.0510360914268</v>
      </c>
      <c r="J48" s="100">
        <v>10</v>
      </c>
      <c r="K48" s="100">
        <v>8676</v>
      </c>
      <c r="L48" s="100">
        <v>6.5631187822005348</v>
      </c>
      <c r="M48" s="100">
        <v>5694.1618554371844</v>
      </c>
      <c r="N48" s="100">
        <v>7.3033806183699861</v>
      </c>
      <c r="O48" s="100">
        <v>6336.4130244978005</v>
      </c>
      <c r="P48" s="100">
        <v>11.506793702529668</v>
      </c>
      <c r="Q48" s="100">
        <v>9983.29421631474</v>
      </c>
      <c r="R48" s="100">
        <v>7.5003352311007321</v>
      </c>
      <c r="S48" s="100">
        <v>6507.290846502995</v>
      </c>
      <c r="T48" s="100">
        <v>7.7246149795464332</v>
      </c>
      <c r="U48" s="100">
        <v>6701.8759562544856</v>
      </c>
      <c r="V48" s="100">
        <v>8</v>
      </c>
      <c r="W48" s="100">
        <v>6940.8</v>
      </c>
      <c r="X48" s="100">
        <v>12</v>
      </c>
      <c r="Y48" s="100">
        <v>10411.200000000001</v>
      </c>
      <c r="Z48" s="100">
        <v>14</v>
      </c>
      <c r="AA48" s="100">
        <v>12146.4</v>
      </c>
      <c r="AB48" s="100">
        <v>12</v>
      </c>
      <c r="AC48" s="100">
        <v>10411.200000000001</v>
      </c>
      <c r="AD48" s="100">
        <v>8</v>
      </c>
      <c r="AE48" s="100">
        <v>6940.8</v>
      </c>
      <c r="AF48" s="100">
        <v>10</v>
      </c>
      <c r="AG48" s="100">
        <v>8676</v>
      </c>
      <c r="AH48" s="100">
        <v>9</v>
      </c>
      <c r="AI48" s="100">
        <v>7808.4000000000005</v>
      </c>
      <c r="AJ48" s="100">
        <v>3.6851409414397853</v>
      </c>
      <c r="AK48" s="100">
        <v>3197.2282807931579</v>
      </c>
      <c r="AL48" s="100">
        <v>13</v>
      </c>
      <c r="AM48" s="100">
        <v>11278.800000000001</v>
      </c>
      <c r="AN48" s="100">
        <v>9.7025033675575898</v>
      </c>
      <c r="AO48" s="100">
        <v>8417.8919216929644</v>
      </c>
      <c r="AP48" s="100">
        <v>9</v>
      </c>
      <c r="AQ48" s="100">
        <v>7808.4000000000005</v>
      </c>
      <c r="AR48" s="100">
        <v>10</v>
      </c>
      <c r="AS48" s="100">
        <v>8676</v>
      </c>
      <c r="AT48" s="100">
        <v>8.9152683471215983</v>
      </c>
      <c r="AU48" s="100">
        <v>7734.8868179626988</v>
      </c>
      <c r="AV48" s="100">
        <v>9</v>
      </c>
      <c r="AW48" s="100">
        <v>7808.4000000000005</v>
      </c>
      <c r="AX48" s="100">
        <v>9</v>
      </c>
      <c r="AY48" s="100">
        <v>7808.4000000000005</v>
      </c>
      <c r="AZ48" s="100">
        <v>12</v>
      </c>
      <c r="BA48" s="100">
        <v>10411.200000000001</v>
      </c>
      <c r="BB48" s="100">
        <v>11</v>
      </c>
      <c r="BC48" s="100">
        <v>9543.6</v>
      </c>
      <c r="BD48" s="100">
        <v>8</v>
      </c>
      <c r="BE48" s="100">
        <v>6940.8</v>
      </c>
      <c r="BF48" s="100">
        <v>16</v>
      </c>
      <c r="BG48" s="100">
        <v>13881.6</v>
      </c>
      <c r="BH48" s="100">
        <v>13.292102948008706</v>
      </c>
      <c r="BI48" s="100">
        <v>11532.228517692354</v>
      </c>
      <c r="BJ48" s="100">
        <v>0</v>
      </c>
      <c r="BK48" s="100">
        <v>0</v>
      </c>
      <c r="BL48" s="100">
        <v>10</v>
      </c>
      <c r="BM48" s="100">
        <v>8676</v>
      </c>
      <c r="BN48" s="100">
        <v>15</v>
      </c>
      <c r="BO48" s="100">
        <v>13014</v>
      </c>
      <c r="BP48" s="100">
        <v>11.981301740977147</v>
      </c>
      <c r="BQ48" s="100">
        <v>10394.977390471773</v>
      </c>
      <c r="BR48" s="100">
        <v>5.6207331192894143</v>
      </c>
      <c r="BS48" s="100">
        <v>4876.5480542954956</v>
      </c>
      <c r="BT48" s="100">
        <v>9</v>
      </c>
      <c r="BU48" s="100">
        <v>7808.4000000000005</v>
      </c>
      <c r="BV48" s="100">
        <v>11</v>
      </c>
      <c r="BW48" s="100">
        <v>9543.6</v>
      </c>
      <c r="BX48" s="100">
        <v>9</v>
      </c>
      <c r="BY48" s="100">
        <v>7808.4000000000005</v>
      </c>
      <c r="BZ48" s="100">
        <v>8</v>
      </c>
      <c r="CA48" s="100">
        <v>6940.8</v>
      </c>
      <c r="CB48" s="100">
        <v>9</v>
      </c>
      <c r="CC48" s="100">
        <v>7808.4000000000005</v>
      </c>
      <c r="CD48" s="100">
        <v>13.165807121929703</v>
      </c>
      <c r="CE48" s="100">
        <v>11422.654258986211</v>
      </c>
      <c r="CF48" s="100">
        <v>9</v>
      </c>
      <c r="CG48" s="100">
        <v>7808.4000000000005</v>
      </c>
      <c r="CH48" s="100">
        <v>11</v>
      </c>
      <c r="CI48" s="100">
        <v>9543.6</v>
      </c>
      <c r="CJ48" s="100">
        <v>12</v>
      </c>
      <c r="CK48" s="100">
        <v>10411.200000000001</v>
      </c>
      <c r="CL48" s="100">
        <v>6.5507932275943297</v>
      </c>
      <c r="CM48" s="100">
        <v>5683.4682042608401</v>
      </c>
      <c r="CN48" s="100">
        <v>10</v>
      </c>
      <c r="CO48" s="100">
        <v>8676</v>
      </c>
      <c r="CP48" s="100">
        <v>10.441052106050162</v>
      </c>
      <c r="CQ48" s="100">
        <v>9058.6568072091195</v>
      </c>
      <c r="CR48" s="100">
        <v>14</v>
      </c>
      <c r="CS48" s="100">
        <v>12146.4</v>
      </c>
      <c r="CT48" s="100">
        <v>11.562277972740281</v>
      </c>
      <c r="CU48" s="100">
        <v>10031.432369149468</v>
      </c>
    </row>
    <row r="49" spans="2:99">
      <c r="B49" s="99" t="s">
        <v>129</v>
      </c>
      <c r="C49" s="99" t="s">
        <v>215</v>
      </c>
      <c r="D49" s="100">
        <v>5.0132889933930107</v>
      </c>
      <c r="E49" s="100">
        <v>4939.0923162907939</v>
      </c>
      <c r="F49" s="100">
        <v>10.043587861282663</v>
      </c>
      <c r="G49" s="100">
        <v>9894.942760935679</v>
      </c>
      <c r="H49" s="100">
        <v>0.60879589476104889</v>
      </c>
      <c r="I49" s="100">
        <v>599.78571551858533</v>
      </c>
      <c r="J49" s="100">
        <v>7</v>
      </c>
      <c r="K49" s="100">
        <v>6896.4</v>
      </c>
      <c r="L49" s="100">
        <v>8</v>
      </c>
      <c r="M49" s="100">
        <v>7881.5999999999995</v>
      </c>
      <c r="N49" s="100">
        <v>10</v>
      </c>
      <c r="O49" s="100">
        <v>9852</v>
      </c>
      <c r="P49" s="100">
        <v>9.3167706748163255</v>
      </c>
      <c r="Q49" s="100">
        <v>9178.8824688290424</v>
      </c>
      <c r="R49" s="100">
        <v>8</v>
      </c>
      <c r="S49" s="100">
        <v>7881.5999999999995</v>
      </c>
      <c r="T49" s="100">
        <v>7.2916328880202768</v>
      </c>
      <c r="U49" s="100">
        <v>7183.7167212775757</v>
      </c>
      <c r="V49" s="100">
        <v>3.374505705623347</v>
      </c>
      <c r="W49" s="100">
        <v>3324.5630211801213</v>
      </c>
      <c r="X49" s="100">
        <v>5.3396289895426827</v>
      </c>
      <c r="Y49" s="100">
        <v>5260.6024804974504</v>
      </c>
      <c r="Z49" s="100">
        <v>7</v>
      </c>
      <c r="AA49" s="100">
        <v>6896.4</v>
      </c>
      <c r="AB49" s="100">
        <v>11</v>
      </c>
      <c r="AC49" s="100">
        <v>10837.199999999999</v>
      </c>
      <c r="AD49" s="100">
        <v>4.582199848232456</v>
      </c>
      <c r="AE49" s="100">
        <v>4514.383290478615</v>
      </c>
      <c r="AF49" s="100">
        <v>7</v>
      </c>
      <c r="AG49" s="100">
        <v>6896.4</v>
      </c>
      <c r="AH49" s="100">
        <v>7</v>
      </c>
      <c r="AI49" s="100">
        <v>6896.4</v>
      </c>
      <c r="AJ49" s="100">
        <v>6</v>
      </c>
      <c r="AK49" s="100">
        <v>5911.2</v>
      </c>
      <c r="AL49" s="100">
        <v>10</v>
      </c>
      <c r="AM49" s="100">
        <v>9852</v>
      </c>
      <c r="AN49" s="100">
        <v>3.949437617002284</v>
      </c>
      <c r="AO49" s="100">
        <v>3890.9859402706497</v>
      </c>
      <c r="AP49" s="100">
        <v>9</v>
      </c>
      <c r="AQ49" s="100">
        <v>8866.7999999999993</v>
      </c>
      <c r="AR49" s="100">
        <v>9</v>
      </c>
      <c r="AS49" s="100">
        <v>8866.7999999999993</v>
      </c>
      <c r="AT49" s="100">
        <v>7</v>
      </c>
      <c r="AU49" s="100">
        <v>6896.4</v>
      </c>
      <c r="AV49" s="100">
        <v>9.2065207942102809</v>
      </c>
      <c r="AW49" s="100">
        <v>9070.2642864559675</v>
      </c>
      <c r="AX49" s="100">
        <v>7.5864057655489212</v>
      </c>
      <c r="AY49" s="100">
        <v>7474.1269602187967</v>
      </c>
      <c r="AZ49" s="100">
        <v>5.5598025352215332</v>
      </c>
      <c r="BA49" s="100">
        <v>5477.5174577002545</v>
      </c>
      <c r="BB49" s="100">
        <v>6.70745214601616</v>
      </c>
      <c r="BC49" s="100">
        <v>6608.18185425512</v>
      </c>
      <c r="BD49" s="100">
        <v>6</v>
      </c>
      <c r="BE49" s="100">
        <v>5911.2</v>
      </c>
      <c r="BF49" s="100">
        <v>6.7466810749893797</v>
      </c>
      <c r="BG49" s="100">
        <v>6646.8301950795367</v>
      </c>
      <c r="BH49" s="100">
        <v>7.9189163161240428</v>
      </c>
      <c r="BI49" s="100">
        <v>7801.7163546454067</v>
      </c>
      <c r="BJ49" s="100">
        <v>8</v>
      </c>
      <c r="BK49" s="100">
        <v>7881.5999999999995</v>
      </c>
      <c r="BL49" s="100">
        <v>7.0890789384775434</v>
      </c>
      <c r="BM49" s="100">
        <v>6984.1605701880753</v>
      </c>
      <c r="BN49" s="100">
        <v>9</v>
      </c>
      <c r="BO49" s="100">
        <v>8866.7999999999993</v>
      </c>
      <c r="BP49" s="100">
        <v>7.3031227603170263</v>
      </c>
      <c r="BQ49" s="100">
        <v>7195.0365434643336</v>
      </c>
      <c r="BR49" s="100">
        <v>4.8107160731300729</v>
      </c>
      <c r="BS49" s="100">
        <v>4739.5174752477478</v>
      </c>
      <c r="BT49" s="100">
        <v>5.9101082470477175</v>
      </c>
      <c r="BU49" s="100">
        <v>5822.6386449914107</v>
      </c>
      <c r="BV49" s="100">
        <v>7</v>
      </c>
      <c r="BW49" s="100">
        <v>6896.4</v>
      </c>
      <c r="BX49" s="100">
        <v>7.4382636428805684</v>
      </c>
      <c r="BY49" s="100">
        <v>7328.1773409659354</v>
      </c>
      <c r="BZ49" s="100">
        <v>2.4393071965579716</v>
      </c>
      <c r="CA49" s="100">
        <v>2403.2054500489135</v>
      </c>
      <c r="CB49" s="100">
        <v>8.3005560200792132</v>
      </c>
      <c r="CC49" s="100">
        <v>8177.70779098204</v>
      </c>
      <c r="CD49" s="100">
        <v>4.3658541566900881</v>
      </c>
      <c r="CE49" s="100">
        <v>4301.2395151710743</v>
      </c>
      <c r="CF49" s="100">
        <v>6.8701258303245041</v>
      </c>
      <c r="CG49" s="100">
        <v>6768.4479680357008</v>
      </c>
      <c r="CH49" s="100">
        <v>9.4825239963778341</v>
      </c>
      <c r="CI49" s="100">
        <v>9342.1826412314422</v>
      </c>
      <c r="CJ49" s="100">
        <v>3.8610476483529679</v>
      </c>
      <c r="CK49" s="100">
        <v>3803.9041431573437</v>
      </c>
      <c r="CL49" s="100">
        <v>6.4183598351314997</v>
      </c>
      <c r="CM49" s="100">
        <v>6323.3681095715528</v>
      </c>
      <c r="CN49" s="100">
        <v>5.1707422251070589</v>
      </c>
      <c r="CO49" s="100">
        <v>5094.2152401754738</v>
      </c>
      <c r="CP49" s="100">
        <v>0.92289196990389555</v>
      </c>
      <c r="CQ49" s="100">
        <v>909.23316874931788</v>
      </c>
      <c r="CR49" s="100">
        <v>6.620661056540591</v>
      </c>
      <c r="CS49" s="100">
        <v>6522.6752729037898</v>
      </c>
      <c r="CT49" s="100">
        <v>4.2471175373658809</v>
      </c>
      <c r="CU49" s="100">
        <v>4184.260197812866</v>
      </c>
    </row>
    <row r="50" spans="2:99">
      <c r="C50" s="99" t="s">
        <v>216</v>
      </c>
      <c r="D50" s="100">
        <v>0.3400258453019101</v>
      </c>
      <c r="E50" s="100">
        <v>95.887288375138652</v>
      </c>
      <c r="F50" s="100">
        <v>0.26514231258245313</v>
      </c>
      <c r="G50" s="100">
        <v>74.77013214825179</v>
      </c>
      <c r="H50" s="100">
        <v>7.0301606240136989</v>
      </c>
      <c r="I50" s="100">
        <v>1982.505295971863</v>
      </c>
      <c r="J50" s="100">
        <v>7</v>
      </c>
      <c r="K50" s="100">
        <v>1974</v>
      </c>
      <c r="L50" s="100">
        <v>4.5436976184465241</v>
      </c>
      <c r="M50" s="100">
        <v>1281.3227284019199</v>
      </c>
      <c r="N50" s="100">
        <v>8.2163031956662351</v>
      </c>
      <c r="O50" s="100">
        <v>2316.9975011778783</v>
      </c>
      <c r="P50" s="100">
        <v>8.8513797711766671</v>
      </c>
      <c r="Q50" s="100">
        <v>2496.0890954718202</v>
      </c>
      <c r="R50" s="100">
        <v>5.0002234874004872</v>
      </c>
      <c r="S50" s="100">
        <v>1410.0630234469374</v>
      </c>
      <c r="T50" s="100">
        <v>7.7246149795464332</v>
      </c>
      <c r="U50" s="100">
        <v>2178.3414242320941</v>
      </c>
      <c r="V50" s="100">
        <v>8</v>
      </c>
      <c r="W50" s="100">
        <v>2256</v>
      </c>
      <c r="X50" s="100">
        <v>5</v>
      </c>
      <c r="Y50" s="100">
        <v>1410</v>
      </c>
      <c r="Z50" s="100">
        <v>7</v>
      </c>
      <c r="AA50" s="100">
        <v>1974</v>
      </c>
      <c r="AB50" s="100">
        <v>12</v>
      </c>
      <c r="AC50" s="100">
        <v>3384</v>
      </c>
      <c r="AD50" s="100">
        <v>11</v>
      </c>
      <c r="AE50" s="100">
        <v>3102</v>
      </c>
      <c r="AF50" s="100">
        <v>9</v>
      </c>
      <c r="AG50" s="100">
        <v>2538</v>
      </c>
      <c r="AH50" s="100">
        <v>7</v>
      </c>
      <c r="AI50" s="100">
        <v>1974</v>
      </c>
      <c r="AJ50" s="100">
        <v>2.5795986590078499</v>
      </c>
      <c r="AK50" s="100">
        <v>727.44682184021372</v>
      </c>
      <c r="AL50" s="100">
        <v>11</v>
      </c>
      <c r="AM50" s="100">
        <v>3102</v>
      </c>
      <c r="AN50" s="100">
        <v>4.8512516837787949</v>
      </c>
      <c r="AO50" s="100">
        <v>1368.0529748256201</v>
      </c>
      <c r="AP50" s="100">
        <v>10</v>
      </c>
      <c r="AQ50" s="100">
        <v>2820</v>
      </c>
      <c r="AR50" s="100">
        <v>9</v>
      </c>
      <c r="AS50" s="100">
        <v>2538</v>
      </c>
      <c r="AT50" s="100">
        <v>5.0944390554980563</v>
      </c>
      <c r="AU50" s="100">
        <v>1436.6318136504519</v>
      </c>
      <c r="AV50" s="100">
        <v>9</v>
      </c>
      <c r="AW50" s="100">
        <v>2538</v>
      </c>
      <c r="AX50" s="100">
        <v>9</v>
      </c>
      <c r="AY50" s="100">
        <v>2538</v>
      </c>
      <c r="AZ50" s="100">
        <v>7</v>
      </c>
      <c r="BA50" s="100">
        <v>1974</v>
      </c>
      <c r="BB50" s="100">
        <v>9</v>
      </c>
      <c r="BC50" s="100">
        <v>2538</v>
      </c>
      <c r="BD50" s="100">
        <v>7</v>
      </c>
      <c r="BE50" s="100">
        <v>1974</v>
      </c>
      <c r="BF50" s="100">
        <v>7</v>
      </c>
      <c r="BG50" s="100">
        <v>1974</v>
      </c>
      <c r="BH50" s="100">
        <v>9.7475421618730511</v>
      </c>
      <c r="BI50" s="100">
        <v>2748.8068896482005</v>
      </c>
      <c r="BJ50" s="100">
        <v>0</v>
      </c>
      <c r="BK50" s="100">
        <v>0</v>
      </c>
      <c r="BL50" s="100">
        <v>9</v>
      </c>
      <c r="BM50" s="100">
        <v>2538</v>
      </c>
      <c r="BN50" s="100">
        <v>8</v>
      </c>
      <c r="BO50" s="100">
        <v>2256</v>
      </c>
      <c r="BP50" s="100">
        <v>8.7862879433832415</v>
      </c>
      <c r="BQ50" s="100">
        <v>2477.7332000340739</v>
      </c>
      <c r="BR50" s="100">
        <v>3.5768301668205367</v>
      </c>
      <c r="BS50" s="100">
        <v>1008.6661070433913</v>
      </c>
      <c r="BT50" s="100">
        <v>8</v>
      </c>
      <c r="BU50" s="100">
        <v>2256</v>
      </c>
      <c r="BV50" s="100">
        <v>8</v>
      </c>
      <c r="BW50" s="100">
        <v>2256</v>
      </c>
      <c r="BX50" s="100">
        <v>9</v>
      </c>
      <c r="BY50" s="100">
        <v>2538</v>
      </c>
      <c r="BZ50" s="100">
        <v>9</v>
      </c>
      <c r="CA50" s="100">
        <v>2538</v>
      </c>
      <c r="CB50" s="100">
        <v>9</v>
      </c>
      <c r="CC50" s="100">
        <v>2538</v>
      </c>
      <c r="CD50" s="100">
        <v>6.5829035609648514</v>
      </c>
      <c r="CE50" s="100">
        <v>1856.3788041920882</v>
      </c>
      <c r="CF50" s="100">
        <v>11</v>
      </c>
      <c r="CG50" s="100">
        <v>3102</v>
      </c>
      <c r="CH50" s="100">
        <v>11</v>
      </c>
      <c r="CI50" s="100">
        <v>3102</v>
      </c>
      <c r="CJ50" s="100">
        <v>7</v>
      </c>
      <c r="CK50" s="100">
        <v>1974</v>
      </c>
      <c r="CL50" s="100">
        <v>3.7433104157681885</v>
      </c>
      <c r="CM50" s="100">
        <v>1055.6135372466292</v>
      </c>
      <c r="CN50" s="100">
        <v>8</v>
      </c>
      <c r="CO50" s="100">
        <v>2256</v>
      </c>
      <c r="CP50" s="100">
        <v>6.9607014040334416</v>
      </c>
      <c r="CQ50" s="100">
        <v>1962.9177959374306</v>
      </c>
      <c r="CR50" s="100">
        <v>8</v>
      </c>
      <c r="CS50" s="100">
        <v>2256</v>
      </c>
      <c r="CT50" s="100">
        <v>5.3957297206121311</v>
      </c>
      <c r="CU50" s="100">
        <v>1521.595781212621</v>
      </c>
    </row>
    <row r="51" spans="2:99">
      <c r="C51" s="99" t="s">
        <v>217</v>
      </c>
      <c r="D51" s="100">
        <v>0.3400258453019101</v>
      </c>
      <c r="E51" s="100">
        <v>290.51808222595196</v>
      </c>
      <c r="F51" s="100">
        <v>0.29165654384069845</v>
      </c>
      <c r="G51" s="100">
        <v>249.19135105749274</v>
      </c>
      <c r="H51" s="100">
        <v>6.151390546011986</v>
      </c>
      <c r="I51" s="100">
        <v>5255.7480825126404</v>
      </c>
      <c r="J51" s="100">
        <v>7</v>
      </c>
      <c r="K51" s="100">
        <v>5980.8</v>
      </c>
      <c r="L51" s="100">
        <v>4.5436976184465241</v>
      </c>
      <c r="M51" s="100">
        <v>3882.13524520071</v>
      </c>
      <c r="N51" s="100">
        <v>9.1292257729624815</v>
      </c>
      <c r="O51" s="100">
        <v>7800.0105004191437</v>
      </c>
      <c r="P51" s="100">
        <v>7.9662417940590009</v>
      </c>
      <c r="Q51" s="100">
        <v>6806.3569888440106</v>
      </c>
      <c r="R51" s="100">
        <v>4.3751955514754268</v>
      </c>
      <c r="S51" s="100">
        <v>3738.1670791806046</v>
      </c>
      <c r="T51" s="100">
        <v>7.7246149795464332</v>
      </c>
      <c r="U51" s="100">
        <v>6599.9110385244721</v>
      </c>
      <c r="V51" s="100">
        <v>9</v>
      </c>
      <c r="W51" s="100">
        <v>7689.5999999999995</v>
      </c>
      <c r="X51" s="100">
        <v>6</v>
      </c>
      <c r="Y51" s="100">
        <v>5126.3999999999996</v>
      </c>
      <c r="Z51" s="100">
        <v>6</v>
      </c>
      <c r="AA51" s="100">
        <v>5126.3999999999996</v>
      </c>
      <c r="AB51" s="100">
        <v>10</v>
      </c>
      <c r="AC51" s="100">
        <v>8544</v>
      </c>
      <c r="AD51" s="100">
        <v>11</v>
      </c>
      <c r="AE51" s="100">
        <v>9398.4</v>
      </c>
      <c r="AF51" s="100">
        <v>8</v>
      </c>
      <c r="AG51" s="100">
        <v>6835.2</v>
      </c>
      <c r="AH51" s="100">
        <v>7</v>
      </c>
      <c r="AI51" s="100">
        <v>5980.8</v>
      </c>
      <c r="AJ51" s="100">
        <v>2.5795986590078499</v>
      </c>
      <c r="AK51" s="100">
        <v>2204.009094256307</v>
      </c>
      <c r="AL51" s="100">
        <v>11</v>
      </c>
      <c r="AM51" s="100">
        <v>9398.4</v>
      </c>
      <c r="AN51" s="100">
        <v>4.8512516837787949</v>
      </c>
      <c r="AO51" s="100">
        <v>4144.9094386206025</v>
      </c>
      <c r="AP51" s="100">
        <v>10</v>
      </c>
      <c r="AQ51" s="100">
        <v>8544</v>
      </c>
      <c r="AR51" s="100">
        <v>8</v>
      </c>
      <c r="AS51" s="100">
        <v>6835.2</v>
      </c>
      <c r="AT51" s="100">
        <v>5.0944390554980563</v>
      </c>
      <c r="AU51" s="100">
        <v>4352.6887290175391</v>
      </c>
      <c r="AV51" s="100">
        <v>9</v>
      </c>
      <c r="AW51" s="100">
        <v>7689.5999999999995</v>
      </c>
      <c r="AX51" s="100">
        <v>9</v>
      </c>
      <c r="AY51" s="100">
        <v>7689.5999999999995</v>
      </c>
      <c r="AZ51" s="100">
        <v>7</v>
      </c>
      <c r="BA51" s="100">
        <v>5980.8</v>
      </c>
      <c r="BB51" s="100">
        <v>9</v>
      </c>
      <c r="BC51" s="100">
        <v>7689.5999999999995</v>
      </c>
      <c r="BD51" s="100">
        <v>6</v>
      </c>
      <c r="BE51" s="100">
        <v>5126.3999999999996</v>
      </c>
      <c r="BF51" s="100">
        <v>7</v>
      </c>
      <c r="BG51" s="100">
        <v>5980.8</v>
      </c>
      <c r="BH51" s="100">
        <v>10.633682358406965</v>
      </c>
      <c r="BI51" s="100">
        <v>9085.4182070229108</v>
      </c>
      <c r="BJ51" s="100">
        <v>0</v>
      </c>
      <c r="BK51" s="100">
        <v>0</v>
      </c>
      <c r="BL51" s="100">
        <v>9</v>
      </c>
      <c r="BM51" s="100">
        <v>7689.5999999999995</v>
      </c>
      <c r="BN51" s="100">
        <v>8</v>
      </c>
      <c r="BO51" s="100">
        <v>6835.2</v>
      </c>
      <c r="BP51" s="100">
        <v>7.9875344939847652</v>
      </c>
      <c r="BQ51" s="100">
        <v>6824.5494716605835</v>
      </c>
      <c r="BR51" s="100">
        <v>3.5768301668205367</v>
      </c>
      <c r="BS51" s="100">
        <v>3056.0436945314664</v>
      </c>
      <c r="BT51" s="100">
        <v>8</v>
      </c>
      <c r="BU51" s="100">
        <v>6835.2</v>
      </c>
      <c r="BV51" s="100">
        <v>8</v>
      </c>
      <c r="BW51" s="100">
        <v>6835.2</v>
      </c>
      <c r="BX51" s="100">
        <v>10</v>
      </c>
      <c r="BY51" s="100">
        <v>8544</v>
      </c>
      <c r="BZ51" s="100">
        <v>9</v>
      </c>
      <c r="CA51" s="100">
        <v>7689.5999999999995</v>
      </c>
      <c r="CB51" s="100">
        <v>9</v>
      </c>
      <c r="CC51" s="100">
        <v>7689.5999999999995</v>
      </c>
      <c r="CD51" s="100">
        <v>5.6424887665413017</v>
      </c>
      <c r="CE51" s="100">
        <v>4820.9424021328878</v>
      </c>
      <c r="CF51" s="100">
        <v>10</v>
      </c>
      <c r="CG51" s="100">
        <v>8544</v>
      </c>
      <c r="CH51" s="100">
        <v>11</v>
      </c>
      <c r="CI51" s="100">
        <v>9398.4</v>
      </c>
      <c r="CJ51" s="100">
        <v>7</v>
      </c>
      <c r="CK51" s="100">
        <v>5980.8</v>
      </c>
      <c r="CL51" s="100">
        <v>4.2112242177392121</v>
      </c>
      <c r="CM51" s="100">
        <v>3598.0699716363829</v>
      </c>
      <c r="CN51" s="100">
        <v>7</v>
      </c>
      <c r="CO51" s="100">
        <v>5980.8</v>
      </c>
      <c r="CP51" s="100">
        <v>6.9607014040334416</v>
      </c>
      <c r="CQ51" s="100">
        <v>5947.2232796061726</v>
      </c>
      <c r="CR51" s="100">
        <v>6</v>
      </c>
      <c r="CS51" s="100">
        <v>5126.3999999999996</v>
      </c>
      <c r="CT51" s="100">
        <v>5.3957297206121311</v>
      </c>
      <c r="CU51" s="100">
        <v>4610.1114732910046</v>
      </c>
    </row>
    <row r="52" spans="2:99">
      <c r="C52" s="99" t="s">
        <v>218</v>
      </c>
      <c r="D52" s="100">
        <v>0.30224519582392007</v>
      </c>
      <c r="E52" s="100">
        <v>163.21240574491682</v>
      </c>
      <c r="F52" s="100">
        <v>0.29165654384069845</v>
      </c>
      <c r="G52" s="100">
        <v>157.49453367397717</v>
      </c>
      <c r="H52" s="100">
        <v>6.151390546011986</v>
      </c>
      <c r="I52" s="100">
        <v>3321.7508948464724</v>
      </c>
      <c r="J52" s="100">
        <v>7</v>
      </c>
      <c r="K52" s="100">
        <v>3780</v>
      </c>
      <c r="L52" s="100">
        <v>4.5436976184465241</v>
      </c>
      <c r="M52" s="100">
        <v>2453.596713961123</v>
      </c>
      <c r="N52" s="100">
        <v>8.2163031956662351</v>
      </c>
      <c r="O52" s="100">
        <v>4436.8037256597672</v>
      </c>
      <c r="P52" s="100">
        <v>7.9662417940590009</v>
      </c>
      <c r="Q52" s="100">
        <v>4301.7705687918606</v>
      </c>
      <c r="R52" s="100">
        <v>5.0002234874004872</v>
      </c>
      <c r="S52" s="100">
        <v>2700.1206831962631</v>
      </c>
      <c r="T52" s="100">
        <v>7.7246149795464332</v>
      </c>
      <c r="U52" s="100">
        <v>4171.2920889550742</v>
      </c>
      <c r="V52" s="100">
        <v>9</v>
      </c>
      <c r="W52" s="100">
        <v>4860</v>
      </c>
      <c r="X52" s="100">
        <v>6</v>
      </c>
      <c r="Y52" s="100">
        <v>3240</v>
      </c>
      <c r="Z52" s="100">
        <v>6</v>
      </c>
      <c r="AA52" s="100">
        <v>3240</v>
      </c>
      <c r="AB52" s="100">
        <v>10</v>
      </c>
      <c r="AC52" s="100">
        <v>5400</v>
      </c>
      <c r="AD52" s="100">
        <v>10</v>
      </c>
      <c r="AE52" s="100">
        <v>5400</v>
      </c>
      <c r="AF52" s="100">
        <v>8</v>
      </c>
      <c r="AG52" s="100">
        <v>4320</v>
      </c>
      <c r="AH52" s="100">
        <v>7</v>
      </c>
      <c r="AI52" s="100">
        <v>3780</v>
      </c>
      <c r="AJ52" s="100">
        <v>2.5795986590078499</v>
      </c>
      <c r="AK52" s="100">
        <v>1392.983275864239</v>
      </c>
      <c r="AL52" s="100">
        <v>10</v>
      </c>
      <c r="AM52" s="100">
        <v>5400</v>
      </c>
      <c r="AN52" s="100">
        <v>4.8512516837787949</v>
      </c>
      <c r="AO52" s="100">
        <v>2619.6759092405491</v>
      </c>
      <c r="AP52" s="100">
        <v>10</v>
      </c>
      <c r="AQ52" s="100">
        <v>5400</v>
      </c>
      <c r="AR52" s="100">
        <v>8</v>
      </c>
      <c r="AS52" s="100">
        <v>4320</v>
      </c>
      <c r="AT52" s="100">
        <v>4.4576341735607992</v>
      </c>
      <c r="AU52" s="100">
        <v>2407.1224537228313</v>
      </c>
      <c r="AV52" s="100">
        <v>9</v>
      </c>
      <c r="AW52" s="100">
        <v>4860</v>
      </c>
      <c r="AX52" s="100">
        <v>9</v>
      </c>
      <c r="AY52" s="100">
        <v>4860</v>
      </c>
      <c r="AZ52" s="100">
        <v>7</v>
      </c>
      <c r="BA52" s="100">
        <v>3780</v>
      </c>
      <c r="BB52" s="100">
        <v>9</v>
      </c>
      <c r="BC52" s="100">
        <v>4860</v>
      </c>
      <c r="BD52" s="100">
        <v>6</v>
      </c>
      <c r="BE52" s="100">
        <v>3240</v>
      </c>
      <c r="BF52" s="100">
        <v>7</v>
      </c>
      <c r="BG52" s="100">
        <v>3780</v>
      </c>
      <c r="BH52" s="100">
        <v>9.7475421618730511</v>
      </c>
      <c r="BI52" s="100">
        <v>5263.6727674114472</v>
      </c>
      <c r="BJ52" s="100">
        <v>0</v>
      </c>
      <c r="BK52" s="100">
        <v>0</v>
      </c>
      <c r="BL52" s="100">
        <v>9</v>
      </c>
      <c r="BM52" s="100">
        <v>4860</v>
      </c>
      <c r="BN52" s="100">
        <v>8</v>
      </c>
      <c r="BO52" s="100">
        <v>4320</v>
      </c>
      <c r="BP52" s="100">
        <v>8.7862879433832415</v>
      </c>
      <c r="BQ52" s="100">
        <v>4744.5954894269507</v>
      </c>
      <c r="BR52" s="100">
        <v>3.5768301668205367</v>
      </c>
      <c r="BS52" s="100">
        <v>1931.4882900830899</v>
      </c>
      <c r="BT52" s="100">
        <v>8</v>
      </c>
      <c r="BU52" s="100">
        <v>4320</v>
      </c>
      <c r="BV52" s="100">
        <v>7</v>
      </c>
      <c r="BW52" s="100">
        <v>3780</v>
      </c>
      <c r="BX52" s="100">
        <v>10</v>
      </c>
      <c r="BY52" s="100">
        <v>5400</v>
      </c>
      <c r="BZ52" s="100">
        <v>10</v>
      </c>
      <c r="CA52" s="100">
        <v>5400</v>
      </c>
      <c r="CB52" s="100">
        <v>9</v>
      </c>
      <c r="CC52" s="100">
        <v>4860</v>
      </c>
      <c r="CD52" s="100">
        <v>5.6424887665413017</v>
      </c>
      <c r="CE52" s="100">
        <v>3046.943933932303</v>
      </c>
      <c r="CF52" s="100">
        <v>10</v>
      </c>
      <c r="CG52" s="100">
        <v>5400</v>
      </c>
      <c r="CH52" s="100">
        <v>11</v>
      </c>
      <c r="CI52" s="100">
        <v>5940</v>
      </c>
      <c r="CJ52" s="100">
        <v>8</v>
      </c>
      <c r="CK52" s="100">
        <v>4320</v>
      </c>
      <c r="CL52" s="100">
        <v>3.7433104157681885</v>
      </c>
      <c r="CM52" s="100">
        <v>2021.3876245148217</v>
      </c>
      <c r="CN52" s="100">
        <v>8</v>
      </c>
      <c r="CO52" s="100">
        <v>4320</v>
      </c>
      <c r="CP52" s="100">
        <v>6.9607014040334416</v>
      </c>
      <c r="CQ52" s="100">
        <v>3758.7787581780585</v>
      </c>
      <c r="CR52" s="100">
        <v>8</v>
      </c>
      <c r="CS52" s="100">
        <v>4320</v>
      </c>
      <c r="CT52" s="100">
        <v>4.6249111890961121</v>
      </c>
      <c r="CU52" s="100">
        <v>2497.4520421119005</v>
      </c>
    </row>
    <row r="53" spans="2:99">
      <c r="C53" s="99" t="s">
        <v>219</v>
      </c>
      <c r="D53" s="100">
        <v>0.3400258453019101</v>
      </c>
      <c r="E53" s="100">
        <v>138.32251386881703</v>
      </c>
      <c r="F53" s="100">
        <v>0.29165654384069845</v>
      </c>
      <c r="G53" s="100">
        <v>118.64588203439614</v>
      </c>
      <c r="H53" s="100">
        <v>6.151390546011986</v>
      </c>
      <c r="I53" s="100">
        <v>2502.385674117676</v>
      </c>
      <c r="J53" s="100">
        <v>8</v>
      </c>
      <c r="K53" s="100">
        <v>3254.4</v>
      </c>
      <c r="L53" s="100">
        <v>4.5436976184465241</v>
      </c>
      <c r="M53" s="100">
        <v>1848.3761911840461</v>
      </c>
      <c r="N53" s="100">
        <v>8.2163031956662351</v>
      </c>
      <c r="O53" s="100">
        <v>3342.3921399970245</v>
      </c>
      <c r="P53" s="100">
        <v>9.7365177482943341</v>
      </c>
      <c r="Q53" s="100">
        <v>3960.8154200061354</v>
      </c>
      <c r="R53" s="100">
        <v>4.3751955514754268</v>
      </c>
      <c r="S53" s="100">
        <v>1779.8295503402037</v>
      </c>
      <c r="T53" s="100">
        <v>8.5829055328293702</v>
      </c>
      <c r="U53" s="100">
        <v>3491.5259707549881</v>
      </c>
      <c r="V53" s="100">
        <v>9</v>
      </c>
      <c r="W53" s="100">
        <v>3661.2000000000003</v>
      </c>
      <c r="X53" s="100">
        <v>5</v>
      </c>
      <c r="Y53" s="100">
        <v>2034</v>
      </c>
      <c r="Z53" s="100">
        <v>6</v>
      </c>
      <c r="AA53" s="100">
        <v>2440.8000000000002</v>
      </c>
      <c r="AB53" s="100">
        <v>12</v>
      </c>
      <c r="AC53" s="100">
        <v>4881.6000000000004</v>
      </c>
      <c r="AD53" s="100">
        <v>10</v>
      </c>
      <c r="AE53" s="100">
        <v>4068</v>
      </c>
      <c r="AF53" s="100">
        <v>8</v>
      </c>
      <c r="AG53" s="100">
        <v>3254.4</v>
      </c>
      <c r="AH53" s="100">
        <v>7</v>
      </c>
      <c r="AI53" s="100">
        <v>2847.6</v>
      </c>
      <c r="AJ53" s="100">
        <v>2.5795986590078499</v>
      </c>
      <c r="AK53" s="100">
        <v>1049.3807344843933</v>
      </c>
      <c r="AL53" s="100">
        <v>10</v>
      </c>
      <c r="AM53" s="100">
        <v>4068</v>
      </c>
      <c r="AN53" s="100">
        <v>4.8512516837787949</v>
      </c>
      <c r="AO53" s="100">
        <v>1973.4891849612138</v>
      </c>
      <c r="AP53" s="100">
        <v>10</v>
      </c>
      <c r="AQ53" s="100">
        <v>4068</v>
      </c>
      <c r="AR53" s="100">
        <v>9</v>
      </c>
      <c r="AS53" s="100">
        <v>3661.2000000000003</v>
      </c>
      <c r="AT53" s="100">
        <v>4.4576341735607992</v>
      </c>
      <c r="AU53" s="100">
        <v>1813.3655818045331</v>
      </c>
      <c r="AV53" s="100">
        <v>9</v>
      </c>
      <c r="AW53" s="100">
        <v>3661.2000000000003</v>
      </c>
      <c r="AX53" s="100">
        <v>9</v>
      </c>
      <c r="AY53" s="100">
        <v>3661.2000000000003</v>
      </c>
      <c r="AZ53" s="100">
        <v>7</v>
      </c>
      <c r="BA53" s="100">
        <v>2847.6</v>
      </c>
      <c r="BB53" s="100">
        <v>10</v>
      </c>
      <c r="BC53" s="100">
        <v>4068</v>
      </c>
      <c r="BD53" s="100">
        <v>6</v>
      </c>
      <c r="BE53" s="100">
        <v>2440.8000000000002</v>
      </c>
      <c r="BF53" s="100">
        <v>8</v>
      </c>
      <c r="BG53" s="100">
        <v>3254.4</v>
      </c>
      <c r="BH53" s="100">
        <v>8.8614019653391374</v>
      </c>
      <c r="BI53" s="100">
        <v>3604.818319499961</v>
      </c>
      <c r="BJ53" s="100">
        <v>0</v>
      </c>
      <c r="BK53" s="100">
        <v>0</v>
      </c>
      <c r="BL53" s="100">
        <v>10</v>
      </c>
      <c r="BM53" s="100">
        <v>4068</v>
      </c>
      <c r="BN53" s="100">
        <v>8</v>
      </c>
      <c r="BO53" s="100">
        <v>3254.4</v>
      </c>
      <c r="BP53" s="100">
        <v>7.9875344939847652</v>
      </c>
      <c r="BQ53" s="100">
        <v>3249.3290321530026</v>
      </c>
      <c r="BR53" s="100">
        <v>3.5768301668205367</v>
      </c>
      <c r="BS53" s="100">
        <v>1455.0545118625944</v>
      </c>
      <c r="BT53" s="100">
        <v>8</v>
      </c>
      <c r="BU53" s="100">
        <v>3254.4</v>
      </c>
      <c r="BV53" s="100">
        <v>7</v>
      </c>
      <c r="BW53" s="100">
        <v>2847.6</v>
      </c>
      <c r="BX53" s="100">
        <v>10</v>
      </c>
      <c r="BY53" s="100">
        <v>4068</v>
      </c>
      <c r="BZ53" s="100">
        <v>9</v>
      </c>
      <c r="CA53" s="100">
        <v>3661.2000000000003</v>
      </c>
      <c r="CB53" s="100">
        <v>9</v>
      </c>
      <c r="CC53" s="100">
        <v>3661.2000000000003</v>
      </c>
      <c r="CD53" s="100">
        <v>6.5829035609648514</v>
      </c>
      <c r="CE53" s="100">
        <v>2677.9251686005018</v>
      </c>
      <c r="CF53" s="100">
        <v>11</v>
      </c>
      <c r="CG53" s="100">
        <v>4474.8</v>
      </c>
      <c r="CH53" s="100">
        <v>10</v>
      </c>
      <c r="CI53" s="100">
        <v>4068</v>
      </c>
      <c r="CJ53" s="100">
        <v>7</v>
      </c>
      <c r="CK53" s="100">
        <v>2847.6</v>
      </c>
      <c r="CL53" s="100">
        <v>4.2112242177392121</v>
      </c>
      <c r="CM53" s="100">
        <v>1713.1260117763115</v>
      </c>
      <c r="CN53" s="100">
        <v>8</v>
      </c>
      <c r="CO53" s="100">
        <v>3254.4</v>
      </c>
      <c r="CP53" s="100">
        <v>6.9607014040334416</v>
      </c>
      <c r="CQ53" s="100">
        <v>2831.6133311608041</v>
      </c>
      <c r="CR53" s="100">
        <v>7</v>
      </c>
      <c r="CS53" s="100">
        <v>2847.6</v>
      </c>
      <c r="CT53" s="100">
        <v>5.3957297206121311</v>
      </c>
      <c r="CU53" s="100">
        <v>2194.9828503450149</v>
      </c>
    </row>
    <row r="54" spans="2:99">
      <c r="C54" s="99" t="s">
        <v>220</v>
      </c>
      <c r="D54" s="100">
        <v>0.3400258453019101</v>
      </c>
      <c r="E54" s="100">
        <v>113.84065300707951</v>
      </c>
      <c r="F54" s="100">
        <v>0.29165654384069845</v>
      </c>
      <c r="G54" s="100">
        <v>97.646610877865839</v>
      </c>
      <c r="H54" s="100">
        <v>6.151390546011986</v>
      </c>
      <c r="I54" s="100">
        <v>2059.4855548048131</v>
      </c>
      <c r="J54" s="100">
        <v>7</v>
      </c>
      <c r="K54" s="100">
        <v>2343.6</v>
      </c>
      <c r="L54" s="100">
        <v>5.0485529093850268</v>
      </c>
      <c r="M54" s="100">
        <v>1690.2555140621071</v>
      </c>
      <c r="N54" s="100">
        <v>8.2163031956662351</v>
      </c>
      <c r="O54" s="100">
        <v>2750.8183099090556</v>
      </c>
      <c r="P54" s="100">
        <v>9.7365177482943341</v>
      </c>
      <c r="Q54" s="100">
        <v>3259.7861421289431</v>
      </c>
      <c r="R54" s="100">
        <v>5.0002234874004872</v>
      </c>
      <c r="S54" s="100">
        <v>1674.0748235816832</v>
      </c>
      <c r="T54" s="100">
        <v>7.7246149795464332</v>
      </c>
      <c r="U54" s="100">
        <v>2586.2010951521461</v>
      </c>
      <c r="V54" s="100">
        <v>9</v>
      </c>
      <c r="W54" s="100">
        <v>3013.2000000000003</v>
      </c>
      <c r="X54" s="100">
        <v>6</v>
      </c>
      <c r="Y54" s="100">
        <v>2008.8000000000002</v>
      </c>
      <c r="Z54" s="100">
        <v>6</v>
      </c>
      <c r="AA54" s="100">
        <v>2008.8000000000002</v>
      </c>
      <c r="AB54" s="100">
        <v>10</v>
      </c>
      <c r="AC54" s="100">
        <v>3348</v>
      </c>
      <c r="AD54" s="100">
        <v>11</v>
      </c>
      <c r="AE54" s="100">
        <v>3682.8</v>
      </c>
      <c r="AF54" s="100">
        <v>8</v>
      </c>
      <c r="AG54" s="100">
        <v>2678.4</v>
      </c>
      <c r="AH54" s="100">
        <v>6</v>
      </c>
      <c r="AI54" s="100">
        <v>2008.8000000000002</v>
      </c>
      <c r="AJ54" s="100">
        <v>2.2110845648638713</v>
      </c>
      <c r="AK54" s="100">
        <v>740.27111231642414</v>
      </c>
      <c r="AL54" s="100">
        <v>10</v>
      </c>
      <c r="AM54" s="100">
        <v>3348</v>
      </c>
      <c r="AN54" s="100">
        <v>4.0427097364823288</v>
      </c>
      <c r="AO54" s="100">
        <v>1353.4992197742838</v>
      </c>
      <c r="AP54" s="100">
        <v>11</v>
      </c>
      <c r="AQ54" s="100">
        <v>3682.8</v>
      </c>
      <c r="AR54" s="100">
        <v>8</v>
      </c>
      <c r="AS54" s="100">
        <v>2678.4</v>
      </c>
      <c r="AT54" s="100">
        <v>5.0944390554980563</v>
      </c>
      <c r="AU54" s="100">
        <v>1705.6181957807494</v>
      </c>
      <c r="AV54" s="100">
        <v>10</v>
      </c>
      <c r="AW54" s="100">
        <v>3348</v>
      </c>
      <c r="AX54" s="100">
        <v>9</v>
      </c>
      <c r="AY54" s="100">
        <v>3013.2000000000003</v>
      </c>
      <c r="AZ54" s="100">
        <v>7</v>
      </c>
      <c r="BA54" s="100">
        <v>2343.6</v>
      </c>
      <c r="BB54" s="100">
        <v>9</v>
      </c>
      <c r="BC54" s="100">
        <v>3013.2000000000003</v>
      </c>
      <c r="BD54" s="100">
        <v>6</v>
      </c>
      <c r="BE54" s="100">
        <v>2008.8000000000002</v>
      </c>
      <c r="BF54" s="100">
        <v>8</v>
      </c>
      <c r="BG54" s="100">
        <v>2678.4</v>
      </c>
      <c r="BH54" s="100">
        <v>9.7475421618730511</v>
      </c>
      <c r="BI54" s="100">
        <v>3263.4771157950977</v>
      </c>
      <c r="BJ54" s="100">
        <v>0</v>
      </c>
      <c r="BK54" s="100">
        <v>0</v>
      </c>
      <c r="BL54" s="100">
        <v>9</v>
      </c>
      <c r="BM54" s="100">
        <v>3013.2000000000003</v>
      </c>
      <c r="BN54" s="100">
        <v>9</v>
      </c>
      <c r="BO54" s="100">
        <v>3013.2000000000003</v>
      </c>
      <c r="BP54" s="100">
        <v>9.5850413927817186</v>
      </c>
      <c r="BQ54" s="100">
        <v>3209.0718583033195</v>
      </c>
      <c r="BR54" s="100">
        <v>3.0658544287033171</v>
      </c>
      <c r="BS54" s="100">
        <v>1026.4480627298706</v>
      </c>
      <c r="BT54" s="100">
        <v>9</v>
      </c>
      <c r="BU54" s="100">
        <v>3013.2000000000003</v>
      </c>
      <c r="BV54" s="100">
        <v>8</v>
      </c>
      <c r="BW54" s="100">
        <v>2678.4</v>
      </c>
      <c r="BX54" s="100">
        <v>9</v>
      </c>
      <c r="BY54" s="100">
        <v>3013.2000000000003</v>
      </c>
      <c r="BZ54" s="100">
        <v>10</v>
      </c>
      <c r="CA54" s="100">
        <v>3348</v>
      </c>
      <c r="CB54" s="100">
        <v>9</v>
      </c>
      <c r="CC54" s="100">
        <v>3013.2000000000003</v>
      </c>
      <c r="CD54" s="100">
        <v>6.5829035609648514</v>
      </c>
      <c r="CE54" s="100">
        <v>2203.9561122110322</v>
      </c>
      <c r="CF54" s="100">
        <v>11</v>
      </c>
      <c r="CG54" s="100">
        <v>3682.8</v>
      </c>
      <c r="CH54" s="100">
        <v>12</v>
      </c>
      <c r="CI54" s="100">
        <v>4017.6000000000004</v>
      </c>
      <c r="CJ54" s="100">
        <v>7</v>
      </c>
      <c r="CK54" s="100">
        <v>2343.6</v>
      </c>
      <c r="CL54" s="100">
        <v>3.7433104157681885</v>
      </c>
      <c r="CM54" s="100">
        <v>1253.2603271991895</v>
      </c>
      <c r="CN54" s="100">
        <v>8</v>
      </c>
      <c r="CO54" s="100">
        <v>2678.4</v>
      </c>
      <c r="CP54" s="100">
        <v>6.9607014040334416</v>
      </c>
      <c r="CQ54" s="100">
        <v>2330.4428300703962</v>
      </c>
      <c r="CR54" s="100">
        <v>7</v>
      </c>
      <c r="CS54" s="100">
        <v>2343.6</v>
      </c>
      <c r="CT54" s="100">
        <v>4.6249111890961121</v>
      </c>
      <c r="CU54" s="100">
        <v>1548.4202661093784</v>
      </c>
    </row>
    <row r="55" spans="2:99">
      <c r="C55" s="99" t="s">
        <v>221</v>
      </c>
      <c r="D55" s="100">
        <v>0.30224519582392007</v>
      </c>
      <c r="E55" s="100">
        <v>200.56991194875337</v>
      </c>
      <c r="F55" s="100">
        <v>0.29165654384069845</v>
      </c>
      <c r="G55" s="100">
        <v>193.5432824926875</v>
      </c>
      <c r="H55" s="100">
        <v>6.151390546011986</v>
      </c>
      <c r="I55" s="100">
        <v>4082.062766333554</v>
      </c>
      <c r="J55" s="100">
        <v>7</v>
      </c>
      <c r="K55" s="100">
        <v>4645.2</v>
      </c>
      <c r="L55" s="100">
        <v>4.0388423275080214</v>
      </c>
      <c r="M55" s="100">
        <v>2680.1757685343232</v>
      </c>
      <c r="N55" s="100">
        <v>8.2163031956662351</v>
      </c>
      <c r="O55" s="100">
        <v>5452.3388006441137</v>
      </c>
      <c r="P55" s="100">
        <v>7.9662417940590009</v>
      </c>
      <c r="Q55" s="100">
        <v>5286.3980545375534</v>
      </c>
      <c r="R55" s="100">
        <v>4.3751955514754268</v>
      </c>
      <c r="S55" s="100">
        <v>2903.3797679590934</v>
      </c>
      <c r="T55" s="100">
        <v>8.5829055328293702</v>
      </c>
      <c r="U55" s="100">
        <v>5695.6161115855703</v>
      </c>
      <c r="V55" s="100">
        <v>9</v>
      </c>
      <c r="W55" s="100">
        <v>5972.4000000000005</v>
      </c>
      <c r="X55" s="100">
        <v>5</v>
      </c>
      <c r="Y55" s="100">
        <v>3318</v>
      </c>
      <c r="Z55" s="100">
        <v>7</v>
      </c>
      <c r="AA55" s="100">
        <v>4645.2</v>
      </c>
      <c r="AB55" s="100">
        <v>11</v>
      </c>
      <c r="AC55" s="100">
        <v>7299.6</v>
      </c>
      <c r="AD55" s="100">
        <v>11</v>
      </c>
      <c r="AE55" s="100">
        <v>7299.6</v>
      </c>
      <c r="AF55" s="100">
        <v>8</v>
      </c>
      <c r="AG55" s="100">
        <v>5308.8</v>
      </c>
      <c r="AH55" s="100">
        <v>7</v>
      </c>
      <c r="AI55" s="100">
        <v>4645.2</v>
      </c>
      <c r="AJ55" s="100">
        <v>2.5795986590078499</v>
      </c>
      <c r="AK55" s="100">
        <v>1711.8216701176093</v>
      </c>
      <c r="AL55" s="100">
        <v>11</v>
      </c>
      <c r="AM55" s="100">
        <v>7299.6</v>
      </c>
      <c r="AN55" s="100">
        <v>4.8512516837787949</v>
      </c>
      <c r="AO55" s="100">
        <v>3219.2906173556084</v>
      </c>
      <c r="AP55" s="100">
        <v>10</v>
      </c>
      <c r="AQ55" s="100">
        <v>6636</v>
      </c>
      <c r="AR55" s="100">
        <v>9</v>
      </c>
      <c r="AS55" s="100">
        <v>5972.4000000000005</v>
      </c>
      <c r="AT55" s="100">
        <v>4.4576341735607992</v>
      </c>
      <c r="AU55" s="100">
        <v>2958.0860375749462</v>
      </c>
      <c r="AV55" s="100">
        <v>10</v>
      </c>
      <c r="AW55" s="100">
        <v>6636</v>
      </c>
      <c r="AX55" s="100">
        <v>10</v>
      </c>
      <c r="AY55" s="100">
        <v>6636</v>
      </c>
      <c r="AZ55" s="100">
        <v>7</v>
      </c>
      <c r="BA55" s="100">
        <v>4645.2</v>
      </c>
      <c r="BB55" s="100">
        <v>9</v>
      </c>
      <c r="BC55" s="100">
        <v>5972.4000000000005</v>
      </c>
      <c r="BD55" s="100">
        <v>6</v>
      </c>
      <c r="BE55" s="100">
        <v>3981.6000000000004</v>
      </c>
      <c r="BF55" s="100">
        <v>7</v>
      </c>
      <c r="BG55" s="100">
        <v>4645.2</v>
      </c>
      <c r="BH55" s="100">
        <v>8.8614019653391374</v>
      </c>
      <c r="BI55" s="100">
        <v>5880.4263441990515</v>
      </c>
      <c r="BJ55" s="100">
        <v>0</v>
      </c>
      <c r="BK55" s="100">
        <v>0</v>
      </c>
      <c r="BL55" s="100">
        <v>10</v>
      </c>
      <c r="BM55" s="100">
        <v>6636</v>
      </c>
      <c r="BN55" s="100">
        <v>9</v>
      </c>
      <c r="BO55" s="100">
        <v>5972.4000000000005</v>
      </c>
      <c r="BP55" s="100">
        <v>8.7862879433832415</v>
      </c>
      <c r="BQ55" s="100">
        <v>5830.5806792291196</v>
      </c>
      <c r="BR55" s="100">
        <v>3.5768301668205367</v>
      </c>
      <c r="BS55" s="100">
        <v>2373.5844987021082</v>
      </c>
      <c r="BT55" s="100">
        <v>7</v>
      </c>
      <c r="BU55" s="100">
        <v>4645.2</v>
      </c>
      <c r="BV55" s="100">
        <v>7</v>
      </c>
      <c r="BW55" s="100">
        <v>4645.2</v>
      </c>
      <c r="BX55" s="100">
        <v>10</v>
      </c>
      <c r="BY55" s="100">
        <v>6636</v>
      </c>
      <c r="BZ55" s="100">
        <v>9</v>
      </c>
      <c r="CA55" s="100">
        <v>5972.4000000000005</v>
      </c>
      <c r="CB55" s="100">
        <v>10</v>
      </c>
      <c r="CC55" s="100">
        <v>6636</v>
      </c>
      <c r="CD55" s="100">
        <v>6.5829035609648514</v>
      </c>
      <c r="CE55" s="100">
        <v>4368.4148030562756</v>
      </c>
      <c r="CF55" s="100">
        <v>10</v>
      </c>
      <c r="CG55" s="100">
        <v>6636</v>
      </c>
      <c r="CH55" s="100">
        <v>11</v>
      </c>
      <c r="CI55" s="100">
        <v>7299.6</v>
      </c>
      <c r="CJ55" s="100">
        <v>8</v>
      </c>
      <c r="CK55" s="100">
        <v>5308.8</v>
      </c>
      <c r="CL55" s="100">
        <v>4.2112242177392121</v>
      </c>
      <c r="CM55" s="100">
        <v>2794.5683908917413</v>
      </c>
      <c r="CN55" s="100">
        <v>8</v>
      </c>
      <c r="CO55" s="100">
        <v>5308.8</v>
      </c>
      <c r="CP55" s="100">
        <v>6.0906137285292612</v>
      </c>
      <c r="CQ55" s="100">
        <v>4041.731270252018</v>
      </c>
      <c r="CR55" s="100">
        <v>7</v>
      </c>
      <c r="CS55" s="100">
        <v>4645.2</v>
      </c>
      <c r="CT55" s="100">
        <v>5.3957297206121311</v>
      </c>
      <c r="CU55" s="100">
        <v>3580.6062425982104</v>
      </c>
    </row>
    <row r="56" spans="2:99">
      <c r="C56" s="99" t="s">
        <v>222</v>
      </c>
      <c r="D56" s="100">
        <v>8</v>
      </c>
      <c r="E56" s="100">
        <v>7852.7999999999993</v>
      </c>
      <c r="F56" s="100">
        <v>10</v>
      </c>
      <c r="G56" s="100">
        <v>9816</v>
      </c>
      <c r="H56" s="100">
        <v>5.1457173461685128</v>
      </c>
      <c r="I56" s="100">
        <v>5051.0361469990121</v>
      </c>
      <c r="J56" s="100">
        <v>7</v>
      </c>
      <c r="K56" s="100">
        <v>6871.1999999999989</v>
      </c>
      <c r="L56" s="100">
        <v>8</v>
      </c>
      <c r="M56" s="100">
        <v>7852.7999999999993</v>
      </c>
      <c r="N56" s="100">
        <v>9</v>
      </c>
      <c r="O56" s="100">
        <v>8834.4</v>
      </c>
      <c r="P56" s="100">
        <v>5.3814506145887933</v>
      </c>
      <c r="Q56" s="100">
        <v>5282.4319232803591</v>
      </c>
      <c r="R56" s="100">
        <v>7</v>
      </c>
      <c r="S56" s="100">
        <v>6871.1999999999989</v>
      </c>
      <c r="T56" s="100">
        <v>10</v>
      </c>
      <c r="U56" s="100">
        <v>9816</v>
      </c>
      <c r="V56" s="100">
        <v>1.6434394070334029</v>
      </c>
      <c r="W56" s="100">
        <v>1613.2001219439881</v>
      </c>
      <c r="X56" s="100">
        <v>6</v>
      </c>
      <c r="Y56" s="100">
        <v>5889.5999999999995</v>
      </c>
      <c r="Z56" s="100">
        <v>5.7827429681096429</v>
      </c>
      <c r="AA56" s="100">
        <v>5676.3404974964251</v>
      </c>
      <c r="AB56" s="100">
        <v>7.9131002653373441</v>
      </c>
      <c r="AC56" s="100">
        <v>7767.4992204551363</v>
      </c>
      <c r="AD56" s="100">
        <v>8.4435874339633106</v>
      </c>
      <c r="AE56" s="100">
        <v>8288.2254251783852</v>
      </c>
      <c r="AF56" s="100">
        <v>4.7231317208732273</v>
      </c>
      <c r="AG56" s="100">
        <v>4636.2260972091599</v>
      </c>
      <c r="AH56" s="100">
        <v>4.6986595357909824</v>
      </c>
      <c r="AI56" s="100">
        <v>4612.2042003324277</v>
      </c>
      <c r="AJ56" s="100">
        <v>4.2978260208893824</v>
      </c>
      <c r="AK56" s="100">
        <v>4218.7460221050169</v>
      </c>
      <c r="AL56" s="100">
        <v>9.2158667724355645</v>
      </c>
      <c r="AM56" s="100">
        <v>9046.2948238227491</v>
      </c>
      <c r="AN56" s="100">
        <v>3.7410944323748336</v>
      </c>
      <c r="AO56" s="100">
        <v>3672.2582948191362</v>
      </c>
      <c r="AP56" s="100">
        <v>6.3862062704764764</v>
      </c>
      <c r="AQ56" s="100">
        <v>6268.7000750997086</v>
      </c>
      <c r="AR56" s="100">
        <v>6.8013096780574473</v>
      </c>
      <c r="AS56" s="100">
        <v>6676.1655799811897</v>
      </c>
      <c r="AT56" s="100">
        <v>4.6813340950247913</v>
      </c>
      <c r="AU56" s="100">
        <v>4595.1975476763346</v>
      </c>
      <c r="AV56" s="100">
        <v>6.268488182541426</v>
      </c>
      <c r="AW56" s="100">
        <v>6153.1479999826634</v>
      </c>
      <c r="AX56" s="100">
        <v>9</v>
      </c>
      <c r="AY56" s="100">
        <v>8834.4</v>
      </c>
      <c r="AZ56" s="100">
        <v>5.5011065503958738</v>
      </c>
      <c r="BA56" s="100">
        <v>5399.8861898685891</v>
      </c>
      <c r="BB56" s="100">
        <v>1.5801583406765165</v>
      </c>
      <c r="BC56" s="100">
        <v>1551.0834272080685</v>
      </c>
      <c r="BD56" s="100">
        <v>3.9427882191637376</v>
      </c>
      <c r="BE56" s="100">
        <v>3870.2409159311246</v>
      </c>
      <c r="BF56" s="100">
        <v>7.5570107533971642</v>
      </c>
      <c r="BG56" s="100">
        <v>7417.9617555346558</v>
      </c>
      <c r="BH56" s="100">
        <v>10</v>
      </c>
      <c r="BI56" s="100">
        <v>9816</v>
      </c>
      <c r="BJ56" s="100">
        <v>5.8701827381808327</v>
      </c>
      <c r="BK56" s="100">
        <v>5762.1713757983052</v>
      </c>
      <c r="BL56" s="100">
        <v>10</v>
      </c>
      <c r="BM56" s="100">
        <v>9816</v>
      </c>
      <c r="BN56" s="100">
        <v>8</v>
      </c>
      <c r="BO56" s="100">
        <v>7852.7999999999993</v>
      </c>
      <c r="BP56" s="100">
        <v>10.447185614028063</v>
      </c>
      <c r="BQ56" s="100">
        <v>10254.957398729946</v>
      </c>
      <c r="BR56" s="100">
        <v>1.3407404102709837</v>
      </c>
      <c r="BS56" s="100">
        <v>1316.0707867219974</v>
      </c>
      <c r="BT56" s="100">
        <v>7</v>
      </c>
      <c r="BU56" s="100">
        <v>6871.1999999999989</v>
      </c>
      <c r="BV56" s="100">
        <v>7</v>
      </c>
      <c r="BW56" s="100">
        <v>6871.1999999999989</v>
      </c>
      <c r="BX56" s="100">
        <v>6.509443607046367</v>
      </c>
      <c r="BY56" s="100">
        <v>6389.6698446767132</v>
      </c>
      <c r="BZ56" s="100">
        <v>7.4453307915242997</v>
      </c>
      <c r="CA56" s="100">
        <v>7308.3367049602521</v>
      </c>
      <c r="CB56" s="100">
        <v>5.6238219560164939</v>
      </c>
      <c r="CC56" s="100">
        <v>5520.3436320257897</v>
      </c>
      <c r="CD56" s="100">
        <v>4.7284089630194543</v>
      </c>
      <c r="CE56" s="100">
        <v>4641.4062380998957</v>
      </c>
      <c r="CF56" s="100">
        <v>6.5952093847829785</v>
      </c>
      <c r="CG56" s="100">
        <v>6473.8575321029712</v>
      </c>
      <c r="CH56" s="100">
        <v>6.4252845053038685</v>
      </c>
      <c r="CI56" s="100">
        <v>6307.0592704062765</v>
      </c>
      <c r="CJ56" s="100">
        <v>5.7188189485167724</v>
      </c>
      <c r="CK56" s="100">
        <v>5613.592679864063</v>
      </c>
      <c r="CL56" s="100">
        <v>2.8544795831575782</v>
      </c>
      <c r="CM56" s="100">
        <v>2801.9571588274785</v>
      </c>
      <c r="CN56" s="100">
        <v>8</v>
      </c>
      <c r="CO56" s="100">
        <v>7852.7999999999993</v>
      </c>
      <c r="CP56" s="100">
        <v>2.1384686339826451</v>
      </c>
      <c r="CQ56" s="100">
        <v>2099.1208111173642</v>
      </c>
      <c r="CR56" s="100">
        <v>6.0504660651839748</v>
      </c>
      <c r="CS56" s="100">
        <v>5939.1374895845893</v>
      </c>
      <c r="CT56" s="100">
        <v>0</v>
      </c>
      <c r="CU56" s="100">
        <v>0</v>
      </c>
    </row>
    <row r="57" spans="2:99">
      <c r="C57" s="99" t="s">
        <v>223</v>
      </c>
      <c r="D57" s="100">
        <v>0.30224519582392007</v>
      </c>
      <c r="E57" s="100">
        <v>426.52842034671602</v>
      </c>
      <c r="F57" s="100">
        <v>0.29165654384069845</v>
      </c>
      <c r="G57" s="100">
        <v>411.58571466799367</v>
      </c>
      <c r="H57" s="100">
        <v>6.151390546011986</v>
      </c>
      <c r="I57" s="100">
        <v>8680.8423385321148</v>
      </c>
      <c r="J57" s="100">
        <v>7</v>
      </c>
      <c r="K57" s="100">
        <v>9878.4</v>
      </c>
      <c r="L57" s="100">
        <v>4.0388423275080214</v>
      </c>
      <c r="M57" s="100">
        <v>5699.6142925793201</v>
      </c>
      <c r="N57" s="100">
        <v>9.1292257729624815</v>
      </c>
      <c r="O57" s="100">
        <v>12883.163410804655</v>
      </c>
      <c r="P57" s="100">
        <v>7.9662417940590009</v>
      </c>
      <c r="Q57" s="100">
        <v>11241.960419776062</v>
      </c>
      <c r="R57" s="100">
        <v>5.0002234874004872</v>
      </c>
      <c r="S57" s="100">
        <v>7056.315385419568</v>
      </c>
      <c r="T57" s="100">
        <v>7.7246149795464332</v>
      </c>
      <c r="U57" s="100">
        <v>10900.976659135928</v>
      </c>
      <c r="V57" s="100">
        <v>8</v>
      </c>
      <c r="W57" s="100">
        <v>11289.6</v>
      </c>
      <c r="X57" s="100">
        <v>5</v>
      </c>
      <c r="Y57" s="100">
        <v>7056</v>
      </c>
      <c r="Z57" s="100">
        <v>7</v>
      </c>
      <c r="AA57" s="100">
        <v>9878.4</v>
      </c>
      <c r="AB57" s="100">
        <v>10</v>
      </c>
      <c r="AC57" s="100">
        <v>14112</v>
      </c>
      <c r="AD57" s="100">
        <v>9</v>
      </c>
      <c r="AE57" s="100">
        <v>12700.800000000001</v>
      </c>
      <c r="AF57" s="100">
        <v>8</v>
      </c>
      <c r="AG57" s="100">
        <v>11289.6</v>
      </c>
      <c r="AH57" s="100">
        <v>7</v>
      </c>
      <c r="AI57" s="100">
        <v>9878.4</v>
      </c>
      <c r="AJ57" s="100">
        <v>2.5795986590078499</v>
      </c>
      <c r="AK57" s="100">
        <v>3640.3296275918779</v>
      </c>
      <c r="AL57" s="100">
        <v>10</v>
      </c>
      <c r="AM57" s="100">
        <v>14112</v>
      </c>
      <c r="AN57" s="100">
        <v>4.8512516837787949</v>
      </c>
      <c r="AO57" s="100">
        <v>6846.0863761486353</v>
      </c>
      <c r="AP57" s="100">
        <v>10</v>
      </c>
      <c r="AQ57" s="100">
        <v>14112</v>
      </c>
      <c r="AR57" s="100">
        <v>8</v>
      </c>
      <c r="AS57" s="100">
        <v>11289.6</v>
      </c>
      <c r="AT57" s="100">
        <v>4.4576341735607992</v>
      </c>
      <c r="AU57" s="100">
        <v>6290.6133457289998</v>
      </c>
      <c r="AV57" s="100">
        <v>9</v>
      </c>
      <c r="AW57" s="100">
        <v>12700.800000000001</v>
      </c>
      <c r="AX57" s="100">
        <v>9</v>
      </c>
      <c r="AY57" s="100">
        <v>12700.800000000001</v>
      </c>
      <c r="AZ57" s="100">
        <v>7</v>
      </c>
      <c r="BA57" s="100">
        <v>9878.4</v>
      </c>
      <c r="BB57" s="100">
        <v>8</v>
      </c>
      <c r="BC57" s="100">
        <v>11289.6</v>
      </c>
      <c r="BD57" s="100">
        <v>6</v>
      </c>
      <c r="BE57" s="100">
        <v>8467.2000000000007</v>
      </c>
      <c r="BF57" s="100">
        <v>7</v>
      </c>
      <c r="BG57" s="100">
        <v>9878.4</v>
      </c>
      <c r="BH57" s="100">
        <v>8.8614019653391374</v>
      </c>
      <c r="BI57" s="100">
        <v>12505.21045348659</v>
      </c>
      <c r="BJ57" s="100">
        <v>0</v>
      </c>
      <c r="BK57" s="100">
        <v>0</v>
      </c>
      <c r="BL57" s="100">
        <v>10</v>
      </c>
      <c r="BM57" s="100">
        <v>14112</v>
      </c>
      <c r="BN57" s="100">
        <v>9</v>
      </c>
      <c r="BO57" s="100">
        <v>12700.800000000001</v>
      </c>
      <c r="BP57" s="100">
        <v>7.9875344939847652</v>
      </c>
      <c r="BQ57" s="100">
        <v>11272.008677911301</v>
      </c>
      <c r="BR57" s="100">
        <v>3.0658544287033171</v>
      </c>
      <c r="BS57" s="100">
        <v>4326.5337697861214</v>
      </c>
      <c r="BT57" s="100">
        <v>8</v>
      </c>
      <c r="BU57" s="100">
        <v>11289.6</v>
      </c>
      <c r="BV57" s="100">
        <v>7</v>
      </c>
      <c r="BW57" s="100">
        <v>9878.4</v>
      </c>
      <c r="BX57" s="100">
        <v>9</v>
      </c>
      <c r="BY57" s="100">
        <v>12700.800000000001</v>
      </c>
      <c r="BZ57" s="100">
        <v>10</v>
      </c>
      <c r="CA57" s="100">
        <v>14112</v>
      </c>
      <c r="CB57" s="100">
        <v>9</v>
      </c>
      <c r="CC57" s="100">
        <v>12700.800000000001</v>
      </c>
      <c r="CD57" s="100">
        <v>5.6424887665413017</v>
      </c>
      <c r="CE57" s="100">
        <v>7962.6801473430851</v>
      </c>
      <c r="CF57" s="100">
        <v>10</v>
      </c>
      <c r="CG57" s="100">
        <v>14112</v>
      </c>
      <c r="CH57" s="100">
        <v>11</v>
      </c>
      <c r="CI57" s="100">
        <v>15523.2</v>
      </c>
      <c r="CJ57" s="100">
        <v>6</v>
      </c>
      <c r="CK57" s="100">
        <v>8467.2000000000007</v>
      </c>
      <c r="CL57" s="100">
        <v>3.7433104157681885</v>
      </c>
      <c r="CM57" s="100">
        <v>5282.5596587320679</v>
      </c>
      <c r="CN57" s="100">
        <v>7</v>
      </c>
      <c r="CO57" s="100">
        <v>9878.4</v>
      </c>
      <c r="CP57" s="100">
        <v>6.9607014040334416</v>
      </c>
      <c r="CQ57" s="100">
        <v>9822.9418213719928</v>
      </c>
      <c r="CR57" s="100">
        <v>7</v>
      </c>
      <c r="CS57" s="100">
        <v>9878.4</v>
      </c>
      <c r="CT57" s="100">
        <v>4.6249111890961121</v>
      </c>
      <c r="CU57" s="100">
        <v>6526.6746700524336</v>
      </c>
    </row>
    <row r="58" spans="2:99">
      <c r="C58" s="99" t="s">
        <v>224</v>
      </c>
      <c r="D58" s="100">
        <v>5.0132889933930107</v>
      </c>
      <c r="E58" s="100">
        <v>5901.6438030222525</v>
      </c>
      <c r="F58" s="100">
        <v>8.2174809774130892</v>
      </c>
      <c r="G58" s="100">
        <v>9673.6186066106893</v>
      </c>
      <c r="H58" s="100">
        <v>0.60879589476104889</v>
      </c>
      <c r="I58" s="100">
        <v>716.6745273127068</v>
      </c>
      <c r="J58" s="100">
        <v>7</v>
      </c>
      <c r="K58" s="100">
        <v>8240.4</v>
      </c>
      <c r="L58" s="100">
        <v>9</v>
      </c>
      <c r="M58" s="100">
        <v>10594.800000000001</v>
      </c>
      <c r="N58" s="100">
        <v>9</v>
      </c>
      <c r="O58" s="100">
        <v>10594.800000000001</v>
      </c>
      <c r="P58" s="100">
        <v>7.4534165398530607</v>
      </c>
      <c r="Q58" s="100">
        <v>8774.1619507150226</v>
      </c>
      <c r="R58" s="100">
        <v>7</v>
      </c>
      <c r="S58" s="100">
        <v>8240.4</v>
      </c>
      <c r="T58" s="100">
        <v>6.5624695992182493</v>
      </c>
      <c r="U58" s="100">
        <v>7725.3392121997231</v>
      </c>
      <c r="V58" s="100">
        <v>3.7963189188262652</v>
      </c>
      <c r="W58" s="100">
        <v>4469.0266312422791</v>
      </c>
      <c r="X58" s="100">
        <v>5.3396289895426827</v>
      </c>
      <c r="Y58" s="100">
        <v>6285.8112464896467</v>
      </c>
      <c r="Z58" s="100">
        <v>6</v>
      </c>
      <c r="AA58" s="100">
        <v>7063.2000000000007</v>
      </c>
      <c r="AB58" s="100">
        <v>11</v>
      </c>
      <c r="AC58" s="100">
        <v>12949.2</v>
      </c>
      <c r="AD58" s="100">
        <v>4.582199848232456</v>
      </c>
      <c r="AE58" s="100">
        <v>5394.165661339247</v>
      </c>
      <c r="AF58" s="100">
        <v>8</v>
      </c>
      <c r="AG58" s="100">
        <v>9417.6</v>
      </c>
      <c r="AH58" s="100">
        <v>6</v>
      </c>
      <c r="AI58" s="100">
        <v>7063.2000000000007</v>
      </c>
      <c r="AJ58" s="100">
        <v>7</v>
      </c>
      <c r="AK58" s="100">
        <v>8240.4</v>
      </c>
      <c r="AL58" s="100">
        <v>10</v>
      </c>
      <c r="AM58" s="100">
        <v>11772</v>
      </c>
      <c r="AN58" s="100">
        <v>4.739325140402741</v>
      </c>
      <c r="AO58" s="100">
        <v>5579.1335552821065</v>
      </c>
      <c r="AP58" s="100">
        <v>9</v>
      </c>
      <c r="AQ58" s="100">
        <v>10594.800000000001</v>
      </c>
      <c r="AR58" s="100">
        <v>9</v>
      </c>
      <c r="AS58" s="100">
        <v>10594.800000000001</v>
      </c>
      <c r="AT58" s="100">
        <v>7</v>
      </c>
      <c r="AU58" s="100">
        <v>8240.4</v>
      </c>
      <c r="AV58" s="100">
        <v>9.2065207942102809</v>
      </c>
      <c r="AW58" s="100">
        <v>10837.916278944344</v>
      </c>
      <c r="AX58" s="100">
        <v>6.8277651889940287</v>
      </c>
      <c r="AY58" s="100">
        <v>8037.6451804837707</v>
      </c>
      <c r="AZ58" s="100">
        <v>5.5598025352215332</v>
      </c>
      <c r="BA58" s="100">
        <v>6544.9995444627893</v>
      </c>
      <c r="BB58" s="100">
        <v>5.9621796853476985</v>
      </c>
      <c r="BC58" s="100">
        <v>7018.6779255913107</v>
      </c>
      <c r="BD58" s="100">
        <v>6</v>
      </c>
      <c r="BE58" s="100">
        <v>7063.2000000000007</v>
      </c>
      <c r="BF58" s="100">
        <v>5.9033459406157078</v>
      </c>
      <c r="BG58" s="100">
        <v>6949.4188412928115</v>
      </c>
      <c r="BH58" s="100">
        <v>7.9189163161240428</v>
      </c>
      <c r="BI58" s="100">
        <v>9322.1482873412242</v>
      </c>
      <c r="BJ58" s="100">
        <v>8</v>
      </c>
      <c r="BK58" s="100">
        <v>9417.6</v>
      </c>
      <c r="BL58" s="100">
        <v>6.3801710446297895</v>
      </c>
      <c r="BM58" s="100">
        <v>7510.7373537381882</v>
      </c>
      <c r="BN58" s="100">
        <v>7</v>
      </c>
      <c r="BO58" s="100">
        <v>8240.4</v>
      </c>
      <c r="BP58" s="100">
        <v>6.5728104842853243</v>
      </c>
      <c r="BQ58" s="100">
        <v>7737.5125021006843</v>
      </c>
      <c r="BR58" s="100">
        <v>5.61250208531842</v>
      </c>
      <c r="BS58" s="100">
        <v>6607.0374548368445</v>
      </c>
      <c r="BT58" s="100">
        <v>6.648871777928683</v>
      </c>
      <c r="BU58" s="100">
        <v>7827.0518569776459</v>
      </c>
      <c r="BV58" s="100">
        <v>7</v>
      </c>
      <c r="BW58" s="100">
        <v>8240.4</v>
      </c>
      <c r="BX58" s="100">
        <v>6.6117899047827278</v>
      </c>
      <c r="BY58" s="100">
        <v>7783.3990759102271</v>
      </c>
      <c r="BZ58" s="100">
        <v>2.7103413295088572</v>
      </c>
      <c r="CA58" s="100">
        <v>3190.613813097827</v>
      </c>
      <c r="CB58" s="100">
        <v>7.3782720178481886</v>
      </c>
      <c r="CC58" s="100">
        <v>8685.7018194108878</v>
      </c>
      <c r="CD58" s="100">
        <v>4.3658541566900881</v>
      </c>
      <c r="CE58" s="100">
        <v>5139.4835132555718</v>
      </c>
      <c r="CF58" s="100">
        <v>6.8701258303245041</v>
      </c>
      <c r="CG58" s="100">
        <v>8087.5121274580069</v>
      </c>
      <c r="CH58" s="100">
        <v>9.4825239963778341</v>
      </c>
      <c r="CI58" s="100">
        <v>11162.827248535987</v>
      </c>
      <c r="CJ58" s="100">
        <v>4.504555589745129</v>
      </c>
      <c r="CK58" s="100">
        <v>5302.7628402479659</v>
      </c>
      <c r="CL58" s="100">
        <v>8.2521769308833566</v>
      </c>
      <c r="CM58" s="100">
        <v>9714.4626830358884</v>
      </c>
      <c r="CN58" s="100">
        <v>4.5243994469686761</v>
      </c>
      <c r="CO58" s="100">
        <v>5326.1230289715259</v>
      </c>
      <c r="CP58" s="100">
        <v>0.82034841769235167</v>
      </c>
      <c r="CQ58" s="100">
        <v>965.71415730743638</v>
      </c>
      <c r="CR58" s="100">
        <v>6.620661056540591</v>
      </c>
      <c r="CS58" s="100">
        <v>7793.8421957595838</v>
      </c>
      <c r="CT58" s="100">
        <v>4.9549704602601947</v>
      </c>
      <c r="CU58" s="100">
        <v>5832.9912258183012</v>
      </c>
    </row>
    <row r="59" spans="2:99">
      <c r="C59" s="99" t="s">
        <v>225</v>
      </c>
      <c r="D59" s="100">
        <v>0.3400258453019101</v>
      </c>
      <c r="E59" s="100">
        <v>103.2318466336599</v>
      </c>
      <c r="F59" s="100">
        <v>0.29165654384069845</v>
      </c>
      <c r="G59" s="100">
        <v>88.546926710036033</v>
      </c>
      <c r="H59" s="100">
        <v>6.151390546011986</v>
      </c>
      <c r="I59" s="100">
        <v>1867.5621697692388</v>
      </c>
      <c r="J59" s="100">
        <v>7</v>
      </c>
      <c r="K59" s="100">
        <v>2125.1999999999998</v>
      </c>
      <c r="L59" s="100">
        <v>5.0485529093850268</v>
      </c>
      <c r="M59" s="100">
        <v>1532.7406632892939</v>
      </c>
      <c r="N59" s="100">
        <v>8.2163031956662351</v>
      </c>
      <c r="O59" s="100">
        <v>2494.4696502042689</v>
      </c>
      <c r="P59" s="100">
        <v>8.8513797711766671</v>
      </c>
      <c r="Q59" s="100">
        <v>2687.2788985292359</v>
      </c>
      <c r="R59" s="100">
        <v>4.3751955514754268</v>
      </c>
      <c r="S59" s="100">
        <v>1328.3093694279394</v>
      </c>
      <c r="T59" s="100">
        <v>7.7246149795464332</v>
      </c>
      <c r="U59" s="100">
        <v>2345.1931077902968</v>
      </c>
      <c r="V59" s="100">
        <v>8</v>
      </c>
      <c r="W59" s="100">
        <v>2428.7999999999997</v>
      </c>
      <c r="X59" s="100">
        <v>6</v>
      </c>
      <c r="Y59" s="100">
        <v>1821.6</v>
      </c>
      <c r="Z59" s="100">
        <v>7</v>
      </c>
      <c r="AA59" s="100">
        <v>2125.1999999999998</v>
      </c>
      <c r="AB59" s="100">
        <v>11</v>
      </c>
      <c r="AC59" s="100">
        <v>3339.5999999999995</v>
      </c>
      <c r="AD59" s="100">
        <v>11</v>
      </c>
      <c r="AE59" s="100">
        <v>3339.5999999999995</v>
      </c>
      <c r="AF59" s="100">
        <v>7</v>
      </c>
      <c r="AG59" s="100">
        <v>2125.1999999999998</v>
      </c>
      <c r="AH59" s="100">
        <v>7</v>
      </c>
      <c r="AI59" s="100">
        <v>2125.1999999999998</v>
      </c>
      <c r="AJ59" s="100">
        <v>2.5795986590078499</v>
      </c>
      <c r="AK59" s="100">
        <v>783.16615287478317</v>
      </c>
      <c r="AL59" s="100">
        <v>12</v>
      </c>
      <c r="AM59" s="100">
        <v>3643.2</v>
      </c>
      <c r="AN59" s="100">
        <v>4.8512516837787949</v>
      </c>
      <c r="AO59" s="100">
        <v>1472.8400111952419</v>
      </c>
      <c r="AP59" s="100">
        <v>11</v>
      </c>
      <c r="AQ59" s="100">
        <v>3339.5999999999995</v>
      </c>
      <c r="AR59" s="100">
        <v>8</v>
      </c>
      <c r="AS59" s="100">
        <v>2428.7999999999997</v>
      </c>
      <c r="AT59" s="100">
        <v>5.0944390554980563</v>
      </c>
      <c r="AU59" s="100">
        <v>1546.6716972492097</v>
      </c>
      <c r="AV59" s="100">
        <v>9</v>
      </c>
      <c r="AW59" s="100">
        <v>2732.3999999999996</v>
      </c>
      <c r="AX59" s="100">
        <v>9</v>
      </c>
      <c r="AY59" s="100">
        <v>2732.3999999999996</v>
      </c>
      <c r="AZ59" s="100">
        <v>7</v>
      </c>
      <c r="BA59" s="100">
        <v>2125.1999999999998</v>
      </c>
      <c r="BB59" s="100">
        <v>9</v>
      </c>
      <c r="BC59" s="100">
        <v>2732.3999999999996</v>
      </c>
      <c r="BD59" s="100">
        <v>6</v>
      </c>
      <c r="BE59" s="100">
        <v>1821.6</v>
      </c>
      <c r="BF59" s="100">
        <v>8</v>
      </c>
      <c r="BG59" s="100">
        <v>2428.7999999999997</v>
      </c>
      <c r="BH59" s="100">
        <v>10.633682358406965</v>
      </c>
      <c r="BI59" s="100">
        <v>3228.3859640123542</v>
      </c>
      <c r="BJ59" s="100">
        <v>0</v>
      </c>
      <c r="BK59" s="100">
        <v>0</v>
      </c>
      <c r="BL59" s="100">
        <v>10</v>
      </c>
      <c r="BM59" s="100">
        <v>3035.9999999999995</v>
      </c>
      <c r="BN59" s="100">
        <v>9</v>
      </c>
      <c r="BO59" s="100">
        <v>2732.3999999999996</v>
      </c>
      <c r="BP59" s="100">
        <v>7.9875344939847652</v>
      </c>
      <c r="BQ59" s="100">
        <v>2425.0154723737746</v>
      </c>
      <c r="BR59" s="100">
        <v>3.0658544287033171</v>
      </c>
      <c r="BS59" s="100">
        <v>930.79340455432703</v>
      </c>
      <c r="BT59" s="100">
        <v>8</v>
      </c>
      <c r="BU59" s="100">
        <v>2428.7999999999997</v>
      </c>
      <c r="BV59" s="100">
        <v>8</v>
      </c>
      <c r="BW59" s="100">
        <v>2428.7999999999997</v>
      </c>
      <c r="BX59" s="100">
        <v>10</v>
      </c>
      <c r="BY59" s="100">
        <v>3035.9999999999995</v>
      </c>
      <c r="BZ59" s="100">
        <v>10</v>
      </c>
      <c r="CA59" s="100">
        <v>3035.9999999999995</v>
      </c>
      <c r="CB59" s="100">
        <v>9</v>
      </c>
      <c r="CC59" s="100">
        <v>2732.3999999999996</v>
      </c>
      <c r="CD59" s="100">
        <v>6.5829035609648514</v>
      </c>
      <c r="CE59" s="100">
        <v>1998.5695211089287</v>
      </c>
      <c r="CF59" s="100">
        <v>12</v>
      </c>
      <c r="CG59" s="100">
        <v>3643.2</v>
      </c>
      <c r="CH59" s="100">
        <v>12</v>
      </c>
      <c r="CI59" s="100">
        <v>3643.2</v>
      </c>
      <c r="CJ59" s="100">
        <v>7</v>
      </c>
      <c r="CK59" s="100">
        <v>2125.1999999999998</v>
      </c>
      <c r="CL59" s="100">
        <v>3.7433104157681885</v>
      </c>
      <c r="CM59" s="100">
        <v>1136.469042227222</v>
      </c>
      <c r="CN59" s="100">
        <v>8</v>
      </c>
      <c r="CO59" s="100">
        <v>2428.7999999999997</v>
      </c>
      <c r="CP59" s="100">
        <v>7.830789079537622</v>
      </c>
      <c r="CQ59" s="100">
        <v>2377.4275645476218</v>
      </c>
      <c r="CR59" s="100">
        <v>7</v>
      </c>
      <c r="CS59" s="100">
        <v>2125.1999999999998</v>
      </c>
      <c r="CT59" s="100">
        <v>5.3957297206121311</v>
      </c>
      <c r="CU59" s="100">
        <v>1638.1435431778427</v>
      </c>
    </row>
    <row r="60" spans="2:99">
      <c r="C60" s="99" t="s">
        <v>226</v>
      </c>
      <c r="D60" s="100">
        <v>0.3400258453019101</v>
      </c>
      <c r="E60" s="100">
        <v>221.56084079872463</v>
      </c>
      <c r="F60" s="100">
        <v>0.29165654384069845</v>
      </c>
      <c r="G60" s="100">
        <v>190.0434039665991</v>
      </c>
      <c r="H60" s="100">
        <v>6.151390546011986</v>
      </c>
      <c r="I60" s="100">
        <v>4008.2460797814101</v>
      </c>
      <c r="J60" s="100">
        <v>7</v>
      </c>
      <c r="K60" s="100">
        <v>4561.2</v>
      </c>
      <c r="L60" s="100">
        <v>4.5436976184465241</v>
      </c>
      <c r="M60" s="100">
        <v>2960.673368179755</v>
      </c>
      <c r="N60" s="100">
        <v>8.2163031956662351</v>
      </c>
      <c r="O60" s="100">
        <v>5353.7431622961194</v>
      </c>
      <c r="P60" s="100">
        <v>7.9662417940590009</v>
      </c>
      <c r="Q60" s="100">
        <v>5190.8031530088456</v>
      </c>
      <c r="R60" s="100">
        <v>5.0002234874004872</v>
      </c>
      <c r="S60" s="100">
        <v>3258.1456243901575</v>
      </c>
      <c r="T60" s="100">
        <v>8.5829055328293702</v>
      </c>
      <c r="U60" s="100">
        <v>5592.6212451916181</v>
      </c>
      <c r="V60" s="100">
        <v>8</v>
      </c>
      <c r="W60" s="100">
        <v>5212.8</v>
      </c>
      <c r="X60" s="100">
        <v>6</v>
      </c>
      <c r="Y60" s="100">
        <v>3909.6000000000004</v>
      </c>
      <c r="Z60" s="100">
        <v>7</v>
      </c>
      <c r="AA60" s="100">
        <v>4561.2</v>
      </c>
      <c r="AB60" s="100">
        <v>12</v>
      </c>
      <c r="AC60" s="100">
        <v>7819.2000000000007</v>
      </c>
      <c r="AD60" s="100">
        <v>9</v>
      </c>
      <c r="AE60" s="100">
        <v>5864.4000000000005</v>
      </c>
      <c r="AF60" s="100">
        <v>9</v>
      </c>
      <c r="AG60" s="100">
        <v>5864.4000000000005</v>
      </c>
      <c r="AH60" s="100">
        <v>6</v>
      </c>
      <c r="AI60" s="100">
        <v>3909.6000000000004</v>
      </c>
      <c r="AJ60" s="100">
        <v>2.5795986590078499</v>
      </c>
      <c r="AK60" s="100">
        <v>1680.866486209515</v>
      </c>
      <c r="AL60" s="100">
        <v>11</v>
      </c>
      <c r="AM60" s="100">
        <v>7167.6</v>
      </c>
      <c r="AN60" s="100">
        <v>4.0427097364823288</v>
      </c>
      <c r="AO60" s="100">
        <v>2634.2296642918855</v>
      </c>
      <c r="AP60" s="100">
        <v>10</v>
      </c>
      <c r="AQ60" s="100">
        <v>6516</v>
      </c>
      <c r="AR60" s="100">
        <v>9</v>
      </c>
      <c r="AS60" s="100">
        <v>5864.4000000000005</v>
      </c>
      <c r="AT60" s="100">
        <v>5.0944390554980563</v>
      </c>
      <c r="AU60" s="100">
        <v>3319.5364885625336</v>
      </c>
      <c r="AV60" s="100">
        <v>10</v>
      </c>
      <c r="AW60" s="100">
        <v>6516</v>
      </c>
      <c r="AX60" s="100">
        <v>10</v>
      </c>
      <c r="AY60" s="100">
        <v>6516</v>
      </c>
      <c r="AZ60" s="100">
        <v>7</v>
      </c>
      <c r="BA60" s="100">
        <v>4561.2</v>
      </c>
      <c r="BB60" s="100">
        <v>10</v>
      </c>
      <c r="BC60" s="100">
        <v>6516</v>
      </c>
      <c r="BD60" s="100">
        <v>7</v>
      </c>
      <c r="BE60" s="100">
        <v>4561.2</v>
      </c>
      <c r="BF60" s="100">
        <v>8</v>
      </c>
      <c r="BG60" s="100">
        <v>5212.8</v>
      </c>
      <c r="BH60" s="100">
        <v>9.7475421618730511</v>
      </c>
      <c r="BI60" s="100">
        <v>6351.4984726764806</v>
      </c>
      <c r="BJ60" s="100">
        <v>0</v>
      </c>
      <c r="BK60" s="100">
        <v>0</v>
      </c>
      <c r="BL60" s="100">
        <v>10</v>
      </c>
      <c r="BM60" s="100">
        <v>6516</v>
      </c>
      <c r="BN60" s="100">
        <v>9</v>
      </c>
      <c r="BO60" s="100">
        <v>5864.4000000000005</v>
      </c>
      <c r="BP60" s="100">
        <v>7.9875344939847652</v>
      </c>
      <c r="BQ60" s="100">
        <v>5204.6774762804735</v>
      </c>
      <c r="BR60" s="100">
        <v>3.0658544287033171</v>
      </c>
      <c r="BS60" s="100">
        <v>1997.7107457430816</v>
      </c>
      <c r="BT60" s="100">
        <v>8</v>
      </c>
      <c r="BU60" s="100">
        <v>5212.8</v>
      </c>
      <c r="BV60" s="100">
        <v>7</v>
      </c>
      <c r="BW60" s="100">
        <v>4561.2</v>
      </c>
      <c r="BX60" s="100">
        <v>9</v>
      </c>
      <c r="BY60" s="100">
        <v>5864.4000000000005</v>
      </c>
      <c r="BZ60" s="100">
        <v>9</v>
      </c>
      <c r="CA60" s="100">
        <v>5864.4000000000005</v>
      </c>
      <c r="CB60" s="100">
        <v>8</v>
      </c>
      <c r="CC60" s="100">
        <v>5212.8</v>
      </c>
      <c r="CD60" s="100">
        <v>5.6424887665413017</v>
      </c>
      <c r="CE60" s="100">
        <v>3676.6456802783123</v>
      </c>
      <c r="CF60" s="100">
        <v>11</v>
      </c>
      <c r="CG60" s="100">
        <v>7167.6</v>
      </c>
      <c r="CH60" s="100">
        <v>11</v>
      </c>
      <c r="CI60" s="100">
        <v>7167.6</v>
      </c>
      <c r="CJ60" s="100">
        <v>8</v>
      </c>
      <c r="CK60" s="100">
        <v>5212.8</v>
      </c>
      <c r="CL60" s="100">
        <v>3.7433104157681885</v>
      </c>
      <c r="CM60" s="100">
        <v>2439.1410669145516</v>
      </c>
      <c r="CN60" s="100">
        <v>9</v>
      </c>
      <c r="CO60" s="100">
        <v>5864.4000000000005</v>
      </c>
      <c r="CP60" s="100">
        <v>7.830789079537622</v>
      </c>
      <c r="CQ60" s="100">
        <v>5102.5421642267147</v>
      </c>
      <c r="CR60" s="100">
        <v>7</v>
      </c>
      <c r="CS60" s="100">
        <v>4561.2</v>
      </c>
      <c r="CT60" s="100">
        <v>5.3957297206121311</v>
      </c>
      <c r="CU60" s="100">
        <v>3515.8574859508649</v>
      </c>
    </row>
    <row r="61" spans="2:99">
      <c r="C61" s="99" t="s">
        <v>227</v>
      </c>
      <c r="D61" s="100">
        <v>0.30224519582392007</v>
      </c>
      <c r="E61" s="100">
        <v>287.61652834604229</v>
      </c>
      <c r="F61" s="100">
        <v>0.29165654384069845</v>
      </c>
      <c r="G61" s="100">
        <v>277.5403671188086</v>
      </c>
      <c r="H61" s="100">
        <v>6.151390546011986</v>
      </c>
      <c r="I61" s="100">
        <v>5853.6632435850051</v>
      </c>
      <c r="J61" s="100">
        <v>7</v>
      </c>
      <c r="K61" s="100">
        <v>6661.1999999999989</v>
      </c>
      <c r="L61" s="100">
        <v>4.5436976184465241</v>
      </c>
      <c r="M61" s="100">
        <v>4323.7826537137116</v>
      </c>
      <c r="N61" s="100">
        <v>8.2163031956662351</v>
      </c>
      <c r="O61" s="100">
        <v>7818.6341209959883</v>
      </c>
      <c r="P61" s="100">
        <v>7.9662417940590009</v>
      </c>
      <c r="Q61" s="100">
        <v>7580.6756912265446</v>
      </c>
      <c r="R61" s="100">
        <v>5.0002234874004872</v>
      </c>
      <c r="S61" s="100">
        <v>4758.2126706103036</v>
      </c>
      <c r="T61" s="100">
        <v>7.7246149795464332</v>
      </c>
      <c r="U61" s="100">
        <v>7350.7436145363854</v>
      </c>
      <c r="V61" s="100">
        <v>9</v>
      </c>
      <c r="W61" s="100">
        <v>8564.4</v>
      </c>
      <c r="X61" s="100">
        <v>6</v>
      </c>
      <c r="Y61" s="100">
        <v>5709.5999999999995</v>
      </c>
      <c r="Z61" s="100">
        <v>6</v>
      </c>
      <c r="AA61" s="100">
        <v>5709.5999999999995</v>
      </c>
      <c r="AB61" s="100">
        <v>10</v>
      </c>
      <c r="AC61" s="100">
        <v>9516</v>
      </c>
      <c r="AD61" s="100">
        <v>10</v>
      </c>
      <c r="AE61" s="100">
        <v>9516</v>
      </c>
      <c r="AF61" s="100">
        <v>8</v>
      </c>
      <c r="AG61" s="100">
        <v>7612.7999999999993</v>
      </c>
      <c r="AH61" s="100">
        <v>7</v>
      </c>
      <c r="AI61" s="100">
        <v>6661.1999999999989</v>
      </c>
      <c r="AJ61" s="100">
        <v>2.2110845648638713</v>
      </c>
      <c r="AK61" s="100">
        <v>2104.0680719244597</v>
      </c>
      <c r="AL61" s="100">
        <v>11</v>
      </c>
      <c r="AM61" s="100">
        <v>10467.599999999999</v>
      </c>
      <c r="AN61" s="100">
        <v>4.0427097364823288</v>
      </c>
      <c r="AO61" s="100">
        <v>3847.0425852365838</v>
      </c>
      <c r="AP61" s="100">
        <v>9</v>
      </c>
      <c r="AQ61" s="100">
        <v>8564.4</v>
      </c>
      <c r="AR61" s="100">
        <v>9</v>
      </c>
      <c r="AS61" s="100">
        <v>8564.4</v>
      </c>
      <c r="AT61" s="100">
        <v>3.8208292916235425</v>
      </c>
      <c r="AU61" s="100">
        <v>3635.9011539089624</v>
      </c>
      <c r="AV61" s="100">
        <v>10</v>
      </c>
      <c r="AW61" s="100">
        <v>9516</v>
      </c>
      <c r="AX61" s="100">
        <v>10</v>
      </c>
      <c r="AY61" s="100">
        <v>9516</v>
      </c>
      <c r="AZ61" s="100">
        <v>7</v>
      </c>
      <c r="BA61" s="100">
        <v>6661.1999999999989</v>
      </c>
      <c r="BB61" s="100">
        <v>9</v>
      </c>
      <c r="BC61" s="100">
        <v>8564.4</v>
      </c>
      <c r="BD61" s="100">
        <v>6</v>
      </c>
      <c r="BE61" s="100">
        <v>5709.5999999999995</v>
      </c>
      <c r="BF61" s="100">
        <v>8</v>
      </c>
      <c r="BG61" s="100">
        <v>7612.7999999999993</v>
      </c>
      <c r="BH61" s="100">
        <v>8.8614019653391374</v>
      </c>
      <c r="BI61" s="100">
        <v>8432.5101102167228</v>
      </c>
      <c r="BJ61" s="100">
        <v>0</v>
      </c>
      <c r="BK61" s="100">
        <v>0</v>
      </c>
      <c r="BL61" s="100">
        <v>9</v>
      </c>
      <c r="BM61" s="100">
        <v>8564.4</v>
      </c>
      <c r="BN61" s="100">
        <v>8</v>
      </c>
      <c r="BO61" s="100">
        <v>7612.7999999999993</v>
      </c>
      <c r="BP61" s="100">
        <v>8.7862879433832415</v>
      </c>
      <c r="BQ61" s="100">
        <v>8361.0316069234923</v>
      </c>
      <c r="BR61" s="100">
        <v>3.5768301668205367</v>
      </c>
      <c r="BS61" s="100">
        <v>3403.7115867464222</v>
      </c>
      <c r="BT61" s="100">
        <v>8</v>
      </c>
      <c r="BU61" s="100">
        <v>7612.7999999999993</v>
      </c>
      <c r="BV61" s="100">
        <v>7</v>
      </c>
      <c r="BW61" s="100">
        <v>6661.1999999999989</v>
      </c>
      <c r="BX61" s="100">
        <v>9</v>
      </c>
      <c r="BY61" s="100">
        <v>8564.4</v>
      </c>
      <c r="BZ61" s="100">
        <v>9</v>
      </c>
      <c r="CA61" s="100">
        <v>8564.4</v>
      </c>
      <c r="CB61" s="100">
        <v>9</v>
      </c>
      <c r="CC61" s="100">
        <v>8564.4</v>
      </c>
      <c r="CD61" s="100">
        <v>6.5829035609648514</v>
      </c>
      <c r="CE61" s="100">
        <v>6264.2910286141523</v>
      </c>
      <c r="CF61" s="100">
        <v>10</v>
      </c>
      <c r="CG61" s="100">
        <v>9516</v>
      </c>
      <c r="CH61" s="100">
        <v>11</v>
      </c>
      <c r="CI61" s="100">
        <v>10467.599999999999</v>
      </c>
      <c r="CJ61" s="100">
        <v>7</v>
      </c>
      <c r="CK61" s="100">
        <v>6661.1999999999989</v>
      </c>
      <c r="CL61" s="100">
        <v>3.7433104157681885</v>
      </c>
      <c r="CM61" s="100">
        <v>3562.1341916450078</v>
      </c>
      <c r="CN61" s="100">
        <v>8</v>
      </c>
      <c r="CO61" s="100">
        <v>7612.7999999999993</v>
      </c>
      <c r="CP61" s="100">
        <v>6.9607014040334416</v>
      </c>
      <c r="CQ61" s="100">
        <v>6623.8034560782226</v>
      </c>
      <c r="CR61" s="100">
        <v>7</v>
      </c>
      <c r="CS61" s="100">
        <v>6661.1999999999989</v>
      </c>
      <c r="CT61" s="100">
        <v>4.6249111890961121</v>
      </c>
      <c r="CU61" s="100">
        <v>4401.0654875438595</v>
      </c>
    </row>
    <row r="62" spans="2:99">
      <c r="C62" s="99" t="s">
        <v>228</v>
      </c>
      <c r="D62" s="100">
        <v>8</v>
      </c>
      <c r="E62" s="100">
        <v>13353.6</v>
      </c>
      <c r="F62" s="100">
        <v>11</v>
      </c>
      <c r="G62" s="100">
        <v>18361.2</v>
      </c>
      <c r="H62" s="100">
        <v>6.0033369038632651</v>
      </c>
      <c r="I62" s="100">
        <v>10020.769959928562</v>
      </c>
      <c r="J62" s="100">
        <v>7</v>
      </c>
      <c r="K62" s="100">
        <v>11684.4</v>
      </c>
      <c r="L62" s="100">
        <v>9</v>
      </c>
      <c r="M62" s="100">
        <v>15022.800000000001</v>
      </c>
      <c r="N62" s="100">
        <v>9</v>
      </c>
      <c r="O62" s="100">
        <v>15022.800000000001</v>
      </c>
      <c r="P62" s="100">
        <v>4.7835116574122614</v>
      </c>
      <c r="Q62" s="100">
        <v>7984.6376585525468</v>
      </c>
      <c r="R62" s="100">
        <v>7</v>
      </c>
      <c r="S62" s="100">
        <v>11684.4</v>
      </c>
      <c r="T62" s="100">
        <v>9</v>
      </c>
      <c r="U62" s="100">
        <v>15022.800000000001</v>
      </c>
      <c r="V62" s="100">
        <v>1.8488693329125783</v>
      </c>
      <c r="W62" s="100">
        <v>3086.1326904976759</v>
      </c>
      <c r="X62" s="100">
        <v>6</v>
      </c>
      <c r="Y62" s="100">
        <v>10015.200000000001</v>
      </c>
      <c r="Z62" s="100">
        <v>4.9566368298082653</v>
      </c>
      <c r="AA62" s="100">
        <v>8273.6181963159561</v>
      </c>
      <c r="AB62" s="100">
        <v>7.9131002653373441</v>
      </c>
      <c r="AC62" s="100">
        <v>13208.546962901095</v>
      </c>
      <c r="AD62" s="100">
        <v>8.4435874339633106</v>
      </c>
      <c r="AE62" s="100">
        <v>14094.036144771559</v>
      </c>
      <c r="AF62" s="100">
        <v>4.7231317208732273</v>
      </c>
      <c r="AG62" s="100">
        <v>7883.8514684815909</v>
      </c>
      <c r="AH62" s="100">
        <v>4.6986595357909824</v>
      </c>
      <c r="AI62" s="100">
        <v>7843.0024971423081</v>
      </c>
      <c r="AJ62" s="100">
        <v>5.0141303577042793</v>
      </c>
      <c r="AK62" s="100">
        <v>8369.5863930799824</v>
      </c>
      <c r="AL62" s="100">
        <v>9.2158667724355645</v>
      </c>
      <c r="AM62" s="100">
        <v>15383.124816549445</v>
      </c>
      <c r="AN62" s="100">
        <v>3.7410944323748336</v>
      </c>
      <c r="AO62" s="100">
        <v>6244.6348265200722</v>
      </c>
      <c r="AP62" s="100">
        <v>6.3862062704764764</v>
      </c>
      <c r="AQ62" s="100">
        <v>10659.855506679334</v>
      </c>
      <c r="AR62" s="100">
        <v>6.8013096780574473</v>
      </c>
      <c r="AS62" s="100">
        <v>11352.746114613492</v>
      </c>
      <c r="AT62" s="100">
        <v>4.0125720814498216</v>
      </c>
      <c r="AU62" s="100">
        <v>6697.7853183560428</v>
      </c>
      <c r="AV62" s="100">
        <v>5.571989495592379</v>
      </c>
      <c r="AW62" s="100">
        <v>9300.7648660427985</v>
      </c>
      <c r="AX62" s="100">
        <v>9</v>
      </c>
      <c r="AY62" s="100">
        <v>15022.800000000001</v>
      </c>
      <c r="AZ62" s="100">
        <v>5.5011065503958738</v>
      </c>
      <c r="BA62" s="100">
        <v>9182.4470539207923</v>
      </c>
      <c r="BB62" s="100">
        <v>1.5801583406765165</v>
      </c>
      <c r="BC62" s="100">
        <v>2637.6003022572413</v>
      </c>
      <c r="BD62" s="100">
        <v>3.9427882191637376</v>
      </c>
      <c r="BE62" s="100">
        <v>6581.302095428111</v>
      </c>
      <c r="BF62" s="100">
        <v>5.6677580650478729</v>
      </c>
      <c r="BG62" s="100">
        <v>9460.6217621779106</v>
      </c>
      <c r="BH62" s="100">
        <v>10</v>
      </c>
      <c r="BI62" s="100">
        <v>16692</v>
      </c>
      <c r="BJ62" s="100">
        <v>5.8701827381808327</v>
      </c>
      <c r="BK62" s="100">
        <v>9798.5090265714462</v>
      </c>
      <c r="BL62" s="100">
        <v>9</v>
      </c>
      <c r="BM62" s="100">
        <v>15022.800000000001</v>
      </c>
      <c r="BN62" s="100">
        <v>9</v>
      </c>
      <c r="BO62" s="100">
        <v>15022.800000000001</v>
      </c>
      <c r="BP62" s="100">
        <v>10.447185614028063</v>
      </c>
      <c r="BQ62" s="100">
        <v>17438.442226935644</v>
      </c>
      <c r="BR62" s="100">
        <v>1.3407404102709837</v>
      </c>
      <c r="BS62" s="100">
        <v>2237.9638928243262</v>
      </c>
      <c r="BT62" s="100">
        <v>8</v>
      </c>
      <c r="BU62" s="100">
        <v>13353.6</v>
      </c>
      <c r="BV62" s="100">
        <v>7</v>
      </c>
      <c r="BW62" s="100">
        <v>11684.4</v>
      </c>
      <c r="BX62" s="100">
        <v>7.3231240579271635</v>
      </c>
      <c r="BY62" s="100">
        <v>12223.758677492022</v>
      </c>
      <c r="BZ62" s="100">
        <v>6.7007977123718696</v>
      </c>
      <c r="CA62" s="100">
        <v>11184.971541491124</v>
      </c>
      <c r="CB62" s="100">
        <v>5.6238219560164939</v>
      </c>
      <c r="CC62" s="100">
        <v>9387.2836089827324</v>
      </c>
      <c r="CD62" s="100">
        <v>4.7284089630194543</v>
      </c>
      <c r="CE62" s="100">
        <v>7892.6602410720734</v>
      </c>
      <c r="CF62" s="100">
        <v>8.0608114702903073</v>
      </c>
      <c r="CG62" s="100">
        <v>13455.106506208582</v>
      </c>
      <c r="CH62" s="100">
        <v>6.4252845053038685</v>
      </c>
      <c r="CI62" s="100">
        <v>10725.084896253218</v>
      </c>
      <c r="CJ62" s="100">
        <v>5.7188189485167724</v>
      </c>
      <c r="CK62" s="100">
        <v>9545.8525888641962</v>
      </c>
      <c r="CL62" s="100">
        <v>3.2622623807515185</v>
      </c>
      <c r="CM62" s="100">
        <v>5445.368365950435</v>
      </c>
      <c r="CN62" s="100">
        <v>8</v>
      </c>
      <c r="CO62" s="100">
        <v>13353.6</v>
      </c>
      <c r="CP62" s="100">
        <v>2.1384686339826451</v>
      </c>
      <c r="CQ62" s="100">
        <v>3569.5318438438312</v>
      </c>
      <c r="CR62" s="100">
        <v>6.0504660651839748</v>
      </c>
      <c r="CS62" s="100">
        <v>10099.437956005091</v>
      </c>
      <c r="CT62" s="100">
        <v>0</v>
      </c>
      <c r="CU62" s="100">
        <v>0</v>
      </c>
    </row>
    <row r="63" spans="2:99">
      <c r="C63" s="99" t="s">
        <v>229</v>
      </c>
      <c r="D63" s="100">
        <v>0.30224519582392007</v>
      </c>
      <c r="E63" s="100">
        <v>240.4662777975108</v>
      </c>
      <c r="F63" s="100">
        <v>0.26514231258245313</v>
      </c>
      <c r="G63" s="100">
        <v>210.94722389059973</v>
      </c>
      <c r="H63" s="100">
        <v>7.0301606240136989</v>
      </c>
      <c r="I63" s="100">
        <v>5593.1957924652988</v>
      </c>
      <c r="J63" s="100">
        <v>6</v>
      </c>
      <c r="K63" s="100">
        <v>4773.6000000000004</v>
      </c>
      <c r="L63" s="100">
        <v>4.0388423275080214</v>
      </c>
      <c r="M63" s="100">
        <v>3213.3029557653817</v>
      </c>
      <c r="N63" s="100">
        <v>8.2163031956662351</v>
      </c>
      <c r="O63" s="100">
        <v>6536.8908224720572</v>
      </c>
      <c r="P63" s="100">
        <v>7.9662417940590009</v>
      </c>
      <c r="Q63" s="100">
        <v>6337.9419713533416</v>
      </c>
      <c r="R63" s="100">
        <v>4.3751955514754268</v>
      </c>
      <c r="S63" s="100">
        <v>3480.9055807538498</v>
      </c>
      <c r="T63" s="100">
        <v>8.5829055328293702</v>
      </c>
      <c r="U63" s="100">
        <v>6828.559641919047</v>
      </c>
      <c r="V63" s="100">
        <v>8</v>
      </c>
      <c r="W63" s="100">
        <v>6364.8</v>
      </c>
      <c r="X63" s="100">
        <v>6</v>
      </c>
      <c r="Y63" s="100">
        <v>4773.6000000000004</v>
      </c>
      <c r="Z63" s="100">
        <v>6</v>
      </c>
      <c r="AA63" s="100">
        <v>4773.6000000000004</v>
      </c>
      <c r="AB63" s="100">
        <v>11</v>
      </c>
      <c r="AC63" s="100">
        <v>8751.6</v>
      </c>
      <c r="AD63" s="100">
        <v>11</v>
      </c>
      <c r="AE63" s="100">
        <v>8751.6</v>
      </c>
      <c r="AF63" s="100">
        <v>7</v>
      </c>
      <c r="AG63" s="100">
        <v>5569.2</v>
      </c>
      <c r="AH63" s="100">
        <v>7</v>
      </c>
      <c r="AI63" s="100">
        <v>5569.2</v>
      </c>
      <c r="AJ63" s="100">
        <v>2.5795986590078499</v>
      </c>
      <c r="AK63" s="100">
        <v>2052.3286931066455</v>
      </c>
      <c r="AL63" s="100">
        <v>12</v>
      </c>
      <c r="AM63" s="100">
        <v>9547.2000000000007</v>
      </c>
      <c r="AN63" s="100">
        <v>4.0427097364823288</v>
      </c>
      <c r="AO63" s="100">
        <v>3216.3798663453408</v>
      </c>
      <c r="AP63" s="100">
        <v>10</v>
      </c>
      <c r="AQ63" s="100">
        <v>7956</v>
      </c>
      <c r="AR63" s="100">
        <v>9</v>
      </c>
      <c r="AS63" s="100">
        <v>7160.4000000000005</v>
      </c>
      <c r="AT63" s="100">
        <v>5.0944390554980563</v>
      </c>
      <c r="AU63" s="100">
        <v>4053.1357125542536</v>
      </c>
      <c r="AV63" s="100">
        <v>10</v>
      </c>
      <c r="AW63" s="100">
        <v>7956</v>
      </c>
      <c r="AX63" s="100">
        <v>10</v>
      </c>
      <c r="AY63" s="100">
        <v>7956</v>
      </c>
      <c r="AZ63" s="100">
        <v>6</v>
      </c>
      <c r="BA63" s="100">
        <v>4773.6000000000004</v>
      </c>
      <c r="BB63" s="100">
        <v>10</v>
      </c>
      <c r="BC63" s="100">
        <v>7956</v>
      </c>
      <c r="BD63" s="100">
        <v>6</v>
      </c>
      <c r="BE63" s="100">
        <v>4773.6000000000004</v>
      </c>
      <c r="BF63" s="100">
        <v>7</v>
      </c>
      <c r="BG63" s="100">
        <v>5569.2</v>
      </c>
      <c r="BH63" s="100">
        <v>9.7475421618730511</v>
      </c>
      <c r="BI63" s="100">
        <v>7755.1445439862</v>
      </c>
      <c r="BJ63" s="100">
        <v>0</v>
      </c>
      <c r="BK63" s="100">
        <v>0</v>
      </c>
      <c r="BL63" s="100">
        <v>9</v>
      </c>
      <c r="BM63" s="100">
        <v>7160.4000000000005</v>
      </c>
      <c r="BN63" s="100">
        <v>9</v>
      </c>
      <c r="BO63" s="100">
        <v>7160.4000000000005</v>
      </c>
      <c r="BP63" s="100">
        <v>7.9875344939847652</v>
      </c>
      <c r="BQ63" s="100">
        <v>6354.8824434142798</v>
      </c>
      <c r="BR63" s="100">
        <v>3.5768301668205367</v>
      </c>
      <c r="BS63" s="100">
        <v>2845.7260807224193</v>
      </c>
      <c r="BT63" s="100">
        <v>8</v>
      </c>
      <c r="BU63" s="100">
        <v>6364.8</v>
      </c>
      <c r="BV63" s="100">
        <v>8</v>
      </c>
      <c r="BW63" s="100">
        <v>6364.8</v>
      </c>
      <c r="BX63" s="100">
        <v>9</v>
      </c>
      <c r="BY63" s="100">
        <v>7160.4000000000005</v>
      </c>
      <c r="BZ63" s="100">
        <v>10</v>
      </c>
      <c r="CA63" s="100">
        <v>7956</v>
      </c>
      <c r="CB63" s="100">
        <v>8</v>
      </c>
      <c r="CC63" s="100">
        <v>6364.8</v>
      </c>
      <c r="CD63" s="100">
        <v>6.5829035609648514</v>
      </c>
      <c r="CE63" s="100">
        <v>5237.3580731036363</v>
      </c>
      <c r="CF63" s="100">
        <v>11</v>
      </c>
      <c r="CG63" s="100">
        <v>8751.6</v>
      </c>
      <c r="CH63" s="100">
        <v>12</v>
      </c>
      <c r="CI63" s="100">
        <v>9547.2000000000007</v>
      </c>
      <c r="CJ63" s="100">
        <v>7</v>
      </c>
      <c r="CK63" s="100">
        <v>5569.2</v>
      </c>
      <c r="CL63" s="100">
        <v>4.2112242177392121</v>
      </c>
      <c r="CM63" s="100">
        <v>3350.4499876333171</v>
      </c>
      <c r="CN63" s="100">
        <v>8</v>
      </c>
      <c r="CO63" s="100">
        <v>6364.8</v>
      </c>
      <c r="CP63" s="100">
        <v>6.9607014040334416</v>
      </c>
      <c r="CQ63" s="100">
        <v>5537.9340370490063</v>
      </c>
      <c r="CR63" s="100">
        <v>6</v>
      </c>
      <c r="CS63" s="100">
        <v>4773.6000000000004</v>
      </c>
      <c r="CT63" s="100">
        <v>4.6249111890961121</v>
      </c>
      <c r="CU63" s="100">
        <v>3679.5793420448667</v>
      </c>
    </row>
    <row r="64" spans="2:99">
      <c r="C64" s="99" t="s">
        <v>230</v>
      </c>
      <c r="D64" s="100">
        <v>0.30224519582392007</v>
      </c>
      <c r="E64" s="100">
        <v>305.02585162550008</v>
      </c>
      <c r="F64" s="100">
        <v>0.29165654384069845</v>
      </c>
      <c r="G64" s="100">
        <v>294.3397840440328</v>
      </c>
      <c r="H64" s="100">
        <v>5.272620468010274</v>
      </c>
      <c r="I64" s="100">
        <v>5321.1285763159676</v>
      </c>
      <c r="J64" s="100">
        <v>7</v>
      </c>
      <c r="K64" s="100">
        <v>7064.3999999999987</v>
      </c>
      <c r="L64" s="100">
        <v>4.5436976184465241</v>
      </c>
      <c r="M64" s="100">
        <v>4585.4996365362313</v>
      </c>
      <c r="N64" s="100">
        <v>7.3033806183699861</v>
      </c>
      <c r="O64" s="100">
        <v>7370.5717200589888</v>
      </c>
      <c r="P64" s="100">
        <v>8.8513797711766671</v>
      </c>
      <c r="Q64" s="100">
        <v>8932.8124650714908</v>
      </c>
      <c r="R64" s="100">
        <v>5.0002234874004872</v>
      </c>
      <c r="S64" s="100">
        <v>5046.2255434845711</v>
      </c>
      <c r="T64" s="100">
        <v>7.7246149795464332</v>
      </c>
      <c r="U64" s="100">
        <v>7795.6814373582592</v>
      </c>
      <c r="V64" s="100">
        <v>8</v>
      </c>
      <c r="W64" s="100">
        <v>8073.5999999999985</v>
      </c>
      <c r="X64" s="100">
        <v>6</v>
      </c>
      <c r="Y64" s="100">
        <v>6055.1999999999989</v>
      </c>
      <c r="Z64" s="100">
        <v>7</v>
      </c>
      <c r="AA64" s="100">
        <v>7064.3999999999987</v>
      </c>
      <c r="AB64" s="100">
        <v>11</v>
      </c>
      <c r="AC64" s="100">
        <v>11101.199999999997</v>
      </c>
      <c r="AD64" s="100">
        <v>10</v>
      </c>
      <c r="AE64" s="100">
        <v>10091.999999999998</v>
      </c>
      <c r="AF64" s="100">
        <v>8</v>
      </c>
      <c r="AG64" s="100">
        <v>8073.5999999999985</v>
      </c>
      <c r="AH64" s="100">
        <v>6</v>
      </c>
      <c r="AI64" s="100">
        <v>6055.1999999999989</v>
      </c>
      <c r="AJ64" s="100">
        <v>2.5795986590078499</v>
      </c>
      <c r="AK64" s="100">
        <v>2603.3309666707219</v>
      </c>
      <c r="AL64" s="100">
        <v>11</v>
      </c>
      <c r="AM64" s="100">
        <v>11101.199999999997</v>
      </c>
      <c r="AN64" s="100">
        <v>4.0427097364823288</v>
      </c>
      <c r="AO64" s="100">
        <v>4079.9026660579657</v>
      </c>
      <c r="AP64" s="100">
        <v>9</v>
      </c>
      <c r="AQ64" s="100">
        <v>9082.7999999999993</v>
      </c>
      <c r="AR64" s="100">
        <v>8</v>
      </c>
      <c r="AS64" s="100">
        <v>8073.5999999999985</v>
      </c>
      <c r="AT64" s="100">
        <v>4.4576341735607992</v>
      </c>
      <c r="AU64" s="100">
        <v>4498.6444079575576</v>
      </c>
      <c r="AV64" s="100">
        <v>9</v>
      </c>
      <c r="AW64" s="100">
        <v>9082.7999999999993</v>
      </c>
      <c r="AX64" s="100">
        <v>10</v>
      </c>
      <c r="AY64" s="100">
        <v>10091.999999999998</v>
      </c>
      <c r="AZ64" s="100">
        <v>7</v>
      </c>
      <c r="BA64" s="100">
        <v>7064.3999999999987</v>
      </c>
      <c r="BB64" s="100">
        <v>9</v>
      </c>
      <c r="BC64" s="100">
        <v>9082.7999999999993</v>
      </c>
      <c r="BD64" s="100">
        <v>6</v>
      </c>
      <c r="BE64" s="100">
        <v>6055.1999999999989</v>
      </c>
      <c r="BF64" s="100">
        <v>8</v>
      </c>
      <c r="BG64" s="100">
        <v>8073.5999999999985</v>
      </c>
      <c r="BH64" s="100">
        <v>8.8614019653391374</v>
      </c>
      <c r="BI64" s="100">
        <v>8942.9268634202563</v>
      </c>
      <c r="BJ64" s="100">
        <v>0</v>
      </c>
      <c r="BK64" s="100">
        <v>0</v>
      </c>
      <c r="BL64" s="100">
        <v>9</v>
      </c>
      <c r="BM64" s="100">
        <v>9082.7999999999993</v>
      </c>
      <c r="BN64" s="100">
        <v>8</v>
      </c>
      <c r="BO64" s="100">
        <v>8073.5999999999985</v>
      </c>
      <c r="BP64" s="100">
        <v>7.9875344939847652</v>
      </c>
      <c r="BQ64" s="100">
        <v>8061.0198113294236</v>
      </c>
      <c r="BR64" s="100">
        <v>3.5768301668205367</v>
      </c>
      <c r="BS64" s="100">
        <v>3609.7370043552851</v>
      </c>
      <c r="BT64" s="100">
        <v>8</v>
      </c>
      <c r="BU64" s="100">
        <v>8073.5999999999985</v>
      </c>
      <c r="BV64" s="100">
        <v>7</v>
      </c>
      <c r="BW64" s="100">
        <v>7064.3999999999987</v>
      </c>
      <c r="BX64" s="100">
        <v>9</v>
      </c>
      <c r="BY64" s="100">
        <v>9082.7999999999993</v>
      </c>
      <c r="BZ64" s="100">
        <v>9</v>
      </c>
      <c r="CA64" s="100">
        <v>9082.7999999999993</v>
      </c>
      <c r="CB64" s="100">
        <v>9</v>
      </c>
      <c r="CC64" s="100">
        <v>9082.7999999999993</v>
      </c>
      <c r="CD64" s="100">
        <v>5.6424887665413017</v>
      </c>
      <c r="CE64" s="100">
        <v>5694.3996631934806</v>
      </c>
      <c r="CF64" s="100">
        <v>11</v>
      </c>
      <c r="CG64" s="100">
        <v>11101.199999999997</v>
      </c>
      <c r="CH64" s="100">
        <v>11</v>
      </c>
      <c r="CI64" s="100">
        <v>11101.199999999997</v>
      </c>
      <c r="CJ64" s="100">
        <v>6</v>
      </c>
      <c r="CK64" s="100">
        <v>6055.1999999999989</v>
      </c>
      <c r="CL64" s="100">
        <v>3.7433104157681885</v>
      </c>
      <c r="CM64" s="100">
        <v>3777.748871593255</v>
      </c>
      <c r="CN64" s="100">
        <v>7</v>
      </c>
      <c r="CO64" s="100">
        <v>7064.3999999999987</v>
      </c>
      <c r="CP64" s="100">
        <v>6.9607014040334416</v>
      </c>
      <c r="CQ64" s="100">
        <v>7024.7398569505476</v>
      </c>
      <c r="CR64" s="100">
        <v>7</v>
      </c>
      <c r="CS64" s="100">
        <v>7064.3999999999987</v>
      </c>
      <c r="CT64" s="100">
        <v>5.3957297206121311</v>
      </c>
      <c r="CU64" s="100">
        <v>5445.3704340417617</v>
      </c>
    </row>
    <row r="65" spans="2:99">
      <c r="C65" s="99" t="s">
        <v>231</v>
      </c>
      <c r="D65" s="100">
        <v>0.26446454634593008</v>
      </c>
      <c r="E65" s="100">
        <v>271.34062455092425</v>
      </c>
      <c r="F65" s="100">
        <v>0.29165654384069845</v>
      </c>
      <c r="G65" s="100">
        <v>299.23961398055661</v>
      </c>
      <c r="H65" s="100">
        <v>6.151390546011986</v>
      </c>
      <c r="I65" s="100">
        <v>6311.3267002082976</v>
      </c>
      <c r="J65" s="100">
        <v>6</v>
      </c>
      <c r="K65" s="100">
        <v>6156</v>
      </c>
      <c r="L65" s="100">
        <v>4.0388423275080214</v>
      </c>
      <c r="M65" s="100">
        <v>4143.8522280232301</v>
      </c>
      <c r="N65" s="100">
        <v>8.2163031956662351</v>
      </c>
      <c r="O65" s="100">
        <v>8429.927078753557</v>
      </c>
      <c r="P65" s="100">
        <v>7.9662417940590009</v>
      </c>
      <c r="Q65" s="100">
        <v>8173.3640807045349</v>
      </c>
      <c r="R65" s="100">
        <v>5.0002234874004872</v>
      </c>
      <c r="S65" s="100">
        <v>5130.2292980728998</v>
      </c>
      <c r="T65" s="100">
        <v>7.7246149795464332</v>
      </c>
      <c r="U65" s="100">
        <v>7925.4549690146405</v>
      </c>
      <c r="V65" s="100">
        <v>9</v>
      </c>
      <c r="W65" s="100">
        <v>9234</v>
      </c>
      <c r="X65" s="100">
        <v>6</v>
      </c>
      <c r="Y65" s="100">
        <v>6156</v>
      </c>
      <c r="Z65" s="100">
        <v>6</v>
      </c>
      <c r="AA65" s="100">
        <v>6156</v>
      </c>
      <c r="AB65" s="100">
        <v>11</v>
      </c>
      <c r="AC65" s="100">
        <v>11286</v>
      </c>
      <c r="AD65" s="100">
        <v>9</v>
      </c>
      <c r="AE65" s="100">
        <v>9234</v>
      </c>
      <c r="AF65" s="100">
        <v>8</v>
      </c>
      <c r="AG65" s="100">
        <v>8208</v>
      </c>
      <c r="AH65" s="100">
        <v>7</v>
      </c>
      <c r="AI65" s="100">
        <v>7182</v>
      </c>
      <c r="AJ65" s="100">
        <v>2.5795986590078499</v>
      </c>
      <c r="AK65" s="100">
        <v>2646.668224142054</v>
      </c>
      <c r="AL65" s="100">
        <v>11</v>
      </c>
      <c r="AM65" s="100">
        <v>11286</v>
      </c>
      <c r="AN65" s="100">
        <v>4.8512516837787949</v>
      </c>
      <c r="AO65" s="100">
        <v>4977.3842275570432</v>
      </c>
      <c r="AP65" s="100">
        <v>10</v>
      </c>
      <c r="AQ65" s="100">
        <v>10260</v>
      </c>
      <c r="AR65" s="100">
        <v>8</v>
      </c>
      <c r="AS65" s="100">
        <v>8208</v>
      </c>
      <c r="AT65" s="100">
        <v>4.4576341735607992</v>
      </c>
      <c r="AU65" s="100">
        <v>4573.5326620733804</v>
      </c>
      <c r="AV65" s="100">
        <v>10</v>
      </c>
      <c r="AW65" s="100">
        <v>10260</v>
      </c>
      <c r="AX65" s="100">
        <v>9</v>
      </c>
      <c r="AY65" s="100">
        <v>9234</v>
      </c>
      <c r="AZ65" s="100">
        <v>7</v>
      </c>
      <c r="BA65" s="100">
        <v>7182</v>
      </c>
      <c r="BB65" s="100">
        <v>9</v>
      </c>
      <c r="BC65" s="100">
        <v>9234</v>
      </c>
      <c r="BD65" s="100">
        <v>5</v>
      </c>
      <c r="BE65" s="100">
        <v>5130</v>
      </c>
      <c r="BF65" s="100">
        <v>7</v>
      </c>
      <c r="BG65" s="100">
        <v>7182</v>
      </c>
      <c r="BH65" s="100">
        <v>9.7475421618730511</v>
      </c>
      <c r="BI65" s="100">
        <v>10000.97825808175</v>
      </c>
      <c r="BJ65" s="100">
        <v>0</v>
      </c>
      <c r="BK65" s="100">
        <v>0</v>
      </c>
      <c r="BL65" s="100">
        <v>9</v>
      </c>
      <c r="BM65" s="100">
        <v>9234</v>
      </c>
      <c r="BN65" s="100">
        <v>8</v>
      </c>
      <c r="BO65" s="100">
        <v>8208</v>
      </c>
      <c r="BP65" s="100">
        <v>7.9875344939847652</v>
      </c>
      <c r="BQ65" s="100">
        <v>8195.2103908283698</v>
      </c>
      <c r="BR65" s="100">
        <v>3.5768301668205367</v>
      </c>
      <c r="BS65" s="100">
        <v>3669.8277511578708</v>
      </c>
      <c r="BT65" s="100">
        <v>9</v>
      </c>
      <c r="BU65" s="100">
        <v>9234</v>
      </c>
      <c r="BV65" s="100">
        <v>7</v>
      </c>
      <c r="BW65" s="100">
        <v>7182</v>
      </c>
      <c r="BX65" s="100">
        <v>9</v>
      </c>
      <c r="BY65" s="100">
        <v>9234</v>
      </c>
      <c r="BZ65" s="100">
        <v>10</v>
      </c>
      <c r="CA65" s="100">
        <v>10260</v>
      </c>
      <c r="CB65" s="100">
        <v>9</v>
      </c>
      <c r="CC65" s="100">
        <v>9234</v>
      </c>
      <c r="CD65" s="100">
        <v>5.6424887665413017</v>
      </c>
      <c r="CE65" s="100">
        <v>5789.1934744713753</v>
      </c>
      <c r="CF65" s="100">
        <v>9</v>
      </c>
      <c r="CG65" s="100">
        <v>9234</v>
      </c>
      <c r="CH65" s="100">
        <v>12</v>
      </c>
      <c r="CI65" s="100">
        <v>12312</v>
      </c>
      <c r="CJ65" s="100">
        <v>7</v>
      </c>
      <c r="CK65" s="100">
        <v>7182</v>
      </c>
      <c r="CL65" s="100">
        <v>3.7433104157681885</v>
      </c>
      <c r="CM65" s="100">
        <v>3840.6364865781616</v>
      </c>
      <c r="CN65" s="100">
        <v>7</v>
      </c>
      <c r="CO65" s="100">
        <v>7182</v>
      </c>
      <c r="CP65" s="100">
        <v>6.0906137285292612</v>
      </c>
      <c r="CQ65" s="100">
        <v>6248.9696854710219</v>
      </c>
      <c r="CR65" s="100">
        <v>8</v>
      </c>
      <c r="CS65" s="100">
        <v>8208</v>
      </c>
      <c r="CT65" s="100">
        <v>4.6249111890961121</v>
      </c>
      <c r="CU65" s="100">
        <v>4745.158880012611</v>
      </c>
    </row>
    <row r="66" spans="2:99">
      <c r="C66" s="99" t="s">
        <v>232</v>
      </c>
      <c r="D66" s="100">
        <v>0.3400258453019101</v>
      </c>
      <c r="E66" s="100">
        <v>404.76676624739372</v>
      </c>
      <c r="F66" s="100">
        <v>0.29165654384069845</v>
      </c>
      <c r="G66" s="100">
        <v>347.1879497879674</v>
      </c>
      <c r="H66" s="100">
        <v>6.151390546011986</v>
      </c>
      <c r="I66" s="100">
        <v>7322.6153059726676</v>
      </c>
      <c r="J66" s="100">
        <v>7</v>
      </c>
      <c r="K66" s="100">
        <v>8332.7999999999993</v>
      </c>
      <c r="L66" s="100">
        <v>4.0388423275080214</v>
      </c>
      <c r="M66" s="100">
        <v>4807.837906665548</v>
      </c>
      <c r="N66" s="100">
        <v>8.2163031956662351</v>
      </c>
      <c r="O66" s="100">
        <v>9780.6873241210851</v>
      </c>
      <c r="P66" s="100">
        <v>7.9662417940590009</v>
      </c>
      <c r="Q66" s="100">
        <v>9483.0142316478341</v>
      </c>
      <c r="R66" s="100">
        <v>4.3751955514754268</v>
      </c>
      <c r="S66" s="100">
        <v>5208.2327844763477</v>
      </c>
      <c r="T66" s="100">
        <v>7.7246149795464332</v>
      </c>
      <c r="U66" s="100">
        <v>9195.3816716520723</v>
      </c>
      <c r="V66" s="100">
        <v>8</v>
      </c>
      <c r="W66" s="100">
        <v>9523.1999999999989</v>
      </c>
      <c r="X66" s="100">
        <v>6</v>
      </c>
      <c r="Y66" s="100">
        <v>7142.4</v>
      </c>
      <c r="Z66" s="100">
        <v>7</v>
      </c>
      <c r="AA66" s="100">
        <v>8332.7999999999993</v>
      </c>
      <c r="AB66" s="100">
        <v>11</v>
      </c>
      <c r="AC66" s="100">
        <v>13094.399999999998</v>
      </c>
      <c r="AD66" s="100">
        <v>10</v>
      </c>
      <c r="AE66" s="100">
        <v>11903.999999999998</v>
      </c>
      <c r="AF66" s="100">
        <v>8</v>
      </c>
      <c r="AG66" s="100">
        <v>9523.1999999999989</v>
      </c>
      <c r="AH66" s="100">
        <v>6</v>
      </c>
      <c r="AI66" s="100">
        <v>7142.4</v>
      </c>
      <c r="AJ66" s="100">
        <v>2.2110845648638713</v>
      </c>
      <c r="AK66" s="100">
        <v>2632.075066013952</v>
      </c>
      <c r="AL66" s="100">
        <v>12</v>
      </c>
      <c r="AM66" s="100">
        <v>14284.8</v>
      </c>
      <c r="AN66" s="100">
        <v>4.0427097364823288</v>
      </c>
      <c r="AO66" s="100">
        <v>4812.4416703085635</v>
      </c>
      <c r="AP66" s="100">
        <v>10</v>
      </c>
      <c r="AQ66" s="100">
        <v>11903.999999999998</v>
      </c>
      <c r="AR66" s="100">
        <v>8</v>
      </c>
      <c r="AS66" s="100">
        <v>9523.1999999999989</v>
      </c>
      <c r="AT66" s="100">
        <v>5.0944390554980563</v>
      </c>
      <c r="AU66" s="100">
        <v>6064.4202516648857</v>
      </c>
      <c r="AV66" s="100">
        <v>10</v>
      </c>
      <c r="AW66" s="100">
        <v>11903.999999999998</v>
      </c>
      <c r="AX66" s="100">
        <v>9</v>
      </c>
      <c r="AY66" s="100">
        <v>10713.599999999999</v>
      </c>
      <c r="AZ66" s="100">
        <v>7</v>
      </c>
      <c r="BA66" s="100">
        <v>8332.7999999999993</v>
      </c>
      <c r="BB66" s="100">
        <v>9</v>
      </c>
      <c r="BC66" s="100">
        <v>10713.599999999999</v>
      </c>
      <c r="BD66" s="100">
        <v>5</v>
      </c>
      <c r="BE66" s="100">
        <v>5951.9999999999991</v>
      </c>
      <c r="BF66" s="100">
        <v>8</v>
      </c>
      <c r="BG66" s="100">
        <v>9523.1999999999989</v>
      </c>
      <c r="BH66" s="100">
        <v>8.8614019653391374</v>
      </c>
      <c r="BI66" s="100">
        <v>10548.612899539708</v>
      </c>
      <c r="BJ66" s="100">
        <v>0</v>
      </c>
      <c r="BK66" s="100">
        <v>0</v>
      </c>
      <c r="BL66" s="100">
        <v>10</v>
      </c>
      <c r="BM66" s="100">
        <v>11903.999999999998</v>
      </c>
      <c r="BN66" s="100">
        <v>9</v>
      </c>
      <c r="BO66" s="100">
        <v>10713.599999999999</v>
      </c>
      <c r="BP66" s="100">
        <v>7.188781044586289</v>
      </c>
      <c r="BQ66" s="100">
        <v>8557.5249554755173</v>
      </c>
      <c r="BR66" s="100">
        <v>3.5768301668205367</v>
      </c>
      <c r="BS66" s="100">
        <v>4257.8586305831668</v>
      </c>
      <c r="BT66" s="100">
        <v>8</v>
      </c>
      <c r="BU66" s="100">
        <v>9523.1999999999989</v>
      </c>
      <c r="BV66" s="100">
        <v>8</v>
      </c>
      <c r="BW66" s="100">
        <v>9523.1999999999989</v>
      </c>
      <c r="BX66" s="100">
        <v>9</v>
      </c>
      <c r="BY66" s="100">
        <v>10713.599999999999</v>
      </c>
      <c r="BZ66" s="100">
        <v>9</v>
      </c>
      <c r="CA66" s="100">
        <v>10713.599999999999</v>
      </c>
      <c r="CB66" s="100">
        <v>8</v>
      </c>
      <c r="CC66" s="100">
        <v>9523.1999999999989</v>
      </c>
      <c r="CD66" s="100">
        <v>5.6424887665413017</v>
      </c>
      <c r="CE66" s="100">
        <v>6716.8186276907645</v>
      </c>
      <c r="CF66" s="100">
        <v>10</v>
      </c>
      <c r="CG66" s="100">
        <v>11903.999999999998</v>
      </c>
      <c r="CH66" s="100">
        <v>11</v>
      </c>
      <c r="CI66" s="100">
        <v>13094.399999999998</v>
      </c>
      <c r="CJ66" s="100">
        <v>7</v>
      </c>
      <c r="CK66" s="100">
        <v>8332.7999999999993</v>
      </c>
      <c r="CL66" s="100">
        <v>3.7433104157681885</v>
      </c>
      <c r="CM66" s="100">
        <v>4456.0367189304507</v>
      </c>
      <c r="CN66" s="100">
        <v>8</v>
      </c>
      <c r="CO66" s="100">
        <v>9523.1999999999989</v>
      </c>
      <c r="CP66" s="100">
        <v>6.9607014040334416</v>
      </c>
      <c r="CQ66" s="100">
        <v>8286.0189513614077</v>
      </c>
      <c r="CR66" s="100">
        <v>7</v>
      </c>
      <c r="CS66" s="100">
        <v>8332.7999999999993</v>
      </c>
      <c r="CT66" s="100">
        <v>4.6249111890961121</v>
      </c>
      <c r="CU66" s="100">
        <v>5505.4942795000115</v>
      </c>
    </row>
    <row r="67" spans="2:99">
      <c r="C67" s="99" t="s">
        <v>233</v>
      </c>
      <c r="D67" s="100">
        <v>0.3400258453019101</v>
      </c>
      <c r="E67" s="100">
        <v>381.91702944310543</v>
      </c>
      <c r="F67" s="100">
        <v>0.29165654384069845</v>
      </c>
      <c r="G67" s="100">
        <v>327.58863004187253</v>
      </c>
      <c r="H67" s="100">
        <v>6.151390546011986</v>
      </c>
      <c r="I67" s="100">
        <v>6909.2418612806632</v>
      </c>
      <c r="J67" s="100">
        <v>6</v>
      </c>
      <c r="K67" s="100">
        <v>6739.2000000000007</v>
      </c>
      <c r="L67" s="100">
        <v>4.5436976184465241</v>
      </c>
      <c r="M67" s="100">
        <v>5103.4811650391357</v>
      </c>
      <c r="N67" s="100">
        <v>8.2163031956662351</v>
      </c>
      <c r="O67" s="100">
        <v>9228.5517493723164</v>
      </c>
      <c r="P67" s="100">
        <v>7.9662417940590009</v>
      </c>
      <c r="Q67" s="100">
        <v>8947.6827830870698</v>
      </c>
      <c r="R67" s="100">
        <v>4.3751955514754268</v>
      </c>
      <c r="S67" s="100">
        <v>4914.2196434171992</v>
      </c>
      <c r="T67" s="100">
        <v>7.7246149795464332</v>
      </c>
      <c r="U67" s="100">
        <v>8676.2875450265547</v>
      </c>
      <c r="V67" s="100">
        <v>9</v>
      </c>
      <c r="W67" s="100">
        <v>10108.800000000001</v>
      </c>
      <c r="X67" s="100">
        <v>6</v>
      </c>
      <c r="Y67" s="100">
        <v>6739.2000000000007</v>
      </c>
      <c r="Z67" s="100">
        <v>7</v>
      </c>
      <c r="AA67" s="100">
        <v>7862.4000000000005</v>
      </c>
      <c r="AB67" s="100">
        <v>11</v>
      </c>
      <c r="AC67" s="100">
        <v>12355.2</v>
      </c>
      <c r="AD67" s="100">
        <v>9</v>
      </c>
      <c r="AE67" s="100">
        <v>10108.800000000001</v>
      </c>
      <c r="AF67" s="100">
        <v>8</v>
      </c>
      <c r="AG67" s="100">
        <v>8985.6</v>
      </c>
      <c r="AH67" s="100">
        <v>7</v>
      </c>
      <c r="AI67" s="100">
        <v>7862.4000000000005</v>
      </c>
      <c r="AJ67" s="100">
        <v>2.2110845648638713</v>
      </c>
      <c r="AK67" s="100">
        <v>2483.4901832551004</v>
      </c>
      <c r="AL67" s="100">
        <v>11</v>
      </c>
      <c r="AM67" s="100">
        <v>12355.2</v>
      </c>
      <c r="AN67" s="100">
        <v>4.0427097364823288</v>
      </c>
      <c r="AO67" s="100">
        <v>4540.7715760169522</v>
      </c>
      <c r="AP67" s="100">
        <v>10</v>
      </c>
      <c r="AQ67" s="100">
        <v>11232</v>
      </c>
      <c r="AR67" s="100">
        <v>9</v>
      </c>
      <c r="AS67" s="100">
        <v>10108.800000000001</v>
      </c>
      <c r="AT67" s="100">
        <v>5.0944390554980563</v>
      </c>
      <c r="AU67" s="100">
        <v>5722.0739471354173</v>
      </c>
      <c r="AV67" s="100">
        <v>9</v>
      </c>
      <c r="AW67" s="100">
        <v>10108.800000000001</v>
      </c>
      <c r="AX67" s="100">
        <v>10</v>
      </c>
      <c r="AY67" s="100">
        <v>11232</v>
      </c>
      <c r="AZ67" s="100">
        <v>7</v>
      </c>
      <c r="BA67" s="100">
        <v>7862.4000000000005</v>
      </c>
      <c r="BB67" s="100">
        <v>9</v>
      </c>
      <c r="BC67" s="100">
        <v>10108.800000000001</v>
      </c>
      <c r="BD67" s="100">
        <v>6</v>
      </c>
      <c r="BE67" s="100">
        <v>6739.2000000000007</v>
      </c>
      <c r="BF67" s="100">
        <v>8</v>
      </c>
      <c r="BG67" s="100">
        <v>8985.6</v>
      </c>
      <c r="BH67" s="100">
        <v>9.7475421618730511</v>
      </c>
      <c r="BI67" s="100">
        <v>10948.439356215811</v>
      </c>
      <c r="BJ67" s="100">
        <v>0</v>
      </c>
      <c r="BK67" s="100">
        <v>0</v>
      </c>
      <c r="BL67" s="100">
        <v>9</v>
      </c>
      <c r="BM67" s="100">
        <v>10108.800000000001</v>
      </c>
      <c r="BN67" s="100">
        <v>8</v>
      </c>
      <c r="BO67" s="100">
        <v>8985.6</v>
      </c>
      <c r="BP67" s="100">
        <v>7.9875344939847652</v>
      </c>
      <c r="BQ67" s="100">
        <v>8971.5987436436881</v>
      </c>
      <c r="BR67" s="100">
        <v>3.0658544287033171</v>
      </c>
      <c r="BS67" s="100">
        <v>3443.5676943195658</v>
      </c>
      <c r="BT67" s="100">
        <v>8</v>
      </c>
      <c r="BU67" s="100">
        <v>8985.6</v>
      </c>
      <c r="BV67" s="100">
        <v>7</v>
      </c>
      <c r="BW67" s="100">
        <v>7862.4000000000005</v>
      </c>
      <c r="BX67" s="100">
        <v>9</v>
      </c>
      <c r="BY67" s="100">
        <v>10108.800000000001</v>
      </c>
      <c r="BZ67" s="100">
        <v>9</v>
      </c>
      <c r="CA67" s="100">
        <v>10108.800000000001</v>
      </c>
      <c r="CB67" s="100">
        <v>9</v>
      </c>
      <c r="CC67" s="100">
        <v>10108.800000000001</v>
      </c>
      <c r="CD67" s="100">
        <v>5.6424887665413017</v>
      </c>
      <c r="CE67" s="100">
        <v>6337.6433825791901</v>
      </c>
      <c r="CF67" s="100">
        <v>9</v>
      </c>
      <c r="CG67" s="100">
        <v>10108.800000000001</v>
      </c>
      <c r="CH67" s="100">
        <v>10</v>
      </c>
      <c r="CI67" s="100">
        <v>11232</v>
      </c>
      <c r="CJ67" s="100">
        <v>7</v>
      </c>
      <c r="CK67" s="100">
        <v>7862.4000000000005</v>
      </c>
      <c r="CL67" s="100">
        <v>3.7433104157681885</v>
      </c>
      <c r="CM67" s="100">
        <v>4204.4862589908298</v>
      </c>
      <c r="CN67" s="100">
        <v>7</v>
      </c>
      <c r="CO67" s="100">
        <v>7862.4000000000005</v>
      </c>
      <c r="CP67" s="100">
        <v>6.9607014040334416</v>
      </c>
      <c r="CQ67" s="100">
        <v>7818.259817010362</v>
      </c>
      <c r="CR67" s="100">
        <v>7</v>
      </c>
      <c r="CS67" s="100">
        <v>7862.4000000000005</v>
      </c>
      <c r="CT67" s="100">
        <v>5.3957297206121311</v>
      </c>
      <c r="CU67" s="100">
        <v>6060.4836221915457</v>
      </c>
    </row>
    <row r="68" spans="2:99">
      <c r="C68" s="99" t="s">
        <v>234</v>
      </c>
      <c r="D68" s="100">
        <v>0.3400258453019101</v>
      </c>
      <c r="E68" s="100">
        <v>351.31470336593355</v>
      </c>
      <c r="F68" s="100">
        <v>0.26514231258245313</v>
      </c>
      <c r="G68" s="100">
        <v>273.94503736019061</v>
      </c>
      <c r="H68" s="100">
        <v>6.151390546011986</v>
      </c>
      <c r="I68" s="100">
        <v>6355.6167121395838</v>
      </c>
      <c r="J68" s="100">
        <v>7</v>
      </c>
      <c r="K68" s="100">
        <v>7232.4000000000005</v>
      </c>
      <c r="L68" s="100">
        <v>4.0388423275080214</v>
      </c>
      <c r="M68" s="100">
        <v>4172.9318927812883</v>
      </c>
      <c r="N68" s="100">
        <v>8.2163031956662351</v>
      </c>
      <c r="O68" s="100">
        <v>8489.0844617623552</v>
      </c>
      <c r="P68" s="100">
        <v>7.9662417940590009</v>
      </c>
      <c r="Q68" s="100">
        <v>8230.7210216217609</v>
      </c>
      <c r="R68" s="100">
        <v>5.0002234874004872</v>
      </c>
      <c r="S68" s="100">
        <v>5166.2309071821837</v>
      </c>
      <c r="T68" s="100">
        <v>7.7246149795464332</v>
      </c>
      <c r="U68" s="100">
        <v>7981.0721968673752</v>
      </c>
      <c r="V68" s="100">
        <v>8</v>
      </c>
      <c r="W68" s="100">
        <v>8265.6</v>
      </c>
      <c r="X68" s="100">
        <v>6</v>
      </c>
      <c r="Y68" s="100">
        <v>6199.2000000000007</v>
      </c>
      <c r="Z68" s="100">
        <v>6</v>
      </c>
      <c r="AA68" s="100">
        <v>6199.2000000000007</v>
      </c>
      <c r="AB68" s="100">
        <v>12</v>
      </c>
      <c r="AC68" s="100">
        <v>12398.400000000001</v>
      </c>
      <c r="AD68" s="100">
        <v>9</v>
      </c>
      <c r="AE68" s="100">
        <v>9298.8000000000011</v>
      </c>
      <c r="AF68" s="100">
        <v>8</v>
      </c>
      <c r="AG68" s="100">
        <v>8265.6</v>
      </c>
      <c r="AH68" s="100">
        <v>7</v>
      </c>
      <c r="AI68" s="100">
        <v>7232.4000000000005</v>
      </c>
      <c r="AJ68" s="100">
        <v>2.5795986590078499</v>
      </c>
      <c r="AK68" s="100">
        <v>2665.2413344869105</v>
      </c>
      <c r="AL68" s="100">
        <v>11</v>
      </c>
      <c r="AM68" s="100">
        <v>11365.2</v>
      </c>
      <c r="AN68" s="100">
        <v>4.0427097364823288</v>
      </c>
      <c r="AO68" s="100">
        <v>4176.9276997335419</v>
      </c>
      <c r="AP68" s="100">
        <v>9</v>
      </c>
      <c r="AQ68" s="100">
        <v>9298.8000000000011</v>
      </c>
      <c r="AR68" s="100">
        <v>8</v>
      </c>
      <c r="AS68" s="100">
        <v>8265.6</v>
      </c>
      <c r="AT68" s="100">
        <v>5.0944390554980563</v>
      </c>
      <c r="AU68" s="100">
        <v>5263.5744321405919</v>
      </c>
      <c r="AV68" s="100">
        <v>9</v>
      </c>
      <c r="AW68" s="100">
        <v>9298.8000000000011</v>
      </c>
      <c r="AX68" s="100">
        <v>8</v>
      </c>
      <c r="AY68" s="100">
        <v>8265.6</v>
      </c>
      <c r="AZ68" s="100">
        <v>6</v>
      </c>
      <c r="BA68" s="100">
        <v>6199.2000000000007</v>
      </c>
      <c r="BB68" s="100">
        <v>9</v>
      </c>
      <c r="BC68" s="100">
        <v>9298.8000000000011</v>
      </c>
      <c r="BD68" s="100">
        <v>6</v>
      </c>
      <c r="BE68" s="100">
        <v>6199.2000000000007</v>
      </c>
      <c r="BF68" s="100">
        <v>8</v>
      </c>
      <c r="BG68" s="100">
        <v>8265.6</v>
      </c>
      <c r="BH68" s="100">
        <v>8.8614019653391374</v>
      </c>
      <c r="BI68" s="100">
        <v>9155.6005105883978</v>
      </c>
      <c r="BJ68" s="100">
        <v>0</v>
      </c>
      <c r="BK68" s="100">
        <v>0</v>
      </c>
      <c r="BL68" s="100">
        <v>10</v>
      </c>
      <c r="BM68" s="100">
        <v>10332</v>
      </c>
      <c r="BN68" s="100">
        <v>9</v>
      </c>
      <c r="BO68" s="100">
        <v>9298.8000000000011</v>
      </c>
      <c r="BP68" s="100">
        <v>7.9875344939847652</v>
      </c>
      <c r="BQ68" s="100">
        <v>8252.7206391850596</v>
      </c>
      <c r="BR68" s="100">
        <v>3.0658544287033171</v>
      </c>
      <c r="BS68" s="100">
        <v>3167.6407957362676</v>
      </c>
      <c r="BT68" s="100">
        <v>9</v>
      </c>
      <c r="BU68" s="100">
        <v>9298.8000000000011</v>
      </c>
      <c r="BV68" s="100">
        <v>7</v>
      </c>
      <c r="BW68" s="100">
        <v>7232.4000000000005</v>
      </c>
      <c r="BX68" s="100">
        <v>8</v>
      </c>
      <c r="BY68" s="100">
        <v>8265.6</v>
      </c>
      <c r="BZ68" s="100">
        <v>9</v>
      </c>
      <c r="CA68" s="100">
        <v>9298.8000000000011</v>
      </c>
      <c r="CB68" s="100">
        <v>9</v>
      </c>
      <c r="CC68" s="100">
        <v>9298.8000000000011</v>
      </c>
      <c r="CD68" s="100">
        <v>5.6424887665413017</v>
      </c>
      <c r="CE68" s="100">
        <v>5829.8193935904728</v>
      </c>
      <c r="CF68" s="100">
        <v>10</v>
      </c>
      <c r="CG68" s="100">
        <v>10332</v>
      </c>
      <c r="CH68" s="100">
        <v>10</v>
      </c>
      <c r="CI68" s="100">
        <v>10332</v>
      </c>
      <c r="CJ68" s="100">
        <v>7</v>
      </c>
      <c r="CK68" s="100">
        <v>7232.4000000000005</v>
      </c>
      <c r="CL68" s="100">
        <v>3.7433104157681885</v>
      </c>
      <c r="CM68" s="100">
        <v>3867.5883215716926</v>
      </c>
      <c r="CN68" s="100">
        <v>8</v>
      </c>
      <c r="CO68" s="100">
        <v>8265.6</v>
      </c>
      <c r="CP68" s="100">
        <v>6.9607014040334416</v>
      </c>
      <c r="CQ68" s="100">
        <v>7191.7966906473521</v>
      </c>
      <c r="CR68" s="100">
        <v>7</v>
      </c>
      <c r="CS68" s="100">
        <v>7232.4000000000005</v>
      </c>
      <c r="CT68" s="100">
        <v>4.6249111890961121</v>
      </c>
      <c r="CU68" s="100">
        <v>4778.458240574103</v>
      </c>
    </row>
    <row r="69" spans="2:99">
      <c r="C69" s="99" t="s">
        <v>235</v>
      </c>
      <c r="D69" s="100">
        <v>0.3400258453019101</v>
      </c>
      <c r="E69" s="100">
        <v>257.87560107696862</v>
      </c>
      <c r="F69" s="100">
        <v>0.29165654384069845</v>
      </c>
      <c r="G69" s="100">
        <v>221.19232284878569</v>
      </c>
      <c r="H69" s="100">
        <v>6.151390546011986</v>
      </c>
      <c r="I69" s="100">
        <v>4665.2145900954902</v>
      </c>
      <c r="J69" s="100">
        <v>7</v>
      </c>
      <c r="K69" s="100">
        <v>5308.8</v>
      </c>
      <c r="L69" s="100">
        <v>4.0388423275080214</v>
      </c>
      <c r="M69" s="100">
        <v>3063.0580211820834</v>
      </c>
      <c r="N69" s="100">
        <v>9.1292257729624815</v>
      </c>
      <c r="O69" s="100">
        <v>6923.604826214746</v>
      </c>
      <c r="P69" s="100">
        <v>8.8513797711766671</v>
      </c>
      <c r="Q69" s="100">
        <v>6712.8864184603844</v>
      </c>
      <c r="R69" s="100">
        <v>5.0002234874004872</v>
      </c>
      <c r="S69" s="100">
        <v>3792.1694928445295</v>
      </c>
      <c r="T69" s="100">
        <v>7.7246149795464332</v>
      </c>
      <c r="U69" s="100">
        <v>5858.3480004880148</v>
      </c>
      <c r="V69" s="100">
        <v>9</v>
      </c>
      <c r="W69" s="100">
        <v>6825.5999999999995</v>
      </c>
      <c r="X69" s="100">
        <v>5</v>
      </c>
      <c r="Y69" s="100">
        <v>3792</v>
      </c>
      <c r="Z69" s="100">
        <v>7</v>
      </c>
      <c r="AA69" s="100">
        <v>5308.8</v>
      </c>
      <c r="AB69" s="100">
        <v>10</v>
      </c>
      <c r="AC69" s="100">
        <v>7584</v>
      </c>
      <c r="AD69" s="100">
        <v>10</v>
      </c>
      <c r="AE69" s="100">
        <v>7584</v>
      </c>
      <c r="AF69" s="100">
        <v>8</v>
      </c>
      <c r="AG69" s="100">
        <v>6067.2</v>
      </c>
      <c r="AH69" s="100">
        <v>6</v>
      </c>
      <c r="AI69" s="100">
        <v>4550.3999999999996</v>
      </c>
      <c r="AJ69" s="100">
        <v>2.5795986590078499</v>
      </c>
      <c r="AK69" s="100">
        <v>1956.3676229915534</v>
      </c>
      <c r="AL69" s="100">
        <v>10</v>
      </c>
      <c r="AM69" s="100">
        <v>7584</v>
      </c>
      <c r="AN69" s="100">
        <v>4.8512516837787949</v>
      </c>
      <c r="AO69" s="100">
        <v>3679.1892769778378</v>
      </c>
      <c r="AP69" s="100">
        <v>10</v>
      </c>
      <c r="AQ69" s="100">
        <v>7584</v>
      </c>
      <c r="AR69" s="100">
        <v>8</v>
      </c>
      <c r="AS69" s="100">
        <v>6067.2</v>
      </c>
      <c r="AT69" s="100">
        <v>4.4576341735607992</v>
      </c>
      <c r="AU69" s="100">
        <v>3380.6697572285102</v>
      </c>
      <c r="AV69" s="100">
        <v>10</v>
      </c>
      <c r="AW69" s="100">
        <v>7584</v>
      </c>
      <c r="AX69" s="100">
        <v>9</v>
      </c>
      <c r="AY69" s="100">
        <v>6825.5999999999995</v>
      </c>
      <c r="AZ69" s="100">
        <v>7</v>
      </c>
      <c r="BA69" s="100">
        <v>5308.8</v>
      </c>
      <c r="BB69" s="100">
        <v>8</v>
      </c>
      <c r="BC69" s="100">
        <v>6067.2</v>
      </c>
      <c r="BD69" s="100">
        <v>6</v>
      </c>
      <c r="BE69" s="100">
        <v>4550.3999999999996</v>
      </c>
      <c r="BF69" s="100">
        <v>7</v>
      </c>
      <c r="BG69" s="100">
        <v>5308.8</v>
      </c>
      <c r="BH69" s="100">
        <v>9.7475421618730511</v>
      </c>
      <c r="BI69" s="100">
        <v>7392.5359755645213</v>
      </c>
      <c r="BJ69" s="100">
        <v>0</v>
      </c>
      <c r="BK69" s="100">
        <v>0</v>
      </c>
      <c r="BL69" s="100">
        <v>9</v>
      </c>
      <c r="BM69" s="100">
        <v>6825.5999999999995</v>
      </c>
      <c r="BN69" s="100">
        <v>9</v>
      </c>
      <c r="BO69" s="100">
        <v>6825.5999999999995</v>
      </c>
      <c r="BP69" s="100">
        <v>7.9875344939847652</v>
      </c>
      <c r="BQ69" s="100">
        <v>6057.7461602380454</v>
      </c>
      <c r="BR69" s="100">
        <v>3.5768301668205367</v>
      </c>
      <c r="BS69" s="100">
        <v>2712.6679985166948</v>
      </c>
      <c r="BT69" s="100">
        <v>9</v>
      </c>
      <c r="BU69" s="100">
        <v>6825.5999999999995</v>
      </c>
      <c r="BV69" s="100">
        <v>8</v>
      </c>
      <c r="BW69" s="100">
        <v>6067.2</v>
      </c>
      <c r="BX69" s="100">
        <v>10</v>
      </c>
      <c r="BY69" s="100">
        <v>7584</v>
      </c>
      <c r="BZ69" s="100">
        <v>10</v>
      </c>
      <c r="CA69" s="100">
        <v>7584</v>
      </c>
      <c r="CB69" s="100">
        <v>9</v>
      </c>
      <c r="CC69" s="100">
        <v>6825.5999999999995</v>
      </c>
      <c r="CD69" s="100">
        <v>6.5829035609648514</v>
      </c>
      <c r="CE69" s="100">
        <v>4992.4740606357427</v>
      </c>
      <c r="CF69" s="100">
        <v>11</v>
      </c>
      <c r="CG69" s="100">
        <v>8342.4</v>
      </c>
      <c r="CH69" s="100">
        <v>11</v>
      </c>
      <c r="CI69" s="100">
        <v>8342.4</v>
      </c>
      <c r="CJ69" s="100">
        <v>7</v>
      </c>
      <c r="CK69" s="100">
        <v>5308.8</v>
      </c>
      <c r="CL69" s="100">
        <v>3.7433104157681885</v>
      </c>
      <c r="CM69" s="100">
        <v>2838.926619318594</v>
      </c>
      <c r="CN69" s="100">
        <v>7</v>
      </c>
      <c r="CO69" s="100">
        <v>5308.8</v>
      </c>
      <c r="CP69" s="100">
        <v>6.9607014040334416</v>
      </c>
      <c r="CQ69" s="100">
        <v>5278.995944818962</v>
      </c>
      <c r="CR69" s="100">
        <v>7</v>
      </c>
      <c r="CS69" s="100">
        <v>5308.8</v>
      </c>
      <c r="CT69" s="100">
        <v>4.6249111890961121</v>
      </c>
      <c r="CU69" s="100">
        <v>3507.5326458104914</v>
      </c>
    </row>
    <row r="70" spans="2:99">
      <c r="C70" s="99" t="s">
        <v>236</v>
      </c>
      <c r="D70" s="100">
        <v>0.3400258453019101</v>
      </c>
      <c r="E70" s="100">
        <v>181.98183240558225</v>
      </c>
      <c r="F70" s="100">
        <v>0.29165654384069845</v>
      </c>
      <c r="G70" s="100">
        <v>156.09458226354178</v>
      </c>
      <c r="H70" s="100">
        <v>6.151390546011986</v>
      </c>
      <c r="I70" s="100">
        <v>3292.2242202256143</v>
      </c>
      <c r="J70" s="100">
        <v>7</v>
      </c>
      <c r="K70" s="100">
        <v>3746.3999999999996</v>
      </c>
      <c r="L70" s="100">
        <v>4.5436976184465241</v>
      </c>
      <c r="M70" s="100">
        <v>2431.7869653925795</v>
      </c>
      <c r="N70" s="100">
        <v>8.2163031956662351</v>
      </c>
      <c r="O70" s="100">
        <v>4397.3654703205684</v>
      </c>
      <c r="P70" s="100">
        <v>7.9662417940590009</v>
      </c>
      <c r="Q70" s="100">
        <v>4263.5326081803769</v>
      </c>
      <c r="R70" s="100">
        <v>5.0002234874004872</v>
      </c>
      <c r="S70" s="100">
        <v>2676.1196104567402</v>
      </c>
      <c r="T70" s="100">
        <v>8.5829055328293702</v>
      </c>
      <c r="U70" s="100">
        <v>4593.5710411702785</v>
      </c>
      <c r="V70" s="100">
        <v>8</v>
      </c>
      <c r="W70" s="100">
        <v>4281.5999999999995</v>
      </c>
      <c r="X70" s="100">
        <v>6</v>
      </c>
      <c r="Y70" s="100">
        <v>3211.2</v>
      </c>
      <c r="Z70" s="100">
        <v>7</v>
      </c>
      <c r="AA70" s="100">
        <v>3746.3999999999996</v>
      </c>
      <c r="AB70" s="100">
        <v>11</v>
      </c>
      <c r="AC70" s="100">
        <v>5887.1999999999989</v>
      </c>
      <c r="AD70" s="100">
        <v>10</v>
      </c>
      <c r="AE70" s="100">
        <v>5351.9999999999991</v>
      </c>
      <c r="AF70" s="100">
        <v>8</v>
      </c>
      <c r="AG70" s="100">
        <v>4281.5999999999995</v>
      </c>
      <c r="AH70" s="100">
        <v>7</v>
      </c>
      <c r="AI70" s="100">
        <v>3746.3999999999996</v>
      </c>
      <c r="AJ70" s="100">
        <v>2.5795986590078499</v>
      </c>
      <c r="AK70" s="100">
        <v>1380.6012023010012</v>
      </c>
      <c r="AL70" s="100">
        <v>11</v>
      </c>
      <c r="AM70" s="100">
        <v>5887.1999999999989</v>
      </c>
      <c r="AN70" s="100">
        <v>4.8512516837787949</v>
      </c>
      <c r="AO70" s="100">
        <v>2596.3899011584108</v>
      </c>
      <c r="AP70" s="100">
        <v>9</v>
      </c>
      <c r="AQ70" s="100">
        <v>4816.7999999999993</v>
      </c>
      <c r="AR70" s="100">
        <v>8</v>
      </c>
      <c r="AS70" s="100">
        <v>4281.5999999999995</v>
      </c>
      <c r="AT70" s="100">
        <v>5.0944390554980563</v>
      </c>
      <c r="AU70" s="100">
        <v>2726.5437825025592</v>
      </c>
      <c r="AV70" s="100">
        <v>10</v>
      </c>
      <c r="AW70" s="100">
        <v>5351.9999999999991</v>
      </c>
      <c r="AX70" s="100">
        <v>9</v>
      </c>
      <c r="AY70" s="100">
        <v>4816.7999999999993</v>
      </c>
      <c r="AZ70" s="100">
        <v>7</v>
      </c>
      <c r="BA70" s="100">
        <v>3746.3999999999996</v>
      </c>
      <c r="BB70" s="100">
        <v>9</v>
      </c>
      <c r="BC70" s="100">
        <v>4816.7999999999993</v>
      </c>
      <c r="BD70" s="100">
        <v>6</v>
      </c>
      <c r="BE70" s="100">
        <v>3211.2</v>
      </c>
      <c r="BF70" s="100">
        <v>8</v>
      </c>
      <c r="BG70" s="100">
        <v>4281.5999999999995</v>
      </c>
      <c r="BH70" s="100">
        <v>10.633682358406965</v>
      </c>
      <c r="BI70" s="100">
        <v>5691.1467982194072</v>
      </c>
      <c r="BJ70" s="100">
        <v>0</v>
      </c>
      <c r="BK70" s="100">
        <v>0</v>
      </c>
      <c r="BL70" s="100">
        <v>10</v>
      </c>
      <c r="BM70" s="100">
        <v>5351.9999999999991</v>
      </c>
      <c r="BN70" s="100">
        <v>9</v>
      </c>
      <c r="BO70" s="100">
        <v>4816.7999999999993</v>
      </c>
      <c r="BP70" s="100">
        <v>8.7862879433832415</v>
      </c>
      <c r="BQ70" s="100">
        <v>4702.4213072987104</v>
      </c>
      <c r="BR70" s="100">
        <v>3.5768301668205367</v>
      </c>
      <c r="BS70" s="100">
        <v>1914.319505282351</v>
      </c>
      <c r="BT70" s="100">
        <v>8</v>
      </c>
      <c r="BU70" s="100">
        <v>4281.5999999999995</v>
      </c>
      <c r="BV70" s="100">
        <v>8</v>
      </c>
      <c r="BW70" s="100">
        <v>4281.5999999999995</v>
      </c>
      <c r="BX70" s="100">
        <v>10</v>
      </c>
      <c r="BY70" s="100">
        <v>5351.9999999999991</v>
      </c>
      <c r="BZ70" s="100">
        <v>9</v>
      </c>
      <c r="CA70" s="100">
        <v>4816.7999999999993</v>
      </c>
      <c r="CB70" s="100">
        <v>9</v>
      </c>
      <c r="CC70" s="100">
        <v>4816.7999999999993</v>
      </c>
      <c r="CD70" s="100">
        <v>5.6424887665413017</v>
      </c>
      <c r="CE70" s="100">
        <v>3019.8599878529044</v>
      </c>
      <c r="CF70" s="100">
        <v>11</v>
      </c>
      <c r="CG70" s="100">
        <v>5887.1999999999989</v>
      </c>
      <c r="CH70" s="100">
        <v>11</v>
      </c>
      <c r="CI70" s="100">
        <v>5887.1999999999989</v>
      </c>
      <c r="CJ70" s="100">
        <v>7</v>
      </c>
      <c r="CK70" s="100">
        <v>3746.3999999999996</v>
      </c>
      <c r="CL70" s="100">
        <v>4.2112242177392121</v>
      </c>
      <c r="CM70" s="100">
        <v>2253.8472013340261</v>
      </c>
      <c r="CN70" s="100">
        <v>8</v>
      </c>
      <c r="CO70" s="100">
        <v>4281.5999999999995</v>
      </c>
      <c r="CP70" s="100">
        <v>6.9607014040334416</v>
      </c>
      <c r="CQ70" s="100">
        <v>3725.3673914386973</v>
      </c>
      <c r="CR70" s="100">
        <v>7</v>
      </c>
      <c r="CS70" s="100">
        <v>3746.3999999999996</v>
      </c>
      <c r="CT70" s="100">
        <v>5.3957297206121311</v>
      </c>
      <c r="CU70" s="100">
        <v>2887.7945464716122</v>
      </c>
    </row>
    <row r="71" spans="2:99">
      <c r="B71" s="99" t="s">
        <v>130</v>
      </c>
      <c r="C71" s="99" t="s">
        <v>237</v>
      </c>
      <c r="D71" s="100">
        <v>8.7732557384377685</v>
      </c>
      <c r="E71" s="100">
        <v>4948.1162364789016</v>
      </c>
      <c r="F71" s="100">
        <v>12.782748187087028</v>
      </c>
      <c r="G71" s="100">
        <v>7209.4699775170839</v>
      </c>
      <c r="H71" s="100">
        <v>1.2175917895220978</v>
      </c>
      <c r="I71" s="100">
        <v>686.72176929046316</v>
      </c>
      <c r="J71" s="100">
        <v>10</v>
      </c>
      <c r="K71" s="100">
        <v>5640</v>
      </c>
      <c r="L71" s="100">
        <v>8</v>
      </c>
      <c r="M71" s="100">
        <v>4512</v>
      </c>
      <c r="N71" s="100">
        <v>10</v>
      </c>
      <c r="O71" s="100">
        <v>5640</v>
      </c>
      <c r="P71" s="100">
        <v>13.043478944742855</v>
      </c>
      <c r="Q71" s="100">
        <v>7356.5221248349699</v>
      </c>
      <c r="R71" s="100">
        <v>15</v>
      </c>
      <c r="S71" s="100">
        <v>8460</v>
      </c>
      <c r="T71" s="100">
        <v>5.8333063104162219</v>
      </c>
      <c r="U71" s="100">
        <v>3289.984759074749</v>
      </c>
      <c r="V71" s="100">
        <v>6.3271981980437753</v>
      </c>
      <c r="W71" s="100">
        <v>3568.539783696689</v>
      </c>
      <c r="X71" s="100">
        <v>13.349072473856706</v>
      </c>
      <c r="Y71" s="100">
        <v>7528.8768752551823</v>
      </c>
      <c r="Z71" s="100">
        <v>9</v>
      </c>
      <c r="AA71" s="100">
        <v>5076</v>
      </c>
      <c r="AB71" s="100">
        <v>11</v>
      </c>
      <c r="AC71" s="100">
        <v>6204</v>
      </c>
      <c r="AD71" s="100">
        <v>3.7490726030992825</v>
      </c>
      <c r="AE71" s="100">
        <v>2114.4769481479952</v>
      </c>
      <c r="AF71" s="100">
        <v>8</v>
      </c>
      <c r="AG71" s="100">
        <v>4512</v>
      </c>
      <c r="AH71" s="100">
        <v>8</v>
      </c>
      <c r="AI71" s="100">
        <v>4512</v>
      </c>
      <c r="AJ71" s="100">
        <v>11</v>
      </c>
      <c r="AK71" s="100">
        <v>6204</v>
      </c>
      <c r="AL71" s="100">
        <v>12</v>
      </c>
      <c r="AM71" s="100">
        <v>6768</v>
      </c>
      <c r="AN71" s="100">
        <v>11.848312851006852</v>
      </c>
      <c r="AO71" s="100">
        <v>6682.4484479678649</v>
      </c>
      <c r="AP71" s="100">
        <v>10</v>
      </c>
      <c r="AQ71" s="100">
        <v>5640</v>
      </c>
      <c r="AR71" s="100">
        <v>10</v>
      </c>
      <c r="AS71" s="100">
        <v>5640</v>
      </c>
      <c r="AT71" s="100">
        <v>10</v>
      </c>
      <c r="AU71" s="100">
        <v>5640</v>
      </c>
      <c r="AV71" s="100">
        <v>12.889129111894393</v>
      </c>
      <c r="AW71" s="100">
        <v>7269.4688191084379</v>
      </c>
      <c r="AX71" s="100">
        <v>9.8623274952135986</v>
      </c>
      <c r="AY71" s="100">
        <v>5562.3527073004698</v>
      </c>
      <c r="AZ71" s="100">
        <v>9.5310900603797695</v>
      </c>
      <c r="BA71" s="100">
        <v>5375.5347940541897</v>
      </c>
      <c r="BB71" s="100">
        <v>10.43381444935847</v>
      </c>
      <c r="BC71" s="100">
        <v>5884.6713494381775</v>
      </c>
      <c r="BD71" s="100">
        <v>9</v>
      </c>
      <c r="BE71" s="100">
        <v>5076</v>
      </c>
      <c r="BF71" s="100">
        <v>10.963356746857743</v>
      </c>
      <c r="BG71" s="100">
        <v>6183.3332052277674</v>
      </c>
      <c r="BH71" s="100">
        <v>9.35871928269205</v>
      </c>
      <c r="BI71" s="100">
        <v>5278.3176754383167</v>
      </c>
      <c r="BJ71" s="100">
        <v>8</v>
      </c>
      <c r="BK71" s="100">
        <v>4512</v>
      </c>
      <c r="BL71" s="100">
        <v>10.633618407716314</v>
      </c>
      <c r="BM71" s="100">
        <v>5997.3607819520012</v>
      </c>
      <c r="BN71" s="100">
        <v>10</v>
      </c>
      <c r="BO71" s="100">
        <v>5640</v>
      </c>
      <c r="BP71" s="100">
        <v>10.224371864443839</v>
      </c>
      <c r="BQ71" s="100">
        <v>5766.5457315463254</v>
      </c>
      <c r="BR71" s="100">
        <v>8.8196461340718013</v>
      </c>
      <c r="BS71" s="100">
        <v>4974.2804196164961</v>
      </c>
      <c r="BT71" s="100">
        <v>8.8651623705715767</v>
      </c>
      <c r="BU71" s="100">
        <v>4999.951577002369</v>
      </c>
      <c r="BV71" s="100">
        <v>8</v>
      </c>
      <c r="BW71" s="100">
        <v>4512</v>
      </c>
      <c r="BX71" s="100">
        <v>12.397106071467615</v>
      </c>
      <c r="BY71" s="100">
        <v>6991.9678243077351</v>
      </c>
      <c r="BZ71" s="100">
        <v>3.5234437283615141</v>
      </c>
      <c r="CA71" s="100">
        <v>1987.222262795894</v>
      </c>
      <c r="CB71" s="100">
        <v>14.756544035696377</v>
      </c>
      <c r="CC71" s="100">
        <v>8322.6908361327569</v>
      </c>
      <c r="CD71" s="100">
        <v>8.0040659539318284</v>
      </c>
      <c r="CE71" s="100">
        <v>4514.2931980175508</v>
      </c>
      <c r="CF71" s="100">
        <v>7.5571384133569541</v>
      </c>
      <c r="CG71" s="100">
        <v>4262.2260651333218</v>
      </c>
      <c r="CH71" s="100">
        <v>7.7584287243091374</v>
      </c>
      <c r="CI71" s="100">
        <v>4375.7538005103534</v>
      </c>
      <c r="CJ71" s="100">
        <v>7.7220952967059358</v>
      </c>
      <c r="CK71" s="100">
        <v>4355.2617473421478</v>
      </c>
      <c r="CL71" s="100">
        <v>11.91981112238707</v>
      </c>
      <c r="CM71" s="100">
        <v>6722.7734730263073</v>
      </c>
      <c r="CN71" s="100">
        <v>8.4024561157989712</v>
      </c>
      <c r="CO71" s="100">
        <v>4738.98524931062</v>
      </c>
      <c r="CP71" s="100">
        <v>1.4356097309616154</v>
      </c>
      <c r="CQ71" s="100">
        <v>809.68388826235105</v>
      </c>
      <c r="CR71" s="100">
        <v>13.241322113081182</v>
      </c>
      <c r="CS71" s="100">
        <v>7468.1056717777865</v>
      </c>
      <c r="CT71" s="100">
        <v>9.9099409205203894</v>
      </c>
      <c r="CU71" s="100">
        <v>5589.2066791734997</v>
      </c>
    </row>
    <row r="72" spans="2:99">
      <c r="C72" s="99" t="s">
        <v>238</v>
      </c>
      <c r="D72" s="100">
        <v>8.1465946142636412</v>
      </c>
      <c r="E72" s="100">
        <v>606.10663930121484</v>
      </c>
      <c r="F72" s="100">
        <v>11.869694745152241</v>
      </c>
      <c r="G72" s="100">
        <v>883.10528903932664</v>
      </c>
      <c r="H72" s="100">
        <v>1.3915334737395404</v>
      </c>
      <c r="I72" s="100">
        <v>103.53009044622179</v>
      </c>
      <c r="J72" s="100">
        <v>11</v>
      </c>
      <c r="K72" s="100">
        <v>818.39999999999986</v>
      </c>
      <c r="L72" s="100">
        <v>9</v>
      </c>
      <c r="M72" s="100">
        <v>669.59999999999991</v>
      </c>
      <c r="N72" s="100">
        <v>11</v>
      </c>
      <c r="O72" s="100">
        <v>818.39999999999986</v>
      </c>
      <c r="P72" s="100">
        <v>13.043478944742855</v>
      </c>
      <c r="Q72" s="100">
        <v>970.43483348886832</v>
      </c>
      <c r="R72" s="100">
        <v>14</v>
      </c>
      <c r="S72" s="100">
        <v>1041.5999999999999</v>
      </c>
      <c r="T72" s="100">
        <v>5.8333063104162219</v>
      </c>
      <c r="U72" s="100">
        <v>433.99798949496687</v>
      </c>
      <c r="V72" s="100">
        <v>6.7490114112466939</v>
      </c>
      <c r="W72" s="100">
        <v>502.12644899675399</v>
      </c>
      <c r="X72" s="100">
        <v>11.569196144009146</v>
      </c>
      <c r="Y72" s="100">
        <v>860.7481931142803</v>
      </c>
      <c r="Z72" s="100">
        <v>9</v>
      </c>
      <c r="AA72" s="100">
        <v>669.59999999999991</v>
      </c>
      <c r="AB72" s="100">
        <v>10</v>
      </c>
      <c r="AC72" s="100">
        <v>743.99999999999989</v>
      </c>
      <c r="AD72" s="100">
        <v>3.7490726030992825</v>
      </c>
      <c r="AE72" s="100">
        <v>278.93100167058657</v>
      </c>
      <c r="AF72" s="100">
        <v>7</v>
      </c>
      <c r="AG72" s="100">
        <v>520.79999999999995</v>
      </c>
      <c r="AH72" s="100">
        <v>8</v>
      </c>
      <c r="AI72" s="100">
        <v>595.19999999999993</v>
      </c>
      <c r="AJ72" s="100">
        <v>12</v>
      </c>
      <c r="AK72" s="100">
        <v>892.8</v>
      </c>
      <c r="AL72" s="100">
        <v>13</v>
      </c>
      <c r="AM72" s="100">
        <v>967.19999999999993</v>
      </c>
      <c r="AN72" s="100">
        <v>10.268537804205939</v>
      </c>
      <c r="AO72" s="100">
        <v>763.97921263292176</v>
      </c>
      <c r="AP72" s="100">
        <v>11</v>
      </c>
      <c r="AQ72" s="100">
        <v>818.39999999999986</v>
      </c>
      <c r="AR72" s="100">
        <v>10</v>
      </c>
      <c r="AS72" s="100">
        <v>743.99999999999989</v>
      </c>
      <c r="AT72" s="100">
        <v>10</v>
      </c>
      <c r="AU72" s="100">
        <v>743.99999999999989</v>
      </c>
      <c r="AV72" s="100">
        <v>12.889129111894393</v>
      </c>
      <c r="AW72" s="100">
        <v>958.95120592494277</v>
      </c>
      <c r="AX72" s="100">
        <v>10.620968071768489</v>
      </c>
      <c r="AY72" s="100">
        <v>790.20002453957557</v>
      </c>
      <c r="AZ72" s="100">
        <v>11.119605070443066</v>
      </c>
      <c r="BA72" s="100">
        <v>827.29861724096406</v>
      </c>
      <c r="BB72" s="100">
        <v>9.6885419886900088</v>
      </c>
      <c r="BC72" s="100">
        <v>720.82752395853652</v>
      </c>
      <c r="BD72" s="100">
        <v>10</v>
      </c>
      <c r="BE72" s="100">
        <v>743.99999999999989</v>
      </c>
      <c r="BF72" s="100">
        <v>10.963356746857743</v>
      </c>
      <c r="BG72" s="100">
        <v>815.67374196621597</v>
      </c>
      <c r="BH72" s="100">
        <v>9.35871928269205</v>
      </c>
      <c r="BI72" s="100">
        <v>696.28871463228847</v>
      </c>
      <c r="BJ72" s="100">
        <v>10</v>
      </c>
      <c r="BK72" s="100">
        <v>743.99999999999989</v>
      </c>
      <c r="BL72" s="100">
        <v>11.342526301564067</v>
      </c>
      <c r="BM72" s="100">
        <v>843.88395683636656</v>
      </c>
      <c r="BN72" s="100">
        <v>10</v>
      </c>
      <c r="BO72" s="100">
        <v>743.99999999999989</v>
      </c>
      <c r="BP72" s="100">
        <v>9.494059588412135</v>
      </c>
      <c r="BQ72" s="100">
        <v>706.35803337786274</v>
      </c>
      <c r="BR72" s="100">
        <v>9.6214321462601458</v>
      </c>
      <c r="BS72" s="100">
        <v>715.83455168175476</v>
      </c>
      <c r="BT72" s="100">
        <v>9.6039259014525413</v>
      </c>
      <c r="BU72" s="100">
        <v>714.53208706806902</v>
      </c>
      <c r="BV72" s="100">
        <v>8</v>
      </c>
      <c r="BW72" s="100">
        <v>595.19999999999993</v>
      </c>
      <c r="BX72" s="100">
        <v>10.744158595271934</v>
      </c>
      <c r="BY72" s="100">
        <v>799.36539948823179</v>
      </c>
      <c r="BZ72" s="100">
        <v>3.7944778613124002</v>
      </c>
      <c r="CA72" s="100">
        <v>282.30915288164255</v>
      </c>
      <c r="CB72" s="100">
        <v>13.834260033465354</v>
      </c>
      <c r="CC72" s="100">
        <v>1029.2689464898222</v>
      </c>
      <c r="CD72" s="100">
        <v>8.0040659539318284</v>
      </c>
      <c r="CE72" s="100">
        <v>595.50250697252795</v>
      </c>
      <c r="CF72" s="100">
        <v>7.5571384133569541</v>
      </c>
      <c r="CG72" s="100">
        <v>562.25109795375727</v>
      </c>
      <c r="CH72" s="100">
        <v>6.8963810882747891</v>
      </c>
      <c r="CI72" s="100">
        <v>513.09075296764422</v>
      </c>
      <c r="CJ72" s="100">
        <v>9.6526191208824201</v>
      </c>
      <c r="CK72" s="100">
        <v>718.15486259365196</v>
      </c>
      <c r="CL72" s="100">
        <v>11.91981112238707</v>
      </c>
      <c r="CM72" s="100">
        <v>886.83394750559796</v>
      </c>
      <c r="CN72" s="100">
        <v>7.7561133376605884</v>
      </c>
      <c r="CO72" s="100">
        <v>577.05483232194774</v>
      </c>
      <c r="CP72" s="100">
        <v>1.4356097309616154</v>
      </c>
      <c r="CQ72" s="100">
        <v>106.80936398354417</v>
      </c>
      <c r="CR72" s="100">
        <v>13.241322113081182</v>
      </c>
      <c r="CS72" s="100">
        <v>985.15436521323988</v>
      </c>
      <c r="CT72" s="100">
        <v>10.617793843414702</v>
      </c>
      <c r="CU72" s="100">
        <v>789.9638619500538</v>
      </c>
    </row>
    <row r="73" spans="2:99">
      <c r="C73" s="99" t="s">
        <v>239</v>
      </c>
      <c r="D73" s="100">
        <v>8.1465946142636412</v>
      </c>
      <c r="E73" s="100">
        <v>4555.5757082962273</v>
      </c>
      <c r="F73" s="100">
        <v>12.782748187087028</v>
      </c>
      <c r="G73" s="100">
        <v>7148.1127862190651</v>
      </c>
      <c r="H73" s="100">
        <v>1.1306209474133766</v>
      </c>
      <c r="I73" s="100">
        <v>632.24323379356008</v>
      </c>
      <c r="J73" s="100">
        <v>11</v>
      </c>
      <c r="K73" s="100">
        <v>6151.1999999999989</v>
      </c>
      <c r="L73" s="100">
        <v>8</v>
      </c>
      <c r="M73" s="100">
        <v>4473.5999999999995</v>
      </c>
      <c r="N73" s="100">
        <v>10</v>
      </c>
      <c r="O73" s="100">
        <v>5591.9999999999991</v>
      </c>
      <c r="P73" s="100">
        <v>12.111801877261222</v>
      </c>
      <c r="Q73" s="100">
        <v>6772.9196097644744</v>
      </c>
      <c r="R73" s="100">
        <v>15</v>
      </c>
      <c r="S73" s="100">
        <v>8387.9999999999982</v>
      </c>
      <c r="T73" s="100">
        <v>5.8333063104162219</v>
      </c>
      <c r="U73" s="100">
        <v>3261.9848887847511</v>
      </c>
      <c r="V73" s="100">
        <v>6.7490114112466939</v>
      </c>
      <c r="W73" s="100">
        <v>3774.0471811691509</v>
      </c>
      <c r="X73" s="100">
        <v>14.239010638780485</v>
      </c>
      <c r="Y73" s="100">
        <v>7962.4547492060465</v>
      </c>
      <c r="Z73" s="100">
        <v>9</v>
      </c>
      <c r="AA73" s="100">
        <v>5032.7999999999993</v>
      </c>
      <c r="AB73" s="100">
        <v>11</v>
      </c>
      <c r="AC73" s="100">
        <v>6151.1999999999989</v>
      </c>
      <c r="AD73" s="100">
        <v>3.3325089805326957</v>
      </c>
      <c r="AE73" s="100">
        <v>1863.5390219138833</v>
      </c>
      <c r="AF73" s="100">
        <v>7</v>
      </c>
      <c r="AG73" s="100">
        <v>3914.3999999999996</v>
      </c>
      <c r="AH73" s="100">
        <v>7</v>
      </c>
      <c r="AI73" s="100">
        <v>3914.3999999999996</v>
      </c>
      <c r="AJ73" s="100">
        <v>11</v>
      </c>
      <c r="AK73" s="100">
        <v>6151.1999999999989</v>
      </c>
      <c r="AL73" s="100">
        <v>11</v>
      </c>
      <c r="AM73" s="100">
        <v>6151.1999999999989</v>
      </c>
      <c r="AN73" s="100">
        <v>10.268537804205939</v>
      </c>
      <c r="AO73" s="100">
        <v>5742.1663401119604</v>
      </c>
      <c r="AP73" s="100">
        <v>11</v>
      </c>
      <c r="AQ73" s="100">
        <v>6151.1999999999989</v>
      </c>
      <c r="AR73" s="100">
        <v>10</v>
      </c>
      <c r="AS73" s="100">
        <v>5591.9999999999991</v>
      </c>
      <c r="AT73" s="100">
        <v>9</v>
      </c>
      <c r="AU73" s="100">
        <v>5032.7999999999993</v>
      </c>
      <c r="AV73" s="100">
        <v>11.968477032473366</v>
      </c>
      <c r="AW73" s="100">
        <v>6692.7723565591059</v>
      </c>
      <c r="AX73" s="100">
        <v>10.620968071768489</v>
      </c>
      <c r="AY73" s="100">
        <v>5939.2453457329384</v>
      </c>
      <c r="AZ73" s="100">
        <v>9.5310900603797695</v>
      </c>
      <c r="BA73" s="100">
        <v>5329.7855617643663</v>
      </c>
      <c r="BB73" s="100">
        <v>9.6885419886900088</v>
      </c>
      <c r="BC73" s="100">
        <v>5417.8326800754521</v>
      </c>
      <c r="BD73" s="100">
        <v>10</v>
      </c>
      <c r="BE73" s="100">
        <v>5591.9999999999991</v>
      </c>
      <c r="BF73" s="100">
        <v>10.120021612484068</v>
      </c>
      <c r="BG73" s="100">
        <v>5659.11608570109</v>
      </c>
      <c r="BH73" s="100">
        <v>10.798522249260058</v>
      </c>
      <c r="BI73" s="100">
        <v>6038.5336417862236</v>
      </c>
      <c r="BJ73" s="100">
        <v>8</v>
      </c>
      <c r="BK73" s="100">
        <v>4473.5999999999995</v>
      </c>
      <c r="BL73" s="100">
        <v>9.9247105138685594</v>
      </c>
      <c r="BM73" s="100">
        <v>5549.8981193552981</v>
      </c>
      <c r="BN73" s="100">
        <v>10</v>
      </c>
      <c r="BO73" s="100">
        <v>5591.9999999999991</v>
      </c>
      <c r="BP73" s="100">
        <v>10.224371864443839</v>
      </c>
      <c r="BQ73" s="100">
        <v>5717.4687465969937</v>
      </c>
      <c r="BR73" s="100">
        <v>10.423218158448492</v>
      </c>
      <c r="BS73" s="100">
        <v>5828.6635942043958</v>
      </c>
      <c r="BT73" s="100">
        <v>10.342689432333506</v>
      </c>
      <c r="BU73" s="100">
        <v>5783.6319305608959</v>
      </c>
      <c r="BV73" s="100">
        <v>8</v>
      </c>
      <c r="BW73" s="100">
        <v>4473.5999999999995</v>
      </c>
      <c r="BX73" s="100">
        <v>10.744158595271934</v>
      </c>
      <c r="BY73" s="100">
        <v>6008.1334864760647</v>
      </c>
      <c r="BZ73" s="100">
        <v>3.5234437283615141</v>
      </c>
      <c r="CA73" s="100">
        <v>1970.3097328997585</v>
      </c>
      <c r="CB73" s="100">
        <v>13.834260033465354</v>
      </c>
      <c r="CC73" s="100">
        <v>7736.1182107138247</v>
      </c>
      <c r="CD73" s="100">
        <v>7.2764235944834805</v>
      </c>
      <c r="CE73" s="100">
        <v>4068.9760740351617</v>
      </c>
      <c r="CF73" s="100">
        <v>6.8701258303245041</v>
      </c>
      <c r="CG73" s="100">
        <v>3841.7743643174622</v>
      </c>
      <c r="CH73" s="100">
        <v>7.7584287243091374</v>
      </c>
      <c r="CI73" s="100">
        <v>4338.5133426336688</v>
      </c>
      <c r="CJ73" s="100">
        <v>9.6526191208824201</v>
      </c>
      <c r="CK73" s="100">
        <v>5397.7446123974487</v>
      </c>
      <c r="CL73" s="100">
        <v>11.91981112238707</v>
      </c>
      <c r="CM73" s="100">
        <v>6665.5583796388491</v>
      </c>
      <c r="CN73" s="100">
        <v>9.0487988939373523</v>
      </c>
      <c r="CO73" s="100">
        <v>5060.0883414897671</v>
      </c>
      <c r="CP73" s="100">
        <v>1.2305226265385274</v>
      </c>
      <c r="CQ73" s="100">
        <v>688.10825276034439</v>
      </c>
      <c r="CR73" s="100">
        <v>11.349704668355299</v>
      </c>
      <c r="CS73" s="100">
        <v>6346.7548505442828</v>
      </c>
      <c r="CT73" s="100">
        <v>9.9099409205203894</v>
      </c>
      <c r="CU73" s="100">
        <v>5541.6389627550006</v>
      </c>
    </row>
    <row r="74" spans="2:99">
      <c r="C74" s="99" t="s">
        <v>240</v>
      </c>
      <c r="D74" s="100">
        <v>8.7732557384377685</v>
      </c>
      <c r="E74" s="100">
        <v>3537.3767137381083</v>
      </c>
      <c r="F74" s="100">
        <v>11.869694745152241</v>
      </c>
      <c r="G74" s="100">
        <v>4785.8609212453839</v>
      </c>
      <c r="H74" s="100">
        <v>1.3045626316308192</v>
      </c>
      <c r="I74" s="100">
        <v>525.99965307354626</v>
      </c>
      <c r="J74" s="100">
        <v>11</v>
      </c>
      <c r="K74" s="100">
        <v>4435.2</v>
      </c>
      <c r="L74" s="100">
        <v>8</v>
      </c>
      <c r="M74" s="100">
        <v>3225.6</v>
      </c>
      <c r="N74" s="100">
        <v>10</v>
      </c>
      <c r="O74" s="100">
        <v>4032</v>
      </c>
      <c r="P74" s="100">
        <v>12.111801877261222</v>
      </c>
      <c r="Q74" s="100">
        <v>4883.478516911724</v>
      </c>
      <c r="R74" s="100">
        <v>15</v>
      </c>
      <c r="S74" s="100">
        <v>6048</v>
      </c>
      <c r="T74" s="100">
        <v>5.1041430216141936</v>
      </c>
      <c r="U74" s="100">
        <v>2057.9904663148427</v>
      </c>
      <c r="V74" s="100">
        <v>6.3271981980437753</v>
      </c>
      <c r="W74" s="100">
        <v>2551.1263134512501</v>
      </c>
      <c r="X74" s="100">
        <v>12.459134308932926</v>
      </c>
      <c r="Y74" s="100">
        <v>5023.5229533617558</v>
      </c>
      <c r="Z74" s="100">
        <v>10</v>
      </c>
      <c r="AA74" s="100">
        <v>4032</v>
      </c>
      <c r="AB74" s="100">
        <v>10</v>
      </c>
      <c r="AC74" s="100">
        <v>4032</v>
      </c>
      <c r="AD74" s="100">
        <v>3.3325089805326957</v>
      </c>
      <c r="AE74" s="100">
        <v>1343.667620950783</v>
      </c>
      <c r="AF74" s="100">
        <v>8</v>
      </c>
      <c r="AG74" s="100">
        <v>3225.6</v>
      </c>
      <c r="AH74" s="100">
        <v>7</v>
      </c>
      <c r="AI74" s="100">
        <v>2822.4</v>
      </c>
      <c r="AJ74" s="100">
        <v>10</v>
      </c>
      <c r="AK74" s="100">
        <v>4032</v>
      </c>
      <c r="AL74" s="100">
        <v>13</v>
      </c>
      <c r="AM74" s="100">
        <v>5241.5999999999995</v>
      </c>
      <c r="AN74" s="100">
        <v>11.848312851006852</v>
      </c>
      <c r="AO74" s="100">
        <v>4777.2397415259629</v>
      </c>
      <c r="AP74" s="100">
        <v>11</v>
      </c>
      <c r="AQ74" s="100">
        <v>4435.2</v>
      </c>
      <c r="AR74" s="100">
        <v>11</v>
      </c>
      <c r="AS74" s="100">
        <v>4435.2</v>
      </c>
      <c r="AT74" s="100">
        <v>10</v>
      </c>
      <c r="AU74" s="100">
        <v>4032</v>
      </c>
      <c r="AV74" s="100">
        <v>14.73043327073645</v>
      </c>
      <c r="AW74" s="100">
        <v>5939.3106947609367</v>
      </c>
      <c r="AX74" s="100">
        <v>9.1036869186587062</v>
      </c>
      <c r="AY74" s="100">
        <v>3670.6065656031901</v>
      </c>
      <c r="AZ74" s="100">
        <v>10.325347565411418</v>
      </c>
      <c r="BA74" s="100">
        <v>4163.1801383738839</v>
      </c>
      <c r="BB74" s="100">
        <v>10.43381444935847</v>
      </c>
      <c r="BC74" s="100">
        <v>4206.9139859813349</v>
      </c>
      <c r="BD74" s="100">
        <v>10</v>
      </c>
      <c r="BE74" s="100">
        <v>4032</v>
      </c>
      <c r="BF74" s="100">
        <v>10.120021612484068</v>
      </c>
      <c r="BG74" s="100">
        <v>4080.3927141535764</v>
      </c>
      <c r="BH74" s="100">
        <v>8.6388177994080468</v>
      </c>
      <c r="BI74" s="100">
        <v>3483.1713367213242</v>
      </c>
      <c r="BJ74" s="100">
        <v>8</v>
      </c>
      <c r="BK74" s="100">
        <v>3225.6</v>
      </c>
      <c r="BL74" s="100">
        <v>9.9247105138685594</v>
      </c>
      <c r="BM74" s="100">
        <v>4001.6432791918032</v>
      </c>
      <c r="BN74" s="100">
        <v>10</v>
      </c>
      <c r="BO74" s="100">
        <v>4032</v>
      </c>
      <c r="BP74" s="100">
        <v>10.224371864443839</v>
      </c>
      <c r="BQ74" s="100">
        <v>4122.4667357437556</v>
      </c>
      <c r="BR74" s="100">
        <v>9.6214321462601458</v>
      </c>
      <c r="BS74" s="100">
        <v>3879.3614413720907</v>
      </c>
      <c r="BT74" s="100">
        <v>10.342689432333506</v>
      </c>
      <c r="BU74" s="100">
        <v>4170.1723791168697</v>
      </c>
      <c r="BV74" s="100">
        <v>8</v>
      </c>
      <c r="BW74" s="100">
        <v>3225.6</v>
      </c>
      <c r="BX74" s="100">
        <v>12.397106071467615</v>
      </c>
      <c r="BY74" s="100">
        <v>4998.5131680157419</v>
      </c>
      <c r="BZ74" s="100">
        <v>3.5234437283615141</v>
      </c>
      <c r="CA74" s="100">
        <v>1420.6525112753625</v>
      </c>
      <c r="CB74" s="100">
        <v>14.756544035696377</v>
      </c>
      <c r="CC74" s="100">
        <v>5949.8385551927795</v>
      </c>
      <c r="CD74" s="100">
        <v>7.2764235944834805</v>
      </c>
      <c r="CE74" s="100">
        <v>2933.8539932957392</v>
      </c>
      <c r="CF74" s="100">
        <v>7.5571384133569541</v>
      </c>
      <c r="CG74" s="100">
        <v>3047.0382082655237</v>
      </c>
      <c r="CH74" s="100">
        <v>6.8963810882747891</v>
      </c>
      <c r="CI74" s="100">
        <v>2780.6208547923948</v>
      </c>
      <c r="CJ74" s="100">
        <v>8.3656032380980978</v>
      </c>
      <c r="CK74" s="100">
        <v>3373.011225601153</v>
      </c>
      <c r="CL74" s="100">
        <v>11.002902574511142</v>
      </c>
      <c r="CM74" s="100">
        <v>4436.370318042892</v>
      </c>
      <c r="CN74" s="100">
        <v>9.0487988939373523</v>
      </c>
      <c r="CO74" s="100">
        <v>3648.4757140355405</v>
      </c>
      <c r="CP74" s="100">
        <v>1.3330661787500715</v>
      </c>
      <c r="CQ74" s="100">
        <v>537.49228327202877</v>
      </c>
      <c r="CR74" s="100">
        <v>11.349704668355299</v>
      </c>
      <c r="CS74" s="100">
        <v>4576.2009222808565</v>
      </c>
      <c r="CT74" s="100">
        <v>10.617793843414702</v>
      </c>
      <c r="CU74" s="100">
        <v>4281.0944776648075</v>
      </c>
    </row>
    <row r="75" spans="2:99">
      <c r="C75" s="99" t="s">
        <v>241</v>
      </c>
      <c r="D75" s="100">
        <v>9.3999168626118941</v>
      </c>
      <c r="E75" s="100">
        <v>6046.0265260319693</v>
      </c>
      <c r="F75" s="100">
        <v>12.782748187087028</v>
      </c>
      <c r="G75" s="100">
        <v>8221.8636339343757</v>
      </c>
      <c r="H75" s="100">
        <v>1.2175917895220978</v>
      </c>
      <c r="I75" s="100">
        <v>783.15503902061323</v>
      </c>
      <c r="J75" s="100">
        <v>10</v>
      </c>
      <c r="K75" s="100">
        <v>6431.9999999999991</v>
      </c>
      <c r="L75" s="100">
        <v>8</v>
      </c>
      <c r="M75" s="100">
        <v>5145.5999999999995</v>
      </c>
      <c r="N75" s="100">
        <v>11</v>
      </c>
      <c r="O75" s="100">
        <v>7075.1999999999989</v>
      </c>
      <c r="P75" s="100">
        <v>12.111801877261222</v>
      </c>
      <c r="Q75" s="100">
        <v>7790.3109674544166</v>
      </c>
      <c r="R75" s="100">
        <v>14</v>
      </c>
      <c r="S75" s="100">
        <v>9004.7999999999993</v>
      </c>
      <c r="T75" s="100">
        <v>5.8333063104162219</v>
      </c>
      <c r="U75" s="100">
        <v>3751.9826188597135</v>
      </c>
      <c r="V75" s="100">
        <v>5.4835717716379389</v>
      </c>
      <c r="W75" s="100">
        <v>3527.033363517522</v>
      </c>
      <c r="X75" s="100">
        <v>13.349072473856706</v>
      </c>
      <c r="Y75" s="100">
        <v>8586.1234151846329</v>
      </c>
      <c r="Z75" s="100">
        <v>9</v>
      </c>
      <c r="AA75" s="100">
        <v>5788.7999999999993</v>
      </c>
      <c r="AB75" s="100">
        <v>10</v>
      </c>
      <c r="AC75" s="100">
        <v>6431.9999999999991</v>
      </c>
      <c r="AD75" s="100">
        <v>3.3325089805326957</v>
      </c>
      <c r="AE75" s="100">
        <v>2143.4697762786295</v>
      </c>
      <c r="AF75" s="100">
        <v>7</v>
      </c>
      <c r="AG75" s="100">
        <v>4502.3999999999996</v>
      </c>
      <c r="AH75" s="100">
        <v>7</v>
      </c>
      <c r="AI75" s="100">
        <v>4502.3999999999996</v>
      </c>
      <c r="AJ75" s="100">
        <v>11</v>
      </c>
      <c r="AK75" s="100">
        <v>7075.1999999999989</v>
      </c>
      <c r="AL75" s="100">
        <v>11</v>
      </c>
      <c r="AM75" s="100">
        <v>7075.1999999999989</v>
      </c>
      <c r="AN75" s="100">
        <v>11.848312851006852</v>
      </c>
      <c r="AO75" s="100">
        <v>7620.8348257676071</v>
      </c>
      <c r="AP75" s="100">
        <v>12</v>
      </c>
      <c r="AQ75" s="100">
        <v>7718.4</v>
      </c>
      <c r="AR75" s="100">
        <v>10</v>
      </c>
      <c r="AS75" s="100">
        <v>6431.9999999999991</v>
      </c>
      <c r="AT75" s="100">
        <v>11</v>
      </c>
      <c r="AU75" s="100">
        <v>7075.1999999999989</v>
      </c>
      <c r="AV75" s="100">
        <v>11.968477032473366</v>
      </c>
      <c r="AW75" s="100">
        <v>7698.124427286868</v>
      </c>
      <c r="AX75" s="100">
        <v>10.620968071768489</v>
      </c>
      <c r="AY75" s="100">
        <v>6831.4066637614915</v>
      </c>
      <c r="AZ75" s="100">
        <v>9.5310900603797695</v>
      </c>
      <c r="BA75" s="100">
        <v>6130.3971268362675</v>
      </c>
      <c r="BB75" s="100">
        <v>9.6885419886900088</v>
      </c>
      <c r="BC75" s="100">
        <v>6231.6702071254131</v>
      </c>
      <c r="BD75" s="100">
        <v>10</v>
      </c>
      <c r="BE75" s="100">
        <v>6431.9999999999991</v>
      </c>
      <c r="BF75" s="100">
        <v>10.120021612484068</v>
      </c>
      <c r="BG75" s="100">
        <v>6509.1979011497524</v>
      </c>
      <c r="BH75" s="100">
        <v>9.35871928269205</v>
      </c>
      <c r="BI75" s="100">
        <v>6019.5282426275262</v>
      </c>
      <c r="BJ75" s="100">
        <v>8</v>
      </c>
      <c r="BK75" s="100">
        <v>5145.5999999999995</v>
      </c>
      <c r="BL75" s="100">
        <v>10.633618407716314</v>
      </c>
      <c r="BM75" s="100">
        <v>6839.5433598431327</v>
      </c>
      <c r="BN75" s="100">
        <v>9</v>
      </c>
      <c r="BO75" s="100">
        <v>5788.7999999999993</v>
      </c>
      <c r="BP75" s="100">
        <v>9.494059588412135</v>
      </c>
      <c r="BQ75" s="100">
        <v>6106.5791272666847</v>
      </c>
      <c r="BR75" s="100">
        <v>10.423218158448492</v>
      </c>
      <c r="BS75" s="100">
        <v>6704.2139195140689</v>
      </c>
      <c r="BT75" s="100">
        <v>9.6039259014525413</v>
      </c>
      <c r="BU75" s="100">
        <v>6177.2451398142739</v>
      </c>
      <c r="BV75" s="100">
        <v>7</v>
      </c>
      <c r="BW75" s="100">
        <v>4502.3999999999996</v>
      </c>
      <c r="BX75" s="100">
        <v>11.570632333369774</v>
      </c>
      <c r="BY75" s="100">
        <v>7442.2307168234383</v>
      </c>
      <c r="BZ75" s="100">
        <v>3.7944778613124002</v>
      </c>
      <c r="CA75" s="100">
        <v>2440.6081603961356</v>
      </c>
      <c r="CB75" s="100">
        <v>12.91197603123433</v>
      </c>
      <c r="CC75" s="100">
        <v>8304.9829832899195</v>
      </c>
      <c r="CD75" s="100">
        <v>8.7317083133801763</v>
      </c>
      <c r="CE75" s="100">
        <v>5616.2347871661286</v>
      </c>
      <c r="CF75" s="100">
        <v>7.5571384133569541</v>
      </c>
      <c r="CG75" s="100">
        <v>4860.7514274711921</v>
      </c>
      <c r="CH75" s="100">
        <v>6.8963810882747891</v>
      </c>
      <c r="CI75" s="100">
        <v>4435.7523159783441</v>
      </c>
      <c r="CJ75" s="100">
        <v>9.0091111794902581</v>
      </c>
      <c r="CK75" s="100">
        <v>5794.6603106481334</v>
      </c>
      <c r="CL75" s="100">
        <v>11.91981112238707</v>
      </c>
      <c r="CM75" s="100">
        <v>7666.8225139193628</v>
      </c>
      <c r="CN75" s="100">
        <v>8.4024561157989712</v>
      </c>
      <c r="CO75" s="100">
        <v>5404.4597736818978</v>
      </c>
      <c r="CP75" s="100">
        <v>1.2305226265385274</v>
      </c>
      <c r="CQ75" s="100">
        <v>791.47215338958074</v>
      </c>
      <c r="CR75" s="100">
        <v>13.241322113081182</v>
      </c>
      <c r="CS75" s="100">
        <v>8516.8183831338156</v>
      </c>
      <c r="CT75" s="100">
        <v>9.9099409205203894</v>
      </c>
      <c r="CU75" s="100">
        <v>6374.0740000787137</v>
      </c>
    </row>
    <row r="76" spans="2:99">
      <c r="C76" s="99" t="s">
        <v>242</v>
      </c>
      <c r="D76" s="100">
        <v>8.1465946142636412</v>
      </c>
      <c r="E76" s="100">
        <v>6344.5678855885235</v>
      </c>
      <c r="F76" s="100">
        <v>12.782748187087028</v>
      </c>
      <c r="G76" s="100">
        <v>9955.2042881033776</v>
      </c>
      <c r="H76" s="100">
        <v>1.1306209474133766</v>
      </c>
      <c r="I76" s="100">
        <v>880.52759384553769</v>
      </c>
      <c r="J76" s="100">
        <v>11</v>
      </c>
      <c r="K76" s="100">
        <v>8566.7999999999993</v>
      </c>
      <c r="L76" s="100">
        <v>7</v>
      </c>
      <c r="M76" s="100">
        <v>5451.5999999999995</v>
      </c>
      <c r="N76" s="100">
        <v>11</v>
      </c>
      <c r="O76" s="100">
        <v>8566.7999999999993</v>
      </c>
      <c r="P76" s="100">
        <v>12.111801877261222</v>
      </c>
      <c r="Q76" s="100">
        <v>9432.6713020110383</v>
      </c>
      <c r="R76" s="100">
        <v>14</v>
      </c>
      <c r="S76" s="100">
        <v>10903.199999999999</v>
      </c>
      <c r="T76" s="100">
        <v>5.1041430216141936</v>
      </c>
      <c r="U76" s="100">
        <v>3975.106585233134</v>
      </c>
      <c r="V76" s="100">
        <v>5.9053849848408575</v>
      </c>
      <c r="W76" s="100">
        <v>4599.1138261940596</v>
      </c>
      <c r="X76" s="100">
        <v>11.569196144009146</v>
      </c>
      <c r="Y76" s="100">
        <v>9010.0899569543217</v>
      </c>
      <c r="Z76" s="100">
        <v>9</v>
      </c>
      <c r="AA76" s="100">
        <v>7009.2</v>
      </c>
      <c r="AB76" s="100">
        <v>10</v>
      </c>
      <c r="AC76" s="100">
        <v>7788</v>
      </c>
      <c r="AD76" s="100">
        <v>3.7490726030992825</v>
      </c>
      <c r="AE76" s="100">
        <v>2919.777743293721</v>
      </c>
      <c r="AF76" s="100">
        <v>8</v>
      </c>
      <c r="AG76" s="100">
        <v>6230.4</v>
      </c>
      <c r="AH76" s="100">
        <v>7</v>
      </c>
      <c r="AI76" s="100">
        <v>5451.5999999999995</v>
      </c>
      <c r="AJ76" s="100">
        <v>10</v>
      </c>
      <c r="AK76" s="100">
        <v>7788</v>
      </c>
      <c r="AL76" s="100">
        <v>12</v>
      </c>
      <c r="AM76" s="100">
        <v>9345.5999999999985</v>
      </c>
      <c r="AN76" s="100">
        <v>11.848312851006852</v>
      </c>
      <c r="AO76" s="100">
        <v>9227.4660483641364</v>
      </c>
      <c r="AP76" s="100">
        <v>11</v>
      </c>
      <c r="AQ76" s="100">
        <v>8566.7999999999993</v>
      </c>
      <c r="AR76" s="100">
        <v>10</v>
      </c>
      <c r="AS76" s="100">
        <v>7788</v>
      </c>
      <c r="AT76" s="100">
        <v>11</v>
      </c>
      <c r="AU76" s="100">
        <v>8566.7999999999993</v>
      </c>
      <c r="AV76" s="100">
        <v>13.809781191315421</v>
      </c>
      <c r="AW76" s="100">
        <v>10755.057591796449</v>
      </c>
      <c r="AX76" s="100">
        <v>8.3450463421038137</v>
      </c>
      <c r="AY76" s="100">
        <v>6499.1220912304498</v>
      </c>
      <c r="AZ76" s="100">
        <v>9.5310900603797695</v>
      </c>
      <c r="BA76" s="100">
        <v>7422.8129390237636</v>
      </c>
      <c r="BB76" s="100">
        <v>8.9432695280215473</v>
      </c>
      <c r="BC76" s="100">
        <v>6965.0183084231803</v>
      </c>
      <c r="BD76" s="100">
        <v>10</v>
      </c>
      <c r="BE76" s="100">
        <v>7788</v>
      </c>
      <c r="BF76" s="100">
        <v>9.2766864781103973</v>
      </c>
      <c r="BG76" s="100">
        <v>7224.6834291523774</v>
      </c>
      <c r="BH76" s="100">
        <v>10.078620765976055</v>
      </c>
      <c r="BI76" s="100">
        <v>7849.2298525421511</v>
      </c>
      <c r="BJ76" s="100">
        <v>10</v>
      </c>
      <c r="BK76" s="100">
        <v>7788</v>
      </c>
      <c r="BL76" s="100">
        <v>10.633618407716314</v>
      </c>
      <c r="BM76" s="100">
        <v>8281.4620159294645</v>
      </c>
      <c r="BN76" s="100">
        <v>10</v>
      </c>
      <c r="BO76" s="100">
        <v>7788</v>
      </c>
      <c r="BP76" s="100">
        <v>10.224371864443839</v>
      </c>
      <c r="BQ76" s="100">
        <v>7962.7408080288615</v>
      </c>
      <c r="BR76" s="100">
        <v>9.6214321462601458</v>
      </c>
      <c r="BS76" s="100">
        <v>7493.1713555074011</v>
      </c>
      <c r="BT76" s="100">
        <v>10.342689432333506</v>
      </c>
      <c r="BU76" s="100">
        <v>8054.8865299013341</v>
      </c>
      <c r="BV76" s="100">
        <v>8</v>
      </c>
      <c r="BW76" s="100">
        <v>6230.4</v>
      </c>
      <c r="BX76" s="100">
        <v>10.744158595271934</v>
      </c>
      <c r="BY76" s="100">
        <v>8367.5507139977817</v>
      </c>
      <c r="BZ76" s="100">
        <v>3.7944778613124002</v>
      </c>
      <c r="CA76" s="100">
        <v>2955.1393583900972</v>
      </c>
      <c r="CB76" s="100">
        <v>13.834260033465354</v>
      </c>
      <c r="CC76" s="100">
        <v>10774.121714062816</v>
      </c>
      <c r="CD76" s="100">
        <v>7.2764235944834805</v>
      </c>
      <c r="CE76" s="100">
        <v>5666.8786953837343</v>
      </c>
      <c r="CF76" s="100">
        <v>6.8701258303245041</v>
      </c>
      <c r="CG76" s="100">
        <v>5350.4539966567236</v>
      </c>
      <c r="CH76" s="100">
        <v>6.8963810882747891</v>
      </c>
      <c r="CI76" s="100">
        <v>5370.9015915484051</v>
      </c>
      <c r="CJ76" s="100">
        <v>7.7220952967059358</v>
      </c>
      <c r="CK76" s="100">
        <v>6013.9678170745829</v>
      </c>
      <c r="CL76" s="100">
        <v>10.085994026635213</v>
      </c>
      <c r="CM76" s="100">
        <v>7854.9721479435029</v>
      </c>
      <c r="CN76" s="100">
        <v>9.0487988939373523</v>
      </c>
      <c r="CO76" s="100">
        <v>7047.2045785984092</v>
      </c>
      <c r="CP76" s="100">
        <v>1.2305226265385274</v>
      </c>
      <c r="CQ76" s="100">
        <v>958.33102154820506</v>
      </c>
      <c r="CR76" s="100">
        <v>13.241322113081182</v>
      </c>
      <c r="CS76" s="100">
        <v>10312.341661667624</v>
      </c>
      <c r="CT76" s="100">
        <v>9.2020879976260748</v>
      </c>
      <c r="CU76" s="100">
        <v>7166.5861325511869</v>
      </c>
    </row>
    <row r="77" spans="2:99">
      <c r="C77" s="99" t="s">
        <v>243</v>
      </c>
      <c r="D77" s="100">
        <v>8.7732557384377685</v>
      </c>
      <c r="E77" s="100">
        <v>2442.4743975810748</v>
      </c>
      <c r="F77" s="100">
        <v>11.869694745152241</v>
      </c>
      <c r="G77" s="100">
        <v>3304.5230170503837</v>
      </c>
      <c r="H77" s="100">
        <v>1.3045626316308192</v>
      </c>
      <c r="I77" s="100">
        <v>363.19023664602003</v>
      </c>
      <c r="J77" s="100">
        <v>10</v>
      </c>
      <c r="K77" s="100">
        <v>2784</v>
      </c>
      <c r="L77" s="100">
        <v>8</v>
      </c>
      <c r="M77" s="100">
        <v>2227.1999999999998</v>
      </c>
      <c r="N77" s="100">
        <v>10</v>
      </c>
      <c r="O77" s="100">
        <v>2784</v>
      </c>
      <c r="P77" s="100">
        <v>12.111801877261222</v>
      </c>
      <c r="Q77" s="100">
        <v>3371.9256426295237</v>
      </c>
      <c r="R77" s="100">
        <v>13</v>
      </c>
      <c r="S77" s="100">
        <v>3619.2</v>
      </c>
      <c r="T77" s="100">
        <v>5.1041430216141936</v>
      </c>
      <c r="U77" s="100">
        <v>1420.9934172173914</v>
      </c>
      <c r="V77" s="100">
        <v>6.7490114112466939</v>
      </c>
      <c r="W77" s="100">
        <v>1878.9247768910793</v>
      </c>
      <c r="X77" s="100">
        <v>11.569196144009146</v>
      </c>
      <c r="Y77" s="100">
        <v>3220.864206492146</v>
      </c>
      <c r="Z77" s="100">
        <v>9</v>
      </c>
      <c r="AA77" s="100">
        <v>2505.6</v>
      </c>
      <c r="AB77" s="100">
        <v>11</v>
      </c>
      <c r="AC77" s="100">
        <v>3062.3999999999996</v>
      </c>
      <c r="AD77" s="100">
        <v>3.7490726030992825</v>
      </c>
      <c r="AE77" s="100">
        <v>1043.7418127028402</v>
      </c>
      <c r="AF77" s="100">
        <v>7</v>
      </c>
      <c r="AG77" s="100">
        <v>1948.7999999999997</v>
      </c>
      <c r="AH77" s="100">
        <v>7</v>
      </c>
      <c r="AI77" s="100">
        <v>1948.7999999999997</v>
      </c>
      <c r="AJ77" s="100">
        <v>11</v>
      </c>
      <c r="AK77" s="100">
        <v>3062.3999999999996</v>
      </c>
      <c r="AL77" s="100">
        <v>11</v>
      </c>
      <c r="AM77" s="100">
        <v>3062.3999999999996</v>
      </c>
      <c r="AN77" s="100">
        <v>10.268537804205939</v>
      </c>
      <c r="AO77" s="100">
        <v>2858.7609246909333</v>
      </c>
      <c r="AP77" s="100">
        <v>12</v>
      </c>
      <c r="AQ77" s="100">
        <v>3340.7999999999997</v>
      </c>
      <c r="AR77" s="100">
        <v>11</v>
      </c>
      <c r="AS77" s="100">
        <v>3062.3999999999996</v>
      </c>
      <c r="AT77" s="100">
        <v>10</v>
      </c>
      <c r="AU77" s="100">
        <v>2784</v>
      </c>
      <c r="AV77" s="100">
        <v>14.73043327073645</v>
      </c>
      <c r="AW77" s="100">
        <v>4100.9526225730269</v>
      </c>
      <c r="AX77" s="100">
        <v>9.8623274952135986</v>
      </c>
      <c r="AY77" s="100">
        <v>2745.6719746674657</v>
      </c>
      <c r="AZ77" s="100">
        <v>11.119605070443066</v>
      </c>
      <c r="BA77" s="100">
        <v>3095.6980516113495</v>
      </c>
      <c r="BB77" s="100">
        <v>10.43381444935847</v>
      </c>
      <c r="BC77" s="100">
        <v>2904.773942701398</v>
      </c>
      <c r="BD77" s="100">
        <v>9</v>
      </c>
      <c r="BE77" s="100">
        <v>2505.6</v>
      </c>
      <c r="BF77" s="100">
        <v>10.120021612484068</v>
      </c>
      <c r="BG77" s="100">
        <v>2817.4140169155644</v>
      </c>
      <c r="BH77" s="100">
        <v>8.6388177994080468</v>
      </c>
      <c r="BI77" s="100">
        <v>2405.0468753552</v>
      </c>
      <c r="BJ77" s="100">
        <v>8</v>
      </c>
      <c r="BK77" s="100">
        <v>2227.1999999999998</v>
      </c>
      <c r="BL77" s="100">
        <v>9.9247105138685594</v>
      </c>
      <c r="BM77" s="100">
        <v>2763.0394070610068</v>
      </c>
      <c r="BN77" s="100">
        <v>10</v>
      </c>
      <c r="BO77" s="100">
        <v>2784</v>
      </c>
      <c r="BP77" s="100">
        <v>10.224371864443839</v>
      </c>
      <c r="BQ77" s="100">
        <v>2846.4651270611644</v>
      </c>
      <c r="BR77" s="100">
        <v>10.423218158448492</v>
      </c>
      <c r="BS77" s="100">
        <v>2901.8239353120598</v>
      </c>
      <c r="BT77" s="100">
        <v>9.6039259014525413</v>
      </c>
      <c r="BU77" s="100">
        <v>2673.7329709643873</v>
      </c>
      <c r="BV77" s="100">
        <v>9</v>
      </c>
      <c r="BW77" s="100">
        <v>2505.6</v>
      </c>
      <c r="BX77" s="100">
        <v>11.570632333369774</v>
      </c>
      <c r="BY77" s="100">
        <v>3221.2640416101449</v>
      </c>
      <c r="BZ77" s="100">
        <v>3.7944778613124002</v>
      </c>
      <c r="CA77" s="100">
        <v>1056.3826365893722</v>
      </c>
      <c r="CB77" s="100">
        <v>13.834260033465354</v>
      </c>
      <c r="CC77" s="100">
        <v>3851.4579933167543</v>
      </c>
      <c r="CD77" s="100">
        <v>8.0040659539318284</v>
      </c>
      <c r="CE77" s="100">
        <v>2228.3319615746209</v>
      </c>
      <c r="CF77" s="100">
        <v>7.5571384133569541</v>
      </c>
      <c r="CG77" s="100">
        <v>2103.9073342785759</v>
      </c>
      <c r="CH77" s="100">
        <v>6.8963810882747891</v>
      </c>
      <c r="CI77" s="100">
        <v>1919.952494975701</v>
      </c>
      <c r="CJ77" s="100">
        <v>9.0091111794902581</v>
      </c>
      <c r="CK77" s="100">
        <v>2508.1365523700874</v>
      </c>
      <c r="CL77" s="100">
        <v>11.002902574511142</v>
      </c>
      <c r="CM77" s="100">
        <v>3063.2080767439015</v>
      </c>
      <c r="CN77" s="100">
        <v>7.7561133376605884</v>
      </c>
      <c r="CO77" s="100">
        <v>2159.3019532047078</v>
      </c>
      <c r="CP77" s="100">
        <v>1.4356097309616154</v>
      </c>
      <c r="CQ77" s="100">
        <v>399.67374909971369</v>
      </c>
      <c r="CR77" s="100">
        <v>13.241322113081182</v>
      </c>
      <c r="CS77" s="100">
        <v>3686.3840762818008</v>
      </c>
      <c r="CT77" s="100">
        <v>10.617793843414702</v>
      </c>
      <c r="CU77" s="100">
        <v>2955.9938060066529</v>
      </c>
    </row>
    <row r="78" spans="2:99">
      <c r="C78" s="99" t="s">
        <v>244</v>
      </c>
      <c r="D78" s="100">
        <v>8.7732557384377685</v>
      </c>
      <c r="E78" s="100">
        <v>4842.8371676176484</v>
      </c>
      <c r="F78" s="100">
        <v>12.782748187087028</v>
      </c>
      <c r="G78" s="100">
        <v>7056.0769992720398</v>
      </c>
      <c r="H78" s="100">
        <v>1.2175917895220978</v>
      </c>
      <c r="I78" s="100">
        <v>672.11066781619797</v>
      </c>
      <c r="J78" s="100">
        <v>10</v>
      </c>
      <c r="K78" s="100">
        <v>5520</v>
      </c>
      <c r="L78" s="100">
        <v>8</v>
      </c>
      <c r="M78" s="100">
        <v>4416</v>
      </c>
      <c r="N78" s="100">
        <v>11</v>
      </c>
      <c r="O78" s="100">
        <v>6072</v>
      </c>
      <c r="P78" s="100">
        <v>11.180124809779592</v>
      </c>
      <c r="Q78" s="100">
        <v>6171.4288949983347</v>
      </c>
      <c r="R78" s="100">
        <v>14</v>
      </c>
      <c r="S78" s="100">
        <v>7728</v>
      </c>
      <c r="T78" s="100">
        <v>5.8333063104162219</v>
      </c>
      <c r="U78" s="100">
        <v>3219.9850833497544</v>
      </c>
      <c r="V78" s="100">
        <v>6.3271981980437753</v>
      </c>
      <c r="W78" s="100">
        <v>3492.613405320164</v>
      </c>
      <c r="X78" s="100">
        <v>11.569196144009146</v>
      </c>
      <c r="Y78" s="100">
        <v>6386.1962714930487</v>
      </c>
      <c r="Z78" s="100">
        <v>8</v>
      </c>
      <c r="AA78" s="100">
        <v>4416</v>
      </c>
      <c r="AB78" s="100">
        <v>9</v>
      </c>
      <c r="AC78" s="100">
        <v>4968</v>
      </c>
      <c r="AD78" s="100">
        <v>3.3325089805326957</v>
      </c>
      <c r="AE78" s="100">
        <v>1839.5449572540481</v>
      </c>
      <c r="AF78" s="100">
        <v>7</v>
      </c>
      <c r="AG78" s="100">
        <v>3864</v>
      </c>
      <c r="AH78" s="100">
        <v>8</v>
      </c>
      <c r="AI78" s="100">
        <v>4416</v>
      </c>
      <c r="AJ78" s="100">
        <v>11</v>
      </c>
      <c r="AK78" s="100">
        <v>6072</v>
      </c>
      <c r="AL78" s="100">
        <v>11</v>
      </c>
      <c r="AM78" s="100">
        <v>6072</v>
      </c>
      <c r="AN78" s="100">
        <v>10.268537804205939</v>
      </c>
      <c r="AO78" s="100">
        <v>5668.2328679216789</v>
      </c>
      <c r="AP78" s="100">
        <v>11</v>
      </c>
      <c r="AQ78" s="100">
        <v>6072</v>
      </c>
      <c r="AR78" s="100">
        <v>11</v>
      </c>
      <c r="AS78" s="100">
        <v>6072</v>
      </c>
      <c r="AT78" s="100">
        <v>10</v>
      </c>
      <c r="AU78" s="100">
        <v>5520</v>
      </c>
      <c r="AV78" s="100">
        <v>12.889129111894393</v>
      </c>
      <c r="AW78" s="100">
        <v>7114.7992697657046</v>
      </c>
      <c r="AX78" s="100">
        <v>9.1036869186587062</v>
      </c>
      <c r="AY78" s="100">
        <v>5025.2351790996054</v>
      </c>
      <c r="AZ78" s="100">
        <v>9.5310900603797695</v>
      </c>
      <c r="BA78" s="100">
        <v>5261.1617133296331</v>
      </c>
      <c r="BB78" s="100">
        <v>9.6885419886900088</v>
      </c>
      <c r="BC78" s="100">
        <v>5348.0751777568848</v>
      </c>
      <c r="BD78" s="100">
        <v>10</v>
      </c>
      <c r="BE78" s="100">
        <v>5520</v>
      </c>
      <c r="BF78" s="100">
        <v>10.120021612484068</v>
      </c>
      <c r="BG78" s="100">
        <v>5586.2519300912054</v>
      </c>
      <c r="BH78" s="100">
        <v>10.078620765976055</v>
      </c>
      <c r="BI78" s="100">
        <v>5563.3986628187822</v>
      </c>
      <c r="BJ78" s="100">
        <v>9</v>
      </c>
      <c r="BK78" s="100">
        <v>4968</v>
      </c>
      <c r="BL78" s="100">
        <v>9.9247105138685594</v>
      </c>
      <c r="BM78" s="100">
        <v>5478.4402036554447</v>
      </c>
      <c r="BN78" s="100">
        <v>9</v>
      </c>
      <c r="BO78" s="100">
        <v>4968</v>
      </c>
      <c r="BP78" s="100">
        <v>10.224371864443839</v>
      </c>
      <c r="BQ78" s="100">
        <v>5643.8532691729988</v>
      </c>
      <c r="BR78" s="100">
        <v>10.423218158448492</v>
      </c>
      <c r="BS78" s="100">
        <v>5753.6164234635671</v>
      </c>
      <c r="BT78" s="100">
        <v>9.6039259014525413</v>
      </c>
      <c r="BU78" s="100">
        <v>5301.3670976018029</v>
      </c>
      <c r="BV78" s="100">
        <v>7</v>
      </c>
      <c r="BW78" s="100">
        <v>3864</v>
      </c>
      <c r="BX78" s="100">
        <v>10.744158595271934</v>
      </c>
      <c r="BY78" s="100">
        <v>5930.7755445901075</v>
      </c>
      <c r="BZ78" s="100">
        <v>3.7944778613124002</v>
      </c>
      <c r="CA78" s="100">
        <v>2094.5517794444449</v>
      </c>
      <c r="CB78" s="100">
        <v>14.756544035696377</v>
      </c>
      <c r="CC78" s="100">
        <v>8145.6123077044003</v>
      </c>
      <c r="CD78" s="100">
        <v>7.2764235944834805</v>
      </c>
      <c r="CE78" s="100">
        <v>4016.5858241548813</v>
      </c>
      <c r="CF78" s="100">
        <v>8.244150996389406</v>
      </c>
      <c r="CG78" s="100">
        <v>4550.7713500069522</v>
      </c>
      <c r="CH78" s="100">
        <v>7.7584287243091374</v>
      </c>
      <c r="CI78" s="100">
        <v>4282.6526558186442</v>
      </c>
      <c r="CJ78" s="100">
        <v>8.3656032380980978</v>
      </c>
      <c r="CK78" s="100">
        <v>4617.8129874301503</v>
      </c>
      <c r="CL78" s="100">
        <v>10.085994026635213</v>
      </c>
      <c r="CM78" s="100">
        <v>5567.4687027026375</v>
      </c>
      <c r="CN78" s="100">
        <v>9.0487988939373523</v>
      </c>
      <c r="CO78" s="100">
        <v>4994.9369894534184</v>
      </c>
      <c r="CP78" s="100">
        <v>1.2305226265385274</v>
      </c>
      <c r="CQ78" s="100">
        <v>679.24848984926712</v>
      </c>
      <c r="CR78" s="100">
        <v>11.349704668355299</v>
      </c>
      <c r="CS78" s="100">
        <v>6265.0369769321251</v>
      </c>
      <c r="CT78" s="100">
        <v>9.2020879976260748</v>
      </c>
      <c r="CU78" s="100">
        <v>5079.5525746895937</v>
      </c>
    </row>
    <row r="79" spans="2:99">
      <c r="C79" s="99" t="s">
        <v>245</v>
      </c>
      <c r="D79" s="100">
        <v>8.7732557384377685</v>
      </c>
      <c r="E79" s="100">
        <v>6643.1092451450777</v>
      </c>
      <c r="F79" s="100">
        <v>11.869694745152241</v>
      </c>
      <c r="G79" s="100">
        <v>8987.732861029277</v>
      </c>
      <c r="H79" s="100">
        <v>1.3045626316308192</v>
      </c>
      <c r="I79" s="100">
        <v>987.81482467085618</v>
      </c>
      <c r="J79" s="100">
        <v>11</v>
      </c>
      <c r="K79" s="100">
        <v>8329.1999999999989</v>
      </c>
      <c r="L79" s="100">
        <v>7</v>
      </c>
      <c r="M79" s="100">
        <v>5300.4</v>
      </c>
      <c r="N79" s="100">
        <v>11</v>
      </c>
      <c r="O79" s="100">
        <v>8329.1999999999989</v>
      </c>
      <c r="P79" s="100">
        <v>11.180124809779592</v>
      </c>
      <c r="Q79" s="100">
        <v>8465.5905059651068</v>
      </c>
      <c r="R79" s="100">
        <v>13</v>
      </c>
      <c r="S79" s="100">
        <v>9843.5999999999985</v>
      </c>
      <c r="T79" s="100">
        <v>5.1041430216141936</v>
      </c>
      <c r="U79" s="100">
        <v>3864.857095966267</v>
      </c>
      <c r="V79" s="100">
        <v>6.7490114112466939</v>
      </c>
      <c r="W79" s="100">
        <v>5110.3514405959959</v>
      </c>
      <c r="X79" s="100">
        <v>12.459134308932926</v>
      </c>
      <c r="Y79" s="100">
        <v>9434.0564987240105</v>
      </c>
      <c r="Z79" s="100">
        <v>8</v>
      </c>
      <c r="AA79" s="100">
        <v>6057.5999999999995</v>
      </c>
      <c r="AB79" s="100">
        <v>10</v>
      </c>
      <c r="AC79" s="100">
        <v>7571.9999999999991</v>
      </c>
      <c r="AD79" s="100">
        <v>3.3325089805326957</v>
      </c>
      <c r="AE79" s="100">
        <v>2523.3758000593571</v>
      </c>
      <c r="AF79" s="100">
        <v>8</v>
      </c>
      <c r="AG79" s="100">
        <v>6057.5999999999995</v>
      </c>
      <c r="AH79" s="100">
        <v>7</v>
      </c>
      <c r="AI79" s="100">
        <v>5300.4</v>
      </c>
      <c r="AJ79" s="100">
        <v>12</v>
      </c>
      <c r="AK79" s="100">
        <v>9086.4</v>
      </c>
      <c r="AL79" s="100">
        <v>11</v>
      </c>
      <c r="AM79" s="100">
        <v>8329.1999999999989</v>
      </c>
      <c r="AN79" s="100">
        <v>11.058425327606395</v>
      </c>
      <c r="AO79" s="100">
        <v>8373.4396580635621</v>
      </c>
      <c r="AP79" s="100">
        <v>12</v>
      </c>
      <c r="AQ79" s="100">
        <v>9086.4</v>
      </c>
      <c r="AR79" s="100">
        <v>9</v>
      </c>
      <c r="AS79" s="100">
        <v>6814.7999999999993</v>
      </c>
      <c r="AT79" s="100">
        <v>11</v>
      </c>
      <c r="AU79" s="100">
        <v>8329.1999999999989</v>
      </c>
      <c r="AV79" s="100">
        <v>13.809781191315421</v>
      </c>
      <c r="AW79" s="100">
        <v>10456.766318064036</v>
      </c>
      <c r="AX79" s="100">
        <v>9.1036869186587062</v>
      </c>
      <c r="AY79" s="100">
        <v>6893.3117348083715</v>
      </c>
      <c r="AZ79" s="100">
        <v>10.325347565411418</v>
      </c>
      <c r="BA79" s="100">
        <v>7818.3531765295247</v>
      </c>
      <c r="BB79" s="100">
        <v>9.6885419886900088</v>
      </c>
      <c r="BC79" s="100">
        <v>7336.163993836074</v>
      </c>
      <c r="BD79" s="100">
        <v>9</v>
      </c>
      <c r="BE79" s="100">
        <v>6814.7999999999993</v>
      </c>
      <c r="BF79" s="100">
        <v>9.2766864781103973</v>
      </c>
      <c r="BG79" s="100">
        <v>7024.3070012251919</v>
      </c>
      <c r="BH79" s="100">
        <v>10.078620765976055</v>
      </c>
      <c r="BI79" s="100">
        <v>7631.5316439970684</v>
      </c>
      <c r="BJ79" s="100">
        <v>8</v>
      </c>
      <c r="BK79" s="100">
        <v>6057.5999999999995</v>
      </c>
      <c r="BL79" s="100">
        <v>9.9247105138685594</v>
      </c>
      <c r="BM79" s="100">
        <v>7514.9908011012722</v>
      </c>
      <c r="BN79" s="100">
        <v>9</v>
      </c>
      <c r="BO79" s="100">
        <v>6814.7999999999993</v>
      </c>
      <c r="BP79" s="100">
        <v>9.494059588412135</v>
      </c>
      <c r="BQ79" s="100">
        <v>7188.9019203456683</v>
      </c>
      <c r="BR79" s="100">
        <v>8.8196461340718013</v>
      </c>
      <c r="BS79" s="100">
        <v>6678.2360527191677</v>
      </c>
      <c r="BT79" s="100">
        <v>8.8651623705715767</v>
      </c>
      <c r="BU79" s="100">
        <v>6712.700946996797</v>
      </c>
      <c r="BV79" s="100">
        <v>8</v>
      </c>
      <c r="BW79" s="100">
        <v>6057.5999999999995</v>
      </c>
      <c r="BX79" s="100">
        <v>12.397106071467615</v>
      </c>
      <c r="BY79" s="100">
        <v>9387.0887173152769</v>
      </c>
      <c r="BZ79" s="100">
        <v>3.5234437283615141</v>
      </c>
      <c r="CA79" s="100">
        <v>2667.951591115338</v>
      </c>
      <c r="CB79" s="100">
        <v>13.834260033465354</v>
      </c>
      <c r="CC79" s="100">
        <v>10475.301697339964</v>
      </c>
      <c r="CD79" s="100">
        <v>8.0040659539318284</v>
      </c>
      <c r="CE79" s="100">
        <v>6060.6787403171802</v>
      </c>
      <c r="CF79" s="100">
        <v>7.5571384133569541</v>
      </c>
      <c r="CG79" s="100">
        <v>5722.2652065938855</v>
      </c>
      <c r="CH79" s="100">
        <v>7.7584287243091374</v>
      </c>
      <c r="CI79" s="100">
        <v>5874.6822300468784</v>
      </c>
      <c r="CJ79" s="100">
        <v>9.6526191208824201</v>
      </c>
      <c r="CK79" s="100">
        <v>7308.9631983321678</v>
      </c>
      <c r="CL79" s="100">
        <v>11.002902574511142</v>
      </c>
      <c r="CM79" s="100">
        <v>8331.397829419835</v>
      </c>
      <c r="CN79" s="100">
        <v>9.0487988939373523</v>
      </c>
      <c r="CO79" s="100">
        <v>6851.7505224893621</v>
      </c>
      <c r="CP79" s="100">
        <v>1.2305226265385274</v>
      </c>
      <c r="CQ79" s="100">
        <v>931.75173281497291</v>
      </c>
      <c r="CR79" s="100">
        <v>12.29551339071824</v>
      </c>
      <c r="CS79" s="100">
        <v>9310.1627394518509</v>
      </c>
      <c r="CT79" s="100">
        <v>9.2020879976260748</v>
      </c>
      <c r="CU79" s="100">
        <v>6967.821031802463</v>
      </c>
    </row>
    <row r="80" spans="2:99">
      <c r="C80" s="99" t="s">
        <v>246</v>
      </c>
      <c r="D80" s="100">
        <v>8.7732557384377685</v>
      </c>
      <c r="E80" s="100">
        <v>7064.225520590091</v>
      </c>
      <c r="F80" s="100">
        <v>12.782748187087028</v>
      </c>
      <c r="G80" s="100">
        <v>10292.668840242475</v>
      </c>
      <c r="H80" s="100">
        <v>1.2175917895220978</v>
      </c>
      <c r="I80" s="100">
        <v>980.40490892319303</v>
      </c>
      <c r="J80" s="100">
        <v>10</v>
      </c>
      <c r="K80" s="100">
        <v>8051.9999999999991</v>
      </c>
      <c r="L80" s="100">
        <v>8</v>
      </c>
      <c r="M80" s="100">
        <v>6441.5999999999995</v>
      </c>
      <c r="N80" s="100">
        <v>9</v>
      </c>
      <c r="O80" s="100">
        <v>7246.7999999999993</v>
      </c>
      <c r="P80" s="100">
        <v>11.180124809779592</v>
      </c>
      <c r="Q80" s="100">
        <v>9002.2364968345264</v>
      </c>
      <c r="R80" s="100">
        <v>13</v>
      </c>
      <c r="S80" s="100">
        <v>10467.599999999999</v>
      </c>
      <c r="T80" s="100">
        <v>5.1041430216141936</v>
      </c>
      <c r="U80" s="100">
        <v>4109.8559610037482</v>
      </c>
      <c r="V80" s="100">
        <v>5.9053849848408575</v>
      </c>
      <c r="W80" s="100">
        <v>4755.0159897938584</v>
      </c>
      <c r="X80" s="100">
        <v>11.569196144009146</v>
      </c>
      <c r="Y80" s="100">
        <v>9315.5167351561631</v>
      </c>
      <c r="Z80" s="100">
        <v>9</v>
      </c>
      <c r="AA80" s="100">
        <v>7246.7999999999993</v>
      </c>
      <c r="AB80" s="100">
        <v>10</v>
      </c>
      <c r="AC80" s="100">
        <v>8051.9999999999991</v>
      </c>
      <c r="AD80" s="100">
        <v>3.3325089805326957</v>
      </c>
      <c r="AE80" s="100">
        <v>2683.3362311249266</v>
      </c>
      <c r="AF80" s="100">
        <v>7</v>
      </c>
      <c r="AG80" s="100">
        <v>5636.4</v>
      </c>
      <c r="AH80" s="100">
        <v>8</v>
      </c>
      <c r="AI80" s="100">
        <v>6441.5999999999995</v>
      </c>
      <c r="AJ80" s="100">
        <v>11</v>
      </c>
      <c r="AK80" s="100">
        <v>8857.1999999999989</v>
      </c>
      <c r="AL80" s="100">
        <v>12</v>
      </c>
      <c r="AM80" s="100">
        <v>9662.4</v>
      </c>
      <c r="AN80" s="100">
        <v>10.268537804205939</v>
      </c>
      <c r="AO80" s="100">
        <v>8268.2266399466225</v>
      </c>
      <c r="AP80" s="100">
        <v>11</v>
      </c>
      <c r="AQ80" s="100">
        <v>8857.1999999999989</v>
      </c>
      <c r="AR80" s="100">
        <v>10</v>
      </c>
      <c r="AS80" s="100">
        <v>8051.9999999999991</v>
      </c>
      <c r="AT80" s="100">
        <v>9</v>
      </c>
      <c r="AU80" s="100">
        <v>7246.7999999999993</v>
      </c>
      <c r="AV80" s="100">
        <v>14.73043327073645</v>
      </c>
      <c r="AW80" s="100">
        <v>11860.944869596988</v>
      </c>
      <c r="AX80" s="100">
        <v>9.1036869186587062</v>
      </c>
      <c r="AY80" s="100">
        <v>7330.2887069039898</v>
      </c>
      <c r="AZ80" s="100">
        <v>9.5310900603797695</v>
      </c>
      <c r="BA80" s="100">
        <v>7674.4337166177893</v>
      </c>
      <c r="BB80" s="100">
        <v>9.6885419886900088</v>
      </c>
      <c r="BC80" s="100">
        <v>7801.2140092931941</v>
      </c>
      <c r="BD80" s="100">
        <v>9</v>
      </c>
      <c r="BE80" s="100">
        <v>7246.7999999999993</v>
      </c>
      <c r="BF80" s="100">
        <v>9.2766864781103973</v>
      </c>
      <c r="BG80" s="100">
        <v>7469.587952174491</v>
      </c>
      <c r="BH80" s="100">
        <v>10.078620765976055</v>
      </c>
      <c r="BI80" s="100">
        <v>8115.3054407639183</v>
      </c>
      <c r="BJ80" s="100">
        <v>9</v>
      </c>
      <c r="BK80" s="100">
        <v>7246.7999999999993</v>
      </c>
      <c r="BL80" s="100">
        <v>10.633618407716314</v>
      </c>
      <c r="BM80" s="100">
        <v>8562.1895418931763</v>
      </c>
      <c r="BN80" s="100">
        <v>10</v>
      </c>
      <c r="BO80" s="100">
        <v>8051.9999999999991</v>
      </c>
      <c r="BP80" s="100">
        <v>10.224371864443839</v>
      </c>
      <c r="BQ80" s="100">
        <v>8232.6642252501788</v>
      </c>
      <c r="BR80" s="100">
        <v>9.6214321462601458</v>
      </c>
      <c r="BS80" s="100">
        <v>7747.1771641686692</v>
      </c>
      <c r="BT80" s="100">
        <v>10.342689432333506</v>
      </c>
      <c r="BU80" s="100">
        <v>8327.9335309149374</v>
      </c>
      <c r="BV80" s="100">
        <v>8</v>
      </c>
      <c r="BW80" s="100">
        <v>6441.5999999999995</v>
      </c>
      <c r="BX80" s="100">
        <v>12.397106071467615</v>
      </c>
      <c r="BY80" s="100">
        <v>9982.1498087457221</v>
      </c>
      <c r="BZ80" s="100">
        <v>3.5234437283615141</v>
      </c>
      <c r="CA80" s="100">
        <v>2837.0768900766907</v>
      </c>
      <c r="CB80" s="100">
        <v>13.834260033465354</v>
      </c>
      <c r="CC80" s="100">
        <v>11139.346178946302</v>
      </c>
      <c r="CD80" s="100">
        <v>8.0040659539318284</v>
      </c>
      <c r="CE80" s="100">
        <v>6444.8739061059077</v>
      </c>
      <c r="CF80" s="100">
        <v>7.5571384133569541</v>
      </c>
      <c r="CG80" s="100">
        <v>6085.0078504350186</v>
      </c>
      <c r="CH80" s="100">
        <v>6.8963810882747891</v>
      </c>
      <c r="CI80" s="100">
        <v>5552.9660522788599</v>
      </c>
      <c r="CJ80" s="100">
        <v>7.7220952967059358</v>
      </c>
      <c r="CK80" s="100">
        <v>6217.8311329076187</v>
      </c>
      <c r="CL80" s="100">
        <v>11.91981112238707</v>
      </c>
      <c r="CM80" s="100">
        <v>9597.8319157460683</v>
      </c>
      <c r="CN80" s="100">
        <v>9.0487988939373523</v>
      </c>
      <c r="CO80" s="100">
        <v>7286.0928693983551</v>
      </c>
      <c r="CP80" s="100">
        <v>1.2305226265385274</v>
      </c>
      <c r="CQ80" s="100">
        <v>990.81681888882213</v>
      </c>
      <c r="CR80" s="100">
        <v>11.349704668355299</v>
      </c>
      <c r="CS80" s="100">
        <v>9138.7821989596869</v>
      </c>
      <c r="CT80" s="100">
        <v>10.617793843414702</v>
      </c>
      <c r="CU80" s="100">
        <v>8549.4476027175169</v>
      </c>
    </row>
    <row r="81" spans="2:99">
      <c r="C81" s="99" t="s">
        <v>247</v>
      </c>
      <c r="D81" s="100">
        <v>8.7732557384377685</v>
      </c>
      <c r="E81" s="100">
        <v>6611.5255244867021</v>
      </c>
      <c r="F81" s="100">
        <v>10.956641303217452</v>
      </c>
      <c r="G81" s="100">
        <v>8256.9248861046726</v>
      </c>
      <c r="H81" s="100">
        <v>1.2175917895220978</v>
      </c>
      <c r="I81" s="100">
        <v>917.57717258385287</v>
      </c>
      <c r="J81" s="100">
        <v>11</v>
      </c>
      <c r="K81" s="100">
        <v>8289.6</v>
      </c>
      <c r="L81" s="100">
        <v>8</v>
      </c>
      <c r="M81" s="100">
        <v>6028.8</v>
      </c>
      <c r="N81" s="100">
        <v>11</v>
      </c>
      <c r="O81" s="100">
        <v>8289.6</v>
      </c>
      <c r="P81" s="100">
        <v>12.111801877261222</v>
      </c>
      <c r="Q81" s="100">
        <v>9127.4538947040564</v>
      </c>
      <c r="R81" s="100">
        <v>14</v>
      </c>
      <c r="S81" s="100">
        <v>10550.4</v>
      </c>
      <c r="T81" s="100">
        <v>5.1041430216141936</v>
      </c>
      <c r="U81" s="100">
        <v>3846.4821810884564</v>
      </c>
      <c r="V81" s="100">
        <v>6.3271981980437753</v>
      </c>
      <c r="W81" s="100">
        <v>4768.1765620457891</v>
      </c>
      <c r="X81" s="100">
        <v>12.459134308932926</v>
      </c>
      <c r="Y81" s="100">
        <v>9389.2036152118526</v>
      </c>
      <c r="Z81" s="100">
        <v>9</v>
      </c>
      <c r="AA81" s="100">
        <v>6782.4000000000005</v>
      </c>
      <c r="AB81" s="100">
        <v>10</v>
      </c>
      <c r="AC81" s="100">
        <v>7536</v>
      </c>
      <c r="AD81" s="100">
        <v>3.7490726030992825</v>
      </c>
      <c r="AE81" s="100">
        <v>2825.3011136956193</v>
      </c>
      <c r="AF81" s="100">
        <v>7</v>
      </c>
      <c r="AG81" s="100">
        <v>5275.2</v>
      </c>
      <c r="AH81" s="100">
        <v>8</v>
      </c>
      <c r="AI81" s="100">
        <v>6028.8</v>
      </c>
      <c r="AJ81" s="100">
        <v>11</v>
      </c>
      <c r="AK81" s="100">
        <v>8289.6</v>
      </c>
      <c r="AL81" s="100">
        <v>12</v>
      </c>
      <c r="AM81" s="100">
        <v>9043.2000000000007</v>
      </c>
      <c r="AN81" s="100">
        <v>10.268537804205939</v>
      </c>
      <c r="AO81" s="100">
        <v>7738.3700892495963</v>
      </c>
      <c r="AP81" s="100">
        <v>10</v>
      </c>
      <c r="AQ81" s="100">
        <v>7536</v>
      </c>
      <c r="AR81" s="100">
        <v>11</v>
      </c>
      <c r="AS81" s="100">
        <v>8289.6</v>
      </c>
      <c r="AT81" s="100">
        <v>9</v>
      </c>
      <c r="AU81" s="100">
        <v>6782.4000000000005</v>
      </c>
      <c r="AV81" s="100">
        <v>12.889129111894393</v>
      </c>
      <c r="AW81" s="100">
        <v>9713.247698723615</v>
      </c>
      <c r="AX81" s="100">
        <v>9.1036869186587062</v>
      </c>
      <c r="AY81" s="100">
        <v>6860.5384619012011</v>
      </c>
      <c r="AZ81" s="100">
        <v>9.5310900603797695</v>
      </c>
      <c r="BA81" s="100">
        <v>7182.6294695021943</v>
      </c>
      <c r="BB81" s="100">
        <v>10.43381444935847</v>
      </c>
      <c r="BC81" s="100">
        <v>7862.9225690365438</v>
      </c>
      <c r="BD81" s="100">
        <v>10</v>
      </c>
      <c r="BE81" s="100">
        <v>7536</v>
      </c>
      <c r="BF81" s="100">
        <v>8.4333513437367245</v>
      </c>
      <c r="BG81" s="100">
        <v>6355.3735726399955</v>
      </c>
      <c r="BH81" s="100">
        <v>10.078620765976055</v>
      </c>
      <c r="BI81" s="100">
        <v>7595.2486092395557</v>
      </c>
      <c r="BJ81" s="100">
        <v>10</v>
      </c>
      <c r="BK81" s="100">
        <v>7536</v>
      </c>
      <c r="BL81" s="100">
        <v>9.9247105138685594</v>
      </c>
      <c r="BM81" s="100">
        <v>7479.2618432513464</v>
      </c>
      <c r="BN81" s="100">
        <v>8</v>
      </c>
      <c r="BO81" s="100">
        <v>6028.8</v>
      </c>
      <c r="BP81" s="100">
        <v>10.224371864443839</v>
      </c>
      <c r="BQ81" s="100">
        <v>7705.0866370448775</v>
      </c>
      <c r="BR81" s="100">
        <v>9.6214321462601458</v>
      </c>
      <c r="BS81" s="100">
        <v>7250.7112654216462</v>
      </c>
      <c r="BT81" s="100">
        <v>10.342689432333506</v>
      </c>
      <c r="BU81" s="100">
        <v>7794.2507562065302</v>
      </c>
      <c r="BV81" s="100">
        <v>7</v>
      </c>
      <c r="BW81" s="100">
        <v>5275.2</v>
      </c>
      <c r="BX81" s="100">
        <v>12.397106071467615</v>
      </c>
      <c r="BY81" s="100">
        <v>9342.4591354579952</v>
      </c>
      <c r="BZ81" s="100">
        <v>3.2524095954106285</v>
      </c>
      <c r="CA81" s="100">
        <v>2451.0158711014496</v>
      </c>
      <c r="CB81" s="100">
        <v>14.756544035696377</v>
      </c>
      <c r="CC81" s="100">
        <v>11120.531585300791</v>
      </c>
      <c r="CD81" s="100">
        <v>8.7317083133801763</v>
      </c>
      <c r="CE81" s="100">
        <v>6580.2153849633014</v>
      </c>
      <c r="CF81" s="100">
        <v>7.5571384133569541</v>
      </c>
      <c r="CG81" s="100">
        <v>5695.0595083058006</v>
      </c>
      <c r="CH81" s="100">
        <v>6.8963810882747891</v>
      </c>
      <c r="CI81" s="100">
        <v>5197.1127881238808</v>
      </c>
      <c r="CJ81" s="100">
        <v>9.6526191208824201</v>
      </c>
      <c r="CK81" s="100">
        <v>7274.2137694969924</v>
      </c>
      <c r="CL81" s="100">
        <v>10.085994026635213</v>
      </c>
      <c r="CM81" s="100">
        <v>7600.8050984722968</v>
      </c>
      <c r="CN81" s="100">
        <v>9.0487988939373523</v>
      </c>
      <c r="CO81" s="100">
        <v>6819.1748464711891</v>
      </c>
      <c r="CP81" s="100">
        <v>1.3330661787500715</v>
      </c>
      <c r="CQ81" s="100">
        <v>1004.5986723060539</v>
      </c>
      <c r="CR81" s="100">
        <v>12.29551339071824</v>
      </c>
      <c r="CS81" s="100">
        <v>9265.898891245266</v>
      </c>
      <c r="CT81" s="100">
        <v>9.2020879976260748</v>
      </c>
      <c r="CU81" s="100">
        <v>6934.6935150110103</v>
      </c>
    </row>
    <row r="82" spans="2:99">
      <c r="C82" s="99" t="s">
        <v>248</v>
      </c>
      <c r="D82" s="100">
        <v>7.5199334900895147</v>
      </c>
      <c r="E82" s="100">
        <v>3826.1421597575445</v>
      </c>
      <c r="F82" s="100">
        <v>10.956641303217452</v>
      </c>
      <c r="G82" s="100">
        <v>5574.7390950770387</v>
      </c>
      <c r="H82" s="100">
        <v>1.2175917895220978</v>
      </c>
      <c r="I82" s="100">
        <v>619.51070250884322</v>
      </c>
      <c r="J82" s="100">
        <v>11</v>
      </c>
      <c r="K82" s="100">
        <v>5596.7999999999993</v>
      </c>
      <c r="L82" s="100">
        <v>8</v>
      </c>
      <c r="M82" s="100">
        <v>4070.3999999999992</v>
      </c>
      <c r="N82" s="100">
        <v>10</v>
      </c>
      <c r="O82" s="100">
        <v>5087.9999999999991</v>
      </c>
      <c r="P82" s="100">
        <v>12.111801877261222</v>
      </c>
      <c r="Q82" s="100">
        <v>6162.484795150508</v>
      </c>
      <c r="R82" s="100">
        <v>15</v>
      </c>
      <c r="S82" s="100">
        <v>7631.9999999999982</v>
      </c>
      <c r="T82" s="100">
        <v>5.8333063104162219</v>
      </c>
      <c r="U82" s="100">
        <v>2967.9862507397729</v>
      </c>
      <c r="V82" s="100">
        <v>5.4835717716379389</v>
      </c>
      <c r="W82" s="100">
        <v>2790.0413174093828</v>
      </c>
      <c r="X82" s="100">
        <v>12.459134308932926</v>
      </c>
      <c r="Y82" s="100">
        <v>6339.2075363850718</v>
      </c>
      <c r="Z82" s="100">
        <v>8</v>
      </c>
      <c r="AA82" s="100">
        <v>4070.3999999999992</v>
      </c>
      <c r="AB82" s="100">
        <v>11</v>
      </c>
      <c r="AC82" s="100">
        <v>5596.7999999999993</v>
      </c>
      <c r="AD82" s="100">
        <v>3.7490726030992825</v>
      </c>
      <c r="AE82" s="100">
        <v>1907.5281404569146</v>
      </c>
      <c r="AF82" s="100">
        <v>7</v>
      </c>
      <c r="AG82" s="100">
        <v>3561.5999999999995</v>
      </c>
      <c r="AH82" s="100">
        <v>8</v>
      </c>
      <c r="AI82" s="100">
        <v>4070.3999999999992</v>
      </c>
      <c r="AJ82" s="100">
        <v>12</v>
      </c>
      <c r="AK82" s="100">
        <v>6105.5999999999985</v>
      </c>
      <c r="AL82" s="100">
        <v>11</v>
      </c>
      <c r="AM82" s="100">
        <v>5596.7999999999993</v>
      </c>
      <c r="AN82" s="100">
        <v>10.268537804205939</v>
      </c>
      <c r="AO82" s="100">
        <v>5224.632034779981</v>
      </c>
      <c r="AP82" s="100">
        <v>10</v>
      </c>
      <c r="AQ82" s="100">
        <v>5087.9999999999991</v>
      </c>
      <c r="AR82" s="100">
        <v>9</v>
      </c>
      <c r="AS82" s="100">
        <v>4579.1999999999989</v>
      </c>
      <c r="AT82" s="100">
        <v>11</v>
      </c>
      <c r="AU82" s="100">
        <v>5596.7999999999993</v>
      </c>
      <c r="AV82" s="100">
        <v>14.73043327073645</v>
      </c>
      <c r="AW82" s="100">
        <v>7494.844448150704</v>
      </c>
      <c r="AX82" s="100">
        <v>10.620968071768489</v>
      </c>
      <c r="AY82" s="100">
        <v>5403.9485549158062</v>
      </c>
      <c r="AZ82" s="100">
        <v>10.325347565411418</v>
      </c>
      <c r="BA82" s="100">
        <v>5253.5368412813286</v>
      </c>
      <c r="BB82" s="100">
        <v>8.9432695280215473</v>
      </c>
      <c r="BC82" s="100">
        <v>4550.3355358573626</v>
      </c>
      <c r="BD82" s="100">
        <v>10</v>
      </c>
      <c r="BE82" s="100">
        <v>5087.9999999999991</v>
      </c>
      <c r="BF82" s="100">
        <v>10.120021612484068</v>
      </c>
      <c r="BG82" s="100">
        <v>5149.0669964318931</v>
      </c>
      <c r="BH82" s="100">
        <v>9.35871928269205</v>
      </c>
      <c r="BI82" s="100">
        <v>4761.7163710337145</v>
      </c>
      <c r="BJ82" s="100">
        <v>10</v>
      </c>
      <c r="BK82" s="100">
        <v>5087.9999999999991</v>
      </c>
      <c r="BL82" s="100">
        <v>10.633618407716314</v>
      </c>
      <c r="BM82" s="100">
        <v>5410.3850458460593</v>
      </c>
      <c r="BN82" s="100">
        <v>9</v>
      </c>
      <c r="BO82" s="100">
        <v>4579.1999999999989</v>
      </c>
      <c r="BP82" s="100">
        <v>8.763747312380433</v>
      </c>
      <c r="BQ82" s="100">
        <v>4458.9946325391638</v>
      </c>
      <c r="BR82" s="100">
        <v>10.423218158448492</v>
      </c>
      <c r="BS82" s="100">
        <v>5303.333399018592</v>
      </c>
      <c r="BT82" s="100">
        <v>9.6039259014525413</v>
      </c>
      <c r="BU82" s="100">
        <v>4886.4774986590519</v>
      </c>
      <c r="BV82" s="100">
        <v>8</v>
      </c>
      <c r="BW82" s="100">
        <v>4070.3999999999992</v>
      </c>
      <c r="BX82" s="100">
        <v>11.570632333369774</v>
      </c>
      <c r="BY82" s="100">
        <v>5887.1377312185396</v>
      </c>
      <c r="BZ82" s="100">
        <v>3.7944778613124002</v>
      </c>
      <c r="CA82" s="100">
        <v>1930.6303358357488</v>
      </c>
      <c r="CB82" s="100">
        <v>12.91197603123433</v>
      </c>
      <c r="CC82" s="100">
        <v>6569.6134046920261</v>
      </c>
      <c r="CD82" s="100">
        <v>7.2764235944834805</v>
      </c>
      <c r="CE82" s="100">
        <v>3702.2443248731943</v>
      </c>
      <c r="CF82" s="100">
        <v>7.5571384133569541</v>
      </c>
      <c r="CG82" s="100">
        <v>3845.0720247160175</v>
      </c>
      <c r="CH82" s="100">
        <v>6.8963810882747891</v>
      </c>
      <c r="CI82" s="100">
        <v>3508.8786977142122</v>
      </c>
      <c r="CJ82" s="100">
        <v>8.3656032380980978</v>
      </c>
      <c r="CK82" s="100">
        <v>4256.4189275443114</v>
      </c>
      <c r="CL82" s="100">
        <v>10.085994026635213</v>
      </c>
      <c r="CM82" s="100">
        <v>5131.7537607519953</v>
      </c>
      <c r="CN82" s="100">
        <v>8.4024561157989712</v>
      </c>
      <c r="CO82" s="100">
        <v>4275.1696717185159</v>
      </c>
      <c r="CP82" s="100">
        <v>1.2305226265385274</v>
      </c>
      <c r="CQ82" s="100">
        <v>626.08991238280259</v>
      </c>
      <c r="CR82" s="100">
        <v>13.241322113081182</v>
      </c>
      <c r="CS82" s="100">
        <v>6737.1846911357043</v>
      </c>
      <c r="CT82" s="100">
        <v>10.617793843414702</v>
      </c>
      <c r="CU82" s="100">
        <v>5402.3335075293999</v>
      </c>
    </row>
    <row r="83" spans="2:99">
      <c r="C83" s="99" t="s">
        <v>249</v>
      </c>
      <c r="D83" s="100">
        <v>8.7732557384377685</v>
      </c>
      <c r="E83" s="100">
        <v>7548.5092373518555</v>
      </c>
      <c r="F83" s="100">
        <v>10.956641303217452</v>
      </c>
      <c r="G83" s="100">
        <v>9427.0941772882961</v>
      </c>
      <c r="H83" s="100">
        <v>1.2175917895220978</v>
      </c>
      <c r="I83" s="100">
        <v>1047.6159757048129</v>
      </c>
      <c r="J83" s="100">
        <v>10</v>
      </c>
      <c r="K83" s="100">
        <v>8604</v>
      </c>
      <c r="L83" s="100">
        <v>8</v>
      </c>
      <c r="M83" s="100">
        <v>6883.2</v>
      </c>
      <c r="N83" s="100">
        <v>11</v>
      </c>
      <c r="O83" s="100">
        <v>9464.4</v>
      </c>
      <c r="P83" s="100">
        <v>12.111801877261222</v>
      </c>
      <c r="Q83" s="100">
        <v>10420.994335195555</v>
      </c>
      <c r="R83" s="100">
        <v>12</v>
      </c>
      <c r="S83" s="100">
        <v>10324.799999999999</v>
      </c>
      <c r="T83" s="100">
        <v>5.1041430216141936</v>
      </c>
      <c r="U83" s="100">
        <v>4391.6046557968521</v>
      </c>
      <c r="V83" s="100">
        <v>5.9053849848408575</v>
      </c>
      <c r="W83" s="100">
        <v>5080.9932409570738</v>
      </c>
      <c r="X83" s="100">
        <v>12.459134308932926</v>
      </c>
      <c r="Y83" s="100">
        <v>10719.839159405888</v>
      </c>
      <c r="Z83" s="100">
        <v>8</v>
      </c>
      <c r="AA83" s="100">
        <v>6883.2</v>
      </c>
      <c r="AB83" s="100">
        <v>10</v>
      </c>
      <c r="AC83" s="100">
        <v>8604</v>
      </c>
      <c r="AD83" s="100">
        <v>3.7490726030992825</v>
      </c>
      <c r="AE83" s="100">
        <v>3225.7020677066225</v>
      </c>
      <c r="AF83" s="100">
        <v>8</v>
      </c>
      <c r="AG83" s="100">
        <v>6883.2</v>
      </c>
      <c r="AH83" s="100">
        <v>8</v>
      </c>
      <c r="AI83" s="100">
        <v>6883.2</v>
      </c>
      <c r="AJ83" s="100">
        <v>10</v>
      </c>
      <c r="AK83" s="100">
        <v>8604</v>
      </c>
      <c r="AL83" s="100">
        <v>12</v>
      </c>
      <c r="AM83" s="100">
        <v>10324.799999999999</v>
      </c>
      <c r="AN83" s="100">
        <v>9.478650280805482</v>
      </c>
      <c r="AO83" s="100">
        <v>8155.4307016050361</v>
      </c>
      <c r="AP83" s="100">
        <v>12</v>
      </c>
      <c r="AQ83" s="100">
        <v>10324.799999999999</v>
      </c>
      <c r="AR83" s="100">
        <v>10</v>
      </c>
      <c r="AS83" s="100">
        <v>8604</v>
      </c>
      <c r="AT83" s="100">
        <v>10</v>
      </c>
      <c r="AU83" s="100">
        <v>8604</v>
      </c>
      <c r="AV83" s="100">
        <v>11.968477032473366</v>
      </c>
      <c r="AW83" s="100">
        <v>10297.677638740084</v>
      </c>
      <c r="AX83" s="100">
        <v>9.8623274952135986</v>
      </c>
      <c r="AY83" s="100">
        <v>8485.5465768817794</v>
      </c>
      <c r="AZ83" s="100">
        <v>8.7368325553481228</v>
      </c>
      <c r="BA83" s="100">
        <v>7517.1707306215249</v>
      </c>
      <c r="BB83" s="100">
        <v>10.43381444935847</v>
      </c>
      <c r="BC83" s="100">
        <v>8977.2539522280276</v>
      </c>
      <c r="BD83" s="100">
        <v>10</v>
      </c>
      <c r="BE83" s="100">
        <v>8604</v>
      </c>
      <c r="BF83" s="100">
        <v>9.2766864781103973</v>
      </c>
      <c r="BG83" s="100">
        <v>7981.6610457661855</v>
      </c>
      <c r="BH83" s="100">
        <v>10.078620765976055</v>
      </c>
      <c r="BI83" s="100">
        <v>8671.6453070457974</v>
      </c>
      <c r="BJ83" s="100">
        <v>10</v>
      </c>
      <c r="BK83" s="100">
        <v>8604</v>
      </c>
      <c r="BL83" s="100">
        <v>10.633618407716314</v>
      </c>
      <c r="BM83" s="100">
        <v>9149.1652779991164</v>
      </c>
      <c r="BN83" s="100">
        <v>9</v>
      </c>
      <c r="BO83" s="100">
        <v>7743.5999999999995</v>
      </c>
      <c r="BP83" s="100">
        <v>8.763747312380433</v>
      </c>
      <c r="BQ83" s="100">
        <v>7540.3281875721241</v>
      </c>
      <c r="BR83" s="100">
        <v>10.423218158448492</v>
      </c>
      <c r="BS83" s="100">
        <v>8968.1369035290827</v>
      </c>
      <c r="BT83" s="100">
        <v>9.6039259014525413</v>
      </c>
      <c r="BU83" s="100">
        <v>8263.2178456097663</v>
      </c>
      <c r="BV83" s="100">
        <v>8</v>
      </c>
      <c r="BW83" s="100">
        <v>6883.2</v>
      </c>
      <c r="BX83" s="100">
        <v>11.570632333369774</v>
      </c>
      <c r="BY83" s="100">
        <v>9955.3720596313542</v>
      </c>
      <c r="BZ83" s="100">
        <v>3.2524095954106285</v>
      </c>
      <c r="CA83" s="100">
        <v>2798.3732158913049</v>
      </c>
      <c r="CB83" s="100">
        <v>13.834260033465354</v>
      </c>
      <c r="CC83" s="100">
        <v>11902.99733279359</v>
      </c>
      <c r="CD83" s="100">
        <v>8.7317083133801763</v>
      </c>
      <c r="CE83" s="100">
        <v>7512.7618328323033</v>
      </c>
      <c r="CF83" s="100">
        <v>7.5571384133569541</v>
      </c>
      <c r="CG83" s="100">
        <v>6502.1618908523233</v>
      </c>
      <c r="CH83" s="100">
        <v>7.7584287243091374</v>
      </c>
      <c r="CI83" s="100">
        <v>6675.3520743955814</v>
      </c>
      <c r="CJ83" s="100">
        <v>8.3656032380980978</v>
      </c>
      <c r="CK83" s="100">
        <v>7197.7650260596029</v>
      </c>
      <c r="CL83" s="100">
        <v>10.085994026635213</v>
      </c>
      <c r="CM83" s="100">
        <v>8677.9892605169371</v>
      </c>
      <c r="CN83" s="100">
        <v>7.7561133376605884</v>
      </c>
      <c r="CO83" s="100">
        <v>6673.3599157231702</v>
      </c>
      <c r="CP83" s="100">
        <v>1.2305226265385274</v>
      </c>
      <c r="CQ83" s="100">
        <v>1058.7416678737488</v>
      </c>
      <c r="CR83" s="100">
        <v>12.29551339071824</v>
      </c>
      <c r="CS83" s="100">
        <v>10579.059721373973</v>
      </c>
      <c r="CT83" s="100">
        <v>9.9099409205203894</v>
      </c>
      <c r="CU83" s="100">
        <v>8526.5131680157428</v>
      </c>
    </row>
    <row r="84" spans="2:99">
      <c r="C84" s="99" t="s">
        <v>250</v>
      </c>
      <c r="D84" s="100">
        <v>8.1465946142636412</v>
      </c>
      <c r="E84" s="100">
        <v>6364.1197126627558</v>
      </c>
      <c r="F84" s="100">
        <v>11.869694745152241</v>
      </c>
      <c r="G84" s="100">
        <v>9272.6055349129292</v>
      </c>
      <c r="H84" s="100">
        <v>1.2175917895220978</v>
      </c>
      <c r="I84" s="100">
        <v>951.18270597466267</v>
      </c>
      <c r="J84" s="100">
        <v>10</v>
      </c>
      <c r="K84" s="100">
        <v>7811.9999999999991</v>
      </c>
      <c r="L84" s="100">
        <v>8</v>
      </c>
      <c r="M84" s="100">
        <v>6249.5999999999995</v>
      </c>
      <c r="N84" s="100">
        <v>9</v>
      </c>
      <c r="O84" s="100">
        <v>7030.7999999999993</v>
      </c>
      <c r="P84" s="100">
        <v>13.043478944742855</v>
      </c>
      <c r="Q84" s="100">
        <v>10189.565751633118</v>
      </c>
      <c r="R84" s="100">
        <v>13</v>
      </c>
      <c r="S84" s="100">
        <v>10155.599999999999</v>
      </c>
      <c r="T84" s="100">
        <v>5.1041430216141936</v>
      </c>
      <c r="U84" s="100">
        <v>3987.3565284850079</v>
      </c>
      <c r="V84" s="100">
        <v>6.3271981980437753</v>
      </c>
      <c r="W84" s="100">
        <v>4942.8072323117967</v>
      </c>
      <c r="X84" s="100">
        <v>11.569196144009146</v>
      </c>
      <c r="Y84" s="100">
        <v>9037.8560276999433</v>
      </c>
      <c r="Z84" s="100">
        <v>8</v>
      </c>
      <c r="AA84" s="100">
        <v>6249.5999999999995</v>
      </c>
      <c r="AB84" s="100">
        <v>9</v>
      </c>
      <c r="AC84" s="100">
        <v>7030.7999999999993</v>
      </c>
      <c r="AD84" s="100">
        <v>3.3325089805326957</v>
      </c>
      <c r="AE84" s="100">
        <v>2603.3560155921418</v>
      </c>
      <c r="AF84" s="100">
        <v>7</v>
      </c>
      <c r="AG84" s="100">
        <v>5468.4</v>
      </c>
      <c r="AH84" s="100">
        <v>8</v>
      </c>
      <c r="AI84" s="100">
        <v>6249.5999999999995</v>
      </c>
      <c r="AJ84" s="100">
        <v>11</v>
      </c>
      <c r="AK84" s="100">
        <v>8593.1999999999989</v>
      </c>
      <c r="AL84" s="100">
        <v>11</v>
      </c>
      <c r="AM84" s="100">
        <v>8593.1999999999989</v>
      </c>
      <c r="AN84" s="100">
        <v>10.268537804205939</v>
      </c>
      <c r="AO84" s="100">
        <v>8021.7817326456789</v>
      </c>
      <c r="AP84" s="100">
        <v>11</v>
      </c>
      <c r="AQ84" s="100">
        <v>8593.1999999999989</v>
      </c>
      <c r="AR84" s="100">
        <v>11</v>
      </c>
      <c r="AS84" s="100">
        <v>8593.1999999999989</v>
      </c>
      <c r="AT84" s="100">
        <v>10</v>
      </c>
      <c r="AU84" s="100">
        <v>7811.9999999999991</v>
      </c>
      <c r="AV84" s="100">
        <v>12.889129111894393</v>
      </c>
      <c r="AW84" s="100">
        <v>10068.987662211899</v>
      </c>
      <c r="AX84" s="100">
        <v>9.1036869186587062</v>
      </c>
      <c r="AY84" s="100">
        <v>7111.8002208561802</v>
      </c>
      <c r="AZ84" s="100">
        <v>9.5310900603797695</v>
      </c>
      <c r="BA84" s="100">
        <v>7445.6875551686753</v>
      </c>
      <c r="BB84" s="100">
        <v>8.9432695280215473</v>
      </c>
      <c r="BC84" s="100">
        <v>6986.4821552904323</v>
      </c>
      <c r="BD84" s="100">
        <v>10</v>
      </c>
      <c r="BE84" s="100">
        <v>7811.9999999999991</v>
      </c>
      <c r="BF84" s="100">
        <v>9.2766864781103973</v>
      </c>
      <c r="BG84" s="100">
        <v>7246.9474766998419</v>
      </c>
      <c r="BH84" s="100">
        <v>9.35871928269205</v>
      </c>
      <c r="BI84" s="100">
        <v>7311.0315036390284</v>
      </c>
      <c r="BJ84" s="100">
        <v>8</v>
      </c>
      <c r="BK84" s="100">
        <v>6249.5999999999995</v>
      </c>
      <c r="BL84" s="100">
        <v>9.9247105138685594</v>
      </c>
      <c r="BM84" s="100">
        <v>7753.1838534341177</v>
      </c>
      <c r="BN84" s="100">
        <v>8</v>
      </c>
      <c r="BO84" s="100">
        <v>6249.5999999999995</v>
      </c>
      <c r="BP84" s="100">
        <v>10.224371864443839</v>
      </c>
      <c r="BQ84" s="100">
        <v>7987.2793005035264</v>
      </c>
      <c r="BR84" s="100">
        <v>8.8196461340718013</v>
      </c>
      <c r="BS84" s="100">
        <v>6889.9075599368907</v>
      </c>
      <c r="BT84" s="100">
        <v>10.342689432333506</v>
      </c>
      <c r="BU84" s="100">
        <v>8079.7089845389337</v>
      </c>
      <c r="BV84" s="100">
        <v>8</v>
      </c>
      <c r="BW84" s="100">
        <v>6249.5999999999995</v>
      </c>
      <c r="BX84" s="100">
        <v>10.744158595271934</v>
      </c>
      <c r="BY84" s="100">
        <v>8393.3366946264341</v>
      </c>
      <c r="BZ84" s="100">
        <v>3.7944778613124002</v>
      </c>
      <c r="CA84" s="100">
        <v>2964.2461052572467</v>
      </c>
      <c r="CB84" s="100">
        <v>14.756544035696377</v>
      </c>
      <c r="CC84" s="100">
        <v>11527.812200686009</v>
      </c>
      <c r="CD84" s="100">
        <v>8.0040659539318284</v>
      </c>
      <c r="CE84" s="100">
        <v>6252.776323211544</v>
      </c>
      <c r="CF84" s="100">
        <v>7.5571384133569541</v>
      </c>
      <c r="CG84" s="100">
        <v>5903.636528514452</v>
      </c>
      <c r="CH84" s="100">
        <v>6.8963810882747891</v>
      </c>
      <c r="CI84" s="100">
        <v>5387.4529061602652</v>
      </c>
      <c r="CJ84" s="100">
        <v>8.3656032380980978</v>
      </c>
      <c r="CK84" s="100">
        <v>6535.2092496022333</v>
      </c>
      <c r="CL84" s="100">
        <v>10.085994026635213</v>
      </c>
      <c r="CM84" s="100">
        <v>7879.1785336074272</v>
      </c>
      <c r="CN84" s="100">
        <v>9.0487988939373523</v>
      </c>
      <c r="CO84" s="100">
        <v>7068.921695943859</v>
      </c>
      <c r="CP84" s="100">
        <v>1.3330661787500715</v>
      </c>
      <c r="CQ84" s="100">
        <v>1041.3912988395557</v>
      </c>
      <c r="CR84" s="100">
        <v>12.29551339071824</v>
      </c>
      <c r="CS84" s="100">
        <v>9605.2550608290876</v>
      </c>
      <c r="CT84" s="100">
        <v>10.617793843414702</v>
      </c>
      <c r="CU84" s="100">
        <v>8294.6205504755653</v>
      </c>
    </row>
    <row r="85" spans="2:99">
      <c r="C85" s="99" t="s">
        <v>251</v>
      </c>
      <c r="D85" s="100">
        <v>8.1465946142636412</v>
      </c>
      <c r="E85" s="100">
        <v>1221.9891921395463</v>
      </c>
      <c r="F85" s="100">
        <v>10.956641303217452</v>
      </c>
      <c r="G85" s="100">
        <v>1643.4961954826178</v>
      </c>
      <c r="H85" s="100">
        <v>1.2175917895220978</v>
      </c>
      <c r="I85" s="100">
        <v>182.63876842831468</v>
      </c>
      <c r="J85" s="100">
        <v>11</v>
      </c>
      <c r="K85" s="100">
        <v>1650</v>
      </c>
      <c r="L85" s="100">
        <v>8</v>
      </c>
      <c r="M85" s="100">
        <v>1200</v>
      </c>
      <c r="N85" s="100">
        <v>10</v>
      </c>
      <c r="O85" s="100">
        <v>1500</v>
      </c>
      <c r="P85" s="100">
        <v>12.111801877261222</v>
      </c>
      <c r="Q85" s="100">
        <v>1816.7702815891832</v>
      </c>
      <c r="R85" s="100">
        <v>14</v>
      </c>
      <c r="S85" s="100">
        <v>2100</v>
      </c>
      <c r="T85" s="100">
        <v>5.8333063104162219</v>
      </c>
      <c r="U85" s="100">
        <v>874.99594656243335</v>
      </c>
      <c r="V85" s="100">
        <v>5.9053849848408575</v>
      </c>
      <c r="W85" s="100">
        <v>885.80774772612858</v>
      </c>
      <c r="X85" s="100">
        <v>14.239010638780485</v>
      </c>
      <c r="Y85" s="100">
        <v>2135.8515958170728</v>
      </c>
      <c r="Z85" s="100">
        <v>9</v>
      </c>
      <c r="AA85" s="100">
        <v>1350</v>
      </c>
      <c r="AB85" s="100">
        <v>9</v>
      </c>
      <c r="AC85" s="100">
        <v>1350</v>
      </c>
      <c r="AD85" s="100">
        <v>3.7490726030992825</v>
      </c>
      <c r="AE85" s="100">
        <v>562.36089046489235</v>
      </c>
      <c r="AF85" s="100">
        <v>8</v>
      </c>
      <c r="AG85" s="100">
        <v>1200</v>
      </c>
      <c r="AH85" s="100">
        <v>8</v>
      </c>
      <c r="AI85" s="100">
        <v>1200</v>
      </c>
      <c r="AJ85" s="100">
        <v>12</v>
      </c>
      <c r="AK85" s="100">
        <v>1800</v>
      </c>
      <c r="AL85" s="100">
        <v>11</v>
      </c>
      <c r="AM85" s="100">
        <v>1650</v>
      </c>
      <c r="AN85" s="100">
        <v>10.268537804205939</v>
      </c>
      <c r="AO85" s="100">
        <v>1540.2806706308909</v>
      </c>
      <c r="AP85" s="100">
        <v>10</v>
      </c>
      <c r="AQ85" s="100">
        <v>1500</v>
      </c>
      <c r="AR85" s="100">
        <v>11</v>
      </c>
      <c r="AS85" s="100">
        <v>1650</v>
      </c>
      <c r="AT85" s="100">
        <v>10</v>
      </c>
      <c r="AU85" s="100">
        <v>1500</v>
      </c>
      <c r="AV85" s="100">
        <v>14.73043327073645</v>
      </c>
      <c r="AW85" s="100">
        <v>2209.5649906104672</v>
      </c>
      <c r="AX85" s="100">
        <v>10.620968071768489</v>
      </c>
      <c r="AY85" s="100">
        <v>1593.1452107652733</v>
      </c>
      <c r="AZ85" s="100">
        <v>9.5310900603797695</v>
      </c>
      <c r="BA85" s="100">
        <v>1429.6635090569655</v>
      </c>
      <c r="BB85" s="100">
        <v>9.6885419886900088</v>
      </c>
      <c r="BC85" s="100">
        <v>1453.2812983035012</v>
      </c>
      <c r="BD85" s="100">
        <v>10</v>
      </c>
      <c r="BE85" s="100">
        <v>1500</v>
      </c>
      <c r="BF85" s="100">
        <v>9.2766864781103973</v>
      </c>
      <c r="BG85" s="100">
        <v>1391.5029717165596</v>
      </c>
      <c r="BH85" s="100">
        <v>9.35871928269205</v>
      </c>
      <c r="BI85" s="100">
        <v>1403.8078924038075</v>
      </c>
      <c r="BJ85" s="100">
        <v>10</v>
      </c>
      <c r="BK85" s="100">
        <v>1500</v>
      </c>
      <c r="BL85" s="100">
        <v>11.342526301564067</v>
      </c>
      <c r="BM85" s="100">
        <v>1701.37894523461</v>
      </c>
      <c r="BN85" s="100">
        <v>10</v>
      </c>
      <c r="BO85" s="100">
        <v>1500</v>
      </c>
      <c r="BP85" s="100">
        <v>10.954684140475541</v>
      </c>
      <c r="BQ85" s="100">
        <v>1643.2026210713311</v>
      </c>
      <c r="BR85" s="100">
        <v>11.22500417063684</v>
      </c>
      <c r="BS85" s="100">
        <v>1683.7506255955259</v>
      </c>
      <c r="BT85" s="100">
        <v>9.6039259014525413</v>
      </c>
      <c r="BU85" s="100">
        <v>1440.5888852178812</v>
      </c>
      <c r="BV85" s="100">
        <v>8</v>
      </c>
      <c r="BW85" s="100">
        <v>1200</v>
      </c>
      <c r="BX85" s="100">
        <v>11.570632333369774</v>
      </c>
      <c r="BY85" s="100">
        <v>1735.5948500054662</v>
      </c>
      <c r="BZ85" s="100">
        <v>3.5234437283615141</v>
      </c>
      <c r="CA85" s="100">
        <v>528.5165592542271</v>
      </c>
      <c r="CB85" s="100">
        <v>14.756544035696377</v>
      </c>
      <c r="CC85" s="100">
        <v>2213.4816053544564</v>
      </c>
      <c r="CD85" s="100">
        <v>8.0040659539318284</v>
      </c>
      <c r="CE85" s="100">
        <v>1200.6098930897742</v>
      </c>
      <c r="CF85" s="100">
        <v>8.244150996389406</v>
      </c>
      <c r="CG85" s="100">
        <v>1236.6226494584109</v>
      </c>
      <c r="CH85" s="100">
        <v>7.7584287243091374</v>
      </c>
      <c r="CI85" s="100">
        <v>1163.7643086463706</v>
      </c>
      <c r="CJ85" s="100">
        <v>8.3656032380980978</v>
      </c>
      <c r="CK85" s="100">
        <v>1254.8404857147148</v>
      </c>
      <c r="CL85" s="100">
        <v>12.836719670262999</v>
      </c>
      <c r="CM85" s="100">
        <v>1925.5079505394499</v>
      </c>
      <c r="CN85" s="100">
        <v>7.7561133376605884</v>
      </c>
      <c r="CO85" s="100">
        <v>1163.4170006490883</v>
      </c>
      <c r="CP85" s="100">
        <v>1.2305226265385274</v>
      </c>
      <c r="CQ85" s="100">
        <v>184.57839398077911</v>
      </c>
      <c r="CR85" s="100">
        <v>12.29551339071824</v>
      </c>
      <c r="CS85" s="100">
        <v>1844.3270086077359</v>
      </c>
      <c r="CT85" s="100">
        <v>9.9099409205203894</v>
      </c>
      <c r="CU85" s="100">
        <v>1486.4911380780584</v>
      </c>
    </row>
    <row r="86" spans="2:99">
      <c r="C86" s="99" t="s">
        <v>252</v>
      </c>
      <c r="D86" s="100">
        <v>9.3999168626118941</v>
      </c>
      <c r="E86" s="100">
        <v>5075.9551058104225</v>
      </c>
      <c r="F86" s="100">
        <v>12.782748187087028</v>
      </c>
      <c r="G86" s="100">
        <v>6902.6840210269957</v>
      </c>
      <c r="H86" s="100">
        <v>1.2175917895220978</v>
      </c>
      <c r="I86" s="100">
        <v>657.49956634193279</v>
      </c>
      <c r="J86" s="100">
        <v>10</v>
      </c>
      <c r="K86" s="100">
        <v>5400</v>
      </c>
      <c r="L86" s="100">
        <v>7</v>
      </c>
      <c r="M86" s="100">
        <v>3780</v>
      </c>
      <c r="N86" s="100">
        <v>10</v>
      </c>
      <c r="O86" s="100">
        <v>5400</v>
      </c>
      <c r="P86" s="100">
        <v>11.180124809779592</v>
      </c>
      <c r="Q86" s="100">
        <v>6037.2673972809798</v>
      </c>
      <c r="R86" s="100">
        <v>14</v>
      </c>
      <c r="S86" s="100">
        <v>7560</v>
      </c>
      <c r="T86" s="100">
        <v>5.8333063104162219</v>
      </c>
      <c r="U86" s="100">
        <v>3149.9854076247598</v>
      </c>
      <c r="V86" s="100">
        <v>5.9053849848408575</v>
      </c>
      <c r="W86" s="100">
        <v>3188.9078918140631</v>
      </c>
      <c r="X86" s="100">
        <v>13.349072473856706</v>
      </c>
      <c r="Y86" s="100">
        <v>7208.4991358826219</v>
      </c>
      <c r="Z86" s="100">
        <v>8</v>
      </c>
      <c r="AA86" s="100">
        <v>4320</v>
      </c>
      <c r="AB86" s="100">
        <v>10</v>
      </c>
      <c r="AC86" s="100">
        <v>5400</v>
      </c>
      <c r="AD86" s="100">
        <v>3.7490726030992825</v>
      </c>
      <c r="AE86" s="100">
        <v>2024.4992056736126</v>
      </c>
      <c r="AF86" s="100">
        <v>8</v>
      </c>
      <c r="AG86" s="100">
        <v>4320</v>
      </c>
      <c r="AH86" s="100">
        <v>8</v>
      </c>
      <c r="AI86" s="100">
        <v>4320</v>
      </c>
      <c r="AJ86" s="100">
        <v>12</v>
      </c>
      <c r="AK86" s="100">
        <v>6480</v>
      </c>
      <c r="AL86" s="100">
        <v>11</v>
      </c>
      <c r="AM86" s="100">
        <v>5940</v>
      </c>
      <c r="AN86" s="100">
        <v>11.848312851006852</v>
      </c>
      <c r="AO86" s="100">
        <v>6398.0889395437007</v>
      </c>
      <c r="AP86" s="100">
        <v>11</v>
      </c>
      <c r="AQ86" s="100">
        <v>5940</v>
      </c>
      <c r="AR86" s="100">
        <v>10</v>
      </c>
      <c r="AS86" s="100">
        <v>5400</v>
      </c>
      <c r="AT86" s="100">
        <v>10</v>
      </c>
      <c r="AU86" s="100">
        <v>5400</v>
      </c>
      <c r="AV86" s="100">
        <v>11.968477032473366</v>
      </c>
      <c r="AW86" s="100">
        <v>6462.9775975356179</v>
      </c>
      <c r="AX86" s="100">
        <v>9.1036869186587062</v>
      </c>
      <c r="AY86" s="100">
        <v>4915.990936075701</v>
      </c>
      <c r="AZ86" s="100">
        <v>10.325347565411418</v>
      </c>
      <c r="BA86" s="100">
        <v>5575.6876853221656</v>
      </c>
      <c r="BB86" s="100">
        <v>9.6885419886900088</v>
      </c>
      <c r="BC86" s="100">
        <v>5231.8126738926048</v>
      </c>
      <c r="BD86" s="100">
        <v>10</v>
      </c>
      <c r="BE86" s="100">
        <v>5400</v>
      </c>
      <c r="BF86" s="100">
        <v>10.963356746857743</v>
      </c>
      <c r="BG86" s="100">
        <v>5920.2126433031808</v>
      </c>
      <c r="BH86" s="100">
        <v>8.6388177994080468</v>
      </c>
      <c r="BI86" s="100">
        <v>4664.9616116803454</v>
      </c>
      <c r="BJ86" s="100">
        <v>9</v>
      </c>
      <c r="BK86" s="100">
        <v>4860</v>
      </c>
      <c r="BL86" s="100">
        <v>9.9247105138685594</v>
      </c>
      <c r="BM86" s="100">
        <v>5359.3436774890224</v>
      </c>
      <c r="BN86" s="100">
        <v>9</v>
      </c>
      <c r="BO86" s="100">
        <v>4860</v>
      </c>
      <c r="BP86" s="100">
        <v>9.494059588412135</v>
      </c>
      <c r="BQ86" s="100">
        <v>5126.7921777425527</v>
      </c>
      <c r="BR86" s="100">
        <v>10.423218158448492</v>
      </c>
      <c r="BS86" s="100">
        <v>5628.5378055621859</v>
      </c>
      <c r="BT86" s="100">
        <v>9.6039259014525413</v>
      </c>
      <c r="BU86" s="100">
        <v>5186.1199867843725</v>
      </c>
      <c r="BV86" s="100">
        <v>8</v>
      </c>
      <c r="BW86" s="100">
        <v>4320</v>
      </c>
      <c r="BX86" s="100">
        <v>10.744158595271934</v>
      </c>
      <c r="BY86" s="100">
        <v>5801.8456414468437</v>
      </c>
      <c r="BZ86" s="100">
        <v>3.5234437283615141</v>
      </c>
      <c r="CA86" s="100">
        <v>1902.6596133152177</v>
      </c>
      <c r="CB86" s="100">
        <v>14.756544035696377</v>
      </c>
      <c r="CC86" s="100">
        <v>7968.5337792760438</v>
      </c>
      <c r="CD86" s="100">
        <v>8.0040659539318284</v>
      </c>
      <c r="CE86" s="100">
        <v>4322.1956151231871</v>
      </c>
      <c r="CF86" s="100">
        <v>8.244150996389406</v>
      </c>
      <c r="CG86" s="100">
        <v>4451.8415380502793</v>
      </c>
      <c r="CH86" s="100">
        <v>7.7584287243091374</v>
      </c>
      <c r="CI86" s="100">
        <v>4189.5515111269342</v>
      </c>
      <c r="CJ86" s="100">
        <v>8.3656032380980978</v>
      </c>
      <c r="CK86" s="100">
        <v>4517.4257485729731</v>
      </c>
      <c r="CL86" s="100">
        <v>11.002902574511142</v>
      </c>
      <c r="CM86" s="100">
        <v>5941.5673902360168</v>
      </c>
      <c r="CN86" s="100">
        <v>8.4024561157989712</v>
      </c>
      <c r="CO86" s="100">
        <v>4537.3263025314445</v>
      </c>
      <c r="CP86" s="100">
        <v>1.3330661787500715</v>
      </c>
      <c r="CQ86" s="100">
        <v>719.85573652503865</v>
      </c>
      <c r="CR86" s="100">
        <v>11.349704668355299</v>
      </c>
      <c r="CS86" s="100">
        <v>6128.8405209118619</v>
      </c>
      <c r="CT86" s="100">
        <v>9.9099409205203894</v>
      </c>
      <c r="CU86" s="100">
        <v>5351.3680970810101</v>
      </c>
    </row>
    <row r="87" spans="2:99">
      <c r="B87" s="99" t="s">
        <v>131</v>
      </c>
      <c r="C87" s="99" t="s">
        <v>253</v>
      </c>
      <c r="D87" s="100">
        <v>5</v>
      </c>
      <c r="E87" s="100">
        <v>5370</v>
      </c>
      <c r="F87" s="100">
        <v>7</v>
      </c>
      <c r="G87" s="100">
        <v>7518</v>
      </c>
      <c r="H87" s="100">
        <v>6.0033369038632651</v>
      </c>
      <c r="I87" s="100">
        <v>6447.5838347491472</v>
      </c>
      <c r="J87" s="100">
        <v>5</v>
      </c>
      <c r="K87" s="100">
        <v>5370</v>
      </c>
      <c r="L87" s="100">
        <v>10</v>
      </c>
      <c r="M87" s="100">
        <v>10740</v>
      </c>
      <c r="N87" s="100">
        <v>7</v>
      </c>
      <c r="O87" s="100">
        <v>7518</v>
      </c>
      <c r="P87" s="100">
        <v>2.9896947858826635</v>
      </c>
      <c r="Q87" s="100">
        <v>3210.9322000379807</v>
      </c>
      <c r="R87" s="100">
        <v>11</v>
      </c>
      <c r="S87" s="100">
        <v>11814</v>
      </c>
      <c r="T87" s="100">
        <v>6</v>
      </c>
      <c r="U87" s="100">
        <v>6444</v>
      </c>
      <c r="V87" s="100">
        <v>2.2597291846709289</v>
      </c>
      <c r="W87" s="100">
        <v>2426.9491443365778</v>
      </c>
      <c r="X87" s="100">
        <v>5</v>
      </c>
      <c r="Y87" s="100">
        <v>5370</v>
      </c>
      <c r="Z87" s="100">
        <v>7.4349552447123983</v>
      </c>
      <c r="AA87" s="100">
        <v>7985.1419328211159</v>
      </c>
      <c r="AB87" s="100">
        <v>7.1217902388036096</v>
      </c>
      <c r="AC87" s="100">
        <v>7648.8027164750765</v>
      </c>
      <c r="AD87" s="100">
        <v>5.0661524603779871</v>
      </c>
      <c r="AE87" s="100">
        <v>5441.0477424459577</v>
      </c>
      <c r="AF87" s="100">
        <v>6.0725979268370072</v>
      </c>
      <c r="AG87" s="100">
        <v>6521.9701734229457</v>
      </c>
      <c r="AH87" s="100">
        <v>7.0479893036864736</v>
      </c>
      <c r="AI87" s="100">
        <v>7569.540512159273</v>
      </c>
      <c r="AJ87" s="100">
        <v>5.0141303577042793</v>
      </c>
      <c r="AK87" s="100">
        <v>5385.1760041743955</v>
      </c>
      <c r="AL87" s="100">
        <v>5.5295200634613391</v>
      </c>
      <c r="AM87" s="100">
        <v>5938.7045481574778</v>
      </c>
      <c r="AN87" s="100">
        <v>5.9857510917997336</v>
      </c>
      <c r="AO87" s="100">
        <v>6428.6966725929142</v>
      </c>
      <c r="AP87" s="100">
        <v>4.2574708469843179</v>
      </c>
      <c r="AQ87" s="100">
        <v>4572.5236896611577</v>
      </c>
      <c r="AR87" s="100">
        <v>5.2899075273780154</v>
      </c>
      <c r="AS87" s="100">
        <v>5681.3606844039887</v>
      </c>
      <c r="AT87" s="100">
        <v>6.687620135749702</v>
      </c>
      <c r="AU87" s="100">
        <v>7182.5040257951796</v>
      </c>
      <c r="AV87" s="100">
        <v>6.268488182541426</v>
      </c>
      <c r="AW87" s="100">
        <v>6732.3563080494914</v>
      </c>
      <c r="AX87" s="100">
        <v>6</v>
      </c>
      <c r="AY87" s="100">
        <v>6444</v>
      </c>
      <c r="AZ87" s="100">
        <v>7.3348087338611663</v>
      </c>
      <c r="BA87" s="100">
        <v>7877.5845801668929</v>
      </c>
      <c r="BB87" s="100">
        <v>2.17271771843021</v>
      </c>
      <c r="BC87" s="100">
        <v>2333.4988295940457</v>
      </c>
      <c r="BD87" s="100">
        <v>6.5713136986062288</v>
      </c>
      <c r="BE87" s="100">
        <v>7057.5909123030897</v>
      </c>
      <c r="BF87" s="100">
        <v>6.6123844092225177</v>
      </c>
      <c r="BG87" s="100">
        <v>7101.7008555049842</v>
      </c>
      <c r="BH87" s="100">
        <v>6</v>
      </c>
      <c r="BI87" s="100">
        <v>6444</v>
      </c>
      <c r="BJ87" s="100">
        <v>4.4026370536356243</v>
      </c>
      <c r="BK87" s="100">
        <v>4728.4321956046606</v>
      </c>
      <c r="BL87" s="100">
        <v>7</v>
      </c>
      <c r="BM87" s="100">
        <v>7518</v>
      </c>
      <c r="BN87" s="100">
        <v>6</v>
      </c>
      <c r="BO87" s="100">
        <v>6444</v>
      </c>
      <c r="BP87" s="100">
        <v>9.4974414672982395</v>
      </c>
      <c r="BQ87" s="100">
        <v>10200.252135878309</v>
      </c>
      <c r="BR87" s="100">
        <v>1.3407404102709837</v>
      </c>
      <c r="BS87" s="100">
        <v>1439.9552006310364</v>
      </c>
      <c r="BT87" s="100">
        <v>8</v>
      </c>
      <c r="BU87" s="100">
        <v>8592</v>
      </c>
      <c r="BV87" s="100">
        <v>11</v>
      </c>
      <c r="BW87" s="100">
        <v>11814</v>
      </c>
      <c r="BX87" s="100">
        <v>5.6957631561655706</v>
      </c>
      <c r="BY87" s="100">
        <v>6117.2496297218231</v>
      </c>
      <c r="BZ87" s="100">
        <v>5.9562646332194396</v>
      </c>
      <c r="CA87" s="100">
        <v>6397.0282160776778</v>
      </c>
      <c r="CB87" s="100">
        <v>4.9208442115144324</v>
      </c>
      <c r="CC87" s="100">
        <v>5284.9866831665004</v>
      </c>
      <c r="CD87" s="100">
        <v>6.7548699471706488</v>
      </c>
      <c r="CE87" s="100">
        <v>7254.7303232612767</v>
      </c>
      <c r="CF87" s="100">
        <v>5.1296072992756505</v>
      </c>
      <c r="CG87" s="100">
        <v>5509.1982394220486</v>
      </c>
      <c r="CH87" s="100">
        <v>5.8411677320944255</v>
      </c>
      <c r="CI87" s="100">
        <v>6273.4141442694126</v>
      </c>
      <c r="CJ87" s="100">
        <v>5.7188189485167724</v>
      </c>
      <c r="CK87" s="100">
        <v>6142.0115507070132</v>
      </c>
      <c r="CL87" s="100">
        <v>4.0778279759393978</v>
      </c>
      <c r="CM87" s="100">
        <v>4379.5872461589133</v>
      </c>
      <c r="CN87" s="100">
        <v>9</v>
      </c>
      <c r="CO87" s="100">
        <v>9666</v>
      </c>
      <c r="CP87" s="100">
        <v>1.6038514754869839</v>
      </c>
      <c r="CQ87" s="100">
        <v>1722.5364846730208</v>
      </c>
      <c r="CR87" s="100">
        <v>8.6435229502628204</v>
      </c>
      <c r="CS87" s="100">
        <v>9283.1436485822687</v>
      </c>
      <c r="CT87" s="100">
        <v>0</v>
      </c>
      <c r="CU87" s="100">
        <v>0</v>
      </c>
    </row>
    <row r="88" spans="2:99">
      <c r="C88" s="99" t="s">
        <v>254</v>
      </c>
      <c r="D88" s="100">
        <v>5</v>
      </c>
      <c r="E88" s="100">
        <v>4962</v>
      </c>
      <c r="F88" s="100">
        <v>6</v>
      </c>
      <c r="G88" s="100">
        <v>5954.4</v>
      </c>
      <c r="H88" s="100">
        <v>6.0033369038632651</v>
      </c>
      <c r="I88" s="100">
        <v>5957.7115433939043</v>
      </c>
      <c r="J88" s="100">
        <v>5</v>
      </c>
      <c r="K88" s="100">
        <v>4962</v>
      </c>
      <c r="L88" s="100">
        <v>9</v>
      </c>
      <c r="M88" s="100">
        <v>8931.6</v>
      </c>
      <c r="N88" s="100">
        <v>8</v>
      </c>
      <c r="O88" s="100">
        <v>7939.2</v>
      </c>
      <c r="P88" s="100">
        <v>3.5876337430591958</v>
      </c>
      <c r="Q88" s="100">
        <v>3560.3677266119457</v>
      </c>
      <c r="R88" s="100">
        <v>10</v>
      </c>
      <c r="S88" s="100">
        <v>9924</v>
      </c>
      <c r="T88" s="100">
        <v>6</v>
      </c>
      <c r="U88" s="100">
        <v>5954.4</v>
      </c>
      <c r="V88" s="100">
        <v>2.0542992587917537</v>
      </c>
      <c r="W88" s="100">
        <v>2038.6865844249362</v>
      </c>
      <c r="X88" s="100">
        <v>6</v>
      </c>
      <c r="Y88" s="100">
        <v>5954.4</v>
      </c>
      <c r="Z88" s="100">
        <v>8.2610613830137751</v>
      </c>
      <c r="AA88" s="100">
        <v>8198.2773165028702</v>
      </c>
      <c r="AB88" s="100">
        <v>7.9131002653373441</v>
      </c>
      <c r="AC88" s="100">
        <v>7852.9607033207803</v>
      </c>
      <c r="AD88" s="100">
        <v>5.0661524603779871</v>
      </c>
      <c r="AE88" s="100">
        <v>5027.6497016791145</v>
      </c>
      <c r="AF88" s="100">
        <v>6.0725979268370072</v>
      </c>
      <c r="AG88" s="100">
        <v>6026.4461825930457</v>
      </c>
      <c r="AH88" s="100">
        <v>6.2648793810546435</v>
      </c>
      <c r="AI88" s="100">
        <v>6217.2662977586278</v>
      </c>
      <c r="AJ88" s="100">
        <v>5.7304346945191771</v>
      </c>
      <c r="AK88" s="100">
        <v>5686.8833908408315</v>
      </c>
      <c r="AL88" s="100">
        <v>5.5295200634613391</v>
      </c>
      <c r="AM88" s="100">
        <v>5487.495710979033</v>
      </c>
      <c r="AN88" s="100">
        <v>6.7339699782746996</v>
      </c>
      <c r="AO88" s="100">
        <v>6682.7918064398118</v>
      </c>
      <c r="AP88" s="100">
        <v>4.2574708469843179</v>
      </c>
      <c r="AQ88" s="100">
        <v>4225.1140685472374</v>
      </c>
      <c r="AR88" s="100">
        <v>5.2899075273780154</v>
      </c>
      <c r="AS88" s="100">
        <v>5249.7042301699421</v>
      </c>
      <c r="AT88" s="100">
        <v>7.3563821493246726</v>
      </c>
      <c r="AU88" s="100">
        <v>7300.4736449898046</v>
      </c>
      <c r="AV88" s="100">
        <v>5.571989495592379</v>
      </c>
      <c r="AW88" s="100">
        <v>5529.6423754258767</v>
      </c>
      <c r="AX88" s="100">
        <v>7</v>
      </c>
      <c r="AY88" s="100">
        <v>6946.8</v>
      </c>
      <c r="AZ88" s="100">
        <v>8.2516598255938121</v>
      </c>
      <c r="BA88" s="100">
        <v>8188.9472109192993</v>
      </c>
      <c r="BB88" s="100">
        <v>2.17271771843021</v>
      </c>
      <c r="BC88" s="100">
        <v>2156.2050637701404</v>
      </c>
      <c r="BD88" s="100">
        <v>7.2284450684668524</v>
      </c>
      <c r="BE88" s="100">
        <v>7173.5088859465041</v>
      </c>
      <c r="BF88" s="100">
        <v>5.6677580650478729</v>
      </c>
      <c r="BG88" s="100">
        <v>5624.6831037535094</v>
      </c>
      <c r="BH88" s="100">
        <v>7</v>
      </c>
      <c r="BI88" s="100">
        <v>6946.8</v>
      </c>
      <c r="BJ88" s="100">
        <v>4.4026370536356243</v>
      </c>
      <c r="BK88" s="100">
        <v>4369.1770120279934</v>
      </c>
      <c r="BL88" s="100">
        <v>7</v>
      </c>
      <c r="BM88" s="100">
        <v>6946.8</v>
      </c>
      <c r="BN88" s="100">
        <v>6</v>
      </c>
      <c r="BO88" s="100">
        <v>5954.4</v>
      </c>
      <c r="BP88" s="100">
        <v>11.396929760757889</v>
      </c>
      <c r="BQ88" s="100">
        <v>11310.313094576128</v>
      </c>
      <c r="BR88" s="100">
        <v>1.3407404102709837</v>
      </c>
      <c r="BS88" s="100">
        <v>1330.5507831529242</v>
      </c>
      <c r="BT88" s="100">
        <v>7</v>
      </c>
      <c r="BU88" s="100">
        <v>6946.8</v>
      </c>
      <c r="BV88" s="100">
        <v>11</v>
      </c>
      <c r="BW88" s="100">
        <v>10916.4</v>
      </c>
      <c r="BX88" s="100">
        <v>7.3231240579271635</v>
      </c>
      <c r="BY88" s="100">
        <v>7267.4683150869168</v>
      </c>
      <c r="BZ88" s="100">
        <v>5.9562646332194396</v>
      </c>
      <c r="CA88" s="100">
        <v>5910.9970220069717</v>
      </c>
      <c r="CB88" s="100">
        <v>4.9208442115144324</v>
      </c>
      <c r="CC88" s="100">
        <v>4883.4457955069229</v>
      </c>
      <c r="CD88" s="100">
        <v>6.7548699471706488</v>
      </c>
      <c r="CE88" s="100">
        <v>6703.5329355721515</v>
      </c>
      <c r="CF88" s="100">
        <v>4.3968062565219856</v>
      </c>
      <c r="CG88" s="100">
        <v>4363.3905289724189</v>
      </c>
      <c r="CH88" s="100">
        <v>5.8411677320944255</v>
      </c>
      <c r="CI88" s="100">
        <v>5796.774857330508</v>
      </c>
      <c r="CJ88" s="100">
        <v>4.9018448130143764</v>
      </c>
      <c r="CK88" s="100">
        <v>4864.5907924354669</v>
      </c>
      <c r="CL88" s="100">
        <v>4.0778279759393978</v>
      </c>
      <c r="CM88" s="100">
        <v>4046.8364833222581</v>
      </c>
      <c r="CN88" s="100">
        <v>10</v>
      </c>
      <c r="CO88" s="100">
        <v>9924</v>
      </c>
      <c r="CP88" s="100">
        <v>1.6038514754869839</v>
      </c>
      <c r="CQ88" s="100">
        <v>1591.6622042732829</v>
      </c>
      <c r="CR88" s="100">
        <v>9.5078752452891031</v>
      </c>
      <c r="CS88" s="100">
        <v>9435.6153934249051</v>
      </c>
      <c r="CT88" s="100">
        <v>0</v>
      </c>
      <c r="CU88" s="100">
        <v>0</v>
      </c>
    </row>
    <row r="89" spans="2:99">
      <c r="C89" s="99" t="s">
        <v>255</v>
      </c>
      <c r="D89" s="100">
        <v>5</v>
      </c>
      <c r="E89" s="100">
        <v>5310</v>
      </c>
      <c r="F89" s="100">
        <v>6</v>
      </c>
      <c r="G89" s="100">
        <v>6372</v>
      </c>
      <c r="H89" s="100">
        <v>6.0033369038632651</v>
      </c>
      <c r="I89" s="100">
        <v>6375.5437919027872</v>
      </c>
      <c r="J89" s="100">
        <v>5</v>
      </c>
      <c r="K89" s="100">
        <v>5310</v>
      </c>
      <c r="L89" s="100">
        <v>9</v>
      </c>
      <c r="M89" s="100">
        <v>9558</v>
      </c>
      <c r="N89" s="100">
        <v>7</v>
      </c>
      <c r="O89" s="100">
        <v>7434</v>
      </c>
      <c r="P89" s="100">
        <v>3.5876337430591958</v>
      </c>
      <c r="Q89" s="100">
        <v>3810.0670351288659</v>
      </c>
      <c r="R89" s="100">
        <v>11</v>
      </c>
      <c r="S89" s="100">
        <v>11682</v>
      </c>
      <c r="T89" s="100">
        <v>7</v>
      </c>
      <c r="U89" s="100">
        <v>7434</v>
      </c>
      <c r="V89" s="100">
        <v>2.0542992587917537</v>
      </c>
      <c r="W89" s="100">
        <v>2181.6658128368426</v>
      </c>
      <c r="X89" s="100">
        <v>6</v>
      </c>
      <c r="Y89" s="100">
        <v>6372</v>
      </c>
      <c r="Z89" s="100">
        <v>8.2610613830137751</v>
      </c>
      <c r="AA89" s="100">
        <v>8773.2471887606298</v>
      </c>
      <c r="AB89" s="100">
        <v>7.1217902388036096</v>
      </c>
      <c r="AC89" s="100">
        <v>7563.3412336094334</v>
      </c>
      <c r="AD89" s="100">
        <v>5.0661524603779871</v>
      </c>
      <c r="AE89" s="100">
        <v>5380.2539129214219</v>
      </c>
      <c r="AF89" s="100">
        <v>6.7473310298188967</v>
      </c>
      <c r="AG89" s="100">
        <v>7165.6655536676681</v>
      </c>
      <c r="AH89" s="100">
        <v>6.2648793810546435</v>
      </c>
      <c r="AI89" s="100">
        <v>6653.3019026800312</v>
      </c>
      <c r="AJ89" s="100">
        <v>5.0141303577042793</v>
      </c>
      <c r="AK89" s="100">
        <v>5325.006439881945</v>
      </c>
      <c r="AL89" s="100">
        <v>5.5295200634613391</v>
      </c>
      <c r="AM89" s="100">
        <v>5872.3503073959419</v>
      </c>
      <c r="AN89" s="100">
        <v>5.9857510917997336</v>
      </c>
      <c r="AO89" s="100">
        <v>6356.8676594913168</v>
      </c>
      <c r="AP89" s="100">
        <v>4.2574708469843179</v>
      </c>
      <c r="AQ89" s="100">
        <v>4521.434039497346</v>
      </c>
      <c r="AR89" s="100">
        <v>5.2899075273780154</v>
      </c>
      <c r="AS89" s="100">
        <v>5617.8817940754525</v>
      </c>
      <c r="AT89" s="100">
        <v>6.687620135749702</v>
      </c>
      <c r="AU89" s="100">
        <v>7102.2525841661836</v>
      </c>
      <c r="AV89" s="100">
        <v>5.571989495592379</v>
      </c>
      <c r="AW89" s="100">
        <v>5917.4528443191066</v>
      </c>
      <c r="AX89" s="100">
        <v>6</v>
      </c>
      <c r="AY89" s="100">
        <v>6372</v>
      </c>
      <c r="AZ89" s="100">
        <v>8.2516598255938121</v>
      </c>
      <c r="BA89" s="100">
        <v>8763.2627347806283</v>
      </c>
      <c r="BB89" s="100">
        <v>1.9751979258456458</v>
      </c>
      <c r="BC89" s="100">
        <v>2097.6601972480757</v>
      </c>
      <c r="BD89" s="100">
        <v>6.5713136986062288</v>
      </c>
      <c r="BE89" s="100">
        <v>6978.7351479198151</v>
      </c>
      <c r="BF89" s="100">
        <v>6.6123844092225177</v>
      </c>
      <c r="BG89" s="100">
        <v>7022.3522425943138</v>
      </c>
      <c r="BH89" s="100">
        <v>7</v>
      </c>
      <c r="BI89" s="100">
        <v>7434</v>
      </c>
      <c r="BJ89" s="100">
        <v>4.4026370536356243</v>
      </c>
      <c r="BK89" s="100">
        <v>4675.6005509610332</v>
      </c>
      <c r="BL89" s="100">
        <v>7</v>
      </c>
      <c r="BM89" s="100">
        <v>7434</v>
      </c>
      <c r="BN89" s="100">
        <v>6</v>
      </c>
      <c r="BO89" s="100">
        <v>6372</v>
      </c>
      <c r="BP89" s="100">
        <v>10.447185614028063</v>
      </c>
      <c r="BQ89" s="100">
        <v>11094.911122097803</v>
      </c>
      <c r="BR89" s="100">
        <v>1.3407404102709837</v>
      </c>
      <c r="BS89" s="100">
        <v>1423.8663157077847</v>
      </c>
      <c r="BT89" s="100">
        <v>7</v>
      </c>
      <c r="BU89" s="100">
        <v>7434</v>
      </c>
      <c r="BV89" s="100">
        <v>10</v>
      </c>
      <c r="BW89" s="100">
        <v>10620</v>
      </c>
      <c r="BX89" s="100">
        <v>5.6957631561655706</v>
      </c>
      <c r="BY89" s="100">
        <v>6048.9004718478363</v>
      </c>
      <c r="BZ89" s="100">
        <v>5.2117315540670095</v>
      </c>
      <c r="CA89" s="100">
        <v>5534.8589104191642</v>
      </c>
      <c r="CB89" s="100">
        <v>4.21786646701237</v>
      </c>
      <c r="CC89" s="100">
        <v>4479.374187967137</v>
      </c>
      <c r="CD89" s="100">
        <v>6.0793829524535843</v>
      </c>
      <c r="CE89" s="100">
        <v>6456.3046955057061</v>
      </c>
      <c r="CF89" s="100">
        <v>4.3968062565219856</v>
      </c>
      <c r="CG89" s="100">
        <v>4669.4082444263486</v>
      </c>
      <c r="CH89" s="100">
        <v>6.4252845053038685</v>
      </c>
      <c r="CI89" s="100">
        <v>6823.6521446327088</v>
      </c>
      <c r="CJ89" s="100">
        <v>5.7188189485167724</v>
      </c>
      <c r="CK89" s="100">
        <v>6073.3857233248127</v>
      </c>
      <c r="CL89" s="100">
        <v>3.670045178345458</v>
      </c>
      <c r="CM89" s="100">
        <v>3897.5879794028765</v>
      </c>
      <c r="CN89" s="100">
        <v>10</v>
      </c>
      <c r="CO89" s="100">
        <v>10620</v>
      </c>
      <c r="CP89" s="100">
        <v>1.6038514754869839</v>
      </c>
      <c r="CQ89" s="100">
        <v>1703.2902669671769</v>
      </c>
      <c r="CR89" s="100">
        <v>9.5078752452891031</v>
      </c>
      <c r="CS89" s="100">
        <v>10097.363510497027</v>
      </c>
      <c r="CT89" s="100">
        <v>0</v>
      </c>
      <c r="CU89" s="100">
        <v>0</v>
      </c>
    </row>
    <row r="90" spans="2:99">
      <c r="C90" s="99" t="s">
        <v>256</v>
      </c>
      <c r="D90" s="100">
        <v>5</v>
      </c>
      <c r="E90" s="100">
        <v>5544</v>
      </c>
      <c r="F90" s="100">
        <v>7</v>
      </c>
      <c r="G90" s="100">
        <v>7761.5999999999995</v>
      </c>
      <c r="H90" s="100">
        <v>6.0033369038632651</v>
      </c>
      <c r="I90" s="100">
        <v>6656.4999590035877</v>
      </c>
      <c r="J90" s="100">
        <v>6</v>
      </c>
      <c r="K90" s="100">
        <v>6652.7999999999993</v>
      </c>
      <c r="L90" s="100">
        <v>10</v>
      </c>
      <c r="M90" s="100">
        <v>11088</v>
      </c>
      <c r="N90" s="100">
        <v>7</v>
      </c>
      <c r="O90" s="100">
        <v>7761.5999999999995</v>
      </c>
      <c r="P90" s="100">
        <v>3.5876337430591958</v>
      </c>
      <c r="Q90" s="100">
        <v>3977.9682943040361</v>
      </c>
      <c r="R90" s="100">
        <v>11</v>
      </c>
      <c r="S90" s="100">
        <v>12196.8</v>
      </c>
      <c r="T90" s="100">
        <v>6</v>
      </c>
      <c r="U90" s="100">
        <v>6652.7999999999993</v>
      </c>
      <c r="V90" s="100">
        <v>2.2597291846709289</v>
      </c>
      <c r="W90" s="100">
        <v>2505.5877199631259</v>
      </c>
      <c r="X90" s="100">
        <v>6</v>
      </c>
      <c r="Y90" s="100">
        <v>6652.7999999999993</v>
      </c>
      <c r="Z90" s="100">
        <v>7.4349552447123983</v>
      </c>
      <c r="AA90" s="100">
        <v>8243.8783753371063</v>
      </c>
      <c r="AB90" s="100">
        <v>6.330480212269876</v>
      </c>
      <c r="AC90" s="100">
        <v>7019.2364593648381</v>
      </c>
      <c r="AD90" s="100">
        <v>5.0661524603779871</v>
      </c>
      <c r="AE90" s="100">
        <v>5617.3498480671115</v>
      </c>
      <c r="AF90" s="100">
        <v>6.0725979268370072</v>
      </c>
      <c r="AG90" s="100">
        <v>6733.2965812768734</v>
      </c>
      <c r="AH90" s="100">
        <v>5.4817694584228125</v>
      </c>
      <c r="AI90" s="100">
        <v>6078.1859754992147</v>
      </c>
      <c r="AJ90" s="100">
        <v>5.0141303577042793</v>
      </c>
      <c r="AK90" s="100">
        <v>5559.6677406225044</v>
      </c>
      <c r="AL90" s="100">
        <v>5.5295200634613391</v>
      </c>
      <c r="AM90" s="100">
        <v>6131.1318463659327</v>
      </c>
      <c r="AN90" s="100">
        <v>6.7339699782746996</v>
      </c>
      <c r="AO90" s="100">
        <v>7466.6259119109864</v>
      </c>
      <c r="AP90" s="100">
        <v>3.5478923724869311</v>
      </c>
      <c r="AQ90" s="100">
        <v>3933.9030626135091</v>
      </c>
      <c r="AR90" s="100">
        <v>5.2899075273780154</v>
      </c>
      <c r="AS90" s="100">
        <v>5865.449466356743</v>
      </c>
      <c r="AT90" s="100">
        <v>6.0188581221747324</v>
      </c>
      <c r="AU90" s="100">
        <v>6673.7098858673426</v>
      </c>
      <c r="AV90" s="100">
        <v>5.571989495592379</v>
      </c>
      <c r="AW90" s="100">
        <v>6178.22195271283</v>
      </c>
      <c r="AX90" s="100">
        <v>6</v>
      </c>
      <c r="AY90" s="100">
        <v>6652.7999999999993</v>
      </c>
      <c r="AZ90" s="100">
        <v>8.2516598255938121</v>
      </c>
      <c r="BA90" s="100">
        <v>9149.4404146184188</v>
      </c>
      <c r="BB90" s="100">
        <v>2.17271771843021</v>
      </c>
      <c r="BC90" s="100">
        <v>2409.1094061954168</v>
      </c>
      <c r="BD90" s="100">
        <v>6.5713136986062288</v>
      </c>
      <c r="BE90" s="100">
        <v>7286.2726290145865</v>
      </c>
      <c r="BF90" s="100">
        <v>5.6677580650478729</v>
      </c>
      <c r="BG90" s="100">
        <v>6284.410142525081</v>
      </c>
      <c r="BH90" s="100">
        <v>7</v>
      </c>
      <c r="BI90" s="100">
        <v>7761.5999999999995</v>
      </c>
      <c r="BJ90" s="100">
        <v>4.4026370536356243</v>
      </c>
      <c r="BK90" s="100">
        <v>4881.64396507118</v>
      </c>
      <c r="BL90" s="100">
        <v>7</v>
      </c>
      <c r="BM90" s="100">
        <v>7761.5999999999995</v>
      </c>
      <c r="BN90" s="100">
        <v>6</v>
      </c>
      <c r="BO90" s="100">
        <v>6652.7999999999993</v>
      </c>
      <c r="BP90" s="100">
        <v>10.447185614028063</v>
      </c>
      <c r="BQ90" s="100">
        <v>11583.839408834316</v>
      </c>
      <c r="BR90" s="100">
        <v>1.1492060659465575</v>
      </c>
      <c r="BS90" s="100">
        <v>1274.239685921543</v>
      </c>
      <c r="BT90" s="100">
        <v>7</v>
      </c>
      <c r="BU90" s="100">
        <v>7761.5999999999995</v>
      </c>
      <c r="BV90" s="100">
        <v>10</v>
      </c>
      <c r="BW90" s="100">
        <v>11088</v>
      </c>
      <c r="BX90" s="100">
        <v>6.509443607046367</v>
      </c>
      <c r="BY90" s="100">
        <v>7217.6710714930114</v>
      </c>
      <c r="BZ90" s="100">
        <v>5.2117315540670095</v>
      </c>
      <c r="CA90" s="100">
        <v>5778.7679471495003</v>
      </c>
      <c r="CB90" s="100">
        <v>4.9208442115144324</v>
      </c>
      <c r="CC90" s="100">
        <v>5456.2320617272026</v>
      </c>
      <c r="CD90" s="100">
        <v>6.7548699471706488</v>
      </c>
      <c r="CE90" s="100">
        <v>7489.7997974228147</v>
      </c>
      <c r="CF90" s="100">
        <v>5.1296072992756505</v>
      </c>
      <c r="CG90" s="100">
        <v>5687.7085734368411</v>
      </c>
      <c r="CH90" s="100">
        <v>6.4252845053038685</v>
      </c>
      <c r="CI90" s="100">
        <v>7124.3554594809293</v>
      </c>
      <c r="CJ90" s="100">
        <v>4.9018448130143764</v>
      </c>
      <c r="CK90" s="100">
        <v>5435.1655286703399</v>
      </c>
      <c r="CL90" s="100">
        <v>3.670045178345458</v>
      </c>
      <c r="CM90" s="100">
        <v>4069.3460937494438</v>
      </c>
      <c r="CN90" s="100">
        <v>9</v>
      </c>
      <c r="CO90" s="100">
        <v>9979.1999999999989</v>
      </c>
      <c r="CP90" s="100">
        <v>1.8711600547348144</v>
      </c>
      <c r="CQ90" s="100">
        <v>2074.7422686899622</v>
      </c>
      <c r="CR90" s="100">
        <v>8.6435229502628204</v>
      </c>
      <c r="CS90" s="100">
        <v>9583.9382472514153</v>
      </c>
      <c r="CT90" s="100">
        <v>0</v>
      </c>
      <c r="CU90" s="100">
        <v>0</v>
      </c>
    </row>
    <row r="91" spans="2:99">
      <c r="C91" s="99" t="s">
        <v>257</v>
      </c>
      <c r="D91" s="100">
        <v>5</v>
      </c>
      <c r="E91" s="100">
        <v>5681.9999999999991</v>
      </c>
      <c r="F91" s="100">
        <v>7</v>
      </c>
      <c r="G91" s="100">
        <v>7954.7999999999993</v>
      </c>
      <c r="H91" s="100">
        <v>6.0033369038632651</v>
      </c>
      <c r="I91" s="100">
        <v>6822.1920575502136</v>
      </c>
      <c r="J91" s="100">
        <v>5</v>
      </c>
      <c r="K91" s="100">
        <v>5681.9999999999991</v>
      </c>
      <c r="L91" s="100">
        <v>9</v>
      </c>
      <c r="M91" s="100">
        <v>10227.599999999999</v>
      </c>
      <c r="N91" s="100">
        <v>7</v>
      </c>
      <c r="O91" s="100">
        <v>7954.7999999999993</v>
      </c>
      <c r="P91" s="100">
        <v>2.9896947858826635</v>
      </c>
      <c r="Q91" s="100">
        <v>3397.4891546770582</v>
      </c>
      <c r="R91" s="100">
        <v>11</v>
      </c>
      <c r="S91" s="100">
        <v>12500.399999999998</v>
      </c>
      <c r="T91" s="100">
        <v>7</v>
      </c>
      <c r="U91" s="100">
        <v>7954.7999999999993</v>
      </c>
      <c r="V91" s="100">
        <v>2.2597291846709289</v>
      </c>
      <c r="W91" s="100">
        <v>2567.9562454600432</v>
      </c>
      <c r="X91" s="100">
        <v>6</v>
      </c>
      <c r="Y91" s="100">
        <v>6818.4</v>
      </c>
      <c r="Z91" s="100">
        <v>8.2610613830137751</v>
      </c>
      <c r="AA91" s="100">
        <v>9387.8701556568521</v>
      </c>
      <c r="AB91" s="100">
        <v>7.1217902388036096</v>
      </c>
      <c r="AC91" s="100">
        <v>8093.2024273764209</v>
      </c>
      <c r="AD91" s="100">
        <v>5.0661524603779871</v>
      </c>
      <c r="AE91" s="100">
        <v>5757.1756559735441</v>
      </c>
      <c r="AF91" s="100">
        <v>5.3978648238551168</v>
      </c>
      <c r="AG91" s="100">
        <v>6134.133585828954</v>
      </c>
      <c r="AH91" s="100">
        <v>6.2648793810546435</v>
      </c>
      <c r="AI91" s="100">
        <v>7119.4089286304961</v>
      </c>
      <c r="AJ91" s="100">
        <v>5.7304346945191771</v>
      </c>
      <c r="AK91" s="100">
        <v>6512.0659868515922</v>
      </c>
      <c r="AL91" s="100">
        <v>5.5295200634613391</v>
      </c>
      <c r="AM91" s="100">
        <v>6283.7466001174653</v>
      </c>
      <c r="AN91" s="100">
        <v>6.7339699782746996</v>
      </c>
      <c r="AO91" s="100">
        <v>7652.4834833113673</v>
      </c>
      <c r="AP91" s="100">
        <v>4.2574708469843179</v>
      </c>
      <c r="AQ91" s="100">
        <v>4838.1898705129779</v>
      </c>
      <c r="AR91" s="100">
        <v>5.2899075273780154</v>
      </c>
      <c r="AS91" s="100">
        <v>6011.4509141123763</v>
      </c>
      <c r="AT91" s="100">
        <v>7.3563821493246726</v>
      </c>
      <c r="AU91" s="100">
        <v>8359.7926744925571</v>
      </c>
      <c r="AV91" s="100">
        <v>6.268488182541426</v>
      </c>
      <c r="AW91" s="100">
        <v>7123.5099706400761</v>
      </c>
      <c r="AX91" s="100">
        <v>7</v>
      </c>
      <c r="AY91" s="100">
        <v>7954.7999999999993</v>
      </c>
      <c r="AZ91" s="100">
        <v>7.3348087338611663</v>
      </c>
      <c r="BA91" s="100">
        <v>8335.2766451598291</v>
      </c>
      <c r="BB91" s="100">
        <v>1.9751979258456458</v>
      </c>
      <c r="BC91" s="100">
        <v>2244.6149229309917</v>
      </c>
      <c r="BD91" s="100">
        <v>7.2284450684668524</v>
      </c>
      <c r="BE91" s="100">
        <v>8214.4049758057299</v>
      </c>
      <c r="BF91" s="100">
        <v>6.6123844092225177</v>
      </c>
      <c r="BG91" s="100">
        <v>7514.3136426404681</v>
      </c>
      <c r="BH91" s="100">
        <v>7</v>
      </c>
      <c r="BI91" s="100">
        <v>7954.7999999999993</v>
      </c>
      <c r="BJ91" s="100">
        <v>4.4026370536356243</v>
      </c>
      <c r="BK91" s="100">
        <v>5003.1567477515227</v>
      </c>
      <c r="BL91" s="100">
        <v>7</v>
      </c>
      <c r="BM91" s="100">
        <v>7954.7999999999993</v>
      </c>
      <c r="BN91" s="100">
        <v>6</v>
      </c>
      <c r="BO91" s="100">
        <v>6818.4</v>
      </c>
      <c r="BP91" s="100">
        <v>10.447185614028063</v>
      </c>
      <c r="BQ91" s="100">
        <v>11872.181731781489</v>
      </c>
      <c r="BR91" s="100">
        <v>1.1492060659465575</v>
      </c>
      <c r="BS91" s="100">
        <v>1305.9577733416677</v>
      </c>
      <c r="BT91" s="100">
        <v>7</v>
      </c>
      <c r="BU91" s="100">
        <v>7954.7999999999993</v>
      </c>
      <c r="BV91" s="100">
        <v>11</v>
      </c>
      <c r="BW91" s="100">
        <v>12500.399999999998</v>
      </c>
      <c r="BX91" s="100">
        <v>6.509443607046367</v>
      </c>
      <c r="BY91" s="100">
        <v>7397.3317150474904</v>
      </c>
      <c r="BZ91" s="100">
        <v>5.2117315540670095</v>
      </c>
      <c r="CA91" s="100">
        <v>5922.611738041749</v>
      </c>
      <c r="CB91" s="100">
        <v>4.21786646701237</v>
      </c>
      <c r="CC91" s="100">
        <v>4793.183453112857</v>
      </c>
      <c r="CD91" s="100">
        <v>6.7548699471706488</v>
      </c>
      <c r="CE91" s="100">
        <v>7676.2342079647242</v>
      </c>
      <c r="CF91" s="100">
        <v>5.1296072992756505</v>
      </c>
      <c r="CG91" s="100">
        <v>5829.2857348968482</v>
      </c>
      <c r="CH91" s="100">
        <v>6.4252845053038685</v>
      </c>
      <c r="CI91" s="100">
        <v>7301.6933118273155</v>
      </c>
      <c r="CJ91" s="100">
        <v>5.7188189485167724</v>
      </c>
      <c r="CK91" s="100">
        <v>6498.8658530944595</v>
      </c>
      <c r="CL91" s="100">
        <v>3.670045178345458</v>
      </c>
      <c r="CM91" s="100">
        <v>4170.639340671778</v>
      </c>
      <c r="CN91" s="100">
        <v>9</v>
      </c>
      <c r="CO91" s="100">
        <v>10227.599999999999</v>
      </c>
      <c r="CP91" s="100">
        <v>1.6038514754869839</v>
      </c>
      <c r="CQ91" s="100">
        <v>1822.6168167434082</v>
      </c>
      <c r="CR91" s="100">
        <v>9.5078752452891031</v>
      </c>
      <c r="CS91" s="100">
        <v>10804.749428746536</v>
      </c>
      <c r="CT91" s="100">
        <v>0</v>
      </c>
      <c r="CU91" s="100">
        <v>0</v>
      </c>
    </row>
    <row r="92" spans="2:99">
      <c r="C92" s="99" t="s">
        <v>258</v>
      </c>
      <c r="D92" s="100">
        <v>6</v>
      </c>
      <c r="E92" s="100">
        <v>4708.7999999999993</v>
      </c>
      <c r="F92" s="100">
        <v>7</v>
      </c>
      <c r="G92" s="100">
        <v>5493.5999999999995</v>
      </c>
      <c r="H92" s="100">
        <v>6.0033369038632651</v>
      </c>
      <c r="I92" s="100">
        <v>4711.4188021518903</v>
      </c>
      <c r="J92" s="100">
        <v>5</v>
      </c>
      <c r="K92" s="100">
        <v>3924</v>
      </c>
      <c r="L92" s="100">
        <v>9</v>
      </c>
      <c r="M92" s="100">
        <v>7063.2</v>
      </c>
      <c r="N92" s="100">
        <v>7</v>
      </c>
      <c r="O92" s="100">
        <v>5493.5999999999995</v>
      </c>
      <c r="P92" s="100">
        <v>3.5876337430591958</v>
      </c>
      <c r="Q92" s="100">
        <v>2815.5749615528566</v>
      </c>
      <c r="R92" s="100">
        <v>11</v>
      </c>
      <c r="S92" s="100">
        <v>8632.7999999999993</v>
      </c>
      <c r="T92" s="100">
        <v>6</v>
      </c>
      <c r="U92" s="100">
        <v>4708.7999999999993</v>
      </c>
      <c r="V92" s="100">
        <v>2.2597291846709289</v>
      </c>
      <c r="W92" s="100">
        <v>1773.4354641297448</v>
      </c>
      <c r="X92" s="100">
        <v>6</v>
      </c>
      <c r="Y92" s="100">
        <v>4708.7999999999993</v>
      </c>
      <c r="Z92" s="100">
        <v>8.2610613830137751</v>
      </c>
      <c r="AA92" s="100">
        <v>6483.28097338921</v>
      </c>
      <c r="AB92" s="100">
        <v>7.1217902388036096</v>
      </c>
      <c r="AC92" s="100">
        <v>5589.1809794130722</v>
      </c>
      <c r="AD92" s="100">
        <v>5.0661524603779871</v>
      </c>
      <c r="AE92" s="100">
        <v>3975.9164509046441</v>
      </c>
      <c r="AF92" s="100">
        <v>6.0725979268370072</v>
      </c>
      <c r="AG92" s="100">
        <v>4765.7748529816827</v>
      </c>
      <c r="AH92" s="100">
        <v>7.0479893036864736</v>
      </c>
      <c r="AI92" s="100">
        <v>5531.2620055331445</v>
      </c>
      <c r="AJ92" s="100">
        <v>5.7304346945191771</v>
      </c>
      <c r="AK92" s="100">
        <v>4497.2451482586503</v>
      </c>
      <c r="AL92" s="100">
        <v>6.4511067407048959</v>
      </c>
      <c r="AM92" s="100">
        <v>5062.8285701052018</v>
      </c>
      <c r="AN92" s="100">
        <v>5.9857510917997336</v>
      </c>
      <c r="AO92" s="100">
        <v>4697.6174568444303</v>
      </c>
      <c r="AP92" s="100">
        <v>4.2574708469843179</v>
      </c>
      <c r="AQ92" s="100">
        <v>3341.2631207132927</v>
      </c>
      <c r="AR92" s="100">
        <v>5.2899075273780154</v>
      </c>
      <c r="AS92" s="100">
        <v>4151.5194274862661</v>
      </c>
      <c r="AT92" s="100">
        <v>6.687620135749702</v>
      </c>
      <c r="AU92" s="100">
        <v>5248.4442825363658</v>
      </c>
      <c r="AV92" s="100">
        <v>6.268488182541426</v>
      </c>
      <c r="AW92" s="100">
        <v>4919.5095256585109</v>
      </c>
      <c r="AX92" s="100">
        <v>7</v>
      </c>
      <c r="AY92" s="100">
        <v>5493.5999999999995</v>
      </c>
      <c r="AZ92" s="100">
        <v>8.2516598255938121</v>
      </c>
      <c r="BA92" s="100">
        <v>6475.9026311260232</v>
      </c>
      <c r="BB92" s="100">
        <v>2.3702375110147749</v>
      </c>
      <c r="BC92" s="100">
        <v>1860.1623986443951</v>
      </c>
      <c r="BD92" s="100">
        <v>7.2284450684668524</v>
      </c>
      <c r="BE92" s="100">
        <v>5672.8836897327856</v>
      </c>
      <c r="BF92" s="100">
        <v>6.6123844092225177</v>
      </c>
      <c r="BG92" s="100">
        <v>5189.3992843578317</v>
      </c>
      <c r="BH92" s="100">
        <v>7</v>
      </c>
      <c r="BI92" s="100">
        <v>5493.5999999999995</v>
      </c>
      <c r="BJ92" s="100">
        <v>4.4026370536356243</v>
      </c>
      <c r="BK92" s="100">
        <v>3455.1895596932377</v>
      </c>
      <c r="BL92" s="100">
        <v>8</v>
      </c>
      <c r="BM92" s="100">
        <v>6278.4</v>
      </c>
      <c r="BN92" s="100">
        <v>6</v>
      </c>
      <c r="BO92" s="100">
        <v>4708.7999999999993</v>
      </c>
      <c r="BP92" s="100">
        <v>10.447185614028063</v>
      </c>
      <c r="BQ92" s="100">
        <v>8198.9512698892231</v>
      </c>
      <c r="BR92" s="100">
        <v>1.3407404102709837</v>
      </c>
      <c r="BS92" s="100">
        <v>1052.213073980668</v>
      </c>
      <c r="BT92" s="100">
        <v>8</v>
      </c>
      <c r="BU92" s="100">
        <v>6278.4</v>
      </c>
      <c r="BV92" s="100">
        <v>10</v>
      </c>
      <c r="BW92" s="100">
        <v>7848</v>
      </c>
      <c r="BX92" s="100">
        <v>5.6957631561655706</v>
      </c>
      <c r="BY92" s="100">
        <v>4470.0349249587398</v>
      </c>
      <c r="BZ92" s="100">
        <v>5.9562646332194396</v>
      </c>
      <c r="CA92" s="100">
        <v>4674.4764841506158</v>
      </c>
      <c r="CB92" s="100">
        <v>5.6238219560164939</v>
      </c>
      <c r="CC92" s="100">
        <v>4413.5754710817446</v>
      </c>
      <c r="CD92" s="100">
        <v>6.0793829524535843</v>
      </c>
      <c r="CE92" s="100">
        <v>4771.0997410855725</v>
      </c>
      <c r="CF92" s="100">
        <v>4.3968062565219856</v>
      </c>
      <c r="CG92" s="100">
        <v>3450.613550118454</v>
      </c>
      <c r="CH92" s="100">
        <v>7.0094012785133106</v>
      </c>
      <c r="CI92" s="100">
        <v>5500.9781233772455</v>
      </c>
      <c r="CJ92" s="100">
        <v>4.9018448130143764</v>
      </c>
      <c r="CK92" s="100">
        <v>3846.9678092536824</v>
      </c>
      <c r="CL92" s="100">
        <v>4.0778279759393978</v>
      </c>
      <c r="CM92" s="100">
        <v>3200.2793955172392</v>
      </c>
      <c r="CN92" s="100">
        <v>10</v>
      </c>
      <c r="CO92" s="100">
        <v>7848</v>
      </c>
      <c r="CP92" s="100">
        <v>1.8711600547348144</v>
      </c>
      <c r="CQ92" s="100">
        <v>1468.4864109558823</v>
      </c>
      <c r="CR92" s="100">
        <v>9.5078752452891031</v>
      </c>
      <c r="CS92" s="100">
        <v>7461.7804925028877</v>
      </c>
      <c r="CT92" s="100">
        <v>0</v>
      </c>
      <c r="CU92" s="100">
        <v>0</v>
      </c>
    </row>
    <row r="93" spans="2:99">
      <c r="C93" s="99" t="s">
        <v>259</v>
      </c>
      <c r="D93" s="100">
        <v>5</v>
      </c>
      <c r="E93" s="100">
        <v>3468</v>
      </c>
      <c r="F93" s="100">
        <v>7</v>
      </c>
      <c r="G93" s="100">
        <v>4855.2</v>
      </c>
      <c r="H93" s="100">
        <v>6.0033369038632651</v>
      </c>
      <c r="I93" s="100">
        <v>4163.9144765195606</v>
      </c>
      <c r="J93" s="100">
        <v>5</v>
      </c>
      <c r="K93" s="100">
        <v>3468</v>
      </c>
      <c r="L93" s="100">
        <v>9</v>
      </c>
      <c r="M93" s="100">
        <v>6242.4000000000005</v>
      </c>
      <c r="N93" s="100">
        <v>7</v>
      </c>
      <c r="O93" s="100">
        <v>4855.2</v>
      </c>
      <c r="P93" s="100">
        <v>3.5876337430591958</v>
      </c>
      <c r="Q93" s="100">
        <v>2488.3827641858584</v>
      </c>
      <c r="R93" s="100">
        <v>10</v>
      </c>
      <c r="S93" s="100">
        <v>6936</v>
      </c>
      <c r="T93" s="100">
        <v>7</v>
      </c>
      <c r="U93" s="100">
        <v>4855.2</v>
      </c>
      <c r="V93" s="100">
        <v>2.0542992587917537</v>
      </c>
      <c r="W93" s="100">
        <v>1424.8619658979603</v>
      </c>
      <c r="X93" s="100">
        <v>6</v>
      </c>
      <c r="Y93" s="100">
        <v>4161.6000000000004</v>
      </c>
      <c r="Z93" s="100">
        <v>9.0871675213151537</v>
      </c>
      <c r="AA93" s="100">
        <v>6302.8593927841912</v>
      </c>
      <c r="AB93" s="100">
        <v>6.330480212269876</v>
      </c>
      <c r="AC93" s="100">
        <v>4390.8210752303858</v>
      </c>
      <c r="AD93" s="100">
        <v>5.0661524603779871</v>
      </c>
      <c r="AE93" s="100">
        <v>3513.8833465181719</v>
      </c>
      <c r="AF93" s="100">
        <v>6.0725979268370072</v>
      </c>
      <c r="AG93" s="100">
        <v>4211.9539220541483</v>
      </c>
      <c r="AH93" s="100">
        <v>6.2648793810546435</v>
      </c>
      <c r="AI93" s="100">
        <v>4345.320338699501</v>
      </c>
      <c r="AJ93" s="100">
        <v>5.0141303577042793</v>
      </c>
      <c r="AK93" s="100">
        <v>3477.8008161036882</v>
      </c>
      <c r="AL93" s="100">
        <v>5.5295200634613391</v>
      </c>
      <c r="AM93" s="100">
        <v>3835.275116016785</v>
      </c>
      <c r="AN93" s="100">
        <v>6.7339699782746996</v>
      </c>
      <c r="AO93" s="100">
        <v>4670.6815769313316</v>
      </c>
      <c r="AP93" s="100">
        <v>4.2574708469843179</v>
      </c>
      <c r="AQ93" s="100">
        <v>2952.9817794683231</v>
      </c>
      <c r="AR93" s="100">
        <v>4.5342064520382976</v>
      </c>
      <c r="AS93" s="100">
        <v>3144.9255951337632</v>
      </c>
      <c r="AT93" s="100">
        <v>7.3563821493246726</v>
      </c>
      <c r="AU93" s="100">
        <v>5102.3866587715929</v>
      </c>
      <c r="AV93" s="100">
        <v>6.268488182541426</v>
      </c>
      <c r="AW93" s="100">
        <v>4347.8234034107336</v>
      </c>
      <c r="AX93" s="100">
        <v>7</v>
      </c>
      <c r="AY93" s="100">
        <v>4855.2</v>
      </c>
      <c r="AZ93" s="100">
        <v>8.2516598255938121</v>
      </c>
      <c r="BA93" s="100">
        <v>5723.3512550318683</v>
      </c>
      <c r="BB93" s="100">
        <v>2.17271771843021</v>
      </c>
      <c r="BC93" s="100">
        <v>1506.9970095031938</v>
      </c>
      <c r="BD93" s="100">
        <v>7.2284450684668524</v>
      </c>
      <c r="BE93" s="100">
        <v>5013.6494994886089</v>
      </c>
      <c r="BF93" s="100">
        <v>6.6123844092225177</v>
      </c>
      <c r="BG93" s="100">
        <v>4586.3498262367384</v>
      </c>
      <c r="BH93" s="100">
        <v>6</v>
      </c>
      <c r="BI93" s="100">
        <v>4161.6000000000004</v>
      </c>
      <c r="BJ93" s="100">
        <v>4.4026370536356243</v>
      </c>
      <c r="BK93" s="100">
        <v>3053.669060401669</v>
      </c>
      <c r="BL93" s="100">
        <v>7</v>
      </c>
      <c r="BM93" s="100">
        <v>4855.2</v>
      </c>
      <c r="BN93" s="100">
        <v>6</v>
      </c>
      <c r="BO93" s="100">
        <v>4161.6000000000004</v>
      </c>
      <c r="BP93" s="100">
        <v>10.447185614028063</v>
      </c>
      <c r="BQ93" s="100">
        <v>7246.1679418898648</v>
      </c>
      <c r="BR93" s="100">
        <v>1.3407404102709837</v>
      </c>
      <c r="BS93" s="100">
        <v>929.93754856395435</v>
      </c>
      <c r="BT93" s="100">
        <v>7</v>
      </c>
      <c r="BU93" s="100">
        <v>4855.2</v>
      </c>
      <c r="BV93" s="100">
        <v>11</v>
      </c>
      <c r="BW93" s="100">
        <v>7629.6</v>
      </c>
      <c r="BX93" s="100">
        <v>6.509443607046367</v>
      </c>
      <c r="BY93" s="100">
        <v>4514.9500858473602</v>
      </c>
      <c r="BZ93" s="100">
        <v>5.2117315540670095</v>
      </c>
      <c r="CA93" s="100">
        <v>3614.857005900878</v>
      </c>
      <c r="CB93" s="100">
        <v>4.9208442115144324</v>
      </c>
      <c r="CC93" s="100">
        <v>3413.0975451064105</v>
      </c>
      <c r="CD93" s="100">
        <v>6.7548699471706488</v>
      </c>
      <c r="CE93" s="100">
        <v>4685.177795357562</v>
      </c>
      <c r="CF93" s="100">
        <v>5.1296072992756505</v>
      </c>
      <c r="CG93" s="100">
        <v>3557.8956227775911</v>
      </c>
      <c r="CH93" s="100">
        <v>5.8411677320944255</v>
      </c>
      <c r="CI93" s="100">
        <v>4051.4339389806937</v>
      </c>
      <c r="CJ93" s="100">
        <v>4.9018448130143764</v>
      </c>
      <c r="CK93" s="100">
        <v>3399.9195623067717</v>
      </c>
      <c r="CL93" s="100">
        <v>4.0778279759393978</v>
      </c>
      <c r="CM93" s="100">
        <v>2828.3814841115664</v>
      </c>
      <c r="CN93" s="100">
        <v>9</v>
      </c>
      <c r="CO93" s="100">
        <v>6242.4000000000005</v>
      </c>
      <c r="CP93" s="100">
        <v>1.8711600547348144</v>
      </c>
      <c r="CQ93" s="100">
        <v>1297.8366139640673</v>
      </c>
      <c r="CR93" s="100">
        <v>8.6435229502628204</v>
      </c>
      <c r="CS93" s="100">
        <v>5995.1475183022922</v>
      </c>
      <c r="CT93" s="100">
        <v>0</v>
      </c>
      <c r="CU93" s="100">
        <v>0</v>
      </c>
    </row>
    <row r="94" spans="2:99">
      <c r="C94" s="99" t="s">
        <v>260</v>
      </c>
      <c r="D94" s="100">
        <v>5</v>
      </c>
      <c r="E94" s="100">
        <v>5964</v>
      </c>
      <c r="F94" s="100">
        <v>6</v>
      </c>
      <c r="G94" s="100">
        <v>7156.7999999999993</v>
      </c>
      <c r="H94" s="100">
        <v>6.0033369038632651</v>
      </c>
      <c r="I94" s="100">
        <v>7160.7802589281027</v>
      </c>
      <c r="J94" s="100">
        <v>5</v>
      </c>
      <c r="K94" s="100">
        <v>5964</v>
      </c>
      <c r="L94" s="100">
        <v>9</v>
      </c>
      <c r="M94" s="100">
        <v>10735.199999999999</v>
      </c>
      <c r="N94" s="100">
        <v>7</v>
      </c>
      <c r="O94" s="100">
        <v>8349.6</v>
      </c>
      <c r="P94" s="100">
        <v>3.5876337430591958</v>
      </c>
      <c r="Q94" s="100">
        <v>4279.3295287210085</v>
      </c>
      <c r="R94" s="100">
        <v>10</v>
      </c>
      <c r="S94" s="100">
        <v>11928</v>
      </c>
      <c r="T94" s="100">
        <v>6</v>
      </c>
      <c r="U94" s="100">
        <v>7156.7999999999993</v>
      </c>
      <c r="V94" s="100">
        <v>2.2597291846709289</v>
      </c>
      <c r="W94" s="100">
        <v>2695.4049714754838</v>
      </c>
      <c r="X94" s="100">
        <v>6</v>
      </c>
      <c r="Y94" s="100">
        <v>7156.7999999999993</v>
      </c>
      <c r="Z94" s="100">
        <v>7.4349552447123983</v>
      </c>
      <c r="AA94" s="100">
        <v>8868.4146158929489</v>
      </c>
      <c r="AB94" s="100">
        <v>6.330480212269876</v>
      </c>
      <c r="AC94" s="100">
        <v>7550.9967971955075</v>
      </c>
      <c r="AD94" s="100">
        <v>5.0661524603779871</v>
      </c>
      <c r="AE94" s="100">
        <v>6042.9066547388629</v>
      </c>
      <c r="AF94" s="100">
        <v>5.3978648238551168</v>
      </c>
      <c r="AG94" s="100">
        <v>6438.5731618943828</v>
      </c>
      <c r="AH94" s="100">
        <v>6.2648793810546435</v>
      </c>
      <c r="AI94" s="100">
        <v>7472.7481257219788</v>
      </c>
      <c r="AJ94" s="100">
        <v>5.0141303577042793</v>
      </c>
      <c r="AK94" s="100">
        <v>5980.8546906696638</v>
      </c>
      <c r="AL94" s="100">
        <v>4.6079333862177823</v>
      </c>
      <c r="AM94" s="100">
        <v>5496.3429430805709</v>
      </c>
      <c r="AN94" s="100">
        <v>5.9857510917997336</v>
      </c>
      <c r="AO94" s="100">
        <v>7139.8039022987223</v>
      </c>
      <c r="AP94" s="100">
        <v>4.2574708469843179</v>
      </c>
      <c r="AQ94" s="100">
        <v>5078.3112262828945</v>
      </c>
      <c r="AR94" s="100">
        <v>5.2899075273780154</v>
      </c>
      <c r="AS94" s="100">
        <v>6309.8016986564962</v>
      </c>
      <c r="AT94" s="100">
        <v>7.3563821493246726</v>
      </c>
      <c r="AU94" s="100">
        <v>8774.6926277144685</v>
      </c>
      <c r="AV94" s="100">
        <v>5.571989495592379</v>
      </c>
      <c r="AW94" s="100">
        <v>6646.2690703425897</v>
      </c>
      <c r="AX94" s="100">
        <v>7</v>
      </c>
      <c r="AY94" s="100">
        <v>8349.6</v>
      </c>
      <c r="AZ94" s="100">
        <v>8.2516598255938121</v>
      </c>
      <c r="BA94" s="100">
        <v>9842.579839968299</v>
      </c>
      <c r="BB94" s="100">
        <v>1.9751979258456458</v>
      </c>
      <c r="BC94" s="100">
        <v>2356.0160859486864</v>
      </c>
      <c r="BD94" s="100">
        <v>6.5713136986062288</v>
      </c>
      <c r="BE94" s="100">
        <v>7838.2629796975098</v>
      </c>
      <c r="BF94" s="100">
        <v>6.6123844092225177</v>
      </c>
      <c r="BG94" s="100">
        <v>7887.2521233206189</v>
      </c>
      <c r="BH94" s="100">
        <v>7</v>
      </c>
      <c r="BI94" s="100">
        <v>8349.6</v>
      </c>
      <c r="BJ94" s="100">
        <v>4.4026370536356243</v>
      </c>
      <c r="BK94" s="100">
        <v>5251.4654775765721</v>
      </c>
      <c r="BL94" s="100">
        <v>7</v>
      </c>
      <c r="BM94" s="100">
        <v>8349.6</v>
      </c>
      <c r="BN94" s="100">
        <v>5</v>
      </c>
      <c r="BO94" s="100">
        <v>5964</v>
      </c>
      <c r="BP94" s="100">
        <v>10.447185614028063</v>
      </c>
      <c r="BQ94" s="100">
        <v>12461.403000412673</v>
      </c>
      <c r="BR94" s="100">
        <v>1.3407404102709837</v>
      </c>
      <c r="BS94" s="100">
        <v>1599.2351613712292</v>
      </c>
      <c r="BT94" s="100">
        <v>7</v>
      </c>
      <c r="BU94" s="100">
        <v>8349.6</v>
      </c>
      <c r="BV94" s="100">
        <v>11</v>
      </c>
      <c r="BW94" s="100">
        <v>13120.8</v>
      </c>
      <c r="BX94" s="100">
        <v>5.6957631561655706</v>
      </c>
      <c r="BY94" s="100">
        <v>6793.9062926742927</v>
      </c>
      <c r="BZ94" s="100">
        <v>5.9562646332194396</v>
      </c>
      <c r="CA94" s="100">
        <v>7104.6324545041471</v>
      </c>
      <c r="CB94" s="100">
        <v>4.9208442115144324</v>
      </c>
      <c r="CC94" s="100">
        <v>5869.5829754944143</v>
      </c>
      <c r="CD94" s="100">
        <v>7.4303569418877133</v>
      </c>
      <c r="CE94" s="100">
        <v>8862.929760283665</v>
      </c>
      <c r="CF94" s="100">
        <v>5.1296072992756505</v>
      </c>
      <c r="CG94" s="100">
        <v>6118.5955865759961</v>
      </c>
      <c r="CH94" s="100">
        <v>5.8411677320944255</v>
      </c>
      <c r="CI94" s="100">
        <v>6967.3448708422302</v>
      </c>
      <c r="CJ94" s="100">
        <v>5.7188189485167724</v>
      </c>
      <c r="CK94" s="100">
        <v>6821.4072417908055</v>
      </c>
      <c r="CL94" s="100">
        <v>3.670045178345458</v>
      </c>
      <c r="CM94" s="100">
        <v>4377.629888730462</v>
      </c>
      <c r="CN94" s="100">
        <v>10</v>
      </c>
      <c r="CO94" s="100">
        <v>11928</v>
      </c>
      <c r="CP94" s="100">
        <v>1.6038514754869839</v>
      </c>
      <c r="CQ94" s="100">
        <v>1913.0740399608744</v>
      </c>
      <c r="CR94" s="100">
        <v>10.372227540315386</v>
      </c>
      <c r="CS94" s="100">
        <v>12371.993010088192</v>
      </c>
      <c r="CT94" s="100">
        <v>0</v>
      </c>
      <c r="CU94" s="100">
        <v>0</v>
      </c>
    </row>
    <row r="95" spans="2:99">
      <c r="B95" s="99" t="s">
        <v>132</v>
      </c>
      <c r="C95" s="99" t="s">
        <v>261</v>
      </c>
      <c r="D95" s="100">
        <v>10</v>
      </c>
      <c r="E95" s="100">
        <v>3288</v>
      </c>
      <c r="F95" s="100">
        <v>7</v>
      </c>
      <c r="G95" s="100">
        <v>2301.6</v>
      </c>
      <c r="H95" s="100">
        <v>6.0033369038632651</v>
      </c>
      <c r="I95" s="100">
        <v>1973.8971739902418</v>
      </c>
      <c r="J95" s="100">
        <v>12</v>
      </c>
      <c r="K95" s="100">
        <v>3945.6000000000004</v>
      </c>
      <c r="L95" s="100">
        <v>9</v>
      </c>
      <c r="M95" s="100">
        <v>2959.2000000000003</v>
      </c>
      <c r="N95" s="100">
        <v>10</v>
      </c>
      <c r="O95" s="100">
        <v>3288</v>
      </c>
      <c r="P95" s="100">
        <v>4.7835116574122614</v>
      </c>
      <c r="Q95" s="100">
        <v>1572.8186329571515</v>
      </c>
      <c r="R95" s="100">
        <v>9</v>
      </c>
      <c r="S95" s="100">
        <v>2959.2000000000003</v>
      </c>
      <c r="T95" s="100">
        <v>11</v>
      </c>
      <c r="U95" s="100">
        <v>3616.8</v>
      </c>
      <c r="V95" s="100">
        <v>2.0542992587917537</v>
      </c>
      <c r="W95" s="100">
        <v>675.45359629072868</v>
      </c>
      <c r="X95" s="100">
        <v>12</v>
      </c>
      <c r="Y95" s="100">
        <v>3945.6000000000004</v>
      </c>
      <c r="Z95" s="100">
        <v>8.2610613830137751</v>
      </c>
      <c r="AA95" s="100">
        <v>2716.2369827349294</v>
      </c>
      <c r="AB95" s="100">
        <v>7.9131002653373441</v>
      </c>
      <c r="AC95" s="100">
        <v>2601.8273672429186</v>
      </c>
      <c r="AD95" s="100">
        <v>8.4435874339633106</v>
      </c>
      <c r="AE95" s="100">
        <v>2776.2515482871368</v>
      </c>
      <c r="AF95" s="100">
        <v>8.0967972357826756</v>
      </c>
      <c r="AG95" s="100">
        <v>2662.226931125344</v>
      </c>
      <c r="AH95" s="100">
        <v>8.6142091489501347</v>
      </c>
      <c r="AI95" s="100">
        <v>2832.3519681748044</v>
      </c>
      <c r="AJ95" s="100">
        <v>10.028260715408559</v>
      </c>
      <c r="AK95" s="100">
        <v>3297.2921232263343</v>
      </c>
      <c r="AL95" s="100">
        <v>7.3726934179484527</v>
      </c>
      <c r="AM95" s="100">
        <v>2424.1415958214511</v>
      </c>
      <c r="AN95" s="100">
        <v>8.2304077512246341</v>
      </c>
      <c r="AO95" s="100">
        <v>2706.1580686026596</v>
      </c>
      <c r="AP95" s="100">
        <v>9.2245201684660216</v>
      </c>
      <c r="AQ95" s="100">
        <v>3033.0222313916279</v>
      </c>
      <c r="AR95" s="100">
        <v>9.0684129040765953</v>
      </c>
      <c r="AS95" s="100">
        <v>2981.6941628603845</v>
      </c>
      <c r="AT95" s="100">
        <v>8.0251441628996432</v>
      </c>
      <c r="AU95" s="100">
        <v>2638.6674007614029</v>
      </c>
      <c r="AV95" s="100">
        <v>7.661485556439521</v>
      </c>
      <c r="AW95" s="100">
        <v>2519.0964509573146</v>
      </c>
      <c r="AX95" s="100">
        <v>7</v>
      </c>
      <c r="AY95" s="100">
        <v>2301.6</v>
      </c>
      <c r="AZ95" s="100">
        <v>7.3348087338611663</v>
      </c>
      <c r="BA95" s="100">
        <v>2411.6851116935513</v>
      </c>
      <c r="BB95" s="100">
        <v>1.5801583406765165</v>
      </c>
      <c r="BC95" s="100">
        <v>519.55606241443866</v>
      </c>
      <c r="BD95" s="100">
        <v>8.5427078081880978</v>
      </c>
      <c r="BE95" s="100">
        <v>2808.8423273322464</v>
      </c>
      <c r="BF95" s="100">
        <v>8.501637097571809</v>
      </c>
      <c r="BG95" s="100">
        <v>2795.3382776816111</v>
      </c>
      <c r="BH95" s="100">
        <v>8</v>
      </c>
      <c r="BI95" s="100">
        <v>2630.4</v>
      </c>
      <c r="BJ95" s="100">
        <v>8.8052741072712486</v>
      </c>
      <c r="BK95" s="100">
        <v>2895.1741264707866</v>
      </c>
      <c r="BL95" s="100">
        <v>7</v>
      </c>
      <c r="BM95" s="100">
        <v>2301.6</v>
      </c>
      <c r="BN95" s="100">
        <v>11</v>
      </c>
      <c r="BO95" s="100">
        <v>3616.8</v>
      </c>
      <c r="BP95" s="100">
        <v>11.396929760757889</v>
      </c>
      <c r="BQ95" s="100">
        <v>3747.3105053371942</v>
      </c>
      <c r="BR95" s="100">
        <v>2.298412131893115</v>
      </c>
      <c r="BS95" s="100">
        <v>755.71790896645621</v>
      </c>
      <c r="BT95" s="100">
        <v>9</v>
      </c>
      <c r="BU95" s="100">
        <v>2959.2000000000003</v>
      </c>
      <c r="BV95" s="100">
        <v>11</v>
      </c>
      <c r="BW95" s="100">
        <v>3616.8</v>
      </c>
      <c r="BX95" s="100">
        <v>10.577845861450347</v>
      </c>
      <c r="BY95" s="100">
        <v>3477.9957192448742</v>
      </c>
      <c r="BZ95" s="100">
        <v>8.9343969498291589</v>
      </c>
      <c r="CA95" s="100">
        <v>2937.6297171038277</v>
      </c>
      <c r="CB95" s="100">
        <v>6.3267997005185554</v>
      </c>
      <c r="CC95" s="100">
        <v>2080.251741530501</v>
      </c>
      <c r="CD95" s="100">
        <v>6.0793829524535843</v>
      </c>
      <c r="CE95" s="100">
        <v>1998.9011147667386</v>
      </c>
      <c r="CF95" s="100">
        <v>5.8624083420293145</v>
      </c>
      <c r="CG95" s="100">
        <v>1927.5598628592386</v>
      </c>
      <c r="CH95" s="100">
        <v>5.2570509588849834</v>
      </c>
      <c r="CI95" s="100">
        <v>1728.5183552813826</v>
      </c>
      <c r="CJ95" s="100">
        <v>9.8036896260287527</v>
      </c>
      <c r="CK95" s="100">
        <v>3223.4531490382542</v>
      </c>
      <c r="CL95" s="100">
        <v>3.2622623807515185</v>
      </c>
      <c r="CM95" s="100">
        <v>1072.6318707910993</v>
      </c>
      <c r="CN95" s="100">
        <v>9</v>
      </c>
      <c r="CO95" s="100">
        <v>2959.2000000000003</v>
      </c>
      <c r="CP95" s="100">
        <v>2.1384686339826451</v>
      </c>
      <c r="CQ95" s="100">
        <v>703.12848685349377</v>
      </c>
      <c r="CR95" s="100">
        <v>8.6435229502628204</v>
      </c>
      <c r="CS95" s="100">
        <v>2841.9903460464157</v>
      </c>
      <c r="CT95" s="100">
        <v>0</v>
      </c>
      <c r="CU95" s="100">
        <v>0</v>
      </c>
    </row>
    <row r="96" spans="2:99">
      <c r="C96" s="99" t="s">
        <v>262</v>
      </c>
      <c r="D96" s="100">
        <v>9</v>
      </c>
      <c r="E96" s="100">
        <v>6253.2</v>
      </c>
      <c r="F96" s="100">
        <v>7</v>
      </c>
      <c r="G96" s="100">
        <v>4863.5999999999995</v>
      </c>
      <c r="H96" s="100">
        <v>6.0033369038632651</v>
      </c>
      <c r="I96" s="100">
        <v>4171.1184808041962</v>
      </c>
      <c r="J96" s="100">
        <v>10</v>
      </c>
      <c r="K96" s="100">
        <v>6948</v>
      </c>
      <c r="L96" s="100">
        <v>9</v>
      </c>
      <c r="M96" s="100">
        <v>6253.2</v>
      </c>
      <c r="N96" s="100">
        <v>11</v>
      </c>
      <c r="O96" s="100">
        <v>7642.7999999999993</v>
      </c>
      <c r="P96" s="100">
        <v>4.7835116574122614</v>
      </c>
      <c r="Q96" s="100">
        <v>3323.5838995700392</v>
      </c>
      <c r="R96" s="100">
        <v>9</v>
      </c>
      <c r="S96" s="100">
        <v>6253.2</v>
      </c>
      <c r="T96" s="100">
        <v>9</v>
      </c>
      <c r="U96" s="100">
        <v>6253.2</v>
      </c>
      <c r="V96" s="100">
        <v>2.0542992587917537</v>
      </c>
      <c r="W96" s="100">
        <v>1427.3271250085104</v>
      </c>
      <c r="X96" s="100">
        <v>11</v>
      </c>
      <c r="Y96" s="100">
        <v>7642.7999999999993</v>
      </c>
      <c r="Z96" s="100">
        <v>8.2610613830137751</v>
      </c>
      <c r="AA96" s="100">
        <v>5739.7854489179708</v>
      </c>
      <c r="AB96" s="100">
        <v>7.1217902388036096</v>
      </c>
      <c r="AC96" s="100">
        <v>4948.2198579207479</v>
      </c>
      <c r="AD96" s="100">
        <v>8.4435874339633106</v>
      </c>
      <c r="AE96" s="100">
        <v>5866.6045491177074</v>
      </c>
      <c r="AF96" s="100">
        <v>9.4462634417464546</v>
      </c>
      <c r="AG96" s="100">
        <v>6563.2638393254365</v>
      </c>
      <c r="AH96" s="100">
        <v>8.6142091489501347</v>
      </c>
      <c r="AI96" s="100">
        <v>5985.1525166905531</v>
      </c>
      <c r="AJ96" s="100">
        <v>8.5956520417787647</v>
      </c>
      <c r="AK96" s="100">
        <v>5972.2590386278853</v>
      </c>
      <c r="AL96" s="100">
        <v>8.2942800951920095</v>
      </c>
      <c r="AM96" s="100">
        <v>5762.8658101394076</v>
      </c>
      <c r="AN96" s="100">
        <v>8.2304077512246341</v>
      </c>
      <c r="AO96" s="100">
        <v>5718.4873055508751</v>
      </c>
      <c r="AP96" s="100">
        <v>9.2245201684660216</v>
      </c>
      <c r="AQ96" s="100">
        <v>6409.1966130501914</v>
      </c>
      <c r="AR96" s="100">
        <v>8.3127118287368802</v>
      </c>
      <c r="AS96" s="100">
        <v>5775.6721786063836</v>
      </c>
      <c r="AT96" s="100">
        <v>7.3563821493246726</v>
      </c>
      <c r="AU96" s="100">
        <v>5111.214317350782</v>
      </c>
      <c r="AV96" s="100">
        <v>8.357984243388568</v>
      </c>
      <c r="AW96" s="100">
        <v>5807.1274523063767</v>
      </c>
      <c r="AX96" s="100">
        <v>8</v>
      </c>
      <c r="AY96" s="100">
        <v>5558.4</v>
      </c>
      <c r="AZ96" s="100">
        <v>7.3348087338611663</v>
      </c>
      <c r="BA96" s="100">
        <v>5096.2251082867378</v>
      </c>
      <c r="BB96" s="100">
        <v>1.5801583406765165</v>
      </c>
      <c r="BC96" s="100">
        <v>1097.8940151020436</v>
      </c>
      <c r="BD96" s="100">
        <v>8.5427078081880978</v>
      </c>
      <c r="BE96" s="100">
        <v>5935.4733851290903</v>
      </c>
      <c r="BF96" s="100">
        <v>8.501637097571809</v>
      </c>
      <c r="BG96" s="100">
        <v>5906.9374553928928</v>
      </c>
      <c r="BH96" s="100">
        <v>8</v>
      </c>
      <c r="BI96" s="100">
        <v>5558.4</v>
      </c>
      <c r="BJ96" s="100">
        <v>8.0715012649986448</v>
      </c>
      <c r="BK96" s="100">
        <v>5608.0790789210578</v>
      </c>
      <c r="BL96" s="100">
        <v>6</v>
      </c>
      <c r="BM96" s="100">
        <v>4168.7999999999993</v>
      </c>
      <c r="BN96" s="100">
        <v>11</v>
      </c>
      <c r="BO96" s="100">
        <v>7642.7999999999993</v>
      </c>
      <c r="BP96" s="100">
        <v>11.396929760757889</v>
      </c>
      <c r="BQ96" s="100">
        <v>7918.5867977745802</v>
      </c>
      <c r="BR96" s="100">
        <v>2.298412131893115</v>
      </c>
      <c r="BS96" s="100">
        <v>1596.9367492393362</v>
      </c>
      <c r="BT96" s="100">
        <v>8</v>
      </c>
      <c r="BU96" s="100">
        <v>5558.4</v>
      </c>
      <c r="BV96" s="100">
        <v>12</v>
      </c>
      <c r="BW96" s="100">
        <v>8337.5999999999985</v>
      </c>
      <c r="BX96" s="100">
        <v>10.577845861450347</v>
      </c>
      <c r="BY96" s="100">
        <v>7349.4873045357008</v>
      </c>
      <c r="BZ96" s="100">
        <v>8.9343969498291589</v>
      </c>
      <c r="CA96" s="100">
        <v>6207.6190007412988</v>
      </c>
      <c r="CB96" s="100">
        <v>7.029777445020617</v>
      </c>
      <c r="CC96" s="100">
        <v>4884.2893688003242</v>
      </c>
      <c r="CD96" s="100">
        <v>5.4038959577365189</v>
      </c>
      <c r="CE96" s="100">
        <v>3754.6269114353331</v>
      </c>
      <c r="CF96" s="100">
        <v>5.8624083420293145</v>
      </c>
      <c r="CG96" s="100">
        <v>4073.2013160419674</v>
      </c>
      <c r="CH96" s="100">
        <v>5.8411677320944255</v>
      </c>
      <c r="CI96" s="100">
        <v>4058.4433402592067</v>
      </c>
      <c r="CJ96" s="100">
        <v>8.9867154905263575</v>
      </c>
      <c r="CK96" s="100">
        <v>6243.9699228177124</v>
      </c>
      <c r="CL96" s="100">
        <v>3.670045178345458</v>
      </c>
      <c r="CM96" s="100">
        <v>2549.9473899144241</v>
      </c>
      <c r="CN96" s="100">
        <v>8</v>
      </c>
      <c r="CO96" s="100">
        <v>5558.4</v>
      </c>
      <c r="CP96" s="100">
        <v>2.1384686339826451</v>
      </c>
      <c r="CQ96" s="100">
        <v>1485.8080068911418</v>
      </c>
      <c r="CR96" s="100">
        <v>9.5078752452891031</v>
      </c>
      <c r="CS96" s="100">
        <v>6606.0717204268685</v>
      </c>
      <c r="CT96" s="100">
        <v>0</v>
      </c>
      <c r="CU96" s="100">
        <v>0</v>
      </c>
    </row>
    <row r="97" spans="2:99">
      <c r="C97" s="99" t="s">
        <v>263</v>
      </c>
      <c r="D97" s="100">
        <v>8</v>
      </c>
      <c r="E97" s="100">
        <v>3139.2</v>
      </c>
      <c r="F97" s="100">
        <v>8</v>
      </c>
      <c r="G97" s="100">
        <v>3139.2</v>
      </c>
      <c r="H97" s="100">
        <v>6.0033369038632651</v>
      </c>
      <c r="I97" s="100">
        <v>2355.7094010759452</v>
      </c>
      <c r="J97" s="100">
        <v>11</v>
      </c>
      <c r="K97" s="100">
        <v>4316.3999999999996</v>
      </c>
      <c r="L97" s="100">
        <v>10</v>
      </c>
      <c r="M97" s="100">
        <v>3924</v>
      </c>
      <c r="N97" s="100">
        <v>10</v>
      </c>
      <c r="O97" s="100">
        <v>3924</v>
      </c>
      <c r="P97" s="100">
        <v>4.7835116574122614</v>
      </c>
      <c r="Q97" s="100">
        <v>1877.0499743685712</v>
      </c>
      <c r="R97" s="100">
        <v>9</v>
      </c>
      <c r="S97" s="100">
        <v>3531.6</v>
      </c>
      <c r="T97" s="100">
        <v>10</v>
      </c>
      <c r="U97" s="100">
        <v>3924</v>
      </c>
      <c r="V97" s="100">
        <v>1.8488693329125783</v>
      </c>
      <c r="W97" s="100">
        <v>725.49632623489572</v>
      </c>
      <c r="X97" s="100">
        <v>10</v>
      </c>
      <c r="Y97" s="100">
        <v>3924</v>
      </c>
      <c r="Z97" s="100">
        <v>7.4349552447123983</v>
      </c>
      <c r="AA97" s="100">
        <v>2917.4764380251449</v>
      </c>
      <c r="AB97" s="100">
        <v>7.9131002653373441</v>
      </c>
      <c r="AC97" s="100">
        <v>3105.1005441183738</v>
      </c>
      <c r="AD97" s="100">
        <v>8.4435874339633106</v>
      </c>
      <c r="AE97" s="100">
        <v>3313.2637090872031</v>
      </c>
      <c r="AF97" s="100">
        <v>8.0967972357826756</v>
      </c>
      <c r="AG97" s="100">
        <v>3177.1832353211216</v>
      </c>
      <c r="AH97" s="100">
        <v>7.8310992263183037</v>
      </c>
      <c r="AI97" s="100">
        <v>3072.923336407302</v>
      </c>
      <c r="AJ97" s="100">
        <v>8.5956520417787647</v>
      </c>
      <c r="AK97" s="100">
        <v>3372.933861193987</v>
      </c>
      <c r="AL97" s="100">
        <v>9.2158667724355645</v>
      </c>
      <c r="AM97" s="100">
        <v>3616.3061215037155</v>
      </c>
      <c r="AN97" s="100">
        <v>8.2304077512246341</v>
      </c>
      <c r="AO97" s="100">
        <v>3229.6120015805463</v>
      </c>
      <c r="AP97" s="100">
        <v>9.9340986429634093</v>
      </c>
      <c r="AQ97" s="100">
        <v>3898.1403074988416</v>
      </c>
      <c r="AR97" s="100">
        <v>9.0684129040765953</v>
      </c>
      <c r="AS97" s="100">
        <v>3558.4452235596559</v>
      </c>
      <c r="AT97" s="100">
        <v>8.0251441628996432</v>
      </c>
      <c r="AU97" s="100">
        <v>3149.0665695218199</v>
      </c>
      <c r="AV97" s="100">
        <v>9.0544829303376151</v>
      </c>
      <c r="AW97" s="100">
        <v>3552.9791018644801</v>
      </c>
      <c r="AX97" s="100">
        <v>8</v>
      </c>
      <c r="AY97" s="100">
        <v>3139.2</v>
      </c>
      <c r="AZ97" s="100">
        <v>7.3348087338611663</v>
      </c>
      <c r="BA97" s="100">
        <v>2878.1789471671214</v>
      </c>
      <c r="BB97" s="100">
        <v>1.7776781332610812</v>
      </c>
      <c r="BC97" s="100">
        <v>697.56089949164823</v>
      </c>
      <c r="BD97" s="100">
        <v>7.8855764383274751</v>
      </c>
      <c r="BE97" s="100">
        <v>3094.300194399701</v>
      </c>
      <c r="BF97" s="100">
        <v>8.501637097571809</v>
      </c>
      <c r="BG97" s="100">
        <v>3336.0423970871775</v>
      </c>
      <c r="BH97" s="100">
        <v>8</v>
      </c>
      <c r="BI97" s="100">
        <v>3139.2</v>
      </c>
      <c r="BJ97" s="100">
        <v>8.0715012649986448</v>
      </c>
      <c r="BK97" s="100">
        <v>3167.2570963854682</v>
      </c>
      <c r="BL97" s="100">
        <v>7</v>
      </c>
      <c r="BM97" s="100">
        <v>2746.7999999999997</v>
      </c>
      <c r="BN97" s="100">
        <v>10</v>
      </c>
      <c r="BO97" s="100">
        <v>3924</v>
      </c>
      <c r="BP97" s="100">
        <v>12.346673907487713</v>
      </c>
      <c r="BQ97" s="100">
        <v>4844.8348412981777</v>
      </c>
      <c r="BR97" s="100">
        <v>2.298412131893115</v>
      </c>
      <c r="BS97" s="100">
        <v>901.8969205548583</v>
      </c>
      <c r="BT97" s="100">
        <v>9</v>
      </c>
      <c r="BU97" s="100">
        <v>3531.6</v>
      </c>
      <c r="BV97" s="100">
        <v>11</v>
      </c>
      <c r="BW97" s="100">
        <v>4316.3999999999996</v>
      </c>
      <c r="BX97" s="100">
        <v>10.577845861450347</v>
      </c>
      <c r="BY97" s="100">
        <v>4150.7467160331162</v>
      </c>
      <c r="BZ97" s="100">
        <v>8.9343969498291589</v>
      </c>
      <c r="CA97" s="100">
        <v>3505.8573631129616</v>
      </c>
      <c r="CB97" s="100">
        <v>7.029777445020617</v>
      </c>
      <c r="CC97" s="100">
        <v>2758.48466942609</v>
      </c>
      <c r="CD97" s="100">
        <v>5.4038959577365189</v>
      </c>
      <c r="CE97" s="100">
        <v>2120.48877381581</v>
      </c>
      <c r="CF97" s="100">
        <v>5.8624083420293145</v>
      </c>
      <c r="CG97" s="100">
        <v>2300.409033412303</v>
      </c>
      <c r="CH97" s="100">
        <v>5.8411677320944255</v>
      </c>
      <c r="CI97" s="100">
        <v>2292.0742180738525</v>
      </c>
      <c r="CJ97" s="100">
        <v>9.8036896260287527</v>
      </c>
      <c r="CK97" s="100">
        <v>3846.9678092536824</v>
      </c>
      <c r="CL97" s="100">
        <v>3.2622623807515185</v>
      </c>
      <c r="CM97" s="100">
        <v>1280.1117582068957</v>
      </c>
      <c r="CN97" s="100">
        <v>9</v>
      </c>
      <c r="CO97" s="100">
        <v>3531.6</v>
      </c>
      <c r="CP97" s="100">
        <v>2.1384686339826451</v>
      </c>
      <c r="CQ97" s="100">
        <v>839.13509197478993</v>
      </c>
      <c r="CR97" s="100">
        <v>9.5078752452891031</v>
      </c>
      <c r="CS97" s="100">
        <v>3730.8902462514438</v>
      </c>
      <c r="CT97" s="100">
        <v>0</v>
      </c>
      <c r="CU97" s="100">
        <v>0</v>
      </c>
    </row>
    <row r="98" spans="2:99">
      <c r="C98" s="99" t="s">
        <v>264</v>
      </c>
      <c r="D98" s="100">
        <v>8</v>
      </c>
      <c r="E98" s="100">
        <v>4204.8</v>
      </c>
      <c r="F98" s="100">
        <v>7</v>
      </c>
      <c r="G98" s="100">
        <v>3679.2000000000003</v>
      </c>
      <c r="H98" s="100">
        <v>6.8609564615580174</v>
      </c>
      <c r="I98" s="100">
        <v>3606.1187161948942</v>
      </c>
      <c r="J98" s="100">
        <v>11</v>
      </c>
      <c r="K98" s="100">
        <v>5781.6</v>
      </c>
      <c r="L98" s="100">
        <v>9</v>
      </c>
      <c r="M98" s="100">
        <v>4730.4000000000005</v>
      </c>
      <c r="N98" s="100">
        <v>10</v>
      </c>
      <c r="O98" s="100">
        <v>5256</v>
      </c>
      <c r="P98" s="100">
        <v>5.3814506145887933</v>
      </c>
      <c r="Q98" s="100">
        <v>2828.4904430278698</v>
      </c>
      <c r="R98" s="100">
        <v>8</v>
      </c>
      <c r="S98" s="100">
        <v>4204.8</v>
      </c>
      <c r="T98" s="100">
        <v>10</v>
      </c>
      <c r="U98" s="100">
        <v>5256</v>
      </c>
      <c r="V98" s="100">
        <v>1.8488693329125783</v>
      </c>
      <c r="W98" s="100">
        <v>971.76572137885114</v>
      </c>
      <c r="X98" s="100">
        <v>10</v>
      </c>
      <c r="Y98" s="100">
        <v>5256</v>
      </c>
      <c r="Z98" s="100">
        <v>9.0871675213151537</v>
      </c>
      <c r="AA98" s="100">
        <v>4776.2152492032446</v>
      </c>
      <c r="AB98" s="100">
        <v>7.1217902388036096</v>
      </c>
      <c r="AC98" s="100">
        <v>3743.2129495151776</v>
      </c>
      <c r="AD98" s="100">
        <v>9.2879461773596415</v>
      </c>
      <c r="AE98" s="100">
        <v>4881.7445108202273</v>
      </c>
      <c r="AF98" s="100">
        <v>8.0967972357826756</v>
      </c>
      <c r="AG98" s="100">
        <v>4255.6766271273746</v>
      </c>
      <c r="AH98" s="100">
        <v>7.8310992263183037</v>
      </c>
      <c r="AI98" s="100">
        <v>4116.0257533529002</v>
      </c>
      <c r="AJ98" s="100">
        <v>8.5956520417787647</v>
      </c>
      <c r="AK98" s="100">
        <v>4517.8747131589189</v>
      </c>
      <c r="AL98" s="100">
        <v>8.2942800951920095</v>
      </c>
      <c r="AM98" s="100">
        <v>4359.4736180329201</v>
      </c>
      <c r="AN98" s="100">
        <v>8.9786266376996</v>
      </c>
      <c r="AO98" s="100">
        <v>4719.1661607749102</v>
      </c>
      <c r="AP98" s="100">
        <v>9.9340986429634093</v>
      </c>
      <c r="AQ98" s="100">
        <v>5221.362246741568</v>
      </c>
      <c r="AR98" s="100">
        <v>8.3127118287368802</v>
      </c>
      <c r="AS98" s="100">
        <v>4369.161337184104</v>
      </c>
      <c r="AT98" s="100">
        <v>8.0251441628996432</v>
      </c>
      <c r="AU98" s="100">
        <v>4218.0157720200523</v>
      </c>
      <c r="AV98" s="100">
        <v>8.357984243388568</v>
      </c>
      <c r="AW98" s="100">
        <v>4392.9565183250315</v>
      </c>
      <c r="AX98" s="100">
        <v>7</v>
      </c>
      <c r="AY98" s="100">
        <v>3679.2000000000003</v>
      </c>
      <c r="AZ98" s="100">
        <v>6.4179576421285205</v>
      </c>
      <c r="BA98" s="100">
        <v>3373.2785367027504</v>
      </c>
      <c r="BB98" s="100">
        <v>1.5801583406765165</v>
      </c>
      <c r="BC98" s="100">
        <v>830.53122385957715</v>
      </c>
      <c r="BD98" s="100">
        <v>7.8855764383274751</v>
      </c>
      <c r="BE98" s="100">
        <v>4144.6589759849212</v>
      </c>
      <c r="BF98" s="100">
        <v>7.5570107533971642</v>
      </c>
      <c r="BG98" s="100">
        <v>3971.9648519855496</v>
      </c>
      <c r="BH98" s="100">
        <v>9</v>
      </c>
      <c r="BI98" s="100">
        <v>4730.4000000000005</v>
      </c>
      <c r="BJ98" s="100">
        <v>8.0715012649986448</v>
      </c>
      <c r="BK98" s="100">
        <v>4242.3810648832878</v>
      </c>
      <c r="BL98" s="100">
        <v>7</v>
      </c>
      <c r="BM98" s="100">
        <v>3679.2000000000003</v>
      </c>
      <c r="BN98" s="100">
        <v>11</v>
      </c>
      <c r="BO98" s="100">
        <v>5781.6</v>
      </c>
      <c r="BP98" s="100">
        <v>12.346673907487713</v>
      </c>
      <c r="BQ98" s="100">
        <v>6489.4118057755422</v>
      </c>
      <c r="BR98" s="100">
        <v>2.4899464762175416</v>
      </c>
      <c r="BS98" s="100">
        <v>1308.7158678999399</v>
      </c>
      <c r="BT98" s="100">
        <v>9</v>
      </c>
      <c r="BU98" s="100">
        <v>4730.4000000000005</v>
      </c>
      <c r="BV98" s="100">
        <v>10</v>
      </c>
      <c r="BW98" s="100">
        <v>5256</v>
      </c>
      <c r="BX98" s="100">
        <v>10.577845861450347</v>
      </c>
      <c r="BY98" s="100">
        <v>5559.7157847783028</v>
      </c>
      <c r="BZ98" s="100">
        <v>7.4453307915242997</v>
      </c>
      <c r="CA98" s="100">
        <v>3913.265864025172</v>
      </c>
      <c r="CB98" s="100">
        <v>5.6238219560164939</v>
      </c>
      <c r="CC98" s="100">
        <v>2955.8808200822691</v>
      </c>
      <c r="CD98" s="100">
        <v>5.4038959577365189</v>
      </c>
      <c r="CE98" s="100">
        <v>2840.2877153863146</v>
      </c>
      <c r="CF98" s="100">
        <v>5.8624083420293145</v>
      </c>
      <c r="CG98" s="100">
        <v>3081.281824570608</v>
      </c>
      <c r="CH98" s="100">
        <v>4.6729341856755404</v>
      </c>
      <c r="CI98" s="100">
        <v>2456.0942079910642</v>
      </c>
      <c r="CJ98" s="100">
        <v>8.9867154905263575</v>
      </c>
      <c r="CK98" s="100">
        <v>4723.4176618206538</v>
      </c>
      <c r="CL98" s="100">
        <v>3.670045178345458</v>
      </c>
      <c r="CM98" s="100">
        <v>1928.9757457383728</v>
      </c>
      <c r="CN98" s="100">
        <v>9</v>
      </c>
      <c r="CO98" s="100">
        <v>4730.4000000000005</v>
      </c>
      <c r="CP98" s="100">
        <v>2.1384686339826451</v>
      </c>
      <c r="CQ98" s="100">
        <v>1123.9791140212783</v>
      </c>
      <c r="CR98" s="100">
        <v>8.6435229502628204</v>
      </c>
      <c r="CS98" s="100">
        <v>4543.0356626581388</v>
      </c>
      <c r="CT98" s="100">
        <v>0</v>
      </c>
      <c r="CU98" s="100">
        <v>0</v>
      </c>
    </row>
    <row r="99" spans="2:99">
      <c r="C99" s="99" t="s">
        <v>265</v>
      </c>
      <c r="D99" s="100">
        <v>8</v>
      </c>
      <c r="E99" s="100">
        <v>33667.199999999997</v>
      </c>
      <c r="F99" s="100">
        <v>7</v>
      </c>
      <c r="G99" s="100">
        <v>29458.799999999996</v>
      </c>
      <c r="H99" s="100">
        <v>5.1457173461685128</v>
      </c>
      <c r="I99" s="100">
        <v>21655.236879615568</v>
      </c>
      <c r="J99" s="100">
        <v>8</v>
      </c>
      <c r="K99" s="100">
        <v>33667.199999999997</v>
      </c>
      <c r="L99" s="100">
        <v>8</v>
      </c>
      <c r="M99" s="100">
        <v>33667.199999999997</v>
      </c>
      <c r="N99" s="100">
        <v>9</v>
      </c>
      <c r="O99" s="100">
        <v>37875.599999999999</v>
      </c>
      <c r="P99" s="100">
        <v>4.1855727002357286</v>
      </c>
      <c r="Q99" s="100">
        <v>17614.564151672039</v>
      </c>
      <c r="R99" s="100">
        <v>8</v>
      </c>
      <c r="S99" s="100">
        <v>33667.199999999997</v>
      </c>
      <c r="T99" s="100">
        <v>8</v>
      </c>
      <c r="U99" s="100">
        <v>33667.199999999997</v>
      </c>
      <c r="V99" s="100">
        <v>1.6434394070334029</v>
      </c>
      <c r="W99" s="100">
        <v>6916.2504005593719</v>
      </c>
      <c r="X99" s="100">
        <v>8</v>
      </c>
      <c r="Y99" s="100">
        <v>33667.199999999997</v>
      </c>
      <c r="Z99" s="100">
        <v>6.6088491064110215</v>
      </c>
      <c r="AA99" s="100">
        <v>27812.680579420139</v>
      </c>
      <c r="AB99" s="100">
        <v>5.5391701857361406</v>
      </c>
      <c r="AC99" s="100">
        <v>23311.043809651972</v>
      </c>
      <c r="AD99" s="100">
        <v>7.5992286905669806</v>
      </c>
      <c r="AE99" s="100">
        <v>31980.59402138208</v>
      </c>
      <c r="AF99" s="100">
        <v>7.4220641328007853</v>
      </c>
      <c r="AG99" s="100">
        <v>31235.014696478822</v>
      </c>
      <c r="AH99" s="100">
        <v>7.0479893036864736</v>
      </c>
      <c r="AI99" s="100">
        <v>29660.758185634153</v>
      </c>
      <c r="AJ99" s="100">
        <v>7.8793477049638669</v>
      </c>
      <c r="AK99" s="100">
        <v>33159.446881569937</v>
      </c>
      <c r="AL99" s="100">
        <v>6.4511067407048959</v>
      </c>
      <c r="AM99" s="100">
        <v>27148.837607582482</v>
      </c>
      <c r="AN99" s="100">
        <v>6.7339699782746996</v>
      </c>
      <c r="AO99" s="100">
        <v>28339.239256571243</v>
      </c>
      <c r="AP99" s="100">
        <v>7.0957847449738622</v>
      </c>
      <c r="AQ99" s="100">
        <v>29861.900520748</v>
      </c>
      <c r="AR99" s="100">
        <v>7.5570107533971642</v>
      </c>
      <c r="AS99" s="100">
        <v>31802.924054596624</v>
      </c>
      <c r="AT99" s="100">
        <v>6.687620135749702</v>
      </c>
      <c r="AU99" s="100">
        <v>28144.180579289045</v>
      </c>
      <c r="AV99" s="100">
        <v>6.964986869490474</v>
      </c>
      <c r="AW99" s="100">
        <v>29311.450741563709</v>
      </c>
      <c r="AX99" s="100">
        <v>6</v>
      </c>
      <c r="AY99" s="100">
        <v>25250.399999999998</v>
      </c>
      <c r="AZ99" s="100">
        <v>4.5842554586632289</v>
      </c>
      <c r="BA99" s="100">
        <v>19292.380672238331</v>
      </c>
      <c r="BB99" s="100">
        <v>1.3826385480919521</v>
      </c>
      <c r="BC99" s="100">
        <v>5818.6960657901709</v>
      </c>
      <c r="BD99" s="100">
        <v>6.5713136986062288</v>
      </c>
      <c r="BE99" s="100">
        <v>27654.716569214452</v>
      </c>
      <c r="BF99" s="100">
        <v>5.6677580650478729</v>
      </c>
      <c r="BG99" s="100">
        <v>23852.193040947466</v>
      </c>
      <c r="BH99" s="100">
        <v>7</v>
      </c>
      <c r="BI99" s="100">
        <v>29458.799999999996</v>
      </c>
      <c r="BJ99" s="100">
        <v>7.3377284227260402</v>
      </c>
      <c r="BK99" s="100">
        <v>30880.096294200266</v>
      </c>
      <c r="BL99" s="100">
        <v>6</v>
      </c>
      <c r="BM99" s="100">
        <v>25250.399999999998</v>
      </c>
      <c r="BN99" s="100">
        <v>10</v>
      </c>
      <c r="BO99" s="100">
        <v>42084</v>
      </c>
      <c r="BP99" s="100">
        <v>10.447185614028063</v>
      </c>
      <c r="BQ99" s="100">
        <v>43965.935938075694</v>
      </c>
      <c r="BR99" s="100">
        <v>1.7238090989198362</v>
      </c>
      <c r="BS99" s="100">
        <v>7254.4782118942385</v>
      </c>
      <c r="BT99" s="100">
        <v>7</v>
      </c>
      <c r="BU99" s="100">
        <v>29458.799999999996</v>
      </c>
      <c r="BV99" s="100">
        <v>9</v>
      </c>
      <c r="BW99" s="100">
        <v>37875.599999999999</v>
      </c>
      <c r="BX99" s="100">
        <v>8.9504849596887546</v>
      </c>
      <c r="BY99" s="100">
        <v>37667.220904354152</v>
      </c>
      <c r="BZ99" s="100">
        <v>6.7007977123718696</v>
      </c>
      <c r="CA99" s="100">
        <v>28199.637092745772</v>
      </c>
      <c r="CB99" s="100">
        <v>5.6238219560164939</v>
      </c>
      <c r="CC99" s="100">
        <v>23667.292319699813</v>
      </c>
      <c r="CD99" s="100">
        <v>4.0529219683023889</v>
      </c>
      <c r="CE99" s="100">
        <v>17056.316811403773</v>
      </c>
      <c r="CF99" s="100">
        <v>5.1296072992756505</v>
      </c>
      <c r="CG99" s="100">
        <v>21587.439358271648</v>
      </c>
      <c r="CH99" s="100">
        <v>4.6729341856755404</v>
      </c>
      <c r="CI99" s="100">
        <v>19665.576226996942</v>
      </c>
      <c r="CJ99" s="100">
        <v>6.5357930840191694</v>
      </c>
      <c r="CK99" s="100">
        <v>27505.231614786269</v>
      </c>
      <c r="CL99" s="100">
        <v>2.8544795831575782</v>
      </c>
      <c r="CM99" s="100">
        <v>12012.791877760352</v>
      </c>
      <c r="CN99" s="100">
        <v>7</v>
      </c>
      <c r="CO99" s="100">
        <v>29458.799999999996</v>
      </c>
      <c r="CP99" s="100">
        <v>1.6038514754869839</v>
      </c>
      <c r="CQ99" s="100">
        <v>6749.6485494394228</v>
      </c>
      <c r="CR99" s="100">
        <v>8.6435229502628204</v>
      </c>
      <c r="CS99" s="100">
        <v>36375.401983886048</v>
      </c>
      <c r="CT99" s="100">
        <v>0</v>
      </c>
      <c r="CU99" s="100">
        <v>0</v>
      </c>
    </row>
    <row r="100" spans="2:99">
      <c r="C100" s="99" t="s">
        <v>266</v>
      </c>
      <c r="D100" s="100">
        <v>9</v>
      </c>
      <c r="E100" s="100">
        <v>2916</v>
      </c>
      <c r="F100" s="100">
        <v>8</v>
      </c>
      <c r="G100" s="100">
        <v>2592</v>
      </c>
      <c r="H100" s="100">
        <v>6.8609564615580174</v>
      </c>
      <c r="I100" s="100">
        <v>2222.9498935447978</v>
      </c>
      <c r="J100" s="100">
        <v>11</v>
      </c>
      <c r="K100" s="100">
        <v>3564</v>
      </c>
      <c r="L100" s="100">
        <v>9</v>
      </c>
      <c r="M100" s="100">
        <v>2916</v>
      </c>
      <c r="N100" s="100">
        <v>11</v>
      </c>
      <c r="O100" s="100">
        <v>3564</v>
      </c>
      <c r="P100" s="100">
        <v>4.7835116574122614</v>
      </c>
      <c r="Q100" s="100">
        <v>1549.8577770015727</v>
      </c>
      <c r="R100" s="100">
        <v>9</v>
      </c>
      <c r="S100" s="100">
        <v>2916</v>
      </c>
      <c r="T100" s="100">
        <v>10</v>
      </c>
      <c r="U100" s="100">
        <v>3240</v>
      </c>
      <c r="V100" s="100">
        <v>2.0542992587917537</v>
      </c>
      <c r="W100" s="100">
        <v>665.59295984852815</v>
      </c>
      <c r="X100" s="100">
        <v>10</v>
      </c>
      <c r="Y100" s="100">
        <v>3240</v>
      </c>
      <c r="Z100" s="100">
        <v>9.0871675213151537</v>
      </c>
      <c r="AA100" s="100">
        <v>2944.24227690611</v>
      </c>
      <c r="AB100" s="100">
        <v>7.9131002653373441</v>
      </c>
      <c r="AC100" s="100">
        <v>2563.8444859692995</v>
      </c>
      <c r="AD100" s="100">
        <v>9.2879461773596415</v>
      </c>
      <c r="AE100" s="100">
        <v>3009.2945614645237</v>
      </c>
      <c r="AF100" s="100">
        <v>8.0967972357826756</v>
      </c>
      <c r="AG100" s="100">
        <v>2623.3623043935868</v>
      </c>
      <c r="AH100" s="100">
        <v>8.6142091489501347</v>
      </c>
      <c r="AI100" s="100">
        <v>2791.0037642598436</v>
      </c>
      <c r="AJ100" s="100">
        <v>9.3119563785936617</v>
      </c>
      <c r="AK100" s="100">
        <v>3017.0738666643465</v>
      </c>
      <c r="AL100" s="100">
        <v>8.2942800951920095</v>
      </c>
      <c r="AM100" s="100">
        <v>2687.3467508422109</v>
      </c>
      <c r="AN100" s="100">
        <v>8.2304077512246341</v>
      </c>
      <c r="AO100" s="100">
        <v>2666.6521113967815</v>
      </c>
      <c r="AP100" s="100">
        <v>10.643677117460795</v>
      </c>
      <c r="AQ100" s="100">
        <v>3448.5513860572978</v>
      </c>
      <c r="AR100" s="100">
        <v>9.0684129040765953</v>
      </c>
      <c r="AS100" s="100">
        <v>2938.1657809208168</v>
      </c>
      <c r="AT100" s="100">
        <v>8.6939061764746128</v>
      </c>
      <c r="AU100" s="100">
        <v>2816.8256011777744</v>
      </c>
      <c r="AV100" s="100">
        <v>9.0544829303376151</v>
      </c>
      <c r="AW100" s="100">
        <v>2933.6524694293871</v>
      </c>
      <c r="AX100" s="100">
        <v>7</v>
      </c>
      <c r="AY100" s="100">
        <v>2268</v>
      </c>
      <c r="AZ100" s="100">
        <v>7.3348087338611663</v>
      </c>
      <c r="BA100" s="100">
        <v>2376.4780297710176</v>
      </c>
      <c r="BB100" s="100">
        <v>1.5801583406765165</v>
      </c>
      <c r="BC100" s="100">
        <v>511.97130237919134</v>
      </c>
      <c r="BD100" s="100">
        <v>8.5427078081880978</v>
      </c>
      <c r="BE100" s="100">
        <v>2767.8373298529436</v>
      </c>
      <c r="BF100" s="100">
        <v>7.5570107533971642</v>
      </c>
      <c r="BG100" s="100">
        <v>2448.4714841006812</v>
      </c>
      <c r="BH100" s="100">
        <v>9</v>
      </c>
      <c r="BI100" s="100">
        <v>2916</v>
      </c>
      <c r="BJ100" s="100">
        <v>8.0715012649986448</v>
      </c>
      <c r="BK100" s="100">
        <v>2615.1664098595611</v>
      </c>
      <c r="BL100" s="100">
        <v>7</v>
      </c>
      <c r="BM100" s="100">
        <v>2268</v>
      </c>
      <c r="BN100" s="100">
        <v>12</v>
      </c>
      <c r="BO100" s="100">
        <v>3888</v>
      </c>
      <c r="BP100" s="100">
        <v>11.396929760757889</v>
      </c>
      <c r="BQ100" s="100">
        <v>3692.6052424855561</v>
      </c>
      <c r="BR100" s="100">
        <v>2.298412131893115</v>
      </c>
      <c r="BS100" s="100">
        <v>744.68553073336921</v>
      </c>
      <c r="BT100" s="100">
        <v>9</v>
      </c>
      <c r="BU100" s="100">
        <v>2916</v>
      </c>
      <c r="BV100" s="100">
        <v>12</v>
      </c>
      <c r="BW100" s="100">
        <v>3888</v>
      </c>
      <c r="BX100" s="100">
        <v>11.391526312331141</v>
      </c>
      <c r="BY100" s="100">
        <v>3690.8545251952896</v>
      </c>
      <c r="BZ100" s="100">
        <v>8.9343969498291589</v>
      </c>
      <c r="CA100" s="100">
        <v>2894.7446117446475</v>
      </c>
      <c r="CB100" s="100">
        <v>6.3267997005185554</v>
      </c>
      <c r="CC100" s="100">
        <v>2049.8831029680118</v>
      </c>
      <c r="CD100" s="100">
        <v>4.7284089630194543</v>
      </c>
      <c r="CE100" s="100">
        <v>1532.0045040183031</v>
      </c>
      <c r="CF100" s="100">
        <v>6.5952093847829785</v>
      </c>
      <c r="CG100" s="100">
        <v>2136.847840669685</v>
      </c>
      <c r="CH100" s="100">
        <v>5.2570509588849834</v>
      </c>
      <c r="CI100" s="100">
        <v>1703.2845106787347</v>
      </c>
      <c r="CJ100" s="100">
        <v>8.9867154905263575</v>
      </c>
      <c r="CK100" s="100">
        <v>2911.6958189305396</v>
      </c>
      <c r="CL100" s="100">
        <v>3.2622623807515185</v>
      </c>
      <c r="CM100" s="100">
        <v>1056.9730113634921</v>
      </c>
      <c r="CN100" s="100">
        <v>8</v>
      </c>
      <c r="CO100" s="100">
        <v>2592</v>
      </c>
      <c r="CP100" s="100">
        <v>2.1384686339826451</v>
      </c>
      <c r="CQ100" s="100">
        <v>692.86383741037696</v>
      </c>
      <c r="CR100" s="100">
        <v>9.5078752452891031</v>
      </c>
      <c r="CS100" s="100">
        <v>3080.5515794736693</v>
      </c>
      <c r="CT100" s="100">
        <v>0</v>
      </c>
      <c r="CU100" s="100">
        <v>0</v>
      </c>
    </row>
    <row r="101" spans="2:99">
      <c r="C101" s="99" t="s">
        <v>267</v>
      </c>
      <c r="D101" s="100">
        <v>9</v>
      </c>
      <c r="E101" s="100">
        <v>6512.4000000000005</v>
      </c>
      <c r="F101" s="100">
        <v>8</v>
      </c>
      <c r="G101" s="100">
        <v>5788.8</v>
      </c>
      <c r="H101" s="100">
        <v>6.0033369038632651</v>
      </c>
      <c r="I101" s="100">
        <v>4344.0145836354586</v>
      </c>
      <c r="J101" s="100">
        <v>12</v>
      </c>
      <c r="K101" s="100">
        <v>8683.2000000000007</v>
      </c>
      <c r="L101" s="100">
        <v>9</v>
      </c>
      <c r="M101" s="100">
        <v>6512.4000000000005</v>
      </c>
      <c r="N101" s="100">
        <v>11</v>
      </c>
      <c r="O101" s="100">
        <v>7959.6</v>
      </c>
      <c r="P101" s="100">
        <v>5.3814506145887933</v>
      </c>
      <c r="Q101" s="100">
        <v>3894.0176647164508</v>
      </c>
      <c r="R101" s="100">
        <v>8</v>
      </c>
      <c r="S101" s="100">
        <v>5788.8</v>
      </c>
      <c r="T101" s="100">
        <v>11</v>
      </c>
      <c r="U101" s="100">
        <v>7959.6</v>
      </c>
      <c r="V101" s="100">
        <v>1.8488693329125783</v>
      </c>
      <c r="W101" s="100">
        <v>1337.8418492955416</v>
      </c>
      <c r="X101" s="100">
        <v>12</v>
      </c>
      <c r="Y101" s="100">
        <v>8683.2000000000007</v>
      </c>
      <c r="Z101" s="100">
        <v>8.2610613830137751</v>
      </c>
      <c r="AA101" s="100">
        <v>5977.7040167487676</v>
      </c>
      <c r="AB101" s="100">
        <v>7.1217902388036096</v>
      </c>
      <c r="AC101" s="100">
        <v>5153.3274167982918</v>
      </c>
      <c r="AD101" s="100">
        <v>8.4435874339633106</v>
      </c>
      <c r="AE101" s="100">
        <v>6109.7798672158515</v>
      </c>
      <c r="AF101" s="100">
        <v>9.4462634417464546</v>
      </c>
      <c r="AG101" s="100">
        <v>6835.3162264477351</v>
      </c>
      <c r="AH101" s="100">
        <v>8.6142091489501347</v>
      </c>
      <c r="AI101" s="100">
        <v>6233.2417401803177</v>
      </c>
      <c r="AJ101" s="100">
        <v>7.8793477049638669</v>
      </c>
      <c r="AK101" s="100">
        <v>5701.4959993118546</v>
      </c>
      <c r="AL101" s="100">
        <v>8.2942800951920095</v>
      </c>
      <c r="AM101" s="100">
        <v>6001.7410768809386</v>
      </c>
      <c r="AN101" s="100">
        <v>8.9786266376996</v>
      </c>
      <c r="AO101" s="100">
        <v>6496.9342350394309</v>
      </c>
      <c r="AP101" s="100">
        <v>9.9340986429634093</v>
      </c>
      <c r="AQ101" s="100">
        <v>7188.313778048323</v>
      </c>
      <c r="AR101" s="100">
        <v>9.0684129040765953</v>
      </c>
      <c r="AS101" s="100">
        <v>6561.9035773898249</v>
      </c>
      <c r="AT101" s="100">
        <v>8.6939061764746128</v>
      </c>
      <c r="AU101" s="100">
        <v>6290.9105092970303</v>
      </c>
      <c r="AV101" s="100">
        <v>8.357984243388568</v>
      </c>
      <c r="AW101" s="100">
        <v>6047.8373985159678</v>
      </c>
      <c r="AX101" s="100">
        <v>7</v>
      </c>
      <c r="AY101" s="100">
        <v>5065.2</v>
      </c>
      <c r="AZ101" s="100">
        <v>7.3348087338611663</v>
      </c>
      <c r="BA101" s="100">
        <v>5307.46759982194</v>
      </c>
      <c r="BB101" s="100">
        <v>1.5801583406765165</v>
      </c>
      <c r="BC101" s="100">
        <v>1143.4025753135274</v>
      </c>
      <c r="BD101" s="100">
        <v>8.5427078081880978</v>
      </c>
      <c r="BE101" s="100">
        <v>6181.503370004908</v>
      </c>
      <c r="BF101" s="100">
        <v>7.5570107533971642</v>
      </c>
      <c r="BG101" s="100">
        <v>5468.252981158188</v>
      </c>
      <c r="BH101" s="100">
        <v>9</v>
      </c>
      <c r="BI101" s="100">
        <v>6512.4000000000005</v>
      </c>
      <c r="BJ101" s="100">
        <v>8.0715012649986448</v>
      </c>
      <c r="BK101" s="100">
        <v>5840.5383153530192</v>
      </c>
      <c r="BL101" s="100">
        <v>7</v>
      </c>
      <c r="BM101" s="100">
        <v>5065.2</v>
      </c>
      <c r="BN101" s="100">
        <v>11</v>
      </c>
      <c r="BO101" s="100">
        <v>7959.6</v>
      </c>
      <c r="BP101" s="100">
        <v>12.346673907487713</v>
      </c>
      <c r="BQ101" s="100">
        <v>8934.0532394581096</v>
      </c>
      <c r="BR101" s="100">
        <v>2.298412131893115</v>
      </c>
      <c r="BS101" s="100">
        <v>1663.131018637858</v>
      </c>
      <c r="BT101" s="100">
        <v>8</v>
      </c>
      <c r="BU101" s="100">
        <v>5788.8</v>
      </c>
      <c r="BV101" s="100">
        <v>11</v>
      </c>
      <c r="BW101" s="100">
        <v>7959.6</v>
      </c>
      <c r="BX101" s="100">
        <v>11.391526312331141</v>
      </c>
      <c r="BY101" s="100">
        <v>8242.9084396028138</v>
      </c>
      <c r="BZ101" s="100">
        <v>8.9343969498291589</v>
      </c>
      <c r="CA101" s="100">
        <v>6464.9296328963792</v>
      </c>
      <c r="CB101" s="100">
        <v>6.3267997005185554</v>
      </c>
      <c r="CC101" s="100">
        <v>4578.0722632952265</v>
      </c>
      <c r="CD101" s="100">
        <v>5.4038959577365189</v>
      </c>
      <c r="CE101" s="100">
        <v>3910.2591150181452</v>
      </c>
      <c r="CF101" s="100">
        <v>6.5952093847829785</v>
      </c>
      <c r="CG101" s="100">
        <v>4772.293510828963</v>
      </c>
      <c r="CH101" s="100">
        <v>4.6729341856755404</v>
      </c>
      <c r="CI101" s="100">
        <v>3381.3351767548211</v>
      </c>
      <c r="CJ101" s="100">
        <v>8.1697413550239606</v>
      </c>
      <c r="CK101" s="100">
        <v>5911.624844495338</v>
      </c>
      <c r="CL101" s="100">
        <v>3.670045178345458</v>
      </c>
      <c r="CM101" s="100">
        <v>2655.6446910507734</v>
      </c>
      <c r="CN101" s="100">
        <v>8</v>
      </c>
      <c r="CO101" s="100">
        <v>5788.8</v>
      </c>
      <c r="CP101" s="100">
        <v>2.405777213230476</v>
      </c>
      <c r="CQ101" s="100">
        <v>1740.8203914935725</v>
      </c>
      <c r="CR101" s="100">
        <v>9.5078752452891031</v>
      </c>
      <c r="CS101" s="100">
        <v>6879.8985274911956</v>
      </c>
      <c r="CT101" s="100">
        <v>0</v>
      </c>
      <c r="CU101" s="100">
        <v>0</v>
      </c>
    </row>
    <row r="102" spans="2:99">
      <c r="C102" s="99" t="s">
        <v>268</v>
      </c>
      <c r="D102" s="100">
        <v>9</v>
      </c>
      <c r="E102" s="100">
        <v>4784.4000000000005</v>
      </c>
      <c r="F102" s="100">
        <v>8</v>
      </c>
      <c r="G102" s="100">
        <v>4252.8</v>
      </c>
      <c r="H102" s="100">
        <v>6.8609564615580174</v>
      </c>
      <c r="I102" s="100">
        <v>3647.2844549642423</v>
      </c>
      <c r="J102" s="100">
        <v>10</v>
      </c>
      <c r="K102" s="100">
        <v>5316</v>
      </c>
      <c r="L102" s="100">
        <v>8</v>
      </c>
      <c r="M102" s="100">
        <v>4252.8</v>
      </c>
      <c r="N102" s="100">
        <v>10</v>
      </c>
      <c r="O102" s="100">
        <v>5316</v>
      </c>
      <c r="P102" s="100">
        <v>4.7835116574122614</v>
      </c>
      <c r="Q102" s="100">
        <v>2542.9147970803583</v>
      </c>
      <c r="R102" s="100">
        <v>9</v>
      </c>
      <c r="S102" s="100">
        <v>4784.4000000000005</v>
      </c>
      <c r="T102" s="100">
        <v>11</v>
      </c>
      <c r="U102" s="100">
        <v>5847.6</v>
      </c>
      <c r="V102" s="100">
        <v>1.8488693329125783</v>
      </c>
      <c r="W102" s="100">
        <v>982.85893737632659</v>
      </c>
      <c r="X102" s="100">
        <v>11</v>
      </c>
      <c r="Y102" s="100">
        <v>5847.6</v>
      </c>
      <c r="Z102" s="100">
        <v>8.2610613830137751</v>
      </c>
      <c r="AA102" s="100">
        <v>4391.5802312101232</v>
      </c>
      <c r="AB102" s="100">
        <v>7.1217902388036096</v>
      </c>
      <c r="AC102" s="100">
        <v>3785.9436909479991</v>
      </c>
      <c r="AD102" s="100">
        <v>9.2879461773596415</v>
      </c>
      <c r="AE102" s="100">
        <v>4937.4721878843857</v>
      </c>
      <c r="AF102" s="100">
        <v>9.4462634417464546</v>
      </c>
      <c r="AG102" s="100">
        <v>5021.6336456324152</v>
      </c>
      <c r="AH102" s="100">
        <v>8.6142091489501347</v>
      </c>
      <c r="AI102" s="100">
        <v>4579.3135835818921</v>
      </c>
      <c r="AJ102" s="100">
        <v>9.3119563785936617</v>
      </c>
      <c r="AK102" s="100">
        <v>4950.2360108603907</v>
      </c>
      <c r="AL102" s="100">
        <v>7.3726934179484527</v>
      </c>
      <c r="AM102" s="100">
        <v>3919.3238209813976</v>
      </c>
      <c r="AN102" s="100">
        <v>8.2304077512246341</v>
      </c>
      <c r="AO102" s="100">
        <v>4375.284760551016</v>
      </c>
      <c r="AP102" s="100">
        <v>9.9340986429634093</v>
      </c>
      <c r="AQ102" s="100">
        <v>5280.9668385993482</v>
      </c>
      <c r="AR102" s="100">
        <v>9.0684129040765953</v>
      </c>
      <c r="AS102" s="100">
        <v>4820.7682998071186</v>
      </c>
      <c r="AT102" s="100">
        <v>8.0251441628996432</v>
      </c>
      <c r="AU102" s="100">
        <v>4266.16663699745</v>
      </c>
      <c r="AV102" s="100">
        <v>9.0544829303376151</v>
      </c>
      <c r="AW102" s="100">
        <v>4813.363125767476</v>
      </c>
      <c r="AX102" s="100">
        <v>7</v>
      </c>
      <c r="AY102" s="100">
        <v>3721.2000000000003</v>
      </c>
      <c r="AZ102" s="100">
        <v>7.3348087338611663</v>
      </c>
      <c r="BA102" s="100">
        <v>3899.1843229205961</v>
      </c>
      <c r="BB102" s="100">
        <v>1.5801583406765165</v>
      </c>
      <c r="BC102" s="100">
        <v>840.01217390363615</v>
      </c>
      <c r="BD102" s="100">
        <v>7.8855764383274751</v>
      </c>
      <c r="BE102" s="100">
        <v>4191.972434614886</v>
      </c>
      <c r="BF102" s="100">
        <v>8.501637097571809</v>
      </c>
      <c r="BG102" s="100">
        <v>4519.4702810691742</v>
      </c>
      <c r="BH102" s="100">
        <v>10</v>
      </c>
      <c r="BI102" s="100">
        <v>5316</v>
      </c>
      <c r="BJ102" s="100">
        <v>8.0715012649986448</v>
      </c>
      <c r="BK102" s="100">
        <v>4290.8100724732794</v>
      </c>
      <c r="BL102" s="100">
        <v>7</v>
      </c>
      <c r="BM102" s="100">
        <v>3721.2000000000003</v>
      </c>
      <c r="BN102" s="100">
        <v>12</v>
      </c>
      <c r="BO102" s="100">
        <v>6379.2000000000007</v>
      </c>
      <c r="BP102" s="100">
        <v>13.296418054217535</v>
      </c>
      <c r="BQ102" s="100">
        <v>7068.3758376220412</v>
      </c>
      <c r="BR102" s="100">
        <v>2.298412131893115</v>
      </c>
      <c r="BS102" s="100">
        <v>1221.83588931438</v>
      </c>
      <c r="BT102" s="100">
        <v>8</v>
      </c>
      <c r="BU102" s="100">
        <v>4252.8</v>
      </c>
      <c r="BV102" s="100">
        <v>11</v>
      </c>
      <c r="BW102" s="100">
        <v>5847.6</v>
      </c>
      <c r="BX102" s="100">
        <v>11.391526312331141</v>
      </c>
      <c r="BY102" s="100">
        <v>6055.7353876352345</v>
      </c>
      <c r="BZ102" s="100">
        <v>8.9343969498291589</v>
      </c>
      <c r="CA102" s="100">
        <v>4749.5254185291815</v>
      </c>
      <c r="CB102" s="100">
        <v>7.029777445020617</v>
      </c>
      <c r="CC102" s="100">
        <v>3737.02968977296</v>
      </c>
      <c r="CD102" s="100">
        <v>5.4038959577365189</v>
      </c>
      <c r="CE102" s="100">
        <v>2872.7110911327336</v>
      </c>
      <c r="CF102" s="100">
        <v>5.8624083420293145</v>
      </c>
      <c r="CG102" s="100">
        <v>3116.4562746227839</v>
      </c>
      <c r="CH102" s="100">
        <v>5.8411677320944255</v>
      </c>
      <c r="CI102" s="100">
        <v>3105.1647663813969</v>
      </c>
      <c r="CJ102" s="100">
        <v>8.9867154905263575</v>
      </c>
      <c r="CK102" s="100">
        <v>4777.3379547638115</v>
      </c>
      <c r="CL102" s="100">
        <v>4.0778279759393978</v>
      </c>
      <c r="CM102" s="100">
        <v>2167.7733520093839</v>
      </c>
      <c r="CN102" s="100">
        <v>9</v>
      </c>
      <c r="CO102" s="100">
        <v>4784.4000000000005</v>
      </c>
      <c r="CP102" s="100">
        <v>2.1384686339826451</v>
      </c>
      <c r="CQ102" s="100">
        <v>1136.8099258251741</v>
      </c>
      <c r="CR102" s="100">
        <v>10.372227540315386</v>
      </c>
      <c r="CS102" s="100">
        <v>5513.8761604316596</v>
      </c>
      <c r="CT102" s="100">
        <v>0</v>
      </c>
      <c r="CU102" s="100">
        <v>0</v>
      </c>
    </row>
    <row r="103" spans="2:99">
      <c r="C103" s="99" t="s">
        <v>269</v>
      </c>
      <c r="D103" s="100">
        <v>9</v>
      </c>
      <c r="E103" s="100">
        <v>5302.7999999999993</v>
      </c>
      <c r="F103" s="100">
        <v>7</v>
      </c>
      <c r="G103" s="100">
        <v>4124.3999999999996</v>
      </c>
      <c r="H103" s="100">
        <v>6.0033369038632651</v>
      </c>
      <c r="I103" s="100">
        <v>3537.1661037562353</v>
      </c>
      <c r="J103" s="100">
        <v>10</v>
      </c>
      <c r="K103" s="100">
        <v>5891.9999999999991</v>
      </c>
      <c r="L103" s="100">
        <v>9</v>
      </c>
      <c r="M103" s="100">
        <v>5302.7999999999993</v>
      </c>
      <c r="N103" s="100">
        <v>10</v>
      </c>
      <c r="O103" s="100">
        <v>5891.9999999999991</v>
      </c>
      <c r="P103" s="100">
        <v>4.7835116574122614</v>
      </c>
      <c r="Q103" s="100">
        <v>2818.4450685473039</v>
      </c>
      <c r="R103" s="100">
        <v>9</v>
      </c>
      <c r="S103" s="100">
        <v>5302.7999999999993</v>
      </c>
      <c r="T103" s="100">
        <v>10</v>
      </c>
      <c r="U103" s="100">
        <v>5891.9999999999991</v>
      </c>
      <c r="V103" s="100">
        <v>1.6434394070334029</v>
      </c>
      <c r="W103" s="100">
        <v>968.3144986240809</v>
      </c>
      <c r="X103" s="100">
        <v>11</v>
      </c>
      <c r="Y103" s="100">
        <v>6481.1999999999989</v>
      </c>
      <c r="Z103" s="100">
        <v>8.2610613830137751</v>
      </c>
      <c r="AA103" s="100">
        <v>4867.4173668717158</v>
      </c>
      <c r="AB103" s="100">
        <v>6.330480212269876</v>
      </c>
      <c r="AC103" s="100">
        <v>3729.9189410694107</v>
      </c>
      <c r="AD103" s="100">
        <v>7.5992286905669806</v>
      </c>
      <c r="AE103" s="100">
        <v>4477.4655444820646</v>
      </c>
      <c r="AF103" s="100">
        <v>8.0967972357826756</v>
      </c>
      <c r="AG103" s="100">
        <v>4770.6329313231518</v>
      </c>
      <c r="AH103" s="100">
        <v>7.8310992263183037</v>
      </c>
      <c r="AI103" s="100">
        <v>4614.083664146744</v>
      </c>
      <c r="AJ103" s="100">
        <v>10.028260715408559</v>
      </c>
      <c r="AK103" s="100">
        <v>5908.6512135187222</v>
      </c>
      <c r="AL103" s="100">
        <v>8.2942800951920095</v>
      </c>
      <c r="AM103" s="100">
        <v>4886.9898320871316</v>
      </c>
      <c r="AN103" s="100">
        <v>8.9786266376996</v>
      </c>
      <c r="AO103" s="100">
        <v>5290.2068149326033</v>
      </c>
      <c r="AP103" s="100">
        <v>10.643677117460795</v>
      </c>
      <c r="AQ103" s="100">
        <v>6271.2545576079001</v>
      </c>
      <c r="AR103" s="100">
        <v>9.0684129040765953</v>
      </c>
      <c r="AS103" s="100">
        <v>5343.108883081929</v>
      </c>
      <c r="AT103" s="100">
        <v>8.0251441628996432</v>
      </c>
      <c r="AU103" s="100">
        <v>4728.4149407804689</v>
      </c>
      <c r="AV103" s="100">
        <v>9.0544829303376151</v>
      </c>
      <c r="AW103" s="100">
        <v>5334.9013425549219</v>
      </c>
      <c r="AX103" s="100">
        <v>8</v>
      </c>
      <c r="AY103" s="100">
        <v>4713.5999999999995</v>
      </c>
      <c r="AZ103" s="100">
        <v>6.4179576421285205</v>
      </c>
      <c r="BA103" s="100">
        <v>3781.460642742124</v>
      </c>
      <c r="BB103" s="100">
        <v>1.7776781332610812</v>
      </c>
      <c r="BC103" s="100">
        <v>1047.407956117429</v>
      </c>
      <c r="BD103" s="100">
        <v>7.2284450684668524</v>
      </c>
      <c r="BE103" s="100">
        <v>4258.9998343406687</v>
      </c>
      <c r="BF103" s="100">
        <v>8.501637097571809</v>
      </c>
      <c r="BG103" s="100">
        <v>5009.1645778893089</v>
      </c>
      <c r="BH103" s="100">
        <v>8</v>
      </c>
      <c r="BI103" s="100">
        <v>4713.5999999999995</v>
      </c>
      <c r="BJ103" s="100">
        <v>7.3377284227260402</v>
      </c>
      <c r="BK103" s="100">
        <v>4323.3895866701823</v>
      </c>
      <c r="BL103" s="100">
        <v>7</v>
      </c>
      <c r="BM103" s="100">
        <v>4124.3999999999996</v>
      </c>
      <c r="BN103" s="100">
        <v>10</v>
      </c>
      <c r="BO103" s="100">
        <v>5891.9999999999991</v>
      </c>
      <c r="BP103" s="100">
        <v>11.396929760757889</v>
      </c>
      <c r="BQ103" s="100">
        <v>6715.0710150385476</v>
      </c>
      <c r="BR103" s="100">
        <v>2.1068777875686888</v>
      </c>
      <c r="BS103" s="100">
        <v>1241.3723924354713</v>
      </c>
      <c r="BT103" s="100">
        <v>9</v>
      </c>
      <c r="BU103" s="100">
        <v>5302.7999999999993</v>
      </c>
      <c r="BV103" s="100">
        <v>11</v>
      </c>
      <c r="BW103" s="100">
        <v>6481.1999999999989</v>
      </c>
      <c r="BX103" s="100">
        <v>10.577845861450347</v>
      </c>
      <c r="BY103" s="100">
        <v>6232.4667815665443</v>
      </c>
      <c r="BZ103" s="100">
        <v>8.1898638706767297</v>
      </c>
      <c r="CA103" s="100">
        <v>4825.4677926027289</v>
      </c>
      <c r="CB103" s="100">
        <v>6.3267997005185554</v>
      </c>
      <c r="CC103" s="100">
        <v>3727.7503835455323</v>
      </c>
      <c r="CD103" s="100">
        <v>5.4038959577365189</v>
      </c>
      <c r="CE103" s="100">
        <v>3183.9754982983563</v>
      </c>
      <c r="CF103" s="100">
        <v>6.5952093847829785</v>
      </c>
      <c r="CG103" s="100">
        <v>3885.8973695141303</v>
      </c>
      <c r="CH103" s="100">
        <v>5.2570509588849834</v>
      </c>
      <c r="CI103" s="100">
        <v>3097.454424975032</v>
      </c>
      <c r="CJ103" s="100">
        <v>8.9867154905263575</v>
      </c>
      <c r="CK103" s="100">
        <v>5294.9727670181292</v>
      </c>
      <c r="CL103" s="100">
        <v>3.670045178345458</v>
      </c>
      <c r="CM103" s="100">
        <v>2162.3906190811435</v>
      </c>
      <c r="CN103" s="100">
        <v>9</v>
      </c>
      <c r="CO103" s="100">
        <v>5302.7999999999993</v>
      </c>
      <c r="CP103" s="100">
        <v>2.405777213230476</v>
      </c>
      <c r="CQ103" s="100">
        <v>1417.4839340353963</v>
      </c>
      <c r="CR103" s="100">
        <v>9.5078752452891031</v>
      </c>
      <c r="CS103" s="100">
        <v>5602.0400945243391</v>
      </c>
      <c r="CT103" s="100">
        <v>0</v>
      </c>
      <c r="CU103" s="100">
        <v>0</v>
      </c>
    </row>
    <row r="104" spans="2:99">
      <c r="C104" s="99" t="s">
        <v>270</v>
      </c>
      <c r="D104" s="100">
        <v>9</v>
      </c>
      <c r="E104" s="100">
        <v>5691.5999999999995</v>
      </c>
      <c r="F104" s="100">
        <v>7</v>
      </c>
      <c r="G104" s="100">
        <v>4426.8</v>
      </c>
      <c r="H104" s="100">
        <v>6.0033369038632651</v>
      </c>
      <c r="I104" s="100">
        <v>3796.5102580031289</v>
      </c>
      <c r="J104" s="100">
        <v>11</v>
      </c>
      <c r="K104" s="100">
        <v>6956.4</v>
      </c>
      <c r="L104" s="100">
        <v>10</v>
      </c>
      <c r="M104" s="100">
        <v>6324</v>
      </c>
      <c r="N104" s="100">
        <v>11</v>
      </c>
      <c r="O104" s="100">
        <v>6956.4</v>
      </c>
      <c r="P104" s="100">
        <v>5.3814506145887933</v>
      </c>
      <c r="Q104" s="100">
        <v>3403.2293686659527</v>
      </c>
      <c r="R104" s="100">
        <v>9</v>
      </c>
      <c r="S104" s="100">
        <v>5691.5999999999995</v>
      </c>
      <c r="T104" s="100">
        <v>10</v>
      </c>
      <c r="U104" s="100">
        <v>6324</v>
      </c>
      <c r="V104" s="100">
        <v>1.8488693329125783</v>
      </c>
      <c r="W104" s="100">
        <v>1169.2249661339144</v>
      </c>
      <c r="X104" s="100">
        <v>11</v>
      </c>
      <c r="Y104" s="100">
        <v>6956.4</v>
      </c>
      <c r="Z104" s="100">
        <v>7.4349552447123983</v>
      </c>
      <c r="AA104" s="100">
        <v>4701.8656967561201</v>
      </c>
      <c r="AB104" s="100">
        <v>7.9131002653373441</v>
      </c>
      <c r="AC104" s="100">
        <v>5004.2446077993363</v>
      </c>
      <c r="AD104" s="100">
        <v>8.4435874339633106</v>
      </c>
      <c r="AE104" s="100">
        <v>5339.7246932383978</v>
      </c>
      <c r="AF104" s="100">
        <v>8.7715303387645651</v>
      </c>
      <c r="AG104" s="100">
        <v>5547.1157862347109</v>
      </c>
      <c r="AH104" s="100">
        <v>8.6142091489501347</v>
      </c>
      <c r="AI104" s="100">
        <v>5447.6258657960652</v>
      </c>
      <c r="AJ104" s="100">
        <v>10.028260715408559</v>
      </c>
      <c r="AK104" s="100">
        <v>6341.8720764243726</v>
      </c>
      <c r="AL104" s="100">
        <v>8.2942800951920095</v>
      </c>
      <c r="AM104" s="100">
        <v>5245.3027321994268</v>
      </c>
      <c r="AN104" s="100">
        <v>8.9786266376996</v>
      </c>
      <c r="AO104" s="100">
        <v>5678.0834856812271</v>
      </c>
      <c r="AP104" s="100">
        <v>9.9340986429634093</v>
      </c>
      <c r="AQ104" s="100">
        <v>6282.3239818100601</v>
      </c>
      <c r="AR104" s="100">
        <v>9.0684129040765953</v>
      </c>
      <c r="AS104" s="100">
        <v>5734.8643205380386</v>
      </c>
      <c r="AT104" s="100">
        <v>8.0251441628996432</v>
      </c>
      <c r="AU104" s="100">
        <v>5075.1011686177344</v>
      </c>
      <c r="AV104" s="100">
        <v>8.357984243388568</v>
      </c>
      <c r="AW104" s="100">
        <v>5285.5892355189299</v>
      </c>
      <c r="AX104" s="100">
        <v>8</v>
      </c>
      <c r="AY104" s="100">
        <v>5059.2</v>
      </c>
      <c r="AZ104" s="100">
        <v>7.3348087338611663</v>
      </c>
      <c r="BA104" s="100">
        <v>4638.5330432938017</v>
      </c>
      <c r="BB104" s="100">
        <v>1.5801583406765165</v>
      </c>
      <c r="BC104" s="100">
        <v>999.29213464382894</v>
      </c>
      <c r="BD104" s="100">
        <v>8.5427078081880978</v>
      </c>
      <c r="BE104" s="100">
        <v>5402.4084178981529</v>
      </c>
      <c r="BF104" s="100">
        <v>7.5570107533971642</v>
      </c>
      <c r="BG104" s="100">
        <v>4779.0536004483665</v>
      </c>
      <c r="BH104" s="100">
        <v>9</v>
      </c>
      <c r="BI104" s="100">
        <v>5691.5999999999995</v>
      </c>
      <c r="BJ104" s="100">
        <v>7.3377284227260402</v>
      </c>
      <c r="BK104" s="100">
        <v>4640.3794545319479</v>
      </c>
      <c r="BL104" s="100">
        <v>7</v>
      </c>
      <c r="BM104" s="100">
        <v>4426.8</v>
      </c>
      <c r="BN104" s="100">
        <v>10</v>
      </c>
      <c r="BO104" s="100">
        <v>6324</v>
      </c>
      <c r="BP104" s="100">
        <v>11.396929760757889</v>
      </c>
      <c r="BQ104" s="100">
        <v>7207.4183807032887</v>
      </c>
      <c r="BR104" s="100">
        <v>2.4899464762175416</v>
      </c>
      <c r="BS104" s="100">
        <v>1574.6421515599732</v>
      </c>
      <c r="BT104" s="100">
        <v>8</v>
      </c>
      <c r="BU104" s="100">
        <v>5059.2</v>
      </c>
      <c r="BV104" s="100">
        <v>12</v>
      </c>
      <c r="BW104" s="100">
        <v>7588.7999999999993</v>
      </c>
      <c r="BX104" s="100">
        <v>10.577845861450347</v>
      </c>
      <c r="BY104" s="100">
        <v>6689.4297227811994</v>
      </c>
      <c r="BZ104" s="100">
        <v>8.1898638706767297</v>
      </c>
      <c r="CA104" s="100">
        <v>5179.2699118159635</v>
      </c>
      <c r="CB104" s="100">
        <v>7.029777445020617</v>
      </c>
      <c r="CC104" s="100">
        <v>4445.6312562310377</v>
      </c>
      <c r="CD104" s="100">
        <v>5.4038959577365189</v>
      </c>
      <c r="CE104" s="100">
        <v>3417.4238036725742</v>
      </c>
      <c r="CF104" s="100">
        <v>6.5952093847829785</v>
      </c>
      <c r="CG104" s="100">
        <v>4170.8104149367555</v>
      </c>
      <c r="CH104" s="100">
        <v>5.8411677320944255</v>
      </c>
      <c r="CI104" s="100">
        <v>3693.9544737765145</v>
      </c>
      <c r="CJ104" s="100">
        <v>9.8036896260287527</v>
      </c>
      <c r="CK104" s="100">
        <v>6199.853319500583</v>
      </c>
      <c r="CL104" s="100">
        <v>3.670045178345458</v>
      </c>
      <c r="CM104" s="100">
        <v>2320.9365707856678</v>
      </c>
      <c r="CN104" s="100">
        <v>9</v>
      </c>
      <c r="CO104" s="100">
        <v>5691.5999999999995</v>
      </c>
      <c r="CP104" s="100">
        <v>2.1384686339826451</v>
      </c>
      <c r="CQ104" s="100">
        <v>1352.3675641306247</v>
      </c>
      <c r="CR104" s="100">
        <v>9.5078752452891031</v>
      </c>
      <c r="CS104" s="100">
        <v>6012.7803051208284</v>
      </c>
      <c r="CT104" s="100">
        <v>0</v>
      </c>
      <c r="CU104" s="100">
        <v>0</v>
      </c>
    </row>
    <row r="105" spans="2:99">
      <c r="C105" s="99" t="s">
        <v>271</v>
      </c>
      <c r="D105" s="100">
        <v>9</v>
      </c>
      <c r="E105" s="100">
        <v>5011.2</v>
      </c>
      <c r="F105" s="100">
        <v>7</v>
      </c>
      <c r="G105" s="100">
        <v>3897.5999999999995</v>
      </c>
      <c r="H105" s="100">
        <v>6.0033369038632651</v>
      </c>
      <c r="I105" s="100">
        <v>3342.6579880710656</v>
      </c>
      <c r="J105" s="100">
        <v>11</v>
      </c>
      <c r="K105" s="100">
        <v>6124.7999999999993</v>
      </c>
      <c r="L105" s="100">
        <v>9</v>
      </c>
      <c r="M105" s="100">
        <v>5011.2</v>
      </c>
      <c r="N105" s="100">
        <v>11</v>
      </c>
      <c r="O105" s="100">
        <v>6124.7999999999993</v>
      </c>
      <c r="P105" s="100">
        <v>4.7835116574122614</v>
      </c>
      <c r="Q105" s="100">
        <v>2663.4592908471468</v>
      </c>
      <c r="R105" s="100">
        <v>9</v>
      </c>
      <c r="S105" s="100">
        <v>5011.2</v>
      </c>
      <c r="T105" s="100">
        <v>9</v>
      </c>
      <c r="U105" s="100">
        <v>5011.2</v>
      </c>
      <c r="V105" s="100">
        <v>1.8488693329125783</v>
      </c>
      <c r="W105" s="100">
        <v>1029.4504445657235</v>
      </c>
      <c r="X105" s="100">
        <v>11</v>
      </c>
      <c r="Y105" s="100">
        <v>6124.7999999999993</v>
      </c>
      <c r="Z105" s="100">
        <v>7.4349552447123983</v>
      </c>
      <c r="AA105" s="100">
        <v>4139.7830802558628</v>
      </c>
      <c r="AB105" s="100">
        <v>7.9131002653373441</v>
      </c>
      <c r="AC105" s="100">
        <v>4406.0142277398327</v>
      </c>
      <c r="AD105" s="100">
        <v>8.4435874339633106</v>
      </c>
      <c r="AE105" s="100">
        <v>4701.3894832307706</v>
      </c>
      <c r="AF105" s="100">
        <v>8.7715303387645651</v>
      </c>
      <c r="AG105" s="100">
        <v>4883.9880926241094</v>
      </c>
      <c r="AH105" s="100">
        <v>8.6142091489501347</v>
      </c>
      <c r="AI105" s="100">
        <v>4796.3916541354347</v>
      </c>
      <c r="AJ105" s="100">
        <v>9.3119563785936617</v>
      </c>
      <c r="AK105" s="100">
        <v>5184.8973116009502</v>
      </c>
      <c r="AL105" s="100">
        <v>8.2942800951920095</v>
      </c>
      <c r="AM105" s="100">
        <v>4618.2551570029109</v>
      </c>
      <c r="AN105" s="100">
        <v>8.9786266376996</v>
      </c>
      <c r="AO105" s="100">
        <v>4999.2993118711365</v>
      </c>
      <c r="AP105" s="100">
        <v>8.5149416939686358</v>
      </c>
      <c r="AQ105" s="100">
        <v>4741.1195352017357</v>
      </c>
      <c r="AR105" s="100">
        <v>8.3127118287368802</v>
      </c>
      <c r="AS105" s="100">
        <v>4628.5179462406941</v>
      </c>
      <c r="AT105" s="100">
        <v>7.3563821493246726</v>
      </c>
      <c r="AU105" s="100">
        <v>4096.0335807439769</v>
      </c>
      <c r="AV105" s="100">
        <v>7.661485556439521</v>
      </c>
      <c r="AW105" s="100">
        <v>4265.9151578255251</v>
      </c>
      <c r="AX105" s="100">
        <v>7</v>
      </c>
      <c r="AY105" s="100">
        <v>3897.5999999999995</v>
      </c>
      <c r="AZ105" s="100">
        <v>7.3348087338611663</v>
      </c>
      <c r="BA105" s="100">
        <v>4084.021503013897</v>
      </c>
      <c r="BB105" s="100">
        <v>1.7776781332610812</v>
      </c>
      <c r="BC105" s="100">
        <v>989.81118459976994</v>
      </c>
      <c r="BD105" s="100">
        <v>7.8855764383274751</v>
      </c>
      <c r="BE105" s="100">
        <v>4390.688960860738</v>
      </c>
      <c r="BF105" s="100">
        <v>8.501637097571809</v>
      </c>
      <c r="BG105" s="100">
        <v>4733.7115359279833</v>
      </c>
      <c r="BH105" s="100">
        <v>9</v>
      </c>
      <c r="BI105" s="100">
        <v>5011.2</v>
      </c>
      <c r="BJ105" s="100">
        <v>8.0715012649986448</v>
      </c>
      <c r="BK105" s="100">
        <v>4494.2119043512448</v>
      </c>
      <c r="BL105" s="100">
        <v>7</v>
      </c>
      <c r="BM105" s="100">
        <v>3897.5999999999995</v>
      </c>
      <c r="BN105" s="100">
        <v>10</v>
      </c>
      <c r="BO105" s="100">
        <v>5568</v>
      </c>
      <c r="BP105" s="100">
        <v>11.396929760757889</v>
      </c>
      <c r="BQ105" s="100">
        <v>6345.8104907899924</v>
      </c>
      <c r="BR105" s="100">
        <v>2.298412131893115</v>
      </c>
      <c r="BS105" s="100">
        <v>1279.7558750380863</v>
      </c>
      <c r="BT105" s="100">
        <v>9</v>
      </c>
      <c r="BU105" s="100">
        <v>5011.2</v>
      </c>
      <c r="BV105" s="100">
        <v>11</v>
      </c>
      <c r="BW105" s="100">
        <v>6124.7999999999993</v>
      </c>
      <c r="BX105" s="100">
        <v>10.577845861450347</v>
      </c>
      <c r="BY105" s="100">
        <v>5889.7445756555526</v>
      </c>
      <c r="BZ105" s="100">
        <v>8.1898638706767297</v>
      </c>
      <c r="CA105" s="100">
        <v>4560.1162031928025</v>
      </c>
      <c r="CB105" s="100">
        <v>6.3267997005185554</v>
      </c>
      <c r="CC105" s="100">
        <v>3522.7620732487312</v>
      </c>
      <c r="CD105" s="100">
        <v>5.4038959577365189</v>
      </c>
      <c r="CE105" s="100">
        <v>3008.8892692676936</v>
      </c>
      <c r="CF105" s="100">
        <v>6.5952093847829785</v>
      </c>
      <c r="CG105" s="100">
        <v>3672.2125854471619</v>
      </c>
      <c r="CH105" s="100">
        <v>5.2570509588849834</v>
      </c>
      <c r="CI105" s="100">
        <v>2927.1259739071584</v>
      </c>
      <c r="CJ105" s="100">
        <v>8.1697413550239606</v>
      </c>
      <c r="CK105" s="100">
        <v>4548.9119864773411</v>
      </c>
      <c r="CL105" s="100">
        <v>3.670045178345458</v>
      </c>
      <c r="CM105" s="100">
        <v>2043.4811553027507</v>
      </c>
      <c r="CN105" s="100">
        <v>8</v>
      </c>
      <c r="CO105" s="100">
        <v>4454.3999999999996</v>
      </c>
      <c r="CP105" s="100">
        <v>2.1384686339826451</v>
      </c>
      <c r="CQ105" s="100">
        <v>1190.6993354015367</v>
      </c>
      <c r="CR105" s="100">
        <v>8.6435229502628204</v>
      </c>
      <c r="CS105" s="100">
        <v>4812.713578706338</v>
      </c>
      <c r="CT105" s="100">
        <v>0</v>
      </c>
      <c r="CU105" s="100">
        <v>0</v>
      </c>
    </row>
    <row r="107" spans="2:99">
      <c r="B107" s="104" t="s">
        <v>276</v>
      </c>
    </row>
    <row r="108" spans="2:99">
      <c r="C108" s="99" t="s">
        <v>277</v>
      </c>
      <c r="D108" s="99" t="s">
        <v>92</v>
      </c>
      <c r="E108" s="99" t="s">
        <v>93</v>
      </c>
      <c r="F108" s="99" t="s">
        <v>94</v>
      </c>
      <c r="G108" s="99" t="s">
        <v>95</v>
      </c>
      <c r="H108" s="99" t="s">
        <v>96</v>
      </c>
      <c r="I108" s="99" t="s">
        <v>97</v>
      </c>
      <c r="J108" s="99" t="s">
        <v>98</v>
      </c>
      <c r="K108" s="99" t="s">
        <v>99</v>
      </c>
      <c r="L108" s="99" t="s">
        <v>100</v>
      </c>
      <c r="M108" s="99" t="s">
        <v>101</v>
      </c>
      <c r="N108" s="99" t="s">
        <v>102</v>
      </c>
      <c r="O108" s="99" t="s">
        <v>103</v>
      </c>
    </row>
    <row r="109" spans="2:99">
      <c r="C109" s="99" t="s">
        <v>126</v>
      </c>
      <c r="D109" s="100">
        <f>SUM(D$6:D$19)+SUM(F$6:F$19)+SUM(H$6:H$19)+SUM(J$6:J$19)</f>
        <v>179.45443315907815</v>
      </c>
      <c r="E109" s="100">
        <f>SUM(L$6:L$19)+SUM(N$6:N$19)+SUM(P$6:P$19)+SUM(R$6:R$19)</f>
        <v>330.71938496568782</v>
      </c>
      <c r="F109" s="100">
        <f>SUM(T$6:T$19)+SUM(V$6:V$19)+SUM(X$6:X$19)+SUM(Z$6:Z$19)</f>
        <v>430.55367030784015</v>
      </c>
      <c r="G109" s="100">
        <f>SUM(AB$6:AB$19)+SUM(AD$6:AD$19)+SUM(AF$6:AF$19)+SUM(AH$6:AH$19)</f>
        <v>523</v>
      </c>
      <c r="H109" s="100">
        <f>SUM(AJ$6:AJ$19)+SUM(AL$6:AL$19)+SUM(AN$6:AN$19)+SUM(AP$6:AP$19)</f>
        <v>422.32769513904248</v>
      </c>
      <c r="I109" s="100">
        <f>SUM(AR$6:AR$19)+SUM(AT$6:AT$19)+SUM(AV$6:AV$19)+SUM(AX$6:AX$19)</f>
        <v>475.49161008272961</v>
      </c>
      <c r="J109" s="100">
        <f>SUM(AZ$6:AZ$19)+SUM(BB$6:BB$19)+SUM(BD$6:BD$19)+SUM(BF$6:BF$19)</f>
        <v>571</v>
      </c>
      <c r="K109" s="100">
        <f>SUM(BH$6:BH$19)+SUM(BJ$6:BJ$19)+SUM(BL$6:BL$19)+SUM(BN$6:BN$19)</f>
        <v>361.78243144542614</v>
      </c>
      <c r="L109" s="100">
        <f>SUM(BP$6:BP$19)+SUM(BR$6:BR$19)+SUM(BT$6:BT$19)+SUM(BV$6:BV$19)</f>
        <v>409.29468339782056</v>
      </c>
      <c r="M109" s="100">
        <f>SUM(BX$6:BX$19)+SUM(BZ$6:BZ$19)+SUM(CB$6:CB$19)+SUM(CD$6:CD$19)</f>
        <v>487.18138957468545</v>
      </c>
      <c r="N109" s="100">
        <f>SUM(CF$6:CF$19)+SUM(CH$6:CH$19)+SUM(CJ$6:CJ$19)+SUM(CL$6:CL$19)</f>
        <v>445.44375987988536</v>
      </c>
      <c r="O109" s="100">
        <f>SUM(CN$6:CN$19)+SUM(CP$6:CP$19)+SUM(CR$6:CR$19)+SUM(CT$6:CT$19)</f>
        <v>448.47111594220451</v>
      </c>
    </row>
    <row r="110" spans="2:99">
      <c r="C110" s="99" t="s">
        <v>127</v>
      </c>
      <c r="D110" s="100">
        <f>SUM(D$20:D$36)+SUM(F$20:F$36)+SUM(H$20:H$36)+SUM(J$20:J$36)</f>
        <v>521.79432766373532</v>
      </c>
      <c r="E110" s="100">
        <f>SUM(L$20:L$36)+SUM(N$20:N$36)+SUM(P$20:P$36)+SUM(R$20:R$36)</f>
        <v>709.1149847833683</v>
      </c>
      <c r="F110" s="100">
        <f>SUM(T$20:T$36)+SUM(V$20:V$36)+SUM(X$20:X$36)+SUM(Z$20:Z$36)</f>
        <v>1089.9203281980128</v>
      </c>
      <c r="G110" s="100">
        <f>SUM(AB$20:AB$36)+SUM(AD$20:AD$36)+SUM(AF$20:AF$36)+SUM(AH$20:AH$36)</f>
        <v>1051</v>
      </c>
      <c r="H110" s="100">
        <f>SUM(AJ$20:AJ$36)+SUM(AL$20:AL$36)+SUM(AN$20:AN$36)+SUM(AP$20:AP$36)</f>
        <v>882.93884266138855</v>
      </c>
      <c r="I110" s="100">
        <f>SUM(AR$20:AR$36)+SUM(AT$20:AT$36)+SUM(AV$20:AV$36)+SUM(AX$20:AX$36)</f>
        <v>962.8865623793497</v>
      </c>
      <c r="J110" s="100">
        <f>SUM(AZ$20:AZ$36)+SUM(BB$20:BB$36)+SUM(BD$20:BD$36)+SUM(BF$20:BF$36)</f>
        <v>1198</v>
      </c>
      <c r="K110" s="100">
        <f>SUM(BH$20:BH$36)+SUM(BJ$20:BJ$36)+SUM(BL$20:BL$36)+SUM(BN$20:BN$36)</f>
        <v>778.07960991961409</v>
      </c>
      <c r="L110" s="100">
        <f>SUM(BP$20:BP$36)+SUM(BR$20:BR$36)+SUM(BT$20:BT$36)+SUM(BV$20:BV$36)</f>
        <v>981.66806947217685</v>
      </c>
      <c r="M110" s="100">
        <f>SUM(BX$20:BX$36)+SUM(BZ$20:BZ$36)+SUM(CB$20:CB$36)+SUM(CD$20:CD$36)</f>
        <v>1291.3705703757487</v>
      </c>
      <c r="N110" s="100">
        <f>SUM(CF$20:CF$36)+SUM(CH$20:CH$36)+SUM(CJ$20:CJ$36)+SUM(CL$20:CL$36)</f>
        <v>972.67629554203143</v>
      </c>
      <c r="O110" s="100">
        <f>SUM(CN$20:CN$36)+SUM(CP$20:CP$36)+SUM(CR$20:CR$36)+SUM(CT$20:CT$36)</f>
        <v>999.6982159992607</v>
      </c>
    </row>
    <row r="111" spans="2:99">
      <c r="C111" s="99" t="s">
        <v>128</v>
      </c>
      <c r="D111" s="100">
        <f>SUM(D$37:D$48)+SUM(F$37:F$48)+SUM(H$37:H$48)+SUM(J$37:J$48)</f>
        <v>262.26142649545284</v>
      </c>
      <c r="E111" s="100">
        <f>SUM(L$37:L$48)+SUM(N$37:N$48)+SUM(P$37:P$48)+SUM(R$37:R$48)</f>
        <v>398.44559340928447</v>
      </c>
      <c r="F111" s="100">
        <f>SUM(T$37:T$48)+SUM(V$37:V$48)+SUM(X$37:X$48)+SUM(Z$37:Z$48)</f>
        <v>482.55367030784009</v>
      </c>
      <c r="G111" s="100">
        <f>SUM(AB$37:AB$48)+SUM(AD$37:AD$48)+SUM(AF$37:AF$48)+SUM(AH$37:AH$48)</f>
        <v>476</v>
      </c>
      <c r="H111" s="100">
        <f>SUM(AJ$37:AJ$48)+SUM(AL$37:AL$48)+SUM(AN$37:AN$48)+SUM(AP$37:AP$48)</f>
        <v>424.3725900962578</v>
      </c>
      <c r="I111" s="100">
        <f>SUM(AR$37:AR$48)+SUM(AT$37:AT$48)+SUM(AV$37:AV$48)+SUM(AX$37:AX$48)</f>
        <v>433.88878110996109</v>
      </c>
      <c r="J111" s="100">
        <f>SUM(AZ$37:AZ$48)+SUM(BB$37:BB$48)+SUM(BD$37:BD$48)+SUM(BF$37:BF$48)</f>
        <v>535</v>
      </c>
      <c r="K111" s="100">
        <f>SUM(BH$37:BH$48)+SUM(BJ$37:BJ$48)+SUM(BL$37:BL$48)+SUM(BN$37:BN$48)</f>
        <v>454.18839419690096</v>
      </c>
      <c r="L111" s="100">
        <f>SUM(BP$37:BP$48)+SUM(BR$37:BR$48)+SUM(BT$37:BT$48)+SUM(BV$37:BV$48)</f>
        <v>447.64886290063623</v>
      </c>
      <c r="M111" s="100">
        <f>SUM(BX$37:BX$48)+SUM(BZ$37:BZ$48)+SUM(CB$37:CB$48)+SUM(CD$37:CD$48)</f>
        <v>469.34719669661513</v>
      </c>
      <c r="N111" s="100">
        <f>SUM(CF$37:CF$48)+SUM(CH$37:CH$48)+SUM(CJ$37:CJ$48)+SUM(CL$37:CL$48)</f>
        <v>441.14160492916096</v>
      </c>
      <c r="O111" s="100">
        <f>SUM(CN$37:CN$48)+SUM(CP$37:CP$48)+SUM(CR$37:CR$48)+SUM(CT$37:CT$48)</f>
        <v>513.33309144331884</v>
      </c>
    </row>
    <row r="112" spans="2:99">
      <c r="C112" s="99" t="s">
        <v>129</v>
      </c>
      <c r="D112" s="100">
        <f>SUM(D$49:D$70)+SUM(F$49:F$70)+SUM(H$49:H$70)+SUM(J$49:J$70)</f>
        <v>352.24658788622139</v>
      </c>
      <c r="E112" s="100">
        <f>SUM(L$49:L$70)+SUM(N$49:N$70)+SUM(P$49:P$70)+SUM(R$49:R$70)</f>
        <v>592.01901617233671</v>
      </c>
      <c r="F112" s="100">
        <f>SUM(T$49:T$70)+SUM(V$49:V$70)+SUM(X$49:X$70)+SUM(Z$49:Z$70)</f>
        <v>607.27039602688785</v>
      </c>
      <c r="G112" s="100">
        <f>SUM(AB$49:AB$70)+SUM(AD$49:AD$70)+SUM(AF$49:AF$70)+SUM(AH$49:AH$70)</f>
        <v>752.72135760839456</v>
      </c>
      <c r="H112" s="100">
        <f>SUM(AJ$49:AJ$70)+SUM(AL$49:AL$70)+SUM(AN$49:AN$70)+SUM(AP$49:AP$70)</f>
        <v>607.49996830178441</v>
      </c>
      <c r="I112" s="100">
        <f>SUM(AR$49:AR$70)+SUM(AT$49:AT$70)+SUM(AV$49:AV$70)+SUM(AX$49:AX$70)</f>
        <v>691.93287481521656</v>
      </c>
      <c r="J112" s="100">
        <f>SUM(AZ$49:AZ$70)+SUM(BB$49:BB$70)+SUM(BD$49:BD$70)+SUM(BF$49:BF$70)</f>
        <v>614.71213895632934</v>
      </c>
      <c r="K112" s="100">
        <f>SUM(BH$49:BH$70)+SUM(BJ$49:BJ$70)+SUM(BL$49:BL$70)+SUM(BN$49:BN$70)</f>
        <v>624.95864621929627</v>
      </c>
      <c r="L112" s="100">
        <f>SUM(BP$49:BP$70)+SUM(BR$49:BR$70)+SUM(BT$49:BT$70)+SUM(BV$49:BV$70)</f>
        <v>594.31921363880826</v>
      </c>
      <c r="M112" s="100">
        <f>SUM(BX$49:BX$70)+SUM(BZ$49:BZ$70)+SUM(CB$49:CB$70)+SUM(CD$49:CD$70)</f>
        <v>698.38151258511107</v>
      </c>
      <c r="N112" s="100">
        <f>SUM(CF$49:CF$70)+SUM(CH$49:CH$70)+SUM(CJ$49:CJ$70)+SUM(CL$49:CL$70)</f>
        <v>684.52156587782372</v>
      </c>
      <c r="O112" s="100">
        <f>SUM(CN$49:CN$70)+SUM(CP$49:CP$70)+SUM(CR$49:CR$70)+SUM(CT$49:CT$70)</f>
        <v>547.73805502868868</v>
      </c>
    </row>
    <row r="113" spans="2:15">
      <c r="C113" s="99" t="s">
        <v>130</v>
      </c>
      <c r="D113" s="100">
        <f>SUM(D$71:D$86)+SUM(F$71:F$86)+SUM(H$71:H$86)+SUM(J$71:J$86)</f>
        <v>517.63544360105357</v>
      </c>
      <c r="E113" s="100">
        <f>SUM(L$71:L$86)+SUM(N$71:N$86)+SUM(P$71:P$86)+SUM(R$71:R$86)</f>
        <v>705.85715296869796</v>
      </c>
      <c r="F113" s="100">
        <f>SUM(T$71:T$86)+SUM(V$71:V$86)+SUM(X$71:X$86)+SUM(Z$71:Z$86)</f>
        <v>525.86178686677965</v>
      </c>
      <c r="G113" s="100">
        <f>SUM(AB$71:AB$86)+SUM(AD$71:AD$86)+SUM(AF$71:AF$86)+SUM(AH$71:AH$86)</f>
        <v>459.06921629162241</v>
      </c>
      <c r="H113" s="100">
        <f>SUM(AJ$71:AJ$86)+SUM(AL$71:AL$86)+SUM(AN$71:AN$86)+SUM(AP$71:AP$86)</f>
        <v>711.19548010129961</v>
      </c>
      <c r="I113" s="100">
        <f>SUM(AR$71:AR$86)+SUM(AT$71:AT$86)+SUM(AV$71:AV$86)+SUM(AX$71:AX$86)</f>
        <v>693.35396004287645</v>
      </c>
      <c r="J113" s="100">
        <f>SUM(AZ$71:AZ$86)+SUM(BB$71:BB$86)+SUM(BD$71:BD$86)+SUM(BF$71:BF$86)</f>
        <v>628.26813036955173</v>
      </c>
      <c r="K113" s="100">
        <f>SUM(BH$71:BH$86)+SUM(BJ$71:BJ$86)+SUM(BL$71:BL$86)+SUM(BN$71:BN$86)</f>
        <v>612.22346309986733</v>
      </c>
      <c r="L113" s="100">
        <f>SUM(BP$71:BP$86)+SUM(BR$71:BR$86)+SUM(BT$71:BT$86)+SUM(BV$71:BV$86)</f>
        <v>599.84926285893653</v>
      </c>
      <c r="M113" s="100">
        <f>SUM(BX$71:BX$86)+SUM(BZ$71:BZ$86)+SUM(CB$71:CB$86)+SUM(CD$71:CD$86)</f>
        <v>594.60326500497058</v>
      </c>
      <c r="N113" s="100">
        <f>SUM(CF$71:CF$86)+SUM(CH$71:CH$86)+SUM(CJ$71:CJ$86)+SUM(CL$71:CL$86)</f>
        <v>553.29521520074968</v>
      </c>
      <c r="O113" s="100">
        <f>SUM(CN$71:CN$86)+SUM(CP$71:CP$86)+SUM(CR$71:CR$86)+SUM(CT$71:CT$86)</f>
        <v>515.38725006003858</v>
      </c>
    </row>
    <row r="114" spans="2:15">
      <c r="C114" s="99" t="s">
        <v>131</v>
      </c>
      <c r="D114" s="100">
        <f>SUM(D$87:D$94)+SUM(F$87:F$94)+SUM(H$87:H$94)+SUM(J$87:J$94)</f>
        <v>183.02669523090611</v>
      </c>
      <c r="E114" s="100">
        <f>SUM(L$87:L$94)+SUM(N$87:N$94)+SUM(P$87:P$94)+SUM(R$87:R$94)</f>
        <v>243.5051920301205</v>
      </c>
      <c r="F114" s="100">
        <f>SUM(T$87:T$94)+SUM(V$87:V$94)+SUM(X$87:X$94)+SUM(Z$87:Z$94)</f>
        <v>179.89782248723736</v>
      </c>
      <c r="G114" s="100">
        <f>SUM(AB$87:AB$94)+SUM(AD$87:AD$94)+SUM(AF$87:AF$94)+SUM(AH$87:AH$94)</f>
        <v>194.72911682316843</v>
      </c>
      <c r="H114" s="100">
        <f>SUM(AJ$87:AJ$94)+SUM(AL$87:AL$94)+SUM(AN$87:AN$94)+SUM(AP$87:AP$94)</f>
        <v>170.72718896144454</v>
      </c>
      <c r="I114" s="100">
        <f>SUM(AR$87:AR$94)+SUM(AT$87:AT$94)+SUM(AV$87:AV$94)+SUM(AX$87:AX$94)</f>
        <v>197.43271698294217</v>
      </c>
      <c r="J114" s="100">
        <f>SUM(AZ$87:AZ$94)+SUM(BB$87:BB$94)+SUM(BD$87:BD$94)+SUM(BF$87:BF$94)</f>
        <v>187.37513623728097</v>
      </c>
      <c r="K114" s="100">
        <f>SUM(BH$87:BH$94)+SUM(BJ$87:BJ$94)+SUM(BL$87:BL$94)+SUM(BN$87:BN$94)</f>
        <v>193.22109642908498</v>
      </c>
      <c r="L114" s="100">
        <f>SUM(BP$87:BP$94)+SUM(BR$87:BR$94)+SUM(BT$87:BT$94)+SUM(BV$87:BV$94)</f>
        <v>236.92033950574353</v>
      </c>
      <c r="M114" s="100">
        <f>SUM(BX$87:BX$94)+SUM(BZ$87:BZ$94)+SUM(CB$87:CB$94)+SUM(CD$87:CD$94)</f>
        <v>186.33374078313585</v>
      </c>
      <c r="N114" s="100">
        <f>SUM(CF$87:CF$94)+SUM(CH$87:CH$94)+SUM(CJ$87:CJ$94)+SUM(CL$87:CL$94)</f>
        <v>161.96252865201083</v>
      </c>
      <c r="O114" s="100">
        <f>SUM(CN$87:CN$94)+SUM(CP$87:CP$94)+SUM(CR$87:CR$94)+SUM(CT$87:CT$94)</f>
        <v>163.96703491389962</v>
      </c>
    </row>
    <row r="115" spans="2:15">
      <c r="C115" s="99" t="s">
        <v>132</v>
      </c>
      <c r="D115" s="100">
        <f>SUM(D$95:D$105)+SUM(F$95:F$105)+SUM(H$95:H$105)+SUM(J$95:J$105)</f>
        <v>362.75194505788545</v>
      </c>
      <c r="E115" s="100">
        <f>SUM(L$95:L$105)+SUM(N$95:N$105)+SUM(P$95:P$105)+SUM(R$95:R$105)</f>
        <v>362.81450614588795</v>
      </c>
      <c r="F115" s="100">
        <f>SUM(T$95:T$105)+SUM(V$95:V$105)+SUM(X$95:X$105)+SUM(Z$95:Z$105)</f>
        <v>334.93634938616492</v>
      </c>
      <c r="G115" s="100">
        <f>SUM(AB$95:AB$105)+SUM(AD$95:AD$105)+SUM(AF$95:AF$105)+SUM(AH$95:AH$105)</f>
        <v>358.27478553667493</v>
      </c>
      <c r="H115" s="100">
        <f>SUM(AJ$95:AJ$105)+SUM(AL$95:AL$105)+SUM(AN$95:AN$105)+SUM(AP$95:AP$105)</f>
        <v>385.83537998116122</v>
      </c>
      <c r="I115" s="100">
        <f>SUM(AR$95:AR$105)+SUM(AT$95:AT$105)+SUM(AV$95:AV$105)+SUM(AX$95:AX$105)</f>
        <v>354.85092501016436</v>
      </c>
      <c r="J115" s="100">
        <f>SUM(AZ$95:AZ$105)+SUM(BB$95:BB$105)+SUM(BD$95:BD$105)+SUM(BF$95:BF$105)</f>
        <v>268.83664917181125</v>
      </c>
      <c r="K115" s="100">
        <f>SUM(BH$95:BH$105)+SUM(BJ$95:BJ$105)+SUM(BL$95:BL$105)+SUM(BN$95:BN$105)</f>
        <v>374.31896823043991</v>
      </c>
      <c r="L115" s="100">
        <f>SUM(BP$95:BP$105)+SUM(BR$95:BR$105)+SUM(BT$95:BT$105)+SUM(BV$95:BV$105)</f>
        <v>368.06466871743146</v>
      </c>
      <c r="M115" s="100">
        <f>SUM(BX$95:BX$105)+SUM(BZ$95:BZ$105)+SUM(CB$95:CB$105)+SUM(CD$95:CD$105)</f>
        <v>338.58472048211166</v>
      </c>
      <c r="N115" s="100">
        <f>SUM(CF$95:CF$105)+SUM(CH$95:CH$105)+SUM(CJ$95:CJ$105)+SUM(CL$95:CL$105)</f>
        <v>261.78866115049078</v>
      </c>
      <c r="O115" s="100">
        <f>SUM(CN$95:CN$105)+SUM(CP$95:CP$105)+SUM(CR$95:CR$105)+SUM(CT$95:CT$105)</f>
        <v>218.51672578691037</v>
      </c>
    </row>
    <row r="116" spans="2:15">
      <c r="C116" s="99" t="s">
        <v>278</v>
      </c>
      <c r="D116" s="100">
        <f t="shared" ref="D116:O116" si="0">SUM(D$109:D$115)</f>
        <v>2379.1708590943326</v>
      </c>
      <c r="E116" s="100">
        <f t="shared" si="0"/>
        <v>3342.4758304753841</v>
      </c>
      <c r="F116" s="100">
        <f t="shared" si="0"/>
        <v>3650.9940235807626</v>
      </c>
      <c r="G116" s="100">
        <f t="shared" si="0"/>
        <v>3814.7944762598609</v>
      </c>
      <c r="H116" s="100">
        <f t="shared" si="0"/>
        <v>3604.8971452423789</v>
      </c>
      <c r="I116" s="100">
        <f t="shared" si="0"/>
        <v>3809.8374304232402</v>
      </c>
      <c r="J116" s="100">
        <f t="shared" si="0"/>
        <v>4003.1920547349732</v>
      </c>
      <c r="K116" s="100">
        <f t="shared" si="0"/>
        <v>3398.7726095406292</v>
      </c>
      <c r="L116" s="100">
        <f t="shared" si="0"/>
        <v>3637.7651004915533</v>
      </c>
      <c r="M116" s="100">
        <f t="shared" si="0"/>
        <v>4065.8023955023787</v>
      </c>
      <c r="N116" s="100">
        <f t="shared" si="0"/>
        <v>3520.8296312321531</v>
      </c>
      <c r="O116" s="100">
        <f t="shared" si="0"/>
        <v>3407.1114891743214</v>
      </c>
    </row>
    <row r="118" spans="2:15">
      <c r="B118" s="103" t="s">
        <v>279</v>
      </c>
    </row>
    <row r="119" spans="2:15">
      <c r="C119" s="99" t="s">
        <v>277</v>
      </c>
      <c r="D119" s="99" t="s">
        <v>92</v>
      </c>
      <c r="E119" s="99" t="s">
        <v>93</v>
      </c>
      <c r="F119" s="99" t="s">
        <v>94</v>
      </c>
      <c r="G119" s="99" t="s">
        <v>95</v>
      </c>
      <c r="H119" s="99" t="s">
        <v>96</v>
      </c>
      <c r="I119" s="99" t="s">
        <v>97</v>
      </c>
      <c r="J119" s="99" t="s">
        <v>98</v>
      </c>
      <c r="K119" s="99" t="s">
        <v>99</v>
      </c>
      <c r="L119" s="99" t="s">
        <v>100</v>
      </c>
      <c r="M119" s="99" t="s">
        <v>101</v>
      </c>
      <c r="N119" s="99" t="s">
        <v>102</v>
      </c>
      <c r="O119" s="99" t="s">
        <v>103</v>
      </c>
    </row>
    <row r="120" spans="2:15">
      <c r="C120" s="99" t="s">
        <v>126</v>
      </c>
      <c r="D120" s="100">
        <f>D109*pricing!D15*2000</f>
        <v>1256181.032113547</v>
      </c>
      <c r="E120" s="100">
        <f>E109*pricing!E15*2000</f>
        <v>2315035.6947598145</v>
      </c>
      <c r="F120" s="100">
        <f>F109*pricing!F15*2000</f>
        <v>3013875.6921548811</v>
      </c>
      <c r="G120" s="100">
        <f>G109*pricing!G15*2000</f>
        <v>3661000</v>
      </c>
      <c r="H120" s="100">
        <f>H109*pricing!H15*2000</f>
        <v>2956293.865973297</v>
      </c>
      <c r="I120" s="100">
        <f>I109*pricing!I15*2000</f>
        <v>3328441.2705791076</v>
      </c>
      <c r="J120" s="100">
        <f>J109*pricing!J15*2000</f>
        <v>3997000</v>
      </c>
      <c r="K120" s="100">
        <f>K109*pricing!K15*2000</f>
        <v>2532477.0201179832</v>
      </c>
      <c r="L120" s="100">
        <f>L109*pricing!L15*2000</f>
        <v>2865062.7837847443</v>
      </c>
      <c r="M120" s="100">
        <f>M109*pricing!M15*2000</f>
        <v>3410269.7270227983</v>
      </c>
      <c r="N120" s="100">
        <f>N109*pricing!N15*2000</f>
        <v>3118106.3191591976</v>
      </c>
      <c r="O120" s="100">
        <f>O109*pricing!O15*2000</f>
        <v>3139297.8115954315</v>
      </c>
    </row>
    <row r="121" spans="2:15">
      <c r="C121" s="99" t="s">
        <v>127</v>
      </c>
      <c r="D121" s="100">
        <f>D110*pricing!D16*2000</f>
        <v>3652560.2936461475</v>
      </c>
      <c r="E121" s="100">
        <f>E110*pricing!E16*2000</f>
        <v>4963804.8934835782</v>
      </c>
      <c r="F121" s="100">
        <f>F110*pricing!F16*2000</f>
        <v>7629442.2973860903</v>
      </c>
      <c r="G121" s="100">
        <f>G110*pricing!G16*2000</f>
        <v>7357000</v>
      </c>
      <c r="H121" s="100">
        <f>H110*pricing!H16*2000</f>
        <v>6180571.8986297194</v>
      </c>
      <c r="I121" s="100">
        <f>I110*pricing!I16*2000</f>
        <v>6740205.9366554478</v>
      </c>
      <c r="J121" s="100">
        <f>J110*pricing!J16*2000</f>
        <v>8386000</v>
      </c>
      <c r="K121" s="100">
        <f>K110*pricing!K16*2000</f>
        <v>5446557.2694372982</v>
      </c>
      <c r="L121" s="100">
        <f>L110*pricing!L16*2000</f>
        <v>6871676.4863052377</v>
      </c>
      <c r="M121" s="100">
        <f>M110*pricing!M16*2000</f>
        <v>9039593.9926302414</v>
      </c>
      <c r="N121" s="100">
        <f>N110*pricing!N16*2000</f>
        <v>6808734.0687942198</v>
      </c>
      <c r="O121" s="100">
        <f>O110*pricing!O16*2000</f>
        <v>6997887.5119948257</v>
      </c>
    </row>
    <row r="122" spans="2:15">
      <c r="C122" s="99" t="s">
        <v>128</v>
      </c>
      <c r="D122" s="100">
        <f>D111*pricing!D17*2000</f>
        <v>1835829.9854681699</v>
      </c>
      <c r="E122" s="100">
        <f>E111*pricing!E17*2000</f>
        <v>2789119.1538649914</v>
      </c>
      <c r="F122" s="100">
        <f>F111*pricing!F17*2000</f>
        <v>3377875.6921548806</v>
      </c>
      <c r="G122" s="100">
        <f>G111*pricing!G17*2000</f>
        <v>3332000</v>
      </c>
      <c r="H122" s="100">
        <f>H111*pricing!H17*2000</f>
        <v>2970608.1306738048</v>
      </c>
      <c r="I122" s="100">
        <f>I111*pricing!I17*2000</f>
        <v>3037221.4677697276</v>
      </c>
      <c r="J122" s="100">
        <f>J111*pricing!J17*2000</f>
        <v>3745000</v>
      </c>
      <c r="K122" s="100">
        <f>K111*pricing!K17*2000</f>
        <v>3179318.759378307</v>
      </c>
      <c r="L122" s="100">
        <f>L111*pricing!L17*2000</f>
        <v>3133542.0403044536</v>
      </c>
      <c r="M122" s="100">
        <f>M111*pricing!M17*2000</f>
        <v>3285430.3768763058</v>
      </c>
      <c r="N122" s="100">
        <f>N111*pricing!N17*2000</f>
        <v>3087991.2345041265</v>
      </c>
      <c r="O122" s="100">
        <f>O111*pricing!O17*2000</f>
        <v>3593331.6401032316</v>
      </c>
    </row>
    <row r="123" spans="2:15">
      <c r="C123" s="99" t="s">
        <v>129</v>
      </c>
      <c r="D123" s="100">
        <f>D112*pricing!D18*2000</f>
        <v>2465726.1152035501</v>
      </c>
      <c r="E123" s="100">
        <f>E112*pricing!E18*2000</f>
        <v>4144133.1132063568</v>
      </c>
      <c r="F123" s="100">
        <f>F112*pricing!F18*2000</f>
        <v>4250892.7721882146</v>
      </c>
      <c r="G123" s="100">
        <f>G112*pricing!G18*2000</f>
        <v>5269049.5032587619</v>
      </c>
      <c r="H123" s="100">
        <f>H112*pricing!H18*2000</f>
        <v>4252499.7781124916</v>
      </c>
      <c r="I123" s="100">
        <f>I112*pricing!I18*2000</f>
        <v>4843530.1237065159</v>
      </c>
      <c r="J123" s="100">
        <f>J112*pricing!J18*2000</f>
        <v>4302984.9726943057</v>
      </c>
      <c r="K123" s="100">
        <f>K112*pricing!K18*2000</f>
        <v>4374710.5235350737</v>
      </c>
      <c r="L123" s="100">
        <f>L112*pricing!L18*2000</f>
        <v>4160234.4954716582</v>
      </c>
      <c r="M123" s="100">
        <f>M112*pricing!M18*2000</f>
        <v>4888670.5880957777</v>
      </c>
      <c r="N123" s="100">
        <f>N112*pricing!N18*2000</f>
        <v>4791650.9611447668</v>
      </c>
      <c r="O123" s="100">
        <f>O112*pricing!O18*2000</f>
        <v>3834166.3852008204</v>
      </c>
    </row>
    <row r="124" spans="2:15">
      <c r="C124" s="99" t="s">
        <v>130</v>
      </c>
      <c r="D124" s="100">
        <f>D113*pricing!D19*2000</f>
        <v>3623448.1052073753</v>
      </c>
      <c r="E124" s="100">
        <f>E113*pricing!E19*2000</f>
        <v>4941000.0707808854</v>
      </c>
      <c r="F124" s="100">
        <f>F113*pricing!F19*2000</f>
        <v>3681032.5080674575</v>
      </c>
      <c r="G124" s="100">
        <f>G113*pricing!G19*2000</f>
        <v>3213484.5140413567</v>
      </c>
      <c r="H124" s="100">
        <f>H113*pricing!H19*2000</f>
        <v>4978368.3607090972</v>
      </c>
      <c r="I124" s="100">
        <f>I113*pricing!I19*2000</f>
        <v>4853477.7203001352</v>
      </c>
      <c r="J124" s="100">
        <f>J113*pricing!J19*2000</f>
        <v>4397876.9125868622</v>
      </c>
      <c r="K124" s="100">
        <f>K113*pricing!K19*2000</f>
        <v>4285564.2416990716</v>
      </c>
      <c r="L124" s="100">
        <f>L113*pricing!L19*2000</f>
        <v>4198944.8400125559</v>
      </c>
      <c r="M124" s="100">
        <f>M113*pricing!M19*2000</f>
        <v>4162222.8550347937</v>
      </c>
      <c r="N124" s="100">
        <f>N113*pricing!N19*2000</f>
        <v>3873066.5064052478</v>
      </c>
      <c r="O124" s="100">
        <f>O113*pricing!O19*2000</f>
        <v>3607710.75042027</v>
      </c>
    </row>
    <row r="125" spans="2:15">
      <c r="C125" s="99" t="s">
        <v>131</v>
      </c>
      <c r="D125" s="100">
        <f>D114*pricing!D20*2000</f>
        <v>1281186.8666163427</v>
      </c>
      <c r="E125" s="100">
        <f>E114*pricing!E20*2000</f>
        <v>1704536.3442108436</v>
      </c>
      <c r="F125" s="100">
        <f>F114*pricing!F20*2000</f>
        <v>1259284.7574106616</v>
      </c>
      <c r="G125" s="100">
        <f>G114*pricing!G20*2000</f>
        <v>1363103.8177621791</v>
      </c>
      <c r="H125" s="100">
        <f>H114*pricing!H20*2000</f>
        <v>1195090.3227301119</v>
      </c>
      <c r="I125" s="100">
        <f>I114*pricing!I20*2000</f>
        <v>1382029.0188805952</v>
      </c>
      <c r="J125" s="100">
        <f>J114*pricing!J20*2000</f>
        <v>1311625.9536609668</v>
      </c>
      <c r="K125" s="100">
        <f>K114*pricing!K20*2000</f>
        <v>1352547.6750035947</v>
      </c>
      <c r="L125" s="100">
        <f>L114*pricing!L20*2000</f>
        <v>1658442.3765402047</v>
      </c>
      <c r="M125" s="100">
        <f>M114*pricing!M20*2000</f>
        <v>1304336.1854819509</v>
      </c>
      <c r="N125" s="100">
        <f>N114*pricing!N20*2000</f>
        <v>1133737.7005640757</v>
      </c>
      <c r="O125" s="100">
        <f>O114*pricing!O20*2000</f>
        <v>1147769.2443972973</v>
      </c>
    </row>
    <row r="126" spans="2:15">
      <c r="C126" s="99" t="s">
        <v>132</v>
      </c>
      <c r="D126" s="100">
        <f>D115*pricing!D21*2000</f>
        <v>2539263.6154051977</v>
      </c>
      <c r="E126" s="100">
        <f>E115*pricing!E21*2000</f>
        <v>2539701.5430212156</v>
      </c>
      <c r="F126" s="100">
        <f>F115*pricing!F21*2000</f>
        <v>2344554.4457031549</v>
      </c>
      <c r="G126" s="100">
        <f>G115*pricing!G21*2000</f>
        <v>2507923.4987567244</v>
      </c>
      <c r="H126" s="100">
        <f>H115*pricing!H21*2000</f>
        <v>2700847.6598681286</v>
      </c>
      <c r="I126" s="100">
        <f>I115*pricing!I21*2000</f>
        <v>2483956.4750711508</v>
      </c>
      <c r="J126" s="100">
        <f>J115*pricing!J21*2000</f>
        <v>1881856.5442026788</v>
      </c>
      <c r="K126" s="100">
        <f>K115*pricing!K21*2000</f>
        <v>2620232.7776130792</v>
      </c>
      <c r="L126" s="100">
        <f>L115*pricing!L21*2000</f>
        <v>2576452.6810220205</v>
      </c>
      <c r="M126" s="100">
        <f>M115*pricing!M21*2000</f>
        <v>2370093.0433747815</v>
      </c>
      <c r="N126" s="100">
        <f>N115*pricing!N21*2000</f>
        <v>1832520.6280534356</v>
      </c>
      <c r="O126" s="100">
        <f>O115*pricing!O21*2000</f>
        <v>1529617.0805083725</v>
      </c>
    </row>
    <row r="127" spans="2:15">
      <c r="C127" s="99" t="s">
        <v>278</v>
      </c>
      <c r="D127" s="100">
        <f t="shared" ref="D127:O127" si="1">SUM(D$120:D$126)</f>
        <v>16654196.01366033</v>
      </c>
      <c r="E127" s="100">
        <f t="shared" si="1"/>
        <v>23397330.813327689</v>
      </c>
      <c r="F127" s="100">
        <f t="shared" si="1"/>
        <v>25556958.165065341</v>
      </c>
      <c r="G127" s="100">
        <f t="shared" si="1"/>
        <v>26703561.333819021</v>
      </c>
      <c r="H127" s="100">
        <f t="shared" si="1"/>
        <v>25234280.016696651</v>
      </c>
      <c r="I127" s="100">
        <f t="shared" si="1"/>
        <v>26668862.01296268</v>
      </c>
      <c r="J127" s="100">
        <f t="shared" si="1"/>
        <v>28022344.383144811</v>
      </c>
      <c r="K127" s="100">
        <f t="shared" si="1"/>
        <v>23791408.266784407</v>
      </c>
      <c r="L127" s="100">
        <f t="shared" si="1"/>
        <v>25464355.703440879</v>
      </c>
      <c r="M127" s="100">
        <f t="shared" si="1"/>
        <v>28460616.768516649</v>
      </c>
      <c r="N127" s="100">
        <f t="shared" si="1"/>
        <v>24645807.418625068</v>
      </c>
      <c r="O127" s="100">
        <f t="shared" si="1"/>
        <v>23849780.424220249</v>
      </c>
    </row>
    <row r="129" spans="2:15">
      <c r="B129" s="103" t="s">
        <v>280</v>
      </c>
    </row>
    <row r="130" spans="2:15">
      <c r="C130" s="105" t="s">
        <v>277</v>
      </c>
      <c r="D130" s="105" t="s">
        <v>92</v>
      </c>
      <c r="E130" s="105" t="s">
        <v>93</v>
      </c>
      <c r="F130" s="105" t="s">
        <v>94</v>
      </c>
      <c r="G130" s="105" t="s">
        <v>95</v>
      </c>
      <c r="H130" s="105" t="s">
        <v>96</v>
      </c>
      <c r="I130" s="105" t="s">
        <v>97</v>
      </c>
      <c r="J130" s="105" t="s">
        <v>98</v>
      </c>
      <c r="K130" s="105" t="s">
        <v>99</v>
      </c>
      <c r="L130" s="105" t="s">
        <v>100</v>
      </c>
      <c r="M130" s="105" t="s">
        <v>101</v>
      </c>
      <c r="N130" s="105" t="s">
        <v>102</v>
      </c>
      <c r="O130" s="105" t="s">
        <v>103</v>
      </c>
    </row>
    <row r="131" spans="2:15">
      <c r="C131" s="105" t="s">
        <v>126</v>
      </c>
      <c r="D131" s="106">
        <f>SUM(E$6:E$19)+SUM(G$6:G$19)+SUM(I$6:I$19)+SUM(K$6:K$19)</f>
        <v>90589.777560726288</v>
      </c>
      <c r="E131" s="106">
        <f>SUM(M$6:M$19)+SUM(O$6:O$19)+SUM(Q$6:Q$19)+SUM(S$6:S$19)</f>
        <v>166850.09854672904</v>
      </c>
      <c r="F131" s="106">
        <f>SUM(U$6:U$19)+SUM(W$6:W$19)+SUM(Y$6:Y$19)+SUM(AA$6:AA$19)</f>
        <v>217508.40123175684</v>
      </c>
      <c r="G131" s="106">
        <f>SUM(AC$6:AC$19)+SUM(AE$6:AE$19)+SUM(AG$6:AG$19)+SUM(AI$6:AI$19)</f>
        <v>265140</v>
      </c>
      <c r="H131" s="106">
        <f>SUM(AK$6:AK$19)+SUM(AM$6:AM$19)+SUM(AO$6:AO$19)+SUM(AQ$6:AQ$19)</f>
        <v>214339.66073297738</v>
      </c>
      <c r="I131" s="106">
        <f>SUM(AS$6:AS$19)+SUM(AU$6:AU$19)+SUM(AW$6:AW$19)+SUM(AY$6:AY$19)</f>
        <v>241268.75065240409</v>
      </c>
      <c r="J131" s="106">
        <f>SUM(BA$6:BA$19)+SUM(BC$6:BC$19)+SUM(BE$6:BE$19)+SUM(BG$6:BG$19)</f>
        <v>286897.19999999995</v>
      </c>
      <c r="K131" s="106">
        <f>SUM(BI$6:BI$19)+SUM(BK$6:BK$19)+SUM(BM$6:BM$19)+SUM(BO$6:BO$19)</f>
        <v>182833.16066713905</v>
      </c>
      <c r="L131" s="106">
        <f>SUM(BQ$6:BQ$19)+SUM(BS$6:BS$19)+SUM(BU$6:BU$19)+SUM(BW$6:BW$19)</f>
        <v>206918.93887295155</v>
      </c>
      <c r="M131" s="106">
        <f>SUM(BY$6:BY$19)+SUM(CA$6:CA$19)+SUM(CC$6:CC$19)+SUM(CE$6:CE$19)</f>
        <v>246519.86090427765</v>
      </c>
      <c r="N131" s="106">
        <f>SUM(CG$6:CG$19)+SUM(CI$6:CI$19)+SUM(CK$6:CK$19)+SUM(CM$6:CM$19)</f>
        <v>225714.64053186623</v>
      </c>
      <c r="O131" s="106">
        <f>SUM(CO$6:CO$19)+SUM(CQ$6:CQ$19)+SUM(CS$6:CS$19)+SUM(CU$6:CU$19)</f>
        <v>226515.47640491431</v>
      </c>
    </row>
    <row r="132" spans="2:15">
      <c r="C132" s="105" t="s">
        <v>127</v>
      </c>
      <c r="D132" s="106">
        <f>SUM(E$20:E$36)+SUM(G$20:G$36)+SUM(I$20:I$36)+SUM(K$20:K$36)</f>
        <v>223411.0183617255</v>
      </c>
      <c r="E132" s="106">
        <f>SUM(M$20:M$36)+SUM(O$20:O$36)+SUM(Q$20:Q$36)+SUM(S$20:S$36)</f>
        <v>303998.04383213923</v>
      </c>
      <c r="F132" s="106">
        <f>SUM(U$20:U$36)+SUM(W$20:W$36)+SUM(Y$20:Y$36)+SUM(AA$20:AA$36)</f>
        <v>470096.15325975552</v>
      </c>
      <c r="G132" s="106">
        <f>SUM(AC$20:AC$36)+SUM(AE$20:AE$36)+SUM(AG$20:AG$36)+SUM(AI$20:AI$36)</f>
        <v>448689.6</v>
      </c>
      <c r="H132" s="106">
        <f>SUM(AK$20:AK$36)+SUM(AM$20:AM$36)+SUM(AO$20:AO$36)+SUM(AQ$20:AQ$36)</f>
        <v>379628.53149072424</v>
      </c>
      <c r="I132" s="106">
        <f>SUM(AS$20:AS$36)+SUM(AU$20:AU$36)+SUM(AW$20:AW$36)+SUM(AY$20:AY$36)</f>
        <v>411459.48675196391</v>
      </c>
      <c r="J132" s="106">
        <f>SUM(BA$20:BA$36)+SUM(BC$20:BC$36)+SUM(BE$20:BE$36)+SUM(BG$20:BG$36)</f>
        <v>515240.40000000008</v>
      </c>
      <c r="K132" s="106">
        <f>SUM(BI$20:BI$36)+SUM(BK$20:BK$36)+SUM(BM$20:BM$36)+SUM(BO$20:BO$36)</f>
        <v>334652.94028243172</v>
      </c>
      <c r="L132" s="106">
        <f>SUM(BQ$20:BQ$36)+SUM(BS$20:BS$36)+SUM(BU$20:BU$36)+SUM(BW$20:BW$36)</f>
        <v>420900.30365394498</v>
      </c>
      <c r="M132" s="106">
        <f>SUM(BY$20:BY$36)+SUM(CA$20:CA$36)+SUM(CC$20:CC$36)+SUM(CE$20:CE$36)</f>
        <v>554312.7244333328</v>
      </c>
      <c r="N132" s="106">
        <f>SUM(CG$20:CG$36)+SUM(CI$20:CI$36)+SUM(CK$20:CK$36)+SUM(CM$20:CM$36)</f>
        <v>416949.6538787366</v>
      </c>
      <c r="O132" s="106">
        <f>SUM(CO$20:CO$36)+SUM(CQ$20:CQ$36)+SUM(CS$20:CS$36)+SUM(CU$20:CU$36)</f>
        <v>427692.00882395537</v>
      </c>
    </row>
    <row r="133" spans="2:15">
      <c r="C133" s="105" t="s">
        <v>128</v>
      </c>
      <c r="D133" s="106">
        <f>SUM(E$37:E$48)+SUM(G$37:G$48)+SUM(I$37:I$48)+SUM(K$37:K$48)</f>
        <v>275892.49088797218</v>
      </c>
      <c r="E133" s="106">
        <f>SUM(M$37:M$48)+SUM(O$37:O$48)+SUM(Q$37:Q$48)+SUM(S$37:S$48)</f>
        <v>420975.48374913365</v>
      </c>
      <c r="F133" s="106">
        <f>SUM(U$37:U$48)+SUM(W$37:W$48)+SUM(Y$37:Y$48)+SUM(AA$37:AA$48)</f>
        <v>506879.95422338886</v>
      </c>
      <c r="G133" s="106">
        <f>SUM(AC$37:AC$48)+SUM(AE$37:AE$48)+SUM(AG$37:AG$48)+SUM(AI$37:AI$48)</f>
        <v>499161.60000000003</v>
      </c>
      <c r="H133" s="106">
        <f>SUM(AK$37:AK$48)+SUM(AM$37:AM$48)+SUM(AO$37:AO$48)+SUM(AQ$37:AQ$48)</f>
        <v>445560.2792388614</v>
      </c>
      <c r="I133" s="106">
        <f>SUM(AS$37:AS$48)+SUM(AU$37:AU$48)+SUM(AW$37:AW$48)+SUM(AY$37:AY$48)</f>
        <v>457514.61958345294</v>
      </c>
      <c r="J133" s="106">
        <f>SUM(BA$37:BA$48)+SUM(BC$37:BC$48)+SUM(BE$37:BE$48)+SUM(BG$37:BG$48)</f>
        <v>563908.80000000005</v>
      </c>
      <c r="K133" s="106">
        <f>SUM(BI$37:BI$48)+SUM(BK$37:BK$48)+SUM(BM$37:BM$48)+SUM(BO$37:BO$48)</f>
        <v>477734.87917731242</v>
      </c>
      <c r="L133" s="106">
        <f>SUM(BQ$37:BQ$48)+SUM(BS$37:BS$48)+SUM(BU$37:BU$48)+SUM(BW$37:BW$48)</f>
        <v>470847.56911173963</v>
      </c>
      <c r="M133" s="106">
        <f>SUM(BY$37:BY$48)+SUM(CA$37:CA$48)+SUM(CC$37:CC$48)+SUM(CE$37:CE$48)</f>
        <v>493722.21385889489</v>
      </c>
      <c r="N133" s="106">
        <f>SUM(CG$37:CG$48)+SUM(CI$37:CI$48)+SUM(CK$37:CK$48)+SUM(CM$37:CM$48)</f>
        <v>462879.63293877384</v>
      </c>
      <c r="O133" s="106">
        <f>SUM(CO$37:CO$48)+SUM(CQ$37:CQ$48)+SUM(CS$37:CS$48)+SUM(CU$37:CU$48)</f>
        <v>539944.75355897797</v>
      </c>
    </row>
    <row r="134" spans="2:15">
      <c r="C134" s="105" t="s">
        <v>129</v>
      </c>
      <c r="D134" s="106">
        <f>SUM(E$49:E$70)+SUM(G$49:G$70)+SUM(I$49:I$70)+SUM(K$49:K$70)</f>
        <v>318241.50022235099</v>
      </c>
      <c r="E134" s="106">
        <f>SUM(M$49:M$70)+SUM(O$49:O$70)+SUM(Q$49:Q$70)+SUM(S$49:S$70)</f>
        <v>507149.03353774128</v>
      </c>
      <c r="F134" s="106">
        <f>SUM(U$49:U$70)+SUM(W$49:W$70)+SUM(Y$49:Y$70)+SUM(AA$49:AA$70)</f>
        <v>505849.52967849566</v>
      </c>
      <c r="G134" s="106">
        <f>SUM(AC$49:AC$70)+SUM(AE$49:AE$70)+SUM(AG$49:AG$70)+SUM(AI$49:AI$70)</f>
        <v>623052.94096828951</v>
      </c>
      <c r="H134" s="106">
        <f>SUM(AK$49:AK$70)+SUM(AM$49:AM$70)+SUM(AO$49:AO$70)+SUM(AQ$49:AQ$70)</f>
        <v>511817.8694604818</v>
      </c>
      <c r="I134" s="106">
        <f>SUM(AS$49:AS$70)+SUM(AU$49:AU$70)+SUM(AW$49:AW$70)+SUM(AY$49:AY$70)</f>
        <v>580984.19058301323</v>
      </c>
      <c r="J134" s="106">
        <f>SUM(BA$49:BA$70)+SUM(BC$49:BC$70)+SUM(BE$49:BE$70)+SUM(BG$49:BG$70)</f>
        <v>504686.76932070823</v>
      </c>
      <c r="K134" s="106">
        <f>SUM(BI$49:BI$70)+SUM(BK$49:BK$70)+SUM(BM$49:BM$70)+SUM(BO$49:BO$70)</f>
        <v>536284.65281786746</v>
      </c>
      <c r="L134" s="106">
        <f>SUM(BQ$49:BQ$70)+SUM(BS$49:BS$70)+SUM(BU$49:BU$70)+SUM(BW$49:BW$70)</f>
        <v>500581.72633099591</v>
      </c>
      <c r="M134" s="106">
        <f>SUM(BY$49:BY$70)+SUM(CA$49:CA$70)+SUM(CC$49:CC$70)+SUM(CE$49:CE$70)</f>
        <v>574788.27307223016</v>
      </c>
      <c r="N134" s="106">
        <f>SUM(CG$49:CG$70)+SUM(CI$49:CI$70)+SUM(CK$49:CK$70)+SUM(CM$49:CM$70)</f>
        <v>565264.99704848533</v>
      </c>
      <c r="O134" s="106">
        <f>SUM(CO$49:CO$70)+SUM(CQ$49:CQ$70)+SUM(CS$49:CS$70)+SUM(CU$49:CU$70)</f>
        <v>446828.16906726611</v>
      </c>
    </row>
    <row r="135" spans="2:15">
      <c r="C135" s="105" t="s">
        <v>130</v>
      </c>
      <c r="D135" s="106">
        <f>SUM(E$71:E$86)+SUM(G$71:G$86)+SUM(I$71:I$86)+SUM(K$71:K$86)</f>
        <v>291673.74240519165</v>
      </c>
      <c r="E135" s="106">
        <f>SUM(M$71:M$86)+SUM(O$71:O$86)+SUM(Q$71:Q$86)+SUM(S$71:S$86)</f>
        <v>394803.25535044633</v>
      </c>
      <c r="F135" s="106">
        <f>SUM(U$71:U$86)+SUM(W$71:W$86)+SUM(Y$71:Y$86)+SUM(AA$71:AA$86)</f>
        <v>293669.68328283139</v>
      </c>
      <c r="G135" s="106">
        <f>SUM(AC$71:AC$86)+SUM(AE$71:AE$86)+SUM(AG$71:AG$86)+SUM(AI$71:AI$86)</f>
        <v>258203.40834698654</v>
      </c>
      <c r="H135" s="106">
        <f>SUM(AK$71:AK$86)+SUM(AM$71:AM$86)+SUM(AO$71:AO$86)+SUM(AQ$71:AQ$86)</f>
        <v>399646.17887544807</v>
      </c>
      <c r="I135" s="106">
        <f>SUM(AS$71:AS$86)+SUM(AU$71:AU$86)+SUM(AW$71:AW$86)+SUM(AY$71:AY$86)</f>
        <v>387167.25916645234</v>
      </c>
      <c r="J135" s="106">
        <f>SUM(BA$71:BA$86)+SUM(BC$71:BC$86)+SUM(BE$71:BE$86)+SUM(BG$71:BG$86)</f>
        <v>350488.20367384754</v>
      </c>
      <c r="K135" s="106">
        <f>SUM(BI$71:BI$86)+SUM(BK$71:BK$86)+SUM(BM$71:BM$86)+SUM(BO$71:BO$86)</f>
        <v>343564.73349179828</v>
      </c>
      <c r="L135" s="106">
        <f>SUM(BQ$71:BQ$86)+SUM(BS$71:BS$86)+SUM(BU$71:BU$86)+SUM(BW$71:BW$86)</f>
        <v>336129.40184444597</v>
      </c>
      <c r="M135" s="106">
        <f>SUM(BY$71:BY$86)+SUM(CA$71:CA$86)+SUM(CC$71:CC$86)+SUM(CE$71:CE$86)</f>
        <v>335281.15370268578</v>
      </c>
      <c r="N135" s="106">
        <f>SUM(CG$71:CG$86)+SUM(CI$71:CI$86)+SUM(CK$71:CK$86)+SUM(CM$71:CM$86)</f>
        <v>308879.29637122888</v>
      </c>
      <c r="O135" s="106">
        <f>SUM(CO$71:CO$86)+SUM(CQ$71:CQ$86)+SUM(CS$71:CS$86)+SUM(CU$71:CU$86)</f>
        <v>289892.07053872512</v>
      </c>
    </row>
    <row r="136" spans="2:15">
      <c r="C136" s="105" t="s">
        <v>131</v>
      </c>
      <c r="D136" s="106">
        <f>SUM(E$87:E$94)+SUM(G$87:G$94)+SUM(I$87:I$94)+SUM(K$87:K$94)</f>
        <v>183703.6447241992</v>
      </c>
      <c r="E136" s="106">
        <f>SUM(M$87:M$94)+SUM(O$87:O$94)+SUM(Q$87:Q$94)+SUM(S$87:S$94)</f>
        <v>245046.11166521962</v>
      </c>
      <c r="F136" s="106">
        <f>SUM(U$87:U$94)+SUM(W$87:W$94)+SUM(Y$87:Y$94)+SUM(AA$87:AA$94)</f>
        <v>180213.11785966961</v>
      </c>
      <c r="G136" s="106">
        <f>SUM(AC$87:AC$94)+SUM(AE$87:AE$94)+SUM(AG$87:AG$94)+SUM(AI$87:AI$94)</f>
        <v>195449.57380563632</v>
      </c>
      <c r="H136" s="106">
        <f>SUM(AK$87:AK$94)+SUM(AM$87:AM$94)+SUM(AO$87:AO$94)+SUM(AQ$87:AQ$94)</f>
        <v>171091.86518673931</v>
      </c>
      <c r="I136" s="106">
        <f>SUM(AS$87:AS$94)+SUM(AU$87:AU$94)+SUM(AW$87:AW$94)+SUM(AY$87:AY$94)</f>
        <v>198239.93564528774</v>
      </c>
      <c r="J136" s="106">
        <f>SUM(BA$87:BA$94)+SUM(BC$87:BC$94)+SUM(BE$87:BE$94)+SUM(BG$87:BG$94)</f>
        <v>187766.37916644837</v>
      </c>
      <c r="K136" s="106">
        <f>SUM(BI$87:BI$94)+SUM(BK$87:BK$94)+SUM(BM$87:BM$94)+SUM(BO$87:BO$94)</f>
        <v>194138.73456908786</v>
      </c>
      <c r="L136" s="106">
        <f>SUM(BQ$87:BQ$94)+SUM(BS$87:BS$94)+SUM(BU$87:BU$94)+SUM(BW$87:BW$94)</f>
        <v>238033.5752480306</v>
      </c>
      <c r="M136" s="106">
        <f>SUM(BY$87:BY$94)+SUM(CA$87:CA$94)+SUM(CC$87:CC$94)+SUM(CE$87:CE$94)</f>
        <v>187259.02971454486</v>
      </c>
      <c r="N136" s="106">
        <f>SUM(CG$87:CG$94)+SUM(CI$87:CI$94)+SUM(CK$87:CK$94)+SUM(CM$87:CM$94)</f>
        <v>163078.34490461549</v>
      </c>
      <c r="O136" s="106">
        <f>SUM(CO$87:CO$94)+SUM(CQ$87:CQ$94)+SUM(CS$87:CS$94)+SUM(CU$87:CU$94)</f>
        <v>165063.1763556232</v>
      </c>
    </row>
    <row r="137" spans="2:15">
      <c r="C137" s="105" t="s">
        <v>132</v>
      </c>
      <c r="D137" s="106">
        <f>SUM(E$95:E$105)+SUM(G$95:G$105)+SUM(I$95:I$105)+SUM(K$95:K$105)</f>
        <v>295143.46393365576</v>
      </c>
      <c r="E137" s="106">
        <f>SUM(M$95:M$105)+SUM(O$95:O$105)+SUM(Q$95:Q$105)+SUM(S$95:S$105)</f>
        <v>299851.63106845447</v>
      </c>
      <c r="F137" s="106">
        <f>SUM(U$95:U$105)+SUM(W$95:W$105)+SUM(Y$95:Y$105)+SUM(AA$95:AA$105)</f>
        <v>266614.96419236658</v>
      </c>
      <c r="G137" s="106">
        <f>SUM(AC$95:AC$105)+SUM(AE$95:AE$105)+SUM(AG$95:AG$105)+SUM(AI$95:AI$105)</f>
        <v>291450.56892337755</v>
      </c>
      <c r="H137" s="106">
        <f>SUM(AK$95:AK$105)+SUM(AM$95:AM$105)+SUM(AO$95:AO$105)+SUM(AQ$95:AQ$105)</f>
        <v>307949.89272853907</v>
      </c>
      <c r="I137" s="106">
        <f>SUM(AS$95:AS$105)+SUM(AU$95:AU$105)+SUM(AW$95:AW$105)+SUM(AY$95:AY$105)</f>
        <v>287968.29183597222</v>
      </c>
      <c r="J137" s="106">
        <f>SUM(BA$95:BA$105)+SUM(BC$95:BC$105)+SUM(BE$95:BE$105)+SUM(BG$95:BG$105)</f>
        <v>209287.03139458824</v>
      </c>
      <c r="K137" s="106">
        <f>SUM(BI$95:BI$105)+SUM(BK$95:BK$105)+SUM(BM$95:BM$105)+SUM(BO$95:BO$105)</f>
        <v>309385.48340410012</v>
      </c>
      <c r="L137" s="106">
        <f>SUM(BQ$95:BQ$105)+SUM(BS$95:BS$105)+SUM(BU$95:BU$105)+SUM(BW$95:BW$105)</f>
        <v>298334.18261063268</v>
      </c>
      <c r="M137" s="106">
        <f>SUM(BY$95:BY$105)+SUM(CA$95:CA$105)+SUM(CC$95:CC$105)+SUM(CE$95:CE$105)</f>
        <v>272547.58076670981</v>
      </c>
      <c r="N137" s="106">
        <f>SUM(CG$95:CG$105)+SUM(CI$95:CI$105)+SUM(CK$95:CK$105)+SUM(CM$95:CM$105)</f>
        <v>209272.52995715803</v>
      </c>
      <c r="O137" s="106">
        <f>SUM(CO$95:CO$105)+SUM(CQ$95:CQ$105)+SUM(CS$95:CS$105)+SUM(CU$95:CU$105)</f>
        <v>179284.39444249377</v>
      </c>
    </row>
    <row r="138" spans="2:15">
      <c r="C138" s="105" t="s">
        <v>278</v>
      </c>
      <c r="D138" s="100">
        <f t="shared" ref="D138:O138" si="2">SUM(D$131:D$137)</f>
        <v>1678655.6380958215</v>
      </c>
      <c r="E138" s="100">
        <f t="shared" si="2"/>
        <v>2338673.6577498638</v>
      </c>
      <c r="F138" s="100">
        <f t="shared" si="2"/>
        <v>2440831.8037282648</v>
      </c>
      <c r="G138" s="100">
        <f t="shared" si="2"/>
        <v>2581147.6920442898</v>
      </c>
      <c r="H138" s="100">
        <f t="shared" si="2"/>
        <v>2430034.2777137714</v>
      </c>
      <c r="I138" s="100">
        <f t="shared" si="2"/>
        <v>2564602.5342185465</v>
      </c>
      <c r="J138" s="100">
        <f t="shared" si="2"/>
        <v>2618274.7835555929</v>
      </c>
      <c r="K138" s="100">
        <f t="shared" si="2"/>
        <v>2378594.584409737</v>
      </c>
      <c r="L138" s="100">
        <f t="shared" si="2"/>
        <v>2471745.6976727415</v>
      </c>
      <c r="M138" s="100">
        <f t="shared" si="2"/>
        <v>2664430.836452676</v>
      </c>
      <c r="N138" s="100">
        <f t="shared" si="2"/>
        <v>2352039.0956308646</v>
      </c>
      <c r="O138" s="100">
        <f t="shared" si="2"/>
        <v>2275220.0491919555</v>
      </c>
    </row>
  </sheetData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U138"/>
  <sheetViews>
    <sheetView workbookViewId="0"/>
  </sheetViews>
  <sheetFormatPr baseColWidth="10" defaultColWidth="8.83203125" defaultRowHeight="12" x14ac:dyDescent="0"/>
  <cols>
    <col min="1" max="16384" width="8.83203125" style="100"/>
  </cols>
  <sheetData>
    <row r="2" spans="1:99">
      <c r="B2" s="102" t="s">
        <v>272</v>
      </c>
    </row>
    <row r="3" spans="1:99">
      <c r="B3" s="103" t="s">
        <v>281</v>
      </c>
    </row>
    <row r="4" spans="1:99">
      <c r="A4" s="101"/>
      <c r="B4" s="101"/>
      <c r="C4" s="99" t="s">
        <v>274</v>
      </c>
      <c r="D4" s="99" t="s">
        <v>92</v>
      </c>
      <c r="E4" s="101"/>
      <c r="F4" s="101"/>
      <c r="G4" s="101"/>
      <c r="H4" s="101"/>
      <c r="I4" s="101"/>
      <c r="J4" s="101"/>
      <c r="K4" s="101"/>
      <c r="L4" s="99" t="s">
        <v>93</v>
      </c>
      <c r="M4" s="101"/>
      <c r="N4" s="101"/>
      <c r="O4" s="101"/>
      <c r="P4" s="101"/>
      <c r="Q4" s="101"/>
      <c r="R4" s="101"/>
      <c r="S4" s="101"/>
      <c r="T4" s="99" t="s">
        <v>94</v>
      </c>
      <c r="U4" s="101"/>
      <c r="V4" s="101"/>
      <c r="W4" s="101"/>
      <c r="X4" s="101"/>
      <c r="Y4" s="101"/>
      <c r="Z4" s="101"/>
      <c r="AA4" s="101"/>
      <c r="AB4" s="99" t="s">
        <v>95</v>
      </c>
      <c r="AC4" s="101"/>
      <c r="AD4" s="101"/>
      <c r="AE4" s="101"/>
      <c r="AF4" s="101"/>
      <c r="AG4" s="101"/>
      <c r="AH4" s="101"/>
      <c r="AI4" s="101"/>
      <c r="AJ4" s="99" t="s">
        <v>96</v>
      </c>
      <c r="AK4" s="101"/>
      <c r="AL4" s="101"/>
      <c r="AM4" s="101"/>
      <c r="AN4" s="101"/>
      <c r="AO4" s="101"/>
      <c r="AP4" s="101"/>
      <c r="AQ4" s="101"/>
      <c r="AR4" s="99" t="s">
        <v>97</v>
      </c>
      <c r="AS4" s="101"/>
      <c r="AT4" s="101"/>
      <c r="AU4" s="101"/>
      <c r="AV4" s="101"/>
      <c r="AW4" s="101"/>
      <c r="AX4" s="101"/>
      <c r="AY4" s="101"/>
      <c r="AZ4" s="99" t="s">
        <v>98</v>
      </c>
      <c r="BA4" s="101"/>
      <c r="BB4" s="101"/>
      <c r="BC4" s="101"/>
      <c r="BD4" s="101"/>
      <c r="BE4" s="101"/>
      <c r="BF4" s="101"/>
      <c r="BG4" s="101"/>
      <c r="BH4" s="99" t="s">
        <v>99</v>
      </c>
      <c r="BI4" s="101"/>
      <c r="BJ4" s="101"/>
      <c r="BK4" s="101"/>
      <c r="BL4" s="101"/>
      <c r="BM4" s="101"/>
      <c r="BN4" s="101"/>
      <c r="BO4" s="101"/>
      <c r="BP4" s="99" t="s">
        <v>100</v>
      </c>
      <c r="BQ4" s="101"/>
      <c r="BR4" s="101"/>
      <c r="BS4" s="101"/>
      <c r="BT4" s="101"/>
      <c r="BU4" s="101"/>
      <c r="BV4" s="101"/>
      <c r="BW4" s="101"/>
      <c r="BX4" s="99" t="s">
        <v>101</v>
      </c>
      <c r="BY4" s="101"/>
      <c r="BZ4" s="101"/>
      <c r="CA4" s="101"/>
      <c r="CB4" s="101"/>
      <c r="CC4" s="101"/>
      <c r="CD4" s="101"/>
      <c r="CE4" s="101"/>
      <c r="CF4" s="99" t="s">
        <v>102</v>
      </c>
      <c r="CG4" s="101"/>
      <c r="CH4" s="101"/>
      <c r="CI4" s="101"/>
      <c r="CJ4" s="101"/>
      <c r="CK4" s="101"/>
      <c r="CL4" s="101"/>
      <c r="CM4" s="101"/>
      <c r="CN4" s="99" t="s">
        <v>103</v>
      </c>
      <c r="CO4" s="101"/>
      <c r="CP4" s="101"/>
      <c r="CQ4" s="101"/>
      <c r="CR4" s="101"/>
      <c r="CS4" s="101"/>
      <c r="CT4" s="101"/>
      <c r="CU4" s="101"/>
    </row>
    <row r="5" spans="1:99">
      <c r="B5" s="99" t="s">
        <v>167</v>
      </c>
      <c r="C5" s="99" t="s">
        <v>275</v>
      </c>
      <c r="D5" s="99">
        <v>1</v>
      </c>
      <c r="E5" s="99"/>
      <c r="F5" s="99">
        <v>2</v>
      </c>
      <c r="G5" s="99"/>
      <c r="H5" s="99">
        <v>3</v>
      </c>
      <c r="I5" s="99"/>
      <c r="J5" s="99">
        <v>4</v>
      </c>
      <c r="K5" s="99"/>
      <c r="L5" s="99">
        <v>1</v>
      </c>
      <c r="M5" s="99"/>
      <c r="N5" s="99">
        <v>2</v>
      </c>
      <c r="O5" s="99"/>
      <c r="P5" s="99">
        <v>3</v>
      </c>
      <c r="Q5" s="99"/>
      <c r="R5" s="99">
        <v>4</v>
      </c>
      <c r="S5" s="99"/>
      <c r="T5" s="99">
        <v>1</v>
      </c>
      <c r="U5" s="99"/>
      <c r="V5" s="99">
        <v>2</v>
      </c>
      <c r="W5" s="99"/>
      <c r="X5" s="99">
        <v>3</v>
      </c>
      <c r="Y5" s="99"/>
      <c r="Z5" s="99">
        <v>4</v>
      </c>
      <c r="AA5" s="99"/>
      <c r="AB5" s="99">
        <v>1</v>
      </c>
      <c r="AC5" s="99"/>
      <c r="AD5" s="99">
        <v>2</v>
      </c>
      <c r="AE5" s="99"/>
      <c r="AF5" s="99">
        <v>3</v>
      </c>
      <c r="AG5" s="99"/>
      <c r="AH5" s="99">
        <v>4</v>
      </c>
      <c r="AI5" s="99"/>
      <c r="AJ5" s="99">
        <v>1</v>
      </c>
      <c r="AK5" s="99"/>
      <c r="AL5" s="99">
        <v>2</v>
      </c>
      <c r="AM5" s="99"/>
      <c r="AN5" s="99">
        <v>3</v>
      </c>
      <c r="AO5" s="99"/>
      <c r="AP5" s="99">
        <v>4</v>
      </c>
      <c r="AQ5" s="99"/>
      <c r="AR5" s="99">
        <v>1</v>
      </c>
      <c r="AS5" s="99"/>
      <c r="AT5" s="99">
        <v>2</v>
      </c>
      <c r="AU5" s="99"/>
      <c r="AV5" s="99">
        <v>3</v>
      </c>
      <c r="AW5" s="99"/>
      <c r="AX5" s="99">
        <v>4</v>
      </c>
      <c r="AY5" s="99"/>
      <c r="AZ5" s="99">
        <v>1</v>
      </c>
      <c r="BA5" s="99"/>
      <c r="BB5" s="99">
        <v>2</v>
      </c>
      <c r="BC5" s="99"/>
      <c r="BD5" s="99">
        <v>3</v>
      </c>
      <c r="BE5" s="99"/>
      <c r="BF5" s="99">
        <v>4</v>
      </c>
      <c r="BG5" s="99"/>
      <c r="BH5" s="99">
        <v>1</v>
      </c>
      <c r="BI5" s="99"/>
      <c r="BJ5" s="99">
        <v>2</v>
      </c>
      <c r="BK5" s="99"/>
      <c r="BL5" s="99">
        <v>3</v>
      </c>
      <c r="BM5" s="99"/>
      <c r="BN5" s="99">
        <v>4</v>
      </c>
      <c r="BO5" s="99"/>
      <c r="BP5" s="99">
        <v>1</v>
      </c>
      <c r="BQ5" s="99"/>
      <c r="BR5" s="99">
        <v>2</v>
      </c>
      <c r="BS5" s="99"/>
      <c r="BT5" s="99">
        <v>3</v>
      </c>
      <c r="BU5" s="99"/>
      <c r="BV5" s="99">
        <v>4</v>
      </c>
      <c r="BW5" s="99"/>
      <c r="BX5" s="99">
        <v>1</v>
      </c>
      <c r="BY5" s="99"/>
      <c r="BZ5" s="99">
        <v>2</v>
      </c>
      <c r="CA5" s="99"/>
      <c r="CB5" s="99">
        <v>3</v>
      </c>
      <c r="CC5" s="99"/>
      <c r="CD5" s="99">
        <v>4</v>
      </c>
      <c r="CE5" s="99"/>
      <c r="CF5" s="99">
        <v>1</v>
      </c>
      <c r="CG5" s="99"/>
      <c r="CH5" s="99">
        <v>2</v>
      </c>
      <c r="CI5" s="99"/>
      <c r="CJ5" s="99">
        <v>3</v>
      </c>
      <c r="CK5" s="99"/>
      <c r="CL5" s="99">
        <v>4</v>
      </c>
      <c r="CM5" s="99"/>
      <c r="CN5" s="99">
        <v>1</v>
      </c>
      <c r="CO5" s="99"/>
      <c r="CP5" s="99">
        <v>2</v>
      </c>
      <c r="CQ5" s="99"/>
      <c r="CR5" s="99">
        <v>3</v>
      </c>
      <c r="CS5" s="99"/>
      <c r="CT5" s="99">
        <v>4</v>
      </c>
      <c r="CU5" s="99"/>
    </row>
    <row r="6" spans="1:99">
      <c r="B6" s="99" t="s">
        <v>126</v>
      </c>
      <c r="C6" s="99" t="s">
        <v>172</v>
      </c>
      <c r="D6" s="100">
        <v>1.4309426012470974</v>
      </c>
      <c r="E6" s="100">
        <v>827.65720056132113</v>
      </c>
      <c r="F6" s="100">
        <v>4.520161915066744</v>
      </c>
      <c r="G6" s="100">
        <v>2614.4616516746046</v>
      </c>
      <c r="H6" s="100">
        <v>3.2991810559457897</v>
      </c>
      <c r="I6" s="100">
        <v>1908.2463227590447</v>
      </c>
      <c r="J6" s="100">
        <v>5.3436918501681534</v>
      </c>
      <c r="K6" s="100">
        <v>3090.79136613726</v>
      </c>
      <c r="L6" s="100">
        <v>5.3775608529920023</v>
      </c>
      <c r="M6" s="100">
        <v>3110.3811973705738</v>
      </c>
      <c r="N6" s="100">
        <v>4.7358125876419344</v>
      </c>
      <c r="O6" s="100">
        <v>2739.1940006920945</v>
      </c>
      <c r="P6" s="100">
        <v>4.2933747671581548</v>
      </c>
      <c r="Q6" s="100">
        <v>2483.2879653242767</v>
      </c>
      <c r="R6" s="100">
        <v>6.0727754267763121</v>
      </c>
      <c r="S6" s="100">
        <v>3512.4933068474188</v>
      </c>
      <c r="T6" s="100">
        <v>5.5213483158215038</v>
      </c>
      <c r="U6" s="100">
        <v>3193.5478658711577</v>
      </c>
      <c r="V6" s="100">
        <v>7.0918030785116422</v>
      </c>
      <c r="W6" s="100">
        <v>4101.8989006111333</v>
      </c>
      <c r="X6" s="100">
        <v>5</v>
      </c>
      <c r="Y6" s="100">
        <v>2892</v>
      </c>
      <c r="Z6" s="100">
        <v>6.9212011890630256</v>
      </c>
      <c r="AA6" s="100">
        <v>4003.2227677540541</v>
      </c>
      <c r="AB6" s="100">
        <v>4.9132288550228935</v>
      </c>
      <c r="AC6" s="100">
        <v>2841.8115697452413</v>
      </c>
      <c r="AD6" s="100">
        <v>6.1720562081213171</v>
      </c>
      <c r="AE6" s="100">
        <v>3569.9173107773695</v>
      </c>
      <c r="AF6" s="100">
        <v>5.0318032207809065</v>
      </c>
      <c r="AG6" s="100">
        <v>2910.3949828996761</v>
      </c>
      <c r="AH6" s="100">
        <v>5.8647320985972469</v>
      </c>
      <c r="AI6" s="100">
        <v>3392.1610458286473</v>
      </c>
      <c r="AJ6" s="100">
        <v>5.7956361444611648</v>
      </c>
      <c r="AK6" s="100">
        <v>3352.1959459563377</v>
      </c>
      <c r="AL6" s="100">
        <v>3.1786461806938995</v>
      </c>
      <c r="AM6" s="100">
        <v>1838.5289509133513</v>
      </c>
      <c r="AN6" s="100">
        <v>5.3096037335170099</v>
      </c>
      <c r="AO6" s="100">
        <v>3071.0747994662383</v>
      </c>
      <c r="AP6" s="100">
        <v>4.4376507106042418</v>
      </c>
      <c r="AQ6" s="100">
        <v>2566.7371710134935</v>
      </c>
      <c r="AR6" s="100">
        <v>5</v>
      </c>
      <c r="AS6" s="100">
        <v>2892</v>
      </c>
      <c r="AT6" s="100">
        <v>4.5919095453376908</v>
      </c>
      <c r="AU6" s="100">
        <v>2655.9604810233204</v>
      </c>
      <c r="AV6" s="100">
        <v>3.2826386637450198</v>
      </c>
      <c r="AW6" s="100">
        <v>1898.6782031101193</v>
      </c>
      <c r="AX6" s="100">
        <v>8</v>
      </c>
      <c r="AY6" s="100">
        <v>4627.2</v>
      </c>
      <c r="AZ6" s="100">
        <v>6.7887521156345692</v>
      </c>
      <c r="BA6" s="100">
        <v>3926.6142236830347</v>
      </c>
      <c r="BB6" s="100">
        <v>4.1434634831267898</v>
      </c>
      <c r="BC6" s="100">
        <v>2396.579278640535</v>
      </c>
      <c r="BD6" s="100">
        <v>5.1578207123193822</v>
      </c>
      <c r="BE6" s="100">
        <v>2983.2835000055306</v>
      </c>
      <c r="BF6" s="100">
        <v>5.4940984715483498</v>
      </c>
      <c r="BG6" s="100">
        <v>3177.7865559435654</v>
      </c>
      <c r="BH6" s="100">
        <v>6.2562248175402413</v>
      </c>
      <c r="BI6" s="100">
        <v>3618.6004344652756</v>
      </c>
      <c r="BJ6" s="100">
        <v>5.4335017972298019</v>
      </c>
      <c r="BK6" s="100">
        <v>3142.7374395177171</v>
      </c>
      <c r="BL6" s="100">
        <v>3.2609326371461007</v>
      </c>
      <c r="BM6" s="100">
        <v>1886.1234373253046</v>
      </c>
      <c r="BN6" s="100">
        <v>8</v>
      </c>
      <c r="BO6" s="100">
        <v>4627.2</v>
      </c>
      <c r="BP6" s="100">
        <v>6.017174169413086</v>
      </c>
      <c r="BQ6" s="100">
        <v>3480.3335395885288</v>
      </c>
      <c r="BR6" s="100">
        <v>2.8310000136011859</v>
      </c>
      <c r="BS6" s="100">
        <v>1637.4504078669258</v>
      </c>
      <c r="BT6" s="100">
        <v>4.8340407303145883</v>
      </c>
      <c r="BU6" s="100">
        <v>2796.0091584139577</v>
      </c>
      <c r="BV6" s="100">
        <v>8.5659581755597767</v>
      </c>
      <c r="BW6" s="100">
        <v>4954.5502087437744</v>
      </c>
      <c r="BX6" s="100">
        <v>9.87844794372179</v>
      </c>
      <c r="BY6" s="100">
        <v>5713.6942906486829</v>
      </c>
      <c r="BZ6" s="100">
        <v>3.8679839023270017</v>
      </c>
      <c r="CA6" s="100">
        <v>2237.2418891059378</v>
      </c>
      <c r="CB6" s="100">
        <v>5.2782588887375219</v>
      </c>
      <c r="CC6" s="100">
        <v>3052.9449412457825</v>
      </c>
      <c r="CD6" s="100">
        <v>8.5248139848125106</v>
      </c>
      <c r="CE6" s="100">
        <v>4930.752408815556</v>
      </c>
      <c r="CF6" s="100">
        <v>3.6240991489396337</v>
      </c>
      <c r="CG6" s="100">
        <v>2096.1789477466841</v>
      </c>
      <c r="CH6" s="100">
        <v>10</v>
      </c>
      <c r="CI6" s="100">
        <v>5784</v>
      </c>
      <c r="CJ6" s="100">
        <v>6.1508475161392813</v>
      </c>
      <c r="CK6" s="100">
        <v>3557.6502033349602</v>
      </c>
      <c r="CL6" s="100">
        <v>4.7317846763214355</v>
      </c>
      <c r="CM6" s="100">
        <v>2736.8642567843181</v>
      </c>
      <c r="CN6" s="100">
        <v>4.0901601974794408</v>
      </c>
      <c r="CO6" s="100">
        <v>2365.7486582221086</v>
      </c>
      <c r="CP6" s="100">
        <v>9.3631314039860882</v>
      </c>
      <c r="CQ6" s="100">
        <v>5415.6352040655529</v>
      </c>
      <c r="CR6" s="100">
        <v>4.3094462402894917</v>
      </c>
      <c r="CS6" s="100">
        <v>2492.5837053834421</v>
      </c>
      <c r="CT6" s="100">
        <v>7.3434858483836134</v>
      </c>
      <c r="CU6" s="100">
        <v>4247.4722147050816</v>
      </c>
    </row>
    <row r="7" spans="1:99">
      <c r="C7" s="99" t="s">
        <v>173</v>
      </c>
      <c r="D7" s="100">
        <v>1.2532055079483104</v>
      </c>
      <c r="E7" s="100">
        <v>988.02722246644794</v>
      </c>
      <c r="F7" s="100">
        <v>5.0826414542329212</v>
      </c>
      <c r="G7" s="100">
        <v>4007.1545225172349</v>
      </c>
      <c r="H7" s="100">
        <v>3.9236691755522011</v>
      </c>
      <c r="I7" s="100">
        <v>3093.4207780053553</v>
      </c>
      <c r="J7" s="100">
        <v>6.1070764001921756</v>
      </c>
      <c r="K7" s="100">
        <v>4814.8190339115108</v>
      </c>
      <c r="L7" s="100">
        <v>4.6459166353414503</v>
      </c>
      <c r="M7" s="100">
        <v>3662.8406753031991</v>
      </c>
      <c r="N7" s="100">
        <v>4.7358125876419344</v>
      </c>
      <c r="O7" s="100">
        <v>3733.7146440969009</v>
      </c>
      <c r="P7" s="100">
        <v>5.1048876634145035</v>
      </c>
      <c r="Q7" s="100">
        <v>4024.6934338359943</v>
      </c>
      <c r="R7" s="100">
        <v>6.0421057301495695</v>
      </c>
      <c r="S7" s="100">
        <v>4763.5961576499203</v>
      </c>
      <c r="T7" s="100">
        <v>5.5049582660402798</v>
      </c>
      <c r="U7" s="100">
        <v>4340.1090969461566</v>
      </c>
      <c r="V7" s="100">
        <v>7.0918030785116422</v>
      </c>
      <c r="W7" s="100">
        <v>5591.1775470985785</v>
      </c>
      <c r="X7" s="100">
        <v>5</v>
      </c>
      <c r="Y7" s="100">
        <v>3942</v>
      </c>
      <c r="Z7" s="100">
        <v>5.9324581620540222</v>
      </c>
      <c r="AA7" s="100">
        <v>4677.1500149633912</v>
      </c>
      <c r="AB7" s="100">
        <v>4.9132288550228935</v>
      </c>
      <c r="AC7" s="100">
        <v>3873.5896293000492</v>
      </c>
      <c r="AD7" s="100">
        <v>6.1720562081213171</v>
      </c>
      <c r="AE7" s="100">
        <v>4866.0491144828466</v>
      </c>
      <c r="AF7" s="100">
        <v>5.0318032207809065</v>
      </c>
      <c r="AG7" s="100">
        <v>3967.0736592636667</v>
      </c>
      <c r="AH7" s="100">
        <v>6.5978236109219024</v>
      </c>
      <c r="AI7" s="100">
        <v>5201.7241348508278</v>
      </c>
      <c r="AJ7" s="100">
        <v>5.8242745991359888</v>
      </c>
      <c r="AK7" s="100">
        <v>4591.8580939588137</v>
      </c>
      <c r="AL7" s="100">
        <v>3.1786461806938995</v>
      </c>
      <c r="AM7" s="100">
        <v>2506.0446488590701</v>
      </c>
      <c r="AN7" s="100">
        <v>5.3405641068687109</v>
      </c>
      <c r="AO7" s="100">
        <v>4210.5007418552914</v>
      </c>
      <c r="AP7" s="100">
        <v>3.8037006090893506</v>
      </c>
      <c r="AQ7" s="100">
        <v>2998.8375602060441</v>
      </c>
      <c r="AR7" s="100">
        <v>4</v>
      </c>
      <c r="AS7" s="100">
        <v>3153.6</v>
      </c>
      <c r="AT7" s="100">
        <v>4.5919095453376908</v>
      </c>
      <c r="AU7" s="100">
        <v>3620.2614855442353</v>
      </c>
      <c r="AV7" s="100">
        <v>2.7355322197875163</v>
      </c>
      <c r="AW7" s="100">
        <v>2156.6936020804778</v>
      </c>
      <c r="AX7" s="100">
        <v>8</v>
      </c>
      <c r="AY7" s="100">
        <v>6307.2</v>
      </c>
      <c r="AZ7" s="100">
        <v>7.6373461300888899</v>
      </c>
      <c r="BA7" s="100">
        <v>6021.2836889620803</v>
      </c>
      <c r="BB7" s="100">
        <v>4.1434634831267898</v>
      </c>
      <c r="BC7" s="100">
        <v>3266.706610097161</v>
      </c>
      <c r="BD7" s="100">
        <v>5.1578207123193822</v>
      </c>
      <c r="BE7" s="100">
        <v>4066.425849592601</v>
      </c>
      <c r="BF7" s="100">
        <v>5.4940984715483498</v>
      </c>
      <c r="BG7" s="100">
        <v>4331.5472349687188</v>
      </c>
      <c r="BH7" s="100">
        <v>6.2870096277475112</v>
      </c>
      <c r="BI7" s="100">
        <v>4956.6783905161374</v>
      </c>
      <c r="BJ7" s="100">
        <v>5.4335017972298019</v>
      </c>
      <c r="BK7" s="100">
        <v>4283.7728169359752</v>
      </c>
      <c r="BL7" s="100">
        <v>3.7267801567384002</v>
      </c>
      <c r="BM7" s="100">
        <v>2938.1934755725547</v>
      </c>
      <c r="BN7" s="100">
        <v>7</v>
      </c>
      <c r="BO7" s="100">
        <v>5518.8</v>
      </c>
      <c r="BP7" s="100">
        <v>5.024617161043099</v>
      </c>
      <c r="BQ7" s="100">
        <v>3961.4081697663792</v>
      </c>
      <c r="BR7" s="100">
        <v>2.8531072094537095</v>
      </c>
      <c r="BS7" s="100">
        <v>2249.3897239333046</v>
      </c>
      <c r="BT7" s="100">
        <v>4.8340407303145883</v>
      </c>
      <c r="BU7" s="100">
        <v>3811.1577117800211</v>
      </c>
      <c r="BV7" s="100">
        <v>7.7093623580037995</v>
      </c>
      <c r="BW7" s="100">
        <v>6078.061283050195</v>
      </c>
      <c r="BX7" s="100">
        <v>8.9804072215652635</v>
      </c>
      <c r="BY7" s="100">
        <v>7080.1530534820531</v>
      </c>
      <c r="BZ7" s="100">
        <v>3.2233199186058341</v>
      </c>
      <c r="CA7" s="100">
        <v>2541.2654238288396</v>
      </c>
      <c r="CB7" s="100">
        <v>5.2782588887375219</v>
      </c>
      <c r="CC7" s="100">
        <v>4161.3793078806621</v>
      </c>
      <c r="CD7" s="100">
        <v>7.5799395009418955</v>
      </c>
      <c r="CE7" s="100">
        <v>5976.0243025425898</v>
      </c>
      <c r="CF7" s="100">
        <v>3.1063706990911144</v>
      </c>
      <c r="CG7" s="100">
        <v>2449.0626591634345</v>
      </c>
      <c r="CH7" s="100">
        <v>9</v>
      </c>
      <c r="CI7" s="100">
        <v>7095.5999999999995</v>
      </c>
      <c r="CJ7" s="100">
        <v>6.1508475161392813</v>
      </c>
      <c r="CK7" s="100">
        <v>4849.3281817242096</v>
      </c>
      <c r="CL7" s="100">
        <v>5.5021454828169327</v>
      </c>
      <c r="CM7" s="100">
        <v>4337.8914986528698</v>
      </c>
      <c r="CN7" s="100">
        <v>3.6356979533150584</v>
      </c>
      <c r="CO7" s="100">
        <v>2866.384266393592</v>
      </c>
      <c r="CP7" s="100">
        <v>8.549572735661803</v>
      </c>
      <c r="CQ7" s="100">
        <v>6740.4831447957649</v>
      </c>
      <c r="CR7" s="100">
        <v>4.925081417473705</v>
      </c>
      <c r="CS7" s="100">
        <v>3882.9341895362691</v>
      </c>
      <c r="CT7" s="100">
        <v>7.3434858483836134</v>
      </c>
      <c r="CU7" s="100">
        <v>5789.604242865641</v>
      </c>
    </row>
    <row r="8" spans="1:99">
      <c r="C8" s="99" t="s">
        <v>174</v>
      </c>
      <c r="D8" s="100">
        <v>1.4309426012470974</v>
      </c>
      <c r="E8" s="100">
        <v>443.01982934610129</v>
      </c>
      <c r="F8" s="100">
        <v>5.0826414542329212</v>
      </c>
      <c r="G8" s="100">
        <v>1573.5857942305122</v>
      </c>
      <c r="H8" s="100">
        <v>3.2855856361062714</v>
      </c>
      <c r="I8" s="100">
        <v>1017.2173129385015</v>
      </c>
      <c r="J8" s="100">
        <v>6.1070764001921756</v>
      </c>
      <c r="K8" s="100">
        <v>1890.7508534994975</v>
      </c>
      <c r="L8" s="100">
        <v>4.6093378739931454</v>
      </c>
      <c r="M8" s="100">
        <v>1427.0510057882777</v>
      </c>
      <c r="N8" s="100">
        <v>4.0833614261405291</v>
      </c>
      <c r="O8" s="100">
        <v>1264.2086975331076</v>
      </c>
      <c r="P8" s="100">
        <v>5.1217312552628194</v>
      </c>
      <c r="Q8" s="100">
        <v>1585.6879966293686</v>
      </c>
      <c r="R8" s="100">
        <v>6.7270817875558517</v>
      </c>
      <c r="S8" s="100">
        <v>2082.7045214272916</v>
      </c>
      <c r="T8" s="100">
        <v>5.5213483158215038</v>
      </c>
      <c r="U8" s="100">
        <v>1709.4094385783374</v>
      </c>
      <c r="V8" s="100">
        <v>7.8797811983462678</v>
      </c>
      <c r="W8" s="100">
        <v>2439.5802590080043</v>
      </c>
      <c r="X8" s="100">
        <v>6</v>
      </c>
      <c r="Y8" s="100">
        <v>1857.6</v>
      </c>
      <c r="Z8" s="100">
        <v>5.9324581620540222</v>
      </c>
      <c r="AA8" s="100">
        <v>1836.6890469719251</v>
      </c>
      <c r="AB8" s="100">
        <v>4.9132288550228935</v>
      </c>
      <c r="AC8" s="100">
        <v>1521.1356535150876</v>
      </c>
      <c r="AD8" s="100">
        <v>6.1720562081213171</v>
      </c>
      <c r="AE8" s="100">
        <v>1910.8686020343596</v>
      </c>
      <c r="AF8" s="100">
        <v>5.7506322523210356</v>
      </c>
      <c r="AG8" s="100">
        <v>1780.3957453185924</v>
      </c>
      <c r="AH8" s="100">
        <v>6.5978236109219024</v>
      </c>
      <c r="AI8" s="100">
        <v>2042.6861899414207</v>
      </c>
      <c r="AJ8" s="100">
        <v>5.8242745991359888</v>
      </c>
      <c r="AK8" s="100">
        <v>1803.1954158925018</v>
      </c>
      <c r="AL8" s="100">
        <v>3.8143754168326796</v>
      </c>
      <c r="AM8" s="100">
        <v>1180.9306290513975</v>
      </c>
      <c r="AN8" s="100">
        <v>5.3405641068687109</v>
      </c>
      <c r="AO8" s="100">
        <v>1653.4386474865528</v>
      </c>
      <c r="AP8" s="100">
        <v>4.4376507106042418</v>
      </c>
      <c r="AQ8" s="100">
        <v>1373.8966600030731</v>
      </c>
      <c r="AR8" s="100">
        <v>5</v>
      </c>
      <c r="AS8" s="100">
        <v>1547.9999999999998</v>
      </c>
      <c r="AT8" s="100">
        <v>4.5919095453376908</v>
      </c>
      <c r="AU8" s="100">
        <v>1421.6551952365489</v>
      </c>
      <c r="AV8" s="100">
        <v>3.2826386637450198</v>
      </c>
      <c r="AW8" s="100">
        <v>1016.304930295458</v>
      </c>
      <c r="AX8" s="100">
        <v>8</v>
      </c>
      <c r="AY8" s="100">
        <v>2476.7999999999997</v>
      </c>
      <c r="AZ8" s="100">
        <v>7.6373461300888899</v>
      </c>
      <c r="BA8" s="100">
        <v>2364.5223618755199</v>
      </c>
      <c r="BB8" s="100">
        <v>4.1434634831267898</v>
      </c>
      <c r="BC8" s="100">
        <v>1282.816294376054</v>
      </c>
      <c r="BD8" s="100">
        <v>5.1578207123193822</v>
      </c>
      <c r="BE8" s="100">
        <v>1596.8612925340806</v>
      </c>
      <c r="BF8" s="100">
        <v>5.4940984715483498</v>
      </c>
      <c r="BG8" s="100">
        <v>1700.9728867913689</v>
      </c>
      <c r="BH8" s="100">
        <v>5.5088296268308889</v>
      </c>
      <c r="BI8" s="100">
        <v>1705.533652466843</v>
      </c>
      <c r="BJ8" s="100">
        <v>5.4335017972298019</v>
      </c>
      <c r="BK8" s="100">
        <v>1682.2121564223464</v>
      </c>
      <c r="BL8" s="100">
        <v>3.2609326371461007</v>
      </c>
      <c r="BM8" s="100">
        <v>1009.5847444604327</v>
      </c>
      <c r="BN8" s="100">
        <v>7</v>
      </c>
      <c r="BO8" s="100">
        <v>2167.1999999999998</v>
      </c>
      <c r="BP8" s="100">
        <v>5.024617161043099</v>
      </c>
      <c r="BQ8" s="100">
        <v>1555.6214730589434</v>
      </c>
      <c r="BR8" s="100">
        <v>2.8531072094537095</v>
      </c>
      <c r="BS8" s="100">
        <v>883.32199204686833</v>
      </c>
      <c r="BT8" s="100">
        <v>5.5246179775023858</v>
      </c>
      <c r="BU8" s="100">
        <v>1710.4217258347385</v>
      </c>
      <c r="BV8" s="100">
        <v>7.7093623580037995</v>
      </c>
      <c r="BW8" s="100">
        <v>2386.8185860379763</v>
      </c>
      <c r="BX8" s="100">
        <v>8.082366499408737</v>
      </c>
      <c r="BY8" s="100">
        <v>2502.3006682169448</v>
      </c>
      <c r="BZ8" s="100">
        <v>3.2233199186058341</v>
      </c>
      <c r="CA8" s="100">
        <v>997.93984680036613</v>
      </c>
      <c r="CB8" s="100">
        <v>5.2782588887375219</v>
      </c>
      <c r="CC8" s="100">
        <v>1634.1489519531367</v>
      </c>
      <c r="CD8" s="100">
        <v>7.5799395009418955</v>
      </c>
      <c r="CE8" s="100">
        <v>2346.7492694916104</v>
      </c>
      <c r="CF8" s="100">
        <v>4.1418275987881525</v>
      </c>
      <c r="CG8" s="100">
        <v>1282.3098245848118</v>
      </c>
      <c r="CH8" s="100">
        <v>11</v>
      </c>
      <c r="CI8" s="100">
        <v>3405.5999999999995</v>
      </c>
      <c r="CJ8" s="100">
        <v>6.1508475161392813</v>
      </c>
      <c r="CK8" s="100">
        <v>1904.3023909967212</v>
      </c>
      <c r="CL8" s="100">
        <v>4.8048645678870683</v>
      </c>
      <c r="CM8" s="100">
        <v>1487.5860702178361</v>
      </c>
      <c r="CN8" s="100">
        <v>4.0901601974794408</v>
      </c>
      <c r="CO8" s="100">
        <v>1266.3135971396348</v>
      </c>
      <c r="CP8" s="100">
        <v>8.5683902834990278</v>
      </c>
      <c r="CQ8" s="100">
        <v>2652.7736317712988</v>
      </c>
      <c r="CR8" s="100">
        <v>4.3094462402894917</v>
      </c>
      <c r="CS8" s="100">
        <v>1334.2045559936264</v>
      </c>
      <c r="CT8" s="100">
        <v>7.3120264043047012</v>
      </c>
      <c r="CU8" s="100">
        <v>2263.8033747727354</v>
      </c>
    </row>
    <row r="9" spans="1:99">
      <c r="C9" s="99" t="s">
        <v>175</v>
      </c>
      <c r="D9" s="100">
        <v>1.2532055079483104</v>
      </c>
      <c r="E9" s="100">
        <v>879.75026657971387</v>
      </c>
      <c r="F9" s="100">
        <v>4.5172582576756986</v>
      </c>
      <c r="G9" s="100">
        <v>3171.1152968883403</v>
      </c>
      <c r="H9" s="100">
        <v>3.9236691755522011</v>
      </c>
      <c r="I9" s="100">
        <v>2754.4157612376453</v>
      </c>
      <c r="J9" s="100">
        <v>5.3436918501681534</v>
      </c>
      <c r="K9" s="100">
        <v>3751.2716788180437</v>
      </c>
      <c r="L9" s="100">
        <v>5.3409820916436974</v>
      </c>
      <c r="M9" s="100">
        <v>3749.3694283338755</v>
      </c>
      <c r="N9" s="100">
        <v>4.0833614261405291</v>
      </c>
      <c r="O9" s="100">
        <v>2866.5197211506515</v>
      </c>
      <c r="P9" s="100">
        <v>4.2765311753098407</v>
      </c>
      <c r="Q9" s="100">
        <v>3002.1248850675083</v>
      </c>
      <c r="R9" s="100">
        <v>6.0727754267763121</v>
      </c>
      <c r="S9" s="100">
        <v>4263.0883495969711</v>
      </c>
      <c r="T9" s="100">
        <v>5.5049582660402798</v>
      </c>
      <c r="U9" s="100">
        <v>3864.4807027602765</v>
      </c>
      <c r="V9" s="100">
        <v>6.3038249586770156</v>
      </c>
      <c r="W9" s="100">
        <v>4425.2851209912651</v>
      </c>
      <c r="X9" s="100">
        <v>5</v>
      </c>
      <c r="Y9" s="100">
        <v>3510</v>
      </c>
      <c r="Z9" s="100">
        <v>6.9212011890630256</v>
      </c>
      <c r="AA9" s="100">
        <v>4858.6832347222444</v>
      </c>
      <c r="AB9" s="100">
        <v>4.9132288550228935</v>
      </c>
      <c r="AC9" s="100">
        <v>3449.0866562260712</v>
      </c>
      <c r="AD9" s="100">
        <v>6.1720562081213171</v>
      </c>
      <c r="AE9" s="100">
        <v>4332.7834581011648</v>
      </c>
      <c r="AF9" s="100">
        <v>5.7506322523210356</v>
      </c>
      <c r="AG9" s="100">
        <v>4036.9438411293668</v>
      </c>
      <c r="AH9" s="100">
        <v>6.5978236109219024</v>
      </c>
      <c r="AI9" s="100">
        <v>4631.6721748671753</v>
      </c>
      <c r="AJ9" s="100">
        <v>6.4395957160679611</v>
      </c>
      <c r="AK9" s="100">
        <v>4520.596192679709</v>
      </c>
      <c r="AL9" s="100">
        <v>3.8143754168326796</v>
      </c>
      <c r="AM9" s="100">
        <v>2677.691542616541</v>
      </c>
      <c r="AN9" s="100">
        <v>5.3405641068687109</v>
      </c>
      <c r="AO9" s="100">
        <v>3749.0760030218348</v>
      </c>
      <c r="AP9" s="100">
        <v>3.8037006090893506</v>
      </c>
      <c r="AQ9" s="100">
        <v>2670.1978275807242</v>
      </c>
      <c r="AR9" s="100">
        <v>5</v>
      </c>
      <c r="AS9" s="100">
        <v>3510</v>
      </c>
      <c r="AT9" s="100">
        <v>4.562722843114571</v>
      </c>
      <c r="AU9" s="100">
        <v>3203.0314358664286</v>
      </c>
      <c r="AV9" s="100">
        <v>3.2826386637450198</v>
      </c>
      <c r="AW9" s="100">
        <v>2304.4123419490038</v>
      </c>
      <c r="AX9" s="100">
        <v>8</v>
      </c>
      <c r="AY9" s="100">
        <v>5616</v>
      </c>
      <c r="AZ9" s="100">
        <v>7.6373461300888899</v>
      </c>
      <c r="BA9" s="100">
        <v>5361.4169833224005</v>
      </c>
      <c r="BB9" s="100">
        <v>4.1434634831267898</v>
      </c>
      <c r="BC9" s="100">
        <v>2908.7113651550067</v>
      </c>
      <c r="BD9" s="100">
        <v>5.1578207123193822</v>
      </c>
      <c r="BE9" s="100">
        <v>3620.7901400482065</v>
      </c>
      <c r="BF9" s="100">
        <v>5.4940984715483498</v>
      </c>
      <c r="BG9" s="100">
        <v>3856.8571270269417</v>
      </c>
      <c r="BH9" s="100">
        <v>6.2716172226438758</v>
      </c>
      <c r="BI9" s="100">
        <v>4402.6752902960006</v>
      </c>
      <c r="BJ9" s="100">
        <v>5.4335017972298019</v>
      </c>
      <c r="BK9" s="100">
        <v>3814.3182616553208</v>
      </c>
      <c r="BL9" s="100">
        <v>3.2609326371461007</v>
      </c>
      <c r="BM9" s="100">
        <v>2289.1747112765629</v>
      </c>
      <c r="BN9" s="100">
        <v>7</v>
      </c>
      <c r="BO9" s="100">
        <v>4914</v>
      </c>
      <c r="BP9" s="100">
        <v>5.024617161043099</v>
      </c>
      <c r="BQ9" s="100">
        <v>3527.2812470522554</v>
      </c>
      <c r="BR9" s="100">
        <v>3.2733570880646861</v>
      </c>
      <c r="BS9" s="100">
        <v>2297.8966758214096</v>
      </c>
      <c r="BT9" s="100">
        <v>5.5246179775023858</v>
      </c>
      <c r="BU9" s="100">
        <v>3878.2818202066746</v>
      </c>
      <c r="BV9" s="100">
        <v>7.7093623580037995</v>
      </c>
      <c r="BW9" s="100">
        <v>5411.9723753186672</v>
      </c>
      <c r="BX9" s="100">
        <v>9.87844794372179</v>
      </c>
      <c r="BY9" s="100">
        <v>6934.6704564926968</v>
      </c>
      <c r="BZ9" s="100">
        <v>3.2233199186058341</v>
      </c>
      <c r="CA9" s="100">
        <v>2262.7705828612957</v>
      </c>
      <c r="CB9" s="100">
        <v>5.2782588887375219</v>
      </c>
      <c r="CC9" s="100">
        <v>3705.3377398937405</v>
      </c>
      <c r="CD9" s="100">
        <v>7.5799395009418955</v>
      </c>
      <c r="CE9" s="100">
        <v>5321.1175296612109</v>
      </c>
      <c r="CF9" s="100">
        <v>3.1063706990911144</v>
      </c>
      <c r="CG9" s="100">
        <v>2180.6722307619625</v>
      </c>
      <c r="CH9" s="100">
        <v>10</v>
      </c>
      <c r="CI9" s="100">
        <v>7020</v>
      </c>
      <c r="CJ9" s="100">
        <v>6.1508475161392813</v>
      </c>
      <c r="CK9" s="100">
        <v>4317.8949563297756</v>
      </c>
      <c r="CL9" s="100">
        <v>5.5386854285997495</v>
      </c>
      <c r="CM9" s="100">
        <v>3888.1571708770243</v>
      </c>
      <c r="CN9" s="100">
        <v>4.0901601974794408</v>
      </c>
      <c r="CO9" s="100">
        <v>2871.2924586305676</v>
      </c>
      <c r="CP9" s="100">
        <v>9.381948951823313</v>
      </c>
      <c r="CQ9" s="100">
        <v>6586.128164179966</v>
      </c>
      <c r="CR9" s="100">
        <v>4.3094462402894917</v>
      </c>
      <c r="CS9" s="100">
        <v>3025.2312606832234</v>
      </c>
      <c r="CT9" s="100">
        <v>7.3120264043047012</v>
      </c>
      <c r="CU9" s="100">
        <v>5133.0425358218999</v>
      </c>
    </row>
    <row r="10" spans="1:99">
      <c r="C10" s="99" t="s">
        <v>176</v>
      </c>
      <c r="D10" s="100">
        <v>1.4309426012470974</v>
      </c>
      <c r="E10" s="100">
        <v>779.57752915941853</v>
      </c>
      <c r="F10" s="100">
        <v>4.520161915066744</v>
      </c>
      <c r="G10" s="100">
        <v>2462.584211328362</v>
      </c>
      <c r="H10" s="100">
        <v>3.9236691755522011</v>
      </c>
      <c r="I10" s="100">
        <v>2137.6149668408389</v>
      </c>
      <c r="J10" s="100">
        <v>6.1070764001921756</v>
      </c>
      <c r="K10" s="100">
        <v>3327.1352228246969</v>
      </c>
      <c r="L10" s="100">
        <v>5.3775608529920023</v>
      </c>
      <c r="M10" s="100">
        <v>2929.6951527100427</v>
      </c>
      <c r="N10" s="100">
        <v>4.0833614261405291</v>
      </c>
      <c r="O10" s="100">
        <v>2224.6153049613599</v>
      </c>
      <c r="P10" s="100">
        <v>4.2933747671581548</v>
      </c>
      <c r="Q10" s="100">
        <v>2339.0305731477624</v>
      </c>
      <c r="R10" s="100">
        <v>6.6964120909291109</v>
      </c>
      <c r="S10" s="100">
        <v>3648.2053071381793</v>
      </c>
      <c r="T10" s="100">
        <v>5.5213483158215038</v>
      </c>
      <c r="U10" s="100">
        <v>3008.0305624595549</v>
      </c>
      <c r="V10" s="100">
        <v>7.0918030785116422</v>
      </c>
      <c r="W10" s="100">
        <v>3863.6143171731424</v>
      </c>
      <c r="X10" s="100">
        <v>5</v>
      </c>
      <c r="Y10" s="100">
        <v>2724</v>
      </c>
      <c r="Z10" s="100">
        <v>5.9324581620540222</v>
      </c>
      <c r="AA10" s="100">
        <v>3232.0032066870313</v>
      </c>
      <c r="AB10" s="100">
        <v>5.4591431722476607</v>
      </c>
      <c r="AC10" s="100">
        <v>2974.1412002405254</v>
      </c>
      <c r="AD10" s="100">
        <v>6.1720562081213171</v>
      </c>
      <c r="AE10" s="100">
        <v>3362.5362221844935</v>
      </c>
      <c r="AF10" s="100">
        <v>5.7506322523210356</v>
      </c>
      <c r="AG10" s="100">
        <v>3132.9444510644998</v>
      </c>
      <c r="AH10" s="100">
        <v>6.5978236109219024</v>
      </c>
      <c r="AI10" s="100">
        <v>3594.4943032302522</v>
      </c>
      <c r="AJ10" s="100">
        <v>5.8242745991359888</v>
      </c>
      <c r="AK10" s="100">
        <v>3173.0648016092864</v>
      </c>
      <c r="AL10" s="100">
        <v>3.1786461806938995</v>
      </c>
      <c r="AM10" s="100">
        <v>1731.7264392420363</v>
      </c>
      <c r="AN10" s="100">
        <v>5.3096037335170099</v>
      </c>
      <c r="AO10" s="100">
        <v>2892.6721140200666</v>
      </c>
      <c r="AP10" s="100">
        <v>3.8037006090893506</v>
      </c>
      <c r="AQ10" s="100">
        <v>2072.2560918318782</v>
      </c>
      <c r="AR10" s="100">
        <v>5</v>
      </c>
      <c r="AS10" s="100">
        <v>2724</v>
      </c>
      <c r="AT10" s="100">
        <v>4.5919095453376908</v>
      </c>
      <c r="AU10" s="100">
        <v>2501.6723202999738</v>
      </c>
      <c r="AV10" s="100">
        <v>3.2826386637450198</v>
      </c>
      <c r="AW10" s="100">
        <v>1788.3815440082867</v>
      </c>
      <c r="AX10" s="100">
        <v>7</v>
      </c>
      <c r="AY10" s="100">
        <v>3813.5999999999995</v>
      </c>
      <c r="AZ10" s="100">
        <v>7.6373461300888899</v>
      </c>
      <c r="BA10" s="100">
        <v>4160.8261716724264</v>
      </c>
      <c r="BB10" s="100">
        <v>4.1434634831267898</v>
      </c>
      <c r="BC10" s="100">
        <v>2257.3589056074748</v>
      </c>
      <c r="BD10" s="100">
        <v>5.1578207123193822</v>
      </c>
      <c r="BE10" s="100">
        <v>2809.9807240715991</v>
      </c>
      <c r="BF10" s="100">
        <v>4.8073361626048063</v>
      </c>
      <c r="BG10" s="100">
        <v>2619.0367413870981</v>
      </c>
      <c r="BH10" s="100">
        <v>6.2716172226438758</v>
      </c>
      <c r="BI10" s="100">
        <v>3416.7770628963831</v>
      </c>
      <c r="BJ10" s="100">
        <v>5.4335017972298019</v>
      </c>
      <c r="BK10" s="100">
        <v>2960.1717791307956</v>
      </c>
      <c r="BL10" s="100">
        <v>3.7267801567384002</v>
      </c>
      <c r="BM10" s="100">
        <v>2030.3498293910802</v>
      </c>
      <c r="BN10" s="100">
        <v>8</v>
      </c>
      <c r="BO10" s="100">
        <v>4358.3999999999996</v>
      </c>
      <c r="BP10" s="100">
        <v>5.024617161043099</v>
      </c>
      <c r="BQ10" s="100">
        <v>2737.41142933628</v>
      </c>
      <c r="BR10" s="100">
        <v>3.2954642839172092</v>
      </c>
      <c r="BS10" s="100">
        <v>1795.3689418780955</v>
      </c>
      <c r="BT10" s="100">
        <v>5.5246179775023858</v>
      </c>
      <c r="BU10" s="100">
        <v>3009.8118741432995</v>
      </c>
      <c r="BV10" s="100">
        <v>7.7093623580037995</v>
      </c>
      <c r="BW10" s="100">
        <v>4200.06061264047</v>
      </c>
      <c r="BX10" s="100">
        <v>8.9804072215652635</v>
      </c>
      <c r="BY10" s="100">
        <v>4892.5258543087548</v>
      </c>
      <c r="BZ10" s="100">
        <v>3.8679839023270017</v>
      </c>
      <c r="CA10" s="100">
        <v>2107.2776299877505</v>
      </c>
      <c r="CB10" s="100">
        <v>5.2782588887375219</v>
      </c>
      <c r="CC10" s="100">
        <v>2875.5954425842019</v>
      </c>
      <c r="CD10" s="100">
        <v>8.5352857998009934</v>
      </c>
      <c r="CE10" s="100">
        <v>4650.023703731581</v>
      </c>
      <c r="CF10" s="100">
        <v>3.6240991489396337</v>
      </c>
      <c r="CG10" s="100">
        <v>1974.4092163423122</v>
      </c>
      <c r="CH10" s="100">
        <v>11</v>
      </c>
      <c r="CI10" s="100">
        <v>5992.7999999999993</v>
      </c>
      <c r="CJ10" s="100">
        <v>7.0295400184448917</v>
      </c>
      <c r="CK10" s="100">
        <v>3829.6934020487765</v>
      </c>
      <c r="CL10" s="100">
        <v>4.7317846763214355</v>
      </c>
      <c r="CM10" s="100">
        <v>2577.876291659918</v>
      </c>
      <c r="CN10" s="100">
        <v>4.0901601974794408</v>
      </c>
      <c r="CO10" s="100">
        <v>2228.319275586799</v>
      </c>
      <c r="CP10" s="100">
        <v>9.381948951823313</v>
      </c>
      <c r="CQ10" s="100">
        <v>5111.2857889533407</v>
      </c>
      <c r="CR10" s="100">
        <v>4.925081417473705</v>
      </c>
      <c r="CS10" s="100">
        <v>2683.1843562396743</v>
      </c>
      <c r="CT10" s="100">
        <v>7.3434858483836134</v>
      </c>
      <c r="CU10" s="100">
        <v>4000.7310901993924</v>
      </c>
    </row>
    <row r="11" spans="1:99">
      <c r="C11" s="99" t="s">
        <v>177</v>
      </c>
      <c r="D11" s="100">
        <v>1.2532055079483104</v>
      </c>
      <c r="E11" s="100">
        <v>667.70789463485971</v>
      </c>
      <c r="F11" s="100">
        <v>5.0826414542329212</v>
      </c>
      <c r="G11" s="100">
        <v>2708.0313668153003</v>
      </c>
      <c r="H11" s="100">
        <v>3.9236691755522011</v>
      </c>
      <c r="I11" s="100">
        <v>2090.5309367342124</v>
      </c>
      <c r="J11" s="100">
        <v>6.1070764001921756</v>
      </c>
      <c r="K11" s="100">
        <v>3253.8503060223907</v>
      </c>
      <c r="L11" s="100">
        <v>4.6093378739931454</v>
      </c>
      <c r="M11" s="100">
        <v>2455.8552192635475</v>
      </c>
      <c r="N11" s="100">
        <v>4.7568943947834468</v>
      </c>
      <c r="O11" s="100">
        <v>2534.4733335406204</v>
      </c>
      <c r="P11" s="100">
        <v>5.1217312552628194</v>
      </c>
      <c r="Q11" s="100">
        <v>2728.8584128040297</v>
      </c>
      <c r="R11" s="100">
        <v>6.0727754267763121</v>
      </c>
      <c r="S11" s="100">
        <v>3235.5747473864189</v>
      </c>
      <c r="T11" s="100">
        <v>5.5213483158215038</v>
      </c>
      <c r="U11" s="100">
        <v>2941.7743826696969</v>
      </c>
      <c r="V11" s="100">
        <v>7.0918030785116422</v>
      </c>
      <c r="W11" s="100">
        <v>3778.5126802310028</v>
      </c>
      <c r="X11" s="100">
        <v>5</v>
      </c>
      <c r="Y11" s="100">
        <v>2664</v>
      </c>
      <c r="Z11" s="100">
        <v>6.9212011890630256</v>
      </c>
      <c r="AA11" s="100">
        <v>3687.6159935327796</v>
      </c>
      <c r="AB11" s="100">
        <v>5.4591431722476607</v>
      </c>
      <c r="AC11" s="100">
        <v>2908.6314821735532</v>
      </c>
      <c r="AD11" s="100">
        <v>6.1720562081213171</v>
      </c>
      <c r="AE11" s="100">
        <v>3288.4715476870374</v>
      </c>
      <c r="AF11" s="100">
        <v>5.0318032207809065</v>
      </c>
      <c r="AG11" s="100">
        <v>2680.9447560320668</v>
      </c>
      <c r="AH11" s="100">
        <v>7.3309151232465579</v>
      </c>
      <c r="AI11" s="100">
        <v>3905.9115776657659</v>
      </c>
      <c r="AJ11" s="100">
        <v>5.8529130538108127</v>
      </c>
      <c r="AK11" s="100">
        <v>3118.432075070401</v>
      </c>
      <c r="AL11" s="100">
        <v>3.1786461806938995</v>
      </c>
      <c r="AM11" s="100">
        <v>1693.5826850737094</v>
      </c>
      <c r="AN11" s="100">
        <v>5.3405641068687109</v>
      </c>
      <c r="AO11" s="100">
        <v>2845.452556139649</v>
      </c>
      <c r="AP11" s="100">
        <v>3.8037006090893506</v>
      </c>
      <c r="AQ11" s="100">
        <v>2026.6116845228057</v>
      </c>
      <c r="AR11" s="100">
        <v>5</v>
      </c>
      <c r="AS11" s="100">
        <v>2664</v>
      </c>
      <c r="AT11" s="100">
        <v>4.5919095453376908</v>
      </c>
      <c r="AU11" s="100">
        <v>2446.5694057559213</v>
      </c>
      <c r="AV11" s="100">
        <v>3.2826386637450198</v>
      </c>
      <c r="AW11" s="100">
        <v>1748.9898800433464</v>
      </c>
      <c r="AX11" s="100">
        <v>8</v>
      </c>
      <c r="AY11" s="100">
        <v>4262.3999999999996</v>
      </c>
      <c r="AZ11" s="100">
        <v>7.6373461300888899</v>
      </c>
      <c r="BA11" s="100">
        <v>4069.17801811136</v>
      </c>
      <c r="BB11" s="100">
        <v>4.1434634831267898</v>
      </c>
      <c r="BC11" s="100">
        <v>2207.6373438099536</v>
      </c>
      <c r="BD11" s="100">
        <v>5.1578207123193822</v>
      </c>
      <c r="BE11" s="100">
        <v>2748.0868755237666</v>
      </c>
      <c r="BF11" s="100">
        <v>5.4940984715483498</v>
      </c>
      <c r="BG11" s="100">
        <v>2927.2556656409606</v>
      </c>
      <c r="BH11" s="100">
        <v>6.2870096277475112</v>
      </c>
      <c r="BI11" s="100">
        <v>3349.7187296638735</v>
      </c>
      <c r="BJ11" s="100">
        <v>6.2097163396912025</v>
      </c>
      <c r="BK11" s="100">
        <v>3308.5368657874724</v>
      </c>
      <c r="BL11" s="100">
        <v>3.7267801567384002</v>
      </c>
      <c r="BM11" s="100">
        <v>1985.6284675102195</v>
      </c>
      <c r="BN11" s="100">
        <v>8</v>
      </c>
      <c r="BO11" s="100">
        <v>4262.3999999999996</v>
      </c>
      <c r="BP11" s="100">
        <v>6.017174169413086</v>
      </c>
      <c r="BQ11" s="100">
        <v>3205.9503974632921</v>
      </c>
      <c r="BR11" s="100">
        <v>2.8531072094537095</v>
      </c>
      <c r="BS11" s="100">
        <v>1520.1355211969362</v>
      </c>
      <c r="BT11" s="100">
        <v>5.5246179775023858</v>
      </c>
      <c r="BU11" s="100">
        <v>2943.5164584132708</v>
      </c>
      <c r="BV11" s="100">
        <v>7.7093623580037995</v>
      </c>
      <c r="BW11" s="100">
        <v>4107.5482643444238</v>
      </c>
      <c r="BX11" s="100">
        <v>8.082366499408737</v>
      </c>
      <c r="BY11" s="100">
        <v>4306.2848708849751</v>
      </c>
      <c r="BZ11" s="100">
        <v>3.2233199186058341</v>
      </c>
      <c r="CA11" s="100">
        <v>1717.3848526331883</v>
      </c>
      <c r="CB11" s="100">
        <v>6.0322958728428828</v>
      </c>
      <c r="CC11" s="100">
        <v>3214.0072410506878</v>
      </c>
      <c r="CD11" s="100">
        <v>6.6455368320597614</v>
      </c>
      <c r="CE11" s="100">
        <v>3540.7420241214404</v>
      </c>
      <c r="CF11" s="100">
        <v>3.1063706990911144</v>
      </c>
      <c r="CG11" s="100">
        <v>1655.0743084757455</v>
      </c>
      <c r="CH11" s="100">
        <v>9</v>
      </c>
      <c r="CI11" s="100">
        <v>4795.2</v>
      </c>
      <c r="CJ11" s="100">
        <v>6.1508475161392813</v>
      </c>
      <c r="CK11" s="100">
        <v>3277.1715565990089</v>
      </c>
      <c r="CL11" s="100">
        <v>4.8048645678870683</v>
      </c>
      <c r="CM11" s="100">
        <v>2560.0318417702297</v>
      </c>
      <c r="CN11" s="100">
        <v>3.6356979533150584</v>
      </c>
      <c r="CO11" s="100">
        <v>1937.0998695262629</v>
      </c>
      <c r="CP11" s="100">
        <v>8.5307551878245764</v>
      </c>
      <c r="CQ11" s="100">
        <v>4545.1863640729343</v>
      </c>
      <c r="CR11" s="100">
        <v>4.925081417473705</v>
      </c>
      <c r="CS11" s="100">
        <v>2624.08337922999</v>
      </c>
      <c r="CT11" s="100">
        <v>6.4216176868257984</v>
      </c>
      <c r="CU11" s="100">
        <v>3421.4379035407851</v>
      </c>
    </row>
    <row r="12" spans="1:99">
      <c r="C12" s="99" t="s">
        <v>178</v>
      </c>
      <c r="D12" s="100">
        <v>1.4309426012470974</v>
      </c>
      <c r="E12" s="100">
        <v>805.33449598186633</v>
      </c>
      <c r="F12" s="100">
        <v>5.0797377968418758</v>
      </c>
      <c r="G12" s="100">
        <v>2858.8764320626074</v>
      </c>
      <c r="H12" s="100">
        <v>3.9372645953917194</v>
      </c>
      <c r="I12" s="100">
        <v>2215.8925142864596</v>
      </c>
      <c r="J12" s="100">
        <v>6.1070764001921756</v>
      </c>
      <c r="K12" s="100">
        <v>3437.0625980281561</v>
      </c>
      <c r="L12" s="100">
        <v>4.6459166353414503</v>
      </c>
      <c r="M12" s="100">
        <v>2614.7218823701678</v>
      </c>
      <c r="N12" s="100">
        <v>4.0833614261405291</v>
      </c>
      <c r="O12" s="100">
        <v>2298.1158106318894</v>
      </c>
      <c r="P12" s="100">
        <v>4.2765311753098407</v>
      </c>
      <c r="Q12" s="100">
        <v>2406.8317454643779</v>
      </c>
      <c r="R12" s="100">
        <v>6.0727754267763121</v>
      </c>
      <c r="S12" s="100">
        <v>3417.7580101897083</v>
      </c>
      <c r="T12" s="100">
        <v>6.195126805517968</v>
      </c>
      <c r="U12" s="100">
        <v>3486.6173661455123</v>
      </c>
      <c r="V12" s="100">
        <v>7.0918030785116422</v>
      </c>
      <c r="W12" s="100">
        <v>3991.2667725863521</v>
      </c>
      <c r="X12" s="100">
        <v>5</v>
      </c>
      <c r="Y12" s="100">
        <v>2814</v>
      </c>
      <c r="Z12" s="100">
        <v>6.9212011890630256</v>
      </c>
      <c r="AA12" s="100">
        <v>3895.2520292046706</v>
      </c>
      <c r="AB12" s="100">
        <v>4.9132288550228935</v>
      </c>
      <c r="AC12" s="100">
        <v>2765.1651996068845</v>
      </c>
      <c r="AD12" s="100">
        <v>6.1720562081213171</v>
      </c>
      <c r="AE12" s="100">
        <v>3473.6332339306769</v>
      </c>
      <c r="AF12" s="100">
        <v>5.0318032207809065</v>
      </c>
      <c r="AG12" s="100">
        <v>2831.898852655494</v>
      </c>
      <c r="AH12" s="100">
        <v>6.5978236109219024</v>
      </c>
      <c r="AI12" s="100">
        <v>3713.2551282268464</v>
      </c>
      <c r="AJ12" s="100">
        <v>5.8242745991359888</v>
      </c>
      <c r="AK12" s="100">
        <v>3277.9017443937341</v>
      </c>
      <c r="AL12" s="100">
        <v>3.8143754168326796</v>
      </c>
      <c r="AM12" s="100">
        <v>2146.7304845934318</v>
      </c>
      <c r="AN12" s="100">
        <v>5.3405641068687109</v>
      </c>
      <c r="AO12" s="100">
        <v>3005.6694793457104</v>
      </c>
      <c r="AP12" s="100">
        <v>3.8037006090893506</v>
      </c>
      <c r="AQ12" s="100">
        <v>2140.7227027954864</v>
      </c>
      <c r="AR12" s="100">
        <v>5</v>
      </c>
      <c r="AS12" s="100">
        <v>2814</v>
      </c>
      <c r="AT12" s="100">
        <v>5.2228794499089721</v>
      </c>
      <c r="AU12" s="100">
        <v>2939.4365544087691</v>
      </c>
      <c r="AV12" s="100">
        <v>2.7355322197875163</v>
      </c>
      <c r="AW12" s="100">
        <v>1539.557533296414</v>
      </c>
      <c r="AX12" s="100">
        <v>7</v>
      </c>
      <c r="AY12" s="100">
        <v>3939.5999999999995</v>
      </c>
      <c r="AZ12" s="100">
        <v>7.6373461300888899</v>
      </c>
      <c r="BA12" s="100">
        <v>4298.2984020140266</v>
      </c>
      <c r="BB12" s="100">
        <v>4.1434634831267898</v>
      </c>
      <c r="BC12" s="100">
        <v>2331.9412483037572</v>
      </c>
      <c r="BD12" s="100">
        <v>5.1578207123193822</v>
      </c>
      <c r="BE12" s="100">
        <v>2902.821496893348</v>
      </c>
      <c r="BF12" s="100">
        <v>5.4940984715483498</v>
      </c>
      <c r="BG12" s="100">
        <v>3092.0786197874108</v>
      </c>
      <c r="BH12" s="100">
        <v>6.2870096277475112</v>
      </c>
      <c r="BI12" s="100">
        <v>3538.3290184962989</v>
      </c>
      <c r="BJ12" s="100">
        <v>5.4335017972298019</v>
      </c>
      <c r="BK12" s="100">
        <v>3057.9748114809322</v>
      </c>
      <c r="BL12" s="100">
        <v>3.2609326371461007</v>
      </c>
      <c r="BM12" s="100">
        <v>1835.2528881858254</v>
      </c>
      <c r="BN12" s="100">
        <v>7</v>
      </c>
      <c r="BO12" s="100">
        <v>3939.5999999999995</v>
      </c>
      <c r="BP12" s="100">
        <v>5.0555332206396821</v>
      </c>
      <c r="BQ12" s="100">
        <v>2845.2540965760127</v>
      </c>
      <c r="BR12" s="100">
        <v>3.2954642839172092</v>
      </c>
      <c r="BS12" s="100">
        <v>1854.6872989886051</v>
      </c>
      <c r="BT12" s="100">
        <v>4.8340407303145883</v>
      </c>
      <c r="BU12" s="100">
        <v>2720.59812302105</v>
      </c>
      <c r="BV12" s="100">
        <v>7.7093623580037995</v>
      </c>
      <c r="BW12" s="100">
        <v>4338.8291350845384</v>
      </c>
      <c r="BX12" s="100">
        <v>8.082366499408737</v>
      </c>
      <c r="BY12" s="100">
        <v>4548.7558658672369</v>
      </c>
      <c r="BZ12" s="100">
        <v>3.8679839023270017</v>
      </c>
      <c r="CA12" s="100">
        <v>2176.9013402296364</v>
      </c>
      <c r="CB12" s="100">
        <v>5.2782588887375219</v>
      </c>
      <c r="CC12" s="100">
        <v>2970.604102581477</v>
      </c>
      <c r="CD12" s="100">
        <v>8.5143421698240278</v>
      </c>
      <c r="CE12" s="100">
        <v>4791.8717731769621</v>
      </c>
      <c r="CF12" s="100">
        <v>3.6240991489396337</v>
      </c>
      <c r="CG12" s="100">
        <v>2039.6430010232257</v>
      </c>
      <c r="CH12" s="100">
        <v>10</v>
      </c>
      <c r="CI12" s="100">
        <v>5628</v>
      </c>
      <c r="CJ12" s="100">
        <v>6.1508475161392813</v>
      </c>
      <c r="CK12" s="100">
        <v>3461.6969820831873</v>
      </c>
      <c r="CL12" s="100">
        <v>5.5386854285997495</v>
      </c>
      <c r="CM12" s="100">
        <v>3117.1721592159388</v>
      </c>
      <c r="CN12" s="100">
        <v>4.0901601974794408</v>
      </c>
      <c r="CO12" s="100">
        <v>2301.9421591414293</v>
      </c>
      <c r="CP12" s="100">
        <v>9.4007664996605378</v>
      </c>
      <c r="CQ12" s="100">
        <v>5290.7513860089502</v>
      </c>
      <c r="CR12" s="100">
        <v>4.3094462402894917</v>
      </c>
      <c r="CS12" s="100">
        <v>2425.3563440349258</v>
      </c>
      <c r="CT12" s="100">
        <v>7.3434858483836134</v>
      </c>
      <c r="CU12" s="100">
        <v>4132.9138354702973</v>
      </c>
    </row>
    <row r="13" spans="1:99">
      <c r="C13" s="99" t="s">
        <v>179</v>
      </c>
      <c r="D13" s="100">
        <v>1.6086796945458843</v>
      </c>
      <c r="E13" s="100">
        <v>137.05950997530934</v>
      </c>
      <c r="F13" s="100">
        <v>5.6451209933990993</v>
      </c>
      <c r="G13" s="100">
        <v>480.96430863760327</v>
      </c>
      <c r="H13" s="100">
        <v>3.9372645953917194</v>
      </c>
      <c r="I13" s="100">
        <v>335.4549435273745</v>
      </c>
      <c r="J13" s="100">
        <v>5.3436918501681534</v>
      </c>
      <c r="K13" s="100">
        <v>455.28254563432671</v>
      </c>
      <c r="L13" s="100">
        <v>4.6459166353414503</v>
      </c>
      <c r="M13" s="100">
        <v>395.83209733109157</v>
      </c>
      <c r="N13" s="100">
        <v>4.746353491212691</v>
      </c>
      <c r="O13" s="100">
        <v>404.38931745132129</v>
      </c>
      <c r="P13" s="100">
        <v>4.2933747671581548</v>
      </c>
      <c r="Q13" s="100">
        <v>365.79553016187481</v>
      </c>
      <c r="R13" s="100">
        <v>6.7270817875558517</v>
      </c>
      <c r="S13" s="100">
        <v>573.14736829975857</v>
      </c>
      <c r="T13" s="100">
        <v>6.195126805517968</v>
      </c>
      <c r="U13" s="100">
        <v>527.82480383013092</v>
      </c>
      <c r="V13" s="100">
        <v>7.0918030785116422</v>
      </c>
      <c r="W13" s="100">
        <v>604.22162228919194</v>
      </c>
      <c r="X13" s="100">
        <v>5</v>
      </c>
      <c r="Y13" s="100">
        <v>426</v>
      </c>
      <c r="Z13" s="100">
        <v>6.9212011890630256</v>
      </c>
      <c r="AA13" s="100">
        <v>589.68634130816986</v>
      </c>
      <c r="AB13" s="100">
        <v>4.9132288550228935</v>
      </c>
      <c r="AC13" s="100">
        <v>418.60709844795053</v>
      </c>
      <c r="AD13" s="100">
        <v>7.0537785235672192</v>
      </c>
      <c r="AE13" s="100">
        <v>600.98193020792712</v>
      </c>
      <c r="AF13" s="100">
        <v>5.7506322523210356</v>
      </c>
      <c r="AG13" s="100">
        <v>489.95386789775227</v>
      </c>
      <c r="AH13" s="100">
        <v>7.3309151232465579</v>
      </c>
      <c r="AI13" s="100">
        <v>624.59396850060671</v>
      </c>
      <c r="AJ13" s="100">
        <v>5.8529130538108127</v>
      </c>
      <c r="AK13" s="100">
        <v>498.66819218468129</v>
      </c>
      <c r="AL13" s="100">
        <v>3.8143754168326796</v>
      </c>
      <c r="AM13" s="100">
        <v>324.98478551414433</v>
      </c>
      <c r="AN13" s="100">
        <v>5.3405641068687109</v>
      </c>
      <c r="AO13" s="100">
        <v>455.0160619052142</v>
      </c>
      <c r="AP13" s="100">
        <v>4.4376507106042418</v>
      </c>
      <c r="AQ13" s="100">
        <v>378.08784054348143</v>
      </c>
      <c r="AR13" s="100">
        <v>5</v>
      </c>
      <c r="AS13" s="100">
        <v>426</v>
      </c>
      <c r="AT13" s="100">
        <v>4.5919095453376908</v>
      </c>
      <c r="AU13" s="100">
        <v>391.2306932627713</v>
      </c>
      <c r="AV13" s="100">
        <v>3.2826386637450198</v>
      </c>
      <c r="AW13" s="100">
        <v>279.68081415107571</v>
      </c>
      <c r="AX13" s="100">
        <v>8</v>
      </c>
      <c r="AY13" s="100">
        <v>681.6</v>
      </c>
      <c r="AZ13" s="100">
        <v>6.7887521156345692</v>
      </c>
      <c r="BA13" s="100">
        <v>578.40168025206526</v>
      </c>
      <c r="BB13" s="100">
        <v>4.1434634831267898</v>
      </c>
      <c r="BC13" s="100">
        <v>353.02308876240249</v>
      </c>
      <c r="BD13" s="100">
        <v>5.1578207123193822</v>
      </c>
      <c r="BE13" s="100">
        <v>439.4463246896114</v>
      </c>
      <c r="BF13" s="100">
        <v>5.4940984715483498</v>
      </c>
      <c r="BG13" s="100">
        <v>468.09718977591945</v>
      </c>
      <c r="BH13" s="100">
        <v>5.5396144370381579</v>
      </c>
      <c r="BI13" s="100">
        <v>471.9751500356511</v>
      </c>
      <c r="BJ13" s="100">
        <v>5.4335017972298019</v>
      </c>
      <c r="BK13" s="100">
        <v>462.93435312397912</v>
      </c>
      <c r="BL13" s="100">
        <v>3.7267801567384002</v>
      </c>
      <c r="BM13" s="100">
        <v>317.52166935411174</v>
      </c>
      <c r="BN13" s="100">
        <v>8</v>
      </c>
      <c r="BO13" s="100">
        <v>681.6</v>
      </c>
      <c r="BP13" s="100">
        <v>5.0555332206396821</v>
      </c>
      <c r="BQ13" s="100">
        <v>430.73143039850095</v>
      </c>
      <c r="BR13" s="100">
        <v>3.3175714797697329</v>
      </c>
      <c r="BS13" s="100">
        <v>282.65709007638122</v>
      </c>
      <c r="BT13" s="100">
        <v>4.8340407303145883</v>
      </c>
      <c r="BU13" s="100">
        <v>411.86027022280291</v>
      </c>
      <c r="BV13" s="100">
        <v>8.5659581755597767</v>
      </c>
      <c r="BW13" s="100">
        <v>729.819636557693</v>
      </c>
      <c r="BX13" s="100">
        <v>9.87844794372179</v>
      </c>
      <c r="BY13" s="100">
        <v>841.64376480509657</v>
      </c>
      <c r="BZ13" s="100">
        <v>3.8679839023270017</v>
      </c>
      <c r="CA13" s="100">
        <v>329.55222847826053</v>
      </c>
      <c r="CB13" s="100">
        <v>6.0322958728428828</v>
      </c>
      <c r="CC13" s="100">
        <v>513.95160836621358</v>
      </c>
      <c r="CD13" s="100">
        <v>7.5799395009418955</v>
      </c>
      <c r="CE13" s="100">
        <v>645.81084548024955</v>
      </c>
      <c r="CF13" s="100">
        <v>3.6240991489396337</v>
      </c>
      <c r="CG13" s="100">
        <v>308.7732474896568</v>
      </c>
      <c r="CH13" s="100">
        <v>11</v>
      </c>
      <c r="CI13" s="100">
        <v>937.2</v>
      </c>
      <c r="CJ13" s="100">
        <v>7.0295400184448917</v>
      </c>
      <c r="CK13" s="100">
        <v>598.91680957150481</v>
      </c>
      <c r="CL13" s="100">
        <v>4.7683246221042515</v>
      </c>
      <c r="CM13" s="100">
        <v>406.26125780328226</v>
      </c>
      <c r="CN13" s="100">
        <v>4.0901601974794408</v>
      </c>
      <c r="CO13" s="100">
        <v>348.48164882524839</v>
      </c>
      <c r="CP13" s="100">
        <v>8.5683902834990278</v>
      </c>
      <c r="CQ13" s="100">
        <v>730.02685215411714</v>
      </c>
      <c r="CR13" s="100">
        <v>4.3094462402894917</v>
      </c>
      <c r="CS13" s="100">
        <v>367.16481967266469</v>
      </c>
      <c r="CT13" s="100">
        <v>7.3434858483836134</v>
      </c>
      <c r="CU13" s="100">
        <v>625.66499428228383</v>
      </c>
    </row>
    <row r="14" spans="1:99">
      <c r="C14" s="99" t="s">
        <v>180</v>
      </c>
      <c r="D14" s="100">
        <v>1.4309426012470974</v>
      </c>
      <c r="E14" s="100">
        <v>698.87236644908228</v>
      </c>
      <c r="F14" s="100">
        <v>4.5230655724577904</v>
      </c>
      <c r="G14" s="100">
        <v>2209.0652255883847</v>
      </c>
      <c r="H14" s="100">
        <v>3.2855856361062714</v>
      </c>
      <c r="I14" s="100">
        <v>1604.6800246743028</v>
      </c>
      <c r="J14" s="100">
        <v>6.1070764001921756</v>
      </c>
      <c r="K14" s="100">
        <v>2982.6961138538586</v>
      </c>
      <c r="L14" s="100">
        <v>4.6459166353414503</v>
      </c>
      <c r="M14" s="100">
        <v>2269.065684700764</v>
      </c>
      <c r="N14" s="100">
        <v>4.0939023297112849</v>
      </c>
      <c r="O14" s="100">
        <v>1999.4618978309913</v>
      </c>
      <c r="P14" s="100">
        <v>4.2765311753098407</v>
      </c>
      <c r="Q14" s="100">
        <v>2088.6578260213259</v>
      </c>
      <c r="R14" s="100">
        <v>6.0727754267763121</v>
      </c>
      <c r="S14" s="100">
        <v>2965.9435184375507</v>
      </c>
      <c r="T14" s="100">
        <v>5.5213483158215038</v>
      </c>
      <c r="U14" s="100">
        <v>2696.6265174472223</v>
      </c>
      <c r="V14" s="100">
        <v>7.0918030785116422</v>
      </c>
      <c r="W14" s="100">
        <v>3463.636623545086</v>
      </c>
      <c r="X14" s="100">
        <v>5</v>
      </c>
      <c r="Y14" s="100">
        <v>2442</v>
      </c>
      <c r="Z14" s="100">
        <v>6.9212011890630256</v>
      </c>
      <c r="AA14" s="100">
        <v>3380.3146607383815</v>
      </c>
      <c r="AB14" s="100">
        <v>5.4591431722476607</v>
      </c>
      <c r="AC14" s="100">
        <v>2666.2455253257572</v>
      </c>
      <c r="AD14" s="100">
        <v>6.1720562081213171</v>
      </c>
      <c r="AE14" s="100">
        <v>3014.4322520464511</v>
      </c>
      <c r="AF14" s="100">
        <v>5.7506322523210356</v>
      </c>
      <c r="AG14" s="100">
        <v>2808.6087920335935</v>
      </c>
      <c r="AH14" s="100">
        <v>7.3309151232465579</v>
      </c>
      <c r="AI14" s="100">
        <v>3580.4189461936189</v>
      </c>
      <c r="AJ14" s="100">
        <v>5.7956361444611648</v>
      </c>
      <c r="AK14" s="100">
        <v>2830.5886929548328</v>
      </c>
      <c r="AL14" s="100">
        <v>3.8143754168326796</v>
      </c>
      <c r="AM14" s="100">
        <v>1862.9409535810805</v>
      </c>
      <c r="AN14" s="100">
        <v>6.3096037335170099</v>
      </c>
      <c r="AO14" s="100">
        <v>3081.6104634497074</v>
      </c>
      <c r="AP14" s="100">
        <v>4.4376507106042418</v>
      </c>
      <c r="AQ14" s="100">
        <v>2167.3486070591116</v>
      </c>
      <c r="AR14" s="100">
        <v>5</v>
      </c>
      <c r="AS14" s="100">
        <v>2442</v>
      </c>
      <c r="AT14" s="100">
        <v>4.5919095453376908</v>
      </c>
      <c r="AU14" s="100">
        <v>2242.688621942928</v>
      </c>
      <c r="AV14" s="100">
        <v>3.2826386637450198</v>
      </c>
      <c r="AW14" s="100">
        <v>1603.2407233730676</v>
      </c>
      <c r="AX14" s="100">
        <v>9</v>
      </c>
      <c r="AY14" s="100">
        <v>4395.5999999999995</v>
      </c>
      <c r="AZ14" s="100">
        <v>7.6373461300888899</v>
      </c>
      <c r="BA14" s="100">
        <v>3730.0798499354137</v>
      </c>
      <c r="BB14" s="100">
        <v>4.1434634831267898</v>
      </c>
      <c r="BC14" s="100">
        <v>2023.667565159124</v>
      </c>
      <c r="BD14" s="100">
        <v>5.1578207123193822</v>
      </c>
      <c r="BE14" s="100">
        <v>2519.0796358967859</v>
      </c>
      <c r="BF14" s="100">
        <v>5.4940984715483498</v>
      </c>
      <c r="BG14" s="100">
        <v>2683.3176935042138</v>
      </c>
      <c r="BH14" s="100">
        <v>6.2716172226438758</v>
      </c>
      <c r="BI14" s="100">
        <v>3063.057851539269</v>
      </c>
      <c r="BJ14" s="100">
        <v>5.4335017972298019</v>
      </c>
      <c r="BK14" s="100">
        <v>2653.7222777670349</v>
      </c>
      <c r="BL14" s="100">
        <v>3.2609326371461007</v>
      </c>
      <c r="BM14" s="100">
        <v>1592.6394999821555</v>
      </c>
      <c r="BN14" s="100">
        <v>9</v>
      </c>
      <c r="BO14" s="100">
        <v>4395.5999999999995</v>
      </c>
      <c r="BP14" s="100">
        <v>6.017174169413086</v>
      </c>
      <c r="BQ14" s="100">
        <v>2938.787864341351</v>
      </c>
      <c r="BR14" s="100">
        <v>3.2733570880646861</v>
      </c>
      <c r="BS14" s="100">
        <v>1598.7076018107925</v>
      </c>
      <c r="BT14" s="100">
        <v>4.8340407303145883</v>
      </c>
      <c r="BU14" s="100">
        <v>2360.9454926856447</v>
      </c>
      <c r="BV14" s="100">
        <v>6.8527665404478215</v>
      </c>
      <c r="BW14" s="100">
        <v>3346.891178354716</v>
      </c>
      <c r="BX14" s="100">
        <v>8.9804072215652635</v>
      </c>
      <c r="BY14" s="100">
        <v>4386.0308870124745</v>
      </c>
      <c r="BZ14" s="100">
        <v>3.8679839023270017</v>
      </c>
      <c r="CA14" s="100">
        <v>1889.1233378965076</v>
      </c>
      <c r="CB14" s="100">
        <v>5.2782588887375219</v>
      </c>
      <c r="CC14" s="100">
        <v>2577.9016412594056</v>
      </c>
      <c r="CD14" s="100">
        <v>8.5352857998009934</v>
      </c>
      <c r="CE14" s="100">
        <v>4168.6335846228048</v>
      </c>
      <c r="CF14" s="100">
        <v>3.1063706990911144</v>
      </c>
      <c r="CG14" s="100">
        <v>1517.1514494361002</v>
      </c>
      <c r="CH14" s="100">
        <v>11</v>
      </c>
      <c r="CI14" s="100">
        <v>5372.4</v>
      </c>
      <c r="CJ14" s="100">
        <v>6.1508475161392813</v>
      </c>
      <c r="CK14" s="100">
        <v>3004.073926882425</v>
      </c>
      <c r="CL14" s="100">
        <v>4.7683246221042515</v>
      </c>
      <c r="CM14" s="100">
        <v>2328.8497454357162</v>
      </c>
      <c r="CN14" s="100">
        <v>3.6356979533150584</v>
      </c>
      <c r="CO14" s="100">
        <v>1775.6748803990745</v>
      </c>
      <c r="CP14" s="100">
        <v>9.381948951823313</v>
      </c>
      <c r="CQ14" s="100">
        <v>4582.143868070506</v>
      </c>
      <c r="CR14" s="100">
        <v>4.925081417473705</v>
      </c>
      <c r="CS14" s="100">
        <v>2405.4097642941574</v>
      </c>
      <c r="CT14" s="100">
        <v>7.3434858483836134</v>
      </c>
      <c r="CU14" s="100">
        <v>3586.5584883505567</v>
      </c>
    </row>
    <row r="15" spans="1:99">
      <c r="C15" s="99" t="s">
        <v>181</v>
      </c>
      <c r="D15" s="100">
        <v>1.6086796945458843</v>
      </c>
      <c r="E15" s="100">
        <v>1227.7443428774188</v>
      </c>
      <c r="F15" s="100">
        <v>4.520161915066744</v>
      </c>
      <c r="G15" s="100">
        <v>3449.7875735789389</v>
      </c>
      <c r="H15" s="100">
        <v>3.9236691755522011</v>
      </c>
      <c r="I15" s="100">
        <v>2994.5443147814394</v>
      </c>
      <c r="J15" s="100">
        <v>5.3436918501681534</v>
      </c>
      <c r="K15" s="100">
        <v>4078.3056200483343</v>
      </c>
      <c r="L15" s="100">
        <v>5.3409820916436974</v>
      </c>
      <c r="M15" s="100">
        <v>4076.2375323424694</v>
      </c>
      <c r="N15" s="100">
        <v>4.746353491212691</v>
      </c>
      <c r="O15" s="100">
        <v>3622.4169844935254</v>
      </c>
      <c r="P15" s="100">
        <v>4.2765311753098407</v>
      </c>
      <c r="Q15" s="100">
        <v>3263.84859299647</v>
      </c>
      <c r="R15" s="100">
        <v>6.0727754267763121</v>
      </c>
      <c r="S15" s="100">
        <v>4634.7422057156809</v>
      </c>
      <c r="T15" s="100">
        <v>6.195126805517968</v>
      </c>
      <c r="U15" s="100">
        <v>4728.1207779713131</v>
      </c>
      <c r="V15" s="100">
        <v>6.3038249586770156</v>
      </c>
      <c r="W15" s="100">
        <v>4811.0792084622981</v>
      </c>
      <c r="X15" s="100">
        <v>6</v>
      </c>
      <c r="Y15" s="100">
        <v>4579.2</v>
      </c>
      <c r="Z15" s="100">
        <v>6.9212011890630256</v>
      </c>
      <c r="AA15" s="100">
        <v>5282.2607474929009</v>
      </c>
      <c r="AB15" s="100">
        <v>5.4591431722476607</v>
      </c>
      <c r="AC15" s="100">
        <v>4166.4180690594139</v>
      </c>
      <c r="AD15" s="100">
        <v>6.1720562081213171</v>
      </c>
      <c r="AE15" s="100">
        <v>4710.5132980381886</v>
      </c>
      <c r="AF15" s="100">
        <v>5.0318032207809065</v>
      </c>
      <c r="AG15" s="100">
        <v>3840.2722180999876</v>
      </c>
      <c r="AH15" s="100">
        <v>6.5978236109219024</v>
      </c>
      <c r="AI15" s="100">
        <v>5035.4589798555953</v>
      </c>
      <c r="AJ15" s="100">
        <v>6.410957261393138</v>
      </c>
      <c r="AK15" s="100">
        <v>4892.8425818952428</v>
      </c>
      <c r="AL15" s="100">
        <v>3.1786461806938995</v>
      </c>
      <c r="AM15" s="100">
        <v>2425.9427651055839</v>
      </c>
      <c r="AN15" s="100">
        <v>5.3405641068687109</v>
      </c>
      <c r="AO15" s="100">
        <v>4075.9185263621998</v>
      </c>
      <c r="AP15" s="100">
        <v>3.8037006090893506</v>
      </c>
      <c r="AQ15" s="100">
        <v>2902.9843048569919</v>
      </c>
      <c r="AR15" s="100">
        <v>5</v>
      </c>
      <c r="AS15" s="100">
        <v>3815.9999999999995</v>
      </c>
      <c r="AT15" s="100">
        <v>4.5919095453376908</v>
      </c>
      <c r="AU15" s="100">
        <v>3504.5453650017253</v>
      </c>
      <c r="AV15" s="100">
        <v>3.2826386637450198</v>
      </c>
      <c r="AW15" s="100">
        <v>2505.3098281701987</v>
      </c>
      <c r="AX15" s="100">
        <v>8</v>
      </c>
      <c r="AY15" s="100">
        <v>6105.5999999999995</v>
      </c>
      <c r="AZ15" s="100">
        <v>7.6373461300888899</v>
      </c>
      <c r="BA15" s="100">
        <v>5828.8225664838401</v>
      </c>
      <c r="BB15" s="100">
        <v>3.4528862359389918</v>
      </c>
      <c r="BC15" s="100">
        <v>2635.2427752686385</v>
      </c>
      <c r="BD15" s="100">
        <v>5.1578207123193822</v>
      </c>
      <c r="BE15" s="100">
        <v>3936.4487676421522</v>
      </c>
      <c r="BF15" s="100">
        <v>5.4940984715483498</v>
      </c>
      <c r="BG15" s="100">
        <v>4193.0959534857002</v>
      </c>
      <c r="BH15" s="100">
        <v>6.2562248175402413</v>
      </c>
      <c r="BI15" s="100">
        <v>4774.7507807467118</v>
      </c>
      <c r="BJ15" s="100">
        <v>6.2097163396912025</v>
      </c>
      <c r="BK15" s="100">
        <v>4739.2555104523253</v>
      </c>
      <c r="BL15" s="100">
        <v>3.7267801567384002</v>
      </c>
      <c r="BM15" s="100">
        <v>2844.2786156227467</v>
      </c>
      <c r="BN15" s="100">
        <v>7</v>
      </c>
      <c r="BO15" s="100">
        <v>5342.4</v>
      </c>
      <c r="BP15" s="100">
        <v>5.0555332206396821</v>
      </c>
      <c r="BQ15" s="100">
        <v>3858.3829539922049</v>
      </c>
      <c r="BR15" s="100">
        <v>3.2733570880646861</v>
      </c>
      <c r="BS15" s="100">
        <v>2498.2261296109682</v>
      </c>
      <c r="BT15" s="100">
        <v>4.8340407303145883</v>
      </c>
      <c r="BU15" s="100">
        <v>3689.3398853760932</v>
      </c>
      <c r="BV15" s="100">
        <v>7.7093623580037995</v>
      </c>
      <c r="BW15" s="100">
        <v>5883.7853516284995</v>
      </c>
      <c r="BX15" s="100">
        <v>9.87844794372179</v>
      </c>
      <c r="BY15" s="100">
        <v>7539.2314706484694</v>
      </c>
      <c r="BZ15" s="100">
        <v>3.8679839023270017</v>
      </c>
      <c r="CA15" s="100">
        <v>2952.0453142559672</v>
      </c>
      <c r="CB15" s="100">
        <v>5.2782588887375219</v>
      </c>
      <c r="CC15" s="100">
        <v>4028.3671838844762</v>
      </c>
      <c r="CD15" s="100">
        <v>8.5248139848125106</v>
      </c>
      <c r="CE15" s="100">
        <v>6506.1380332089075</v>
      </c>
      <c r="CF15" s="100">
        <v>3.6240991489396337</v>
      </c>
      <c r="CG15" s="100">
        <v>2765.9124704707283</v>
      </c>
      <c r="CH15" s="100">
        <v>9</v>
      </c>
      <c r="CI15" s="100">
        <v>6868.7999999999993</v>
      </c>
      <c r="CJ15" s="100">
        <v>6.1508475161392813</v>
      </c>
      <c r="CK15" s="100">
        <v>4694.3268243174989</v>
      </c>
      <c r="CL15" s="100">
        <v>4.8048645678870683</v>
      </c>
      <c r="CM15" s="100">
        <v>3667.0726382114103</v>
      </c>
      <c r="CN15" s="100">
        <v>4.0901601974794408</v>
      </c>
      <c r="CO15" s="100">
        <v>3121.6102627163091</v>
      </c>
      <c r="CP15" s="100">
        <v>8.5683902834990278</v>
      </c>
      <c r="CQ15" s="100">
        <v>6539.3954643664574</v>
      </c>
      <c r="CR15" s="100">
        <v>4.3094462402894917</v>
      </c>
      <c r="CS15" s="100">
        <v>3288.9693705889399</v>
      </c>
      <c r="CT15" s="100">
        <v>7.3434858483836134</v>
      </c>
      <c r="CU15" s="100">
        <v>5604.5483994863735</v>
      </c>
    </row>
    <row r="16" spans="1:99">
      <c r="C16" s="99" t="s">
        <v>182</v>
      </c>
      <c r="D16" s="100">
        <v>1.4296503362675543</v>
      </c>
      <c r="E16" s="100">
        <v>487.22483459998256</v>
      </c>
      <c r="F16" s="100">
        <v>4.520161915066744</v>
      </c>
      <c r="G16" s="100">
        <v>1540.4711806547464</v>
      </c>
      <c r="H16" s="100">
        <v>3.9372645953917194</v>
      </c>
      <c r="I16" s="100">
        <v>1341.819774109498</v>
      </c>
      <c r="J16" s="100">
        <v>5.3436918501681534</v>
      </c>
      <c r="K16" s="100">
        <v>1821.1301825373068</v>
      </c>
      <c r="L16" s="100">
        <v>5.3775608529920023</v>
      </c>
      <c r="M16" s="100">
        <v>1832.6727386996745</v>
      </c>
      <c r="N16" s="100">
        <v>4.0833614261405291</v>
      </c>
      <c r="O16" s="100">
        <v>1391.6095740286924</v>
      </c>
      <c r="P16" s="100">
        <v>5.1048876634145035</v>
      </c>
      <c r="Q16" s="100">
        <v>1739.7457156916628</v>
      </c>
      <c r="R16" s="100">
        <v>6.7270817875558517</v>
      </c>
      <c r="S16" s="100">
        <v>2292.5894731990343</v>
      </c>
      <c r="T16" s="100">
        <v>5.5213483158215038</v>
      </c>
      <c r="U16" s="100">
        <v>1881.6755060319686</v>
      </c>
      <c r="V16" s="100">
        <v>7.0918030785116422</v>
      </c>
      <c r="W16" s="100">
        <v>2416.8864891567678</v>
      </c>
      <c r="X16" s="100">
        <v>5</v>
      </c>
      <c r="Y16" s="100">
        <v>1704</v>
      </c>
      <c r="Z16" s="100">
        <v>6.9212011890630256</v>
      </c>
      <c r="AA16" s="100">
        <v>2358.7453652326794</v>
      </c>
      <c r="AB16" s="100">
        <v>4.9132288550228935</v>
      </c>
      <c r="AC16" s="100">
        <v>1674.4283937918021</v>
      </c>
      <c r="AD16" s="100">
        <v>6.1720562081213171</v>
      </c>
      <c r="AE16" s="100">
        <v>2103.4367557277451</v>
      </c>
      <c r="AF16" s="100">
        <v>5.0318032207809065</v>
      </c>
      <c r="AG16" s="100">
        <v>1714.8385376421329</v>
      </c>
      <c r="AH16" s="100">
        <v>6.5978236109219024</v>
      </c>
      <c r="AI16" s="100">
        <v>2248.5382866021846</v>
      </c>
      <c r="AJ16" s="100">
        <v>5.2089534822040164</v>
      </c>
      <c r="AK16" s="100">
        <v>1775.2113467351289</v>
      </c>
      <c r="AL16" s="100">
        <v>3.8143754168326796</v>
      </c>
      <c r="AM16" s="100">
        <v>1299.9391420565773</v>
      </c>
      <c r="AN16" s="100">
        <v>5.3405641068687109</v>
      </c>
      <c r="AO16" s="100">
        <v>1820.0642476208568</v>
      </c>
      <c r="AP16" s="100">
        <v>4.4376507106042418</v>
      </c>
      <c r="AQ16" s="100">
        <v>1512.3513621739257</v>
      </c>
      <c r="AR16" s="100">
        <v>5</v>
      </c>
      <c r="AS16" s="100">
        <v>1704</v>
      </c>
      <c r="AT16" s="100">
        <v>4.5919095453376908</v>
      </c>
      <c r="AU16" s="100">
        <v>1564.9227730510852</v>
      </c>
      <c r="AV16" s="100">
        <v>2.7355322197875163</v>
      </c>
      <c r="AW16" s="100">
        <v>932.26938050358558</v>
      </c>
      <c r="AX16" s="100">
        <v>8</v>
      </c>
      <c r="AY16" s="100">
        <v>2726.4</v>
      </c>
      <c r="AZ16" s="100">
        <v>6.7887521156345692</v>
      </c>
      <c r="BA16" s="100">
        <v>2313.606721008261</v>
      </c>
      <c r="BB16" s="100">
        <v>4.1434634831267898</v>
      </c>
      <c r="BC16" s="100">
        <v>1412.09235504961</v>
      </c>
      <c r="BD16" s="100">
        <v>5.1578207123193822</v>
      </c>
      <c r="BE16" s="100">
        <v>1757.7852987584456</v>
      </c>
      <c r="BF16" s="100">
        <v>6.1808607804918934</v>
      </c>
      <c r="BG16" s="100">
        <v>2106.4373539916373</v>
      </c>
      <c r="BH16" s="100">
        <v>6.2870096277475112</v>
      </c>
      <c r="BI16" s="100">
        <v>2142.6128811363519</v>
      </c>
      <c r="BJ16" s="100">
        <v>6.2097163396912025</v>
      </c>
      <c r="BK16" s="100">
        <v>2116.2713285667619</v>
      </c>
      <c r="BL16" s="100">
        <v>3.2609326371461007</v>
      </c>
      <c r="BM16" s="100">
        <v>1111.3258427393912</v>
      </c>
      <c r="BN16" s="100">
        <v>8</v>
      </c>
      <c r="BO16" s="100">
        <v>2726.4</v>
      </c>
      <c r="BP16" s="100">
        <v>5.024617161043099</v>
      </c>
      <c r="BQ16" s="100">
        <v>1712.3895284834882</v>
      </c>
      <c r="BR16" s="100">
        <v>3.2954642839172092</v>
      </c>
      <c r="BS16" s="100">
        <v>1123.0942279589849</v>
      </c>
      <c r="BT16" s="100">
        <v>4.8340407303145883</v>
      </c>
      <c r="BU16" s="100">
        <v>1647.4410808912116</v>
      </c>
      <c r="BV16" s="100">
        <v>6.8527665404478215</v>
      </c>
      <c r="BW16" s="100">
        <v>2335.4228369846178</v>
      </c>
      <c r="BX16" s="100">
        <v>9.87844794372179</v>
      </c>
      <c r="BY16" s="100">
        <v>3366.5750592203863</v>
      </c>
      <c r="BZ16" s="100">
        <v>3.2233199186058341</v>
      </c>
      <c r="CA16" s="100">
        <v>1098.5074282608682</v>
      </c>
      <c r="CB16" s="100">
        <v>5.2782588887375219</v>
      </c>
      <c r="CC16" s="100">
        <v>1798.8306292817476</v>
      </c>
      <c r="CD16" s="100">
        <v>7.5904113159303783</v>
      </c>
      <c r="CE16" s="100">
        <v>2586.8121764690732</v>
      </c>
      <c r="CF16" s="100">
        <v>3.6240991489396337</v>
      </c>
      <c r="CG16" s="100">
        <v>1235.0929899586272</v>
      </c>
      <c r="CH16" s="100">
        <v>11</v>
      </c>
      <c r="CI16" s="100">
        <v>3748.8</v>
      </c>
      <c r="CJ16" s="100">
        <v>6.1508475161392813</v>
      </c>
      <c r="CK16" s="100">
        <v>2096.2088335002672</v>
      </c>
      <c r="CL16" s="100">
        <v>5.4656055370341168</v>
      </c>
      <c r="CM16" s="100">
        <v>1862.6783670212271</v>
      </c>
      <c r="CN16" s="100">
        <v>4.0901601974794408</v>
      </c>
      <c r="CO16" s="100">
        <v>1393.9265953009935</v>
      </c>
      <c r="CP16" s="100">
        <v>10.233142715822048</v>
      </c>
      <c r="CQ16" s="100">
        <v>3487.455037552154</v>
      </c>
      <c r="CR16" s="100">
        <v>4.3094462402894917</v>
      </c>
      <c r="CS16" s="100">
        <v>1468.6592786906588</v>
      </c>
      <c r="CT16" s="100">
        <v>7.3120264043047012</v>
      </c>
      <c r="CU16" s="100">
        <v>2491.9385985870422</v>
      </c>
    </row>
    <row r="17" spans="2:99">
      <c r="C17" s="99" t="s">
        <v>183</v>
      </c>
      <c r="D17" s="100">
        <v>1.2532055079483104</v>
      </c>
      <c r="E17" s="100">
        <v>529.35400655736635</v>
      </c>
      <c r="F17" s="100">
        <v>5.0797377968418758</v>
      </c>
      <c r="G17" s="100">
        <v>2145.6812453860084</v>
      </c>
      <c r="H17" s="100">
        <v>3.9372645953917194</v>
      </c>
      <c r="I17" s="100">
        <v>1663.1005650934621</v>
      </c>
      <c r="J17" s="100">
        <v>6.1070764001921756</v>
      </c>
      <c r="K17" s="100">
        <v>2579.6290714411748</v>
      </c>
      <c r="L17" s="100">
        <v>4.6459166353414503</v>
      </c>
      <c r="M17" s="100">
        <v>1962.4351867682285</v>
      </c>
      <c r="N17" s="100">
        <v>4.7568943947834468</v>
      </c>
      <c r="O17" s="100">
        <v>2009.3121923565277</v>
      </c>
      <c r="P17" s="100">
        <v>4.2933747671581548</v>
      </c>
      <c r="Q17" s="100">
        <v>1813.5215016476045</v>
      </c>
      <c r="R17" s="100">
        <v>6.0727754267763121</v>
      </c>
      <c r="S17" s="100">
        <v>2565.140340270314</v>
      </c>
      <c r="T17" s="100">
        <v>5.5213483158215038</v>
      </c>
      <c r="U17" s="100">
        <v>2332.2175286030028</v>
      </c>
      <c r="V17" s="100">
        <v>7.0918030785116422</v>
      </c>
      <c r="W17" s="100">
        <v>2995.5776203633177</v>
      </c>
      <c r="X17" s="100">
        <v>6</v>
      </c>
      <c r="Y17" s="100">
        <v>2534.3999999999996</v>
      </c>
      <c r="Z17" s="100">
        <v>5.9324581620540222</v>
      </c>
      <c r="AA17" s="100">
        <v>2505.8703276516189</v>
      </c>
      <c r="AB17" s="100">
        <v>4.9132288550228935</v>
      </c>
      <c r="AC17" s="100">
        <v>2075.34786836167</v>
      </c>
      <c r="AD17" s="100">
        <v>6.1720562081213171</v>
      </c>
      <c r="AE17" s="100">
        <v>2607.076542310444</v>
      </c>
      <c r="AF17" s="100">
        <v>5.7506322523210356</v>
      </c>
      <c r="AG17" s="100">
        <v>2429.0670633804052</v>
      </c>
      <c r="AH17" s="100">
        <v>6.5978236109219024</v>
      </c>
      <c r="AI17" s="100">
        <v>2786.9206932534116</v>
      </c>
      <c r="AJ17" s="100">
        <v>5.1803150275291925</v>
      </c>
      <c r="AK17" s="100">
        <v>2188.1650676283307</v>
      </c>
      <c r="AL17" s="100">
        <v>3.1786461806938995</v>
      </c>
      <c r="AM17" s="100">
        <v>1342.660146725103</v>
      </c>
      <c r="AN17" s="100">
        <v>5.3096037335170099</v>
      </c>
      <c r="AO17" s="100">
        <v>2242.7766170375849</v>
      </c>
      <c r="AP17" s="100">
        <v>4.4376507106042418</v>
      </c>
      <c r="AQ17" s="100">
        <v>1874.4636601592317</v>
      </c>
      <c r="AR17" s="100">
        <v>5</v>
      </c>
      <c r="AS17" s="100">
        <v>2112</v>
      </c>
      <c r="AT17" s="100">
        <v>4.6210962475608097</v>
      </c>
      <c r="AU17" s="100">
        <v>1951.9510549696859</v>
      </c>
      <c r="AV17" s="100">
        <v>3.2826386637450198</v>
      </c>
      <c r="AW17" s="100">
        <v>1386.5865715658963</v>
      </c>
      <c r="AX17" s="100">
        <v>8</v>
      </c>
      <c r="AY17" s="100">
        <v>3379.2</v>
      </c>
      <c r="AZ17" s="100">
        <v>6.7887521156345692</v>
      </c>
      <c r="BA17" s="100">
        <v>2867.568893644042</v>
      </c>
      <c r="BB17" s="100">
        <v>4.1434634831267898</v>
      </c>
      <c r="BC17" s="100">
        <v>1750.1989752727559</v>
      </c>
      <c r="BD17" s="100">
        <v>5.1578207123193822</v>
      </c>
      <c r="BE17" s="100">
        <v>2178.6634688837071</v>
      </c>
      <c r="BF17" s="100">
        <v>4.8073361626048063</v>
      </c>
      <c r="BG17" s="100">
        <v>2030.61879508427</v>
      </c>
      <c r="BH17" s="100">
        <v>5.5242220319345234</v>
      </c>
      <c r="BI17" s="100">
        <v>2333.4313862891427</v>
      </c>
      <c r="BJ17" s="100">
        <v>5.4335017972298019</v>
      </c>
      <c r="BK17" s="100">
        <v>2295.1111591498684</v>
      </c>
      <c r="BL17" s="100">
        <v>3.7267801567384002</v>
      </c>
      <c r="BM17" s="100">
        <v>1574.1919382063002</v>
      </c>
      <c r="BN17" s="100">
        <v>7</v>
      </c>
      <c r="BO17" s="100">
        <v>2956.7999999999997</v>
      </c>
      <c r="BP17" s="100">
        <v>6.017174169413086</v>
      </c>
      <c r="BQ17" s="100">
        <v>2541.6543691600873</v>
      </c>
      <c r="BR17" s="100">
        <v>3.2733570880646861</v>
      </c>
      <c r="BS17" s="100">
        <v>1382.6660339985233</v>
      </c>
      <c r="BT17" s="100">
        <v>4.8340407303145883</v>
      </c>
      <c r="BU17" s="100">
        <v>2041.898804484882</v>
      </c>
      <c r="BV17" s="100">
        <v>7.7093623580037995</v>
      </c>
      <c r="BW17" s="100">
        <v>3256.4346600208046</v>
      </c>
      <c r="BX17" s="100">
        <v>9.87844794372179</v>
      </c>
      <c r="BY17" s="100">
        <v>4172.6564114280836</v>
      </c>
      <c r="BZ17" s="100">
        <v>3.8679839023270017</v>
      </c>
      <c r="CA17" s="100">
        <v>1633.8364003429253</v>
      </c>
      <c r="CB17" s="100">
        <v>6.0322958728428828</v>
      </c>
      <c r="CC17" s="100">
        <v>2548.0417766888336</v>
      </c>
      <c r="CD17" s="100">
        <v>7.5799395009418955</v>
      </c>
      <c r="CE17" s="100">
        <v>3201.7664451978567</v>
      </c>
      <c r="CF17" s="100">
        <v>3.6240991489396337</v>
      </c>
      <c r="CG17" s="100">
        <v>1530.8194805121011</v>
      </c>
      <c r="CH17" s="100">
        <v>11</v>
      </c>
      <c r="CI17" s="100">
        <v>4646.3999999999996</v>
      </c>
      <c r="CJ17" s="100">
        <v>5.2721550138336699</v>
      </c>
      <c r="CK17" s="100">
        <v>2226.9582778433419</v>
      </c>
      <c r="CL17" s="100">
        <v>4.7683246221042515</v>
      </c>
      <c r="CM17" s="100">
        <v>2014.1403203768357</v>
      </c>
      <c r="CN17" s="100">
        <v>4.0901601974794408</v>
      </c>
      <c r="CO17" s="100">
        <v>1727.6836674153158</v>
      </c>
      <c r="CP17" s="100">
        <v>8.5683902834990278</v>
      </c>
      <c r="CQ17" s="100">
        <v>3619.2880557499893</v>
      </c>
      <c r="CR17" s="100">
        <v>4.925081417473705</v>
      </c>
      <c r="CS17" s="100">
        <v>2080.354390740893</v>
      </c>
      <c r="CT17" s="100">
        <v>8.2024351217836049</v>
      </c>
      <c r="CU17" s="100">
        <v>3464.7085954413947</v>
      </c>
    </row>
    <row r="18" spans="2:99">
      <c r="C18" s="99" t="s">
        <v>184</v>
      </c>
      <c r="D18" s="100">
        <v>1.4309426012470974</v>
      </c>
      <c r="E18" s="100">
        <v>934.11933009410507</v>
      </c>
      <c r="F18" s="100">
        <v>4.5172582576756986</v>
      </c>
      <c r="G18" s="100">
        <v>2948.8661906106959</v>
      </c>
      <c r="H18" s="100">
        <v>3.9372645953917194</v>
      </c>
      <c r="I18" s="100">
        <v>2570.2463278717141</v>
      </c>
      <c r="J18" s="100">
        <v>5.3436918501681534</v>
      </c>
      <c r="K18" s="100">
        <v>3488.3620397897703</v>
      </c>
      <c r="L18" s="100">
        <v>5.3409820916436974</v>
      </c>
      <c r="M18" s="100">
        <v>3486.5931094250054</v>
      </c>
      <c r="N18" s="100">
        <v>4.746353491212691</v>
      </c>
      <c r="O18" s="100">
        <v>3098.4195590636446</v>
      </c>
      <c r="P18" s="100">
        <v>4.2933747671581548</v>
      </c>
      <c r="Q18" s="100">
        <v>2802.7150480008431</v>
      </c>
      <c r="R18" s="100">
        <v>6.0727754267763121</v>
      </c>
      <c r="S18" s="100">
        <v>3964.3077985995765</v>
      </c>
      <c r="T18" s="100">
        <v>5.5049582660402798</v>
      </c>
      <c r="U18" s="100">
        <v>3593.6367560710946</v>
      </c>
      <c r="V18" s="100">
        <v>7.0918030785116422</v>
      </c>
      <c r="W18" s="100">
        <v>4629.5290496523994</v>
      </c>
      <c r="X18" s="100">
        <v>5</v>
      </c>
      <c r="Y18" s="100">
        <v>3264</v>
      </c>
      <c r="Z18" s="100">
        <v>5.9324581620540222</v>
      </c>
      <c r="AA18" s="100">
        <v>3872.7086881888654</v>
      </c>
      <c r="AB18" s="100">
        <v>4.9132288550228935</v>
      </c>
      <c r="AC18" s="100">
        <v>3207.3557965589448</v>
      </c>
      <c r="AD18" s="100">
        <v>6.1720562081213171</v>
      </c>
      <c r="AE18" s="100">
        <v>4029.1182926615957</v>
      </c>
      <c r="AF18" s="100">
        <v>5.7506322523210356</v>
      </c>
      <c r="AG18" s="100">
        <v>3754.0127343151717</v>
      </c>
      <c r="AH18" s="100">
        <v>6.5978236109219024</v>
      </c>
      <c r="AI18" s="100">
        <v>4307.0592532098171</v>
      </c>
      <c r="AJ18" s="100">
        <v>6.4395957160679611</v>
      </c>
      <c r="AK18" s="100">
        <v>4203.7680834491648</v>
      </c>
      <c r="AL18" s="100">
        <v>3.8143754168326796</v>
      </c>
      <c r="AM18" s="100">
        <v>2490.0242721083732</v>
      </c>
      <c r="AN18" s="100">
        <v>5.3405641068687109</v>
      </c>
      <c r="AO18" s="100">
        <v>3486.3202489638943</v>
      </c>
      <c r="AP18" s="100">
        <v>3.8037006090893506</v>
      </c>
      <c r="AQ18" s="100">
        <v>2483.0557576135279</v>
      </c>
      <c r="AR18" s="100">
        <v>5</v>
      </c>
      <c r="AS18" s="100">
        <v>3264</v>
      </c>
      <c r="AT18" s="100">
        <v>4.5919095453376908</v>
      </c>
      <c r="AU18" s="100">
        <v>2997.5985511964445</v>
      </c>
      <c r="AV18" s="100">
        <v>3.2826386637450198</v>
      </c>
      <c r="AW18" s="100">
        <v>2142.9065196927486</v>
      </c>
      <c r="AX18" s="100">
        <v>8</v>
      </c>
      <c r="AY18" s="100">
        <v>5222.3999999999996</v>
      </c>
      <c r="AZ18" s="100">
        <v>6.7887521156345692</v>
      </c>
      <c r="BA18" s="100">
        <v>4431.6973810862464</v>
      </c>
      <c r="BB18" s="100">
        <v>4.1434634831267898</v>
      </c>
      <c r="BC18" s="100">
        <v>2704.8529617851682</v>
      </c>
      <c r="BD18" s="100">
        <v>5.1578207123193822</v>
      </c>
      <c r="BE18" s="100">
        <v>3367.0253610020923</v>
      </c>
      <c r="BF18" s="100">
        <v>5.4940984715483498</v>
      </c>
      <c r="BG18" s="100">
        <v>3586.5474822267624</v>
      </c>
      <c r="BH18" s="100">
        <v>6.2870096277475112</v>
      </c>
      <c r="BI18" s="100">
        <v>4104.1598849935754</v>
      </c>
      <c r="BJ18" s="100">
        <v>6.2097163396912025</v>
      </c>
      <c r="BK18" s="100">
        <v>4053.7028265504168</v>
      </c>
      <c r="BL18" s="100">
        <v>3.7267801567384002</v>
      </c>
      <c r="BM18" s="100">
        <v>2432.8420863188276</v>
      </c>
      <c r="BN18" s="100">
        <v>8</v>
      </c>
      <c r="BO18" s="100">
        <v>5222.3999999999996</v>
      </c>
      <c r="BP18" s="100">
        <v>5.0555332206396821</v>
      </c>
      <c r="BQ18" s="100">
        <v>3300.2520864335843</v>
      </c>
      <c r="BR18" s="100">
        <v>2.8310000136011859</v>
      </c>
      <c r="BS18" s="100">
        <v>1848.0768088788541</v>
      </c>
      <c r="BT18" s="100">
        <v>4.8340407303145883</v>
      </c>
      <c r="BU18" s="100">
        <v>3155.661788749363</v>
      </c>
      <c r="BV18" s="100">
        <v>7.7093623580037995</v>
      </c>
      <c r="BW18" s="100">
        <v>5032.6717473048802</v>
      </c>
      <c r="BX18" s="100">
        <v>8.9804072215652635</v>
      </c>
      <c r="BY18" s="100">
        <v>5862.4098342378038</v>
      </c>
      <c r="BZ18" s="100">
        <v>3.2233199186058341</v>
      </c>
      <c r="CA18" s="100">
        <v>2104.1832428658886</v>
      </c>
      <c r="CB18" s="100">
        <v>5.2782588887375219</v>
      </c>
      <c r="CC18" s="100">
        <v>3445.647402567854</v>
      </c>
      <c r="CD18" s="100">
        <v>7.5799395009418955</v>
      </c>
      <c r="CE18" s="100">
        <v>4948.1845062148686</v>
      </c>
      <c r="CF18" s="100">
        <v>3.6240991489396337</v>
      </c>
      <c r="CG18" s="100">
        <v>2365.8119244277927</v>
      </c>
      <c r="CH18" s="100">
        <v>9</v>
      </c>
      <c r="CI18" s="100">
        <v>5875.2</v>
      </c>
      <c r="CJ18" s="100">
        <v>6.1508475161392813</v>
      </c>
      <c r="CK18" s="100">
        <v>4015.2732585357226</v>
      </c>
      <c r="CL18" s="100">
        <v>5.5021454828169327</v>
      </c>
      <c r="CM18" s="100">
        <v>3591.8005711828932</v>
      </c>
      <c r="CN18" s="100">
        <v>3.6356979533150584</v>
      </c>
      <c r="CO18" s="100">
        <v>2373.38362392407</v>
      </c>
      <c r="CP18" s="100">
        <v>9.381948951823313</v>
      </c>
      <c r="CQ18" s="100">
        <v>6124.536275750258</v>
      </c>
      <c r="CR18" s="100">
        <v>4.925081417473705</v>
      </c>
      <c r="CS18" s="100">
        <v>3215.0931493268345</v>
      </c>
      <c r="CT18" s="100">
        <v>7.3434858483836134</v>
      </c>
      <c r="CU18" s="100">
        <v>4793.8275618248226</v>
      </c>
    </row>
    <row r="19" spans="2:99">
      <c r="C19" s="99" t="s">
        <v>185</v>
      </c>
      <c r="D19" s="100">
        <v>1.4309426012470974</v>
      </c>
      <c r="E19" s="100">
        <v>472.21105841154213</v>
      </c>
      <c r="F19" s="100">
        <v>5.0826414542329212</v>
      </c>
      <c r="G19" s="100">
        <v>1677.271679896864</v>
      </c>
      <c r="H19" s="100">
        <v>3.9372645953917194</v>
      </c>
      <c r="I19" s="100">
        <v>1299.2973164792675</v>
      </c>
      <c r="J19" s="100">
        <v>6.1070764001921756</v>
      </c>
      <c r="K19" s="100">
        <v>2015.3352120634179</v>
      </c>
      <c r="L19" s="100">
        <v>4.6459166353414503</v>
      </c>
      <c r="M19" s="100">
        <v>1533.1524896626786</v>
      </c>
      <c r="N19" s="100">
        <v>4.7358125876419344</v>
      </c>
      <c r="O19" s="100">
        <v>1562.8181539218383</v>
      </c>
      <c r="P19" s="100">
        <v>5.1048876634145035</v>
      </c>
      <c r="Q19" s="100">
        <v>1684.6129289267863</v>
      </c>
      <c r="R19" s="100">
        <v>6.0421057301495695</v>
      </c>
      <c r="S19" s="100">
        <v>1993.8948909493579</v>
      </c>
      <c r="T19" s="100">
        <v>6.195126805517968</v>
      </c>
      <c r="U19" s="100">
        <v>2044.3918458209293</v>
      </c>
      <c r="V19" s="100">
        <v>6.3038249586770156</v>
      </c>
      <c r="W19" s="100">
        <v>2080.262236363415</v>
      </c>
      <c r="X19" s="100">
        <v>5</v>
      </c>
      <c r="Y19" s="100">
        <v>1650</v>
      </c>
      <c r="Z19" s="100">
        <v>5.9324581620540222</v>
      </c>
      <c r="AA19" s="100">
        <v>1957.7111934778272</v>
      </c>
      <c r="AB19" s="100">
        <v>4.9132288550228935</v>
      </c>
      <c r="AC19" s="100">
        <v>1621.3655221575548</v>
      </c>
      <c r="AD19" s="100">
        <v>7.0537785235672192</v>
      </c>
      <c r="AE19" s="100">
        <v>2327.7469127771824</v>
      </c>
      <c r="AF19" s="100">
        <v>5.7506322523210356</v>
      </c>
      <c r="AG19" s="100">
        <v>1897.7086432659416</v>
      </c>
      <c r="AH19" s="100">
        <v>6.5978236109219024</v>
      </c>
      <c r="AI19" s="100">
        <v>2177.2817916042277</v>
      </c>
      <c r="AJ19" s="100">
        <v>5.8242745991359888</v>
      </c>
      <c r="AK19" s="100">
        <v>1922.0106177148764</v>
      </c>
      <c r="AL19" s="100">
        <v>3.1786461806938995</v>
      </c>
      <c r="AM19" s="100">
        <v>1048.9532396289869</v>
      </c>
      <c r="AN19" s="100">
        <v>5.3096037335170099</v>
      </c>
      <c r="AO19" s="100">
        <v>1752.1692320606132</v>
      </c>
      <c r="AP19" s="100">
        <v>4.4376507106042418</v>
      </c>
      <c r="AQ19" s="100">
        <v>1464.4247344993998</v>
      </c>
      <c r="AR19" s="100">
        <v>5</v>
      </c>
      <c r="AS19" s="100">
        <v>1650</v>
      </c>
      <c r="AT19" s="100">
        <v>5.2228794499089721</v>
      </c>
      <c r="AU19" s="100">
        <v>1723.5502184699608</v>
      </c>
      <c r="AV19" s="100">
        <v>2.7355322197875163</v>
      </c>
      <c r="AW19" s="100">
        <v>902.72563252988039</v>
      </c>
      <c r="AX19" s="100">
        <v>8</v>
      </c>
      <c r="AY19" s="100">
        <v>2640</v>
      </c>
      <c r="AZ19" s="100">
        <v>6.7887521156345692</v>
      </c>
      <c r="BA19" s="100">
        <v>2240.2881981594078</v>
      </c>
      <c r="BB19" s="100">
        <v>4.8340407303145883</v>
      </c>
      <c r="BC19" s="100">
        <v>1595.2334410038141</v>
      </c>
      <c r="BD19" s="100">
        <v>5.1578207123193822</v>
      </c>
      <c r="BE19" s="100">
        <v>1702.0808350653961</v>
      </c>
      <c r="BF19" s="100">
        <v>5.4940984715483498</v>
      </c>
      <c r="BG19" s="100">
        <v>1813.0524956109555</v>
      </c>
      <c r="BH19" s="100">
        <v>5.5088296268308889</v>
      </c>
      <c r="BI19" s="100">
        <v>1817.9137768541934</v>
      </c>
      <c r="BJ19" s="100">
        <v>6.2097163396912025</v>
      </c>
      <c r="BK19" s="100">
        <v>2049.2063920980968</v>
      </c>
      <c r="BL19" s="100">
        <v>3.2609326371461007</v>
      </c>
      <c r="BM19" s="100">
        <v>1076.1077702582131</v>
      </c>
      <c r="BN19" s="100">
        <v>9</v>
      </c>
      <c r="BO19" s="100">
        <v>2970</v>
      </c>
      <c r="BP19" s="100">
        <v>5.0555332206396821</v>
      </c>
      <c r="BQ19" s="100">
        <v>1668.325962811095</v>
      </c>
      <c r="BR19" s="100">
        <v>3.2954642839172092</v>
      </c>
      <c r="BS19" s="100">
        <v>1087.5032136926791</v>
      </c>
      <c r="BT19" s="100">
        <v>4.8340407303145883</v>
      </c>
      <c r="BU19" s="100">
        <v>1595.2334410038141</v>
      </c>
      <c r="BV19" s="100">
        <v>7.7093623580037995</v>
      </c>
      <c r="BW19" s="100">
        <v>2544.0895781412537</v>
      </c>
      <c r="BX19" s="100">
        <v>9.87844794372179</v>
      </c>
      <c r="BY19" s="100">
        <v>3259.8878214281908</v>
      </c>
      <c r="BZ19" s="100">
        <v>3.2233199186058341</v>
      </c>
      <c r="CA19" s="100">
        <v>1063.6955731399253</v>
      </c>
      <c r="CB19" s="100">
        <v>5.2782588887375219</v>
      </c>
      <c r="CC19" s="100">
        <v>1741.8254332833822</v>
      </c>
      <c r="CD19" s="100">
        <v>7.5904113159303783</v>
      </c>
      <c r="CE19" s="100">
        <v>2504.8357342570248</v>
      </c>
      <c r="CF19" s="100">
        <v>3.1063706990911144</v>
      </c>
      <c r="CG19" s="100">
        <v>1025.1023307000678</v>
      </c>
      <c r="CH19" s="100">
        <v>10</v>
      </c>
      <c r="CI19" s="100">
        <v>3300</v>
      </c>
      <c r="CJ19" s="100">
        <v>6.1508475161392813</v>
      </c>
      <c r="CK19" s="100">
        <v>2029.7796803259628</v>
      </c>
      <c r="CL19" s="100">
        <v>5.5021454828169327</v>
      </c>
      <c r="CM19" s="100">
        <v>1815.7080093295879</v>
      </c>
      <c r="CN19" s="100">
        <v>4.0901601974794408</v>
      </c>
      <c r="CO19" s="100">
        <v>1349.7528651682155</v>
      </c>
      <c r="CP19" s="100">
        <v>9.3631314039860882</v>
      </c>
      <c r="CQ19" s="100">
        <v>3089.8333633154093</v>
      </c>
      <c r="CR19" s="100">
        <v>4.3094462402894917</v>
      </c>
      <c r="CS19" s="100">
        <v>1422.1172592955322</v>
      </c>
      <c r="CT19" s="100">
        <v>7.3434858483836134</v>
      </c>
      <c r="CU19" s="100">
        <v>2423.3503299665922</v>
      </c>
    </row>
    <row r="20" spans="2:99">
      <c r="B20" s="99" t="s">
        <v>127</v>
      </c>
      <c r="C20" s="99" t="s">
        <v>186</v>
      </c>
      <c r="D20" s="100">
        <v>2.3299661875773769</v>
      </c>
      <c r="E20" s="100">
        <v>668.23430259719169</v>
      </c>
      <c r="F20" s="100">
        <v>4.5288728872398831</v>
      </c>
      <c r="G20" s="100">
        <v>1298.8807440603985</v>
      </c>
      <c r="H20" s="100">
        <v>5.362981292518274</v>
      </c>
      <c r="I20" s="100">
        <v>1538.1030346942412</v>
      </c>
      <c r="J20" s="100">
        <v>9.9239991503122855</v>
      </c>
      <c r="K20" s="100">
        <v>2846.2029563095634</v>
      </c>
      <c r="L20" s="100">
        <v>7.7919660740334917</v>
      </c>
      <c r="M20" s="100">
        <v>2234.7358700328055</v>
      </c>
      <c r="N20" s="100">
        <v>6.7880342042829547</v>
      </c>
      <c r="O20" s="100">
        <v>1946.8082097883514</v>
      </c>
      <c r="P20" s="100">
        <v>8.5025315750747339</v>
      </c>
      <c r="Q20" s="100">
        <v>2438.5260557314336</v>
      </c>
      <c r="R20" s="100">
        <v>8.2810520821288662</v>
      </c>
      <c r="S20" s="100">
        <v>2375.005737154559</v>
      </c>
      <c r="T20" s="100">
        <v>7.0328057930266725</v>
      </c>
      <c r="U20" s="100">
        <v>2017.0087014400497</v>
      </c>
      <c r="V20" s="100">
        <v>7.0918030785116422</v>
      </c>
      <c r="W20" s="100">
        <v>2033.929122917139</v>
      </c>
      <c r="X20" s="100">
        <v>14</v>
      </c>
      <c r="Y20" s="100">
        <v>4015.2000000000003</v>
      </c>
      <c r="Z20" s="100">
        <v>15.819888432144058</v>
      </c>
      <c r="AA20" s="100">
        <v>4537.1440023389159</v>
      </c>
      <c r="AB20" s="100">
        <v>6.5509718066971923</v>
      </c>
      <c r="AC20" s="100">
        <v>1878.8187141607548</v>
      </c>
      <c r="AD20" s="100">
        <v>10.580667785350828</v>
      </c>
      <c r="AE20" s="100">
        <v>3034.5355208386177</v>
      </c>
      <c r="AF20" s="100">
        <v>9.3447774100216829</v>
      </c>
      <c r="AG20" s="100">
        <v>2680.0821611942188</v>
      </c>
      <c r="AH20" s="100">
        <v>8.0640066355712143</v>
      </c>
      <c r="AI20" s="100">
        <v>2312.7571030818244</v>
      </c>
      <c r="AJ20" s="100">
        <v>8.6005820682869363</v>
      </c>
      <c r="AK20" s="100">
        <v>2466.6469371846933</v>
      </c>
      <c r="AL20" s="100">
        <v>5.0858338891102397</v>
      </c>
      <c r="AM20" s="100">
        <v>1458.6171593968168</v>
      </c>
      <c r="AN20" s="100">
        <v>11.61920746703402</v>
      </c>
      <c r="AO20" s="100">
        <v>3332.388701545357</v>
      </c>
      <c r="AP20" s="100">
        <v>9.5092515227233765</v>
      </c>
      <c r="AQ20" s="100">
        <v>2727.2533367170645</v>
      </c>
      <c r="AR20" s="100">
        <v>10</v>
      </c>
      <c r="AS20" s="100">
        <v>2868</v>
      </c>
      <c r="AT20" s="100">
        <v>10.766812624272259</v>
      </c>
      <c r="AU20" s="100">
        <v>3087.9218606412837</v>
      </c>
      <c r="AV20" s="100">
        <v>8.7537031033200527</v>
      </c>
      <c r="AW20" s="100">
        <v>2510.5620500321911</v>
      </c>
      <c r="AX20" s="100">
        <v>14</v>
      </c>
      <c r="AY20" s="100">
        <v>4015.2000000000003</v>
      </c>
      <c r="AZ20" s="100">
        <v>7.6373461300888899</v>
      </c>
      <c r="BA20" s="100">
        <v>2190.3908701094938</v>
      </c>
      <c r="BB20" s="100">
        <v>6.9057724718779836</v>
      </c>
      <c r="BC20" s="100">
        <v>1980.5755449346059</v>
      </c>
      <c r="BD20" s="100">
        <v>11.175278210025327</v>
      </c>
      <c r="BE20" s="100">
        <v>3205.0697906352639</v>
      </c>
      <c r="BF20" s="100">
        <v>8.9279100162660701</v>
      </c>
      <c r="BG20" s="100">
        <v>2560.5245926651091</v>
      </c>
      <c r="BH20" s="100">
        <v>7.8433696295807538</v>
      </c>
      <c r="BI20" s="100">
        <v>2249.4784097637603</v>
      </c>
      <c r="BJ20" s="100">
        <v>8.5383599670754045</v>
      </c>
      <c r="BK20" s="100">
        <v>2448.8016385572259</v>
      </c>
      <c r="BL20" s="100">
        <v>5.5901702351076015</v>
      </c>
      <c r="BM20" s="100">
        <v>1603.2608234288602</v>
      </c>
      <c r="BN20" s="100">
        <v>12</v>
      </c>
      <c r="BO20" s="100">
        <v>3441.6000000000004</v>
      </c>
      <c r="BP20" s="100">
        <v>8.3732809013120502</v>
      </c>
      <c r="BQ20" s="100">
        <v>2401.456962496296</v>
      </c>
      <c r="BR20" s="100">
        <v>7.3429995416462779</v>
      </c>
      <c r="BS20" s="100">
        <v>2105.9722685441525</v>
      </c>
      <c r="BT20" s="100">
        <v>6.2151952246901843</v>
      </c>
      <c r="BU20" s="100">
        <v>1782.517990441145</v>
      </c>
      <c r="BV20" s="100">
        <v>14.562128898451622</v>
      </c>
      <c r="BW20" s="100">
        <v>4176.4185680759256</v>
      </c>
      <c r="BX20" s="100">
        <v>10.776488665878317</v>
      </c>
      <c r="BY20" s="100">
        <v>3090.6969493739011</v>
      </c>
      <c r="BZ20" s="100">
        <v>9.0252957720963369</v>
      </c>
      <c r="CA20" s="100">
        <v>2588.4548274372296</v>
      </c>
      <c r="CB20" s="100">
        <v>10.556517777475044</v>
      </c>
      <c r="CC20" s="100">
        <v>3027.6092985798427</v>
      </c>
      <c r="CD20" s="100">
        <v>13.291073664119523</v>
      </c>
      <c r="CE20" s="100">
        <v>3811.8799268694793</v>
      </c>
      <c r="CF20" s="100">
        <v>4.6595560486366718</v>
      </c>
      <c r="CG20" s="100">
        <v>1336.3606747489976</v>
      </c>
      <c r="CH20" s="100">
        <v>8</v>
      </c>
      <c r="CI20" s="100">
        <v>2294.4</v>
      </c>
      <c r="CJ20" s="100">
        <v>11.423002529972951</v>
      </c>
      <c r="CK20" s="100">
        <v>3276.1171255962427</v>
      </c>
      <c r="CL20" s="100">
        <v>12.325772903927962</v>
      </c>
      <c r="CM20" s="100">
        <v>3535.0316688465396</v>
      </c>
      <c r="CN20" s="100">
        <v>5.9080091741369714</v>
      </c>
      <c r="CO20" s="100">
        <v>1694.4170311424834</v>
      </c>
      <c r="CP20" s="100">
        <v>11.935530243819519</v>
      </c>
      <c r="CQ20" s="100">
        <v>3423.1100739274384</v>
      </c>
      <c r="CR20" s="100">
        <v>6.1563517718421314</v>
      </c>
      <c r="CS20" s="100">
        <v>1765.6416881643233</v>
      </c>
      <c r="CT20" s="100">
        <v>15.608839858325041</v>
      </c>
      <c r="CU20" s="100">
        <v>4476.615271367622</v>
      </c>
    </row>
    <row r="21" spans="2:99">
      <c r="C21" s="99" t="s">
        <v>187</v>
      </c>
      <c r="D21" s="100">
        <v>2.3299661875773769</v>
      </c>
      <c r="E21" s="100">
        <v>145.38989010482831</v>
      </c>
      <c r="F21" s="100">
        <v>3.9663933480737064</v>
      </c>
      <c r="G21" s="100">
        <v>247.50294491979926</v>
      </c>
      <c r="H21" s="100">
        <v>6.0010648319642037</v>
      </c>
      <c r="I21" s="100">
        <v>374.46644551456632</v>
      </c>
      <c r="J21" s="100">
        <v>10.687383700336307</v>
      </c>
      <c r="K21" s="100">
        <v>666.89274290098558</v>
      </c>
      <c r="L21" s="100">
        <v>8.5601890530323477</v>
      </c>
      <c r="M21" s="100">
        <v>534.15579690921845</v>
      </c>
      <c r="N21" s="100">
        <v>7.4721080764966281</v>
      </c>
      <c r="O21" s="100">
        <v>466.25954397338961</v>
      </c>
      <c r="P21" s="100">
        <v>8.5362187587713638</v>
      </c>
      <c r="Q21" s="100">
        <v>532.66005054733307</v>
      </c>
      <c r="R21" s="100">
        <v>8.8740190496549225</v>
      </c>
      <c r="S21" s="100">
        <v>553.73878869846715</v>
      </c>
      <c r="T21" s="100">
        <v>7.7065842827231368</v>
      </c>
      <c r="U21" s="100">
        <v>480.89085924192375</v>
      </c>
      <c r="V21" s="100">
        <v>6.3038249586770156</v>
      </c>
      <c r="W21" s="100">
        <v>393.35867742144575</v>
      </c>
      <c r="X21" s="100">
        <v>13</v>
      </c>
      <c r="Y21" s="100">
        <v>811.19999999999993</v>
      </c>
      <c r="Z21" s="100">
        <v>15.819888432144058</v>
      </c>
      <c r="AA21" s="100">
        <v>987.16103816578925</v>
      </c>
      <c r="AB21" s="100">
        <v>6.5509718066971923</v>
      </c>
      <c r="AC21" s="100">
        <v>408.78064073790478</v>
      </c>
      <c r="AD21" s="100">
        <v>12.344112416242634</v>
      </c>
      <c r="AE21" s="100">
        <v>770.27261477354034</v>
      </c>
      <c r="AF21" s="100">
        <v>10.063606441561813</v>
      </c>
      <c r="AG21" s="100">
        <v>627.96904195345712</v>
      </c>
      <c r="AH21" s="100">
        <v>8.0640066355712143</v>
      </c>
      <c r="AI21" s="100">
        <v>503.19401405964373</v>
      </c>
      <c r="AJ21" s="100">
        <v>9.2445416398937308</v>
      </c>
      <c r="AK21" s="100">
        <v>576.85939832936879</v>
      </c>
      <c r="AL21" s="100">
        <v>5.7215631252490189</v>
      </c>
      <c r="AM21" s="100">
        <v>357.02553901553875</v>
      </c>
      <c r="AN21" s="100">
        <v>10.557286720330618</v>
      </c>
      <c r="AO21" s="100">
        <v>658.77469134863054</v>
      </c>
      <c r="AP21" s="100">
        <v>9.5092515227233765</v>
      </c>
      <c r="AQ21" s="100">
        <v>593.37729501793865</v>
      </c>
      <c r="AR21" s="100">
        <v>10</v>
      </c>
      <c r="AS21" s="100">
        <v>624</v>
      </c>
      <c r="AT21" s="100">
        <v>9.4173127084603365</v>
      </c>
      <c r="AU21" s="100">
        <v>587.64031300792499</v>
      </c>
      <c r="AV21" s="100">
        <v>8.2065966593625497</v>
      </c>
      <c r="AW21" s="100">
        <v>512.09163154422311</v>
      </c>
      <c r="AX21" s="100">
        <v>13</v>
      </c>
      <c r="AY21" s="100">
        <v>811.19999999999993</v>
      </c>
      <c r="AZ21" s="100">
        <v>7.6373461300888899</v>
      </c>
      <c r="BA21" s="100">
        <v>476.57039851754672</v>
      </c>
      <c r="BB21" s="100">
        <v>7.5963497190657812</v>
      </c>
      <c r="BC21" s="100">
        <v>474.01222246970474</v>
      </c>
      <c r="BD21" s="100">
        <v>12.034914995411892</v>
      </c>
      <c r="BE21" s="100">
        <v>750.978695713702</v>
      </c>
      <c r="BF21" s="100">
        <v>8.2411477073225257</v>
      </c>
      <c r="BG21" s="100">
        <v>514.24761693692562</v>
      </c>
      <c r="BH21" s="100">
        <v>7.1267592490786713</v>
      </c>
      <c r="BI21" s="100">
        <v>444.7097771425091</v>
      </c>
      <c r="BJ21" s="100">
        <v>7.7621454246140038</v>
      </c>
      <c r="BK21" s="100">
        <v>484.35787449591385</v>
      </c>
      <c r="BL21" s="100">
        <v>5.5901702351076015</v>
      </c>
      <c r="BM21" s="100">
        <v>348.8266226707143</v>
      </c>
      <c r="BN21" s="100">
        <v>13</v>
      </c>
      <c r="BO21" s="100">
        <v>811.19999999999993</v>
      </c>
      <c r="BP21" s="100">
        <v>10.327478858455443</v>
      </c>
      <c r="BQ21" s="100">
        <v>644.43468076761962</v>
      </c>
      <c r="BR21" s="100">
        <v>6.8785352713302546</v>
      </c>
      <c r="BS21" s="100">
        <v>429.22060093100788</v>
      </c>
      <c r="BT21" s="100">
        <v>6.9057724718779836</v>
      </c>
      <c r="BU21" s="100">
        <v>430.92020224518615</v>
      </c>
      <c r="BV21" s="100">
        <v>14.562128898451622</v>
      </c>
      <c r="BW21" s="100">
        <v>908.67684326338122</v>
      </c>
      <c r="BX21" s="100">
        <v>8.9804072215652635</v>
      </c>
      <c r="BY21" s="100">
        <v>560.37741062567238</v>
      </c>
      <c r="BZ21" s="100">
        <v>8.3806317883751689</v>
      </c>
      <c r="CA21" s="100">
        <v>522.95142359461056</v>
      </c>
      <c r="CB21" s="100">
        <v>9.8024807933696838</v>
      </c>
      <c r="CC21" s="100">
        <v>611.6748015062683</v>
      </c>
      <c r="CD21" s="100">
        <v>14.267363592955588</v>
      </c>
      <c r="CE21" s="100">
        <v>890.28348820042868</v>
      </c>
      <c r="CF21" s="100">
        <v>4.1418275987881525</v>
      </c>
      <c r="CG21" s="100">
        <v>258.4500421643807</v>
      </c>
      <c r="CH21" s="100">
        <v>8</v>
      </c>
      <c r="CI21" s="100">
        <v>499.2</v>
      </c>
      <c r="CJ21" s="100">
        <v>10.54431002766734</v>
      </c>
      <c r="CK21" s="100">
        <v>657.96494572644201</v>
      </c>
      <c r="CL21" s="100">
        <v>10.894671128285417</v>
      </c>
      <c r="CM21" s="100">
        <v>679.82747840500997</v>
      </c>
      <c r="CN21" s="100">
        <v>4.9990846858082056</v>
      </c>
      <c r="CO21" s="100">
        <v>311.94288439443204</v>
      </c>
      <c r="CP21" s="100">
        <v>11.935530243819519</v>
      </c>
      <c r="CQ21" s="100">
        <v>744.77708721433794</v>
      </c>
      <c r="CR21" s="100">
        <v>6.7719869490263447</v>
      </c>
      <c r="CS21" s="100">
        <v>422.57198561924389</v>
      </c>
      <c r="CT21" s="100">
        <v>13.890941311525062</v>
      </c>
      <c r="CU21" s="100">
        <v>866.79473783916387</v>
      </c>
    </row>
    <row r="22" spans="2:99">
      <c r="C22" s="99" t="s">
        <v>188</v>
      </c>
      <c r="D22" s="100">
        <v>2.33125845255692</v>
      </c>
      <c r="E22" s="100">
        <v>436.41158231865541</v>
      </c>
      <c r="F22" s="100">
        <v>4.5288728872398831</v>
      </c>
      <c r="G22" s="100">
        <v>847.80500449130602</v>
      </c>
      <c r="H22" s="100">
        <v>6.014660251803722</v>
      </c>
      <c r="I22" s="100">
        <v>1125.9443991376568</v>
      </c>
      <c r="J22" s="100">
        <v>9.1606146002882642</v>
      </c>
      <c r="K22" s="100">
        <v>1714.8670531739629</v>
      </c>
      <c r="L22" s="100">
        <v>7.8285448353817957</v>
      </c>
      <c r="M22" s="100">
        <v>1465.503593183472</v>
      </c>
      <c r="N22" s="100">
        <v>7.4510262693551175</v>
      </c>
      <c r="O22" s="100">
        <v>1394.832117623278</v>
      </c>
      <c r="P22" s="100">
        <v>7.6910186788183861</v>
      </c>
      <c r="Q22" s="100">
        <v>1439.7586966748017</v>
      </c>
      <c r="R22" s="100">
        <v>9.5589951070612038</v>
      </c>
      <c r="S22" s="100">
        <v>1789.4438840418572</v>
      </c>
      <c r="T22" s="100">
        <v>7.0000256934642247</v>
      </c>
      <c r="U22" s="100">
        <v>1310.4048098165028</v>
      </c>
      <c r="V22" s="100">
        <v>6.3038249586770156</v>
      </c>
      <c r="W22" s="100">
        <v>1180.0760322643373</v>
      </c>
      <c r="X22" s="100">
        <v>12</v>
      </c>
      <c r="Y22" s="100">
        <v>2246.3999999999996</v>
      </c>
      <c r="Z22" s="100">
        <v>15.819888432144058</v>
      </c>
      <c r="AA22" s="100">
        <v>2961.4831144973673</v>
      </c>
      <c r="AB22" s="100">
        <v>7.0968861239219576</v>
      </c>
      <c r="AC22" s="100">
        <v>1328.5370823981905</v>
      </c>
      <c r="AD22" s="100">
        <v>11.462390100796732</v>
      </c>
      <c r="AE22" s="100">
        <v>2145.7594268691482</v>
      </c>
      <c r="AF22" s="100">
        <v>10.782435473101943</v>
      </c>
      <c r="AG22" s="100">
        <v>2018.4719205646836</v>
      </c>
      <c r="AH22" s="100">
        <v>8.7970981478958699</v>
      </c>
      <c r="AI22" s="100">
        <v>1646.8167732861068</v>
      </c>
      <c r="AJ22" s="100">
        <v>8.6292205229617593</v>
      </c>
      <c r="AK22" s="100">
        <v>1615.3900818984412</v>
      </c>
      <c r="AL22" s="100">
        <v>4.4501046529714596</v>
      </c>
      <c r="AM22" s="100">
        <v>833.05959103625719</v>
      </c>
      <c r="AN22" s="100">
        <v>11.61920746703402</v>
      </c>
      <c r="AO22" s="100">
        <v>2175.1156378287683</v>
      </c>
      <c r="AP22" s="100">
        <v>8.8753014212084835</v>
      </c>
      <c r="AQ22" s="100">
        <v>1661.4564260502279</v>
      </c>
      <c r="AR22" s="100">
        <v>11</v>
      </c>
      <c r="AS22" s="100">
        <v>2059.1999999999998</v>
      </c>
      <c r="AT22" s="100">
        <v>9.4173127084603365</v>
      </c>
      <c r="AU22" s="100">
        <v>1762.920939023775</v>
      </c>
      <c r="AV22" s="100">
        <v>9.3008095472775558</v>
      </c>
      <c r="AW22" s="100">
        <v>1741.1115472503584</v>
      </c>
      <c r="AX22" s="100">
        <v>12</v>
      </c>
      <c r="AY22" s="100">
        <v>2246.3999999999996</v>
      </c>
      <c r="AZ22" s="100">
        <v>7.6373461300888899</v>
      </c>
      <c r="BA22" s="100">
        <v>1429.71119555264</v>
      </c>
      <c r="BB22" s="100">
        <v>8.2869269662535796</v>
      </c>
      <c r="BC22" s="100">
        <v>1551.31272808267</v>
      </c>
      <c r="BD22" s="100">
        <v>12.894551780798455</v>
      </c>
      <c r="BE22" s="100">
        <v>2413.8600933654707</v>
      </c>
      <c r="BF22" s="100">
        <v>8.9279100162660701</v>
      </c>
      <c r="BG22" s="100">
        <v>1671.3047550450083</v>
      </c>
      <c r="BH22" s="100">
        <v>7.080582033767767</v>
      </c>
      <c r="BI22" s="100">
        <v>1325.4849567213259</v>
      </c>
      <c r="BJ22" s="100">
        <v>9.3145745095368042</v>
      </c>
      <c r="BK22" s="100">
        <v>1743.6883481852897</v>
      </c>
      <c r="BL22" s="100">
        <v>6.0560177546999014</v>
      </c>
      <c r="BM22" s="100">
        <v>1133.6865236798214</v>
      </c>
      <c r="BN22" s="100">
        <v>13</v>
      </c>
      <c r="BO22" s="100">
        <v>2433.6</v>
      </c>
      <c r="BP22" s="100">
        <v>9.3040057904888727</v>
      </c>
      <c r="BQ22" s="100">
        <v>1741.7098839795169</v>
      </c>
      <c r="BR22" s="100">
        <v>6.4582853927192794</v>
      </c>
      <c r="BS22" s="100">
        <v>1208.9910255170491</v>
      </c>
      <c r="BT22" s="100">
        <v>6.9057724718779836</v>
      </c>
      <c r="BU22" s="100">
        <v>1292.7606067355584</v>
      </c>
      <c r="BV22" s="100">
        <v>12.848937263339666</v>
      </c>
      <c r="BW22" s="100">
        <v>2405.3210556971853</v>
      </c>
      <c r="BX22" s="100">
        <v>10.776488665878317</v>
      </c>
      <c r="BY22" s="100">
        <v>2017.3586782524208</v>
      </c>
      <c r="BZ22" s="100">
        <v>9.0252957720963369</v>
      </c>
      <c r="CA22" s="100">
        <v>1689.5353685364341</v>
      </c>
      <c r="CB22" s="100">
        <v>10.556517777475044</v>
      </c>
      <c r="CC22" s="100">
        <v>1976.180127943328</v>
      </c>
      <c r="CD22" s="100">
        <v>12.356670995237389</v>
      </c>
      <c r="CE22" s="100">
        <v>2313.1688103084389</v>
      </c>
      <c r="CF22" s="100">
        <v>4.6595560486366718</v>
      </c>
      <c r="CG22" s="100">
        <v>872.26889230478491</v>
      </c>
      <c r="CH22" s="100">
        <v>9</v>
      </c>
      <c r="CI22" s="100">
        <v>1684.8</v>
      </c>
      <c r="CJ22" s="100">
        <v>11.423002529972951</v>
      </c>
      <c r="CK22" s="100">
        <v>2138.3860736109364</v>
      </c>
      <c r="CL22" s="100">
        <v>10.931211074068234</v>
      </c>
      <c r="CM22" s="100">
        <v>2046.3227130655732</v>
      </c>
      <c r="CN22" s="100">
        <v>5.4535469299725881</v>
      </c>
      <c r="CO22" s="100">
        <v>1020.9039852908684</v>
      </c>
      <c r="CP22" s="100">
        <v>13.581465128305313</v>
      </c>
      <c r="CQ22" s="100">
        <v>2542.4502720187543</v>
      </c>
      <c r="CR22" s="100">
        <v>6.7719869490263447</v>
      </c>
      <c r="CS22" s="100">
        <v>1267.7159568577317</v>
      </c>
      <c r="CT22" s="100">
        <v>13.828022423367235</v>
      </c>
      <c r="CU22" s="100">
        <v>2588.6057976543461</v>
      </c>
    </row>
    <row r="23" spans="2:99">
      <c r="C23" s="99" t="s">
        <v>189</v>
      </c>
      <c r="D23" s="100">
        <v>2.33125845255692</v>
      </c>
      <c r="E23" s="100">
        <v>685.38998505173447</v>
      </c>
      <c r="F23" s="100">
        <v>4.5317765446309295</v>
      </c>
      <c r="G23" s="100">
        <v>1332.3423041214933</v>
      </c>
      <c r="H23" s="100">
        <v>5.973873992285168</v>
      </c>
      <c r="I23" s="100">
        <v>1756.3189537318394</v>
      </c>
      <c r="J23" s="100">
        <v>9.9239991503122855</v>
      </c>
      <c r="K23" s="100">
        <v>2917.6557501918119</v>
      </c>
      <c r="L23" s="100">
        <v>7.8285448353817957</v>
      </c>
      <c r="M23" s="100">
        <v>2301.5921816022478</v>
      </c>
      <c r="N23" s="100">
        <v>7.4826489800673848</v>
      </c>
      <c r="O23" s="100">
        <v>2199.8988001398111</v>
      </c>
      <c r="P23" s="100">
        <v>8.5193751669230497</v>
      </c>
      <c r="Q23" s="100">
        <v>2504.6962990753768</v>
      </c>
      <c r="R23" s="100">
        <v>9.5283254104344639</v>
      </c>
      <c r="S23" s="100">
        <v>2801.3276706677325</v>
      </c>
      <c r="T23" s="100">
        <v>7.0164157432454495</v>
      </c>
      <c r="U23" s="100">
        <v>2062.8262285141623</v>
      </c>
      <c r="V23" s="100">
        <v>6.3038249586770156</v>
      </c>
      <c r="W23" s="100">
        <v>1853.3245378510426</v>
      </c>
      <c r="X23" s="100">
        <v>12</v>
      </c>
      <c r="Y23" s="100">
        <v>3528</v>
      </c>
      <c r="Z23" s="100">
        <v>14.831145405135056</v>
      </c>
      <c r="AA23" s="100">
        <v>4360.3567491097065</v>
      </c>
      <c r="AB23" s="100">
        <v>6.5509718066971923</v>
      </c>
      <c r="AC23" s="100">
        <v>1925.9857111689746</v>
      </c>
      <c r="AD23" s="100">
        <v>11.462390100796732</v>
      </c>
      <c r="AE23" s="100">
        <v>3369.9426896342393</v>
      </c>
      <c r="AF23" s="100">
        <v>10.782435473101943</v>
      </c>
      <c r="AG23" s="100">
        <v>3170.0360290919712</v>
      </c>
      <c r="AH23" s="100">
        <v>9.5301896602205254</v>
      </c>
      <c r="AI23" s="100">
        <v>2801.8757601048346</v>
      </c>
      <c r="AJ23" s="100">
        <v>9.2445416398937308</v>
      </c>
      <c r="AK23" s="100">
        <v>2717.8952421287568</v>
      </c>
      <c r="AL23" s="100">
        <v>5.7215631252490189</v>
      </c>
      <c r="AM23" s="100">
        <v>1682.1395588232115</v>
      </c>
      <c r="AN23" s="100">
        <v>10.526326346978916</v>
      </c>
      <c r="AO23" s="100">
        <v>3094.7399460118013</v>
      </c>
      <c r="AP23" s="100">
        <v>8.8753014212084835</v>
      </c>
      <c r="AQ23" s="100">
        <v>2609.3386178352944</v>
      </c>
      <c r="AR23" s="100">
        <v>11</v>
      </c>
      <c r="AS23" s="100">
        <v>3234</v>
      </c>
      <c r="AT23" s="100">
        <v>8.8155295061121741</v>
      </c>
      <c r="AU23" s="100">
        <v>2591.7656747969791</v>
      </c>
      <c r="AV23" s="100">
        <v>8.7537031033200527</v>
      </c>
      <c r="AW23" s="100">
        <v>2573.5887123760954</v>
      </c>
      <c r="AX23" s="100">
        <v>12</v>
      </c>
      <c r="AY23" s="100">
        <v>3528</v>
      </c>
      <c r="AZ23" s="100">
        <v>6.7887521156345692</v>
      </c>
      <c r="BA23" s="100">
        <v>1995.8931219965634</v>
      </c>
      <c r="BB23" s="100">
        <v>7.5963497190657812</v>
      </c>
      <c r="BC23" s="100">
        <v>2233.3268174053396</v>
      </c>
      <c r="BD23" s="100">
        <v>12.034914995411892</v>
      </c>
      <c r="BE23" s="100">
        <v>3538.2650086510962</v>
      </c>
      <c r="BF23" s="100">
        <v>8.9279100162660701</v>
      </c>
      <c r="BG23" s="100">
        <v>2624.8055447822244</v>
      </c>
      <c r="BH23" s="100">
        <v>7.080582033767767</v>
      </c>
      <c r="BI23" s="100">
        <v>2081.6911179277236</v>
      </c>
      <c r="BJ23" s="100">
        <v>9.3145745095368042</v>
      </c>
      <c r="BK23" s="100">
        <v>2738.4849058038203</v>
      </c>
      <c r="BL23" s="100">
        <v>6.0560177546999014</v>
      </c>
      <c r="BM23" s="100">
        <v>1780.4692198817711</v>
      </c>
      <c r="BN23" s="100">
        <v>11</v>
      </c>
      <c r="BO23" s="100">
        <v>3234</v>
      </c>
      <c r="BP23" s="100">
        <v>9.365837909682039</v>
      </c>
      <c r="BQ23" s="100">
        <v>2753.5563454465196</v>
      </c>
      <c r="BR23" s="100">
        <v>6.8785352713302546</v>
      </c>
      <c r="BS23" s="100">
        <v>2022.2893697710949</v>
      </c>
      <c r="BT23" s="100">
        <v>6.2151952246901843</v>
      </c>
      <c r="BU23" s="100">
        <v>1827.2673960589141</v>
      </c>
      <c r="BV23" s="100">
        <v>13.705533080895643</v>
      </c>
      <c r="BW23" s="100">
        <v>4029.4267257833189</v>
      </c>
      <c r="BX23" s="100">
        <v>8.9804072215652635</v>
      </c>
      <c r="BY23" s="100">
        <v>2640.2397231401874</v>
      </c>
      <c r="BZ23" s="100">
        <v>8.3806317883751689</v>
      </c>
      <c r="CA23" s="100">
        <v>2463.9057457822996</v>
      </c>
      <c r="CB23" s="100">
        <v>9.8024807933696838</v>
      </c>
      <c r="CC23" s="100">
        <v>2881.9293532506872</v>
      </c>
      <c r="CD23" s="100">
        <v>13.291073664119523</v>
      </c>
      <c r="CE23" s="100">
        <v>3907.5756572511395</v>
      </c>
      <c r="CF23" s="100">
        <v>4.6595560486366718</v>
      </c>
      <c r="CG23" s="100">
        <v>1369.9094782991815</v>
      </c>
      <c r="CH23" s="100">
        <v>9</v>
      </c>
      <c r="CI23" s="100">
        <v>2646</v>
      </c>
      <c r="CJ23" s="100">
        <v>11.423002529972951</v>
      </c>
      <c r="CK23" s="100">
        <v>3358.3627438120475</v>
      </c>
      <c r="CL23" s="100">
        <v>10.087770376007104</v>
      </c>
      <c r="CM23" s="100">
        <v>2965.8044905460883</v>
      </c>
      <c r="CN23" s="100">
        <v>4.9990846858082056</v>
      </c>
      <c r="CO23" s="100">
        <v>1469.7308976276124</v>
      </c>
      <c r="CP23" s="100">
        <v>11.897895148145068</v>
      </c>
      <c r="CQ23" s="100">
        <v>3497.98117355465</v>
      </c>
      <c r="CR23" s="100">
        <v>6.1563517718421314</v>
      </c>
      <c r="CS23" s="100">
        <v>1809.9674209215866</v>
      </c>
      <c r="CT23" s="100">
        <v>15.640299302403955</v>
      </c>
      <c r="CU23" s="100">
        <v>4598.2479949067629</v>
      </c>
    </row>
    <row r="24" spans="2:99">
      <c r="C24" s="99" t="s">
        <v>190</v>
      </c>
      <c r="D24" s="100">
        <v>2.6854403741749509</v>
      </c>
      <c r="E24" s="100">
        <v>986.09370539704196</v>
      </c>
      <c r="F24" s="100">
        <v>4.5288728872398831</v>
      </c>
      <c r="G24" s="100">
        <v>1663.0021241944851</v>
      </c>
      <c r="H24" s="100">
        <v>5.3357904528392384</v>
      </c>
      <c r="I24" s="100">
        <v>1959.3022542825684</v>
      </c>
      <c r="J24" s="100">
        <v>10.687383700336307</v>
      </c>
      <c r="K24" s="100">
        <v>3924.4072947634918</v>
      </c>
      <c r="L24" s="100">
        <v>8.5236102916840437</v>
      </c>
      <c r="M24" s="100">
        <v>3129.8696991063807</v>
      </c>
      <c r="N24" s="100">
        <v>7.4615671729258723</v>
      </c>
      <c r="O24" s="100">
        <v>2739.88746589838</v>
      </c>
      <c r="P24" s="100">
        <v>7.6910186788183861</v>
      </c>
      <c r="Q24" s="100">
        <v>2824.1420588621113</v>
      </c>
      <c r="R24" s="100">
        <v>8.8740190496549225</v>
      </c>
      <c r="S24" s="100">
        <v>3258.5397950332876</v>
      </c>
      <c r="T24" s="100">
        <v>7.7065842827231368</v>
      </c>
      <c r="U24" s="100">
        <v>2829.8577486159356</v>
      </c>
      <c r="V24" s="100">
        <v>7.0918030785116422</v>
      </c>
      <c r="W24" s="100">
        <v>2604.1100904294749</v>
      </c>
      <c r="X24" s="100">
        <v>13</v>
      </c>
      <c r="Y24" s="100">
        <v>4773.5999999999995</v>
      </c>
      <c r="Z24" s="100">
        <v>13.842402378126051</v>
      </c>
      <c r="AA24" s="100">
        <v>5082.9301532478858</v>
      </c>
      <c r="AB24" s="100">
        <v>6.5509718066971923</v>
      </c>
      <c r="AC24" s="100">
        <v>2405.5168474192087</v>
      </c>
      <c r="AD24" s="100">
        <v>13.225834731688536</v>
      </c>
      <c r="AE24" s="100">
        <v>4856.5265134760302</v>
      </c>
      <c r="AF24" s="100">
        <v>10.063606441561813</v>
      </c>
      <c r="AG24" s="100">
        <v>3695.3562853414978</v>
      </c>
      <c r="AH24" s="100">
        <v>7.3309151232465579</v>
      </c>
      <c r="AI24" s="100">
        <v>2691.9120332561361</v>
      </c>
      <c r="AJ24" s="100">
        <v>7.9279840420053169</v>
      </c>
      <c r="AK24" s="100">
        <v>2911.1557402243525</v>
      </c>
      <c r="AL24" s="100">
        <v>5.7215631252490189</v>
      </c>
      <c r="AM24" s="100">
        <v>2100.9579795914397</v>
      </c>
      <c r="AN24" s="100">
        <v>10.557286720330618</v>
      </c>
      <c r="AO24" s="100">
        <v>3876.6356837054027</v>
      </c>
      <c r="AP24" s="100">
        <v>9.5092515227233765</v>
      </c>
      <c r="AQ24" s="100">
        <v>3491.7971591440237</v>
      </c>
      <c r="AR24" s="100">
        <v>11</v>
      </c>
      <c r="AS24" s="100">
        <v>4039.2</v>
      </c>
      <c r="AT24" s="100">
        <v>10.048282613031619</v>
      </c>
      <c r="AU24" s="100">
        <v>3689.7293755052101</v>
      </c>
      <c r="AV24" s="100">
        <v>8.7537031033200527</v>
      </c>
      <c r="AW24" s="100">
        <v>3214.3597795391233</v>
      </c>
      <c r="AX24" s="100">
        <v>13</v>
      </c>
      <c r="AY24" s="100">
        <v>4773.5999999999995</v>
      </c>
      <c r="AZ24" s="100">
        <v>6.7887521156345692</v>
      </c>
      <c r="BA24" s="100">
        <v>2492.8297768610137</v>
      </c>
      <c r="BB24" s="100">
        <v>8.2869269662535796</v>
      </c>
      <c r="BC24" s="100">
        <v>3042.9595820083146</v>
      </c>
      <c r="BD24" s="100">
        <v>11.175278210025327</v>
      </c>
      <c r="BE24" s="100">
        <v>4103.5621587213</v>
      </c>
      <c r="BF24" s="100">
        <v>9.6146723252096127</v>
      </c>
      <c r="BG24" s="100">
        <v>3530.5076778169696</v>
      </c>
      <c r="BH24" s="100">
        <v>7.1113668439750359</v>
      </c>
      <c r="BI24" s="100">
        <v>2611.2939051076332</v>
      </c>
      <c r="BJ24" s="100">
        <v>8.5383599670754045</v>
      </c>
      <c r="BK24" s="100">
        <v>3135.2857799100884</v>
      </c>
      <c r="BL24" s="100">
        <v>5.5901702351076015</v>
      </c>
      <c r="BM24" s="100">
        <v>2052.7105103315112</v>
      </c>
      <c r="BN24" s="100">
        <v>12</v>
      </c>
      <c r="BO24" s="100">
        <v>4406.3999999999996</v>
      </c>
      <c r="BP24" s="100">
        <v>8.3732809013120502</v>
      </c>
      <c r="BQ24" s="100">
        <v>3074.6687469617846</v>
      </c>
      <c r="BR24" s="100">
        <v>6.4582853927192794</v>
      </c>
      <c r="BS24" s="100">
        <v>2371.4823962065193</v>
      </c>
      <c r="BT24" s="100">
        <v>7.5963497190657812</v>
      </c>
      <c r="BU24" s="100">
        <v>2789.3796168409549</v>
      </c>
      <c r="BV24" s="100">
        <v>13.705533080895643</v>
      </c>
      <c r="BW24" s="100">
        <v>5032.6717473048802</v>
      </c>
      <c r="BX24" s="100">
        <v>9.87844794372179</v>
      </c>
      <c r="BY24" s="100">
        <v>3627.3660849346411</v>
      </c>
      <c r="BZ24" s="100">
        <v>9.0252957720963369</v>
      </c>
      <c r="CA24" s="100">
        <v>3314.0886075137746</v>
      </c>
      <c r="CB24" s="100">
        <v>9.8024807933696838</v>
      </c>
      <c r="CC24" s="100">
        <v>3599.4709473253479</v>
      </c>
      <c r="CD24" s="100">
        <v>13.301545479108006</v>
      </c>
      <c r="CE24" s="100">
        <v>4884.3274999284595</v>
      </c>
      <c r="CF24" s="100">
        <v>4.6595560486366718</v>
      </c>
      <c r="CG24" s="100">
        <v>1710.9889810593859</v>
      </c>
      <c r="CH24" s="100">
        <v>9</v>
      </c>
      <c r="CI24" s="100">
        <v>3304.7999999999997</v>
      </c>
      <c r="CJ24" s="100">
        <v>11.423002529972951</v>
      </c>
      <c r="CK24" s="100">
        <v>4194.5265290060679</v>
      </c>
      <c r="CL24" s="100">
        <v>11.555412097432466</v>
      </c>
      <c r="CM24" s="100">
        <v>4243.1473221772012</v>
      </c>
      <c r="CN24" s="100">
        <v>5.9080091741369714</v>
      </c>
      <c r="CO24" s="100">
        <v>2169.4209687430957</v>
      </c>
      <c r="CP24" s="100">
        <v>11.103154027658009</v>
      </c>
      <c r="CQ24" s="100">
        <v>4077.0781589560211</v>
      </c>
      <c r="CR24" s="100">
        <v>6.1563517718421314</v>
      </c>
      <c r="CS24" s="100">
        <v>2260.6123706204307</v>
      </c>
      <c r="CT24" s="100">
        <v>12.969073149967246</v>
      </c>
      <c r="CU24" s="100">
        <v>4762.2436606679721</v>
      </c>
    </row>
    <row r="25" spans="2:99">
      <c r="C25" s="99" t="s">
        <v>191</v>
      </c>
      <c r="D25" s="100">
        <v>2.6841481091954078</v>
      </c>
      <c r="E25" s="100">
        <v>1423.6721571172443</v>
      </c>
      <c r="F25" s="100">
        <v>4.5288728872398831</v>
      </c>
      <c r="G25" s="100">
        <v>2402.1141793920337</v>
      </c>
      <c r="H25" s="100">
        <v>5.3357904528392384</v>
      </c>
      <c r="I25" s="100">
        <v>2830.103256185932</v>
      </c>
      <c r="J25" s="100">
        <v>9.1606146002882642</v>
      </c>
      <c r="K25" s="100">
        <v>4858.789983992895</v>
      </c>
      <c r="L25" s="100">
        <v>8.5236102916840437</v>
      </c>
      <c r="M25" s="100">
        <v>4520.9228987092165</v>
      </c>
      <c r="N25" s="100">
        <v>7.4404853657843599</v>
      </c>
      <c r="O25" s="100">
        <v>3946.4334380120245</v>
      </c>
      <c r="P25" s="100">
        <v>6.8458185988654074</v>
      </c>
      <c r="Q25" s="100">
        <v>3631.0221848382121</v>
      </c>
      <c r="R25" s="100">
        <v>9.5589951070612038</v>
      </c>
      <c r="S25" s="100">
        <v>5070.0910047852622</v>
      </c>
      <c r="T25" s="100">
        <v>7.7065842827231368</v>
      </c>
      <c r="U25" s="100">
        <v>4087.5723035563515</v>
      </c>
      <c r="V25" s="100">
        <v>6.3038249586770156</v>
      </c>
      <c r="W25" s="100">
        <v>3343.5487580822892</v>
      </c>
      <c r="X25" s="100">
        <v>13</v>
      </c>
      <c r="Y25" s="100">
        <v>6895.2</v>
      </c>
      <c r="Z25" s="100">
        <v>13.842402378126051</v>
      </c>
      <c r="AA25" s="100">
        <v>7342.0102213580576</v>
      </c>
      <c r="AB25" s="100">
        <v>7.0968861239219576</v>
      </c>
      <c r="AC25" s="100">
        <v>3764.188400128206</v>
      </c>
      <c r="AD25" s="100">
        <v>10.580667785350828</v>
      </c>
      <c r="AE25" s="100">
        <v>5611.9861933500788</v>
      </c>
      <c r="AF25" s="100">
        <v>10.782435473101943</v>
      </c>
      <c r="AG25" s="100">
        <v>5719.0037749332705</v>
      </c>
      <c r="AH25" s="100">
        <v>8.0640066355712143</v>
      </c>
      <c r="AI25" s="100">
        <v>4277.1491195069721</v>
      </c>
      <c r="AJ25" s="100">
        <v>7.9852609513549631</v>
      </c>
      <c r="AK25" s="100">
        <v>4235.3824085986726</v>
      </c>
      <c r="AL25" s="100">
        <v>5.0858338891102397</v>
      </c>
      <c r="AM25" s="100">
        <v>2697.5262947840711</v>
      </c>
      <c r="AN25" s="100">
        <v>10.61920746703402</v>
      </c>
      <c r="AO25" s="100">
        <v>5632.4276405148439</v>
      </c>
      <c r="AP25" s="100">
        <v>8.8753014212084835</v>
      </c>
      <c r="AQ25" s="100">
        <v>4707.4598738089799</v>
      </c>
      <c r="AR25" s="100">
        <v>11</v>
      </c>
      <c r="AS25" s="100">
        <v>5834.4</v>
      </c>
      <c r="AT25" s="100">
        <v>10.135842719700978</v>
      </c>
      <c r="AU25" s="100">
        <v>5376.0509785293989</v>
      </c>
      <c r="AV25" s="100">
        <v>8.7537031033200527</v>
      </c>
      <c r="AW25" s="100">
        <v>4642.9641260009557</v>
      </c>
      <c r="AX25" s="100">
        <v>13</v>
      </c>
      <c r="AY25" s="100">
        <v>6895.2</v>
      </c>
      <c r="AZ25" s="100">
        <v>7.6373461300888899</v>
      </c>
      <c r="BA25" s="100">
        <v>4050.8483873991472</v>
      </c>
      <c r="BB25" s="100">
        <v>8.2869269662535796</v>
      </c>
      <c r="BC25" s="100">
        <v>4395.3860629008987</v>
      </c>
      <c r="BD25" s="100">
        <v>11.175278210025327</v>
      </c>
      <c r="BE25" s="100">
        <v>5927.3675625974338</v>
      </c>
      <c r="BF25" s="100">
        <v>8.9279100162660701</v>
      </c>
      <c r="BG25" s="100">
        <v>4735.3634726275232</v>
      </c>
      <c r="BH25" s="100">
        <v>7.1113668439750359</v>
      </c>
      <c r="BI25" s="100">
        <v>3771.8689740443588</v>
      </c>
      <c r="BJ25" s="100">
        <v>9.3145745095368042</v>
      </c>
      <c r="BK25" s="100">
        <v>4940.4503198583207</v>
      </c>
      <c r="BL25" s="100">
        <v>5.5901702351076015</v>
      </c>
      <c r="BM25" s="100">
        <v>2965.0262927010717</v>
      </c>
      <c r="BN25" s="100">
        <v>12</v>
      </c>
      <c r="BO25" s="100">
        <v>6364.7999999999993</v>
      </c>
      <c r="BP25" s="100">
        <v>8.4041969609086333</v>
      </c>
      <c r="BQ25" s="100">
        <v>4457.5860680659389</v>
      </c>
      <c r="BR25" s="100">
        <v>5.9938211224032552</v>
      </c>
      <c r="BS25" s="100">
        <v>3179.1227233226864</v>
      </c>
      <c r="BT25" s="100">
        <v>6.9057724718779836</v>
      </c>
      <c r="BU25" s="100">
        <v>3662.8217190840824</v>
      </c>
      <c r="BV25" s="100">
        <v>12.848937263339666</v>
      </c>
      <c r="BW25" s="100">
        <v>6815.0763244753589</v>
      </c>
      <c r="BX25" s="100">
        <v>8.9804072215652635</v>
      </c>
      <c r="BY25" s="100">
        <v>4763.2079903182157</v>
      </c>
      <c r="BZ25" s="100">
        <v>7.7359678046540035</v>
      </c>
      <c r="CA25" s="100">
        <v>4103.1573235884835</v>
      </c>
      <c r="CB25" s="100">
        <v>10.556517777475044</v>
      </c>
      <c r="CC25" s="100">
        <v>5599.1770291727626</v>
      </c>
      <c r="CD25" s="100">
        <v>14.235948147990138</v>
      </c>
      <c r="CE25" s="100">
        <v>7550.746897693969</v>
      </c>
      <c r="CF25" s="100">
        <v>5.1772844984851911</v>
      </c>
      <c r="CG25" s="100">
        <v>2746.0316979965451</v>
      </c>
      <c r="CH25" s="100">
        <v>8</v>
      </c>
      <c r="CI25" s="100">
        <v>4243.2</v>
      </c>
      <c r="CJ25" s="100">
        <v>12.301695032278563</v>
      </c>
      <c r="CK25" s="100">
        <v>6524.8190451205492</v>
      </c>
      <c r="CL25" s="100">
        <v>11.665031934780915</v>
      </c>
      <c r="CM25" s="100">
        <v>6187.1329382077965</v>
      </c>
      <c r="CN25" s="100">
        <v>5.9080091741369714</v>
      </c>
      <c r="CO25" s="100">
        <v>3133.6080659622494</v>
      </c>
      <c r="CP25" s="100">
        <v>11.103154027658009</v>
      </c>
      <c r="CQ25" s="100">
        <v>5889.1128962698076</v>
      </c>
      <c r="CR25" s="100">
        <v>6.1563517718421314</v>
      </c>
      <c r="CS25" s="100">
        <v>3265.3289797850662</v>
      </c>
      <c r="CT25" s="100">
        <v>15.608839858325041</v>
      </c>
      <c r="CU25" s="100">
        <v>8278.9286608556013</v>
      </c>
    </row>
    <row r="26" spans="2:99">
      <c r="C26" s="99" t="s">
        <v>192</v>
      </c>
      <c r="D26" s="100">
        <v>2.3286739225978339</v>
      </c>
      <c r="E26" s="100">
        <v>1131.7355263825473</v>
      </c>
      <c r="F26" s="100">
        <v>4.5317765446309295</v>
      </c>
      <c r="G26" s="100">
        <v>2202.4434006906317</v>
      </c>
      <c r="H26" s="100">
        <v>6.014660251803722</v>
      </c>
      <c r="I26" s="100">
        <v>2923.1248823766091</v>
      </c>
      <c r="J26" s="100">
        <v>9.1606146002882642</v>
      </c>
      <c r="K26" s="100">
        <v>4452.0586957400965</v>
      </c>
      <c r="L26" s="100">
        <v>8.5601890530323477</v>
      </c>
      <c r="M26" s="100">
        <v>4160.2518797737212</v>
      </c>
      <c r="N26" s="100">
        <v>6.8091160114244671</v>
      </c>
      <c r="O26" s="100">
        <v>3309.230381552291</v>
      </c>
      <c r="P26" s="100">
        <v>7.6910186788183861</v>
      </c>
      <c r="Q26" s="100">
        <v>3737.8350779057355</v>
      </c>
      <c r="R26" s="100">
        <v>9.5283254104344639</v>
      </c>
      <c r="S26" s="100">
        <v>4630.7661494711492</v>
      </c>
      <c r="T26" s="100">
        <v>6.375417353111434</v>
      </c>
      <c r="U26" s="100">
        <v>3098.4528336121571</v>
      </c>
      <c r="V26" s="100">
        <v>7.0918030785116422</v>
      </c>
      <c r="W26" s="100">
        <v>3446.6162961566579</v>
      </c>
      <c r="X26" s="100">
        <v>13</v>
      </c>
      <c r="Y26" s="100">
        <v>6318</v>
      </c>
      <c r="Z26" s="100">
        <v>13.842402378126051</v>
      </c>
      <c r="AA26" s="100">
        <v>6727.4075557692613</v>
      </c>
      <c r="AB26" s="100">
        <v>6.5509718066971923</v>
      </c>
      <c r="AC26" s="100">
        <v>3183.7722980548356</v>
      </c>
      <c r="AD26" s="100">
        <v>11.462390100796732</v>
      </c>
      <c r="AE26" s="100">
        <v>5570.7215889872114</v>
      </c>
      <c r="AF26" s="100">
        <v>10.063606441561813</v>
      </c>
      <c r="AG26" s="100">
        <v>4890.9127305990414</v>
      </c>
      <c r="AH26" s="100">
        <v>8.7970981478958699</v>
      </c>
      <c r="AI26" s="100">
        <v>4275.3896998773926</v>
      </c>
      <c r="AJ26" s="100">
        <v>9.2159031852189095</v>
      </c>
      <c r="AK26" s="100">
        <v>4478.9289480163898</v>
      </c>
      <c r="AL26" s="100">
        <v>5.0858338891102397</v>
      </c>
      <c r="AM26" s="100">
        <v>2471.7152701075765</v>
      </c>
      <c r="AN26" s="100">
        <v>10.61920746703402</v>
      </c>
      <c r="AO26" s="100">
        <v>5160.9348289785339</v>
      </c>
      <c r="AP26" s="100">
        <v>9.5092515227233765</v>
      </c>
      <c r="AQ26" s="100">
        <v>4621.4962400435606</v>
      </c>
      <c r="AR26" s="100">
        <v>10</v>
      </c>
      <c r="AS26" s="100">
        <v>4860</v>
      </c>
      <c r="AT26" s="100">
        <v>8.8739029105584137</v>
      </c>
      <c r="AU26" s="100">
        <v>4312.716814531389</v>
      </c>
      <c r="AV26" s="100">
        <v>8.2065966593625497</v>
      </c>
      <c r="AW26" s="100">
        <v>3988.405976450199</v>
      </c>
      <c r="AX26" s="100">
        <v>12</v>
      </c>
      <c r="AY26" s="100">
        <v>5832</v>
      </c>
      <c r="AZ26" s="100">
        <v>6.7887521156345692</v>
      </c>
      <c r="BA26" s="100">
        <v>3299.3335281984005</v>
      </c>
      <c r="BB26" s="100">
        <v>7.5963497190657812</v>
      </c>
      <c r="BC26" s="100">
        <v>3691.8259634659698</v>
      </c>
      <c r="BD26" s="100">
        <v>12.034914995411892</v>
      </c>
      <c r="BE26" s="100">
        <v>5848.9686877701797</v>
      </c>
      <c r="BF26" s="100">
        <v>9.6146723252096127</v>
      </c>
      <c r="BG26" s="100">
        <v>4672.7307500518718</v>
      </c>
      <c r="BH26" s="100">
        <v>7.0959744388714014</v>
      </c>
      <c r="BI26" s="100">
        <v>3448.6435772915011</v>
      </c>
      <c r="BJ26" s="100">
        <v>8.5383599670754045</v>
      </c>
      <c r="BK26" s="100">
        <v>4149.6429439986468</v>
      </c>
      <c r="BL26" s="100">
        <v>6.0560177546999014</v>
      </c>
      <c r="BM26" s="100">
        <v>2943.2246287841522</v>
      </c>
      <c r="BN26" s="100">
        <v>11</v>
      </c>
      <c r="BO26" s="100">
        <v>5346</v>
      </c>
      <c r="BP26" s="100">
        <v>9.365837909682039</v>
      </c>
      <c r="BQ26" s="100">
        <v>4551.7972241054713</v>
      </c>
      <c r="BR26" s="100">
        <v>6.4582853927192794</v>
      </c>
      <c r="BS26" s="100">
        <v>3138.72670086157</v>
      </c>
      <c r="BT26" s="100">
        <v>6.2151952246901843</v>
      </c>
      <c r="BU26" s="100">
        <v>3020.5848791994295</v>
      </c>
      <c r="BV26" s="100">
        <v>11.992341445783689</v>
      </c>
      <c r="BW26" s="100">
        <v>5828.2779426508723</v>
      </c>
      <c r="BX26" s="100">
        <v>9.87844794372179</v>
      </c>
      <c r="BY26" s="100">
        <v>4800.9257006487896</v>
      </c>
      <c r="BZ26" s="100">
        <v>7.7359678046540035</v>
      </c>
      <c r="CA26" s="100">
        <v>3759.6803530618458</v>
      </c>
      <c r="CB26" s="100">
        <v>10.556517777475044</v>
      </c>
      <c r="CC26" s="100">
        <v>5130.4676398528709</v>
      </c>
      <c r="CD26" s="100">
        <v>13.301545479108006</v>
      </c>
      <c r="CE26" s="100">
        <v>6464.5511028464907</v>
      </c>
      <c r="CF26" s="100">
        <v>4.1418275987881525</v>
      </c>
      <c r="CG26" s="100">
        <v>2012.9282130110421</v>
      </c>
      <c r="CH26" s="100">
        <v>8</v>
      </c>
      <c r="CI26" s="100">
        <v>3888</v>
      </c>
      <c r="CJ26" s="100">
        <v>12.301695032278563</v>
      </c>
      <c r="CK26" s="100">
        <v>5978.6237856873813</v>
      </c>
      <c r="CL26" s="100">
        <v>11.591952043215281</v>
      </c>
      <c r="CM26" s="100">
        <v>5633.6886930026267</v>
      </c>
      <c r="CN26" s="100">
        <v>5.9080091741369714</v>
      </c>
      <c r="CO26" s="100">
        <v>2871.292458630568</v>
      </c>
      <c r="CP26" s="100">
        <v>12.767906459981029</v>
      </c>
      <c r="CQ26" s="100">
        <v>6205.2025395507799</v>
      </c>
      <c r="CR26" s="100">
        <v>6.1563517718421314</v>
      </c>
      <c r="CS26" s="100">
        <v>2991.9869611152758</v>
      </c>
      <c r="CT26" s="100">
        <v>13.828022423367235</v>
      </c>
      <c r="CU26" s="100">
        <v>6720.4188977564763</v>
      </c>
    </row>
    <row r="27" spans="2:99">
      <c r="C27" s="99" t="s">
        <v>193</v>
      </c>
      <c r="D27" s="100">
        <v>2.5089955458557069</v>
      </c>
      <c r="E27" s="100">
        <v>1071.842897189558</v>
      </c>
      <c r="F27" s="100">
        <v>3.9692970054647523</v>
      </c>
      <c r="G27" s="100">
        <v>1695.6836807345421</v>
      </c>
      <c r="H27" s="100">
        <v>5.3493858726787558</v>
      </c>
      <c r="I27" s="100">
        <v>2285.2576448083646</v>
      </c>
      <c r="J27" s="100">
        <v>9.9239991503122855</v>
      </c>
      <c r="K27" s="100">
        <v>4239.5324370134085</v>
      </c>
      <c r="L27" s="100">
        <v>8.5236102916840437</v>
      </c>
      <c r="M27" s="100">
        <v>3641.2863166074235</v>
      </c>
      <c r="N27" s="100">
        <v>7.4615671729258723</v>
      </c>
      <c r="O27" s="100">
        <v>3187.5814962739328</v>
      </c>
      <c r="P27" s="100">
        <v>7.6910186788183861</v>
      </c>
      <c r="Q27" s="100">
        <v>3285.6031795912145</v>
      </c>
      <c r="R27" s="100">
        <v>8.8740190496549225</v>
      </c>
      <c r="S27" s="100">
        <v>3790.980938012583</v>
      </c>
      <c r="T27" s="100">
        <v>7.7229743325043616</v>
      </c>
      <c r="U27" s="100">
        <v>3299.2546348458632</v>
      </c>
      <c r="V27" s="100">
        <v>7.0918030785116422</v>
      </c>
      <c r="W27" s="100">
        <v>3029.6182751401734</v>
      </c>
      <c r="X27" s="100">
        <v>11</v>
      </c>
      <c r="Y27" s="100">
        <v>4699.2</v>
      </c>
      <c r="Z27" s="100">
        <v>13.842402378126051</v>
      </c>
      <c r="AA27" s="100">
        <v>5913.4742959354489</v>
      </c>
      <c r="AB27" s="100">
        <v>6.5509718066971923</v>
      </c>
      <c r="AC27" s="100">
        <v>2798.5751558210404</v>
      </c>
      <c r="AD27" s="100">
        <v>11.462390100796732</v>
      </c>
      <c r="AE27" s="100">
        <v>4896.7330510603633</v>
      </c>
      <c r="AF27" s="100">
        <v>10.782435473101943</v>
      </c>
      <c r="AG27" s="100">
        <v>4606.2564341091502</v>
      </c>
      <c r="AH27" s="100">
        <v>9.5301896602205254</v>
      </c>
      <c r="AI27" s="100">
        <v>4071.2970228462082</v>
      </c>
      <c r="AJ27" s="100">
        <v>8.0138994060297861</v>
      </c>
      <c r="AK27" s="100">
        <v>3423.5378262559248</v>
      </c>
      <c r="AL27" s="100">
        <v>5.0858338891102397</v>
      </c>
      <c r="AM27" s="100">
        <v>2172.6682374278944</v>
      </c>
      <c r="AN27" s="100">
        <v>10.557286720330618</v>
      </c>
      <c r="AO27" s="100">
        <v>4510.0728869252398</v>
      </c>
      <c r="AP27" s="100">
        <v>9.5092515227233765</v>
      </c>
      <c r="AQ27" s="100">
        <v>4062.3522505074261</v>
      </c>
      <c r="AR27" s="100">
        <v>11</v>
      </c>
      <c r="AS27" s="100">
        <v>4699.2</v>
      </c>
      <c r="AT27" s="100">
        <v>9.4756861129065761</v>
      </c>
      <c r="AU27" s="100">
        <v>4048.0131074336891</v>
      </c>
      <c r="AV27" s="100">
        <v>8.2065966593625497</v>
      </c>
      <c r="AW27" s="100">
        <v>3505.858092879681</v>
      </c>
      <c r="AX27" s="100">
        <v>12</v>
      </c>
      <c r="AY27" s="100">
        <v>5126.3999999999996</v>
      </c>
      <c r="AZ27" s="100">
        <v>6.7887521156345692</v>
      </c>
      <c r="BA27" s="100">
        <v>2900.1549037990881</v>
      </c>
      <c r="BB27" s="100">
        <v>6.9057724718779836</v>
      </c>
      <c r="BC27" s="100">
        <v>2950.1459999862745</v>
      </c>
      <c r="BD27" s="100">
        <v>11.175278210025327</v>
      </c>
      <c r="BE27" s="100">
        <v>4774.0788513228199</v>
      </c>
      <c r="BF27" s="100">
        <v>8.2411477073225257</v>
      </c>
      <c r="BG27" s="100">
        <v>3520.6183005681828</v>
      </c>
      <c r="BH27" s="100">
        <v>7.1113668439750359</v>
      </c>
      <c r="BI27" s="100">
        <v>3037.9759157461353</v>
      </c>
      <c r="BJ27" s="100">
        <v>8.5383599670754045</v>
      </c>
      <c r="BK27" s="100">
        <v>3647.5873779346125</v>
      </c>
      <c r="BL27" s="100">
        <v>6.0560177546999014</v>
      </c>
      <c r="BM27" s="100">
        <v>2587.1307848077977</v>
      </c>
      <c r="BN27" s="100">
        <v>13</v>
      </c>
      <c r="BO27" s="100">
        <v>5553.5999999999995</v>
      </c>
      <c r="BP27" s="100">
        <v>9.2730897308922895</v>
      </c>
      <c r="BQ27" s="100">
        <v>3961.4639330371861</v>
      </c>
      <c r="BR27" s="100">
        <v>6.9006424671827791</v>
      </c>
      <c r="BS27" s="100">
        <v>2947.9544619804833</v>
      </c>
      <c r="BT27" s="100">
        <v>6.2151952246901843</v>
      </c>
      <c r="BU27" s="100">
        <v>2655.1313999876465</v>
      </c>
      <c r="BV27" s="100">
        <v>14.562128898451622</v>
      </c>
      <c r="BW27" s="100">
        <v>6220.941465418533</v>
      </c>
      <c r="BX27" s="100">
        <v>8.9804072215652635</v>
      </c>
      <c r="BY27" s="100">
        <v>3836.4299650526805</v>
      </c>
      <c r="BZ27" s="100">
        <v>7.7359678046540035</v>
      </c>
      <c r="CA27" s="100">
        <v>3304.8054461481902</v>
      </c>
      <c r="CB27" s="100">
        <v>11.310554761580404</v>
      </c>
      <c r="CC27" s="100">
        <v>4831.8689941471484</v>
      </c>
      <c r="CD27" s="100">
        <v>12.388086440202839</v>
      </c>
      <c r="CE27" s="100">
        <v>5292.1905272546528</v>
      </c>
      <c r="CF27" s="100">
        <v>4.6595560486366718</v>
      </c>
      <c r="CG27" s="100">
        <v>1990.5623439775861</v>
      </c>
      <c r="CH27" s="100">
        <v>8</v>
      </c>
      <c r="CI27" s="100">
        <v>3417.6</v>
      </c>
      <c r="CJ27" s="100">
        <v>11.423002529972951</v>
      </c>
      <c r="CK27" s="100">
        <v>4879.9066808044445</v>
      </c>
      <c r="CL27" s="100">
        <v>10.894671128285417</v>
      </c>
      <c r="CM27" s="100">
        <v>4654.2035060035296</v>
      </c>
      <c r="CN27" s="100">
        <v>5.4535469299725881</v>
      </c>
      <c r="CO27" s="100">
        <v>2329.7552484842895</v>
      </c>
      <c r="CP27" s="100">
        <v>11.084336479820783</v>
      </c>
      <c r="CQ27" s="100">
        <v>4735.2285441794384</v>
      </c>
      <c r="CR27" s="100">
        <v>6.7719869490263447</v>
      </c>
      <c r="CS27" s="100">
        <v>2892.9928246240543</v>
      </c>
      <c r="CT27" s="100">
        <v>14.781350029003963</v>
      </c>
      <c r="CU27" s="100">
        <v>6314.5927323904934</v>
      </c>
    </row>
    <row r="28" spans="2:99">
      <c r="C28" s="99" t="s">
        <v>194</v>
      </c>
      <c r="D28" s="100">
        <v>2.5089955458557069</v>
      </c>
      <c r="E28" s="100">
        <v>1851.6387128415117</v>
      </c>
      <c r="F28" s="100">
        <v>4.5317765446309295</v>
      </c>
      <c r="G28" s="100">
        <v>3344.451089937626</v>
      </c>
      <c r="H28" s="100">
        <v>5.9874694121246845</v>
      </c>
      <c r="I28" s="100">
        <v>4418.7524261480175</v>
      </c>
      <c r="J28" s="100">
        <v>10.687383700336307</v>
      </c>
      <c r="K28" s="100">
        <v>7887.2891708481948</v>
      </c>
      <c r="L28" s="100">
        <v>7.8651235967301014</v>
      </c>
      <c r="M28" s="100">
        <v>5804.4612143868153</v>
      </c>
      <c r="N28" s="100">
        <v>6.7880342042829547</v>
      </c>
      <c r="O28" s="100">
        <v>5009.569242760821</v>
      </c>
      <c r="P28" s="100">
        <v>7.707862270666701</v>
      </c>
      <c r="Q28" s="100">
        <v>5688.402355752025</v>
      </c>
      <c r="R28" s="100">
        <v>9.5283254104344639</v>
      </c>
      <c r="S28" s="100">
        <v>7031.9041529006345</v>
      </c>
      <c r="T28" s="100">
        <v>7.0328057930266725</v>
      </c>
      <c r="U28" s="100">
        <v>5190.2106752536847</v>
      </c>
      <c r="V28" s="100">
        <v>7.0918030785116422</v>
      </c>
      <c r="W28" s="100">
        <v>5233.7506719415915</v>
      </c>
      <c r="X28" s="100">
        <v>13</v>
      </c>
      <c r="Y28" s="100">
        <v>9594</v>
      </c>
      <c r="Z28" s="100">
        <v>14.831145405135056</v>
      </c>
      <c r="AA28" s="100">
        <v>10945.385308989671</v>
      </c>
      <c r="AB28" s="100">
        <v>6.5509718066971923</v>
      </c>
      <c r="AC28" s="100">
        <v>4834.6171933425276</v>
      </c>
      <c r="AD28" s="100">
        <v>12.344112416242634</v>
      </c>
      <c r="AE28" s="100">
        <v>9109.9549631870632</v>
      </c>
      <c r="AF28" s="100">
        <v>11.501264504642071</v>
      </c>
      <c r="AG28" s="100">
        <v>8487.9332044258481</v>
      </c>
      <c r="AH28" s="100">
        <v>7.3309151232465579</v>
      </c>
      <c r="AI28" s="100">
        <v>5410.21536095596</v>
      </c>
      <c r="AJ28" s="100">
        <v>8.5146667042624653</v>
      </c>
      <c r="AK28" s="100">
        <v>6283.8240277456998</v>
      </c>
      <c r="AL28" s="100">
        <v>4.4501046529714596</v>
      </c>
      <c r="AM28" s="100">
        <v>3284.1772338929372</v>
      </c>
      <c r="AN28" s="100">
        <v>11.588247093682318</v>
      </c>
      <c r="AO28" s="100">
        <v>8552.1263551375505</v>
      </c>
      <c r="AP28" s="100">
        <v>8.2413513196935924</v>
      </c>
      <c r="AQ28" s="100">
        <v>6082.1172739338708</v>
      </c>
      <c r="AR28" s="100">
        <v>10</v>
      </c>
      <c r="AS28" s="100">
        <v>7380</v>
      </c>
      <c r="AT28" s="100">
        <v>10.106656017477858</v>
      </c>
      <c r="AU28" s="100">
        <v>7458.7121408986595</v>
      </c>
      <c r="AV28" s="100">
        <v>8.7537031033200527</v>
      </c>
      <c r="AW28" s="100">
        <v>6460.2328902501986</v>
      </c>
      <c r="AX28" s="100">
        <v>11</v>
      </c>
      <c r="AY28" s="100">
        <v>8118</v>
      </c>
      <c r="AZ28" s="100">
        <v>7.6373461300888899</v>
      </c>
      <c r="BA28" s="100">
        <v>5636.3614440056008</v>
      </c>
      <c r="BB28" s="100">
        <v>7.5963497190657812</v>
      </c>
      <c r="BC28" s="100">
        <v>5606.1060926705468</v>
      </c>
      <c r="BD28" s="100">
        <v>12.034914995411892</v>
      </c>
      <c r="BE28" s="100">
        <v>8881.767266613977</v>
      </c>
      <c r="BF28" s="100">
        <v>8.2411477073225257</v>
      </c>
      <c r="BG28" s="100">
        <v>6081.9670080040241</v>
      </c>
      <c r="BH28" s="100">
        <v>7.0959744388714014</v>
      </c>
      <c r="BI28" s="100">
        <v>5236.8291358870947</v>
      </c>
      <c r="BJ28" s="100">
        <v>7.7621454246140038</v>
      </c>
      <c r="BK28" s="100">
        <v>5728.4633233651348</v>
      </c>
      <c r="BL28" s="100">
        <v>6.5218652742922014</v>
      </c>
      <c r="BM28" s="100">
        <v>4813.1365724276448</v>
      </c>
      <c r="BN28" s="100">
        <v>13</v>
      </c>
      <c r="BO28" s="100">
        <v>9594</v>
      </c>
      <c r="BP28" s="100">
        <v>8.3423648417154688</v>
      </c>
      <c r="BQ28" s="100">
        <v>6156.6652531860163</v>
      </c>
      <c r="BR28" s="100">
        <v>5.9938211224032552</v>
      </c>
      <c r="BS28" s="100">
        <v>4423.4399883336027</v>
      </c>
      <c r="BT28" s="100">
        <v>6.9057724718779836</v>
      </c>
      <c r="BU28" s="100">
        <v>5096.4600842459522</v>
      </c>
      <c r="BV28" s="100">
        <v>13.705533080895643</v>
      </c>
      <c r="BW28" s="100">
        <v>10114.683413700985</v>
      </c>
      <c r="BX28" s="100">
        <v>8.082366499408737</v>
      </c>
      <c r="BY28" s="100">
        <v>5964.7864765636477</v>
      </c>
      <c r="BZ28" s="100">
        <v>8.3806317883751689</v>
      </c>
      <c r="CA28" s="100">
        <v>6184.9062598208748</v>
      </c>
      <c r="CB28" s="100">
        <v>9.8024807933696838</v>
      </c>
      <c r="CC28" s="100">
        <v>7234.2308255068265</v>
      </c>
      <c r="CD28" s="100">
        <v>12.367142810225872</v>
      </c>
      <c r="CE28" s="100">
        <v>9126.9513939466924</v>
      </c>
      <c r="CF28" s="100">
        <v>4.1418275987881525</v>
      </c>
      <c r="CG28" s="100">
        <v>3056.6687679056568</v>
      </c>
      <c r="CH28" s="100">
        <v>8</v>
      </c>
      <c r="CI28" s="100">
        <v>5904</v>
      </c>
      <c r="CJ28" s="100">
        <v>10.54431002766734</v>
      </c>
      <c r="CK28" s="100">
        <v>7781.7008004184972</v>
      </c>
      <c r="CL28" s="100">
        <v>10.821591236719785</v>
      </c>
      <c r="CM28" s="100">
        <v>7986.3343326992008</v>
      </c>
      <c r="CN28" s="100">
        <v>4.9990846858082056</v>
      </c>
      <c r="CO28" s="100">
        <v>3689.3244981264556</v>
      </c>
      <c r="CP28" s="100">
        <v>11.916712695982294</v>
      </c>
      <c r="CQ28" s="100">
        <v>8794.5339696349329</v>
      </c>
      <c r="CR28" s="100">
        <v>6.7719869490263447</v>
      </c>
      <c r="CS28" s="100">
        <v>4997.7263683814426</v>
      </c>
      <c r="CT28" s="100">
        <v>15.608839858325041</v>
      </c>
      <c r="CU28" s="100">
        <v>11519.32381544388</v>
      </c>
    </row>
    <row r="29" spans="2:99">
      <c r="C29" s="99" t="s">
        <v>195</v>
      </c>
      <c r="D29" s="100">
        <v>2.3299661875773769</v>
      </c>
      <c r="E29" s="100">
        <v>788.46055787618434</v>
      </c>
      <c r="F29" s="100">
        <v>5.097159741188154</v>
      </c>
      <c r="G29" s="100">
        <v>1724.8788564180711</v>
      </c>
      <c r="H29" s="100">
        <v>5.9874694121246845</v>
      </c>
      <c r="I29" s="100">
        <v>2026.1596490629931</v>
      </c>
      <c r="J29" s="100">
        <v>9.1606146002882642</v>
      </c>
      <c r="K29" s="100">
        <v>3099.9519807375486</v>
      </c>
      <c r="L29" s="100">
        <v>7.8651235967301014</v>
      </c>
      <c r="M29" s="100">
        <v>2661.5578251334659</v>
      </c>
      <c r="N29" s="100">
        <v>8.1140183344272785</v>
      </c>
      <c r="O29" s="100">
        <v>2745.7838043701909</v>
      </c>
      <c r="P29" s="100">
        <v>7.6910186788183861</v>
      </c>
      <c r="Q29" s="100">
        <v>2602.6407209121417</v>
      </c>
      <c r="R29" s="100">
        <v>8.2503823855021245</v>
      </c>
      <c r="S29" s="100">
        <v>2791.9293992539187</v>
      </c>
      <c r="T29" s="100">
        <v>7.0000256934642247</v>
      </c>
      <c r="U29" s="100">
        <v>2368.8086946682934</v>
      </c>
      <c r="V29" s="100">
        <v>6.3038249586770156</v>
      </c>
      <c r="W29" s="100">
        <v>2133.2143660163019</v>
      </c>
      <c r="X29" s="100">
        <v>12</v>
      </c>
      <c r="Y29" s="100">
        <v>4060.7999999999997</v>
      </c>
      <c r="Z29" s="100">
        <v>13.842402378126051</v>
      </c>
      <c r="AA29" s="100">
        <v>4684.2689647578554</v>
      </c>
      <c r="AB29" s="100">
        <v>6.5509718066971923</v>
      </c>
      <c r="AC29" s="100">
        <v>2216.8488593863299</v>
      </c>
      <c r="AD29" s="100">
        <v>11.462390100796732</v>
      </c>
      <c r="AE29" s="100">
        <v>3878.872810109614</v>
      </c>
      <c r="AF29" s="100">
        <v>10.063606441561813</v>
      </c>
      <c r="AG29" s="100">
        <v>3405.5244198245173</v>
      </c>
      <c r="AH29" s="100">
        <v>8.7970981478958699</v>
      </c>
      <c r="AI29" s="100">
        <v>2976.9380132479623</v>
      </c>
      <c r="AJ29" s="100">
        <v>7.9852609513549631</v>
      </c>
      <c r="AK29" s="100">
        <v>2702.2123059385194</v>
      </c>
      <c r="AL29" s="100">
        <v>5.0858338891102397</v>
      </c>
      <c r="AM29" s="100">
        <v>1721.0461880749051</v>
      </c>
      <c r="AN29" s="100">
        <v>10.61920746703402</v>
      </c>
      <c r="AO29" s="100">
        <v>3593.5398068443119</v>
      </c>
      <c r="AP29" s="100">
        <v>8.2413513196935924</v>
      </c>
      <c r="AQ29" s="100">
        <v>2788.8732865843112</v>
      </c>
      <c r="AR29" s="100">
        <v>11</v>
      </c>
      <c r="AS29" s="100">
        <v>3722.3999999999996</v>
      </c>
      <c r="AT29" s="100">
        <v>9.4173127084603365</v>
      </c>
      <c r="AU29" s="100">
        <v>3186.8186205429774</v>
      </c>
      <c r="AV29" s="100">
        <v>8.7537031033200527</v>
      </c>
      <c r="AW29" s="100">
        <v>2962.2531301635058</v>
      </c>
      <c r="AX29" s="100">
        <v>11</v>
      </c>
      <c r="AY29" s="100">
        <v>3722.3999999999996</v>
      </c>
      <c r="AZ29" s="100">
        <v>7.6373461300888899</v>
      </c>
      <c r="BA29" s="100">
        <v>2584.4779304220801</v>
      </c>
      <c r="BB29" s="100">
        <v>7.5963497190657812</v>
      </c>
      <c r="BC29" s="100">
        <v>2570.6047449318603</v>
      </c>
      <c r="BD29" s="100">
        <v>12.894551780798455</v>
      </c>
      <c r="BE29" s="100">
        <v>4363.5163226221966</v>
      </c>
      <c r="BF29" s="100">
        <v>8.9279100162660701</v>
      </c>
      <c r="BG29" s="100">
        <v>3021.204749504438</v>
      </c>
      <c r="BH29" s="100">
        <v>7.080582033767767</v>
      </c>
      <c r="BI29" s="100">
        <v>2396.0689602270122</v>
      </c>
      <c r="BJ29" s="100">
        <v>9.3145745095368042</v>
      </c>
      <c r="BK29" s="100">
        <v>3152.0520140272542</v>
      </c>
      <c r="BL29" s="100">
        <v>6.5218652742922014</v>
      </c>
      <c r="BM29" s="100">
        <v>2206.9992088204808</v>
      </c>
      <c r="BN29" s="100">
        <v>11</v>
      </c>
      <c r="BO29" s="100">
        <v>3722.3999999999996</v>
      </c>
      <c r="BP29" s="100">
        <v>9.365837909682039</v>
      </c>
      <c r="BQ29" s="100">
        <v>3169.399548636402</v>
      </c>
      <c r="BR29" s="100">
        <v>6.8785352713302546</v>
      </c>
      <c r="BS29" s="100">
        <v>2327.6963358181579</v>
      </c>
      <c r="BT29" s="100">
        <v>7.5963497190657812</v>
      </c>
      <c r="BU29" s="100">
        <v>2570.6047449318603</v>
      </c>
      <c r="BV29" s="100">
        <v>12.848937263339666</v>
      </c>
      <c r="BW29" s="100">
        <v>4348.0803699141425</v>
      </c>
      <c r="BX29" s="100">
        <v>9.87844794372179</v>
      </c>
      <c r="BY29" s="100">
        <v>3342.8667841554534</v>
      </c>
      <c r="BZ29" s="100">
        <v>8.3806317883751689</v>
      </c>
      <c r="CA29" s="100">
        <v>2836.005797186157</v>
      </c>
      <c r="CB29" s="100">
        <v>11.310554761580404</v>
      </c>
      <c r="CC29" s="100">
        <v>3827.4917313188084</v>
      </c>
      <c r="CD29" s="100">
        <v>13.322489109084971</v>
      </c>
      <c r="CE29" s="100">
        <v>4508.3303145143536</v>
      </c>
      <c r="CF29" s="100">
        <v>5.1772844984851911</v>
      </c>
      <c r="CG29" s="100">
        <v>1751.9930742873885</v>
      </c>
      <c r="CH29" s="100">
        <v>8</v>
      </c>
      <c r="CI29" s="100">
        <v>2707.2</v>
      </c>
      <c r="CJ29" s="100">
        <v>11.423002529972951</v>
      </c>
      <c r="CK29" s="100">
        <v>3865.5440561428463</v>
      </c>
      <c r="CL29" s="100">
        <v>10.931211074068234</v>
      </c>
      <c r="CM29" s="100">
        <v>3699.1218274646899</v>
      </c>
      <c r="CN29" s="100">
        <v>5.9080091741369714</v>
      </c>
      <c r="CO29" s="100">
        <v>1999.2703045279509</v>
      </c>
      <c r="CP29" s="100">
        <v>12.749088912143803</v>
      </c>
      <c r="CQ29" s="100">
        <v>4314.2916878694623</v>
      </c>
      <c r="CR29" s="100">
        <v>6.1563517718421314</v>
      </c>
      <c r="CS29" s="100">
        <v>2083.3094395913772</v>
      </c>
      <c r="CT29" s="100">
        <v>14.718431140846139</v>
      </c>
      <c r="CU29" s="100">
        <v>4980.7170980623332</v>
      </c>
    </row>
    <row r="30" spans="2:99">
      <c r="C30" s="99" t="s">
        <v>196</v>
      </c>
      <c r="D30" s="100">
        <v>2.6854403741749509</v>
      </c>
      <c r="E30" s="100">
        <v>373.81330008515312</v>
      </c>
      <c r="F30" s="100">
        <v>4.5288728872398831</v>
      </c>
      <c r="G30" s="100">
        <v>630.41910590379166</v>
      </c>
      <c r="H30" s="100">
        <v>5.3493858726787558</v>
      </c>
      <c r="I30" s="100">
        <v>744.63451347688272</v>
      </c>
      <c r="J30" s="100">
        <v>10.687383700336307</v>
      </c>
      <c r="K30" s="100">
        <v>1487.6838110868139</v>
      </c>
      <c r="L30" s="100">
        <v>7.7919660740334917</v>
      </c>
      <c r="M30" s="100">
        <v>1084.641677505462</v>
      </c>
      <c r="N30" s="100">
        <v>8.13510014156879</v>
      </c>
      <c r="O30" s="100">
        <v>1132.4059397063754</v>
      </c>
      <c r="P30" s="100">
        <v>7.6910186788183861</v>
      </c>
      <c r="Q30" s="100">
        <v>1070.5898000915192</v>
      </c>
      <c r="R30" s="100">
        <v>9.5283254104344639</v>
      </c>
      <c r="S30" s="100">
        <v>1326.3428971324772</v>
      </c>
      <c r="T30" s="100">
        <v>7.7229743325043616</v>
      </c>
      <c r="U30" s="100">
        <v>1075.0380270846069</v>
      </c>
      <c r="V30" s="100">
        <v>7.0918030785116422</v>
      </c>
      <c r="W30" s="100">
        <v>987.17898852882047</v>
      </c>
      <c r="X30" s="100">
        <v>12</v>
      </c>
      <c r="Y30" s="100">
        <v>1670.3999999999999</v>
      </c>
      <c r="Z30" s="100">
        <v>14.831145405135056</v>
      </c>
      <c r="AA30" s="100">
        <v>2064.4954403947995</v>
      </c>
      <c r="AB30" s="100">
        <v>7.0968861239219576</v>
      </c>
      <c r="AC30" s="100">
        <v>987.88654844993641</v>
      </c>
      <c r="AD30" s="100">
        <v>11.462390100796732</v>
      </c>
      <c r="AE30" s="100">
        <v>1595.564702030905</v>
      </c>
      <c r="AF30" s="100">
        <v>11.501264504642071</v>
      </c>
      <c r="AG30" s="100">
        <v>1600.9760190461761</v>
      </c>
      <c r="AH30" s="100">
        <v>8.0640066355712143</v>
      </c>
      <c r="AI30" s="100">
        <v>1122.509723671513</v>
      </c>
      <c r="AJ30" s="100">
        <v>9.8312243021508827</v>
      </c>
      <c r="AK30" s="100">
        <v>1368.5064228594028</v>
      </c>
      <c r="AL30" s="100">
        <v>5.0858338891102397</v>
      </c>
      <c r="AM30" s="100">
        <v>707.94807736414532</v>
      </c>
      <c r="AN30" s="100">
        <v>10.526326346978916</v>
      </c>
      <c r="AO30" s="100">
        <v>1465.264627499465</v>
      </c>
      <c r="AP30" s="100">
        <v>10.143201624238268</v>
      </c>
      <c r="AQ30" s="100">
        <v>1411.9336660939668</v>
      </c>
      <c r="AR30" s="100">
        <v>11</v>
      </c>
      <c r="AS30" s="100">
        <v>1531.1999999999998</v>
      </c>
      <c r="AT30" s="100">
        <v>10.135842719700978</v>
      </c>
      <c r="AU30" s="100">
        <v>1410.9093065823761</v>
      </c>
      <c r="AV30" s="100">
        <v>7.6594902154050457</v>
      </c>
      <c r="AW30" s="100">
        <v>1066.2010379843823</v>
      </c>
      <c r="AX30" s="100">
        <v>14</v>
      </c>
      <c r="AY30" s="100">
        <v>1948.7999999999997</v>
      </c>
      <c r="AZ30" s="100">
        <v>6.7887521156345692</v>
      </c>
      <c r="BA30" s="100">
        <v>944.99429449633192</v>
      </c>
      <c r="BB30" s="100">
        <v>8.2869269662535796</v>
      </c>
      <c r="BC30" s="100">
        <v>1153.5402337024982</v>
      </c>
      <c r="BD30" s="100">
        <v>11.175278210025327</v>
      </c>
      <c r="BE30" s="100">
        <v>1555.5987268355254</v>
      </c>
      <c r="BF30" s="100">
        <v>8.2411477073225257</v>
      </c>
      <c r="BG30" s="100">
        <v>1147.1677608592954</v>
      </c>
      <c r="BH30" s="100">
        <v>7.0959744388714014</v>
      </c>
      <c r="BI30" s="100">
        <v>987.75964189089905</v>
      </c>
      <c r="BJ30" s="100">
        <v>8.5383599670754045</v>
      </c>
      <c r="BK30" s="100">
        <v>1188.5397074168961</v>
      </c>
      <c r="BL30" s="100">
        <v>6.5218652742922014</v>
      </c>
      <c r="BM30" s="100">
        <v>907.84364618147436</v>
      </c>
      <c r="BN30" s="100">
        <v>11</v>
      </c>
      <c r="BO30" s="100">
        <v>1531.1999999999998</v>
      </c>
      <c r="BP30" s="100">
        <v>10.234730679665695</v>
      </c>
      <c r="BQ30" s="100">
        <v>1424.6745106094647</v>
      </c>
      <c r="BR30" s="100">
        <v>6.4582853927192794</v>
      </c>
      <c r="BS30" s="100">
        <v>898.99332666652367</v>
      </c>
      <c r="BT30" s="100">
        <v>6.9057724718779836</v>
      </c>
      <c r="BU30" s="100">
        <v>961.28352808541524</v>
      </c>
      <c r="BV30" s="100">
        <v>12.848937263339666</v>
      </c>
      <c r="BW30" s="100">
        <v>1788.5720670568815</v>
      </c>
      <c r="BX30" s="100">
        <v>9.87844794372179</v>
      </c>
      <c r="BY30" s="100">
        <v>1375.079953766073</v>
      </c>
      <c r="BZ30" s="100">
        <v>8.3806317883751689</v>
      </c>
      <c r="CA30" s="100">
        <v>1166.5839449418233</v>
      </c>
      <c r="CB30" s="100">
        <v>10.556517777475044</v>
      </c>
      <c r="CC30" s="100">
        <v>1469.467274624526</v>
      </c>
      <c r="CD30" s="100">
        <v>14.235948147990138</v>
      </c>
      <c r="CE30" s="100">
        <v>1981.6439822002271</v>
      </c>
      <c r="CF30" s="100">
        <v>4.6595560486366718</v>
      </c>
      <c r="CG30" s="100">
        <v>648.61020197022469</v>
      </c>
      <c r="CH30" s="100">
        <v>8</v>
      </c>
      <c r="CI30" s="100">
        <v>1113.5999999999999</v>
      </c>
      <c r="CJ30" s="100">
        <v>12.301695032278563</v>
      </c>
      <c r="CK30" s="100">
        <v>1712.3959484931759</v>
      </c>
      <c r="CL30" s="100">
        <v>11.591952043215281</v>
      </c>
      <c r="CM30" s="100">
        <v>1613.5997244155669</v>
      </c>
      <c r="CN30" s="100">
        <v>5.9080091741369714</v>
      </c>
      <c r="CO30" s="100">
        <v>822.3948770398664</v>
      </c>
      <c r="CP30" s="100">
        <v>11.121971575495234</v>
      </c>
      <c r="CQ30" s="100">
        <v>1548.1784433089365</v>
      </c>
      <c r="CR30" s="100">
        <v>6.7719869490263447</v>
      </c>
      <c r="CS30" s="100">
        <v>942.66058330446708</v>
      </c>
      <c r="CT30" s="100">
        <v>15.671758746482867</v>
      </c>
      <c r="CU30" s="100">
        <v>2181.5088175104152</v>
      </c>
    </row>
    <row r="31" spans="2:99">
      <c r="C31" s="99" t="s">
        <v>197</v>
      </c>
      <c r="D31" s="100">
        <v>2.6867326391544939</v>
      </c>
      <c r="E31" s="100">
        <v>915.63848342385154</v>
      </c>
      <c r="F31" s="100">
        <v>3.9663933480737064</v>
      </c>
      <c r="G31" s="100">
        <v>1351.7468530235192</v>
      </c>
      <c r="H31" s="100">
        <v>6.0010648319642037</v>
      </c>
      <c r="I31" s="100">
        <v>2045.1628947334007</v>
      </c>
      <c r="J31" s="100">
        <v>10.687383700336307</v>
      </c>
      <c r="K31" s="100">
        <v>3642.2603650746137</v>
      </c>
      <c r="L31" s="100">
        <v>8.5967678143806534</v>
      </c>
      <c r="M31" s="100">
        <v>2929.7784711409267</v>
      </c>
      <c r="N31" s="100">
        <v>6.819656914995222</v>
      </c>
      <c r="O31" s="100">
        <v>2324.1390766303716</v>
      </c>
      <c r="P31" s="100">
        <v>7.6910186788183861</v>
      </c>
      <c r="Q31" s="100">
        <v>2621.099165741306</v>
      </c>
      <c r="R31" s="100">
        <v>8.9353584429084059</v>
      </c>
      <c r="S31" s="100">
        <v>3045.1701573431847</v>
      </c>
      <c r="T31" s="100">
        <v>6.3590273033302092</v>
      </c>
      <c r="U31" s="100">
        <v>2167.1565049749352</v>
      </c>
      <c r="V31" s="100">
        <v>6.3038249586770156</v>
      </c>
      <c r="W31" s="100">
        <v>2148.3435459171269</v>
      </c>
      <c r="X31" s="100">
        <v>12</v>
      </c>
      <c r="Y31" s="100">
        <v>4089.6000000000004</v>
      </c>
      <c r="Z31" s="100">
        <v>14.831145405135056</v>
      </c>
      <c r="AA31" s="100">
        <v>5054.454354070027</v>
      </c>
      <c r="AB31" s="100">
        <v>6.5509718066971923</v>
      </c>
      <c r="AC31" s="100">
        <v>2232.571191722403</v>
      </c>
      <c r="AD31" s="100">
        <v>11.462390100796732</v>
      </c>
      <c r="AE31" s="100">
        <v>3906.3825463515263</v>
      </c>
      <c r="AF31" s="100">
        <v>11.501264504642071</v>
      </c>
      <c r="AG31" s="100">
        <v>3919.6309431820182</v>
      </c>
      <c r="AH31" s="100">
        <v>8.7970981478958699</v>
      </c>
      <c r="AI31" s="100">
        <v>2998.0510488029126</v>
      </c>
      <c r="AJ31" s="100">
        <v>9.8598627568257058</v>
      </c>
      <c r="AK31" s="100">
        <v>3360.2412275262004</v>
      </c>
      <c r="AL31" s="100">
        <v>5.0858338891102397</v>
      </c>
      <c r="AM31" s="100">
        <v>1733.2521894087697</v>
      </c>
      <c r="AN31" s="100">
        <v>11.588247093682318</v>
      </c>
      <c r="AO31" s="100">
        <v>3949.274609526934</v>
      </c>
      <c r="AP31" s="100">
        <v>8.8753014212084835</v>
      </c>
      <c r="AQ31" s="100">
        <v>3024.7027243478515</v>
      </c>
      <c r="AR31" s="100">
        <v>10</v>
      </c>
      <c r="AS31" s="100">
        <v>3408</v>
      </c>
      <c r="AT31" s="100">
        <v>8.7863428038890543</v>
      </c>
      <c r="AU31" s="100">
        <v>2994.3856275653898</v>
      </c>
      <c r="AV31" s="100">
        <v>8.7537031033200527</v>
      </c>
      <c r="AW31" s="100">
        <v>2983.2620176114742</v>
      </c>
      <c r="AX31" s="100">
        <v>13</v>
      </c>
      <c r="AY31" s="100">
        <v>4430.4000000000005</v>
      </c>
      <c r="AZ31" s="100">
        <v>6.7887521156345692</v>
      </c>
      <c r="BA31" s="100">
        <v>2313.606721008261</v>
      </c>
      <c r="BB31" s="100">
        <v>7.5963497190657812</v>
      </c>
      <c r="BC31" s="100">
        <v>2588.8359842576183</v>
      </c>
      <c r="BD31" s="100">
        <v>12.034914995411892</v>
      </c>
      <c r="BE31" s="100">
        <v>4101.4990304363728</v>
      </c>
      <c r="BF31" s="100">
        <v>8.2411477073225257</v>
      </c>
      <c r="BG31" s="100">
        <v>2808.5831386555169</v>
      </c>
      <c r="BH31" s="100">
        <v>7.080582033767767</v>
      </c>
      <c r="BI31" s="100">
        <v>2413.062357108055</v>
      </c>
      <c r="BJ31" s="100">
        <v>8.5383599670754045</v>
      </c>
      <c r="BK31" s="100">
        <v>2909.8730767792981</v>
      </c>
      <c r="BL31" s="100">
        <v>6.0560177546999014</v>
      </c>
      <c r="BM31" s="100">
        <v>2063.8908508017266</v>
      </c>
      <c r="BN31" s="100">
        <v>11</v>
      </c>
      <c r="BO31" s="100">
        <v>3748.8</v>
      </c>
      <c r="BP31" s="100">
        <v>8.3732809013120502</v>
      </c>
      <c r="BQ31" s="100">
        <v>2853.6141311671468</v>
      </c>
      <c r="BR31" s="100">
        <v>6.0159283182557788</v>
      </c>
      <c r="BS31" s="100">
        <v>2050.2283708615696</v>
      </c>
      <c r="BT31" s="100">
        <v>7.5963497190657812</v>
      </c>
      <c r="BU31" s="100">
        <v>2588.8359842576183</v>
      </c>
      <c r="BV31" s="100">
        <v>13.705533080895643</v>
      </c>
      <c r="BW31" s="100">
        <v>4670.8456739692356</v>
      </c>
      <c r="BX31" s="100">
        <v>9.87844794372179</v>
      </c>
      <c r="BY31" s="100">
        <v>3366.5750592203863</v>
      </c>
      <c r="BZ31" s="100">
        <v>7.7359678046540035</v>
      </c>
      <c r="CA31" s="100">
        <v>2636.4178278260842</v>
      </c>
      <c r="CB31" s="100">
        <v>10.556517777475044</v>
      </c>
      <c r="CC31" s="100">
        <v>3597.6612585634953</v>
      </c>
      <c r="CD31" s="100">
        <v>14.225476333001655</v>
      </c>
      <c r="CE31" s="100">
        <v>4848.0423342869644</v>
      </c>
      <c r="CF31" s="100">
        <v>4.6595560486366718</v>
      </c>
      <c r="CG31" s="100">
        <v>1587.9767013753778</v>
      </c>
      <c r="CH31" s="100">
        <v>9</v>
      </c>
      <c r="CI31" s="100">
        <v>3067.2000000000003</v>
      </c>
      <c r="CJ31" s="100">
        <v>10.54431002766734</v>
      </c>
      <c r="CK31" s="100">
        <v>3593.5008574290296</v>
      </c>
      <c r="CL31" s="100">
        <v>10.160850267572735</v>
      </c>
      <c r="CM31" s="100">
        <v>3462.8177711887884</v>
      </c>
      <c r="CN31" s="100">
        <v>5.9080091741369714</v>
      </c>
      <c r="CO31" s="100">
        <v>2013.44952654588</v>
      </c>
      <c r="CP31" s="100">
        <v>13.56264758046809</v>
      </c>
      <c r="CQ31" s="100">
        <v>4622.1502954235248</v>
      </c>
      <c r="CR31" s="100">
        <v>6.7719869490263447</v>
      </c>
      <c r="CS31" s="100">
        <v>2307.8931522281782</v>
      </c>
      <c r="CT31" s="100">
        <v>13.890941311525062</v>
      </c>
      <c r="CU31" s="100">
        <v>4734.0327989677407</v>
      </c>
    </row>
    <row r="32" spans="2:99">
      <c r="C32" s="99" t="s">
        <v>198</v>
      </c>
      <c r="D32" s="100">
        <v>2.5064110158966209</v>
      </c>
      <c r="E32" s="100">
        <v>2105.3852533531617</v>
      </c>
      <c r="F32" s="100">
        <v>4.5259692298488368</v>
      </c>
      <c r="G32" s="100">
        <v>3801.8141530730227</v>
      </c>
      <c r="H32" s="100">
        <v>5.3493858726787558</v>
      </c>
      <c r="I32" s="100">
        <v>4493.4841330501549</v>
      </c>
      <c r="J32" s="100">
        <v>9.1606146002882642</v>
      </c>
      <c r="K32" s="100">
        <v>7694.9162642421416</v>
      </c>
      <c r="L32" s="100">
        <v>7.7919660740334917</v>
      </c>
      <c r="M32" s="100">
        <v>6545.2515021881327</v>
      </c>
      <c r="N32" s="100">
        <v>7.4510262693551175</v>
      </c>
      <c r="O32" s="100">
        <v>6258.8620662582989</v>
      </c>
      <c r="P32" s="100">
        <v>6.8795057825620383</v>
      </c>
      <c r="Q32" s="100">
        <v>5778.7848573521123</v>
      </c>
      <c r="R32" s="100">
        <v>8.9046887462816642</v>
      </c>
      <c r="S32" s="100">
        <v>7479.9385468765977</v>
      </c>
      <c r="T32" s="100">
        <v>6.3426372535489852</v>
      </c>
      <c r="U32" s="100">
        <v>5327.8152929811476</v>
      </c>
      <c r="V32" s="100">
        <v>7.0918030785116422</v>
      </c>
      <c r="W32" s="100">
        <v>5957.1145859497792</v>
      </c>
      <c r="X32" s="100">
        <v>12</v>
      </c>
      <c r="Y32" s="100">
        <v>10080</v>
      </c>
      <c r="Z32" s="100">
        <v>13.842402378126051</v>
      </c>
      <c r="AA32" s="100">
        <v>11627.617997625883</v>
      </c>
      <c r="AB32" s="100">
        <v>6.5509718066971923</v>
      </c>
      <c r="AC32" s="100">
        <v>5502.8163176256412</v>
      </c>
      <c r="AD32" s="100">
        <v>10.580667785350828</v>
      </c>
      <c r="AE32" s="100">
        <v>8887.7609396946955</v>
      </c>
      <c r="AF32" s="100">
        <v>10.063606441561813</v>
      </c>
      <c r="AG32" s="100">
        <v>8453.4294109119237</v>
      </c>
      <c r="AH32" s="100">
        <v>7.3309151232465579</v>
      </c>
      <c r="AI32" s="100">
        <v>6157.968703527109</v>
      </c>
      <c r="AJ32" s="100">
        <v>7.9852609513549631</v>
      </c>
      <c r="AK32" s="100">
        <v>6707.6191991381693</v>
      </c>
      <c r="AL32" s="100">
        <v>5.0858338891102397</v>
      </c>
      <c r="AM32" s="100">
        <v>4272.1004668526011</v>
      </c>
      <c r="AN32" s="100">
        <v>11.526326346978916</v>
      </c>
      <c r="AO32" s="100">
        <v>9682.1141314622892</v>
      </c>
      <c r="AP32" s="100">
        <v>8.8753014212084835</v>
      </c>
      <c r="AQ32" s="100">
        <v>7455.253193815126</v>
      </c>
      <c r="AR32" s="100">
        <v>10</v>
      </c>
      <c r="AS32" s="100">
        <v>8400</v>
      </c>
      <c r="AT32" s="100">
        <v>10.106656017477858</v>
      </c>
      <c r="AU32" s="100">
        <v>8489.5910546814011</v>
      </c>
      <c r="AV32" s="100">
        <v>7.6594902154050457</v>
      </c>
      <c r="AW32" s="100">
        <v>6433.9717809402382</v>
      </c>
      <c r="AX32" s="100">
        <v>13</v>
      </c>
      <c r="AY32" s="100">
        <v>10920</v>
      </c>
      <c r="AZ32" s="100">
        <v>6.7887521156345692</v>
      </c>
      <c r="BA32" s="100">
        <v>5702.5517771330378</v>
      </c>
      <c r="BB32" s="100">
        <v>7.5963497190657812</v>
      </c>
      <c r="BC32" s="100">
        <v>6380.9337640152562</v>
      </c>
      <c r="BD32" s="100">
        <v>11.175278210025327</v>
      </c>
      <c r="BE32" s="100">
        <v>9387.2336964212755</v>
      </c>
      <c r="BF32" s="100">
        <v>8.2411477073225257</v>
      </c>
      <c r="BG32" s="100">
        <v>6922.5640741509214</v>
      </c>
      <c r="BH32" s="100">
        <v>7.080582033767767</v>
      </c>
      <c r="BI32" s="100">
        <v>5947.6889083649239</v>
      </c>
      <c r="BJ32" s="100">
        <v>9.3145745095368042</v>
      </c>
      <c r="BK32" s="100">
        <v>7824.2425880109158</v>
      </c>
      <c r="BL32" s="100">
        <v>5.5901702351076015</v>
      </c>
      <c r="BM32" s="100">
        <v>4695.7429974903853</v>
      </c>
      <c r="BN32" s="100">
        <v>11</v>
      </c>
      <c r="BO32" s="100">
        <v>9240</v>
      </c>
      <c r="BP32" s="100">
        <v>8.3732809013120502</v>
      </c>
      <c r="BQ32" s="100">
        <v>7033.5559571021222</v>
      </c>
      <c r="BR32" s="100">
        <v>6.4361781968667549</v>
      </c>
      <c r="BS32" s="100">
        <v>5406.3896853680744</v>
      </c>
      <c r="BT32" s="100">
        <v>6.9057724718779836</v>
      </c>
      <c r="BU32" s="100">
        <v>5800.8488763775058</v>
      </c>
      <c r="BV32" s="100">
        <v>14.562128898451622</v>
      </c>
      <c r="BW32" s="100">
        <v>12232.188274699363</v>
      </c>
      <c r="BX32" s="100">
        <v>8.9804072215652635</v>
      </c>
      <c r="BY32" s="100">
        <v>7543.542066114821</v>
      </c>
      <c r="BZ32" s="100">
        <v>9.0252957720963369</v>
      </c>
      <c r="CA32" s="100">
        <v>7581.248448560923</v>
      </c>
      <c r="CB32" s="100">
        <v>11.310554761580404</v>
      </c>
      <c r="CC32" s="100">
        <v>9500.865999727539</v>
      </c>
      <c r="CD32" s="100">
        <v>11.422268326355256</v>
      </c>
      <c r="CE32" s="100">
        <v>9594.7053941384147</v>
      </c>
      <c r="CF32" s="100">
        <v>4.6595560486366718</v>
      </c>
      <c r="CG32" s="100">
        <v>3914.0270808548044</v>
      </c>
      <c r="CH32" s="100">
        <v>8</v>
      </c>
      <c r="CI32" s="100">
        <v>6720</v>
      </c>
      <c r="CJ32" s="100">
        <v>11.423002529972951</v>
      </c>
      <c r="CK32" s="100">
        <v>9595.3221251772793</v>
      </c>
      <c r="CL32" s="100">
        <v>10.124310321789919</v>
      </c>
      <c r="CM32" s="100">
        <v>8504.4206703035325</v>
      </c>
      <c r="CN32" s="100">
        <v>5.9080091741369714</v>
      </c>
      <c r="CO32" s="100">
        <v>4962.7277062750563</v>
      </c>
      <c r="CP32" s="100">
        <v>11.103154027658009</v>
      </c>
      <c r="CQ32" s="100">
        <v>9326.6493832327269</v>
      </c>
      <c r="CR32" s="100">
        <v>5.5407165946579182</v>
      </c>
      <c r="CS32" s="100">
        <v>4654.2019395126517</v>
      </c>
      <c r="CT32" s="100">
        <v>13.828022423367235</v>
      </c>
      <c r="CU32" s="100">
        <v>11615.538835628478</v>
      </c>
    </row>
    <row r="33" spans="2:99">
      <c r="C33" s="99" t="s">
        <v>199</v>
      </c>
      <c r="D33" s="100">
        <v>2.51028781083525</v>
      </c>
      <c r="E33" s="100">
        <v>1189.8764223359085</v>
      </c>
      <c r="F33" s="100">
        <v>3.9692970054647523</v>
      </c>
      <c r="G33" s="100">
        <v>1881.4467805902925</v>
      </c>
      <c r="H33" s="100">
        <v>5.973873992285168</v>
      </c>
      <c r="I33" s="100">
        <v>2831.6162723431698</v>
      </c>
      <c r="J33" s="100">
        <v>10.687383700336307</v>
      </c>
      <c r="K33" s="100">
        <v>5065.8198739594091</v>
      </c>
      <c r="L33" s="100">
        <v>8.5236102916840437</v>
      </c>
      <c r="M33" s="100">
        <v>4040.1912782582367</v>
      </c>
      <c r="N33" s="100">
        <v>8.13510014156879</v>
      </c>
      <c r="O33" s="100">
        <v>3856.0374671036066</v>
      </c>
      <c r="P33" s="100">
        <v>7.6741750869700693</v>
      </c>
      <c r="Q33" s="100">
        <v>3637.5589912238129</v>
      </c>
      <c r="R33" s="100">
        <v>9.5283254104344639</v>
      </c>
      <c r="S33" s="100">
        <v>4516.4262445459362</v>
      </c>
      <c r="T33" s="100">
        <v>6.3426372535489852</v>
      </c>
      <c r="U33" s="100">
        <v>3006.410058182219</v>
      </c>
      <c r="V33" s="100">
        <v>7.0918030785116422</v>
      </c>
      <c r="W33" s="100">
        <v>3361.5146592145184</v>
      </c>
      <c r="X33" s="100">
        <v>12</v>
      </c>
      <c r="Y33" s="100">
        <v>5688</v>
      </c>
      <c r="Z33" s="100">
        <v>15.819888432144058</v>
      </c>
      <c r="AA33" s="100">
        <v>7498.6271168362837</v>
      </c>
      <c r="AB33" s="100">
        <v>6.5509718066971923</v>
      </c>
      <c r="AC33" s="100">
        <v>3105.160636374469</v>
      </c>
      <c r="AD33" s="100">
        <v>11.462390100796732</v>
      </c>
      <c r="AE33" s="100">
        <v>5433.1729077776508</v>
      </c>
      <c r="AF33" s="100">
        <v>10.782435473101943</v>
      </c>
      <c r="AG33" s="100">
        <v>5110.874414250321</v>
      </c>
      <c r="AH33" s="100">
        <v>8.0640066355712143</v>
      </c>
      <c r="AI33" s="100">
        <v>3822.3391452607557</v>
      </c>
      <c r="AJ33" s="100">
        <v>8.5719436136121114</v>
      </c>
      <c r="AK33" s="100">
        <v>4063.1012728521409</v>
      </c>
      <c r="AL33" s="100">
        <v>5.0858338891102397</v>
      </c>
      <c r="AM33" s="100">
        <v>2410.6852634382535</v>
      </c>
      <c r="AN33" s="100">
        <v>10.526326346978916</v>
      </c>
      <c r="AO33" s="100">
        <v>4989.4786884680061</v>
      </c>
      <c r="AP33" s="100">
        <v>10.143201624238268</v>
      </c>
      <c r="AQ33" s="100">
        <v>4807.8775698889385</v>
      </c>
      <c r="AR33" s="100">
        <v>11</v>
      </c>
      <c r="AS33" s="100">
        <v>5214</v>
      </c>
      <c r="AT33" s="100">
        <v>9.4756861129065761</v>
      </c>
      <c r="AU33" s="100">
        <v>4491.4752175177173</v>
      </c>
      <c r="AV33" s="100">
        <v>9.3008095472775558</v>
      </c>
      <c r="AW33" s="100">
        <v>4408.5837254095613</v>
      </c>
      <c r="AX33" s="100">
        <v>14</v>
      </c>
      <c r="AY33" s="100">
        <v>6636</v>
      </c>
      <c r="AZ33" s="100">
        <v>6.7887521156345692</v>
      </c>
      <c r="BA33" s="100">
        <v>3217.8685028107857</v>
      </c>
      <c r="BB33" s="100">
        <v>7.5963497190657812</v>
      </c>
      <c r="BC33" s="100">
        <v>3600.6697668371803</v>
      </c>
      <c r="BD33" s="100">
        <v>12.034914995411892</v>
      </c>
      <c r="BE33" s="100">
        <v>5704.5497078252365</v>
      </c>
      <c r="BF33" s="100">
        <v>8.2411477073225257</v>
      </c>
      <c r="BG33" s="100">
        <v>3906.304013270877</v>
      </c>
      <c r="BH33" s="100">
        <v>7.8895468448916581</v>
      </c>
      <c r="BI33" s="100">
        <v>3739.6452044786461</v>
      </c>
      <c r="BJ33" s="100">
        <v>8.5383599670754045</v>
      </c>
      <c r="BK33" s="100">
        <v>4047.1826243937417</v>
      </c>
      <c r="BL33" s="100">
        <v>6.0560177546999014</v>
      </c>
      <c r="BM33" s="100">
        <v>2870.5524157277532</v>
      </c>
      <c r="BN33" s="100">
        <v>13</v>
      </c>
      <c r="BO33" s="100">
        <v>6162</v>
      </c>
      <c r="BP33" s="100">
        <v>9.2730897308922895</v>
      </c>
      <c r="BQ33" s="100">
        <v>4395.4445324429453</v>
      </c>
      <c r="BR33" s="100">
        <v>6.8785352713302546</v>
      </c>
      <c r="BS33" s="100">
        <v>3260.4257186105406</v>
      </c>
      <c r="BT33" s="100">
        <v>6.2151952246901843</v>
      </c>
      <c r="BU33" s="100">
        <v>2946.0025365031474</v>
      </c>
      <c r="BV33" s="100">
        <v>12.848937263339666</v>
      </c>
      <c r="BW33" s="100">
        <v>6090.396262823002</v>
      </c>
      <c r="BX33" s="100">
        <v>9.87844794372179</v>
      </c>
      <c r="BY33" s="100">
        <v>4682.3843253241284</v>
      </c>
      <c r="BZ33" s="100">
        <v>9.0252957720963369</v>
      </c>
      <c r="CA33" s="100">
        <v>4277.9901959736635</v>
      </c>
      <c r="CB33" s="100">
        <v>10.556517777475044</v>
      </c>
      <c r="CC33" s="100">
        <v>5003.7894265231707</v>
      </c>
      <c r="CD33" s="100">
        <v>12.388086440202839</v>
      </c>
      <c r="CE33" s="100">
        <v>5871.9529726561459</v>
      </c>
      <c r="CF33" s="100">
        <v>4.6595560486366718</v>
      </c>
      <c r="CG33" s="100">
        <v>2208.6295670537825</v>
      </c>
      <c r="CH33" s="100">
        <v>9</v>
      </c>
      <c r="CI33" s="100">
        <v>4266</v>
      </c>
      <c r="CJ33" s="100">
        <v>11.423002529972951</v>
      </c>
      <c r="CK33" s="100">
        <v>5414.503199207179</v>
      </c>
      <c r="CL33" s="100">
        <v>10.087770376007104</v>
      </c>
      <c r="CM33" s="100">
        <v>4781.6031582273672</v>
      </c>
      <c r="CN33" s="100">
        <v>4.9990846858082056</v>
      </c>
      <c r="CO33" s="100">
        <v>2369.5661410730895</v>
      </c>
      <c r="CP33" s="100">
        <v>12.730271364306578</v>
      </c>
      <c r="CQ33" s="100">
        <v>6034.1486266813181</v>
      </c>
      <c r="CR33" s="100">
        <v>6.7719869490263447</v>
      </c>
      <c r="CS33" s="100">
        <v>3209.9218138384872</v>
      </c>
      <c r="CT33" s="100">
        <v>14.718431140846139</v>
      </c>
      <c r="CU33" s="100">
        <v>6976.5363607610698</v>
      </c>
    </row>
    <row r="34" spans="2:99">
      <c r="C34" s="99" t="s">
        <v>200</v>
      </c>
      <c r="D34" s="100">
        <v>2.6880249041340374</v>
      </c>
      <c r="E34" s="100">
        <v>1474.1128574271061</v>
      </c>
      <c r="F34" s="100">
        <v>4.5317765446309295</v>
      </c>
      <c r="G34" s="100">
        <v>2485.2262570756016</v>
      </c>
      <c r="H34" s="100">
        <v>6.0010648319642037</v>
      </c>
      <c r="I34" s="100">
        <v>3290.9839538491692</v>
      </c>
      <c r="J34" s="100">
        <v>10.687383700336307</v>
      </c>
      <c r="K34" s="100">
        <v>5860.9612212644306</v>
      </c>
      <c r="L34" s="100">
        <v>8.5967678143806534</v>
      </c>
      <c r="M34" s="100">
        <v>4714.4674694063506</v>
      </c>
      <c r="N34" s="100">
        <v>6.7880342042829547</v>
      </c>
      <c r="O34" s="100">
        <v>3722.5579576287723</v>
      </c>
      <c r="P34" s="100">
        <v>6.8458185988654074</v>
      </c>
      <c r="Q34" s="100">
        <v>3754.2469196177894</v>
      </c>
      <c r="R34" s="100">
        <v>8.8433493530281808</v>
      </c>
      <c r="S34" s="100">
        <v>4849.6927852006538</v>
      </c>
      <c r="T34" s="100">
        <v>7.7229743325043616</v>
      </c>
      <c r="U34" s="100">
        <v>4235.2791239453918</v>
      </c>
      <c r="V34" s="100">
        <v>6.3038249586770156</v>
      </c>
      <c r="W34" s="100">
        <v>3457.017607338475</v>
      </c>
      <c r="X34" s="100">
        <v>12</v>
      </c>
      <c r="Y34" s="100">
        <v>6580.7999999999993</v>
      </c>
      <c r="Z34" s="100">
        <v>14.831145405135056</v>
      </c>
      <c r="AA34" s="100">
        <v>8133.4001401760643</v>
      </c>
      <c r="AB34" s="100">
        <v>7.0968861239219576</v>
      </c>
      <c r="AC34" s="100">
        <v>3891.9323503588016</v>
      </c>
      <c r="AD34" s="100">
        <v>11.462390100796732</v>
      </c>
      <c r="AE34" s="100">
        <v>6285.9747312769277</v>
      </c>
      <c r="AF34" s="100">
        <v>10.063606441561813</v>
      </c>
      <c r="AG34" s="100">
        <v>5518.8817725524978</v>
      </c>
      <c r="AH34" s="100">
        <v>8.7970981478958699</v>
      </c>
      <c r="AI34" s="100">
        <v>4824.3286243060948</v>
      </c>
      <c r="AJ34" s="100">
        <v>8.6005820682869363</v>
      </c>
      <c r="AK34" s="100">
        <v>4716.5592062485557</v>
      </c>
      <c r="AL34" s="100">
        <v>5.0858338891102397</v>
      </c>
      <c r="AM34" s="100">
        <v>2789.0713047880554</v>
      </c>
      <c r="AN34" s="100">
        <v>11.588247093682318</v>
      </c>
      <c r="AO34" s="100">
        <v>6354.9947061753828</v>
      </c>
      <c r="AP34" s="100">
        <v>9.5092515227233765</v>
      </c>
      <c r="AQ34" s="100">
        <v>5214.8735350614998</v>
      </c>
      <c r="AR34" s="100">
        <v>9</v>
      </c>
      <c r="AS34" s="100">
        <v>4935.5999999999995</v>
      </c>
      <c r="AT34" s="100">
        <v>8.7571561016659345</v>
      </c>
      <c r="AU34" s="100">
        <v>4802.4244061535983</v>
      </c>
      <c r="AV34" s="100">
        <v>8.2065966593625497</v>
      </c>
      <c r="AW34" s="100">
        <v>4500.4976079944217</v>
      </c>
      <c r="AX34" s="100">
        <v>12</v>
      </c>
      <c r="AY34" s="100">
        <v>6580.7999999999993</v>
      </c>
      <c r="AZ34" s="100">
        <v>6.7887521156345692</v>
      </c>
      <c r="BA34" s="100">
        <v>3722.9516602139975</v>
      </c>
      <c r="BB34" s="100">
        <v>8.2869269662535796</v>
      </c>
      <c r="BC34" s="100">
        <v>4544.5507482934627</v>
      </c>
      <c r="BD34" s="100">
        <v>12.034914995411892</v>
      </c>
      <c r="BE34" s="100">
        <v>6599.9473834838818</v>
      </c>
      <c r="BF34" s="100">
        <v>8.9279100162660701</v>
      </c>
      <c r="BG34" s="100">
        <v>4896.0658529203129</v>
      </c>
      <c r="BH34" s="100">
        <v>6.317794437954781</v>
      </c>
      <c r="BI34" s="100">
        <v>3464.6784697744019</v>
      </c>
      <c r="BJ34" s="100">
        <v>9.3145745095368042</v>
      </c>
      <c r="BK34" s="100">
        <v>5108.1126610299834</v>
      </c>
      <c r="BL34" s="100">
        <v>5.5901702351076015</v>
      </c>
      <c r="BM34" s="100">
        <v>3065.6493569330087</v>
      </c>
      <c r="BN34" s="100">
        <v>12</v>
      </c>
      <c r="BO34" s="100">
        <v>6580.7999999999993</v>
      </c>
      <c r="BP34" s="100">
        <v>8.3114487821188856</v>
      </c>
      <c r="BQ34" s="100">
        <v>4557.9985121139971</v>
      </c>
      <c r="BR34" s="100">
        <v>6.4582853927192794</v>
      </c>
      <c r="BS34" s="100">
        <v>3541.7237093672525</v>
      </c>
      <c r="BT34" s="100">
        <v>6.9057724718779836</v>
      </c>
      <c r="BU34" s="100">
        <v>3787.125623577886</v>
      </c>
      <c r="BV34" s="100">
        <v>13.705533080895643</v>
      </c>
      <c r="BW34" s="100">
        <v>7516.1143415631705</v>
      </c>
      <c r="BX34" s="100">
        <v>9.87844794372179</v>
      </c>
      <c r="BY34" s="100">
        <v>5417.340852337029</v>
      </c>
      <c r="BZ34" s="100">
        <v>9.0252957720963369</v>
      </c>
      <c r="CA34" s="100">
        <v>4949.4722014176314</v>
      </c>
      <c r="CB34" s="100">
        <v>9.8024807933696838</v>
      </c>
      <c r="CC34" s="100">
        <v>5375.6804670839347</v>
      </c>
      <c r="CD34" s="100">
        <v>14.225476333001655</v>
      </c>
      <c r="CE34" s="100">
        <v>7801.2512210181076</v>
      </c>
      <c r="CF34" s="100">
        <v>4.6595560486366718</v>
      </c>
      <c r="CG34" s="100">
        <v>2555.3005370723508</v>
      </c>
      <c r="CH34" s="100">
        <v>8</v>
      </c>
      <c r="CI34" s="100">
        <v>4387.2</v>
      </c>
      <c r="CJ34" s="100">
        <v>11.423002529972951</v>
      </c>
      <c r="CK34" s="100">
        <v>6264.3745874371662</v>
      </c>
      <c r="CL34" s="100">
        <v>11.591952043215281</v>
      </c>
      <c r="CM34" s="100">
        <v>6357.0265004992598</v>
      </c>
      <c r="CN34" s="100">
        <v>5.4535469299725881</v>
      </c>
      <c r="CO34" s="100">
        <v>2990.7251363969672</v>
      </c>
      <c r="CP34" s="100">
        <v>11.897895148145068</v>
      </c>
      <c r="CQ34" s="100">
        <v>6524.8056992427546</v>
      </c>
      <c r="CR34" s="100">
        <v>6.1563517718421314</v>
      </c>
      <c r="CS34" s="100">
        <v>3376.1433116782246</v>
      </c>
      <c r="CT34" s="100">
        <v>13.828022423367235</v>
      </c>
      <c r="CU34" s="100">
        <v>7583.2874969745917</v>
      </c>
    </row>
    <row r="35" spans="2:99">
      <c r="C35" s="99" t="s">
        <v>201</v>
      </c>
      <c r="D35" s="100">
        <v>2.6867326391544939</v>
      </c>
      <c r="E35" s="100">
        <v>1350.8891709668792</v>
      </c>
      <c r="F35" s="100">
        <v>4.5288728872398831</v>
      </c>
      <c r="G35" s="100">
        <v>2277.1172877042127</v>
      </c>
      <c r="H35" s="100">
        <v>6.014660251803722</v>
      </c>
      <c r="I35" s="100">
        <v>3024.1711746069109</v>
      </c>
      <c r="J35" s="100">
        <v>10.687383700336307</v>
      </c>
      <c r="K35" s="100">
        <v>5373.616524529094</v>
      </c>
      <c r="L35" s="100">
        <v>7.7919660740334917</v>
      </c>
      <c r="M35" s="100">
        <v>3917.8005420240388</v>
      </c>
      <c r="N35" s="100">
        <v>6.8091160114244671</v>
      </c>
      <c r="O35" s="100">
        <v>3423.6235305442215</v>
      </c>
      <c r="P35" s="100">
        <v>6.8626621907137233</v>
      </c>
      <c r="Q35" s="100">
        <v>3450.5465494908594</v>
      </c>
      <c r="R35" s="100">
        <v>8.9046887462816642</v>
      </c>
      <c r="S35" s="100">
        <v>4477.2775016304195</v>
      </c>
      <c r="T35" s="100">
        <v>7.0328057930266725</v>
      </c>
      <c r="U35" s="100">
        <v>3536.0947527338103</v>
      </c>
      <c r="V35" s="100">
        <v>6.3038249586770156</v>
      </c>
      <c r="W35" s="100">
        <v>3169.563189222803</v>
      </c>
      <c r="X35" s="100">
        <v>12</v>
      </c>
      <c r="Y35" s="100">
        <v>6033.5999999999985</v>
      </c>
      <c r="Z35" s="100">
        <v>12.853659351117047</v>
      </c>
      <c r="AA35" s="100">
        <v>6462.8199217416495</v>
      </c>
      <c r="AB35" s="100">
        <v>6.5509718066971923</v>
      </c>
      <c r="AC35" s="100">
        <v>3293.8286244073474</v>
      </c>
      <c r="AD35" s="100">
        <v>12.344112416242634</v>
      </c>
      <c r="AE35" s="100">
        <v>6206.619722886795</v>
      </c>
      <c r="AF35" s="100">
        <v>10.063606441561813</v>
      </c>
      <c r="AG35" s="100">
        <v>5059.9813188172784</v>
      </c>
      <c r="AH35" s="100">
        <v>8.0640066355712143</v>
      </c>
      <c r="AI35" s="100">
        <v>4054.5825363652057</v>
      </c>
      <c r="AJ35" s="100">
        <v>9.2445416398937308</v>
      </c>
      <c r="AK35" s="100">
        <v>4648.1555365385666</v>
      </c>
      <c r="AL35" s="100">
        <v>5.0858338891102397</v>
      </c>
      <c r="AM35" s="100">
        <v>2557.1572794446279</v>
      </c>
      <c r="AN35" s="100">
        <v>10.61920746703402</v>
      </c>
      <c r="AO35" s="100">
        <v>5339.3375144247038</v>
      </c>
      <c r="AP35" s="100">
        <v>8.8753014212084835</v>
      </c>
      <c r="AQ35" s="100">
        <v>4462.501554583625</v>
      </c>
      <c r="AR35" s="100">
        <v>11</v>
      </c>
      <c r="AS35" s="100">
        <v>5530.7999999999993</v>
      </c>
      <c r="AT35" s="100">
        <v>10.737625922049141</v>
      </c>
      <c r="AU35" s="100">
        <v>5398.8783136063066</v>
      </c>
      <c r="AV35" s="100">
        <v>9.3008095472775558</v>
      </c>
      <c r="AW35" s="100">
        <v>4676.4470403711539</v>
      </c>
      <c r="AX35" s="100">
        <v>11</v>
      </c>
      <c r="AY35" s="100">
        <v>5530.7999999999993</v>
      </c>
      <c r="AZ35" s="100">
        <v>7.6373461300888899</v>
      </c>
      <c r="BA35" s="100">
        <v>3840.0576342086929</v>
      </c>
      <c r="BB35" s="100">
        <v>6.9057724718779836</v>
      </c>
      <c r="BC35" s="100">
        <v>3472.2223988602495</v>
      </c>
      <c r="BD35" s="100">
        <v>11.175278210025327</v>
      </c>
      <c r="BE35" s="100">
        <v>5618.9298840007332</v>
      </c>
      <c r="BF35" s="100">
        <v>7.5543853983789813</v>
      </c>
      <c r="BG35" s="100">
        <v>3798.3449783049509</v>
      </c>
      <c r="BH35" s="100">
        <v>7.8587620346843883</v>
      </c>
      <c r="BI35" s="100">
        <v>3951.3855510393096</v>
      </c>
      <c r="BJ35" s="100">
        <v>7.7621454246140038</v>
      </c>
      <c r="BK35" s="100">
        <v>3902.8067194959203</v>
      </c>
      <c r="BL35" s="100">
        <v>5.5901702351076015</v>
      </c>
      <c r="BM35" s="100">
        <v>2810.7375942121016</v>
      </c>
      <c r="BN35" s="100">
        <v>12</v>
      </c>
      <c r="BO35" s="100">
        <v>6033.5999999999985</v>
      </c>
      <c r="BP35" s="100">
        <v>8.3732809013120502</v>
      </c>
      <c r="BQ35" s="100">
        <v>4210.0856371796981</v>
      </c>
      <c r="BR35" s="100">
        <v>7.3208923457937551</v>
      </c>
      <c r="BS35" s="100">
        <v>3680.9446714650994</v>
      </c>
      <c r="BT35" s="100">
        <v>6.2151952246901843</v>
      </c>
      <c r="BU35" s="100">
        <v>3125.0001589742242</v>
      </c>
      <c r="BV35" s="100">
        <v>11.992341445783689</v>
      </c>
      <c r="BW35" s="100">
        <v>6029.7492789400376</v>
      </c>
      <c r="BX35" s="100">
        <v>9.87844794372179</v>
      </c>
      <c r="BY35" s="100">
        <v>4966.8836261033148</v>
      </c>
      <c r="BZ35" s="100">
        <v>9.0252957720963369</v>
      </c>
      <c r="CA35" s="100">
        <v>4537.9187142100373</v>
      </c>
      <c r="CB35" s="100">
        <v>11.310554761580404</v>
      </c>
      <c r="CC35" s="100">
        <v>5686.9469341226259</v>
      </c>
      <c r="CD35" s="100">
        <v>12.388086440202839</v>
      </c>
      <c r="CE35" s="100">
        <v>6228.729862133986</v>
      </c>
      <c r="CF35" s="100">
        <v>4.6595560486366718</v>
      </c>
      <c r="CG35" s="100">
        <v>2342.8247812545183</v>
      </c>
      <c r="CH35" s="100">
        <v>9</v>
      </c>
      <c r="CI35" s="100">
        <v>4525.1999999999989</v>
      </c>
      <c r="CJ35" s="100">
        <v>10.54431002766734</v>
      </c>
      <c r="CK35" s="100">
        <v>5301.6790819111375</v>
      </c>
      <c r="CL35" s="100">
        <v>10.087770376007104</v>
      </c>
      <c r="CM35" s="100">
        <v>5072.1309450563704</v>
      </c>
      <c r="CN35" s="100">
        <v>5.9080091741369714</v>
      </c>
      <c r="CO35" s="100">
        <v>2970.5470127560684</v>
      </c>
      <c r="CP35" s="100">
        <v>11.935530243819519</v>
      </c>
      <c r="CQ35" s="100">
        <v>6001.1846065924528</v>
      </c>
      <c r="CR35" s="100">
        <v>5.5407165946579182</v>
      </c>
      <c r="CS35" s="100">
        <v>2785.8723037940008</v>
      </c>
      <c r="CT35" s="100">
        <v>14.686971696767227</v>
      </c>
      <c r="CU35" s="100">
        <v>7384.6093691345604</v>
      </c>
    </row>
    <row r="36" spans="2:99">
      <c r="C36" s="99" t="s">
        <v>202</v>
      </c>
      <c r="D36" s="100">
        <v>2.6854403741749509</v>
      </c>
      <c r="E36" s="100">
        <v>2043.0830366723026</v>
      </c>
      <c r="F36" s="100">
        <v>3.9692970054647523</v>
      </c>
      <c r="G36" s="100">
        <v>3019.8411617575834</v>
      </c>
      <c r="H36" s="100">
        <v>5.3493858726787558</v>
      </c>
      <c r="I36" s="100">
        <v>4069.8127719339973</v>
      </c>
      <c r="J36" s="100">
        <v>9.1606146002882642</v>
      </c>
      <c r="K36" s="100">
        <v>6969.3955878993111</v>
      </c>
      <c r="L36" s="100">
        <v>7.7919660740334917</v>
      </c>
      <c r="M36" s="100">
        <v>5928.12778912468</v>
      </c>
      <c r="N36" s="100">
        <v>7.4510262693551175</v>
      </c>
      <c r="O36" s="100">
        <v>5668.7407857253729</v>
      </c>
      <c r="P36" s="100">
        <v>7.707862270666701</v>
      </c>
      <c r="Q36" s="100">
        <v>5864.1416155232255</v>
      </c>
      <c r="R36" s="100">
        <v>9.5283254104344639</v>
      </c>
      <c r="S36" s="100">
        <v>7249.1499722585395</v>
      </c>
      <c r="T36" s="100">
        <v>7.0491958428078982</v>
      </c>
      <c r="U36" s="100">
        <v>5363.0281972082485</v>
      </c>
      <c r="V36" s="100">
        <v>6.3038249586770156</v>
      </c>
      <c r="W36" s="100">
        <v>4795.9500285614731</v>
      </c>
      <c r="X36" s="100">
        <v>12</v>
      </c>
      <c r="Y36" s="100">
        <v>9129.5999999999985</v>
      </c>
      <c r="Z36" s="100">
        <v>13.842402378126051</v>
      </c>
      <c r="AA36" s="100">
        <v>10531.299729278298</v>
      </c>
      <c r="AB36" s="100">
        <v>7.0968861239219576</v>
      </c>
      <c r="AC36" s="100">
        <v>5399.3109630798253</v>
      </c>
      <c r="AD36" s="100">
        <v>12.344112416242634</v>
      </c>
      <c r="AE36" s="100">
        <v>9391.4007262773957</v>
      </c>
      <c r="AF36" s="100">
        <v>10.782435473101943</v>
      </c>
      <c r="AG36" s="100">
        <v>8203.2769079359568</v>
      </c>
      <c r="AH36" s="100">
        <v>8.7970981478958699</v>
      </c>
      <c r="AI36" s="100">
        <v>6692.8322709191771</v>
      </c>
      <c r="AJ36" s="100">
        <v>9.1586262758692634</v>
      </c>
      <c r="AK36" s="100">
        <v>6967.8828706813356</v>
      </c>
      <c r="AL36" s="100">
        <v>5.0858338891102397</v>
      </c>
      <c r="AM36" s="100">
        <v>3869.30242283507</v>
      </c>
      <c r="AN36" s="100">
        <v>9.5882470936823179</v>
      </c>
      <c r="AO36" s="100">
        <v>7294.7383888735067</v>
      </c>
      <c r="AP36" s="100">
        <v>9.5092515227233765</v>
      </c>
      <c r="AQ36" s="100">
        <v>7234.6385584879445</v>
      </c>
      <c r="AR36" s="100">
        <v>11</v>
      </c>
      <c r="AS36" s="100">
        <v>8368.7999999999993</v>
      </c>
      <c r="AT36" s="100">
        <v>8.7571561016659345</v>
      </c>
      <c r="AU36" s="100">
        <v>6662.4443621474429</v>
      </c>
      <c r="AV36" s="100">
        <v>8.7537031033200527</v>
      </c>
      <c r="AW36" s="100">
        <v>6659.8173210058958</v>
      </c>
      <c r="AX36" s="100">
        <v>13</v>
      </c>
      <c r="AY36" s="100">
        <v>9890.4</v>
      </c>
      <c r="AZ36" s="100">
        <v>6.7887521156345692</v>
      </c>
      <c r="BA36" s="100">
        <v>5164.88260957478</v>
      </c>
      <c r="BB36" s="100">
        <v>8.2869269662535796</v>
      </c>
      <c r="BC36" s="100">
        <v>6304.6940359257233</v>
      </c>
      <c r="BD36" s="100">
        <v>10.315641424638764</v>
      </c>
      <c r="BE36" s="100">
        <v>7848.1399958651718</v>
      </c>
      <c r="BF36" s="100">
        <v>7.5543853983789813</v>
      </c>
      <c r="BG36" s="100">
        <v>5747.3764110867287</v>
      </c>
      <c r="BH36" s="100">
        <v>6.317794437954781</v>
      </c>
      <c r="BI36" s="100">
        <v>4806.5780083959971</v>
      </c>
      <c r="BJ36" s="100">
        <v>9.3145745095368042</v>
      </c>
      <c r="BK36" s="100">
        <v>7086.5282868556005</v>
      </c>
      <c r="BL36" s="100">
        <v>5.1243227155153015</v>
      </c>
      <c r="BM36" s="100">
        <v>3898.5847219640414</v>
      </c>
      <c r="BN36" s="100">
        <v>12</v>
      </c>
      <c r="BO36" s="100">
        <v>9129.5999999999985</v>
      </c>
      <c r="BP36" s="100">
        <v>9.365837909682039</v>
      </c>
      <c r="BQ36" s="100">
        <v>7125.5294816860951</v>
      </c>
      <c r="BR36" s="100">
        <v>7.2987851499412324</v>
      </c>
      <c r="BS36" s="100">
        <v>5552.915742075289</v>
      </c>
      <c r="BT36" s="100">
        <v>6.2151952246901843</v>
      </c>
      <c r="BU36" s="100">
        <v>4728.5205269442922</v>
      </c>
      <c r="BV36" s="100">
        <v>11.992341445783689</v>
      </c>
      <c r="BW36" s="100">
        <v>9123.7733719522294</v>
      </c>
      <c r="BX36" s="100">
        <v>9.87844794372179</v>
      </c>
      <c r="BY36" s="100">
        <v>7515.523195583537</v>
      </c>
      <c r="BZ36" s="100">
        <v>8.3806317883751689</v>
      </c>
      <c r="CA36" s="100">
        <v>6375.9846645958278</v>
      </c>
      <c r="CB36" s="100">
        <v>11.310554761580404</v>
      </c>
      <c r="CC36" s="100">
        <v>8605.0700626103699</v>
      </c>
      <c r="CD36" s="100">
        <v>14.246419962978621</v>
      </c>
      <c r="CE36" s="100">
        <v>10838.676307834134</v>
      </c>
      <c r="CF36" s="100">
        <v>4.6595560486366718</v>
      </c>
      <c r="CG36" s="100">
        <v>3544.9902418027796</v>
      </c>
      <c r="CH36" s="100">
        <v>8</v>
      </c>
      <c r="CI36" s="100">
        <v>6086.4</v>
      </c>
      <c r="CJ36" s="100">
        <v>9.6656175253617267</v>
      </c>
      <c r="CK36" s="100">
        <v>7353.6018132952013</v>
      </c>
      <c r="CL36" s="100">
        <v>10.087770376007104</v>
      </c>
      <c r="CM36" s="100">
        <v>7674.7757020662038</v>
      </c>
      <c r="CN36" s="100">
        <v>5.4535469299725881</v>
      </c>
      <c r="CO36" s="100">
        <v>4149.0585043231449</v>
      </c>
      <c r="CP36" s="100">
        <v>12.749088912143803</v>
      </c>
      <c r="CQ36" s="100">
        <v>9699.5068443590044</v>
      </c>
      <c r="CR36" s="100">
        <v>6.1563517718421314</v>
      </c>
      <c r="CS36" s="100">
        <v>4683.752428017493</v>
      </c>
      <c r="CT36" s="100">
        <v>13.859481867446151</v>
      </c>
      <c r="CU36" s="100">
        <v>10544.293804753032</v>
      </c>
    </row>
    <row r="37" spans="2:99">
      <c r="B37" s="99" t="s">
        <v>128</v>
      </c>
      <c r="C37" s="99" t="s">
        <v>203</v>
      </c>
      <c r="D37" s="100">
        <v>0.90290038126890892</v>
      </c>
      <c r="E37" s="100">
        <v>776.85548804376924</v>
      </c>
      <c r="F37" s="100">
        <v>4.5346802020219759</v>
      </c>
      <c r="G37" s="100">
        <v>3901.638845819708</v>
      </c>
      <c r="H37" s="100">
        <v>2.7154791958579314</v>
      </c>
      <c r="I37" s="100">
        <v>2336.3983001161641</v>
      </c>
      <c r="J37" s="100">
        <v>3.0535382000960878</v>
      </c>
      <c r="K37" s="100">
        <v>2627.2642673626738</v>
      </c>
      <c r="L37" s="100">
        <v>7.0603218563829389</v>
      </c>
      <c r="M37" s="100">
        <v>6074.7009252318803</v>
      </c>
      <c r="N37" s="100">
        <v>4.0622796189990167</v>
      </c>
      <c r="O37" s="100">
        <v>3495.1853841867537</v>
      </c>
      <c r="P37" s="100">
        <v>7.6741750869700693</v>
      </c>
      <c r="Q37" s="100">
        <v>6602.8602448290476</v>
      </c>
      <c r="R37" s="100">
        <v>4.2938745241981406</v>
      </c>
      <c r="S37" s="100">
        <v>3694.4496406200801</v>
      </c>
      <c r="T37" s="100">
        <v>4.8803499256874883</v>
      </c>
      <c r="U37" s="100">
        <v>4199.0530760615147</v>
      </c>
      <c r="V37" s="100">
        <v>6.3038249586770156</v>
      </c>
      <c r="W37" s="100">
        <v>5423.8109944457037</v>
      </c>
      <c r="X37" s="100">
        <v>6</v>
      </c>
      <c r="Y37" s="100">
        <v>5162.3999999999996</v>
      </c>
      <c r="Z37" s="100">
        <v>7.909944216072029</v>
      </c>
      <c r="AA37" s="100">
        <v>6805.7160035083734</v>
      </c>
      <c r="AB37" s="100">
        <v>4.9132288550228935</v>
      </c>
      <c r="AC37" s="100">
        <v>4227.3421068616972</v>
      </c>
      <c r="AD37" s="100">
        <v>7.0537785235672192</v>
      </c>
      <c r="AE37" s="100">
        <v>6069.0710416772354</v>
      </c>
      <c r="AF37" s="100">
        <v>3.5941451577006474</v>
      </c>
      <c r="AG37" s="100">
        <v>3092.4024936856367</v>
      </c>
      <c r="AH37" s="100">
        <v>3.665457561623279</v>
      </c>
      <c r="AI37" s="100">
        <v>3153.7596860206691</v>
      </c>
      <c r="AJ37" s="100">
        <v>5.7956361444611648</v>
      </c>
      <c r="AK37" s="100">
        <v>4986.5653386943859</v>
      </c>
      <c r="AL37" s="100">
        <v>3.8143754168326796</v>
      </c>
      <c r="AM37" s="100">
        <v>3281.8886086428374</v>
      </c>
      <c r="AN37" s="100">
        <v>5.4024848535721128</v>
      </c>
      <c r="AO37" s="100">
        <v>4648.2979680134458</v>
      </c>
      <c r="AP37" s="100">
        <v>4.4376507106042418</v>
      </c>
      <c r="AQ37" s="100">
        <v>3818.1546714038896</v>
      </c>
      <c r="AR37" s="100">
        <v>9</v>
      </c>
      <c r="AS37" s="100">
        <v>7743.5999999999995</v>
      </c>
      <c r="AT37" s="100">
        <v>5.4563730676939288</v>
      </c>
      <c r="AU37" s="100">
        <v>4694.6633874438567</v>
      </c>
      <c r="AV37" s="100">
        <v>4.9239579956175294</v>
      </c>
      <c r="AW37" s="100">
        <v>4236.5734594293226</v>
      </c>
      <c r="AX37" s="100">
        <v>7</v>
      </c>
      <c r="AY37" s="100">
        <v>6022.8</v>
      </c>
      <c r="AZ37" s="100">
        <v>7.6373461300888899</v>
      </c>
      <c r="BA37" s="100">
        <v>6571.1726103284809</v>
      </c>
      <c r="BB37" s="100">
        <v>3.4528862359389918</v>
      </c>
      <c r="BC37" s="100">
        <v>2970.8633174019083</v>
      </c>
      <c r="BD37" s="100">
        <v>6.0174574977059461</v>
      </c>
      <c r="BE37" s="100">
        <v>5177.4204310261957</v>
      </c>
      <c r="BF37" s="100">
        <v>6.1808607804918934</v>
      </c>
      <c r="BG37" s="100">
        <v>5318.0126155352245</v>
      </c>
      <c r="BH37" s="100">
        <v>6.1023007665038929</v>
      </c>
      <c r="BI37" s="100">
        <v>5250.4195794999496</v>
      </c>
      <c r="BJ37" s="100">
        <v>5.4335017972298019</v>
      </c>
      <c r="BK37" s="100">
        <v>4674.9849463365217</v>
      </c>
      <c r="BL37" s="100">
        <v>2.7950851175538007</v>
      </c>
      <c r="BM37" s="100">
        <v>2404.89123514329</v>
      </c>
      <c r="BN37" s="100">
        <v>10</v>
      </c>
      <c r="BO37" s="100">
        <v>8604</v>
      </c>
      <c r="BP37" s="100">
        <v>7.1643114757659863</v>
      </c>
      <c r="BQ37" s="100">
        <v>6164.1735937490548</v>
      </c>
      <c r="BR37" s="100">
        <v>2.4549645266952562</v>
      </c>
      <c r="BS37" s="100">
        <v>2112.2514787685982</v>
      </c>
      <c r="BT37" s="100">
        <v>3.4528862359389918</v>
      </c>
      <c r="BU37" s="100">
        <v>2970.8633174019083</v>
      </c>
      <c r="BV37" s="100">
        <v>7.7093623580037995</v>
      </c>
      <c r="BW37" s="100">
        <v>6633.1353728264694</v>
      </c>
      <c r="BX37" s="100">
        <v>5.3882443329391583</v>
      </c>
      <c r="BY37" s="100">
        <v>4636.0454240608515</v>
      </c>
      <c r="BZ37" s="100">
        <v>5.1573118697693348</v>
      </c>
      <c r="CA37" s="100">
        <v>4437.3511327495353</v>
      </c>
      <c r="CB37" s="100">
        <v>4.5242219046321619</v>
      </c>
      <c r="CC37" s="100">
        <v>3892.640526745512</v>
      </c>
      <c r="CD37" s="100">
        <v>7.4752213510570655</v>
      </c>
      <c r="CE37" s="100">
        <v>6431.6804504494994</v>
      </c>
      <c r="CF37" s="100">
        <v>4.1418275987881525</v>
      </c>
      <c r="CG37" s="100">
        <v>3563.6284659973262</v>
      </c>
      <c r="CH37" s="100">
        <v>6</v>
      </c>
      <c r="CI37" s="100">
        <v>5162.3999999999996</v>
      </c>
      <c r="CJ37" s="100">
        <v>7.0295400184448917</v>
      </c>
      <c r="CK37" s="100">
        <v>6048.2162318699848</v>
      </c>
      <c r="CL37" s="100">
        <v>4.9510243510183338</v>
      </c>
      <c r="CM37" s="100">
        <v>4259.861351616174</v>
      </c>
      <c r="CN37" s="100">
        <v>3.1812357091506769</v>
      </c>
      <c r="CO37" s="100">
        <v>2737.1352041532423</v>
      </c>
      <c r="CP37" s="100">
        <v>4.3688741070170272</v>
      </c>
      <c r="CQ37" s="100">
        <v>3758.9792816774502</v>
      </c>
      <c r="CR37" s="100">
        <v>6.1563517718421314</v>
      </c>
      <c r="CS37" s="100">
        <v>5296.9250644929698</v>
      </c>
      <c r="CT37" s="100">
        <v>7.1232697398312252</v>
      </c>
      <c r="CU37" s="100">
        <v>6128.8612841507857</v>
      </c>
    </row>
    <row r="38" spans="2:99">
      <c r="C38" s="99" t="s">
        <v>204</v>
      </c>
      <c r="D38" s="100">
        <v>0.90290038126890892</v>
      </c>
      <c r="E38" s="100">
        <v>1121.4022735359849</v>
      </c>
      <c r="F38" s="100">
        <v>3.975104320246845</v>
      </c>
      <c r="G38" s="100">
        <v>4937.0795657465815</v>
      </c>
      <c r="H38" s="100">
        <v>2.7290746156974492</v>
      </c>
      <c r="I38" s="100">
        <v>3389.5106726962322</v>
      </c>
      <c r="J38" s="100">
        <v>3.0535382000960878</v>
      </c>
      <c r="K38" s="100">
        <v>3792.494444519341</v>
      </c>
      <c r="L38" s="100">
        <v>6.2920988773840811</v>
      </c>
      <c r="M38" s="100">
        <v>7814.786805711029</v>
      </c>
      <c r="N38" s="100">
        <v>4.0517387154282609</v>
      </c>
      <c r="O38" s="100">
        <v>5032.2594845618996</v>
      </c>
      <c r="P38" s="100">
        <v>6.6268519048373049</v>
      </c>
      <c r="Q38" s="100">
        <v>8230.5500658079327</v>
      </c>
      <c r="R38" s="100">
        <v>4.2938745241981406</v>
      </c>
      <c r="S38" s="100">
        <v>5332.9921590540907</v>
      </c>
      <c r="T38" s="100">
        <v>4.8639598759062643</v>
      </c>
      <c r="U38" s="100">
        <v>6041.0381658755805</v>
      </c>
      <c r="V38" s="100">
        <v>7.0918030785116422</v>
      </c>
      <c r="W38" s="100">
        <v>8808.0194235114595</v>
      </c>
      <c r="X38" s="100">
        <v>7</v>
      </c>
      <c r="Y38" s="100">
        <v>8694</v>
      </c>
      <c r="Z38" s="100">
        <v>8.8986872430810333</v>
      </c>
      <c r="AA38" s="100">
        <v>11052.169555906643</v>
      </c>
      <c r="AB38" s="100">
        <v>4.3673145377981282</v>
      </c>
      <c r="AC38" s="100">
        <v>5424.2046559452756</v>
      </c>
      <c r="AD38" s="100">
        <v>7.0537785235672192</v>
      </c>
      <c r="AE38" s="100">
        <v>8760.7929262704856</v>
      </c>
      <c r="AF38" s="100">
        <v>3.5941451577006474</v>
      </c>
      <c r="AG38" s="100">
        <v>4463.9282858642036</v>
      </c>
      <c r="AH38" s="100">
        <v>3.665457561623279</v>
      </c>
      <c r="AI38" s="100">
        <v>4552.4982915361124</v>
      </c>
      <c r="AJ38" s="100">
        <v>5.7956361444611648</v>
      </c>
      <c r="AK38" s="100">
        <v>7198.180091420767</v>
      </c>
      <c r="AL38" s="100">
        <v>3.1786461806938995</v>
      </c>
      <c r="AM38" s="100">
        <v>3947.8785564218233</v>
      </c>
      <c r="AN38" s="100">
        <v>6.3405641068687109</v>
      </c>
      <c r="AO38" s="100">
        <v>7874.9806207309393</v>
      </c>
      <c r="AP38" s="100">
        <v>4.4376507106042418</v>
      </c>
      <c r="AQ38" s="100">
        <v>5511.5621825704684</v>
      </c>
      <c r="AR38" s="100">
        <v>9</v>
      </c>
      <c r="AS38" s="100">
        <v>11178</v>
      </c>
      <c r="AT38" s="100">
        <v>5.427186365470809</v>
      </c>
      <c r="AU38" s="100">
        <v>6740.5654659147449</v>
      </c>
      <c r="AV38" s="100">
        <v>4.3768515516600264</v>
      </c>
      <c r="AW38" s="100">
        <v>5436.0496271617531</v>
      </c>
      <c r="AX38" s="100">
        <v>6</v>
      </c>
      <c r="AY38" s="100">
        <v>7452</v>
      </c>
      <c r="AZ38" s="100">
        <v>7.6373461300888899</v>
      </c>
      <c r="BA38" s="100">
        <v>9485.5838935704014</v>
      </c>
      <c r="BB38" s="100">
        <v>3.4528862359389918</v>
      </c>
      <c r="BC38" s="100">
        <v>4288.4847050362278</v>
      </c>
      <c r="BD38" s="100">
        <v>6.0174574977059461</v>
      </c>
      <c r="BE38" s="100">
        <v>7473.6822121507848</v>
      </c>
      <c r="BF38" s="100">
        <v>5.4940984715483498</v>
      </c>
      <c r="BG38" s="100">
        <v>6823.6703016630509</v>
      </c>
      <c r="BH38" s="100">
        <v>6.8650883623168806</v>
      </c>
      <c r="BI38" s="100">
        <v>8526.4397459975662</v>
      </c>
      <c r="BJ38" s="100">
        <v>5.4335017972298019</v>
      </c>
      <c r="BK38" s="100">
        <v>6748.4092321594135</v>
      </c>
      <c r="BL38" s="100">
        <v>3.2609326371461007</v>
      </c>
      <c r="BM38" s="100">
        <v>4050.0783353354573</v>
      </c>
      <c r="BN38" s="100">
        <v>9</v>
      </c>
      <c r="BO38" s="100">
        <v>11178</v>
      </c>
      <c r="BP38" s="100">
        <v>7.2261435949591517</v>
      </c>
      <c r="BQ38" s="100">
        <v>8974.8703449392669</v>
      </c>
      <c r="BR38" s="100">
        <v>2.4770717225477799</v>
      </c>
      <c r="BS38" s="100">
        <v>3076.5230794043428</v>
      </c>
      <c r="BT38" s="100">
        <v>2.7623089887511929</v>
      </c>
      <c r="BU38" s="100">
        <v>3430.7877640289817</v>
      </c>
      <c r="BV38" s="100">
        <v>5.9961707228918444</v>
      </c>
      <c r="BW38" s="100">
        <v>7447.2440378316705</v>
      </c>
      <c r="BX38" s="100">
        <v>5.3882443329391583</v>
      </c>
      <c r="BY38" s="100">
        <v>6692.199461510435</v>
      </c>
      <c r="BZ38" s="100">
        <v>5.8019758534905028</v>
      </c>
      <c r="CA38" s="100">
        <v>7206.0540100352046</v>
      </c>
      <c r="CB38" s="100">
        <v>4.5242219046321619</v>
      </c>
      <c r="CC38" s="100">
        <v>5619.0836055531454</v>
      </c>
      <c r="CD38" s="100">
        <v>8.4096240199391978</v>
      </c>
      <c r="CE38" s="100">
        <v>10444.753032764484</v>
      </c>
      <c r="CF38" s="100">
        <v>3.6240991489396337</v>
      </c>
      <c r="CG38" s="100">
        <v>4501.1311429830248</v>
      </c>
      <c r="CH38" s="100">
        <v>5</v>
      </c>
      <c r="CI38" s="100">
        <v>6210</v>
      </c>
      <c r="CJ38" s="100">
        <v>7.0295400184448917</v>
      </c>
      <c r="CK38" s="100">
        <v>8730.6887029085556</v>
      </c>
      <c r="CL38" s="100">
        <v>4.914484405235517</v>
      </c>
      <c r="CM38" s="100">
        <v>6103.7896313025121</v>
      </c>
      <c r="CN38" s="100">
        <v>3.1812357091506769</v>
      </c>
      <c r="CO38" s="100">
        <v>3951.0947507651408</v>
      </c>
      <c r="CP38" s="100">
        <v>4.3500565591798015</v>
      </c>
      <c r="CQ38" s="100">
        <v>5402.7702465013135</v>
      </c>
      <c r="CR38" s="100">
        <v>5.5407165946579182</v>
      </c>
      <c r="CS38" s="100">
        <v>6881.570010565134</v>
      </c>
      <c r="CT38" s="100">
        <v>7.5637019569360007</v>
      </c>
      <c r="CU38" s="100">
        <v>9394.1178305145131</v>
      </c>
    </row>
    <row r="39" spans="2:99">
      <c r="C39" s="99" t="s">
        <v>205</v>
      </c>
      <c r="D39" s="100">
        <v>0.90160811628936566</v>
      </c>
      <c r="E39" s="100">
        <v>1283.1686711030252</v>
      </c>
      <c r="F39" s="100">
        <v>3.9692970054647523</v>
      </c>
      <c r="G39" s="100">
        <v>5649.1034981774355</v>
      </c>
      <c r="H39" s="100">
        <v>2.7290746156974492</v>
      </c>
      <c r="I39" s="100">
        <v>3884.0189930606098</v>
      </c>
      <c r="J39" s="100">
        <v>3.0535382000960878</v>
      </c>
      <c r="K39" s="100">
        <v>4345.7955663767525</v>
      </c>
      <c r="L39" s="100">
        <v>6.3286776387323869</v>
      </c>
      <c r="M39" s="100">
        <v>9006.9740154439332</v>
      </c>
      <c r="N39" s="100">
        <v>4.7252716840711786</v>
      </c>
      <c r="O39" s="100">
        <v>6725.0066607701019</v>
      </c>
      <c r="P39" s="100">
        <v>6.6268519048373049</v>
      </c>
      <c r="Q39" s="100">
        <v>9431.3356309644532</v>
      </c>
      <c r="R39" s="100">
        <v>3.2715318038977008</v>
      </c>
      <c r="S39" s="100">
        <v>4656.0440633072076</v>
      </c>
      <c r="T39" s="100">
        <v>4.8803499256874883</v>
      </c>
      <c r="U39" s="100">
        <v>6945.7140142384333</v>
      </c>
      <c r="V39" s="100">
        <v>7.0918030785116422</v>
      </c>
      <c r="W39" s="100">
        <v>10093.054141337769</v>
      </c>
      <c r="X39" s="100">
        <v>6</v>
      </c>
      <c r="Y39" s="100">
        <v>8539.2000000000007</v>
      </c>
      <c r="Z39" s="100">
        <v>7.909944216072029</v>
      </c>
      <c r="AA39" s="100">
        <v>11257.432608313711</v>
      </c>
      <c r="AB39" s="100">
        <v>4.9132288550228935</v>
      </c>
      <c r="AC39" s="100">
        <v>6992.5073064685821</v>
      </c>
      <c r="AD39" s="100">
        <v>7.0537785235672192</v>
      </c>
      <c r="AE39" s="100">
        <v>10038.937594740866</v>
      </c>
      <c r="AF39" s="100">
        <v>2.8753161261605178</v>
      </c>
      <c r="AG39" s="100">
        <v>4092.1499107516493</v>
      </c>
      <c r="AH39" s="100">
        <v>3.665457561623279</v>
      </c>
      <c r="AI39" s="100">
        <v>5216.6792017022508</v>
      </c>
      <c r="AJ39" s="100">
        <v>5.1803150275291925</v>
      </c>
      <c r="AK39" s="100">
        <v>7372.6243471795469</v>
      </c>
      <c r="AL39" s="100">
        <v>3.8143754168326796</v>
      </c>
      <c r="AM39" s="100">
        <v>5428.6190932362697</v>
      </c>
      <c r="AN39" s="100">
        <v>6.4024848535721128</v>
      </c>
      <c r="AO39" s="100">
        <v>9112.0164436038322</v>
      </c>
      <c r="AP39" s="100">
        <v>4.4376507106042418</v>
      </c>
      <c r="AQ39" s="100">
        <v>6315.6644913319569</v>
      </c>
      <c r="AR39" s="100">
        <v>9</v>
      </c>
      <c r="AS39" s="100">
        <v>12808.800000000001</v>
      </c>
      <c r="AT39" s="100">
        <v>5.427186365470809</v>
      </c>
      <c r="AU39" s="100">
        <v>7723.9716353380554</v>
      </c>
      <c r="AV39" s="100">
        <v>4.3768515516600264</v>
      </c>
      <c r="AW39" s="100">
        <v>6229.1351283225495</v>
      </c>
      <c r="AX39" s="100">
        <v>7</v>
      </c>
      <c r="AY39" s="100">
        <v>9962.4</v>
      </c>
      <c r="AZ39" s="100">
        <v>7.6373461300888899</v>
      </c>
      <c r="BA39" s="100">
        <v>10869.471012342508</v>
      </c>
      <c r="BB39" s="100">
        <v>2.7623089887511929</v>
      </c>
      <c r="BC39" s="100">
        <v>3931.3181527906977</v>
      </c>
      <c r="BD39" s="100">
        <v>6.0174574977059461</v>
      </c>
      <c r="BE39" s="100">
        <v>8564.0455107351027</v>
      </c>
      <c r="BF39" s="100">
        <v>5.4940984715483498</v>
      </c>
      <c r="BG39" s="100">
        <v>7819.2009447076116</v>
      </c>
      <c r="BH39" s="100">
        <v>6.8650883623168806</v>
      </c>
      <c r="BI39" s="100">
        <v>9770.3937572493851</v>
      </c>
      <c r="BJ39" s="100">
        <v>5.4335017972298019</v>
      </c>
      <c r="BK39" s="100">
        <v>7732.9597578174544</v>
      </c>
      <c r="BL39" s="100">
        <v>2.7950851175538007</v>
      </c>
      <c r="BM39" s="100">
        <v>3977.9651393025692</v>
      </c>
      <c r="BN39" s="100">
        <v>9</v>
      </c>
      <c r="BO39" s="100">
        <v>12808.800000000001</v>
      </c>
      <c r="BP39" s="100">
        <v>7.2261435949591517</v>
      </c>
      <c r="BQ39" s="100">
        <v>10284.247564345866</v>
      </c>
      <c r="BR39" s="100">
        <v>2.432857330842733</v>
      </c>
      <c r="BS39" s="100">
        <v>3462.4425532553778</v>
      </c>
      <c r="BT39" s="100">
        <v>3.4528862359389918</v>
      </c>
      <c r="BU39" s="100">
        <v>4914.1476909883731</v>
      </c>
      <c r="BV39" s="100">
        <v>6.8527665404478215</v>
      </c>
      <c r="BW39" s="100">
        <v>9752.857340365339</v>
      </c>
      <c r="BX39" s="100">
        <v>5.3882443329391583</v>
      </c>
      <c r="BY39" s="100">
        <v>7668.5493346390103</v>
      </c>
      <c r="BZ39" s="100">
        <v>4.5126478860481685</v>
      </c>
      <c r="CA39" s="100">
        <v>6422.4004714237535</v>
      </c>
      <c r="CB39" s="100">
        <v>5.2782588887375219</v>
      </c>
      <c r="CC39" s="100">
        <v>7512.0180504512418</v>
      </c>
      <c r="CD39" s="100">
        <v>7.4752213510570655</v>
      </c>
      <c r="CE39" s="100">
        <v>10638.735026824415</v>
      </c>
      <c r="CF39" s="100">
        <v>3.6240991489396337</v>
      </c>
      <c r="CG39" s="100">
        <v>5157.8179087708868</v>
      </c>
      <c r="CH39" s="100">
        <v>5</v>
      </c>
      <c r="CI39" s="100">
        <v>7116</v>
      </c>
      <c r="CJ39" s="100">
        <v>7.0295400184448917</v>
      </c>
      <c r="CK39" s="100">
        <v>10004.44135425077</v>
      </c>
      <c r="CL39" s="100">
        <v>5.6117653201653823</v>
      </c>
      <c r="CM39" s="100">
        <v>7986.6644036593725</v>
      </c>
      <c r="CN39" s="100">
        <v>3.1812357091506769</v>
      </c>
      <c r="CO39" s="100">
        <v>4527.5346612632438</v>
      </c>
      <c r="CP39" s="100">
        <v>4.3500565591798015</v>
      </c>
      <c r="CQ39" s="100">
        <v>6191.0004950246939</v>
      </c>
      <c r="CR39" s="100">
        <v>6.1563517718421314</v>
      </c>
      <c r="CS39" s="100">
        <v>8761.7198416857209</v>
      </c>
      <c r="CT39" s="100">
        <v>7.5637019569360007</v>
      </c>
      <c r="CU39" s="100">
        <v>10764.660625111317</v>
      </c>
    </row>
    <row r="40" spans="2:99">
      <c r="C40" s="99" t="s">
        <v>206</v>
      </c>
      <c r="D40" s="100">
        <v>0.90290038126890892</v>
      </c>
      <c r="E40" s="100">
        <v>654.4221963437052</v>
      </c>
      <c r="F40" s="100">
        <v>4.5346802020219759</v>
      </c>
      <c r="G40" s="100">
        <v>3286.736210425528</v>
      </c>
      <c r="H40" s="100">
        <v>3.3671581551433789</v>
      </c>
      <c r="I40" s="100">
        <v>2440.5162308479207</v>
      </c>
      <c r="J40" s="100">
        <v>3.0535382000960878</v>
      </c>
      <c r="K40" s="100">
        <v>2213.2044874296444</v>
      </c>
      <c r="L40" s="100">
        <v>5.597033421081834</v>
      </c>
      <c r="M40" s="100">
        <v>4056.7298236001129</v>
      </c>
      <c r="N40" s="100">
        <v>4.0622796189990167</v>
      </c>
      <c r="O40" s="100">
        <v>2944.3402678504872</v>
      </c>
      <c r="P40" s="100">
        <v>8.5025315750747339</v>
      </c>
      <c r="Q40" s="100">
        <v>6162.6348856141667</v>
      </c>
      <c r="R40" s="100">
        <v>3.6395681634186006</v>
      </c>
      <c r="S40" s="100">
        <v>2637.9590048458017</v>
      </c>
      <c r="T40" s="100">
        <v>4.8639598759062643</v>
      </c>
      <c r="U40" s="100">
        <v>3525.3981180568603</v>
      </c>
      <c r="V40" s="100">
        <v>6.3038249586770156</v>
      </c>
      <c r="W40" s="100">
        <v>4569.0123300491005</v>
      </c>
      <c r="X40" s="100">
        <v>6</v>
      </c>
      <c r="Y40" s="100">
        <v>4348.7999999999993</v>
      </c>
      <c r="Z40" s="100">
        <v>7.909944216072029</v>
      </c>
      <c r="AA40" s="100">
        <v>5733.127567809006</v>
      </c>
      <c r="AB40" s="100">
        <v>4.9132288550228935</v>
      </c>
      <c r="AC40" s="100">
        <v>3561.1082741205928</v>
      </c>
      <c r="AD40" s="100">
        <v>6.1720562081213171</v>
      </c>
      <c r="AE40" s="100">
        <v>4473.5063396463302</v>
      </c>
      <c r="AF40" s="100">
        <v>3.5941451577006474</v>
      </c>
      <c r="AG40" s="100">
        <v>2605.036410301429</v>
      </c>
      <c r="AH40" s="100">
        <v>4.3985490739479349</v>
      </c>
      <c r="AI40" s="100">
        <v>3188.0683687974629</v>
      </c>
      <c r="AJ40" s="100">
        <v>5.7669976897863409</v>
      </c>
      <c r="AK40" s="100">
        <v>4179.9199255571393</v>
      </c>
      <c r="AL40" s="100">
        <v>3.8143754168326796</v>
      </c>
      <c r="AM40" s="100">
        <v>2764.6593021203262</v>
      </c>
      <c r="AN40" s="100">
        <v>6.4024848535721128</v>
      </c>
      <c r="AO40" s="100">
        <v>4640.5210218690672</v>
      </c>
      <c r="AP40" s="100">
        <v>4.4376507106042418</v>
      </c>
      <c r="AQ40" s="100">
        <v>3216.4092350459541</v>
      </c>
      <c r="AR40" s="100">
        <v>9</v>
      </c>
      <c r="AS40" s="100">
        <v>6523.2</v>
      </c>
      <c r="AT40" s="100">
        <v>6.6891261746133726</v>
      </c>
      <c r="AU40" s="100">
        <v>4848.2786513597721</v>
      </c>
      <c r="AV40" s="100">
        <v>4.3768515516600264</v>
      </c>
      <c r="AW40" s="100">
        <v>3172.342004643187</v>
      </c>
      <c r="AX40" s="100">
        <v>7</v>
      </c>
      <c r="AY40" s="100">
        <v>5073.5999999999995</v>
      </c>
      <c r="AZ40" s="100">
        <v>7.6373461300888899</v>
      </c>
      <c r="BA40" s="100">
        <v>5535.548475088427</v>
      </c>
      <c r="BB40" s="100">
        <v>3.4528862359389918</v>
      </c>
      <c r="BC40" s="100">
        <v>2502.6519438085811</v>
      </c>
      <c r="BD40" s="100">
        <v>6.0174574977059461</v>
      </c>
      <c r="BE40" s="100">
        <v>4361.4531943372695</v>
      </c>
      <c r="BF40" s="100">
        <v>5.4940984715483498</v>
      </c>
      <c r="BG40" s="100">
        <v>3982.1225721782439</v>
      </c>
      <c r="BH40" s="100">
        <v>7.8433696295807538</v>
      </c>
      <c r="BI40" s="100">
        <v>5684.8743075201301</v>
      </c>
      <c r="BJ40" s="100">
        <v>5.4335017972298019</v>
      </c>
      <c r="BK40" s="100">
        <v>3938.2021026321599</v>
      </c>
      <c r="BL40" s="100">
        <v>3.2609326371461007</v>
      </c>
      <c r="BM40" s="100">
        <v>2363.5239754034938</v>
      </c>
      <c r="BN40" s="100">
        <v>8</v>
      </c>
      <c r="BO40" s="100">
        <v>5798.4</v>
      </c>
      <c r="BP40" s="100">
        <v>6.2335865865891646</v>
      </c>
      <c r="BQ40" s="100">
        <v>4518.1035579598265</v>
      </c>
      <c r="BR40" s="100">
        <v>2.4770717225477799</v>
      </c>
      <c r="BS40" s="100">
        <v>1795.3815845026306</v>
      </c>
      <c r="BT40" s="100">
        <v>3.4528862359389918</v>
      </c>
      <c r="BU40" s="100">
        <v>2502.6519438085811</v>
      </c>
      <c r="BV40" s="100">
        <v>6.8527665404478215</v>
      </c>
      <c r="BW40" s="100">
        <v>4966.8851885165805</v>
      </c>
      <c r="BX40" s="100">
        <v>5.3882443329391583</v>
      </c>
      <c r="BY40" s="100">
        <v>3905.3994925143015</v>
      </c>
      <c r="BZ40" s="100">
        <v>5.8019758534905028</v>
      </c>
      <c r="CA40" s="100">
        <v>4205.2720986099166</v>
      </c>
      <c r="CB40" s="100">
        <v>5.2782588887375219</v>
      </c>
      <c r="CC40" s="100">
        <v>3825.6820425569558</v>
      </c>
      <c r="CD40" s="100">
        <v>9.3440266888213319</v>
      </c>
      <c r="CE40" s="100">
        <v>6772.5505440577008</v>
      </c>
      <c r="CF40" s="100">
        <v>3.6240991489396337</v>
      </c>
      <c r="CG40" s="100">
        <v>2626.7470631514461</v>
      </c>
      <c r="CH40" s="100">
        <v>6</v>
      </c>
      <c r="CI40" s="100">
        <v>4348.7999999999993</v>
      </c>
      <c r="CJ40" s="100">
        <v>7.0295400184448917</v>
      </c>
      <c r="CK40" s="100">
        <v>5095.0106053688569</v>
      </c>
      <c r="CL40" s="100">
        <v>5.6848452117310151</v>
      </c>
      <c r="CM40" s="100">
        <v>4120.3758094626392</v>
      </c>
      <c r="CN40" s="100">
        <v>2.726773464986294</v>
      </c>
      <c r="CO40" s="100">
        <v>1976.3654074220658</v>
      </c>
      <c r="CP40" s="100">
        <v>4.3688741070170272</v>
      </c>
      <c r="CQ40" s="100">
        <v>3166.559952765941</v>
      </c>
      <c r="CR40" s="100">
        <v>5.5407165946579182</v>
      </c>
      <c r="CS40" s="100">
        <v>4015.9113878080589</v>
      </c>
      <c r="CT40" s="100">
        <v>7.1232697398312252</v>
      </c>
      <c r="CU40" s="100">
        <v>5162.9459074296719</v>
      </c>
    </row>
    <row r="41" spans="2:99">
      <c r="C41" s="99" t="s">
        <v>207</v>
      </c>
      <c r="D41" s="100">
        <v>0.90160811628936566</v>
      </c>
      <c r="E41" s="100">
        <v>595.0613567509813</v>
      </c>
      <c r="F41" s="100">
        <v>3.9722006628557991</v>
      </c>
      <c r="G41" s="100">
        <v>2621.6524374848273</v>
      </c>
      <c r="H41" s="100">
        <v>3.3671581551433789</v>
      </c>
      <c r="I41" s="100">
        <v>2222.32438239463</v>
      </c>
      <c r="J41" s="100">
        <v>3.0535382000960878</v>
      </c>
      <c r="K41" s="100">
        <v>2015.3352120634179</v>
      </c>
      <c r="L41" s="100">
        <v>6.3286776387323869</v>
      </c>
      <c r="M41" s="100">
        <v>4176.927241563375</v>
      </c>
      <c r="N41" s="100">
        <v>4.7252716840711786</v>
      </c>
      <c r="O41" s="100">
        <v>3118.6793114869779</v>
      </c>
      <c r="P41" s="100">
        <v>7.6741750869700693</v>
      </c>
      <c r="Q41" s="100">
        <v>5064.9555574002461</v>
      </c>
      <c r="R41" s="100">
        <v>3.6088984667918589</v>
      </c>
      <c r="S41" s="100">
        <v>2381.8729880826268</v>
      </c>
      <c r="T41" s="100">
        <v>4.1901813862098001</v>
      </c>
      <c r="U41" s="100">
        <v>2765.519714898468</v>
      </c>
      <c r="V41" s="100">
        <v>7.0918030785116422</v>
      </c>
      <c r="W41" s="100">
        <v>4680.5900318176837</v>
      </c>
      <c r="X41" s="100">
        <v>7</v>
      </c>
      <c r="Y41" s="100">
        <v>4620</v>
      </c>
      <c r="Z41" s="100">
        <v>8.8986872430810333</v>
      </c>
      <c r="AA41" s="100">
        <v>5873.1335804334822</v>
      </c>
      <c r="AB41" s="100">
        <v>4.3673145377981282</v>
      </c>
      <c r="AC41" s="100">
        <v>2882.4275949467647</v>
      </c>
      <c r="AD41" s="100">
        <v>7.0537785235672192</v>
      </c>
      <c r="AE41" s="100">
        <v>4655.4938255543648</v>
      </c>
      <c r="AF41" s="100">
        <v>3.5941451577006474</v>
      </c>
      <c r="AG41" s="100">
        <v>2372.1358040824271</v>
      </c>
      <c r="AH41" s="100">
        <v>3.665457561623279</v>
      </c>
      <c r="AI41" s="100">
        <v>2419.201990671364</v>
      </c>
      <c r="AJ41" s="100">
        <v>5.7669976897863409</v>
      </c>
      <c r="AK41" s="100">
        <v>3806.2184752589851</v>
      </c>
      <c r="AL41" s="100">
        <v>3.8143754168326796</v>
      </c>
      <c r="AM41" s="100">
        <v>2517.4877751095687</v>
      </c>
      <c r="AN41" s="100">
        <v>6.3715244802204118</v>
      </c>
      <c r="AO41" s="100">
        <v>4205.2061569454718</v>
      </c>
      <c r="AP41" s="100">
        <v>4.4376507106042418</v>
      </c>
      <c r="AQ41" s="100">
        <v>2928.8494689987997</v>
      </c>
      <c r="AR41" s="100">
        <v>8</v>
      </c>
      <c r="AS41" s="100">
        <v>5280</v>
      </c>
      <c r="AT41" s="100">
        <v>6.0581562700420912</v>
      </c>
      <c r="AU41" s="100">
        <v>3998.3831382277804</v>
      </c>
      <c r="AV41" s="100">
        <v>4.3768515516600264</v>
      </c>
      <c r="AW41" s="100">
        <v>2888.7220240956176</v>
      </c>
      <c r="AX41" s="100">
        <v>7</v>
      </c>
      <c r="AY41" s="100">
        <v>4620</v>
      </c>
      <c r="AZ41" s="100">
        <v>7.6373461300888899</v>
      </c>
      <c r="BA41" s="100">
        <v>5040.6484458586674</v>
      </c>
      <c r="BB41" s="100">
        <v>3.4528862359389918</v>
      </c>
      <c r="BC41" s="100">
        <v>2278.9049157197346</v>
      </c>
      <c r="BD41" s="100">
        <v>6.8770942830925099</v>
      </c>
      <c r="BE41" s="100">
        <v>4538.8822268410568</v>
      </c>
      <c r="BF41" s="100">
        <v>5.4940984715483498</v>
      </c>
      <c r="BG41" s="100">
        <v>3626.104991221911</v>
      </c>
      <c r="BH41" s="100">
        <v>6.8650883623168806</v>
      </c>
      <c r="BI41" s="100">
        <v>4530.9583191291413</v>
      </c>
      <c r="BJ41" s="100">
        <v>5.4335017972298019</v>
      </c>
      <c r="BK41" s="100">
        <v>3586.111186171669</v>
      </c>
      <c r="BL41" s="100">
        <v>2.7950851175538007</v>
      </c>
      <c r="BM41" s="100">
        <v>1844.7561775855086</v>
      </c>
      <c r="BN41" s="100">
        <v>9</v>
      </c>
      <c r="BO41" s="100">
        <v>5940</v>
      </c>
      <c r="BP41" s="100">
        <v>7.1643114757659863</v>
      </c>
      <c r="BQ41" s="100">
        <v>4728.445574005551</v>
      </c>
      <c r="BR41" s="100">
        <v>2.4549645266952562</v>
      </c>
      <c r="BS41" s="100">
        <v>1620.2765876188691</v>
      </c>
      <c r="BT41" s="100">
        <v>3.4528862359389918</v>
      </c>
      <c r="BU41" s="100">
        <v>2278.9049157197346</v>
      </c>
      <c r="BV41" s="100">
        <v>6.8527665404478215</v>
      </c>
      <c r="BW41" s="100">
        <v>4522.8259166955622</v>
      </c>
      <c r="BX41" s="100">
        <v>5.3882443329391583</v>
      </c>
      <c r="BY41" s="100">
        <v>3556.2412597398443</v>
      </c>
      <c r="BZ41" s="100">
        <v>5.1573118697693348</v>
      </c>
      <c r="CA41" s="100">
        <v>3403.825834047761</v>
      </c>
      <c r="CB41" s="100">
        <v>5.2782588887375219</v>
      </c>
      <c r="CC41" s="100">
        <v>3483.6508665667643</v>
      </c>
      <c r="CD41" s="100">
        <v>9.3440266888213319</v>
      </c>
      <c r="CE41" s="100">
        <v>6167.0576146220792</v>
      </c>
      <c r="CF41" s="100">
        <v>3.6240991489396337</v>
      </c>
      <c r="CG41" s="100">
        <v>2391.905438300158</v>
      </c>
      <c r="CH41" s="100">
        <v>6</v>
      </c>
      <c r="CI41" s="100">
        <v>3960</v>
      </c>
      <c r="CJ41" s="100">
        <v>6.1508475161392813</v>
      </c>
      <c r="CK41" s="100">
        <v>4059.5593606519255</v>
      </c>
      <c r="CL41" s="100">
        <v>5.6483052659481983</v>
      </c>
      <c r="CM41" s="100">
        <v>3727.8814755258109</v>
      </c>
      <c r="CN41" s="100">
        <v>3.6356979533150584</v>
      </c>
      <c r="CO41" s="100">
        <v>2399.5606491879385</v>
      </c>
      <c r="CP41" s="100">
        <v>4.3688741070170272</v>
      </c>
      <c r="CQ41" s="100">
        <v>2883.4569106312379</v>
      </c>
      <c r="CR41" s="100">
        <v>6.1563517718421314</v>
      </c>
      <c r="CS41" s="100">
        <v>4063.1921694158068</v>
      </c>
      <c r="CT41" s="100">
        <v>8.4855701184938166</v>
      </c>
      <c r="CU41" s="100">
        <v>5600.4762782059188</v>
      </c>
    </row>
    <row r="42" spans="2:99">
      <c r="C42" s="99" t="s">
        <v>208</v>
      </c>
      <c r="D42" s="100">
        <v>0.72387102299057871</v>
      </c>
      <c r="E42" s="100">
        <v>612.39488545002962</v>
      </c>
      <c r="F42" s="100">
        <v>3.9722006628557991</v>
      </c>
      <c r="G42" s="100">
        <v>3360.481760776006</v>
      </c>
      <c r="H42" s="100">
        <v>2.7290746156974492</v>
      </c>
      <c r="I42" s="100">
        <v>2308.7971248800422</v>
      </c>
      <c r="J42" s="100">
        <v>3.81692275012011</v>
      </c>
      <c r="K42" s="100">
        <v>3229.116646601613</v>
      </c>
      <c r="L42" s="100">
        <v>6.3652564000806917</v>
      </c>
      <c r="M42" s="100">
        <v>5385.0069144682648</v>
      </c>
      <c r="N42" s="100">
        <v>4.0622796189990167</v>
      </c>
      <c r="O42" s="100">
        <v>3436.6885576731679</v>
      </c>
      <c r="P42" s="100">
        <v>6.6268519048373049</v>
      </c>
      <c r="Q42" s="100">
        <v>5606.3167114923599</v>
      </c>
      <c r="R42" s="100">
        <v>3.6702378600453422</v>
      </c>
      <c r="S42" s="100">
        <v>3105.0212295983597</v>
      </c>
      <c r="T42" s="100">
        <v>4.8639598759062643</v>
      </c>
      <c r="U42" s="100">
        <v>4114.9100550166995</v>
      </c>
      <c r="V42" s="100">
        <v>7.0918030785116422</v>
      </c>
      <c r="W42" s="100">
        <v>5999.665404420849</v>
      </c>
      <c r="X42" s="100">
        <v>6</v>
      </c>
      <c r="Y42" s="100">
        <v>5076</v>
      </c>
      <c r="Z42" s="100">
        <v>7.909944216072029</v>
      </c>
      <c r="AA42" s="100">
        <v>6691.8128067969365</v>
      </c>
      <c r="AB42" s="100">
        <v>4.3673145377981282</v>
      </c>
      <c r="AC42" s="100">
        <v>3694.7480989772166</v>
      </c>
      <c r="AD42" s="100">
        <v>7.0537785235672192</v>
      </c>
      <c r="AE42" s="100">
        <v>5967.4966309378678</v>
      </c>
      <c r="AF42" s="100">
        <v>3.5941451577006474</v>
      </c>
      <c r="AG42" s="100">
        <v>3040.6468034147479</v>
      </c>
      <c r="AH42" s="100">
        <v>4.3985490739479349</v>
      </c>
      <c r="AI42" s="100">
        <v>3721.1725165599528</v>
      </c>
      <c r="AJ42" s="100">
        <v>5.1803150275291925</v>
      </c>
      <c r="AK42" s="100">
        <v>4382.546513289697</v>
      </c>
      <c r="AL42" s="100">
        <v>3.1786461806938995</v>
      </c>
      <c r="AM42" s="100">
        <v>2689.1346688670392</v>
      </c>
      <c r="AN42" s="100">
        <v>6.4024848535721128</v>
      </c>
      <c r="AO42" s="100">
        <v>5416.5021861220075</v>
      </c>
      <c r="AP42" s="100">
        <v>4.4376507106042418</v>
      </c>
      <c r="AQ42" s="100">
        <v>3754.2525011711887</v>
      </c>
      <c r="AR42" s="100">
        <v>9</v>
      </c>
      <c r="AS42" s="100">
        <v>7614</v>
      </c>
      <c r="AT42" s="100">
        <v>6.0581562700420912</v>
      </c>
      <c r="AU42" s="100">
        <v>5125.2002044556093</v>
      </c>
      <c r="AV42" s="100">
        <v>4.9239579956175294</v>
      </c>
      <c r="AW42" s="100">
        <v>4165.6684642924301</v>
      </c>
      <c r="AX42" s="100">
        <v>6</v>
      </c>
      <c r="AY42" s="100">
        <v>5076</v>
      </c>
      <c r="AZ42" s="100">
        <v>7.6373461300888899</v>
      </c>
      <c r="BA42" s="100">
        <v>6461.1948260552008</v>
      </c>
      <c r="BB42" s="100">
        <v>3.4528862359389918</v>
      </c>
      <c r="BC42" s="100">
        <v>2921.1417556043871</v>
      </c>
      <c r="BD42" s="100">
        <v>6.0174574977059461</v>
      </c>
      <c r="BE42" s="100">
        <v>5090.7690430592302</v>
      </c>
      <c r="BF42" s="100">
        <v>6.1808607804918934</v>
      </c>
      <c r="BG42" s="100">
        <v>5229.0082202961421</v>
      </c>
      <c r="BH42" s="100">
        <v>6.1023007665038929</v>
      </c>
      <c r="BI42" s="100">
        <v>5162.5464484622935</v>
      </c>
      <c r="BJ42" s="100">
        <v>5.4335017972298019</v>
      </c>
      <c r="BK42" s="100">
        <v>4596.7425204564124</v>
      </c>
      <c r="BL42" s="100">
        <v>3.2609326371461007</v>
      </c>
      <c r="BM42" s="100">
        <v>2758.7490110256012</v>
      </c>
      <c r="BN42" s="100">
        <v>9</v>
      </c>
      <c r="BO42" s="100">
        <v>7614</v>
      </c>
      <c r="BP42" s="100">
        <v>6.2026705269925824</v>
      </c>
      <c r="BQ42" s="100">
        <v>5247.4592658357251</v>
      </c>
      <c r="BR42" s="100">
        <v>2.4770717225477799</v>
      </c>
      <c r="BS42" s="100">
        <v>2095.6026772754217</v>
      </c>
      <c r="BT42" s="100">
        <v>3.4528862359389918</v>
      </c>
      <c r="BU42" s="100">
        <v>2921.1417556043871</v>
      </c>
      <c r="BV42" s="100">
        <v>6.8527665404478215</v>
      </c>
      <c r="BW42" s="100">
        <v>5797.4404932188572</v>
      </c>
      <c r="BX42" s="100">
        <v>6.2862850550956839</v>
      </c>
      <c r="BY42" s="100">
        <v>5318.1971566109487</v>
      </c>
      <c r="BZ42" s="100">
        <v>5.8019758534905028</v>
      </c>
      <c r="CA42" s="100">
        <v>4908.4715720529657</v>
      </c>
      <c r="CB42" s="100">
        <v>5.2782588887375219</v>
      </c>
      <c r="CC42" s="100">
        <v>4465.4070198719437</v>
      </c>
      <c r="CD42" s="100">
        <v>8.4096240199391978</v>
      </c>
      <c r="CE42" s="100">
        <v>7114.5419208685616</v>
      </c>
      <c r="CF42" s="100">
        <v>4.1418275987881525</v>
      </c>
      <c r="CG42" s="100">
        <v>3503.986148574777</v>
      </c>
      <c r="CH42" s="100">
        <v>5</v>
      </c>
      <c r="CI42" s="100">
        <v>4230</v>
      </c>
      <c r="CJ42" s="100">
        <v>6.1508475161392813</v>
      </c>
      <c r="CK42" s="100">
        <v>5203.6169986538316</v>
      </c>
      <c r="CL42" s="100">
        <v>4.8779444594527011</v>
      </c>
      <c r="CM42" s="100">
        <v>4126.7410126969853</v>
      </c>
      <c r="CN42" s="100">
        <v>3.1812357091506769</v>
      </c>
      <c r="CO42" s="100">
        <v>2691.3254099414726</v>
      </c>
      <c r="CP42" s="100">
        <v>4.3876916548542528</v>
      </c>
      <c r="CQ42" s="100">
        <v>3711.9871400066977</v>
      </c>
      <c r="CR42" s="100">
        <v>6.7719869490263447</v>
      </c>
      <c r="CS42" s="100">
        <v>5729.1009588762872</v>
      </c>
      <c r="CT42" s="100">
        <v>7.1232697398312252</v>
      </c>
      <c r="CU42" s="100">
        <v>6026.2861998972166</v>
      </c>
    </row>
    <row r="43" spans="2:99">
      <c r="C43" s="99" t="s">
        <v>209</v>
      </c>
      <c r="D43" s="100">
        <v>0.72387102299057871</v>
      </c>
      <c r="E43" s="100">
        <v>740.08573390556762</v>
      </c>
      <c r="F43" s="100">
        <v>4.5346802020219759</v>
      </c>
      <c r="G43" s="100">
        <v>4636.2570385472682</v>
      </c>
      <c r="H43" s="100">
        <v>3.3535627353038611</v>
      </c>
      <c r="I43" s="100">
        <v>3428.6825405746677</v>
      </c>
      <c r="J43" s="100">
        <v>3.81692275012011</v>
      </c>
      <c r="K43" s="100">
        <v>3902.4218197228001</v>
      </c>
      <c r="L43" s="100">
        <v>5.597033421081834</v>
      </c>
      <c r="M43" s="100">
        <v>5722.4069697140667</v>
      </c>
      <c r="N43" s="100">
        <v>4.0622796189990167</v>
      </c>
      <c r="O43" s="100">
        <v>4153.2746824645947</v>
      </c>
      <c r="P43" s="100">
        <v>7.6741750869700693</v>
      </c>
      <c r="Q43" s="100">
        <v>7846.0766089181989</v>
      </c>
      <c r="R43" s="100">
        <v>3.2715318038977008</v>
      </c>
      <c r="S43" s="100">
        <v>3344.8141163050091</v>
      </c>
      <c r="T43" s="100">
        <v>4.8639598759062643</v>
      </c>
      <c r="U43" s="100">
        <v>4972.9125771265644</v>
      </c>
      <c r="V43" s="100">
        <v>7.0918030785116422</v>
      </c>
      <c r="W43" s="100">
        <v>7250.6594674703028</v>
      </c>
      <c r="X43" s="100">
        <v>6</v>
      </c>
      <c r="Y43" s="100">
        <v>6134.4</v>
      </c>
      <c r="Z43" s="100">
        <v>8.8986872430810333</v>
      </c>
      <c r="AA43" s="100">
        <v>9098.0178373260478</v>
      </c>
      <c r="AB43" s="100">
        <v>4.3673145377981282</v>
      </c>
      <c r="AC43" s="100">
        <v>4465.142383444806</v>
      </c>
      <c r="AD43" s="100">
        <v>7.0537785235672192</v>
      </c>
      <c r="AE43" s="100">
        <v>7211.783162495125</v>
      </c>
      <c r="AF43" s="100">
        <v>3.5941451577006474</v>
      </c>
      <c r="AG43" s="100">
        <v>3674.6540092331416</v>
      </c>
      <c r="AH43" s="100">
        <v>3.665457561623279</v>
      </c>
      <c r="AI43" s="100">
        <v>3747.5638110036402</v>
      </c>
      <c r="AJ43" s="100">
        <v>5.7669976897863409</v>
      </c>
      <c r="AK43" s="100">
        <v>5896.1784380375548</v>
      </c>
      <c r="AL43" s="100">
        <v>3.1786461806938995</v>
      </c>
      <c r="AM43" s="100">
        <v>3249.8478551414428</v>
      </c>
      <c r="AN43" s="100">
        <v>6.3715244802204118</v>
      </c>
      <c r="AO43" s="100">
        <v>6514.2466285773489</v>
      </c>
      <c r="AP43" s="100">
        <v>3.8037006090893506</v>
      </c>
      <c r="AQ43" s="100">
        <v>3888.9035027329519</v>
      </c>
      <c r="AR43" s="100">
        <v>8</v>
      </c>
      <c r="AS43" s="100">
        <v>8179.2</v>
      </c>
      <c r="AT43" s="100">
        <v>6.0581562700420912</v>
      </c>
      <c r="AU43" s="100">
        <v>6193.8589704910337</v>
      </c>
      <c r="AV43" s="100">
        <v>4.3768515516600264</v>
      </c>
      <c r="AW43" s="100">
        <v>4474.8930264172104</v>
      </c>
      <c r="AX43" s="100">
        <v>6</v>
      </c>
      <c r="AY43" s="100">
        <v>6134.4</v>
      </c>
      <c r="AZ43" s="100">
        <v>7.6373461300888899</v>
      </c>
      <c r="BA43" s="100">
        <v>7808.4226834028805</v>
      </c>
      <c r="BB43" s="100">
        <v>3.4528862359389918</v>
      </c>
      <c r="BC43" s="100">
        <v>3530.2308876240249</v>
      </c>
      <c r="BD43" s="100">
        <v>6.0174574977059461</v>
      </c>
      <c r="BE43" s="100">
        <v>6152.2485456545592</v>
      </c>
      <c r="BF43" s="100">
        <v>6.1808607804918934</v>
      </c>
      <c r="BG43" s="100">
        <v>6319.3120619749116</v>
      </c>
      <c r="BH43" s="100">
        <v>7.080582033767767</v>
      </c>
      <c r="BI43" s="100">
        <v>7239.1870713241651</v>
      </c>
      <c r="BJ43" s="100">
        <v>4.6572872547684021</v>
      </c>
      <c r="BK43" s="100">
        <v>4761.6104892752146</v>
      </c>
      <c r="BL43" s="100">
        <v>3.2609326371461007</v>
      </c>
      <c r="BM43" s="100">
        <v>3333.9775282181731</v>
      </c>
      <c r="BN43" s="100">
        <v>10</v>
      </c>
      <c r="BO43" s="100">
        <v>10224</v>
      </c>
      <c r="BP43" s="100">
        <v>7.1643114757659863</v>
      </c>
      <c r="BQ43" s="100">
        <v>7324.7920528231443</v>
      </c>
      <c r="BR43" s="100">
        <v>2.4549645266952562</v>
      </c>
      <c r="BS43" s="100">
        <v>2509.9557320932299</v>
      </c>
      <c r="BT43" s="100">
        <v>3.4528862359389918</v>
      </c>
      <c r="BU43" s="100">
        <v>3530.2308876240249</v>
      </c>
      <c r="BV43" s="100">
        <v>6.8527665404478215</v>
      </c>
      <c r="BW43" s="100">
        <v>7006.2685109538525</v>
      </c>
      <c r="BX43" s="100">
        <v>5.3882443329391583</v>
      </c>
      <c r="BY43" s="100">
        <v>5508.941005996995</v>
      </c>
      <c r="BZ43" s="100">
        <v>5.1573118697693348</v>
      </c>
      <c r="CA43" s="100">
        <v>5272.8356556521676</v>
      </c>
      <c r="CB43" s="100">
        <v>4.5242219046321619</v>
      </c>
      <c r="CC43" s="100">
        <v>4625.5644752959224</v>
      </c>
      <c r="CD43" s="100">
        <v>7.4752213510570655</v>
      </c>
      <c r="CE43" s="100">
        <v>7642.6663093207435</v>
      </c>
      <c r="CF43" s="100">
        <v>3.6240991489396337</v>
      </c>
      <c r="CG43" s="100">
        <v>3705.2789698758816</v>
      </c>
      <c r="CH43" s="100">
        <v>5</v>
      </c>
      <c r="CI43" s="100">
        <v>5112</v>
      </c>
      <c r="CJ43" s="100">
        <v>6.1508475161392813</v>
      </c>
      <c r="CK43" s="100">
        <v>6288.6265005008008</v>
      </c>
      <c r="CL43" s="100">
        <v>4.9510243510183338</v>
      </c>
      <c r="CM43" s="100">
        <v>5061.9272964811444</v>
      </c>
      <c r="CN43" s="100">
        <v>3.1812357091506769</v>
      </c>
      <c r="CO43" s="100">
        <v>3252.4953890356519</v>
      </c>
      <c r="CP43" s="100">
        <v>4.3688741070170272</v>
      </c>
      <c r="CQ43" s="100">
        <v>4466.7368870142082</v>
      </c>
      <c r="CR43" s="100">
        <v>6.1563517718421314</v>
      </c>
      <c r="CS43" s="100">
        <v>6294.2540515313949</v>
      </c>
      <c r="CT43" s="100">
        <v>7.1232697398312252</v>
      </c>
      <c r="CU43" s="100">
        <v>7282.8309820034447</v>
      </c>
    </row>
    <row r="44" spans="2:99">
      <c r="C44" s="99" t="s">
        <v>210</v>
      </c>
      <c r="D44" s="100">
        <v>0.90290038126890892</v>
      </c>
      <c r="E44" s="100">
        <v>923.12534980933242</v>
      </c>
      <c r="F44" s="100">
        <v>4.5317765446309295</v>
      </c>
      <c r="G44" s="100">
        <v>4633.2883392306621</v>
      </c>
      <c r="H44" s="100">
        <v>3.3807535749828967</v>
      </c>
      <c r="I44" s="100">
        <v>3456.4824550625135</v>
      </c>
      <c r="J44" s="100">
        <v>3.81692275012011</v>
      </c>
      <c r="K44" s="100">
        <v>3902.4218197228001</v>
      </c>
      <c r="L44" s="100">
        <v>6.3286776387323869</v>
      </c>
      <c r="M44" s="100">
        <v>6470.4400178399919</v>
      </c>
      <c r="N44" s="100">
        <v>4.0622796189990167</v>
      </c>
      <c r="O44" s="100">
        <v>4153.2746824645947</v>
      </c>
      <c r="P44" s="100">
        <v>6.8458185988654074</v>
      </c>
      <c r="Q44" s="100">
        <v>6999.164935479992</v>
      </c>
      <c r="R44" s="100">
        <v>3.6395681634186006</v>
      </c>
      <c r="S44" s="100">
        <v>3721.0944902791771</v>
      </c>
      <c r="T44" s="100">
        <v>4.8639598759062643</v>
      </c>
      <c r="U44" s="100">
        <v>4972.9125771265644</v>
      </c>
      <c r="V44" s="100">
        <v>6.3038249586770156</v>
      </c>
      <c r="W44" s="100">
        <v>6445.0306377513807</v>
      </c>
      <c r="X44" s="100">
        <v>7</v>
      </c>
      <c r="Y44" s="100">
        <v>7156.8</v>
      </c>
      <c r="Z44" s="100">
        <v>7.909944216072029</v>
      </c>
      <c r="AA44" s="100">
        <v>8087.1269665120426</v>
      </c>
      <c r="AB44" s="100">
        <v>4.3673145377981282</v>
      </c>
      <c r="AC44" s="100">
        <v>4465.142383444806</v>
      </c>
      <c r="AD44" s="100">
        <v>6.1720562081213171</v>
      </c>
      <c r="AE44" s="100">
        <v>6310.3102671832348</v>
      </c>
      <c r="AF44" s="100">
        <v>3.5941451577006474</v>
      </c>
      <c r="AG44" s="100">
        <v>3674.6540092331416</v>
      </c>
      <c r="AH44" s="100">
        <v>3.665457561623279</v>
      </c>
      <c r="AI44" s="100">
        <v>3747.5638110036402</v>
      </c>
      <c r="AJ44" s="100">
        <v>6.410957261393138</v>
      </c>
      <c r="AK44" s="100">
        <v>6554.5627040483441</v>
      </c>
      <c r="AL44" s="100">
        <v>3.1786461806938995</v>
      </c>
      <c r="AM44" s="100">
        <v>3249.8478551414428</v>
      </c>
      <c r="AN44" s="100">
        <v>6.3715244802204118</v>
      </c>
      <c r="AO44" s="100">
        <v>6514.2466285773489</v>
      </c>
      <c r="AP44" s="100">
        <v>3.8037006090893506</v>
      </c>
      <c r="AQ44" s="100">
        <v>3888.9035027329519</v>
      </c>
      <c r="AR44" s="100">
        <v>8</v>
      </c>
      <c r="AS44" s="100">
        <v>8179.2</v>
      </c>
      <c r="AT44" s="100">
        <v>5.4563730676939288</v>
      </c>
      <c r="AU44" s="100">
        <v>5578.5958244102731</v>
      </c>
      <c r="AV44" s="100">
        <v>4.9239579956175294</v>
      </c>
      <c r="AW44" s="100">
        <v>5034.2546547193624</v>
      </c>
      <c r="AX44" s="100">
        <v>6</v>
      </c>
      <c r="AY44" s="100">
        <v>6134.4</v>
      </c>
      <c r="AZ44" s="100">
        <v>7.6373461300888899</v>
      </c>
      <c r="BA44" s="100">
        <v>7808.4226834028805</v>
      </c>
      <c r="BB44" s="100">
        <v>3.4528862359389918</v>
      </c>
      <c r="BC44" s="100">
        <v>3530.2308876240249</v>
      </c>
      <c r="BD44" s="100">
        <v>6.0174574977059461</v>
      </c>
      <c r="BE44" s="100">
        <v>6152.2485456545592</v>
      </c>
      <c r="BF44" s="100">
        <v>6.1808607804918934</v>
      </c>
      <c r="BG44" s="100">
        <v>6319.3120619749116</v>
      </c>
      <c r="BH44" s="100">
        <v>7.0651896286641316</v>
      </c>
      <c r="BI44" s="100">
        <v>7223.4498763462079</v>
      </c>
      <c r="BJ44" s="100">
        <v>5.4335017972298019</v>
      </c>
      <c r="BK44" s="100">
        <v>5555.212237487749</v>
      </c>
      <c r="BL44" s="100">
        <v>3.2609326371461007</v>
      </c>
      <c r="BM44" s="100">
        <v>3333.9775282181731</v>
      </c>
      <c r="BN44" s="100">
        <v>9</v>
      </c>
      <c r="BO44" s="100">
        <v>9201.6</v>
      </c>
      <c r="BP44" s="100">
        <v>6.2645026461857478</v>
      </c>
      <c r="BQ44" s="100">
        <v>6404.8275054603082</v>
      </c>
      <c r="BR44" s="100">
        <v>2.4549645266952562</v>
      </c>
      <c r="BS44" s="100">
        <v>2509.9557320932299</v>
      </c>
      <c r="BT44" s="100">
        <v>3.4528862359389918</v>
      </c>
      <c r="BU44" s="100">
        <v>3530.2308876240249</v>
      </c>
      <c r="BV44" s="100">
        <v>6.8527665404478215</v>
      </c>
      <c r="BW44" s="100">
        <v>7006.2685109538525</v>
      </c>
      <c r="BX44" s="100">
        <v>5.3882443329391583</v>
      </c>
      <c r="BY44" s="100">
        <v>5508.941005996995</v>
      </c>
      <c r="BZ44" s="100">
        <v>5.8019758534905028</v>
      </c>
      <c r="CA44" s="100">
        <v>5931.9401126086896</v>
      </c>
      <c r="CB44" s="100">
        <v>4.5242219046321619</v>
      </c>
      <c r="CC44" s="100">
        <v>4625.5644752959224</v>
      </c>
      <c r="CD44" s="100">
        <v>8.4096240199391978</v>
      </c>
      <c r="CE44" s="100">
        <v>8597.9995979858359</v>
      </c>
      <c r="CF44" s="100">
        <v>3.6240991489396337</v>
      </c>
      <c r="CG44" s="100">
        <v>3705.2789698758816</v>
      </c>
      <c r="CH44" s="100">
        <v>5</v>
      </c>
      <c r="CI44" s="100">
        <v>5112</v>
      </c>
      <c r="CJ44" s="100">
        <v>6.1508475161392813</v>
      </c>
      <c r="CK44" s="100">
        <v>6288.6265005008008</v>
      </c>
      <c r="CL44" s="100">
        <v>4.914484405235517</v>
      </c>
      <c r="CM44" s="100">
        <v>5024.5688559127921</v>
      </c>
      <c r="CN44" s="100">
        <v>3.1812357091506769</v>
      </c>
      <c r="CO44" s="100">
        <v>3252.4953890356519</v>
      </c>
      <c r="CP44" s="100">
        <v>4.3688741070170272</v>
      </c>
      <c r="CQ44" s="100">
        <v>4466.7368870142082</v>
      </c>
      <c r="CR44" s="100">
        <v>5.5407165946579182</v>
      </c>
      <c r="CS44" s="100">
        <v>5664.8286463782551</v>
      </c>
      <c r="CT44" s="100">
        <v>7.1232697398312252</v>
      </c>
      <c r="CU44" s="100">
        <v>7282.8309820034447</v>
      </c>
    </row>
    <row r="45" spans="2:99">
      <c r="C45" s="99" t="s">
        <v>211</v>
      </c>
      <c r="D45" s="100">
        <v>0.90160811628936566</v>
      </c>
      <c r="E45" s="100">
        <v>1126.2888588686756</v>
      </c>
      <c r="F45" s="100">
        <v>3.9722006628557991</v>
      </c>
      <c r="G45" s="100">
        <v>4962.0730680394645</v>
      </c>
      <c r="H45" s="100">
        <v>2.7154791958579314</v>
      </c>
      <c r="I45" s="100">
        <v>3392.176611465728</v>
      </c>
      <c r="J45" s="100">
        <v>3.0535382000960878</v>
      </c>
      <c r="K45" s="100">
        <v>3814.4799195600331</v>
      </c>
      <c r="L45" s="100">
        <v>5.597033421081834</v>
      </c>
      <c r="M45" s="100">
        <v>6991.8141496154276</v>
      </c>
      <c r="N45" s="100">
        <v>4.0622796189990167</v>
      </c>
      <c r="O45" s="100">
        <v>5074.5997000535717</v>
      </c>
      <c r="P45" s="100">
        <v>7.4552083929419686</v>
      </c>
      <c r="Q45" s="100">
        <v>9313.0463244631082</v>
      </c>
      <c r="R45" s="100">
        <v>3.6088984667918589</v>
      </c>
      <c r="S45" s="100">
        <v>4508.2359647163903</v>
      </c>
      <c r="T45" s="100">
        <v>4.8639598759062643</v>
      </c>
      <c r="U45" s="100">
        <v>6076.0586769821057</v>
      </c>
      <c r="V45" s="100">
        <v>6.3038249586770156</v>
      </c>
      <c r="W45" s="100">
        <v>7874.7381383793281</v>
      </c>
      <c r="X45" s="100">
        <v>6</v>
      </c>
      <c r="Y45" s="100">
        <v>7495.2000000000007</v>
      </c>
      <c r="Z45" s="100">
        <v>8.8986872430810333</v>
      </c>
      <c r="AA45" s="100">
        <v>11116.240104056827</v>
      </c>
      <c r="AB45" s="100">
        <v>4.9132288550228935</v>
      </c>
      <c r="AC45" s="100">
        <v>6137.6054856945984</v>
      </c>
      <c r="AD45" s="100">
        <v>7.0537785235672192</v>
      </c>
      <c r="AE45" s="100">
        <v>8811.5801316401703</v>
      </c>
      <c r="AF45" s="100">
        <v>3.5941451577006474</v>
      </c>
      <c r="AG45" s="100">
        <v>4489.8061309996492</v>
      </c>
      <c r="AH45" s="100">
        <v>3.665457561623279</v>
      </c>
      <c r="AI45" s="100">
        <v>4578.8895859798004</v>
      </c>
      <c r="AJ45" s="100">
        <v>5.7956361444611648</v>
      </c>
      <c r="AK45" s="100">
        <v>7239.9086716608872</v>
      </c>
      <c r="AL45" s="100">
        <v>3.1786461806938995</v>
      </c>
      <c r="AM45" s="100">
        <v>3970.7648089228192</v>
      </c>
      <c r="AN45" s="100">
        <v>5.3715244802204118</v>
      </c>
      <c r="AO45" s="100">
        <v>6710.1083806913384</v>
      </c>
      <c r="AP45" s="100">
        <v>4.4376507106042418</v>
      </c>
      <c r="AQ45" s="100">
        <v>5543.5132676868188</v>
      </c>
      <c r="AR45" s="100">
        <v>9</v>
      </c>
      <c r="AS45" s="100">
        <v>11242.800000000001</v>
      </c>
      <c r="AT45" s="100">
        <v>6.087342972265211</v>
      </c>
      <c r="AU45" s="100">
        <v>7604.3088409537022</v>
      </c>
      <c r="AV45" s="100">
        <v>4.3768515516600264</v>
      </c>
      <c r="AW45" s="100">
        <v>5467.562958333705</v>
      </c>
      <c r="AX45" s="100">
        <v>7</v>
      </c>
      <c r="AY45" s="100">
        <v>8744.4</v>
      </c>
      <c r="AZ45" s="100">
        <v>6.7887521156345692</v>
      </c>
      <c r="BA45" s="100">
        <v>8480.5091428507039</v>
      </c>
      <c r="BB45" s="100">
        <v>2.7623089887511929</v>
      </c>
      <c r="BC45" s="100">
        <v>3450.6763887479901</v>
      </c>
      <c r="BD45" s="100">
        <v>6.0174574977059461</v>
      </c>
      <c r="BE45" s="100">
        <v>7517.0079061342685</v>
      </c>
      <c r="BF45" s="100">
        <v>4.8073361626048063</v>
      </c>
      <c r="BG45" s="100">
        <v>6005.3243343259246</v>
      </c>
      <c r="BH45" s="100">
        <v>6.8650883623168806</v>
      </c>
      <c r="BI45" s="100">
        <v>8575.8683822062467</v>
      </c>
      <c r="BJ45" s="100">
        <v>5.4335017972298019</v>
      </c>
      <c r="BK45" s="100">
        <v>6787.530445099469</v>
      </c>
      <c r="BL45" s="100">
        <v>2.7950851175538007</v>
      </c>
      <c r="BM45" s="100">
        <v>3491.6203288482079</v>
      </c>
      <c r="BN45" s="100">
        <v>9</v>
      </c>
      <c r="BO45" s="100">
        <v>11242.800000000001</v>
      </c>
      <c r="BP45" s="100">
        <v>6.2026705269925824</v>
      </c>
      <c r="BQ45" s="100">
        <v>7748.3760223191339</v>
      </c>
      <c r="BR45" s="100">
        <v>2.4549645266952562</v>
      </c>
      <c r="BS45" s="100">
        <v>3066.7416867477141</v>
      </c>
      <c r="BT45" s="100">
        <v>3.4528862359389918</v>
      </c>
      <c r="BU45" s="100">
        <v>4313.3454859349886</v>
      </c>
      <c r="BV45" s="100">
        <v>5.9961707228918444</v>
      </c>
      <c r="BW45" s="100">
        <v>7490.4164670364926</v>
      </c>
      <c r="BX45" s="100">
        <v>6.2862850550956839</v>
      </c>
      <c r="BY45" s="100">
        <v>7852.8272908255285</v>
      </c>
      <c r="BZ45" s="100">
        <v>5.1573118697693348</v>
      </c>
      <c r="CA45" s="100">
        <v>6442.5139877158535</v>
      </c>
      <c r="CB45" s="100">
        <v>4.5242219046321619</v>
      </c>
      <c r="CC45" s="100">
        <v>5651.658003266497</v>
      </c>
      <c r="CD45" s="100">
        <v>7.4752213510570655</v>
      </c>
      <c r="CE45" s="100">
        <v>9338.0465117404874</v>
      </c>
      <c r="CF45" s="100">
        <v>3.6240991489396337</v>
      </c>
      <c r="CG45" s="100">
        <v>4527.224656855391</v>
      </c>
      <c r="CH45" s="100">
        <v>5</v>
      </c>
      <c r="CI45" s="100">
        <v>6246</v>
      </c>
      <c r="CJ45" s="100">
        <v>6.1508475161392813</v>
      </c>
      <c r="CK45" s="100">
        <v>7683.6387171611905</v>
      </c>
      <c r="CL45" s="100">
        <v>5.6117653201653823</v>
      </c>
      <c r="CM45" s="100">
        <v>7010.2172379505955</v>
      </c>
      <c r="CN45" s="100">
        <v>2.726773464986294</v>
      </c>
      <c r="CO45" s="100">
        <v>3406.2854124608784</v>
      </c>
      <c r="CP45" s="100">
        <v>4.3688741070170272</v>
      </c>
      <c r="CQ45" s="100">
        <v>5457.5975344856706</v>
      </c>
      <c r="CR45" s="100">
        <v>5.5407165946579182</v>
      </c>
      <c r="CS45" s="100">
        <v>6921.4631700466716</v>
      </c>
      <c r="CT45" s="100">
        <v>7.1232697398312252</v>
      </c>
      <c r="CU45" s="100">
        <v>8898.3885589971669</v>
      </c>
    </row>
    <row r="46" spans="2:99">
      <c r="C46" s="99" t="s">
        <v>212</v>
      </c>
      <c r="D46" s="100">
        <v>0.90160811628936566</v>
      </c>
      <c r="E46" s="100">
        <v>1092.7490369427112</v>
      </c>
      <c r="F46" s="100">
        <v>4.5375838594130231</v>
      </c>
      <c r="G46" s="100">
        <v>5499.5516376085843</v>
      </c>
      <c r="H46" s="100">
        <v>3.3535627353038611</v>
      </c>
      <c r="I46" s="100">
        <v>4064.5180351882796</v>
      </c>
      <c r="J46" s="100">
        <v>3.81692275012011</v>
      </c>
      <c r="K46" s="100">
        <v>4626.1103731455732</v>
      </c>
      <c r="L46" s="100">
        <v>6.3652564000806917</v>
      </c>
      <c r="M46" s="100">
        <v>7714.6907568977986</v>
      </c>
      <c r="N46" s="100">
        <v>4.0517387154282609</v>
      </c>
      <c r="O46" s="100">
        <v>4910.7073230990518</v>
      </c>
      <c r="P46" s="100">
        <v>6.6268519048373049</v>
      </c>
      <c r="Q46" s="100">
        <v>8031.7445086628131</v>
      </c>
      <c r="R46" s="100">
        <v>3.6088984667918589</v>
      </c>
      <c r="S46" s="100">
        <v>4373.9849417517325</v>
      </c>
      <c r="T46" s="100">
        <v>4.8639598759062643</v>
      </c>
      <c r="U46" s="100">
        <v>5895.119369598392</v>
      </c>
      <c r="V46" s="100">
        <v>7.0918030785116422</v>
      </c>
      <c r="W46" s="100">
        <v>8595.2653311561098</v>
      </c>
      <c r="X46" s="100">
        <v>6</v>
      </c>
      <c r="Y46" s="100">
        <v>7272</v>
      </c>
      <c r="Z46" s="100">
        <v>8.8986872430810333</v>
      </c>
      <c r="AA46" s="100">
        <v>10785.208938614212</v>
      </c>
      <c r="AB46" s="100">
        <v>4.3673145377981282</v>
      </c>
      <c r="AC46" s="100">
        <v>5293.1852198113311</v>
      </c>
      <c r="AD46" s="100">
        <v>6.1720562081213171</v>
      </c>
      <c r="AE46" s="100">
        <v>7480.5321242430364</v>
      </c>
      <c r="AF46" s="100">
        <v>3.5941451577006474</v>
      </c>
      <c r="AG46" s="100">
        <v>4356.1039311331842</v>
      </c>
      <c r="AH46" s="100">
        <v>3.665457561623279</v>
      </c>
      <c r="AI46" s="100">
        <v>4442.5345646874139</v>
      </c>
      <c r="AJ46" s="100">
        <v>5.1516765728543676</v>
      </c>
      <c r="AK46" s="100">
        <v>6243.8320062994935</v>
      </c>
      <c r="AL46" s="100">
        <v>3.1786461806938995</v>
      </c>
      <c r="AM46" s="100">
        <v>3852.5191710010063</v>
      </c>
      <c r="AN46" s="100">
        <v>6.3405641068687109</v>
      </c>
      <c r="AO46" s="100">
        <v>7684.7636975248779</v>
      </c>
      <c r="AP46" s="100">
        <v>4.4376507106042418</v>
      </c>
      <c r="AQ46" s="100">
        <v>5378.4326612523409</v>
      </c>
      <c r="AR46" s="100">
        <v>8</v>
      </c>
      <c r="AS46" s="100">
        <v>9696</v>
      </c>
      <c r="AT46" s="100">
        <v>5.3979996632476892</v>
      </c>
      <c r="AU46" s="100">
        <v>6542.3755918561992</v>
      </c>
      <c r="AV46" s="100">
        <v>4.3768515516600264</v>
      </c>
      <c r="AW46" s="100">
        <v>5304.7440806119521</v>
      </c>
      <c r="AX46" s="100">
        <v>6</v>
      </c>
      <c r="AY46" s="100">
        <v>7272</v>
      </c>
      <c r="AZ46" s="100">
        <v>6.7887521156345692</v>
      </c>
      <c r="BA46" s="100">
        <v>8227.9675641490976</v>
      </c>
      <c r="BB46" s="100">
        <v>3.4528862359389918</v>
      </c>
      <c r="BC46" s="100">
        <v>4184.8981179580578</v>
      </c>
      <c r="BD46" s="100">
        <v>6.0174574977059461</v>
      </c>
      <c r="BE46" s="100">
        <v>7293.1584872196063</v>
      </c>
      <c r="BF46" s="100">
        <v>5.4940984715483498</v>
      </c>
      <c r="BG46" s="100">
        <v>6658.8473475166002</v>
      </c>
      <c r="BH46" s="100">
        <v>7.080582033767767</v>
      </c>
      <c r="BI46" s="100">
        <v>8581.6654249265339</v>
      </c>
      <c r="BJ46" s="100">
        <v>5.4335017972298019</v>
      </c>
      <c r="BK46" s="100">
        <v>6585.4041782425202</v>
      </c>
      <c r="BL46" s="100">
        <v>2.7950851175538007</v>
      </c>
      <c r="BM46" s="100">
        <v>3387.6431624752063</v>
      </c>
      <c r="BN46" s="100">
        <v>9</v>
      </c>
      <c r="BO46" s="100">
        <v>10908</v>
      </c>
      <c r="BP46" s="100">
        <v>6.2335865865891646</v>
      </c>
      <c r="BQ46" s="100">
        <v>7555.1069429460676</v>
      </c>
      <c r="BR46" s="100">
        <v>2.4770717225477799</v>
      </c>
      <c r="BS46" s="100">
        <v>3002.2109277279092</v>
      </c>
      <c r="BT46" s="100">
        <v>3.4528862359389918</v>
      </c>
      <c r="BU46" s="100">
        <v>4184.8981179580578</v>
      </c>
      <c r="BV46" s="100">
        <v>5.9961707228918444</v>
      </c>
      <c r="BW46" s="100">
        <v>7267.3589161449154</v>
      </c>
      <c r="BX46" s="100">
        <v>5.3882443329391583</v>
      </c>
      <c r="BY46" s="100">
        <v>6530.5521315222595</v>
      </c>
      <c r="BZ46" s="100">
        <v>5.1573118697693348</v>
      </c>
      <c r="CA46" s="100">
        <v>6250.661986160434</v>
      </c>
      <c r="CB46" s="100">
        <v>4.5242219046321619</v>
      </c>
      <c r="CC46" s="100">
        <v>5483.3569484141799</v>
      </c>
      <c r="CD46" s="100">
        <v>8.4096240199391978</v>
      </c>
      <c r="CE46" s="100">
        <v>10192.464312166308</v>
      </c>
      <c r="CF46" s="100">
        <v>3.6240991489396337</v>
      </c>
      <c r="CG46" s="100">
        <v>4392.4081685148358</v>
      </c>
      <c r="CH46" s="100">
        <v>5</v>
      </c>
      <c r="CI46" s="100">
        <v>6060</v>
      </c>
      <c r="CJ46" s="100">
        <v>6.1508475161392813</v>
      </c>
      <c r="CK46" s="100">
        <v>7454.8271895608086</v>
      </c>
      <c r="CL46" s="100">
        <v>4.8779444594527011</v>
      </c>
      <c r="CM46" s="100">
        <v>5912.0686848566738</v>
      </c>
      <c r="CN46" s="100">
        <v>2.726773464986294</v>
      </c>
      <c r="CO46" s="100">
        <v>3304.8494395633884</v>
      </c>
      <c r="CP46" s="100">
        <v>4.3688741070170272</v>
      </c>
      <c r="CQ46" s="100">
        <v>5295.0754177046365</v>
      </c>
      <c r="CR46" s="100">
        <v>5.5407165946579182</v>
      </c>
      <c r="CS46" s="100">
        <v>6715.3485127253971</v>
      </c>
      <c r="CT46" s="100">
        <v>8.0136784573101298</v>
      </c>
      <c r="CU46" s="100">
        <v>9712.5782902598767</v>
      </c>
    </row>
    <row r="47" spans="2:99">
      <c r="C47" s="99" t="s">
        <v>213</v>
      </c>
      <c r="D47" s="100">
        <v>0.90290038126890892</v>
      </c>
      <c r="E47" s="100">
        <v>1379.2706224263852</v>
      </c>
      <c r="F47" s="100">
        <v>4.5375838594130231</v>
      </c>
      <c r="G47" s="100">
        <v>6931.6131036393335</v>
      </c>
      <c r="H47" s="100">
        <v>2.7154791958579314</v>
      </c>
      <c r="I47" s="100">
        <v>4148.166019592576</v>
      </c>
      <c r="J47" s="100">
        <v>3.0535382000960878</v>
      </c>
      <c r="K47" s="100">
        <v>4664.5849544667835</v>
      </c>
      <c r="L47" s="100">
        <v>5.597033421081834</v>
      </c>
      <c r="M47" s="100">
        <v>8550.0282540446096</v>
      </c>
      <c r="N47" s="100">
        <v>4.7147307805004228</v>
      </c>
      <c r="O47" s="100">
        <v>7202.2227402924455</v>
      </c>
      <c r="P47" s="100">
        <v>7.4552083929419686</v>
      </c>
      <c r="Q47" s="100">
        <v>11388.576341058151</v>
      </c>
      <c r="R47" s="100">
        <v>4.2938745241981406</v>
      </c>
      <c r="S47" s="100">
        <v>6559.322723165079</v>
      </c>
      <c r="T47" s="100">
        <v>4.1737913364285761</v>
      </c>
      <c r="U47" s="100">
        <v>6375.8836455282926</v>
      </c>
      <c r="V47" s="100">
        <v>6.3038249586770156</v>
      </c>
      <c r="W47" s="100">
        <v>9629.7230068750087</v>
      </c>
      <c r="X47" s="100">
        <v>6</v>
      </c>
      <c r="Y47" s="100">
        <v>9165.5999999999985</v>
      </c>
      <c r="Z47" s="100">
        <v>8.8986872430810333</v>
      </c>
      <c r="AA47" s="100">
        <v>13593.634632530586</v>
      </c>
      <c r="AB47" s="100">
        <v>4.9132288550228935</v>
      </c>
      <c r="AC47" s="100">
        <v>7505.4483989329719</v>
      </c>
      <c r="AD47" s="100">
        <v>7.0537785235672192</v>
      </c>
      <c r="AE47" s="100">
        <v>10775.352072601283</v>
      </c>
      <c r="AF47" s="100">
        <v>3.5941451577006474</v>
      </c>
      <c r="AG47" s="100">
        <v>5490.4161429035084</v>
      </c>
      <c r="AH47" s="100">
        <v>3.665457561623279</v>
      </c>
      <c r="AI47" s="100">
        <v>5599.3529711357205</v>
      </c>
      <c r="AJ47" s="100">
        <v>5.7669976897863409</v>
      </c>
      <c r="AK47" s="100">
        <v>8809.6656709176132</v>
      </c>
      <c r="AL47" s="100">
        <v>3.1786461806938995</v>
      </c>
      <c r="AM47" s="100">
        <v>4855.6999056280001</v>
      </c>
      <c r="AN47" s="100">
        <v>6.3715244802204118</v>
      </c>
      <c r="AO47" s="100">
        <v>9733.1407959847002</v>
      </c>
      <c r="AP47" s="100">
        <v>4.4376507106042418</v>
      </c>
      <c r="AQ47" s="100">
        <v>6778.9552255190392</v>
      </c>
      <c r="AR47" s="100">
        <v>9</v>
      </c>
      <c r="AS47" s="100">
        <v>13748.4</v>
      </c>
      <c r="AT47" s="100">
        <v>5.4563730676939288</v>
      </c>
      <c r="AU47" s="100">
        <v>8335.1554982092457</v>
      </c>
      <c r="AV47" s="100">
        <v>4.3768515516600264</v>
      </c>
      <c r="AW47" s="100">
        <v>6686.0784303158562</v>
      </c>
      <c r="AX47" s="100">
        <v>6</v>
      </c>
      <c r="AY47" s="100">
        <v>9165.5999999999985</v>
      </c>
      <c r="AZ47" s="100">
        <v>6.7887521156345692</v>
      </c>
      <c r="BA47" s="100">
        <v>10370.497731843367</v>
      </c>
      <c r="BB47" s="100">
        <v>2.7623089887511929</v>
      </c>
      <c r="BC47" s="100">
        <v>4219.7032112163224</v>
      </c>
      <c r="BD47" s="100">
        <v>5.1578207123193822</v>
      </c>
      <c r="BE47" s="100">
        <v>7879.0869201390879</v>
      </c>
      <c r="BF47" s="100">
        <v>5.4940984715483498</v>
      </c>
      <c r="BG47" s="100">
        <v>8392.7848251372579</v>
      </c>
      <c r="BH47" s="100">
        <v>6.1023007665038929</v>
      </c>
      <c r="BI47" s="100">
        <v>9321.8746509113462</v>
      </c>
      <c r="BJ47" s="100">
        <v>5.4335017972298019</v>
      </c>
      <c r="BK47" s="100">
        <v>8300.2173454482454</v>
      </c>
      <c r="BL47" s="100">
        <v>2.7950851175538007</v>
      </c>
      <c r="BM47" s="100">
        <v>4269.7720255751856</v>
      </c>
      <c r="BN47" s="100">
        <v>9</v>
      </c>
      <c r="BO47" s="100">
        <v>13748.4</v>
      </c>
      <c r="BP47" s="100">
        <v>6.2335865865891646</v>
      </c>
      <c r="BQ47" s="100">
        <v>9522.4268696736071</v>
      </c>
      <c r="BR47" s="100">
        <v>2.432857330842733</v>
      </c>
      <c r="BS47" s="100">
        <v>3716.4328585953585</v>
      </c>
      <c r="BT47" s="100">
        <v>3.4528862359389918</v>
      </c>
      <c r="BU47" s="100">
        <v>5274.6290140204037</v>
      </c>
      <c r="BV47" s="100">
        <v>6.8527665404478215</v>
      </c>
      <c r="BW47" s="100">
        <v>10468.286167188091</v>
      </c>
      <c r="BX47" s="100">
        <v>5.3882443329391583</v>
      </c>
      <c r="BY47" s="100">
        <v>8231.0820429978576</v>
      </c>
      <c r="BZ47" s="100">
        <v>5.1573118697693348</v>
      </c>
      <c r="CA47" s="100">
        <v>7878.3096122596353</v>
      </c>
      <c r="CB47" s="100">
        <v>5.2782588887375219</v>
      </c>
      <c r="CC47" s="100">
        <v>8063.0682784354376</v>
      </c>
      <c r="CD47" s="100">
        <v>8.4096240199391978</v>
      </c>
      <c r="CE47" s="100">
        <v>12846.541652859118</v>
      </c>
      <c r="CF47" s="100">
        <v>4.1418275987881525</v>
      </c>
      <c r="CG47" s="100">
        <v>6327.0558399087813</v>
      </c>
      <c r="CH47" s="100">
        <v>5</v>
      </c>
      <c r="CI47" s="100">
        <v>7638</v>
      </c>
      <c r="CJ47" s="100">
        <v>6.1508475161392813</v>
      </c>
      <c r="CK47" s="100">
        <v>9396.0346656543661</v>
      </c>
      <c r="CL47" s="100">
        <v>4.914484405235517</v>
      </c>
      <c r="CM47" s="100">
        <v>7507.3663774377756</v>
      </c>
      <c r="CN47" s="100">
        <v>3.1812357091506769</v>
      </c>
      <c r="CO47" s="100">
        <v>4859.6556692985741</v>
      </c>
      <c r="CP47" s="100">
        <v>4.3500565591798015</v>
      </c>
      <c r="CQ47" s="100">
        <v>6645.146399803064</v>
      </c>
      <c r="CR47" s="100">
        <v>6.1563517718421314</v>
      </c>
      <c r="CS47" s="100">
        <v>9404.4429666660399</v>
      </c>
      <c r="CT47" s="100">
        <v>7.1232697398312252</v>
      </c>
      <c r="CU47" s="100">
        <v>10881.50685456618</v>
      </c>
    </row>
    <row r="48" spans="2:99">
      <c r="C48" s="99" t="s">
        <v>214</v>
      </c>
      <c r="D48" s="100">
        <v>0.90160811628936566</v>
      </c>
      <c r="E48" s="100">
        <v>782.23520169265362</v>
      </c>
      <c r="F48" s="100">
        <v>4.5346802020219759</v>
      </c>
      <c r="G48" s="100">
        <v>3934.2885432742664</v>
      </c>
      <c r="H48" s="100">
        <v>3.3535627353038611</v>
      </c>
      <c r="I48" s="100">
        <v>2909.5510291496298</v>
      </c>
      <c r="J48" s="100">
        <v>3.0535382000960878</v>
      </c>
      <c r="K48" s="100">
        <v>2649.2497424033659</v>
      </c>
      <c r="L48" s="100">
        <v>6.3286776387323869</v>
      </c>
      <c r="M48" s="100">
        <v>5490.7607193642189</v>
      </c>
      <c r="N48" s="100">
        <v>4.7252716840711786</v>
      </c>
      <c r="O48" s="100">
        <v>4099.6457131001544</v>
      </c>
      <c r="P48" s="100">
        <v>7.4552083929419686</v>
      </c>
      <c r="Q48" s="100">
        <v>6468.1388017164518</v>
      </c>
      <c r="R48" s="100">
        <v>3.6395681634186006</v>
      </c>
      <c r="S48" s="100">
        <v>3157.6893385819781</v>
      </c>
      <c r="T48" s="100">
        <v>4.8639598759062643</v>
      </c>
      <c r="U48" s="100">
        <v>4219.9715883362751</v>
      </c>
      <c r="V48" s="100">
        <v>6.3038249586770156</v>
      </c>
      <c r="W48" s="100">
        <v>5469.1985341481786</v>
      </c>
      <c r="X48" s="100">
        <v>6</v>
      </c>
      <c r="Y48" s="100">
        <v>5205.6000000000004</v>
      </c>
      <c r="Z48" s="100">
        <v>8.8986872430810333</v>
      </c>
      <c r="AA48" s="100">
        <v>7720.5010520971045</v>
      </c>
      <c r="AB48" s="100">
        <v>4.9132288550228935</v>
      </c>
      <c r="AC48" s="100">
        <v>4262.7173546178628</v>
      </c>
      <c r="AD48" s="100">
        <v>7.0537785235672192</v>
      </c>
      <c r="AE48" s="100">
        <v>6119.8582470469191</v>
      </c>
      <c r="AF48" s="100">
        <v>3.5941451577006474</v>
      </c>
      <c r="AG48" s="100">
        <v>3118.2803388210818</v>
      </c>
      <c r="AH48" s="100">
        <v>3.665457561623279</v>
      </c>
      <c r="AI48" s="100">
        <v>3180.150980464357</v>
      </c>
      <c r="AJ48" s="100">
        <v>5.2089534822040164</v>
      </c>
      <c r="AK48" s="100">
        <v>4519.2880411602046</v>
      </c>
      <c r="AL48" s="100">
        <v>3.8143754168326796</v>
      </c>
      <c r="AM48" s="100">
        <v>3309.3521116440329</v>
      </c>
      <c r="AN48" s="100">
        <v>6.3715244802204118</v>
      </c>
      <c r="AO48" s="100">
        <v>5527.9346390392293</v>
      </c>
      <c r="AP48" s="100">
        <v>4.4376507106042418</v>
      </c>
      <c r="AQ48" s="100">
        <v>3850.1057565202404</v>
      </c>
      <c r="AR48" s="100">
        <v>9</v>
      </c>
      <c r="AS48" s="100">
        <v>7808.4000000000005</v>
      </c>
      <c r="AT48" s="100">
        <v>6.087342972265211</v>
      </c>
      <c r="AU48" s="100">
        <v>5281.3787627372976</v>
      </c>
      <c r="AV48" s="100">
        <v>4.9239579956175294</v>
      </c>
      <c r="AW48" s="100">
        <v>4272.0259569977688</v>
      </c>
      <c r="AX48" s="100">
        <v>6</v>
      </c>
      <c r="AY48" s="100">
        <v>5205.6000000000004</v>
      </c>
      <c r="AZ48" s="100">
        <v>6.7887521156345692</v>
      </c>
      <c r="BA48" s="100">
        <v>5889.921335524552</v>
      </c>
      <c r="BB48" s="100">
        <v>3.4528862359389918</v>
      </c>
      <c r="BC48" s="100">
        <v>2995.7240983006695</v>
      </c>
      <c r="BD48" s="100">
        <v>6.8770942830925099</v>
      </c>
      <c r="BE48" s="100">
        <v>5966.5670000110622</v>
      </c>
      <c r="BF48" s="100">
        <v>6.1808607804918934</v>
      </c>
      <c r="BG48" s="100">
        <v>5362.5148131547667</v>
      </c>
      <c r="BH48" s="100">
        <v>6.8650883623168806</v>
      </c>
      <c r="BI48" s="100">
        <v>5956.1506631461261</v>
      </c>
      <c r="BJ48" s="100">
        <v>5.4335017972298019</v>
      </c>
      <c r="BK48" s="100">
        <v>4714.1061592765764</v>
      </c>
      <c r="BL48" s="100">
        <v>3.2609326371461007</v>
      </c>
      <c r="BM48" s="100">
        <v>2829.1851559879569</v>
      </c>
      <c r="BN48" s="100">
        <v>8</v>
      </c>
      <c r="BO48" s="100">
        <v>6940.8</v>
      </c>
      <c r="BP48" s="100">
        <v>6.2335865865891646</v>
      </c>
      <c r="BQ48" s="100">
        <v>5408.2597225247591</v>
      </c>
      <c r="BR48" s="100">
        <v>2.4549645266952562</v>
      </c>
      <c r="BS48" s="100">
        <v>2129.9272233608044</v>
      </c>
      <c r="BT48" s="100">
        <v>3.4528862359389918</v>
      </c>
      <c r="BU48" s="100">
        <v>2995.7240983006695</v>
      </c>
      <c r="BV48" s="100">
        <v>7.7093623580037995</v>
      </c>
      <c r="BW48" s="100">
        <v>6688.6427818040966</v>
      </c>
      <c r="BX48" s="100">
        <v>5.3882443329391583</v>
      </c>
      <c r="BY48" s="100">
        <v>4674.8407832580142</v>
      </c>
      <c r="BZ48" s="100">
        <v>5.1573118697693348</v>
      </c>
      <c r="CA48" s="100">
        <v>4474.4837782118748</v>
      </c>
      <c r="CB48" s="100">
        <v>5.2782588887375219</v>
      </c>
      <c r="CC48" s="100">
        <v>4579.4174118686742</v>
      </c>
      <c r="CD48" s="100">
        <v>9.3440266888213319</v>
      </c>
      <c r="CE48" s="100">
        <v>8106.8775552213874</v>
      </c>
      <c r="CF48" s="100">
        <v>4.1418275987881525</v>
      </c>
      <c r="CG48" s="100">
        <v>3593.4496247086013</v>
      </c>
      <c r="CH48" s="100">
        <v>5</v>
      </c>
      <c r="CI48" s="100">
        <v>4338</v>
      </c>
      <c r="CJ48" s="100">
        <v>6.1508475161392813</v>
      </c>
      <c r="CK48" s="100">
        <v>5336.475305002441</v>
      </c>
      <c r="CL48" s="100">
        <v>5.6483052659481983</v>
      </c>
      <c r="CM48" s="100">
        <v>4900.4696487366573</v>
      </c>
      <c r="CN48" s="100">
        <v>3.1812357091506769</v>
      </c>
      <c r="CO48" s="100">
        <v>2760.0401012591274</v>
      </c>
      <c r="CP48" s="100">
        <v>4.3876916548542528</v>
      </c>
      <c r="CQ48" s="100">
        <v>3806.7612797515499</v>
      </c>
      <c r="CR48" s="100">
        <v>6.1563517718421314</v>
      </c>
      <c r="CS48" s="100">
        <v>5341.2507972502335</v>
      </c>
      <c r="CT48" s="100">
        <v>7.1232697398312252</v>
      </c>
      <c r="CU48" s="100">
        <v>6180.1488262775711</v>
      </c>
    </row>
    <row r="49" spans="2:99">
      <c r="B49" s="99" t="s">
        <v>129</v>
      </c>
      <c r="C49" s="99" t="s">
        <v>215</v>
      </c>
      <c r="D49" s="100">
        <v>4.2717796883549264</v>
      </c>
      <c r="E49" s="100">
        <v>4208.5573489672734</v>
      </c>
      <c r="F49" s="100">
        <v>4</v>
      </c>
      <c r="G49" s="100">
        <v>3940.7999999999997</v>
      </c>
      <c r="H49" s="100">
        <v>3.1111696806242697</v>
      </c>
      <c r="I49" s="100">
        <v>3065.1243693510301</v>
      </c>
      <c r="J49" s="100">
        <v>5.7010360190137304</v>
      </c>
      <c r="K49" s="100">
        <v>5616.6606859323265</v>
      </c>
      <c r="L49" s="100">
        <v>6</v>
      </c>
      <c r="M49" s="100">
        <v>5911.2</v>
      </c>
      <c r="N49" s="100">
        <v>4</v>
      </c>
      <c r="O49" s="100">
        <v>3940.7999999999997</v>
      </c>
      <c r="P49" s="100">
        <v>6.1273098188209163</v>
      </c>
      <c r="Q49" s="100">
        <v>6036.6256335023663</v>
      </c>
      <c r="R49" s="100">
        <v>6</v>
      </c>
      <c r="S49" s="100">
        <v>5911.2</v>
      </c>
      <c r="T49" s="100">
        <v>4.3949683741308769</v>
      </c>
      <c r="U49" s="100">
        <v>4329.9228421937396</v>
      </c>
      <c r="V49" s="100">
        <v>6.3902189221925561</v>
      </c>
      <c r="W49" s="100">
        <v>6295.6436821441057</v>
      </c>
      <c r="X49" s="100">
        <v>4.1175378730430499</v>
      </c>
      <c r="Y49" s="100">
        <v>4056.5983125220123</v>
      </c>
      <c r="Z49" s="100">
        <v>3.9815325122030165</v>
      </c>
      <c r="AA49" s="100">
        <v>3922.6058310224116</v>
      </c>
      <c r="AB49" s="100">
        <v>3.9973925332935529</v>
      </c>
      <c r="AC49" s="100">
        <v>3938.2311238008083</v>
      </c>
      <c r="AD49" s="100">
        <v>5.534684416025736</v>
      </c>
      <c r="AE49" s="100">
        <v>5452.7710866685547</v>
      </c>
      <c r="AF49" s="100">
        <v>4.9274738544117591</v>
      </c>
      <c r="AG49" s="100">
        <v>4854.5472413664647</v>
      </c>
      <c r="AH49" s="100">
        <v>7</v>
      </c>
      <c r="AI49" s="100">
        <v>6896.4</v>
      </c>
      <c r="AJ49" s="100">
        <v>6</v>
      </c>
      <c r="AK49" s="100">
        <v>5911.2</v>
      </c>
      <c r="AL49" s="100">
        <v>4</v>
      </c>
      <c r="AM49" s="100">
        <v>3940.7999999999997</v>
      </c>
      <c r="AN49" s="100">
        <v>4.1659652237767499</v>
      </c>
      <c r="AO49" s="100">
        <v>4104.3089384648538</v>
      </c>
      <c r="AP49" s="100">
        <v>6</v>
      </c>
      <c r="AQ49" s="100">
        <v>5911.2</v>
      </c>
      <c r="AR49" s="100">
        <v>5</v>
      </c>
      <c r="AS49" s="100">
        <v>4926</v>
      </c>
      <c r="AT49" s="100">
        <v>6</v>
      </c>
      <c r="AU49" s="100">
        <v>5911.2</v>
      </c>
      <c r="AV49" s="100">
        <v>6.1461036561575302</v>
      </c>
      <c r="AW49" s="100">
        <v>6055.1413220463983</v>
      </c>
      <c r="AX49" s="100">
        <v>5.3662101043187063</v>
      </c>
      <c r="AY49" s="100">
        <v>5286.7901947747887</v>
      </c>
      <c r="AZ49" s="100">
        <v>5.2615925881594423</v>
      </c>
      <c r="BA49" s="100">
        <v>5183.721017854682</v>
      </c>
      <c r="BB49" s="100">
        <v>3.9986645662411888</v>
      </c>
      <c r="BC49" s="100">
        <v>3939.4843306608191</v>
      </c>
      <c r="BD49" s="100">
        <v>4.9034681741734252</v>
      </c>
      <c r="BE49" s="100">
        <v>4830.896845195658</v>
      </c>
      <c r="BF49" s="100">
        <v>5.1683185318592084</v>
      </c>
      <c r="BG49" s="100">
        <v>5091.8274175876913</v>
      </c>
      <c r="BH49" s="100">
        <v>5.3319350568891934</v>
      </c>
      <c r="BI49" s="100">
        <v>5253.0224180472333</v>
      </c>
      <c r="BJ49" s="100">
        <v>6</v>
      </c>
      <c r="BK49" s="100">
        <v>5911.2</v>
      </c>
      <c r="BL49" s="100">
        <v>3.5388507064395669</v>
      </c>
      <c r="BM49" s="100">
        <v>3486.4757159842611</v>
      </c>
      <c r="BN49" s="100">
        <v>6.6865475102364886</v>
      </c>
      <c r="BO49" s="100">
        <v>6587.5866070849879</v>
      </c>
      <c r="BP49" s="100">
        <v>4.2027165419093144</v>
      </c>
      <c r="BQ49" s="100">
        <v>4140.5163370890559</v>
      </c>
      <c r="BR49" s="100">
        <v>3.7279102361180119</v>
      </c>
      <c r="BS49" s="100">
        <v>3672.7371646234651</v>
      </c>
      <c r="BT49" s="100">
        <v>4.5585977168512919</v>
      </c>
      <c r="BU49" s="100">
        <v>4491.1304706418923</v>
      </c>
      <c r="BV49" s="100">
        <v>3.9973925332935529</v>
      </c>
      <c r="BW49" s="100">
        <v>3938.2311238008083</v>
      </c>
      <c r="BX49" s="100">
        <v>3.3979666906208439</v>
      </c>
      <c r="BY49" s="100">
        <v>3347.6767835996552</v>
      </c>
      <c r="BZ49" s="100">
        <v>5.1275942704585642</v>
      </c>
      <c r="CA49" s="100">
        <v>5051.7058752557768</v>
      </c>
      <c r="CB49" s="100">
        <v>2.7078705004781849</v>
      </c>
      <c r="CC49" s="100">
        <v>2667.7940170711076</v>
      </c>
      <c r="CD49" s="100">
        <v>5.2378147474217469</v>
      </c>
      <c r="CE49" s="100">
        <v>5160.2950891599048</v>
      </c>
      <c r="CF49" s="100">
        <v>5.8747626306740273</v>
      </c>
      <c r="CG49" s="100">
        <v>5787.8161437400513</v>
      </c>
      <c r="CH49" s="100">
        <v>5</v>
      </c>
      <c r="CI49" s="100">
        <v>4926</v>
      </c>
      <c r="CJ49" s="100">
        <v>5.2287424222041539</v>
      </c>
      <c r="CK49" s="100">
        <v>5151.3570343555321</v>
      </c>
      <c r="CL49" s="100">
        <v>3.0386908645433617</v>
      </c>
      <c r="CM49" s="100">
        <v>2993.7182397481197</v>
      </c>
      <c r="CN49" s="100">
        <v>4.8480614256253185</v>
      </c>
      <c r="CO49" s="100">
        <v>4776.3101165260632</v>
      </c>
      <c r="CP49" s="100">
        <v>4.1656510698004885</v>
      </c>
      <c r="CQ49" s="100">
        <v>4103.9994339674413</v>
      </c>
      <c r="CR49" s="100">
        <v>3.1613412791701974</v>
      </c>
      <c r="CS49" s="100">
        <v>3114.5534282384783</v>
      </c>
      <c r="CT49" s="100">
        <v>4</v>
      </c>
      <c r="CU49" s="100">
        <v>3940.7999999999997</v>
      </c>
    </row>
    <row r="50" spans="2:99">
      <c r="C50" s="99" t="s">
        <v>216</v>
      </c>
      <c r="D50" s="100">
        <v>1.2557900379073967</v>
      </c>
      <c r="E50" s="100">
        <v>354.13279068988589</v>
      </c>
      <c r="F50" s="100">
        <v>2.2789547305751738</v>
      </c>
      <c r="G50" s="100">
        <v>642.665234022199</v>
      </c>
      <c r="H50" s="100">
        <v>2.0230139770539308</v>
      </c>
      <c r="I50" s="100">
        <v>570.48994152920852</v>
      </c>
      <c r="J50" s="100">
        <v>4.5803073001441321</v>
      </c>
      <c r="K50" s="100">
        <v>1291.6466586406452</v>
      </c>
      <c r="L50" s="100">
        <v>4.7190741580380609</v>
      </c>
      <c r="M50" s="100">
        <v>1330.7789125667332</v>
      </c>
      <c r="N50" s="100">
        <v>2.7468363924254495</v>
      </c>
      <c r="O50" s="100">
        <v>774.60786266397679</v>
      </c>
      <c r="P50" s="100">
        <v>5.1385748471111334</v>
      </c>
      <c r="Q50" s="100">
        <v>1449.0781068853396</v>
      </c>
      <c r="R50" s="100">
        <v>4.8255020984707153</v>
      </c>
      <c r="S50" s="100">
        <v>1360.7915917687417</v>
      </c>
      <c r="T50" s="100">
        <v>2.8426244068168725</v>
      </c>
      <c r="U50" s="100">
        <v>801.62008272235801</v>
      </c>
      <c r="V50" s="100">
        <v>3.9398905991731339</v>
      </c>
      <c r="W50" s="100">
        <v>1111.0491489668239</v>
      </c>
      <c r="X50" s="100">
        <v>3</v>
      </c>
      <c r="Y50" s="100">
        <v>846</v>
      </c>
      <c r="Z50" s="100">
        <v>3.9549721080360145</v>
      </c>
      <c r="AA50" s="100">
        <v>1115.3021344661561</v>
      </c>
      <c r="AB50" s="100">
        <v>3.2754859033485961</v>
      </c>
      <c r="AC50" s="100">
        <v>923.68702474430415</v>
      </c>
      <c r="AD50" s="100">
        <v>4.4086115772295127</v>
      </c>
      <c r="AE50" s="100">
        <v>1243.2284647787226</v>
      </c>
      <c r="AF50" s="100">
        <v>4.3129741892407774</v>
      </c>
      <c r="AG50" s="100">
        <v>1216.2587213658992</v>
      </c>
      <c r="AH50" s="100">
        <v>5.1316405862725905</v>
      </c>
      <c r="AI50" s="100">
        <v>1447.1226453288705</v>
      </c>
      <c r="AJ50" s="100">
        <v>3.8923958843155999</v>
      </c>
      <c r="AK50" s="100">
        <v>1097.6556393769993</v>
      </c>
      <c r="AL50" s="100">
        <v>2.5429169445551199</v>
      </c>
      <c r="AM50" s="100">
        <v>717.10257836454377</v>
      </c>
      <c r="AN50" s="100">
        <v>4.1857622401102059</v>
      </c>
      <c r="AO50" s="100">
        <v>1180.384951711078</v>
      </c>
      <c r="AP50" s="100">
        <v>4.4376507106042418</v>
      </c>
      <c r="AQ50" s="100">
        <v>1251.4175003903961</v>
      </c>
      <c r="AR50" s="100">
        <v>5</v>
      </c>
      <c r="AS50" s="100">
        <v>1410</v>
      </c>
      <c r="AT50" s="100">
        <v>5.2812528543552109</v>
      </c>
      <c r="AU50" s="100">
        <v>1489.3133049281694</v>
      </c>
      <c r="AV50" s="100">
        <v>3.2826386637450198</v>
      </c>
      <c r="AW50" s="100">
        <v>925.7041031760956</v>
      </c>
      <c r="AX50" s="100">
        <v>5</v>
      </c>
      <c r="AY50" s="100">
        <v>1410</v>
      </c>
      <c r="AZ50" s="100">
        <v>5.0915640867259269</v>
      </c>
      <c r="BA50" s="100">
        <v>1435.8210724567114</v>
      </c>
      <c r="BB50" s="100">
        <v>4.1434634831267898</v>
      </c>
      <c r="BC50" s="100">
        <v>1168.4567022417548</v>
      </c>
      <c r="BD50" s="100">
        <v>5.1578207123193822</v>
      </c>
      <c r="BE50" s="100">
        <v>1454.5054408740657</v>
      </c>
      <c r="BF50" s="100">
        <v>4.8073361626048063</v>
      </c>
      <c r="BG50" s="100">
        <v>1355.6687978545554</v>
      </c>
      <c r="BH50" s="100">
        <v>4.7460420310179021</v>
      </c>
      <c r="BI50" s="100">
        <v>1338.3838527470484</v>
      </c>
      <c r="BJ50" s="100">
        <v>4.6572872547684021</v>
      </c>
      <c r="BK50" s="100">
        <v>1313.3550058446895</v>
      </c>
      <c r="BL50" s="100">
        <v>1.8633900783692001</v>
      </c>
      <c r="BM50" s="100">
        <v>525.47600210011444</v>
      </c>
      <c r="BN50" s="100">
        <v>6</v>
      </c>
      <c r="BO50" s="100">
        <v>1692</v>
      </c>
      <c r="BP50" s="100">
        <v>5.1482813994294299</v>
      </c>
      <c r="BQ50" s="100">
        <v>1451.8153546390993</v>
      </c>
      <c r="BR50" s="100">
        <v>1.9241786688216631</v>
      </c>
      <c r="BS50" s="100">
        <v>542.618384607709</v>
      </c>
      <c r="BT50" s="100">
        <v>4.1434634831267898</v>
      </c>
      <c r="BU50" s="100">
        <v>1168.4567022417548</v>
      </c>
      <c r="BV50" s="100">
        <v>5.1395749053358655</v>
      </c>
      <c r="BW50" s="100">
        <v>1449.3601233047141</v>
      </c>
      <c r="BX50" s="100">
        <v>4.4902036107826317</v>
      </c>
      <c r="BY50" s="100">
        <v>1266.2374182407023</v>
      </c>
      <c r="BZ50" s="100">
        <v>3.8679839023270017</v>
      </c>
      <c r="CA50" s="100">
        <v>1090.7714604562145</v>
      </c>
      <c r="CB50" s="100">
        <v>3.0161479364214414</v>
      </c>
      <c r="CC50" s="100">
        <v>850.55371807084646</v>
      </c>
      <c r="CD50" s="100">
        <v>4.7453160493300457</v>
      </c>
      <c r="CE50" s="100">
        <v>1338.1791259110728</v>
      </c>
      <c r="CF50" s="100">
        <v>2.5886422492425956</v>
      </c>
      <c r="CG50" s="100">
        <v>729.99711428641194</v>
      </c>
      <c r="CH50" s="100">
        <v>6</v>
      </c>
      <c r="CI50" s="100">
        <v>1692</v>
      </c>
      <c r="CJ50" s="100">
        <v>6.1508475161392813</v>
      </c>
      <c r="CK50" s="100">
        <v>1734.5389995512774</v>
      </c>
      <c r="CL50" s="100">
        <v>2.4937821484005749</v>
      </c>
      <c r="CM50" s="100">
        <v>703.24656584896206</v>
      </c>
      <c r="CN50" s="100">
        <v>2.2723112208219121</v>
      </c>
      <c r="CO50" s="100">
        <v>640.79176427177924</v>
      </c>
      <c r="CP50" s="100">
        <v>2.647669031182331</v>
      </c>
      <c r="CQ50" s="100">
        <v>746.64266679341733</v>
      </c>
      <c r="CR50" s="100">
        <v>3.693811063105279</v>
      </c>
      <c r="CS50" s="100">
        <v>1041.6547197956886</v>
      </c>
      <c r="CT50" s="100">
        <v>4.6722596959469032</v>
      </c>
      <c r="CU50" s="100">
        <v>1317.5772342570267</v>
      </c>
    </row>
    <row r="51" spans="2:99">
      <c r="C51" s="99" t="s">
        <v>217</v>
      </c>
      <c r="D51" s="100">
        <v>1.2557900379073967</v>
      </c>
      <c r="E51" s="100">
        <v>1072.9470083880797</v>
      </c>
      <c r="F51" s="100">
        <v>2.2818583879662202</v>
      </c>
      <c r="G51" s="100">
        <v>1949.6198066783386</v>
      </c>
      <c r="H51" s="100">
        <v>2.009418557214413</v>
      </c>
      <c r="I51" s="100">
        <v>1716.8472152839945</v>
      </c>
      <c r="J51" s="100">
        <v>4.5803073001441321</v>
      </c>
      <c r="K51" s="100">
        <v>3913.4145572431462</v>
      </c>
      <c r="L51" s="100">
        <v>4.7190741580380609</v>
      </c>
      <c r="M51" s="100">
        <v>4031.9769606277191</v>
      </c>
      <c r="N51" s="100">
        <v>2.7573772959962053</v>
      </c>
      <c r="O51" s="100">
        <v>2355.9031616991579</v>
      </c>
      <c r="P51" s="100">
        <v>5.1217312552628194</v>
      </c>
      <c r="Q51" s="100">
        <v>4376.0071844965523</v>
      </c>
      <c r="R51" s="100">
        <v>4.1405260410644331</v>
      </c>
      <c r="S51" s="100">
        <v>3537.6654494854515</v>
      </c>
      <c r="T51" s="100">
        <v>2.8426244068168725</v>
      </c>
      <c r="U51" s="100">
        <v>2428.7382931843358</v>
      </c>
      <c r="V51" s="100">
        <v>4.7278687190077608</v>
      </c>
      <c r="W51" s="100">
        <v>4039.4910335202308</v>
      </c>
      <c r="X51" s="100">
        <v>4</v>
      </c>
      <c r="Y51" s="100">
        <v>3417.6</v>
      </c>
      <c r="Z51" s="100">
        <v>3.9549721080360145</v>
      </c>
      <c r="AA51" s="100">
        <v>3379.1281691059708</v>
      </c>
      <c r="AB51" s="100">
        <v>3.2754859033485961</v>
      </c>
      <c r="AC51" s="100">
        <v>2798.5751558210404</v>
      </c>
      <c r="AD51" s="100">
        <v>4.4086115772295127</v>
      </c>
      <c r="AE51" s="100">
        <v>3766.7177315848953</v>
      </c>
      <c r="AF51" s="100">
        <v>4.3129741892407774</v>
      </c>
      <c r="AG51" s="100">
        <v>3685.0051472873201</v>
      </c>
      <c r="AH51" s="100">
        <v>5.1316405862725905</v>
      </c>
      <c r="AI51" s="100">
        <v>4384.4737169113014</v>
      </c>
      <c r="AJ51" s="100">
        <v>4.5077170012475722</v>
      </c>
      <c r="AK51" s="100">
        <v>3851.3934058659256</v>
      </c>
      <c r="AL51" s="100">
        <v>2.5429169445551199</v>
      </c>
      <c r="AM51" s="100">
        <v>2172.6682374278944</v>
      </c>
      <c r="AN51" s="100">
        <v>4.1857622401102059</v>
      </c>
      <c r="AO51" s="100">
        <v>3576.3152579501598</v>
      </c>
      <c r="AP51" s="100">
        <v>4.4376507106042418</v>
      </c>
      <c r="AQ51" s="100">
        <v>3791.5287671402639</v>
      </c>
      <c r="AR51" s="100">
        <v>4</v>
      </c>
      <c r="AS51" s="100">
        <v>3417.6</v>
      </c>
      <c r="AT51" s="100">
        <v>4.6502829497839295</v>
      </c>
      <c r="AU51" s="100">
        <v>3973.2017522953893</v>
      </c>
      <c r="AV51" s="100">
        <v>3.2826386637450198</v>
      </c>
      <c r="AW51" s="100">
        <v>2804.6864743037449</v>
      </c>
      <c r="AX51" s="100">
        <v>5</v>
      </c>
      <c r="AY51" s="100">
        <v>4272</v>
      </c>
      <c r="AZ51" s="100">
        <v>5.0915640867259269</v>
      </c>
      <c r="BA51" s="100">
        <v>4350.2323556986321</v>
      </c>
      <c r="BB51" s="100">
        <v>3.4528862359389918</v>
      </c>
      <c r="BC51" s="100">
        <v>2950.1459999862745</v>
      </c>
      <c r="BD51" s="100">
        <v>5.1578207123193822</v>
      </c>
      <c r="BE51" s="100">
        <v>4406.8420166056803</v>
      </c>
      <c r="BF51" s="100">
        <v>4.8073361626048063</v>
      </c>
      <c r="BG51" s="100">
        <v>4107.3880173295465</v>
      </c>
      <c r="BH51" s="100">
        <v>4.7614344361215366</v>
      </c>
      <c r="BI51" s="100">
        <v>4068.1695822222409</v>
      </c>
      <c r="BJ51" s="100">
        <v>3.8810727123070019</v>
      </c>
      <c r="BK51" s="100">
        <v>3315.9885253951024</v>
      </c>
      <c r="BL51" s="100">
        <v>2.3292375979615003</v>
      </c>
      <c r="BM51" s="100">
        <v>1990.1006036983058</v>
      </c>
      <c r="BN51" s="100">
        <v>7</v>
      </c>
      <c r="BO51" s="100">
        <v>5980.8</v>
      </c>
      <c r="BP51" s="100">
        <v>6.0790062886062515</v>
      </c>
      <c r="BQ51" s="100">
        <v>5193.9029729851809</v>
      </c>
      <c r="BR51" s="100">
        <v>2.366535743285163</v>
      </c>
      <c r="BS51" s="100">
        <v>2021.9681390628432</v>
      </c>
      <c r="BT51" s="100">
        <v>3.4528862359389918</v>
      </c>
      <c r="BU51" s="100">
        <v>2950.1459999862745</v>
      </c>
      <c r="BV51" s="100">
        <v>5.1395749053358655</v>
      </c>
      <c r="BW51" s="100">
        <v>4391.2527991189636</v>
      </c>
      <c r="BX51" s="100">
        <v>4.4902036107826317</v>
      </c>
      <c r="BY51" s="100">
        <v>3836.4299650526805</v>
      </c>
      <c r="BZ51" s="100">
        <v>4.5126478860481685</v>
      </c>
      <c r="CA51" s="100">
        <v>3855.6063538395551</v>
      </c>
      <c r="CB51" s="100">
        <v>3.0161479364214414</v>
      </c>
      <c r="CC51" s="100">
        <v>2576.9967968784795</v>
      </c>
      <c r="CD51" s="100">
        <v>4.7348442343415629</v>
      </c>
      <c r="CE51" s="100">
        <v>4045.4509138214312</v>
      </c>
      <c r="CF51" s="100">
        <v>2.5886422492425956</v>
      </c>
      <c r="CG51" s="100">
        <v>2211.7359377528737</v>
      </c>
      <c r="CH51" s="100">
        <v>5</v>
      </c>
      <c r="CI51" s="100">
        <v>4272</v>
      </c>
      <c r="CJ51" s="100">
        <v>6.1508475161392813</v>
      </c>
      <c r="CK51" s="100">
        <v>5255.2841177894015</v>
      </c>
      <c r="CL51" s="100">
        <v>2.5303220941833913</v>
      </c>
      <c r="CM51" s="100">
        <v>2161.9071972702895</v>
      </c>
      <c r="CN51" s="100">
        <v>1.8178489766575292</v>
      </c>
      <c r="CO51" s="100">
        <v>1553.1701656561929</v>
      </c>
      <c r="CP51" s="100">
        <v>3.4800452473438415</v>
      </c>
      <c r="CQ51" s="100">
        <v>2973.3506593305779</v>
      </c>
      <c r="CR51" s="100">
        <v>3.0781758859210657</v>
      </c>
      <c r="CS51" s="100">
        <v>2629.9934769309584</v>
      </c>
      <c r="CT51" s="100">
        <v>4.6722596959469032</v>
      </c>
      <c r="CU51" s="100">
        <v>3991.9786842170338</v>
      </c>
    </row>
    <row r="52" spans="2:99">
      <c r="C52" s="99" t="s">
        <v>218</v>
      </c>
      <c r="D52" s="100">
        <v>1.2544977729278535</v>
      </c>
      <c r="E52" s="100">
        <v>677.42879738104091</v>
      </c>
      <c r="F52" s="100">
        <v>2.2818583879662202</v>
      </c>
      <c r="G52" s="100">
        <v>1232.203529501759</v>
      </c>
      <c r="H52" s="100">
        <v>2.6475020966603422</v>
      </c>
      <c r="I52" s="100">
        <v>1429.6511321965847</v>
      </c>
      <c r="J52" s="100">
        <v>4.5803073001441321</v>
      </c>
      <c r="K52" s="100">
        <v>2473.3659420778313</v>
      </c>
      <c r="L52" s="100">
        <v>4.7190741580380609</v>
      </c>
      <c r="M52" s="100">
        <v>2548.300045340553</v>
      </c>
      <c r="N52" s="100">
        <v>2.7468363924254495</v>
      </c>
      <c r="O52" s="100">
        <v>1483.2916519097428</v>
      </c>
      <c r="P52" s="100">
        <v>5.1217312552628194</v>
      </c>
      <c r="Q52" s="100">
        <v>2765.7348778419223</v>
      </c>
      <c r="R52" s="100">
        <v>4.8255020984707153</v>
      </c>
      <c r="S52" s="100">
        <v>2605.7711331741862</v>
      </c>
      <c r="T52" s="100">
        <v>2.8426244068168725</v>
      </c>
      <c r="U52" s="100">
        <v>1535.0171796811112</v>
      </c>
      <c r="V52" s="100">
        <v>3.9398905991731339</v>
      </c>
      <c r="W52" s="100">
        <v>2127.5409235534921</v>
      </c>
      <c r="X52" s="100">
        <v>4</v>
      </c>
      <c r="Y52" s="100">
        <v>2160</v>
      </c>
      <c r="Z52" s="100">
        <v>3.9549721080360145</v>
      </c>
      <c r="AA52" s="100">
        <v>2135.6849383394479</v>
      </c>
      <c r="AB52" s="100">
        <v>3.2754859033485961</v>
      </c>
      <c r="AC52" s="100">
        <v>1768.762387808242</v>
      </c>
      <c r="AD52" s="100">
        <v>4.4086115772295127</v>
      </c>
      <c r="AE52" s="100">
        <v>2380.6502517039366</v>
      </c>
      <c r="AF52" s="100">
        <v>3.5941451577006474</v>
      </c>
      <c r="AG52" s="100">
        <v>1940.8383851583496</v>
      </c>
      <c r="AH52" s="100">
        <v>5.1316405862725905</v>
      </c>
      <c r="AI52" s="100">
        <v>2771.0859165871989</v>
      </c>
      <c r="AJ52" s="100">
        <v>4.5077170012475722</v>
      </c>
      <c r="AK52" s="100">
        <v>2434.167180673689</v>
      </c>
      <c r="AL52" s="100">
        <v>2.5429169445551199</v>
      </c>
      <c r="AM52" s="100">
        <v>1373.1751500597647</v>
      </c>
      <c r="AN52" s="100">
        <v>4.1857622401102059</v>
      </c>
      <c r="AO52" s="100">
        <v>2260.3116096595113</v>
      </c>
      <c r="AP52" s="100">
        <v>4.4376507106042418</v>
      </c>
      <c r="AQ52" s="100">
        <v>2396.3313837262904</v>
      </c>
      <c r="AR52" s="100">
        <v>4</v>
      </c>
      <c r="AS52" s="100">
        <v>2160</v>
      </c>
      <c r="AT52" s="100">
        <v>4.6210962475608097</v>
      </c>
      <c r="AU52" s="100">
        <v>2495.391973682837</v>
      </c>
      <c r="AV52" s="100">
        <v>3.2826386637450198</v>
      </c>
      <c r="AW52" s="100">
        <v>1772.6248784223108</v>
      </c>
      <c r="AX52" s="100">
        <v>5</v>
      </c>
      <c r="AY52" s="100">
        <v>2700</v>
      </c>
      <c r="AZ52" s="100">
        <v>5.0915640867259269</v>
      </c>
      <c r="BA52" s="100">
        <v>2749.4446068320003</v>
      </c>
      <c r="BB52" s="100">
        <v>3.4528862359389918</v>
      </c>
      <c r="BC52" s="100">
        <v>1864.5585674070555</v>
      </c>
      <c r="BD52" s="100">
        <v>5.1578207123193822</v>
      </c>
      <c r="BE52" s="100">
        <v>2785.2231846524664</v>
      </c>
      <c r="BF52" s="100">
        <v>4.1205738536612628</v>
      </c>
      <c r="BG52" s="100">
        <v>2225.109880977082</v>
      </c>
      <c r="BH52" s="100">
        <v>4.7460420310179021</v>
      </c>
      <c r="BI52" s="100">
        <v>2562.8626967496671</v>
      </c>
      <c r="BJ52" s="100">
        <v>3.8810727123070019</v>
      </c>
      <c r="BK52" s="100">
        <v>2095.779264645781</v>
      </c>
      <c r="BL52" s="100">
        <v>1.8633900783692001</v>
      </c>
      <c r="BM52" s="100">
        <v>1006.230642319368</v>
      </c>
      <c r="BN52" s="100">
        <v>7</v>
      </c>
      <c r="BO52" s="100">
        <v>3780</v>
      </c>
      <c r="BP52" s="100">
        <v>5.1482813994294299</v>
      </c>
      <c r="BQ52" s="100">
        <v>2780.0719556918921</v>
      </c>
      <c r="BR52" s="100">
        <v>2.366535743285163</v>
      </c>
      <c r="BS52" s="100">
        <v>1277.929301373988</v>
      </c>
      <c r="BT52" s="100">
        <v>3.4528862359389918</v>
      </c>
      <c r="BU52" s="100">
        <v>1864.5585674070555</v>
      </c>
      <c r="BV52" s="100">
        <v>4.2829790877798883</v>
      </c>
      <c r="BW52" s="100">
        <v>2312.8087074011396</v>
      </c>
      <c r="BX52" s="100">
        <v>4.4902036107826317</v>
      </c>
      <c r="BY52" s="100">
        <v>2424.7099498226212</v>
      </c>
      <c r="BZ52" s="100">
        <v>3.8679839023270017</v>
      </c>
      <c r="CA52" s="100">
        <v>2088.7113072565808</v>
      </c>
      <c r="CB52" s="100">
        <v>3.0161479364214414</v>
      </c>
      <c r="CC52" s="100">
        <v>1628.7198856675784</v>
      </c>
      <c r="CD52" s="100">
        <v>4.7348442343415629</v>
      </c>
      <c r="CE52" s="100">
        <v>2556.8158865444439</v>
      </c>
      <c r="CF52" s="100">
        <v>3.1063706990911144</v>
      </c>
      <c r="CG52" s="100">
        <v>1677.4401775092017</v>
      </c>
      <c r="CH52" s="100">
        <v>5</v>
      </c>
      <c r="CI52" s="100">
        <v>2700</v>
      </c>
      <c r="CJ52" s="100">
        <v>5.2721550138336699</v>
      </c>
      <c r="CK52" s="100">
        <v>2846.9637074701818</v>
      </c>
      <c r="CL52" s="100">
        <v>3.2276030091132566</v>
      </c>
      <c r="CM52" s="100">
        <v>1742.9056249211585</v>
      </c>
      <c r="CN52" s="100">
        <v>2.2723112208219121</v>
      </c>
      <c r="CO52" s="100">
        <v>1227.0480592438325</v>
      </c>
      <c r="CP52" s="100">
        <v>3.4800452473438415</v>
      </c>
      <c r="CQ52" s="100">
        <v>1879.2244335656744</v>
      </c>
      <c r="CR52" s="100">
        <v>3.0781758859210657</v>
      </c>
      <c r="CS52" s="100">
        <v>1662.2149783973755</v>
      </c>
      <c r="CT52" s="100">
        <v>3.7503915343890886</v>
      </c>
      <c r="CU52" s="100">
        <v>2025.2114285701077</v>
      </c>
    </row>
    <row r="53" spans="2:99">
      <c r="C53" s="99" t="s">
        <v>219</v>
      </c>
      <c r="D53" s="100">
        <v>1.0780529446086096</v>
      </c>
      <c r="E53" s="100">
        <v>438.5519378667824</v>
      </c>
      <c r="F53" s="100">
        <v>2.2818583879662202</v>
      </c>
      <c r="G53" s="100">
        <v>928.25999222465839</v>
      </c>
      <c r="H53" s="100">
        <v>2.6475020966603422</v>
      </c>
      <c r="I53" s="100">
        <v>1077.0038529214273</v>
      </c>
      <c r="J53" s="100">
        <v>3.81692275012011</v>
      </c>
      <c r="K53" s="100">
        <v>1552.7241747488608</v>
      </c>
      <c r="L53" s="100">
        <v>4.7190741580380609</v>
      </c>
      <c r="M53" s="100">
        <v>1919.7193674898831</v>
      </c>
      <c r="N53" s="100">
        <v>2.7468363924254495</v>
      </c>
      <c r="O53" s="100">
        <v>1117.4130444386728</v>
      </c>
      <c r="P53" s="100">
        <v>4.3270619508547865</v>
      </c>
      <c r="Q53" s="100">
        <v>1760.2488016077273</v>
      </c>
      <c r="R53" s="100">
        <v>4.7948324018439736</v>
      </c>
      <c r="S53" s="100">
        <v>1950.5378210701285</v>
      </c>
      <c r="T53" s="100">
        <v>2.8590144565980973</v>
      </c>
      <c r="U53" s="100">
        <v>1163.047080944106</v>
      </c>
      <c r="V53" s="100">
        <v>3.9398905991731339</v>
      </c>
      <c r="W53" s="100">
        <v>1602.7474957436309</v>
      </c>
      <c r="X53" s="100">
        <v>4</v>
      </c>
      <c r="Y53" s="100">
        <v>1627.2</v>
      </c>
      <c r="Z53" s="100">
        <v>3.9549721080360145</v>
      </c>
      <c r="AA53" s="100">
        <v>1608.8826535490507</v>
      </c>
      <c r="AB53" s="100">
        <v>3.2754859033485961</v>
      </c>
      <c r="AC53" s="100">
        <v>1332.467665482209</v>
      </c>
      <c r="AD53" s="100">
        <v>4.4086115772295127</v>
      </c>
      <c r="AE53" s="100">
        <v>1793.4231896169658</v>
      </c>
      <c r="AF53" s="100">
        <v>4.3129741892407774</v>
      </c>
      <c r="AG53" s="100">
        <v>1754.5179001831482</v>
      </c>
      <c r="AH53" s="100">
        <v>5.1316405862725905</v>
      </c>
      <c r="AI53" s="100">
        <v>2087.5513904956897</v>
      </c>
      <c r="AJ53" s="100">
        <v>3.8923958843155999</v>
      </c>
      <c r="AK53" s="100">
        <v>1583.4266457395861</v>
      </c>
      <c r="AL53" s="100">
        <v>2.5429169445551199</v>
      </c>
      <c r="AM53" s="100">
        <v>1034.4586130450227</v>
      </c>
      <c r="AN53" s="100">
        <v>4.1857622401102059</v>
      </c>
      <c r="AO53" s="100">
        <v>1702.7680792768317</v>
      </c>
      <c r="AP53" s="100">
        <v>4.4376507106042418</v>
      </c>
      <c r="AQ53" s="100">
        <v>1805.2363090738056</v>
      </c>
      <c r="AR53" s="100">
        <v>4</v>
      </c>
      <c r="AS53" s="100">
        <v>1627.2</v>
      </c>
      <c r="AT53" s="100">
        <v>4.6210962475608097</v>
      </c>
      <c r="AU53" s="100">
        <v>1879.8619535077376</v>
      </c>
      <c r="AV53" s="100">
        <v>2.7355322197875163</v>
      </c>
      <c r="AW53" s="100">
        <v>1112.8145070095616</v>
      </c>
      <c r="AX53" s="100">
        <v>5</v>
      </c>
      <c r="AY53" s="100">
        <v>2034</v>
      </c>
      <c r="AZ53" s="100">
        <v>5.0915640867259269</v>
      </c>
      <c r="BA53" s="100">
        <v>2071.2482704801073</v>
      </c>
      <c r="BB53" s="100">
        <v>4.1434634831267898</v>
      </c>
      <c r="BC53" s="100">
        <v>1685.5609449359781</v>
      </c>
      <c r="BD53" s="100">
        <v>6.0174574977059461</v>
      </c>
      <c r="BE53" s="100">
        <v>2447.9017100667788</v>
      </c>
      <c r="BF53" s="100">
        <v>4.8073361626048063</v>
      </c>
      <c r="BG53" s="100">
        <v>1955.6243509476353</v>
      </c>
      <c r="BH53" s="100">
        <v>4.7306496259142676</v>
      </c>
      <c r="BI53" s="100">
        <v>1924.4282678219242</v>
      </c>
      <c r="BJ53" s="100">
        <v>4.6572872547684021</v>
      </c>
      <c r="BK53" s="100">
        <v>1894.5844552397859</v>
      </c>
      <c r="BL53" s="100">
        <v>1.8633900783692001</v>
      </c>
      <c r="BM53" s="100">
        <v>758.02708388059068</v>
      </c>
      <c r="BN53" s="100">
        <v>7</v>
      </c>
      <c r="BO53" s="100">
        <v>2847.6</v>
      </c>
      <c r="BP53" s="100">
        <v>5.1173653398328476</v>
      </c>
      <c r="BQ53" s="100">
        <v>2081.7442202440025</v>
      </c>
      <c r="BR53" s="100">
        <v>1.9241786688216631</v>
      </c>
      <c r="BS53" s="100">
        <v>782.75588247665257</v>
      </c>
      <c r="BT53" s="100">
        <v>4.1434634831267898</v>
      </c>
      <c r="BU53" s="100">
        <v>1685.5609449359781</v>
      </c>
      <c r="BV53" s="100">
        <v>5.1395749053358655</v>
      </c>
      <c r="BW53" s="100">
        <v>2090.77907149063</v>
      </c>
      <c r="BX53" s="100">
        <v>4.4902036107826317</v>
      </c>
      <c r="BY53" s="100">
        <v>1826.6148288663746</v>
      </c>
      <c r="BZ53" s="100">
        <v>3.8679839023270017</v>
      </c>
      <c r="CA53" s="100">
        <v>1573.4958514666243</v>
      </c>
      <c r="CB53" s="100">
        <v>3.0161479364214414</v>
      </c>
      <c r="CC53" s="100">
        <v>1226.9689805362425</v>
      </c>
      <c r="CD53" s="100">
        <v>3.8109133804479129</v>
      </c>
      <c r="CE53" s="100">
        <v>1550.2795631662111</v>
      </c>
      <c r="CF53" s="100">
        <v>3.1063706990911144</v>
      </c>
      <c r="CG53" s="100">
        <v>1263.6716003902654</v>
      </c>
      <c r="CH53" s="100">
        <v>5</v>
      </c>
      <c r="CI53" s="100">
        <v>2034</v>
      </c>
      <c r="CJ53" s="100">
        <v>6.1508475161392813</v>
      </c>
      <c r="CK53" s="100">
        <v>2502.1647695654597</v>
      </c>
      <c r="CL53" s="100">
        <v>3.2641429548960725</v>
      </c>
      <c r="CM53" s="100">
        <v>1327.8533540517224</v>
      </c>
      <c r="CN53" s="100">
        <v>1.8178489766575292</v>
      </c>
      <c r="CO53" s="100">
        <v>739.50096370428287</v>
      </c>
      <c r="CP53" s="100">
        <v>2.647669031182331</v>
      </c>
      <c r="CQ53" s="100">
        <v>1077.0717618849724</v>
      </c>
      <c r="CR53" s="100">
        <v>3.0781758859210657</v>
      </c>
      <c r="CS53" s="100">
        <v>1252.2019503926895</v>
      </c>
      <c r="CT53" s="100">
        <v>4.6722596959469032</v>
      </c>
      <c r="CU53" s="100">
        <v>1900.6752443112002</v>
      </c>
    </row>
    <row r="54" spans="2:99">
      <c r="C54" s="99" t="s">
        <v>220</v>
      </c>
      <c r="D54" s="100">
        <v>1.2557900379073967</v>
      </c>
      <c r="E54" s="100">
        <v>420.43850469139642</v>
      </c>
      <c r="F54" s="100">
        <v>2.2818583879662202</v>
      </c>
      <c r="G54" s="100">
        <v>763.96618829109059</v>
      </c>
      <c r="H54" s="100">
        <v>2.009418557214413</v>
      </c>
      <c r="I54" s="100">
        <v>672.75333295538553</v>
      </c>
      <c r="J54" s="100">
        <v>4.5803073001441321</v>
      </c>
      <c r="K54" s="100">
        <v>1533.4868840882555</v>
      </c>
      <c r="L54" s="100">
        <v>5.4872971370369186</v>
      </c>
      <c r="M54" s="100">
        <v>1837.1470814799604</v>
      </c>
      <c r="N54" s="100">
        <v>2.7468363924254495</v>
      </c>
      <c r="O54" s="100">
        <v>919.64082418404053</v>
      </c>
      <c r="P54" s="100">
        <v>4.3270619508547865</v>
      </c>
      <c r="Q54" s="100">
        <v>1448.7003411461826</v>
      </c>
      <c r="R54" s="100">
        <v>4.1711957376911748</v>
      </c>
      <c r="S54" s="100">
        <v>1396.5163329790055</v>
      </c>
      <c r="T54" s="100">
        <v>2.8426244068168725</v>
      </c>
      <c r="U54" s="100">
        <v>951.71065140228893</v>
      </c>
      <c r="V54" s="100">
        <v>3.9398905991731339</v>
      </c>
      <c r="W54" s="100">
        <v>1319.0753726031653</v>
      </c>
      <c r="X54" s="100">
        <v>3</v>
      </c>
      <c r="Y54" s="100">
        <v>1004.4000000000001</v>
      </c>
      <c r="Z54" s="100">
        <v>2.9662290810270111</v>
      </c>
      <c r="AA54" s="100">
        <v>993.09349632784335</v>
      </c>
      <c r="AB54" s="100">
        <v>3.2754859033485961</v>
      </c>
      <c r="AC54" s="100">
        <v>1096.6326804411101</v>
      </c>
      <c r="AD54" s="100">
        <v>4.4086115772295127</v>
      </c>
      <c r="AE54" s="100">
        <v>1476.003156056441</v>
      </c>
      <c r="AF54" s="100">
        <v>3.5941451577006474</v>
      </c>
      <c r="AG54" s="100">
        <v>1203.3197987981769</v>
      </c>
      <c r="AH54" s="100">
        <v>5.1316405862725905</v>
      </c>
      <c r="AI54" s="100">
        <v>1718.0732682840633</v>
      </c>
      <c r="AJ54" s="100">
        <v>3.8637574296407768</v>
      </c>
      <c r="AK54" s="100">
        <v>1293.5859874437322</v>
      </c>
      <c r="AL54" s="100">
        <v>2.5429169445551199</v>
      </c>
      <c r="AM54" s="100">
        <v>851.36859303705421</v>
      </c>
      <c r="AN54" s="100">
        <v>4.1548018667585049</v>
      </c>
      <c r="AO54" s="100">
        <v>1391.0276649907476</v>
      </c>
      <c r="AP54" s="100">
        <v>3.8037006090893506</v>
      </c>
      <c r="AQ54" s="100">
        <v>1273.4789639231146</v>
      </c>
      <c r="AR54" s="100">
        <v>5</v>
      </c>
      <c r="AS54" s="100">
        <v>1674</v>
      </c>
      <c r="AT54" s="100">
        <v>4.6502829497839295</v>
      </c>
      <c r="AU54" s="100">
        <v>1556.9147315876596</v>
      </c>
      <c r="AV54" s="100">
        <v>2.7355322197875163</v>
      </c>
      <c r="AW54" s="100">
        <v>915.85618718486046</v>
      </c>
      <c r="AX54" s="100">
        <v>5</v>
      </c>
      <c r="AY54" s="100">
        <v>1674</v>
      </c>
      <c r="AZ54" s="100">
        <v>4.2429700722716053</v>
      </c>
      <c r="BA54" s="100">
        <v>1420.5463801965334</v>
      </c>
      <c r="BB54" s="100">
        <v>4.1434634831267898</v>
      </c>
      <c r="BC54" s="100">
        <v>1387.2315741508494</v>
      </c>
      <c r="BD54" s="100">
        <v>6.0174574977059461</v>
      </c>
      <c r="BE54" s="100">
        <v>2014.6447702319508</v>
      </c>
      <c r="BF54" s="100">
        <v>4.8073361626048063</v>
      </c>
      <c r="BG54" s="100">
        <v>1609.4961472400892</v>
      </c>
      <c r="BH54" s="100">
        <v>4.7460420310179021</v>
      </c>
      <c r="BI54" s="100">
        <v>1588.9748719847937</v>
      </c>
      <c r="BJ54" s="100">
        <v>4.6572872547684021</v>
      </c>
      <c r="BK54" s="100">
        <v>1559.2597728964611</v>
      </c>
      <c r="BL54" s="100">
        <v>2.3292375979615003</v>
      </c>
      <c r="BM54" s="100">
        <v>779.82874779751035</v>
      </c>
      <c r="BN54" s="100">
        <v>7</v>
      </c>
      <c r="BO54" s="100">
        <v>2343.6</v>
      </c>
      <c r="BP54" s="100">
        <v>5.1791974590260121</v>
      </c>
      <c r="BQ54" s="100">
        <v>1733.9953092819089</v>
      </c>
      <c r="BR54" s="100">
        <v>1.9020714729691397</v>
      </c>
      <c r="BS54" s="100">
        <v>636.81352915006801</v>
      </c>
      <c r="BT54" s="100">
        <v>3.4528862359389918</v>
      </c>
      <c r="BU54" s="100">
        <v>1156.0263117923746</v>
      </c>
      <c r="BV54" s="100">
        <v>4.2829790877798883</v>
      </c>
      <c r="BW54" s="100">
        <v>1433.9413985887068</v>
      </c>
      <c r="BX54" s="100">
        <v>4.4902036107826317</v>
      </c>
      <c r="BY54" s="100">
        <v>1503.3201688900251</v>
      </c>
      <c r="BZ54" s="100">
        <v>3.8679839023270017</v>
      </c>
      <c r="CA54" s="100">
        <v>1295.0010104990802</v>
      </c>
      <c r="CB54" s="100">
        <v>3.0161479364214414</v>
      </c>
      <c r="CC54" s="100">
        <v>1009.8063291138986</v>
      </c>
      <c r="CD54" s="100">
        <v>4.7453160493300457</v>
      </c>
      <c r="CE54" s="100">
        <v>1588.7318133156994</v>
      </c>
      <c r="CF54" s="100">
        <v>3.1063706990911144</v>
      </c>
      <c r="CG54" s="100">
        <v>1040.0129100557051</v>
      </c>
      <c r="CH54" s="100">
        <v>5</v>
      </c>
      <c r="CI54" s="100">
        <v>1674</v>
      </c>
      <c r="CJ54" s="100">
        <v>6.1508475161392813</v>
      </c>
      <c r="CK54" s="100">
        <v>2059.3037484034317</v>
      </c>
      <c r="CL54" s="100">
        <v>3.2276030091132566</v>
      </c>
      <c r="CM54" s="100">
        <v>1080.6014874511184</v>
      </c>
      <c r="CN54" s="100">
        <v>1.8178489766575292</v>
      </c>
      <c r="CO54" s="100">
        <v>608.61583738494085</v>
      </c>
      <c r="CP54" s="100">
        <v>2.647669031182331</v>
      </c>
      <c r="CQ54" s="100">
        <v>886.43959163984448</v>
      </c>
      <c r="CR54" s="100">
        <v>3.693811063105279</v>
      </c>
      <c r="CS54" s="100">
        <v>1236.6879439276474</v>
      </c>
      <c r="CT54" s="100">
        <v>4.6408002518679918</v>
      </c>
      <c r="CU54" s="100">
        <v>1553.7399243254038</v>
      </c>
    </row>
    <row r="55" spans="2:99">
      <c r="C55" s="99" t="s">
        <v>221</v>
      </c>
      <c r="D55" s="100">
        <v>1.0767606796290665</v>
      </c>
      <c r="E55" s="100">
        <v>714.5383870018486</v>
      </c>
      <c r="F55" s="100">
        <v>2.2818583879662202</v>
      </c>
      <c r="G55" s="100">
        <v>1514.2412262543837</v>
      </c>
      <c r="H55" s="100">
        <v>2.009418557214413</v>
      </c>
      <c r="I55" s="100">
        <v>1333.4501545674846</v>
      </c>
      <c r="J55" s="100">
        <v>3.81692275012011</v>
      </c>
      <c r="K55" s="100">
        <v>2532.909936979705</v>
      </c>
      <c r="L55" s="100">
        <v>4.682495396689756</v>
      </c>
      <c r="M55" s="100">
        <v>3107.3039452433222</v>
      </c>
      <c r="N55" s="100">
        <v>2.7468363924254495</v>
      </c>
      <c r="O55" s="100">
        <v>1822.8006300135285</v>
      </c>
      <c r="P55" s="100">
        <v>4.2933747671581548</v>
      </c>
      <c r="Q55" s="100">
        <v>2849.0834954861516</v>
      </c>
      <c r="R55" s="100">
        <v>4.7948324018439736</v>
      </c>
      <c r="S55" s="100">
        <v>3181.8507818636608</v>
      </c>
      <c r="T55" s="100">
        <v>2.8590144565980973</v>
      </c>
      <c r="U55" s="100">
        <v>1897.2419933984975</v>
      </c>
      <c r="V55" s="100">
        <v>3.9398905991731339</v>
      </c>
      <c r="W55" s="100">
        <v>2614.5114016112916</v>
      </c>
      <c r="X55" s="100">
        <v>4</v>
      </c>
      <c r="Y55" s="100">
        <v>2654.4</v>
      </c>
      <c r="Z55" s="100">
        <v>3.9549721080360145</v>
      </c>
      <c r="AA55" s="100">
        <v>2624.5194908926992</v>
      </c>
      <c r="AB55" s="100">
        <v>3.2754859033485961</v>
      </c>
      <c r="AC55" s="100">
        <v>2173.6124454621286</v>
      </c>
      <c r="AD55" s="100">
        <v>4.4086115772295127</v>
      </c>
      <c r="AE55" s="100">
        <v>2925.5546426495048</v>
      </c>
      <c r="AF55" s="100">
        <v>4.3129741892407774</v>
      </c>
      <c r="AG55" s="100">
        <v>2862.0896719801799</v>
      </c>
      <c r="AH55" s="100">
        <v>5.1316405862725905</v>
      </c>
      <c r="AI55" s="100">
        <v>3405.3566930504912</v>
      </c>
      <c r="AJ55" s="100">
        <v>3.8923958843155999</v>
      </c>
      <c r="AK55" s="100">
        <v>2582.9939088318324</v>
      </c>
      <c r="AL55" s="100">
        <v>2.5429169445551199</v>
      </c>
      <c r="AM55" s="100">
        <v>1687.4796844067776</v>
      </c>
      <c r="AN55" s="100">
        <v>4.1857622401102059</v>
      </c>
      <c r="AO55" s="100">
        <v>2777.6718225371328</v>
      </c>
      <c r="AP55" s="100">
        <v>3.8037006090893506</v>
      </c>
      <c r="AQ55" s="100">
        <v>2524.135724191693</v>
      </c>
      <c r="AR55" s="100">
        <v>4</v>
      </c>
      <c r="AS55" s="100">
        <v>2654.4</v>
      </c>
      <c r="AT55" s="100">
        <v>4.6210962475608097</v>
      </c>
      <c r="AU55" s="100">
        <v>3066.5594698813534</v>
      </c>
      <c r="AV55" s="100">
        <v>2.7355322197875163</v>
      </c>
      <c r="AW55" s="100">
        <v>1815.2991810509959</v>
      </c>
      <c r="AX55" s="100">
        <v>5</v>
      </c>
      <c r="AY55" s="100">
        <v>3318</v>
      </c>
      <c r="AZ55" s="100">
        <v>5.0915640867259269</v>
      </c>
      <c r="BA55" s="100">
        <v>3378.7619279513251</v>
      </c>
      <c r="BB55" s="100">
        <v>3.4528862359389918</v>
      </c>
      <c r="BC55" s="100">
        <v>2291.335306169115</v>
      </c>
      <c r="BD55" s="100">
        <v>6.0174574977059461</v>
      </c>
      <c r="BE55" s="100">
        <v>3993.1847954776658</v>
      </c>
      <c r="BF55" s="100">
        <v>4.1205738536612628</v>
      </c>
      <c r="BG55" s="100">
        <v>2734.412809289614</v>
      </c>
      <c r="BH55" s="100">
        <v>4.7306496259142676</v>
      </c>
      <c r="BI55" s="100">
        <v>3139.2590917567081</v>
      </c>
      <c r="BJ55" s="100">
        <v>4.6572872547684021</v>
      </c>
      <c r="BK55" s="100">
        <v>3090.5758222643117</v>
      </c>
      <c r="BL55" s="100">
        <v>1.8633900783692001</v>
      </c>
      <c r="BM55" s="100">
        <v>1236.5456560058012</v>
      </c>
      <c r="BN55" s="100">
        <v>7</v>
      </c>
      <c r="BO55" s="100">
        <v>4645.2</v>
      </c>
      <c r="BP55" s="100">
        <v>5.1482813994294299</v>
      </c>
      <c r="BQ55" s="100">
        <v>3416.3995366613699</v>
      </c>
      <c r="BR55" s="100">
        <v>1.9241786688216631</v>
      </c>
      <c r="BS55" s="100">
        <v>1276.8849646300557</v>
      </c>
      <c r="BT55" s="100">
        <v>3.4528862359389918</v>
      </c>
      <c r="BU55" s="100">
        <v>2291.335306169115</v>
      </c>
      <c r="BV55" s="100">
        <v>5.1395749053358655</v>
      </c>
      <c r="BW55" s="100">
        <v>3410.6219071808805</v>
      </c>
      <c r="BX55" s="100">
        <v>4.4902036107826317</v>
      </c>
      <c r="BY55" s="100">
        <v>2979.6991161153546</v>
      </c>
      <c r="BZ55" s="100">
        <v>4.5126478860481685</v>
      </c>
      <c r="CA55" s="100">
        <v>2994.5931371815645</v>
      </c>
      <c r="CB55" s="100">
        <v>3.0161479364214414</v>
      </c>
      <c r="CC55" s="100">
        <v>2001.5157706092687</v>
      </c>
      <c r="CD55" s="100">
        <v>3.8109133804479129</v>
      </c>
      <c r="CE55" s="100">
        <v>2528.9221192652353</v>
      </c>
      <c r="CF55" s="100">
        <v>2.5886422492425956</v>
      </c>
      <c r="CG55" s="100">
        <v>1717.8229965973865</v>
      </c>
      <c r="CH55" s="100">
        <v>5</v>
      </c>
      <c r="CI55" s="100">
        <v>3318</v>
      </c>
      <c r="CJ55" s="100">
        <v>6.1508475161392813</v>
      </c>
      <c r="CK55" s="100">
        <v>4081.7024117100273</v>
      </c>
      <c r="CL55" s="100">
        <v>3.2641429548960725</v>
      </c>
      <c r="CM55" s="100">
        <v>2166.0852648690338</v>
      </c>
      <c r="CN55" s="100">
        <v>1.8178489766575292</v>
      </c>
      <c r="CO55" s="100">
        <v>1206.3245809099365</v>
      </c>
      <c r="CP55" s="100">
        <v>2.6288514833451062</v>
      </c>
      <c r="CQ55" s="100">
        <v>1744.5058443478126</v>
      </c>
      <c r="CR55" s="100">
        <v>3.0781758859210657</v>
      </c>
      <c r="CS55" s="100">
        <v>2042.6775178972193</v>
      </c>
      <c r="CT55" s="100">
        <v>4.6722596959469032</v>
      </c>
      <c r="CU55" s="100">
        <v>3100.5115342303652</v>
      </c>
    </row>
    <row r="56" spans="2:99">
      <c r="C56" s="99" t="s">
        <v>222</v>
      </c>
      <c r="D56" s="100">
        <v>6</v>
      </c>
      <c r="E56" s="100">
        <v>5889.5999999999995</v>
      </c>
      <c r="F56" s="100">
        <v>4</v>
      </c>
      <c r="G56" s="100">
        <v>3926.3999999999996</v>
      </c>
      <c r="H56" s="100">
        <v>4.0759572159570894</v>
      </c>
      <c r="I56" s="100">
        <v>4000.9596031834785</v>
      </c>
      <c r="J56" s="100">
        <v>2.7026107574978324</v>
      </c>
      <c r="K56" s="100">
        <v>2652.8827195598719</v>
      </c>
      <c r="L56" s="100">
        <v>6.5867511707902313</v>
      </c>
      <c r="M56" s="100">
        <v>6465.5549492476903</v>
      </c>
      <c r="N56" s="100">
        <v>2.6374389355566725</v>
      </c>
      <c r="O56" s="100">
        <v>2588.9100591424294</v>
      </c>
      <c r="P56" s="100">
        <v>5.0019270662089337</v>
      </c>
      <c r="Q56" s="100">
        <v>4909.8916081906891</v>
      </c>
      <c r="R56" s="100">
        <v>3.368200431245397</v>
      </c>
      <c r="S56" s="100">
        <v>3306.2255433104815</v>
      </c>
      <c r="T56" s="100">
        <v>3.1254961154900092</v>
      </c>
      <c r="U56" s="100">
        <v>3067.9869869649929</v>
      </c>
      <c r="V56" s="100">
        <v>4.2328181156664311</v>
      </c>
      <c r="W56" s="100">
        <v>4154.9342623381681</v>
      </c>
      <c r="X56" s="100">
        <v>0.95848404771725448</v>
      </c>
      <c r="Y56" s="100">
        <v>940.8479412392569</v>
      </c>
      <c r="Z56" s="100">
        <v>2.3106931704439786</v>
      </c>
      <c r="AA56" s="100">
        <v>2268.176416107809</v>
      </c>
      <c r="AB56" s="100">
        <v>3.314990963825204</v>
      </c>
      <c r="AC56" s="100">
        <v>3253.9951300908201</v>
      </c>
      <c r="AD56" s="100">
        <v>4.3723020498952447</v>
      </c>
      <c r="AE56" s="100">
        <v>4291.8516921771716</v>
      </c>
      <c r="AF56" s="100">
        <v>3.322538397724891</v>
      </c>
      <c r="AG56" s="100">
        <v>3261.4036912067527</v>
      </c>
      <c r="AH56" s="100">
        <v>4.5128077341743671</v>
      </c>
      <c r="AI56" s="100">
        <v>4429.7720718655582</v>
      </c>
      <c r="AJ56" s="100">
        <v>3.1851097418559084</v>
      </c>
      <c r="AK56" s="100">
        <v>3126.5037226057593</v>
      </c>
      <c r="AL56" s="100">
        <v>2.8063541900768292</v>
      </c>
      <c r="AM56" s="100">
        <v>2754.7172729794152</v>
      </c>
      <c r="AN56" s="100">
        <v>3.0417570880819875</v>
      </c>
      <c r="AO56" s="100">
        <v>2985.7887576612789</v>
      </c>
      <c r="AP56" s="100">
        <v>3.7968689404498095</v>
      </c>
      <c r="AQ56" s="100">
        <v>3727.0065519455325</v>
      </c>
      <c r="AR56" s="100">
        <v>2.743330915555803</v>
      </c>
      <c r="AS56" s="100">
        <v>2692.853626709576</v>
      </c>
      <c r="AT56" s="100">
        <v>5.6469481219801168</v>
      </c>
      <c r="AU56" s="100">
        <v>5543.044276535682</v>
      </c>
      <c r="AV56" s="100">
        <v>4.1590164286809834</v>
      </c>
      <c r="AW56" s="100">
        <v>4082.4905263932528</v>
      </c>
      <c r="AX56" s="100">
        <v>3.526807878942062</v>
      </c>
      <c r="AY56" s="100">
        <v>3461.9146139695276</v>
      </c>
      <c r="AZ56" s="100">
        <v>3.1613817706476839</v>
      </c>
      <c r="BA56" s="100">
        <v>3103.2123460677662</v>
      </c>
      <c r="BB56" s="100">
        <v>4.0481684653038457</v>
      </c>
      <c r="BC56" s="100">
        <v>3973.6821655422546</v>
      </c>
      <c r="BD56" s="100">
        <v>2.839376011121074</v>
      </c>
      <c r="BE56" s="100">
        <v>2787.1314925164461</v>
      </c>
      <c r="BF56" s="100">
        <v>4.4515103383264885</v>
      </c>
      <c r="BG56" s="100">
        <v>4369.6025481012803</v>
      </c>
      <c r="BH56" s="100">
        <v>3.5222571590982663</v>
      </c>
      <c r="BI56" s="100">
        <v>3457.4476273708578</v>
      </c>
      <c r="BJ56" s="100">
        <v>5.3125604131452615</v>
      </c>
      <c r="BK56" s="100">
        <v>5214.8093015433878</v>
      </c>
      <c r="BL56" s="100">
        <v>2.0667565143669324</v>
      </c>
      <c r="BM56" s="100">
        <v>2028.7281945025807</v>
      </c>
      <c r="BN56" s="100">
        <v>6.0285572884542695</v>
      </c>
      <c r="BO56" s="100">
        <v>5917.6318343467101</v>
      </c>
      <c r="BP56" s="100">
        <v>3.7208645750493972</v>
      </c>
      <c r="BQ56" s="100">
        <v>3652.4006668684879</v>
      </c>
      <c r="BR56" s="100">
        <v>2.1908758930584766</v>
      </c>
      <c r="BS56" s="100">
        <v>2150.5637766262003</v>
      </c>
      <c r="BT56" s="100">
        <v>2.2533735279458647</v>
      </c>
      <c r="BU56" s="100">
        <v>2211.9114550316604</v>
      </c>
      <c r="BV56" s="100">
        <v>4.2390710787933363</v>
      </c>
      <c r="BW56" s="100">
        <v>4161.0721709435384</v>
      </c>
      <c r="BX56" s="100">
        <v>3.4612711827104921</v>
      </c>
      <c r="BY56" s="100">
        <v>3397.5837929486188</v>
      </c>
      <c r="BZ56" s="100">
        <v>2.9097956803661278</v>
      </c>
      <c r="CA56" s="100">
        <v>2856.2554398473908</v>
      </c>
      <c r="CB56" s="100">
        <v>2.6259017231791812</v>
      </c>
      <c r="CC56" s="100">
        <v>2577.5851314726842</v>
      </c>
      <c r="CD56" s="100">
        <v>2.7790123465561507</v>
      </c>
      <c r="CE56" s="100">
        <v>2727.8785193795175</v>
      </c>
      <c r="CF56" s="100">
        <v>3.078292198508747</v>
      </c>
      <c r="CG56" s="100">
        <v>3021.6516220561857</v>
      </c>
      <c r="CH56" s="100">
        <v>3.186422558002342</v>
      </c>
      <c r="CI56" s="100">
        <v>3127.7923829350984</v>
      </c>
      <c r="CJ56" s="100">
        <v>3.1795270422296418</v>
      </c>
      <c r="CK56" s="100">
        <v>3121.0237446526162</v>
      </c>
      <c r="CL56" s="100">
        <v>2.0806350009139098</v>
      </c>
      <c r="CM56" s="100">
        <v>2042.3513168970937</v>
      </c>
      <c r="CN56" s="100">
        <v>2.9933824174126702</v>
      </c>
      <c r="CO56" s="100">
        <v>2938.3041809322767</v>
      </c>
      <c r="CP56" s="100">
        <v>3.6058358181242505</v>
      </c>
      <c r="CQ56" s="100">
        <v>3539.4884390707639</v>
      </c>
      <c r="CR56" s="100">
        <v>1.6973432396379393</v>
      </c>
      <c r="CS56" s="100">
        <v>1666.1121240286011</v>
      </c>
      <c r="CT56" s="100">
        <v>3.1409717780336117</v>
      </c>
      <c r="CU56" s="100">
        <v>3083.1778973177929</v>
      </c>
    </row>
    <row r="57" spans="2:99">
      <c r="C57" s="99" t="s">
        <v>223</v>
      </c>
      <c r="D57" s="100">
        <v>1.0767606796290665</v>
      </c>
      <c r="E57" s="100">
        <v>1519.5246710925387</v>
      </c>
      <c r="F57" s="100">
        <v>2.2818583879662202</v>
      </c>
      <c r="G57" s="100">
        <v>3220.15855709793</v>
      </c>
      <c r="H57" s="100">
        <v>2.009418557214413</v>
      </c>
      <c r="I57" s="100">
        <v>2835.6914679409797</v>
      </c>
      <c r="J57" s="100">
        <v>4.5803073001441321</v>
      </c>
      <c r="K57" s="100">
        <v>6463.7296619633998</v>
      </c>
      <c r="L57" s="100">
        <v>4.682495396689756</v>
      </c>
      <c r="M57" s="100">
        <v>6607.9375038085836</v>
      </c>
      <c r="N57" s="100">
        <v>2.7573772959962053</v>
      </c>
      <c r="O57" s="100">
        <v>3891.2108401098449</v>
      </c>
      <c r="P57" s="100">
        <v>4.2933747671581548</v>
      </c>
      <c r="Q57" s="100">
        <v>6058.8104714135879</v>
      </c>
      <c r="R57" s="100">
        <v>4.8255020984707153</v>
      </c>
      <c r="S57" s="100">
        <v>6809.7485613618737</v>
      </c>
      <c r="T57" s="100">
        <v>2.8426244068168725</v>
      </c>
      <c r="U57" s="100">
        <v>4011.5115628999706</v>
      </c>
      <c r="V57" s="100">
        <v>3.9398905991731339</v>
      </c>
      <c r="W57" s="100">
        <v>5559.9736135531266</v>
      </c>
      <c r="X57" s="100">
        <v>4</v>
      </c>
      <c r="Y57" s="100">
        <v>5644.8</v>
      </c>
      <c r="Z57" s="100">
        <v>3.9549721080360145</v>
      </c>
      <c r="AA57" s="100">
        <v>5581.2566388604237</v>
      </c>
      <c r="AB57" s="100">
        <v>2.7295715861238303</v>
      </c>
      <c r="AC57" s="100">
        <v>3851.9714223379497</v>
      </c>
      <c r="AD57" s="100">
        <v>3.5268892617836096</v>
      </c>
      <c r="AE57" s="100">
        <v>4977.1461262290304</v>
      </c>
      <c r="AF57" s="100">
        <v>3.5941451577006474</v>
      </c>
      <c r="AG57" s="100">
        <v>5072.057646547154</v>
      </c>
      <c r="AH57" s="100">
        <v>5.1316405862725905</v>
      </c>
      <c r="AI57" s="100">
        <v>7241.7711953478802</v>
      </c>
      <c r="AJ57" s="100">
        <v>3.2770747673836271</v>
      </c>
      <c r="AK57" s="100">
        <v>4624.6079117317749</v>
      </c>
      <c r="AL57" s="100">
        <v>2.5429169445551199</v>
      </c>
      <c r="AM57" s="100">
        <v>3588.5643921561855</v>
      </c>
      <c r="AN57" s="100">
        <v>4.1857622401102059</v>
      </c>
      <c r="AO57" s="100">
        <v>5906.9476732435232</v>
      </c>
      <c r="AP57" s="100">
        <v>4.4376507106042418</v>
      </c>
      <c r="AQ57" s="100">
        <v>6262.4126828047065</v>
      </c>
      <c r="AR57" s="100">
        <v>4</v>
      </c>
      <c r="AS57" s="100">
        <v>5644.8</v>
      </c>
      <c r="AT57" s="100">
        <v>4.6210962475608097</v>
      </c>
      <c r="AU57" s="100">
        <v>6521.291024557815</v>
      </c>
      <c r="AV57" s="100">
        <v>2.7355322197875163</v>
      </c>
      <c r="AW57" s="100">
        <v>3860.3830685641433</v>
      </c>
      <c r="AX57" s="100">
        <v>5</v>
      </c>
      <c r="AY57" s="100">
        <v>7056</v>
      </c>
      <c r="AZ57" s="100">
        <v>4.2429700722716053</v>
      </c>
      <c r="BA57" s="100">
        <v>5987.6793659896894</v>
      </c>
      <c r="BB57" s="100">
        <v>3.4528862359389918</v>
      </c>
      <c r="BC57" s="100">
        <v>4872.7130561571057</v>
      </c>
      <c r="BD57" s="100">
        <v>6.0174574977059461</v>
      </c>
      <c r="BE57" s="100">
        <v>8491.836020762632</v>
      </c>
      <c r="BF57" s="100">
        <v>4.1205738536612628</v>
      </c>
      <c r="BG57" s="100">
        <v>5814.9538222867741</v>
      </c>
      <c r="BH57" s="100">
        <v>3.9678620301012808</v>
      </c>
      <c r="BI57" s="100">
        <v>5599.4468968789279</v>
      </c>
      <c r="BJ57" s="100">
        <v>3.8810727123070019</v>
      </c>
      <c r="BK57" s="100">
        <v>5476.9698116076415</v>
      </c>
      <c r="BL57" s="100">
        <v>2.3292375979615003</v>
      </c>
      <c r="BM57" s="100">
        <v>3287.0200982432693</v>
      </c>
      <c r="BN57" s="100">
        <v>6</v>
      </c>
      <c r="BO57" s="100">
        <v>8467.2000000000007</v>
      </c>
      <c r="BP57" s="100">
        <v>5.1173653398328476</v>
      </c>
      <c r="BQ57" s="100">
        <v>7221.6259675721149</v>
      </c>
      <c r="BR57" s="100">
        <v>1.9020714729691397</v>
      </c>
      <c r="BS57" s="100">
        <v>2684.2032626540499</v>
      </c>
      <c r="BT57" s="100">
        <v>3.4528862359389918</v>
      </c>
      <c r="BU57" s="100">
        <v>4872.7130561571057</v>
      </c>
      <c r="BV57" s="100">
        <v>4.2829790877798883</v>
      </c>
      <c r="BW57" s="100">
        <v>6044.1400886749789</v>
      </c>
      <c r="BX57" s="100">
        <v>4.4902036107826317</v>
      </c>
      <c r="BY57" s="100">
        <v>6336.5753355364504</v>
      </c>
      <c r="BZ57" s="100">
        <v>4.5126478860481685</v>
      </c>
      <c r="CA57" s="100">
        <v>6368.2486967911755</v>
      </c>
      <c r="CB57" s="100">
        <v>3.0161479364214414</v>
      </c>
      <c r="CC57" s="100">
        <v>4256.3879678779385</v>
      </c>
      <c r="CD57" s="100">
        <v>3.8004415654594301</v>
      </c>
      <c r="CE57" s="100">
        <v>5363.1831371763483</v>
      </c>
      <c r="CF57" s="100">
        <v>2.5886422492425956</v>
      </c>
      <c r="CG57" s="100">
        <v>3653.091942131151</v>
      </c>
      <c r="CH57" s="100">
        <v>5</v>
      </c>
      <c r="CI57" s="100">
        <v>7056</v>
      </c>
      <c r="CJ57" s="100">
        <v>5.2721550138336699</v>
      </c>
      <c r="CK57" s="100">
        <v>7440.0651555220757</v>
      </c>
      <c r="CL57" s="100">
        <v>2.4937821484005749</v>
      </c>
      <c r="CM57" s="100">
        <v>3519.2253678228913</v>
      </c>
      <c r="CN57" s="100">
        <v>1.8178489766575292</v>
      </c>
      <c r="CO57" s="100">
        <v>2565.3484758591053</v>
      </c>
      <c r="CP57" s="100">
        <v>2.647669031182331</v>
      </c>
      <c r="CQ57" s="100">
        <v>3736.3905368045057</v>
      </c>
      <c r="CR57" s="100">
        <v>3.0781758859210657</v>
      </c>
      <c r="CS57" s="100">
        <v>4343.9218102118084</v>
      </c>
      <c r="CT57" s="100">
        <v>4.6408002518679918</v>
      </c>
      <c r="CU57" s="100">
        <v>6549.09731543611</v>
      </c>
    </row>
    <row r="58" spans="2:99">
      <c r="C58" s="99" t="s">
        <v>224</v>
      </c>
      <c r="D58" s="100">
        <v>4.2717796883549264</v>
      </c>
      <c r="E58" s="100">
        <v>5028.73904913142</v>
      </c>
      <c r="F58" s="100">
        <v>4.1428963373904848</v>
      </c>
      <c r="G58" s="100">
        <v>4877.017568376079</v>
      </c>
      <c r="H58" s="100">
        <v>3.1111696806242697</v>
      </c>
      <c r="I58" s="100">
        <v>3662.4689480308903</v>
      </c>
      <c r="J58" s="100">
        <v>5.7010360190137304</v>
      </c>
      <c r="K58" s="100">
        <v>6711.259601582964</v>
      </c>
      <c r="L58" s="100">
        <v>6</v>
      </c>
      <c r="M58" s="100">
        <v>7063.2000000000007</v>
      </c>
      <c r="N58" s="100">
        <v>4</v>
      </c>
      <c r="O58" s="100">
        <v>4708.8</v>
      </c>
      <c r="P58" s="100">
        <v>6.1018478550567332</v>
      </c>
      <c r="Q58" s="100">
        <v>7183.0952949727862</v>
      </c>
      <c r="R58" s="100">
        <v>6</v>
      </c>
      <c r="S58" s="100">
        <v>7063.2000000000007</v>
      </c>
      <c r="T58" s="100">
        <v>4.355471536717789</v>
      </c>
      <c r="U58" s="100">
        <v>5127.2610930241817</v>
      </c>
      <c r="V58" s="100">
        <v>5.438996287466626</v>
      </c>
      <c r="W58" s="100">
        <v>6402.7864296057123</v>
      </c>
      <c r="X58" s="100">
        <v>3.1175378730430494</v>
      </c>
      <c r="Y58" s="100">
        <v>3669.9655841462777</v>
      </c>
      <c r="Z58" s="100">
        <v>3.9815325122030165</v>
      </c>
      <c r="AA58" s="100">
        <v>4687.060073365391</v>
      </c>
      <c r="AB58" s="100">
        <v>4.7968710399522632</v>
      </c>
      <c r="AC58" s="100">
        <v>5646.8765882318048</v>
      </c>
      <c r="AD58" s="100">
        <v>5.534684416025736</v>
      </c>
      <c r="AE58" s="100">
        <v>6515.4304945454969</v>
      </c>
      <c r="AF58" s="100">
        <v>4.9274738544117591</v>
      </c>
      <c r="AG58" s="100">
        <v>5800.6222214135232</v>
      </c>
      <c r="AH58" s="100">
        <v>7</v>
      </c>
      <c r="AI58" s="100">
        <v>8240.4</v>
      </c>
      <c r="AJ58" s="100">
        <v>6</v>
      </c>
      <c r="AK58" s="100">
        <v>7063.2000000000007</v>
      </c>
      <c r="AL58" s="100">
        <v>4</v>
      </c>
      <c r="AM58" s="100">
        <v>4708.8</v>
      </c>
      <c r="AN58" s="100">
        <v>4.1991582685320994</v>
      </c>
      <c r="AO58" s="100">
        <v>4943.2491137159877</v>
      </c>
      <c r="AP58" s="100">
        <v>7</v>
      </c>
      <c r="AQ58" s="100">
        <v>8240.4</v>
      </c>
      <c r="AR58" s="100">
        <v>4</v>
      </c>
      <c r="AS58" s="100">
        <v>4708.8</v>
      </c>
      <c r="AT58" s="100">
        <v>7</v>
      </c>
      <c r="AU58" s="100">
        <v>8240.4</v>
      </c>
      <c r="AV58" s="100">
        <v>6.1461036561575302</v>
      </c>
      <c r="AW58" s="100">
        <v>7235.1932240286451</v>
      </c>
      <c r="AX58" s="100">
        <v>5.3295890938868355</v>
      </c>
      <c r="AY58" s="100">
        <v>6273.9922813235835</v>
      </c>
      <c r="AZ58" s="100">
        <v>4.4168694360415719</v>
      </c>
      <c r="BA58" s="100">
        <v>5199.538700108139</v>
      </c>
      <c r="BB58" s="100">
        <v>3.9702425249081439</v>
      </c>
      <c r="BC58" s="100">
        <v>4673.7695003218669</v>
      </c>
      <c r="BD58" s="100">
        <v>4.9034681741734252</v>
      </c>
      <c r="BE58" s="100">
        <v>5772.3627346369567</v>
      </c>
      <c r="BF58" s="100">
        <v>5.9784024207760176</v>
      </c>
      <c r="BG58" s="100">
        <v>7037.7753297375284</v>
      </c>
      <c r="BH58" s="100">
        <v>5.3319350568891934</v>
      </c>
      <c r="BI58" s="100">
        <v>6276.7539489699584</v>
      </c>
      <c r="BJ58" s="100">
        <v>5</v>
      </c>
      <c r="BK58" s="100">
        <v>5886</v>
      </c>
      <c r="BL58" s="100">
        <v>3.5057523369037065</v>
      </c>
      <c r="BM58" s="100">
        <v>4126.971651003043</v>
      </c>
      <c r="BN58" s="100">
        <v>5.7313264373455617</v>
      </c>
      <c r="BO58" s="100">
        <v>6746.9174820431954</v>
      </c>
      <c r="BP58" s="100">
        <v>4.1720244863236982</v>
      </c>
      <c r="BQ58" s="100">
        <v>4911.3072253002574</v>
      </c>
      <c r="BR58" s="100">
        <v>3.0325490449204917</v>
      </c>
      <c r="BS58" s="100">
        <v>3569.9167356804028</v>
      </c>
      <c r="BT58" s="100">
        <v>4.5917417384804571</v>
      </c>
      <c r="BU58" s="100">
        <v>5405.3983745391943</v>
      </c>
      <c r="BV58" s="100">
        <v>4.7968710399522632</v>
      </c>
      <c r="BW58" s="100">
        <v>5646.8765882318048</v>
      </c>
      <c r="BX58" s="100">
        <v>3.5539087858119944</v>
      </c>
      <c r="BY58" s="100">
        <v>4183.6614226578804</v>
      </c>
      <c r="BZ58" s="100">
        <v>5.9662534030747425</v>
      </c>
      <c r="CA58" s="100">
        <v>7023.4735060995872</v>
      </c>
      <c r="CB58" s="100">
        <v>2.6984692354148612</v>
      </c>
      <c r="CC58" s="100">
        <v>3176.6379839303745</v>
      </c>
      <c r="CD58" s="100">
        <v>5.2378147474217469</v>
      </c>
      <c r="CE58" s="100">
        <v>6165.9555206648811</v>
      </c>
      <c r="CF58" s="100">
        <v>5.8747626306740273</v>
      </c>
      <c r="CG58" s="100">
        <v>6915.7705688294654</v>
      </c>
      <c r="CH58" s="100">
        <v>5</v>
      </c>
      <c r="CI58" s="100">
        <v>5886</v>
      </c>
      <c r="CJ58" s="100">
        <v>4.5430179556381178</v>
      </c>
      <c r="CK58" s="100">
        <v>5348.0407373771923</v>
      </c>
      <c r="CL58" s="100">
        <v>4.046619796334431</v>
      </c>
      <c r="CM58" s="100">
        <v>4763.6808242448924</v>
      </c>
      <c r="CN58" s="100">
        <v>3.9032328121638273</v>
      </c>
      <c r="CO58" s="100">
        <v>4594.8856664792575</v>
      </c>
      <c r="CP58" s="100">
        <v>4.1472453953782118</v>
      </c>
      <c r="CQ58" s="100">
        <v>4882.137279439231</v>
      </c>
      <c r="CR58" s="100">
        <v>3.1613412791701974</v>
      </c>
      <c r="CS58" s="100">
        <v>3721.5309538391566</v>
      </c>
      <c r="CT58" s="100">
        <v>5</v>
      </c>
      <c r="CU58" s="100">
        <v>5886</v>
      </c>
    </row>
    <row r="59" spans="2:99">
      <c r="C59" s="99" t="s">
        <v>225</v>
      </c>
      <c r="D59" s="100">
        <v>1.2557900379073967</v>
      </c>
      <c r="E59" s="100">
        <v>381.25785550868562</v>
      </c>
      <c r="F59" s="100">
        <v>2.2818583879662202</v>
      </c>
      <c r="G59" s="100">
        <v>692.77220658654437</v>
      </c>
      <c r="H59" s="100">
        <v>2.6475020966603422</v>
      </c>
      <c r="I59" s="100">
        <v>803.78163654607977</v>
      </c>
      <c r="J59" s="100">
        <v>4.5803073001441321</v>
      </c>
      <c r="K59" s="100">
        <v>1390.5812963237584</v>
      </c>
      <c r="L59" s="100">
        <v>5.4872971370369186</v>
      </c>
      <c r="M59" s="100">
        <v>1665.9434108044084</v>
      </c>
      <c r="N59" s="100">
        <v>2.7468363924254495</v>
      </c>
      <c r="O59" s="100">
        <v>833.93952874036643</v>
      </c>
      <c r="P59" s="100">
        <v>5.1385748471111334</v>
      </c>
      <c r="Q59" s="100">
        <v>1560.0713235829398</v>
      </c>
      <c r="R59" s="100">
        <v>4.7948324018439736</v>
      </c>
      <c r="S59" s="100">
        <v>1455.7111171998301</v>
      </c>
      <c r="T59" s="100">
        <v>2.8426244068168725</v>
      </c>
      <c r="U59" s="100">
        <v>863.02076990960234</v>
      </c>
      <c r="V59" s="100">
        <v>3.9398905991731339</v>
      </c>
      <c r="W59" s="100">
        <v>1196.1507859089634</v>
      </c>
      <c r="X59" s="100">
        <v>4</v>
      </c>
      <c r="Y59" s="100">
        <v>1214.3999999999999</v>
      </c>
      <c r="Z59" s="100">
        <v>3.9549721080360145</v>
      </c>
      <c r="AA59" s="100">
        <v>1200.7295319997338</v>
      </c>
      <c r="AB59" s="100">
        <v>3.2754859033485961</v>
      </c>
      <c r="AC59" s="100">
        <v>994.43752025663366</v>
      </c>
      <c r="AD59" s="100">
        <v>4.4086115772295127</v>
      </c>
      <c r="AE59" s="100">
        <v>1338.45447484688</v>
      </c>
      <c r="AF59" s="100">
        <v>4.3129741892407774</v>
      </c>
      <c r="AG59" s="100">
        <v>1309.4189638534999</v>
      </c>
      <c r="AH59" s="100">
        <v>5.1316405862725905</v>
      </c>
      <c r="AI59" s="100">
        <v>1557.9660819923583</v>
      </c>
      <c r="AJ59" s="100">
        <v>4.5077170012475722</v>
      </c>
      <c r="AK59" s="100">
        <v>1368.5428815787627</v>
      </c>
      <c r="AL59" s="100">
        <v>2.5429169445551199</v>
      </c>
      <c r="AM59" s="100">
        <v>772.02958436693427</v>
      </c>
      <c r="AN59" s="100">
        <v>4.1857622401102059</v>
      </c>
      <c r="AO59" s="100">
        <v>1270.7974160974584</v>
      </c>
      <c r="AP59" s="100">
        <v>4.4376507106042418</v>
      </c>
      <c r="AQ59" s="100">
        <v>1347.2707557394476</v>
      </c>
      <c r="AR59" s="100">
        <v>4</v>
      </c>
      <c r="AS59" s="100">
        <v>1214.3999999999999</v>
      </c>
      <c r="AT59" s="100">
        <v>4.6502829497839295</v>
      </c>
      <c r="AU59" s="100">
        <v>1411.8259035544008</v>
      </c>
      <c r="AV59" s="100">
        <v>3.2826386637450198</v>
      </c>
      <c r="AW59" s="100">
        <v>996.60909831298784</v>
      </c>
      <c r="AX59" s="100">
        <v>5</v>
      </c>
      <c r="AY59" s="100">
        <v>1517.9999999999998</v>
      </c>
      <c r="AZ59" s="100">
        <v>5.0915640867259269</v>
      </c>
      <c r="BA59" s="100">
        <v>1545.7988567299913</v>
      </c>
      <c r="BB59" s="100">
        <v>3.4528862359389918</v>
      </c>
      <c r="BC59" s="100">
        <v>1048.2962612310778</v>
      </c>
      <c r="BD59" s="100">
        <v>6.0174574977059461</v>
      </c>
      <c r="BE59" s="100">
        <v>1826.9000963035251</v>
      </c>
      <c r="BF59" s="100">
        <v>4.1205738536612628</v>
      </c>
      <c r="BG59" s="100">
        <v>1251.0062219715592</v>
      </c>
      <c r="BH59" s="100">
        <v>4.7614344361215366</v>
      </c>
      <c r="BI59" s="100">
        <v>1445.5714948064983</v>
      </c>
      <c r="BJ59" s="100">
        <v>3.8810727123070019</v>
      </c>
      <c r="BK59" s="100">
        <v>1178.2936754564057</v>
      </c>
      <c r="BL59" s="100">
        <v>2.3292375979615003</v>
      </c>
      <c r="BM59" s="100">
        <v>707.15653474111139</v>
      </c>
      <c r="BN59" s="100">
        <v>7</v>
      </c>
      <c r="BO59" s="100">
        <v>2125.1999999999998</v>
      </c>
      <c r="BP59" s="100">
        <v>6.0790062886062515</v>
      </c>
      <c r="BQ59" s="100">
        <v>1845.5863092208576</v>
      </c>
      <c r="BR59" s="100">
        <v>1.9020714729691397</v>
      </c>
      <c r="BS59" s="100">
        <v>577.46889919343073</v>
      </c>
      <c r="BT59" s="100">
        <v>4.1434634831267898</v>
      </c>
      <c r="BU59" s="100">
        <v>1257.9555134772932</v>
      </c>
      <c r="BV59" s="100">
        <v>5.1395749053358655</v>
      </c>
      <c r="BW59" s="100">
        <v>1560.3749412599686</v>
      </c>
      <c r="BX59" s="100">
        <v>4.4902036107826317</v>
      </c>
      <c r="BY59" s="100">
        <v>1363.2258162336068</v>
      </c>
      <c r="BZ59" s="100">
        <v>3.8679839023270017</v>
      </c>
      <c r="CA59" s="100">
        <v>1174.3199127464775</v>
      </c>
      <c r="CB59" s="100">
        <v>3.0161479364214414</v>
      </c>
      <c r="CC59" s="100">
        <v>915.70251349754949</v>
      </c>
      <c r="CD59" s="100">
        <v>4.7453160493300457</v>
      </c>
      <c r="CE59" s="100">
        <v>1440.6779525766017</v>
      </c>
      <c r="CF59" s="100">
        <v>3.1063706990911144</v>
      </c>
      <c r="CG59" s="100">
        <v>943.09414424406225</v>
      </c>
      <c r="CH59" s="100">
        <v>5</v>
      </c>
      <c r="CI59" s="100">
        <v>1517.9999999999998</v>
      </c>
      <c r="CJ59" s="100">
        <v>5.2721550138336699</v>
      </c>
      <c r="CK59" s="100">
        <v>1600.6262621999019</v>
      </c>
      <c r="CL59" s="100">
        <v>2.4937821484005749</v>
      </c>
      <c r="CM59" s="100">
        <v>757.11226025441442</v>
      </c>
      <c r="CN59" s="100">
        <v>2.2723112208219121</v>
      </c>
      <c r="CO59" s="100">
        <v>689.87368664153246</v>
      </c>
      <c r="CP59" s="100">
        <v>3.4988627951810671</v>
      </c>
      <c r="CQ59" s="100">
        <v>1062.2547446169719</v>
      </c>
      <c r="CR59" s="100">
        <v>3.693811063105279</v>
      </c>
      <c r="CS59" s="100">
        <v>1121.4410387587625</v>
      </c>
      <c r="CT59" s="100">
        <v>4.6722596959469032</v>
      </c>
      <c r="CU59" s="100">
        <v>1418.4980436894796</v>
      </c>
    </row>
    <row r="60" spans="2:99">
      <c r="C60" s="99" t="s">
        <v>226</v>
      </c>
      <c r="D60" s="100">
        <v>1.0780529446086096</v>
      </c>
      <c r="E60" s="100">
        <v>702.45929870697</v>
      </c>
      <c r="F60" s="100">
        <v>2.2818583879662202</v>
      </c>
      <c r="G60" s="100">
        <v>1486.858925598789</v>
      </c>
      <c r="H60" s="100">
        <v>2.009418557214413</v>
      </c>
      <c r="I60" s="100">
        <v>1309.3371318809116</v>
      </c>
      <c r="J60" s="100">
        <v>3.81692275012011</v>
      </c>
      <c r="K60" s="100">
        <v>2487.1068639782638</v>
      </c>
      <c r="L60" s="100">
        <v>4.7190741580380609</v>
      </c>
      <c r="M60" s="100">
        <v>3074.9487213776006</v>
      </c>
      <c r="N60" s="100">
        <v>2.7468363924254495</v>
      </c>
      <c r="O60" s="100">
        <v>1789.8385933044231</v>
      </c>
      <c r="P60" s="100">
        <v>5.1217312552628194</v>
      </c>
      <c r="Q60" s="100">
        <v>3337.3200859292533</v>
      </c>
      <c r="R60" s="100">
        <v>4.8255020984707153</v>
      </c>
      <c r="S60" s="100">
        <v>3144.2971673635184</v>
      </c>
      <c r="T60" s="100">
        <v>2.8590144565980973</v>
      </c>
      <c r="U60" s="100">
        <v>1862.9338199193203</v>
      </c>
      <c r="V60" s="100">
        <v>4.7278687190077608</v>
      </c>
      <c r="W60" s="100">
        <v>3080.6792573054572</v>
      </c>
      <c r="X60" s="100">
        <v>4</v>
      </c>
      <c r="Y60" s="100">
        <v>2606.4</v>
      </c>
      <c r="Z60" s="100">
        <v>3.9549721080360145</v>
      </c>
      <c r="AA60" s="100">
        <v>2577.0598255962673</v>
      </c>
      <c r="AB60" s="100">
        <v>3.2754859033485961</v>
      </c>
      <c r="AC60" s="100">
        <v>2134.3066146219453</v>
      </c>
      <c r="AD60" s="100">
        <v>4.4086115772295127</v>
      </c>
      <c r="AE60" s="100">
        <v>2872.6513037227505</v>
      </c>
      <c r="AF60" s="100">
        <v>3.5941451577006474</v>
      </c>
      <c r="AG60" s="100">
        <v>2341.9449847577421</v>
      </c>
      <c r="AH60" s="100">
        <v>4.3985490739479349</v>
      </c>
      <c r="AI60" s="100">
        <v>2866.0945765844745</v>
      </c>
      <c r="AJ60" s="100">
        <v>4.5077170012475722</v>
      </c>
      <c r="AK60" s="100">
        <v>2937.2283980129182</v>
      </c>
      <c r="AL60" s="100">
        <v>2.5429169445551199</v>
      </c>
      <c r="AM60" s="100">
        <v>1656.9646810721163</v>
      </c>
      <c r="AN60" s="100">
        <v>4.1548018667585049</v>
      </c>
      <c r="AO60" s="100">
        <v>2707.2688963798419</v>
      </c>
      <c r="AP60" s="100">
        <v>3.8037006090893506</v>
      </c>
      <c r="AQ60" s="100">
        <v>2478.491316882621</v>
      </c>
      <c r="AR60" s="100">
        <v>4</v>
      </c>
      <c r="AS60" s="100">
        <v>2606.4</v>
      </c>
      <c r="AT60" s="100">
        <v>4.6502829497839295</v>
      </c>
      <c r="AU60" s="100">
        <v>3030.1243700792088</v>
      </c>
      <c r="AV60" s="100">
        <v>3.2826386637450198</v>
      </c>
      <c r="AW60" s="100">
        <v>2138.9673532962552</v>
      </c>
      <c r="AX60" s="100">
        <v>5</v>
      </c>
      <c r="AY60" s="100">
        <v>3258</v>
      </c>
      <c r="AZ60" s="100">
        <v>4.2429700722716053</v>
      </c>
      <c r="BA60" s="100">
        <v>2764.7192990921781</v>
      </c>
      <c r="BB60" s="100">
        <v>3.4528862359389918</v>
      </c>
      <c r="BC60" s="100">
        <v>2249.9006713378471</v>
      </c>
      <c r="BD60" s="100">
        <v>6.0174574977059461</v>
      </c>
      <c r="BE60" s="100">
        <v>3920.9753055051947</v>
      </c>
      <c r="BF60" s="100">
        <v>4.1205738536612628</v>
      </c>
      <c r="BG60" s="100">
        <v>2684.9659230456791</v>
      </c>
      <c r="BH60" s="100">
        <v>4.7460420310179021</v>
      </c>
      <c r="BI60" s="100">
        <v>3092.5209874112652</v>
      </c>
      <c r="BJ60" s="100">
        <v>4.6572872547684021</v>
      </c>
      <c r="BK60" s="100">
        <v>3034.6883752070908</v>
      </c>
      <c r="BL60" s="100">
        <v>2.3292375979615003</v>
      </c>
      <c r="BM60" s="100">
        <v>1517.7312188317137</v>
      </c>
      <c r="BN60" s="100">
        <v>7</v>
      </c>
      <c r="BO60" s="100">
        <v>4561.2</v>
      </c>
      <c r="BP60" s="100">
        <v>5.1173653398328476</v>
      </c>
      <c r="BQ60" s="100">
        <v>3334.4752554350835</v>
      </c>
      <c r="BR60" s="100">
        <v>1.9020714729691397</v>
      </c>
      <c r="BS60" s="100">
        <v>1239.3897717866914</v>
      </c>
      <c r="BT60" s="100">
        <v>3.4528862359389918</v>
      </c>
      <c r="BU60" s="100">
        <v>2249.9006713378471</v>
      </c>
      <c r="BV60" s="100">
        <v>5.1395749053358655</v>
      </c>
      <c r="BW60" s="100">
        <v>3348.9470083168499</v>
      </c>
      <c r="BX60" s="100">
        <v>4.4902036107826317</v>
      </c>
      <c r="BY60" s="100">
        <v>2925.816672785963</v>
      </c>
      <c r="BZ60" s="100">
        <v>4.5126478860481685</v>
      </c>
      <c r="CA60" s="100">
        <v>2940.4413625489865</v>
      </c>
      <c r="CB60" s="100">
        <v>3.0161479364214414</v>
      </c>
      <c r="CC60" s="100">
        <v>1965.3219953722114</v>
      </c>
      <c r="CD60" s="100">
        <v>4.7348442343415629</v>
      </c>
      <c r="CE60" s="100">
        <v>3085.2245030969625</v>
      </c>
      <c r="CF60" s="100">
        <v>2.5886422492425956</v>
      </c>
      <c r="CG60" s="100">
        <v>1686.7592896064752</v>
      </c>
      <c r="CH60" s="100">
        <v>5</v>
      </c>
      <c r="CI60" s="100">
        <v>3258</v>
      </c>
      <c r="CJ60" s="100">
        <v>6.1508475161392813</v>
      </c>
      <c r="CK60" s="100">
        <v>4007.8922415163556</v>
      </c>
      <c r="CL60" s="100">
        <v>3.2276030091132566</v>
      </c>
      <c r="CM60" s="100">
        <v>2103.1061207381981</v>
      </c>
      <c r="CN60" s="100">
        <v>2.2723112208219121</v>
      </c>
      <c r="CO60" s="100">
        <v>1480.6379914875579</v>
      </c>
      <c r="CP60" s="100">
        <v>3.4988627951810671</v>
      </c>
      <c r="CQ60" s="100">
        <v>2279.8589973399835</v>
      </c>
      <c r="CR60" s="100">
        <v>3.0781758859210657</v>
      </c>
      <c r="CS60" s="100">
        <v>2005.7394072661666</v>
      </c>
      <c r="CT60" s="100">
        <v>3.7818509784680003</v>
      </c>
      <c r="CU60" s="100">
        <v>2464.2540975697493</v>
      </c>
    </row>
    <row r="61" spans="2:99">
      <c r="C61" s="99" t="s">
        <v>227</v>
      </c>
      <c r="D61" s="100">
        <v>1.2544977729278535</v>
      </c>
      <c r="E61" s="100">
        <v>1193.7800807181452</v>
      </c>
      <c r="F61" s="100">
        <v>2.2818583879662202</v>
      </c>
      <c r="G61" s="100">
        <v>2171.4164419886552</v>
      </c>
      <c r="H61" s="100">
        <v>2.6475020966603422</v>
      </c>
      <c r="I61" s="100">
        <v>2519.3629951819812</v>
      </c>
      <c r="J61" s="100">
        <v>4.5803073001441321</v>
      </c>
      <c r="K61" s="100">
        <v>4358.6204268171559</v>
      </c>
      <c r="L61" s="100">
        <v>4.7190741580380609</v>
      </c>
      <c r="M61" s="100">
        <v>4490.6709687890179</v>
      </c>
      <c r="N61" s="100">
        <v>2.7468363924254495</v>
      </c>
      <c r="O61" s="100">
        <v>2613.8895110320577</v>
      </c>
      <c r="P61" s="100">
        <v>5.1217312552628194</v>
      </c>
      <c r="Q61" s="100">
        <v>4873.8394625080982</v>
      </c>
      <c r="R61" s="100">
        <v>4.8255020984707153</v>
      </c>
      <c r="S61" s="100">
        <v>4591.9477969047321</v>
      </c>
      <c r="T61" s="100">
        <v>2.8426244068168725</v>
      </c>
      <c r="U61" s="100">
        <v>2705.0413855269358</v>
      </c>
      <c r="V61" s="100">
        <v>3.9398905991731339</v>
      </c>
      <c r="W61" s="100">
        <v>3749.199894173154</v>
      </c>
      <c r="X61" s="100">
        <v>4</v>
      </c>
      <c r="Y61" s="100">
        <v>3806.3999999999996</v>
      </c>
      <c r="Z61" s="100">
        <v>3.9549721080360145</v>
      </c>
      <c r="AA61" s="100">
        <v>3763.5514580070712</v>
      </c>
      <c r="AB61" s="100">
        <v>2.7295715861238303</v>
      </c>
      <c r="AC61" s="100">
        <v>2597.4603213554369</v>
      </c>
      <c r="AD61" s="100">
        <v>4.4086115772295127</v>
      </c>
      <c r="AE61" s="100">
        <v>4195.2347768916043</v>
      </c>
      <c r="AF61" s="100">
        <v>4.3129741892407774</v>
      </c>
      <c r="AG61" s="100">
        <v>4104.2262384815231</v>
      </c>
      <c r="AH61" s="100">
        <v>4.3985490739479349</v>
      </c>
      <c r="AI61" s="100">
        <v>4185.6592987688546</v>
      </c>
      <c r="AJ61" s="100">
        <v>3.8637574296407768</v>
      </c>
      <c r="AK61" s="100">
        <v>3676.7515700461627</v>
      </c>
      <c r="AL61" s="100">
        <v>2.5429169445551199</v>
      </c>
      <c r="AM61" s="100">
        <v>2419.8397644386519</v>
      </c>
      <c r="AN61" s="100">
        <v>4.1548018667585049</v>
      </c>
      <c r="AO61" s="100">
        <v>3953.7094564073927</v>
      </c>
      <c r="AP61" s="100">
        <v>4.4376507106042418</v>
      </c>
      <c r="AQ61" s="100">
        <v>4222.8684162109957</v>
      </c>
      <c r="AR61" s="100">
        <v>4</v>
      </c>
      <c r="AS61" s="100">
        <v>3806.3999999999996</v>
      </c>
      <c r="AT61" s="100">
        <v>4.5919095453376908</v>
      </c>
      <c r="AU61" s="100">
        <v>4369.6611233433459</v>
      </c>
      <c r="AV61" s="100">
        <v>3.2826386637450198</v>
      </c>
      <c r="AW61" s="100">
        <v>3123.7589524197606</v>
      </c>
      <c r="AX61" s="100">
        <v>5</v>
      </c>
      <c r="AY61" s="100">
        <v>4758</v>
      </c>
      <c r="AZ61" s="100">
        <v>4.2429700722716053</v>
      </c>
      <c r="BA61" s="100">
        <v>4037.6103207736592</v>
      </c>
      <c r="BB61" s="100">
        <v>3.4528862359389918</v>
      </c>
      <c r="BC61" s="100">
        <v>3285.7665421195443</v>
      </c>
      <c r="BD61" s="100">
        <v>6.0174574977059461</v>
      </c>
      <c r="BE61" s="100">
        <v>5726.2125548169779</v>
      </c>
      <c r="BF61" s="100">
        <v>4.8073361626048063</v>
      </c>
      <c r="BG61" s="100">
        <v>4574.6610923347334</v>
      </c>
      <c r="BH61" s="100">
        <v>3.9678620301012808</v>
      </c>
      <c r="BI61" s="100">
        <v>3775.8175078443783</v>
      </c>
      <c r="BJ61" s="100">
        <v>4.6572872547684021</v>
      </c>
      <c r="BK61" s="100">
        <v>4431.8745516376111</v>
      </c>
      <c r="BL61" s="100">
        <v>2.3292375979615003</v>
      </c>
      <c r="BM61" s="100">
        <v>2216.5024982201635</v>
      </c>
      <c r="BN61" s="100">
        <v>7</v>
      </c>
      <c r="BO61" s="100">
        <v>6661.1999999999989</v>
      </c>
      <c r="BP61" s="100">
        <v>5.1482813994294299</v>
      </c>
      <c r="BQ61" s="100">
        <v>4899.1045796970448</v>
      </c>
      <c r="BR61" s="100">
        <v>2.366535743285163</v>
      </c>
      <c r="BS61" s="100">
        <v>2251.995413310161</v>
      </c>
      <c r="BT61" s="100">
        <v>4.1434634831267898</v>
      </c>
      <c r="BU61" s="100">
        <v>3942.9198505434529</v>
      </c>
      <c r="BV61" s="100">
        <v>4.2829790877798883</v>
      </c>
      <c r="BW61" s="100">
        <v>4075.6828999313416</v>
      </c>
      <c r="BX61" s="100">
        <v>3.5921628886261057</v>
      </c>
      <c r="BY61" s="100">
        <v>3418.3022048166017</v>
      </c>
      <c r="BZ61" s="100">
        <v>4.5126478860481685</v>
      </c>
      <c r="CA61" s="100">
        <v>4294.2357283634365</v>
      </c>
      <c r="CB61" s="100">
        <v>3.0161479364214414</v>
      </c>
      <c r="CC61" s="100">
        <v>2870.1663762986432</v>
      </c>
      <c r="CD61" s="100">
        <v>4.7453160493300457</v>
      </c>
      <c r="CE61" s="100">
        <v>4515.6427525424715</v>
      </c>
      <c r="CF61" s="100">
        <v>2.5886422492425956</v>
      </c>
      <c r="CG61" s="100">
        <v>2463.3519643792538</v>
      </c>
      <c r="CH61" s="100">
        <v>5</v>
      </c>
      <c r="CI61" s="100">
        <v>4758</v>
      </c>
      <c r="CJ61" s="100">
        <v>5.2721550138336699</v>
      </c>
      <c r="CK61" s="100">
        <v>5016.9827111641198</v>
      </c>
      <c r="CL61" s="100">
        <v>2.4937821484005749</v>
      </c>
      <c r="CM61" s="100">
        <v>2373.0830924179868</v>
      </c>
      <c r="CN61" s="100">
        <v>2.2723112208219121</v>
      </c>
      <c r="CO61" s="100">
        <v>2162.3313577341314</v>
      </c>
      <c r="CP61" s="100">
        <v>3.4800452473438415</v>
      </c>
      <c r="CQ61" s="100">
        <v>3311.611057372399</v>
      </c>
      <c r="CR61" s="100">
        <v>3.0781758859210657</v>
      </c>
      <c r="CS61" s="100">
        <v>2929.192173042486</v>
      </c>
      <c r="CT61" s="100">
        <v>3.7503915343890886</v>
      </c>
      <c r="CU61" s="100">
        <v>3568.8725841246564</v>
      </c>
    </row>
    <row r="62" spans="2:99">
      <c r="C62" s="99" t="s">
        <v>228</v>
      </c>
      <c r="D62" s="100">
        <v>6</v>
      </c>
      <c r="E62" s="100">
        <v>10015.200000000001</v>
      </c>
      <c r="F62" s="100">
        <v>4</v>
      </c>
      <c r="G62" s="100">
        <v>6676.8</v>
      </c>
      <c r="H62" s="100">
        <v>3.1169829151635242</v>
      </c>
      <c r="I62" s="100">
        <v>5202.8678819909546</v>
      </c>
      <c r="J62" s="100">
        <v>2.2521756312481935</v>
      </c>
      <c r="K62" s="100">
        <v>3759.3315636794846</v>
      </c>
      <c r="L62" s="100">
        <v>5.645786717820199</v>
      </c>
      <c r="M62" s="100">
        <v>9423.947189385477</v>
      </c>
      <c r="N62" s="100">
        <v>2.6374389355566725</v>
      </c>
      <c r="O62" s="100">
        <v>4402.413071231198</v>
      </c>
      <c r="P62" s="100">
        <v>4.9645400695181312</v>
      </c>
      <c r="Q62" s="100">
        <v>8286.8102840396641</v>
      </c>
      <c r="R62" s="100">
        <v>2.887028941067483</v>
      </c>
      <c r="S62" s="100">
        <v>4819.0287084298425</v>
      </c>
      <c r="T62" s="100">
        <v>3.1254961154900092</v>
      </c>
      <c r="U62" s="100">
        <v>5217.0781159759235</v>
      </c>
      <c r="V62" s="100">
        <v>3.5788448587725514</v>
      </c>
      <c r="W62" s="100">
        <v>5973.8078382631429</v>
      </c>
      <c r="X62" s="100">
        <v>1.2779787302896728</v>
      </c>
      <c r="Y62" s="100">
        <v>2133.2020965995221</v>
      </c>
      <c r="Z62" s="100">
        <v>3.0117937403699662</v>
      </c>
      <c r="AA62" s="100">
        <v>5027.2861114255475</v>
      </c>
      <c r="AB62" s="100">
        <v>3.314990963825204</v>
      </c>
      <c r="AC62" s="100">
        <v>5533.3829168170305</v>
      </c>
      <c r="AD62" s="100">
        <v>4.1539424928678974</v>
      </c>
      <c r="AE62" s="100">
        <v>6933.7608090950944</v>
      </c>
      <c r="AF62" s="100">
        <v>3.9485753927699565</v>
      </c>
      <c r="AG62" s="100">
        <v>6590.9620456116118</v>
      </c>
      <c r="AH62" s="100">
        <v>4.5128077341743671</v>
      </c>
      <c r="AI62" s="100">
        <v>7532.7786698838536</v>
      </c>
      <c r="AJ62" s="100">
        <v>3.2058422512119824</v>
      </c>
      <c r="AK62" s="100">
        <v>5351.1918857230412</v>
      </c>
      <c r="AL62" s="100">
        <v>2.8063541900768292</v>
      </c>
      <c r="AM62" s="100">
        <v>4684.366414076243</v>
      </c>
      <c r="AN62" s="100">
        <v>2.3155212342988931</v>
      </c>
      <c r="AO62" s="100">
        <v>3865.0680442917123</v>
      </c>
      <c r="AP62" s="100">
        <v>4.3928359283259653</v>
      </c>
      <c r="AQ62" s="100">
        <v>7332.521731561701</v>
      </c>
      <c r="AR62" s="100">
        <v>2.743330915555803</v>
      </c>
      <c r="AS62" s="100">
        <v>4579.1679642457466</v>
      </c>
      <c r="AT62" s="100">
        <v>5.6127241354669932</v>
      </c>
      <c r="AU62" s="100">
        <v>9368.7591269215045</v>
      </c>
      <c r="AV62" s="100">
        <v>3.4796259977386224</v>
      </c>
      <c r="AW62" s="100">
        <v>5808.1917154253088</v>
      </c>
      <c r="AX62" s="100">
        <v>2.8214463031536496</v>
      </c>
      <c r="AY62" s="100">
        <v>4709.5581692240721</v>
      </c>
      <c r="AZ62" s="100">
        <v>2.6423977752187899</v>
      </c>
      <c r="BA62" s="100">
        <v>4410.6903663952044</v>
      </c>
      <c r="BB62" s="100">
        <v>4.0481684653038457</v>
      </c>
      <c r="BC62" s="100">
        <v>6757.2028022851791</v>
      </c>
      <c r="BD62" s="100">
        <v>2.839376011121074</v>
      </c>
      <c r="BE62" s="100">
        <v>4739.4864377632966</v>
      </c>
      <c r="BF62" s="100">
        <v>4.4383619970939794</v>
      </c>
      <c r="BG62" s="100">
        <v>7408.5138455492706</v>
      </c>
      <c r="BH62" s="100">
        <v>2.935214299248555</v>
      </c>
      <c r="BI62" s="100">
        <v>4899.4597083056879</v>
      </c>
      <c r="BJ62" s="100">
        <v>5.3125604131452615</v>
      </c>
      <c r="BK62" s="100">
        <v>8867.7258416220702</v>
      </c>
      <c r="BL62" s="100">
        <v>1.6534052114935462</v>
      </c>
      <c r="BM62" s="100">
        <v>2759.8639790250277</v>
      </c>
      <c r="BN62" s="100">
        <v>5.1673348186750889</v>
      </c>
      <c r="BO62" s="100">
        <v>8625.3152793324589</v>
      </c>
      <c r="BP62" s="100">
        <v>3.7208645750493972</v>
      </c>
      <c r="BQ62" s="100">
        <v>6210.8671486724543</v>
      </c>
      <c r="BR62" s="100">
        <v>2.1908758930584766</v>
      </c>
      <c r="BS62" s="100">
        <v>3657.0100406932092</v>
      </c>
      <c r="BT62" s="100">
        <v>2.2533735279458647</v>
      </c>
      <c r="BU62" s="100">
        <v>3761.3310928472374</v>
      </c>
      <c r="BV62" s="100">
        <v>3.5325592323277801</v>
      </c>
      <c r="BW62" s="100">
        <v>5896.547870601531</v>
      </c>
      <c r="BX62" s="100">
        <v>2.6408978439137667</v>
      </c>
      <c r="BY62" s="100">
        <v>4408.1866810608599</v>
      </c>
      <c r="BZ62" s="100">
        <v>3.0758317410725984</v>
      </c>
      <c r="CA62" s="100">
        <v>5134.178342198381</v>
      </c>
      <c r="CB62" s="100">
        <v>2.6259017231791812</v>
      </c>
      <c r="CC62" s="100">
        <v>4383.1551563306894</v>
      </c>
      <c r="CD62" s="100">
        <v>3.4242609833636615</v>
      </c>
      <c r="CE62" s="100">
        <v>5715.7764334306239</v>
      </c>
      <c r="CF62" s="100">
        <v>3.4507122672540289</v>
      </c>
      <c r="CG62" s="100">
        <v>5759.9289165004257</v>
      </c>
      <c r="CH62" s="100">
        <v>2.8787250712398249</v>
      </c>
      <c r="CI62" s="100">
        <v>4805.1678889135155</v>
      </c>
      <c r="CJ62" s="100">
        <v>2.7384980760401438</v>
      </c>
      <c r="CK62" s="100">
        <v>4571.1009885262083</v>
      </c>
      <c r="CL62" s="100">
        <v>2.1107399018991719</v>
      </c>
      <c r="CM62" s="100">
        <v>3523.247044250098</v>
      </c>
      <c r="CN62" s="100">
        <v>2.3947059339301364</v>
      </c>
      <c r="CO62" s="100">
        <v>3997.2431449161836</v>
      </c>
      <c r="CP62" s="100">
        <v>2.7698681437300867</v>
      </c>
      <c r="CQ62" s="100">
        <v>4623.4639055142607</v>
      </c>
      <c r="CR62" s="100">
        <v>1.6973432396379393</v>
      </c>
      <c r="CS62" s="100">
        <v>2833.2053356036486</v>
      </c>
      <c r="CT62" s="100">
        <v>2.5127774224268893</v>
      </c>
      <c r="CU62" s="100">
        <v>4194.3280735149638</v>
      </c>
    </row>
    <row r="63" spans="2:99">
      <c r="C63" s="99" t="s">
        <v>229</v>
      </c>
      <c r="D63" s="100">
        <v>1.0767606796290665</v>
      </c>
      <c r="E63" s="100">
        <v>856.67079671288536</v>
      </c>
      <c r="F63" s="100">
        <v>2.2789547305751738</v>
      </c>
      <c r="G63" s="100">
        <v>1813.1363836456082</v>
      </c>
      <c r="H63" s="100">
        <v>2.66109751649986</v>
      </c>
      <c r="I63" s="100">
        <v>2117.1691841272886</v>
      </c>
      <c r="J63" s="100">
        <v>4.5803073001441321</v>
      </c>
      <c r="K63" s="100">
        <v>3644.0924879946715</v>
      </c>
      <c r="L63" s="100">
        <v>4.682495396689756</v>
      </c>
      <c r="M63" s="100">
        <v>3725.3933376063701</v>
      </c>
      <c r="N63" s="100">
        <v>2.7468363924254495</v>
      </c>
      <c r="O63" s="100">
        <v>2185.3830338136877</v>
      </c>
      <c r="P63" s="100">
        <v>5.1217312552628194</v>
      </c>
      <c r="Q63" s="100">
        <v>4074.849386687099</v>
      </c>
      <c r="R63" s="100">
        <v>4.1405260410644331</v>
      </c>
      <c r="S63" s="100">
        <v>3294.202518270863</v>
      </c>
      <c r="T63" s="100">
        <v>2.8590144565980973</v>
      </c>
      <c r="U63" s="100">
        <v>2274.6319016694461</v>
      </c>
      <c r="V63" s="100">
        <v>3.9398905991731339</v>
      </c>
      <c r="W63" s="100">
        <v>3134.5769607021452</v>
      </c>
      <c r="X63" s="100">
        <v>3</v>
      </c>
      <c r="Y63" s="100">
        <v>2386.8000000000002</v>
      </c>
      <c r="Z63" s="100">
        <v>3.9549721080360145</v>
      </c>
      <c r="AA63" s="100">
        <v>3146.5758091534531</v>
      </c>
      <c r="AB63" s="100">
        <v>3.2754859033485961</v>
      </c>
      <c r="AC63" s="100">
        <v>2605.9765847041431</v>
      </c>
      <c r="AD63" s="100">
        <v>4.4086115772295127</v>
      </c>
      <c r="AE63" s="100">
        <v>3507.4913708438003</v>
      </c>
      <c r="AF63" s="100">
        <v>4.3129741892407774</v>
      </c>
      <c r="AG63" s="100">
        <v>3431.4022649599624</v>
      </c>
      <c r="AH63" s="100">
        <v>4.3985490739479349</v>
      </c>
      <c r="AI63" s="100">
        <v>3499.4856432329771</v>
      </c>
      <c r="AJ63" s="100">
        <v>3.8923958843155999</v>
      </c>
      <c r="AK63" s="100">
        <v>3096.7901655614914</v>
      </c>
      <c r="AL63" s="100">
        <v>2.5429169445551199</v>
      </c>
      <c r="AM63" s="100">
        <v>2023.1447210880533</v>
      </c>
      <c r="AN63" s="100">
        <v>4.1548018667585049</v>
      </c>
      <c r="AO63" s="100">
        <v>3305.5603651930664</v>
      </c>
      <c r="AP63" s="100">
        <v>4.4376507106042418</v>
      </c>
      <c r="AQ63" s="100">
        <v>3530.5949053567347</v>
      </c>
      <c r="AR63" s="100">
        <v>5</v>
      </c>
      <c r="AS63" s="100">
        <v>3978</v>
      </c>
      <c r="AT63" s="100">
        <v>4.0193130452126473</v>
      </c>
      <c r="AU63" s="100">
        <v>3197.7654587711822</v>
      </c>
      <c r="AV63" s="100">
        <v>3.2826386637450198</v>
      </c>
      <c r="AW63" s="100">
        <v>2611.6673208755378</v>
      </c>
      <c r="AX63" s="100">
        <v>5</v>
      </c>
      <c r="AY63" s="100">
        <v>3978</v>
      </c>
      <c r="AZ63" s="100">
        <v>5.0915640867259269</v>
      </c>
      <c r="BA63" s="100">
        <v>4050.8483873991477</v>
      </c>
      <c r="BB63" s="100">
        <v>3.4528862359389918</v>
      </c>
      <c r="BC63" s="100">
        <v>2747.1162893130618</v>
      </c>
      <c r="BD63" s="100">
        <v>6.0174574977059461</v>
      </c>
      <c r="BE63" s="100">
        <v>4787.4891851748507</v>
      </c>
      <c r="BF63" s="100">
        <v>4.1205738536612628</v>
      </c>
      <c r="BG63" s="100">
        <v>3278.3285579729009</v>
      </c>
      <c r="BH63" s="100">
        <v>4.7460420310179021</v>
      </c>
      <c r="BI63" s="100">
        <v>3775.951039877843</v>
      </c>
      <c r="BJ63" s="100">
        <v>3.8810727123070019</v>
      </c>
      <c r="BK63" s="100">
        <v>3087.7814499114506</v>
      </c>
      <c r="BL63" s="100">
        <v>1.8633900783692001</v>
      </c>
      <c r="BM63" s="100">
        <v>1482.5131463505356</v>
      </c>
      <c r="BN63" s="100">
        <v>7</v>
      </c>
      <c r="BO63" s="100">
        <v>5569.2</v>
      </c>
      <c r="BP63" s="100">
        <v>6.0790062886062515</v>
      </c>
      <c r="BQ63" s="100">
        <v>4836.457403215134</v>
      </c>
      <c r="BR63" s="100">
        <v>1.9241786688216631</v>
      </c>
      <c r="BS63" s="100">
        <v>1530.8765489145153</v>
      </c>
      <c r="BT63" s="100">
        <v>4.1434634831267898</v>
      </c>
      <c r="BU63" s="100">
        <v>3296.5395471756742</v>
      </c>
      <c r="BV63" s="100">
        <v>5.1395749053358655</v>
      </c>
      <c r="BW63" s="100">
        <v>4089.0457946852148</v>
      </c>
      <c r="BX63" s="100">
        <v>4.4902036107826317</v>
      </c>
      <c r="BY63" s="100">
        <v>3572.405992738662</v>
      </c>
      <c r="BZ63" s="100">
        <v>3.8679839023270017</v>
      </c>
      <c r="CA63" s="100">
        <v>3077.3679926913628</v>
      </c>
      <c r="CB63" s="100">
        <v>3.0161479364214414</v>
      </c>
      <c r="CC63" s="100">
        <v>2399.6472982168989</v>
      </c>
      <c r="CD63" s="100">
        <v>4.7453160493300457</v>
      </c>
      <c r="CE63" s="100">
        <v>3775.3734488469845</v>
      </c>
      <c r="CF63" s="100">
        <v>2.5886422492425956</v>
      </c>
      <c r="CG63" s="100">
        <v>2059.5237734974089</v>
      </c>
      <c r="CH63" s="100">
        <v>5</v>
      </c>
      <c r="CI63" s="100">
        <v>3978</v>
      </c>
      <c r="CJ63" s="100">
        <v>6.1508475161392813</v>
      </c>
      <c r="CK63" s="100">
        <v>4893.6142838404121</v>
      </c>
      <c r="CL63" s="100">
        <v>2.5303220941833913</v>
      </c>
      <c r="CM63" s="100">
        <v>2013.1242581323061</v>
      </c>
      <c r="CN63" s="100">
        <v>1.8178489766575292</v>
      </c>
      <c r="CO63" s="100">
        <v>1446.2806458287303</v>
      </c>
      <c r="CP63" s="100">
        <v>2.647669031182331</v>
      </c>
      <c r="CQ63" s="100">
        <v>2106.4854812086628</v>
      </c>
      <c r="CR63" s="100">
        <v>3.0781758859210657</v>
      </c>
      <c r="CS63" s="100">
        <v>2448.9967348388</v>
      </c>
      <c r="CT63" s="100">
        <v>3.7503915343890886</v>
      </c>
      <c r="CU63" s="100">
        <v>2983.811504759959</v>
      </c>
    </row>
    <row r="64" spans="2:99">
      <c r="C64" s="99" t="s">
        <v>230</v>
      </c>
      <c r="D64" s="100">
        <v>1.2544977729278535</v>
      </c>
      <c r="E64" s="100">
        <v>1266.0391524387894</v>
      </c>
      <c r="F64" s="100">
        <v>2.2818583879662202</v>
      </c>
      <c r="G64" s="100">
        <v>2302.8514851355089</v>
      </c>
      <c r="H64" s="100">
        <v>1.9958231373748949</v>
      </c>
      <c r="I64" s="100">
        <v>2014.1847102387435</v>
      </c>
      <c r="J64" s="100">
        <v>4.5803073001441321</v>
      </c>
      <c r="K64" s="100">
        <v>4622.4461273054576</v>
      </c>
      <c r="L64" s="100">
        <v>4.7190741580380609</v>
      </c>
      <c r="M64" s="100">
        <v>4762.4896402920103</v>
      </c>
      <c r="N64" s="100">
        <v>2.7362954888546938</v>
      </c>
      <c r="O64" s="100">
        <v>2761.4694073521564</v>
      </c>
      <c r="P64" s="100">
        <v>4.3102183590064707</v>
      </c>
      <c r="Q64" s="100">
        <v>4349.8723679093291</v>
      </c>
      <c r="R64" s="100">
        <v>4.8255020984707153</v>
      </c>
      <c r="S64" s="100">
        <v>4869.8967177766453</v>
      </c>
      <c r="T64" s="100">
        <v>2.8426244068168725</v>
      </c>
      <c r="U64" s="100">
        <v>2868.7765513595873</v>
      </c>
      <c r="V64" s="100">
        <v>3.9398905991731339</v>
      </c>
      <c r="W64" s="100">
        <v>3976.1375926855262</v>
      </c>
      <c r="X64" s="100">
        <v>4</v>
      </c>
      <c r="Y64" s="100">
        <v>4036.7999999999993</v>
      </c>
      <c r="Z64" s="100">
        <v>3.9549721080360145</v>
      </c>
      <c r="AA64" s="100">
        <v>3991.3578514299452</v>
      </c>
      <c r="AB64" s="100">
        <v>2.7295715861238303</v>
      </c>
      <c r="AC64" s="100">
        <v>2754.6836447161691</v>
      </c>
      <c r="AD64" s="100">
        <v>4.4086115772295127</v>
      </c>
      <c r="AE64" s="100">
        <v>4449.1708037400231</v>
      </c>
      <c r="AF64" s="100">
        <v>4.3129741892407774</v>
      </c>
      <c r="AG64" s="100">
        <v>4352.653551781792</v>
      </c>
      <c r="AH64" s="100">
        <v>5.1316405862725905</v>
      </c>
      <c r="AI64" s="100">
        <v>5178.8516796662971</v>
      </c>
      <c r="AJ64" s="100">
        <v>3.8923958843155999</v>
      </c>
      <c r="AK64" s="100">
        <v>3928.2059264513027</v>
      </c>
      <c r="AL64" s="100">
        <v>2.5429169445551199</v>
      </c>
      <c r="AM64" s="100">
        <v>2566.3117804450267</v>
      </c>
      <c r="AN64" s="100">
        <v>3.1548018667585049</v>
      </c>
      <c r="AO64" s="100">
        <v>3183.8260439326828</v>
      </c>
      <c r="AP64" s="100">
        <v>4.4376507106042418</v>
      </c>
      <c r="AQ64" s="100">
        <v>4478.4770971418002</v>
      </c>
      <c r="AR64" s="100">
        <v>4</v>
      </c>
      <c r="AS64" s="100">
        <v>4036.7999999999993</v>
      </c>
      <c r="AT64" s="100">
        <v>3.990126342989528</v>
      </c>
      <c r="AU64" s="100">
        <v>4026.8355053450309</v>
      </c>
      <c r="AV64" s="100">
        <v>3.2826386637450198</v>
      </c>
      <c r="AW64" s="100">
        <v>3312.8389394514734</v>
      </c>
      <c r="AX64" s="100">
        <v>5</v>
      </c>
      <c r="AY64" s="100">
        <v>5045.9999999999991</v>
      </c>
      <c r="AZ64" s="100">
        <v>5.0915640867259269</v>
      </c>
      <c r="BA64" s="100">
        <v>5138.4064763238048</v>
      </c>
      <c r="BB64" s="100">
        <v>3.4528862359389918</v>
      </c>
      <c r="BC64" s="100">
        <v>3484.65278930963</v>
      </c>
      <c r="BD64" s="100">
        <v>6.0174574977059461</v>
      </c>
      <c r="BE64" s="100">
        <v>6072.8181066848401</v>
      </c>
      <c r="BF64" s="100">
        <v>4.1205738536612628</v>
      </c>
      <c r="BG64" s="100">
        <v>4158.4831331149453</v>
      </c>
      <c r="BH64" s="100">
        <v>4.7306496259142676</v>
      </c>
      <c r="BI64" s="100">
        <v>4774.1716024726784</v>
      </c>
      <c r="BJ64" s="100">
        <v>3.8810727123070019</v>
      </c>
      <c r="BK64" s="100">
        <v>3916.7785812602256</v>
      </c>
      <c r="BL64" s="100">
        <v>2.3292375979615003</v>
      </c>
      <c r="BM64" s="100">
        <v>2350.6665838627455</v>
      </c>
      <c r="BN64" s="100">
        <v>7</v>
      </c>
      <c r="BO64" s="100">
        <v>7064.3999999999987</v>
      </c>
      <c r="BP64" s="100">
        <v>5.1173653398328476</v>
      </c>
      <c r="BQ64" s="100">
        <v>5164.4451009593085</v>
      </c>
      <c r="BR64" s="100">
        <v>1.9241786688216631</v>
      </c>
      <c r="BS64" s="100">
        <v>1941.8811125748221</v>
      </c>
      <c r="BT64" s="100">
        <v>3.4528862359389918</v>
      </c>
      <c r="BU64" s="100">
        <v>3484.65278930963</v>
      </c>
      <c r="BV64" s="100">
        <v>4.2829790877798883</v>
      </c>
      <c r="BW64" s="100">
        <v>4322.3824953874628</v>
      </c>
      <c r="BX64" s="100">
        <v>4.4902036107826317</v>
      </c>
      <c r="BY64" s="100">
        <v>4531.5134840018309</v>
      </c>
      <c r="BZ64" s="100">
        <v>3.8679839023270017</v>
      </c>
      <c r="CA64" s="100">
        <v>3903.5693542284093</v>
      </c>
      <c r="CB64" s="100">
        <v>3.0161479364214414</v>
      </c>
      <c r="CC64" s="100">
        <v>3043.8964974365181</v>
      </c>
      <c r="CD64" s="100">
        <v>4.7348442343415629</v>
      </c>
      <c r="CE64" s="100">
        <v>4778.4048012975045</v>
      </c>
      <c r="CF64" s="100">
        <v>2.5886422492425956</v>
      </c>
      <c r="CG64" s="100">
        <v>2612.4577579356269</v>
      </c>
      <c r="CH64" s="100">
        <v>5</v>
      </c>
      <c r="CI64" s="100">
        <v>5045.9999999999991</v>
      </c>
      <c r="CJ64" s="100">
        <v>6.1508475161392813</v>
      </c>
      <c r="CK64" s="100">
        <v>6207.4353132877613</v>
      </c>
      <c r="CL64" s="100">
        <v>2.4937821484005749</v>
      </c>
      <c r="CM64" s="100">
        <v>2516.7249441658596</v>
      </c>
      <c r="CN64" s="100">
        <v>2.2723112208219121</v>
      </c>
      <c r="CO64" s="100">
        <v>2293.2164840534733</v>
      </c>
      <c r="CP64" s="100">
        <v>2.647669031182331</v>
      </c>
      <c r="CQ64" s="100">
        <v>2672.0275862692079</v>
      </c>
      <c r="CR64" s="100">
        <v>2.4625407087368525</v>
      </c>
      <c r="CS64" s="100">
        <v>2485.1960832572313</v>
      </c>
      <c r="CT64" s="100">
        <v>3.7818509784680003</v>
      </c>
      <c r="CU64" s="100">
        <v>3816.6440074699053</v>
      </c>
    </row>
    <row r="65" spans="2:99">
      <c r="C65" s="99" t="s">
        <v>231</v>
      </c>
      <c r="D65" s="100">
        <v>1.0754684146495235</v>
      </c>
      <c r="E65" s="100">
        <v>1103.4305934304111</v>
      </c>
      <c r="F65" s="100">
        <v>2.2818583879662202</v>
      </c>
      <c r="G65" s="100">
        <v>2341.1867060533418</v>
      </c>
      <c r="H65" s="100">
        <v>2.6475020966603422</v>
      </c>
      <c r="I65" s="100">
        <v>2716.3371511735113</v>
      </c>
      <c r="J65" s="100">
        <v>4.5803073001441321</v>
      </c>
      <c r="K65" s="100">
        <v>4699.39528994788</v>
      </c>
      <c r="L65" s="100">
        <v>4.682495396689756</v>
      </c>
      <c r="M65" s="100">
        <v>4804.2402770036897</v>
      </c>
      <c r="N65" s="100">
        <v>2.7468363924254495</v>
      </c>
      <c r="O65" s="100">
        <v>2818.2541386285111</v>
      </c>
      <c r="P65" s="100">
        <v>5.1217312552628194</v>
      </c>
      <c r="Q65" s="100">
        <v>5254.8962678996522</v>
      </c>
      <c r="R65" s="100">
        <v>4.1711957376911748</v>
      </c>
      <c r="S65" s="100">
        <v>4279.6468268711451</v>
      </c>
      <c r="T65" s="100">
        <v>2.8426244068168725</v>
      </c>
      <c r="U65" s="100">
        <v>2916.5326413941111</v>
      </c>
      <c r="V65" s="100">
        <v>3.9398905991731339</v>
      </c>
      <c r="W65" s="100">
        <v>4042.3277547516354</v>
      </c>
      <c r="X65" s="100">
        <v>4</v>
      </c>
      <c r="Y65" s="100">
        <v>4104</v>
      </c>
      <c r="Z65" s="100">
        <v>3.9549721080360145</v>
      </c>
      <c r="AA65" s="100">
        <v>4057.8013828449507</v>
      </c>
      <c r="AB65" s="100">
        <v>2.7295715861238303</v>
      </c>
      <c r="AC65" s="100">
        <v>2800.5404473630501</v>
      </c>
      <c r="AD65" s="100">
        <v>4.4086115772295127</v>
      </c>
      <c r="AE65" s="100">
        <v>4523.2354782374796</v>
      </c>
      <c r="AF65" s="100">
        <v>3.5941451577006474</v>
      </c>
      <c r="AG65" s="100">
        <v>3687.5929318008643</v>
      </c>
      <c r="AH65" s="100">
        <v>5.1316405862725905</v>
      </c>
      <c r="AI65" s="100">
        <v>5265.0632415156779</v>
      </c>
      <c r="AJ65" s="100">
        <v>3.2770747673836271</v>
      </c>
      <c r="AK65" s="100">
        <v>3362.2787113356017</v>
      </c>
      <c r="AL65" s="100">
        <v>2.5429169445551199</v>
      </c>
      <c r="AM65" s="100">
        <v>2609.032785113553</v>
      </c>
      <c r="AN65" s="100">
        <v>4.1857622401102059</v>
      </c>
      <c r="AO65" s="100">
        <v>4294.5920583530715</v>
      </c>
      <c r="AP65" s="100">
        <v>3.8037006090893506</v>
      </c>
      <c r="AQ65" s="100">
        <v>3902.5968249256739</v>
      </c>
      <c r="AR65" s="100">
        <v>5</v>
      </c>
      <c r="AS65" s="100">
        <v>5130</v>
      </c>
      <c r="AT65" s="100">
        <v>4.6210962475608097</v>
      </c>
      <c r="AU65" s="100">
        <v>4741.2447499973905</v>
      </c>
      <c r="AV65" s="100">
        <v>3.2826386637450198</v>
      </c>
      <c r="AW65" s="100">
        <v>3367.9872690023903</v>
      </c>
      <c r="AX65" s="100">
        <v>5</v>
      </c>
      <c r="AY65" s="100">
        <v>5130</v>
      </c>
      <c r="AZ65" s="100">
        <v>4.2429700722716053</v>
      </c>
      <c r="BA65" s="100">
        <v>4353.2872941506666</v>
      </c>
      <c r="BB65" s="100">
        <v>3.4528862359389918</v>
      </c>
      <c r="BC65" s="100">
        <v>3542.6612780734058</v>
      </c>
      <c r="BD65" s="100">
        <v>5.1578207123193822</v>
      </c>
      <c r="BE65" s="100">
        <v>5291.9240508396861</v>
      </c>
      <c r="BF65" s="100">
        <v>4.1205738536612628</v>
      </c>
      <c r="BG65" s="100">
        <v>4227.708773856456</v>
      </c>
      <c r="BH65" s="100">
        <v>4.7460420310179021</v>
      </c>
      <c r="BI65" s="100">
        <v>4869.4391238243679</v>
      </c>
      <c r="BJ65" s="100">
        <v>3.8810727123070019</v>
      </c>
      <c r="BK65" s="100">
        <v>3981.9806028269841</v>
      </c>
      <c r="BL65" s="100">
        <v>1.8633900783692001</v>
      </c>
      <c r="BM65" s="100">
        <v>1911.8382204067993</v>
      </c>
      <c r="BN65" s="100">
        <v>6</v>
      </c>
      <c r="BO65" s="100">
        <v>6156</v>
      </c>
      <c r="BP65" s="100">
        <v>6.0790062886062515</v>
      </c>
      <c r="BQ65" s="100">
        <v>6237.060452110014</v>
      </c>
      <c r="BR65" s="100">
        <v>1.9241786688216631</v>
      </c>
      <c r="BS65" s="100">
        <v>1974.2073142110264</v>
      </c>
      <c r="BT65" s="100">
        <v>3.4528862359389918</v>
      </c>
      <c r="BU65" s="100">
        <v>3542.6612780734058</v>
      </c>
      <c r="BV65" s="100">
        <v>5.1395749053358655</v>
      </c>
      <c r="BW65" s="100">
        <v>5273.2038528745979</v>
      </c>
      <c r="BX65" s="100">
        <v>4.4902036107826317</v>
      </c>
      <c r="BY65" s="100">
        <v>4606.9489046629806</v>
      </c>
      <c r="BZ65" s="100">
        <v>3.8679839023270017</v>
      </c>
      <c r="CA65" s="100">
        <v>3968.5514837875039</v>
      </c>
      <c r="CB65" s="100">
        <v>3.0161479364214414</v>
      </c>
      <c r="CC65" s="100">
        <v>3094.567782768399</v>
      </c>
      <c r="CD65" s="100">
        <v>4.7348442343415629</v>
      </c>
      <c r="CE65" s="100">
        <v>4857.9501844344431</v>
      </c>
      <c r="CF65" s="100">
        <v>3.1063706990911144</v>
      </c>
      <c r="CG65" s="100">
        <v>3187.1363372674832</v>
      </c>
      <c r="CH65" s="100">
        <v>5</v>
      </c>
      <c r="CI65" s="100">
        <v>5130</v>
      </c>
      <c r="CJ65" s="100">
        <v>5.2721550138336699</v>
      </c>
      <c r="CK65" s="100">
        <v>5409.231044193345</v>
      </c>
      <c r="CL65" s="100">
        <v>2.4937821484005749</v>
      </c>
      <c r="CM65" s="100">
        <v>2558.62048425899</v>
      </c>
      <c r="CN65" s="100">
        <v>1.8178489766575292</v>
      </c>
      <c r="CO65" s="100">
        <v>1865.1130500506249</v>
      </c>
      <c r="CP65" s="100">
        <v>2.6288514833451062</v>
      </c>
      <c r="CQ65" s="100">
        <v>2697.2016219120792</v>
      </c>
      <c r="CR65" s="100">
        <v>3.0781758859210657</v>
      </c>
      <c r="CS65" s="100">
        <v>3158.2084589550136</v>
      </c>
      <c r="CT65" s="100">
        <v>4.6408002518679918</v>
      </c>
      <c r="CU65" s="100">
        <v>4761.4610584165594</v>
      </c>
    </row>
    <row r="66" spans="2:99">
      <c r="C66" s="99" t="s">
        <v>232</v>
      </c>
      <c r="D66" s="100">
        <v>1.0780529446086096</v>
      </c>
      <c r="E66" s="100">
        <v>1283.3142252620887</v>
      </c>
      <c r="F66" s="100">
        <v>2.2818583879662202</v>
      </c>
      <c r="G66" s="100">
        <v>2716.3242250349881</v>
      </c>
      <c r="H66" s="100">
        <v>2.009418557214413</v>
      </c>
      <c r="I66" s="100">
        <v>2392.0118505080368</v>
      </c>
      <c r="J66" s="100">
        <v>4.5803073001441321</v>
      </c>
      <c r="K66" s="100">
        <v>5452.3978100915747</v>
      </c>
      <c r="L66" s="100">
        <v>5.4141396143403089</v>
      </c>
      <c r="M66" s="100">
        <v>6444.9917969107028</v>
      </c>
      <c r="N66" s="100">
        <v>2.7468363924254495</v>
      </c>
      <c r="O66" s="100">
        <v>3269.8340415432549</v>
      </c>
      <c r="P66" s="100">
        <v>5.1217312552628194</v>
      </c>
      <c r="Q66" s="100">
        <v>6096.9088862648596</v>
      </c>
      <c r="R66" s="100">
        <v>4.1405260410644331</v>
      </c>
      <c r="S66" s="100">
        <v>4928.8821992831008</v>
      </c>
      <c r="T66" s="100">
        <v>2.8426244068168725</v>
      </c>
      <c r="U66" s="100">
        <v>3383.8600938748045</v>
      </c>
      <c r="V66" s="100">
        <v>3.9398905991731339</v>
      </c>
      <c r="W66" s="100">
        <v>4690.0457692556984</v>
      </c>
      <c r="X66" s="100">
        <v>3</v>
      </c>
      <c r="Y66" s="100">
        <v>3571.2</v>
      </c>
      <c r="Z66" s="100">
        <v>2.9662290810270111</v>
      </c>
      <c r="AA66" s="100">
        <v>3530.9990980545535</v>
      </c>
      <c r="AB66" s="100">
        <v>2.7295715861238303</v>
      </c>
      <c r="AC66" s="100">
        <v>3249.2820161218074</v>
      </c>
      <c r="AD66" s="100">
        <v>4.4086115772295127</v>
      </c>
      <c r="AE66" s="100">
        <v>5248.0112215340114</v>
      </c>
      <c r="AF66" s="100">
        <v>4.3129741892407774</v>
      </c>
      <c r="AG66" s="100">
        <v>5134.164474872221</v>
      </c>
      <c r="AH66" s="100">
        <v>4.3985490739479349</v>
      </c>
      <c r="AI66" s="100">
        <v>5236.0328176276207</v>
      </c>
      <c r="AJ66" s="100">
        <v>3.8637574296407768</v>
      </c>
      <c r="AK66" s="100">
        <v>4599.4168442443806</v>
      </c>
      <c r="AL66" s="100">
        <v>2.5429169445551199</v>
      </c>
      <c r="AM66" s="100">
        <v>3027.0883307984145</v>
      </c>
      <c r="AN66" s="100">
        <v>4.1548018667585049</v>
      </c>
      <c r="AO66" s="100">
        <v>4945.8761421893241</v>
      </c>
      <c r="AP66" s="100">
        <v>4.4376507106042418</v>
      </c>
      <c r="AQ66" s="100">
        <v>5282.5794059032887</v>
      </c>
      <c r="AR66" s="100">
        <v>4</v>
      </c>
      <c r="AS66" s="100">
        <v>4761.5999999999995</v>
      </c>
      <c r="AT66" s="100">
        <v>4.6502829497839295</v>
      </c>
      <c r="AU66" s="100">
        <v>5535.6968234227888</v>
      </c>
      <c r="AV66" s="100">
        <v>2.7355322197875163</v>
      </c>
      <c r="AW66" s="100">
        <v>3256.3775544350592</v>
      </c>
      <c r="AX66" s="100">
        <v>4</v>
      </c>
      <c r="AY66" s="100">
        <v>4761.5999999999995</v>
      </c>
      <c r="AZ66" s="100">
        <v>4.2429700722716053</v>
      </c>
      <c r="BA66" s="100">
        <v>5050.8315740321186</v>
      </c>
      <c r="BB66" s="100">
        <v>3.4528862359389918</v>
      </c>
      <c r="BC66" s="100">
        <v>4110.3157752617753</v>
      </c>
      <c r="BD66" s="100">
        <v>5.1578207123193822</v>
      </c>
      <c r="BE66" s="100">
        <v>6139.8697759449915</v>
      </c>
      <c r="BF66" s="100">
        <v>4.1205738536612628</v>
      </c>
      <c r="BG66" s="100">
        <v>4905.131115398367</v>
      </c>
      <c r="BH66" s="100">
        <v>4.7306496259142676</v>
      </c>
      <c r="BI66" s="100">
        <v>5631.3653146883435</v>
      </c>
      <c r="BJ66" s="100">
        <v>4.6572872547684021</v>
      </c>
      <c r="BK66" s="100">
        <v>5544.0347480763048</v>
      </c>
      <c r="BL66" s="100">
        <v>1.8633900783692001</v>
      </c>
      <c r="BM66" s="100">
        <v>2218.1795492906954</v>
      </c>
      <c r="BN66" s="100">
        <v>6</v>
      </c>
      <c r="BO66" s="100">
        <v>7142.4</v>
      </c>
      <c r="BP66" s="100">
        <v>5.0864492802362644</v>
      </c>
      <c r="BQ66" s="100">
        <v>6054.9092231932482</v>
      </c>
      <c r="BR66" s="100">
        <v>1.9241786688216631</v>
      </c>
      <c r="BS66" s="100">
        <v>2290.5422873653074</v>
      </c>
      <c r="BT66" s="100">
        <v>4.1434634831267898</v>
      </c>
      <c r="BU66" s="100">
        <v>4932.3789303141302</v>
      </c>
      <c r="BV66" s="100">
        <v>4.2829790877798883</v>
      </c>
      <c r="BW66" s="100">
        <v>5098.4583060931782</v>
      </c>
      <c r="BX66" s="100">
        <v>4.4902036107826317</v>
      </c>
      <c r="BY66" s="100">
        <v>5345.1383782756438</v>
      </c>
      <c r="BZ66" s="100">
        <v>4.5126478860481685</v>
      </c>
      <c r="CA66" s="100">
        <v>5371.8560435517393</v>
      </c>
      <c r="CB66" s="100">
        <v>3.0161479364214414</v>
      </c>
      <c r="CC66" s="100">
        <v>3590.4225035160835</v>
      </c>
      <c r="CD66" s="100">
        <v>3.8004415654594301</v>
      </c>
      <c r="CE66" s="100">
        <v>4524.0456395229048</v>
      </c>
      <c r="CF66" s="100">
        <v>3.1063706990911144</v>
      </c>
      <c r="CG66" s="100">
        <v>3697.823680198062</v>
      </c>
      <c r="CH66" s="100">
        <v>5</v>
      </c>
      <c r="CI66" s="100">
        <v>5951.9999999999991</v>
      </c>
      <c r="CJ66" s="100">
        <v>5.2721550138336699</v>
      </c>
      <c r="CK66" s="100">
        <v>6275.9733284676004</v>
      </c>
      <c r="CL66" s="100">
        <v>2.4937821484005749</v>
      </c>
      <c r="CM66" s="100">
        <v>2968.5982694560439</v>
      </c>
      <c r="CN66" s="100">
        <v>1.8178489766575292</v>
      </c>
      <c r="CO66" s="100">
        <v>2163.9674218131227</v>
      </c>
      <c r="CP66" s="100">
        <v>3.4800452473438415</v>
      </c>
      <c r="CQ66" s="100">
        <v>4142.6458624381085</v>
      </c>
      <c r="CR66" s="100">
        <v>3.0781758859210657</v>
      </c>
      <c r="CS66" s="100">
        <v>3664.260574600436</v>
      </c>
      <c r="CT66" s="100">
        <v>4.6408002518679918</v>
      </c>
      <c r="CU66" s="100">
        <v>5524.4086198236564</v>
      </c>
    </row>
    <row r="67" spans="2:99">
      <c r="C67" s="99" t="s">
        <v>233</v>
      </c>
      <c r="D67" s="100">
        <v>1.0780529446086096</v>
      </c>
      <c r="E67" s="100">
        <v>1210.8690673843903</v>
      </c>
      <c r="F67" s="100">
        <v>1.7193788488000425</v>
      </c>
      <c r="G67" s="100">
        <v>1931.2063229722078</v>
      </c>
      <c r="H67" s="100">
        <v>2.009418557214413</v>
      </c>
      <c r="I67" s="100">
        <v>2256.978923463229</v>
      </c>
      <c r="J67" s="100">
        <v>4.5803073001441321</v>
      </c>
      <c r="K67" s="100">
        <v>5144.6011595218897</v>
      </c>
      <c r="L67" s="100">
        <v>4.7190741580380609</v>
      </c>
      <c r="M67" s="100">
        <v>5300.4640943083505</v>
      </c>
      <c r="N67" s="100">
        <v>2.7468363924254495</v>
      </c>
      <c r="O67" s="100">
        <v>3085.2466359722648</v>
      </c>
      <c r="P67" s="100">
        <v>5.1217312552628194</v>
      </c>
      <c r="Q67" s="100">
        <v>5752.728545911199</v>
      </c>
      <c r="R67" s="100">
        <v>4.7948324018439736</v>
      </c>
      <c r="S67" s="100">
        <v>5385.5557537511513</v>
      </c>
      <c r="T67" s="100">
        <v>2.8426244068168725</v>
      </c>
      <c r="U67" s="100">
        <v>3192.8357337367111</v>
      </c>
      <c r="V67" s="100">
        <v>4.7278687190077608</v>
      </c>
      <c r="W67" s="100">
        <v>5310.3421451895174</v>
      </c>
      <c r="X67" s="100">
        <v>4</v>
      </c>
      <c r="Y67" s="100">
        <v>4492.8</v>
      </c>
      <c r="Z67" s="100">
        <v>3.9549721080360145</v>
      </c>
      <c r="AA67" s="100">
        <v>4442.2246717460521</v>
      </c>
      <c r="AB67" s="100">
        <v>2.7295715861238303</v>
      </c>
      <c r="AC67" s="100">
        <v>3065.8548055342862</v>
      </c>
      <c r="AD67" s="100">
        <v>4.4086115772295127</v>
      </c>
      <c r="AE67" s="100">
        <v>4951.752523544189</v>
      </c>
      <c r="AF67" s="100">
        <v>3.5941451577006474</v>
      </c>
      <c r="AG67" s="100">
        <v>4036.9438411293672</v>
      </c>
      <c r="AH67" s="100">
        <v>5.1316405862725905</v>
      </c>
      <c r="AI67" s="100">
        <v>5763.8587065013735</v>
      </c>
      <c r="AJ67" s="100">
        <v>3.8637574296407768</v>
      </c>
      <c r="AK67" s="100">
        <v>4339.7723449725208</v>
      </c>
      <c r="AL67" s="100">
        <v>2.5429169445551199</v>
      </c>
      <c r="AM67" s="100">
        <v>2856.2043121243109</v>
      </c>
      <c r="AN67" s="100">
        <v>4.1548018667585049</v>
      </c>
      <c r="AO67" s="100">
        <v>4666.6734567431531</v>
      </c>
      <c r="AP67" s="100">
        <v>4.4376507106042418</v>
      </c>
      <c r="AQ67" s="100">
        <v>4984.3692781506843</v>
      </c>
      <c r="AR67" s="100">
        <v>4</v>
      </c>
      <c r="AS67" s="100">
        <v>4492.8</v>
      </c>
      <c r="AT67" s="100">
        <v>4.6502829497839295</v>
      </c>
      <c r="AU67" s="100">
        <v>5223.1978091973097</v>
      </c>
      <c r="AV67" s="100">
        <v>2.7355322197875163</v>
      </c>
      <c r="AW67" s="100">
        <v>3072.5497892653384</v>
      </c>
      <c r="AX67" s="100">
        <v>5</v>
      </c>
      <c r="AY67" s="100">
        <v>5616</v>
      </c>
      <c r="AZ67" s="100">
        <v>4.2429700722716053</v>
      </c>
      <c r="BA67" s="100">
        <v>4765.7039851754671</v>
      </c>
      <c r="BB67" s="100">
        <v>3.4528862359389918</v>
      </c>
      <c r="BC67" s="100">
        <v>3878.2818202066755</v>
      </c>
      <c r="BD67" s="100">
        <v>6.0174574977059461</v>
      </c>
      <c r="BE67" s="100">
        <v>6758.808261423319</v>
      </c>
      <c r="BF67" s="100">
        <v>4.1205738536612628</v>
      </c>
      <c r="BG67" s="100">
        <v>4628.2285524323306</v>
      </c>
      <c r="BH67" s="100">
        <v>3.9832544352049148</v>
      </c>
      <c r="BI67" s="100">
        <v>4473.9913816221606</v>
      </c>
      <c r="BJ67" s="100">
        <v>3.8810727123070019</v>
      </c>
      <c r="BK67" s="100">
        <v>4359.2208704632249</v>
      </c>
      <c r="BL67" s="100">
        <v>2.3292375979615003</v>
      </c>
      <c r="BM67" s="100">
        <v>2616.1996700303571</v>
      </c>
      <c r="BN67" s="100">
        <v>6</v>
      </c>
      <c r="BO67" s="100">
        <v>6739.2000000000007</v>
      </c>
      <c r="BP67" s="100">
        <v>5.1173653398328476</v>
      </c>
      <c r="BQ67" s="100">
        <v>5747.8247497002549</v>
      </c>
      <c r="BR67" s="100">
        <v>2.3444285474326394</v>
      </c>
      <c r="BS67" s="100">
        <v>2633.2621444763408</v>
      </c>
      <c r="BT67" s="100">
        <v>3.4528862359389918</v>
      </c>
      <c r="BU67" s="100">
        <v>3878.2818202066755</v>
      </c>
      <c r="BV67" s="100">
        <v>5.1395749053358655</v>
      </c>
      <c r="BW67" s="100">
        <v>5772.7705336732442</v>
      </c>
      <c r="BX67" s="100">
        <v>4.4902036107826317</v>
      </c>
      <c r="BY67" s="100">
        <v>5043.3966956310524</v>
      </c>
      <c r="BZ67" s="100">
        <v>4.5126478860481685</v>
      </c>
      <c r="CA67" s="100">
        <v>5068.6061056093031</v>
      </c>
      <c r="CB67" s="100">
        <v>3.0161479364214414</v>
      </c>
      <c r="CC67" s="100">
        <v>3387.7373621885631</v>
      </c>
      <c r="CD67" s="100">
        <v>4.7348442343415629</v>
      </c>
      <c r="CE67" s="100">
        <v>5318.1770440124437</v>
      </c>
      <c r="CF67" s="100">
        <v>2.5886422492425956</v>
      </c>
      <c r="CG67" s="100">
        <v>2907.5629743492836</v>
      </c>
      <c r="CH67" s="100">
        <v>5</v>
      </c>
      <c r="CI67" s="100">
        <v>5616</v>
      </c>
      <c r="CJ67" s="100">
        <v>6.1508475161392813</v>
      </c>
      <c r="CK67" s="100">
        <v>6908.6319301276408</v>
      </c>
      <c r="CL67" s="100">
        <v>2.4937821484005749</v>
      </c>
      <c r="CM67" s="100">
        <v>2801.0161090835259</v>
      </c>
      <c r="CN67" s="100">
        <v>1.8178489766575292</v>
      </c>
      <c r="CO67" s="100">
        <v>2041.807970581737</v>
      </c>
      <c r="CP67" s="100">
        <v>3.4800452473438415</v>
      </c>
      <c r="CQ67" s="100">
        <v>3908.7868218166027</v>
      </c>
      <c r="CR67" s="100">
        <v>3.0781758859210657</v>
      </c>
      <c r="CS67" s="100">
        <v>3457.4071550665412</v>
      </c>
      <c r="CT67" s="100">
        <v>4.6722596959469032</v>
      </c>
      <c r="CU67" s="100">
        <v>5247.882090487562</v>
      </c>
    </row>
    <row r="68" spans="2:99">
      <c r="C68" s="99" t="s">
        <v>234</v>
      </c>
      <c r="D68" s="100">
        <v>1.0780529446086096</v>
      </c>
      <c r="E68" s="100">
        <v>1113.8443023696154</v>
      </c>
      <c r="F68" s="100">
        <v>1.716475191408996</v>
      </c>
      <c r="G68" s="100">
        <v>1773.4621677637747</v>
      </c>
      <c r="H68" s="100">
        <v>2.009418557214413</v>
      </c>
      <c r="I68" s="100">
        <v>2076.1312533139317</v>
      </c>
      <c r="J68" s="100">
        <v>4.5803073001441321</v>
      </c>
      <c r="K68" s="100">
        <v>4732.3735025089172</v>
      </c>
      <c r="L68" s="100">
        <v>4.682495396689756</v>
      </c>
      <c r="M68" s="100">
        <v>4837.9542438598564</v>
      </c>
      <c r="N68" s="100">
        <v>2.7468363924254495</v>
      </c>
      <c r="O68" s="100">
        <v>2838.0313606539744</v>
      </c>
      <c r="P68" s="100">
        <v>5.1217312552628194</v>
      </c>
      <c r="Q68" s="100">
        <v>5291.7727329375448</v>
      </c>
      <c r="R68" s="100">
        <v>4.1711957376911748</v>
      </c>
      <c r="S68" s="100">
        <v>4309.6794361825223</v>
      </c>
      <c r="T68" s="100">
        <v>2.8426244068168725</v>
      </c>
      <c r="U68" s="100">
        <v>2936.9995371231926</v>
      </c>
      <c r="V68" s="100">
        <v>3.9398905991731339</v>
      </c>
      <c r="W68" s="100">
        <v>4070.6949670656822</v>
      </c>
      <c r="X68" s="100">
        <v>4</v>
      </c>
      <c r="Y68" s="100">
        <v>4132.8</v>
      </c>
      <c r="Z68" s="100">
        <v>2.9662290810270111</v>
      </c>
      <c r="AA68" s="100">
        <v>3064.7078865171079</v>
      </c>
      <c r="AB68" s="100">
        <v>2.7295715861238303</v>
      </c>
      <c r="AC68" s="100">
        <v>2820.1933627831418</v>
      </c>
      <c r="AD68" s="100">
        <v>4.4086115772295127</v>
      </c>
      <c r="AE68" s="100">
        <v>4554.9774815935325</v>
      </c>
      <c r="AF68" s="100">
        <v>3.5941451577006474</v>
      </c>
      <c r="AG68" s="100">
        <v>3713.470776936309</v>
      </c>
      <c r="AH68" s="100">
        <v>5.1316405862725905</v>
      </c>
      <c r="AI68" s="100">
        <v>5302.0110537368409</v>
      </c>
      <c r="AJ68" s="100">
        <v>3.2770747673836271</v>
      </c>
      <c r="AK68" s="100">
        <v>3385.8736496607635</v>
      </c>
      <c r="AL68" s="100">
        <v>2.5429169445551199</v>
      </c>
      <c r="AM68" s="100">
        <v>2627.3417871143502</v>
      </c>
      <c r="AN68" s="100">
        <v>4.1548018667585049</v>
      </c>
      <c r="AO68" s="100">
        <v>4292.7412887348873</v>
      </c>
      <c r="AP68" s="100">
        <v>3.8037006090893506</v>
      </c>
      <c r="AQ68" s="100">
        <v>3929.983469311117</v>
      </c>
      <c r="AR68" s="100">
        <v>4</v>
      </c>
      <c r="AS68" s="100">
        <v>4132.8</v>
      </c>
      <c r="AT68" s="100">
        <v>4.6502829497839295</v>
      </c>
      <c r="AU68" s="100">
        <v>4804.6723437167566</v>
      </c>
      <c r="AV68" s="100">
        <v>2.7355322197875163</v>
      </c>
      <c r="AW68" s="100">
        <v>2826.3518894844619</v>
      </c>
      <c r="AX68" s="100">
        <v>5</v>
      </c>
      <c r="AY68" s="100">
        <v>5166</v>
      </c>
      <c r="AZ68" s="100">
        <v>5.0915640867259269</v>
      </c>
      <c r="BA68" s="100">
        <v>5260.6040144052276</v>
      </c>
      <c r="BB68" s="100">
        <v>3.4528862359389918</v>
      </c>
      <c r="BC68" s="100">
        <v>3567.5220589721666</v>
      </c>
      <c r="BD68" s="100">
        <v>5.1578207123193822</v>
      </c>
      <c r="BE68" s="100">
        <v>5329.0603599683864</v>
      </c>
      <c r="BF68" s="100">
        <v>4.8073361626048063</v>
      </c>
      <c r="BG68" s="100">
        <v>4966.9397232032861</v>
      </c>
      <c r="BH68" s="100">
        <v>3.9678620301012808</v>
      </c>
      <c r="BI68" s="100">
        <v>4099.5950495006437</v>
      </c>
      <c r="BJ68" s="100">
        <v>4.6572872547684021</v>
      </c>
      <c r="BK68" s="100">
        <v>4811.9091916267134</v>
      </c>
      <c r="BL68" s="100">
        <v>1.8633900783692001</v>
      </c>
      <c r="BM68" s="100">
        <v>1925.2546289710576</v>
      </c>
      <c r="BN68" s="100">
        <v>6</v>
      </c>
      <c r="BO68" s="100">
        <v>6199.2000000000007</v>
      </c>
      <c r="BP68" s="100">
        <v>5.1173653398328476</v>
      </c>
      <c r="BQ68" s="100">
        <v>5287.2618691152984</v>
      </c>
      <c r="BR68" s="100">
        <v>1.9020714729691397</v>
      </c>
      <c r="BS68" s="100">
        <v>1965.2202458717152</v>
      </c>
      <c r="BT68" s="100">
        <v>3.4528862359389918</v>
      </c>
      <c r="BU68" s="100">
        <v>3567.5220589721666</v>
      </c>
      <c r="BV68" s="100">
        <v>4.2829790877798883</v>
      </c>
      <c r="BW68" s="100">
        <v>4425.1739934941806</v>
      </c>
      <c r="BX68" s="100">
        <v>4.4902036107826317</v>
      </c>
      <c r="BY68" s="100">
        <v>4639.2783706606151</v>
      </c>
      <c r="BZ68" s="100">
        <v>3.8679839023270017</v>
      </c>
      <c r="CA68" s="100">
        <v>3996.4009678842585</v>
      </c>
      <c r="CB68" s="100">
        <v>3.0161479364214414</v>
      </c>
      <c r="CC68" s="100">
        <v>3116.2840479106335</v>
      </c>
      <c r="CD68" s="100">
        <v>3.8004415654594301</v>
      </c>
      <c r="CE68" s="100">
        <v>3926.6162254326832</v>
      </c>
      <c r="CF68" s="100">
        <v>2.5886422492425956</v>
      </c>
      <c r="CG68" s="100">
        <v>2674.5851719174498</v>
      </c>
      <c r="CH68" s="100">
        <v>5</v>
      </c>
      <c r="CI68" s="100">
        <v>5166</v>
      </c>
      <c r="CJ68" s="100">
        <v>5.2721550138336699</v>
      </c>
      <c r="CK68" s="100">
        <v>5447.1905602929482</v>
      </c>
      <c r="CL68" s="100">
        <v>3.2276030091132566</v>
      </c>
      <c r="CM68" s="100">
        <v>3334.7594290158167</v>
      </c>
      <c r="CN68" s="100">
        <v>1.8178489766575292</v>
      </c>
      <c r="CO68" s="100">
        <v>1878.2015626825591</v>
      </c>
      <c r="CP68" s="100">
        <v>2.647669031182331</v>
      </c>
      <c r="CQ68" s="100">
        <v>2735.5716430175844</v>
      </c>
      <c r="CR68" s="100">
        <v>3.0781758859210657</v>
      </c>
      <c r="CS68" s="100">
        <v>3180.3713253336455</v>
      </c>
      <c r="CT68" s="100">
        <v>3.7503915343890886</v>
      </c>
      <c r="CU68" s="100">
        <v>3874.9045333308063</v>
      </c>
    </row>
    <row r="69" spans="2:99">
      <c r="C69" s="99" t="s">
        <v>235</v>
      </c>
      <c r="D69" s="100">
        <v>1.0780529446086096</v>
      </c>
      <c r="E69" s="100">
        <v>817.59535319116947</v>
      </c>
      <c r="F69" s="100">
        <v>2.2818583879662202</v>
      </c>
      <c r="G69" s="100">
        <v>1730.5614014335813</v>
      </c>
      <c r="H69" s="100">
        <v>2.009418557214413</v>
      </c>
      <c r="I69" s="100">
        <v>1523.9430337914107</v>
      </c>
      <c r="J69" s="100">
        <v>3.81692275012011</v>
      </c>
      <c r="K69" s="100">
        <v>2894.7542136910911</v>
      </c>
      <c r="L69" s="100">
        <v>4.682495396689756</v>
      </c>
      <c r="M69" s="100">
        <v>3551.2045088495111</v>
      </c>
      <c r="N69" s="100">
        <v>2.7573772959962053</v>
      </c>
      <c r="O69" s="100">
        <v>2091.194941283522</v>
      </c>
      <c r="P69" s="100">
        <v>5.1385748471111334</v>
      </c>
      <c r="Q69" s="100">
        <v>3897.0951640490835</v>
      </c>
      <c r="R69" s="100">
        <v>4.1711957376911748</v>
      </c>
      <c r="S69" s="100">
        <v>3163.4348474649869</v>
      </c>
      <c r="T69" s="100">
        <v>2.8426244068168725</v>
      </c>
      <c r="U69" s="100">
        <v>2155.8463501299161</v>
      </c>
      <c r="V69" s="100">
        <v>3.9398905991731339</v>
      </c>
      <c r="W69" s="100">
        <v>2988.0130304129048</v>
      </c>
      <c r="X69" s="100">
        <v>4</v>
      </c>
      <c r="Y69" s="100">
        <v>3033.6</v>
      </c>
      <c r="Z69" s="100">
        <v>3.9549721080360145</v>
      </c>
      <c r="AA69" s="100">
        <v>2999.4508467345131</v>
      </c>
      <c r="AB69" s="100">
        <v>2.7295715861238303</v>
      </c>
      <c r="AC69" s="100">
        <v>2070.1070909163127</v>
      </c>
      <c r="AD69" s="100">
        <v>4.4086115772295127</v>
      </c>
      <c r="AE69" s="100">
        <v>3343.4910201708622</v>
      </c>
      <c r="AF69" s="100">
        <v>4.3129741892407774</v>
      </c>
      <c r="AG69" s="100">
        <v>3270.9596251202056</v>
      </c>
      <c r="AH69" s="100">
        <v>4.3985490739479349</v>
      </c>
      <c r="AI69" s="100">
        <v>3335.8596176821138</v>
      </c>
      <c r="AJ69" s="100">
        <v>3.8923958843155999</v>
      </c>
      <c r="AK69" s="100">
        <v>2951.9930386649507</v>
      </c>
      <c r="AL69" s="100">
        <v>2.5429169445551199</v>
      </c>
      <c r="AM69" s="100">
        <v>1928.5482107506029</v>
      </c>
      <c r="AN69" s="100">
        <v>4.1857622401102059</v>
      </c>
      <c r="AO69" s="100">
        <v>3174.4820828995803</v>
      </c>
      <c r="AP69" s="100">
        <v>4.4376507106042418</v>
      </c>
      <c r="AQ69" s="100">
        <v>3365.5142989222568</v>
      </c>
      <c r="AR69" s="100">
        <v>4</v>
      </c>
      <c r="AS69" s="100">
        <v>3033.6</v>
      </c>
      <c r="AT69" s="100">
        <v>4.6210962475608097</v>
      </c>
      <c r="AU69" s="100">
        <v>3504.6393941501178</v>
      </c>
      <c r="AV69" s="100">
        <v>3.2826386637450198</v>
      </c>
      <c r="AW69" s="100">
        <v>2489.5531625842227</v>
      </c>
      <c r="AX69" s="100">
        <v>4</v>
      </c>
      <c r="AY69" s="100">
        <v>3033.6</v>
      </c>
      <c r="AZ69" s="100">
        <v>4.2429700722716053</v>
      </c>
      <c r="BA69" s="100">
        <v>3217.8685028107852</v>
      </c>
      <c r="BB69" s="100">
        <v>3.4528862359389918</v>
      </c>
      <c r="BC69" s="100">
        <v>2618.6689213361315</v>
      </c>
      <c r="BD69" s="100">
        <v>6.0174574977059461</v>
      </c>
      <c r="BE69" s="100">
        <v>4563.6397662601894</v>
      </c>
      <c r="BF69" s="100">
        <v>4.1205738536612628</v>
      </c>
      <c r="BG69" s="100">
        <v>3125.0432106167018</v>
      </c>
      <c r="BH69" s="100">
        <v>3.9832544352049148</v>
      </c>
      <c r="BI69" s="100">
        <v>3020.9001636594076</v>
      </c>
      <c r="BJ69" s="100">
        <v>3.8810727123070019</v>
      </c>
      <c r="BK69" s="100">
        <v>2943.4055450136302</v>
      </c>
      <c r="BL69" s="100">
        <v>1.8633900783692001</v>
      </c>
      <c r="BM69" s="100">
        <v>1413.1950354352014</v>
      </c>
      <c r="BN69" s="100">
        <v>7</v>
      </c>
      <c r="BO69" s="100">
        <v>5308.8</v>
      </c>
      <c r="BP69" s="100">
        <v>5.1173653398328476</v>
      </c>
      <c r="BQ69" s="100">
        <v>3881.0098737292315</v>
      </c>
      <c r="BR69" s="100">
        <v>2.366535743285163</v>
      </c>
      <c r="BS69" s="100">
        <v>1794.7807077074676</v>
      </c>
      <c r="BT69" s="100">
        <v>3.4528862359389918</v>
      </c>
      <c r="BU69" s="100">
        <v>2618.6689213361315</v>
      </c>
      <c r="BV69" s="100">
        <v>5.1395749053358655</v>
      </c>
      <c r="BW69" s="100">
        <v>3897.8536082067203</v>
      </c>
      <c r="BX69" s="100">
        <v>4.4902036107826317</v>
      </c>
      <c r="BY69" s="100">
        <v>3405.3704184175476</v>
      </c>
      <c r="BZ69" s="100">
        <v>3.8679839023270017</v>
      </c>
      <c r="CA69" s="100">
        <v>2933.4789915247979</v>
      </c>
      <c r="CB69" s="100">
        <v>3.0161479364214414</v>
      </c>
      <c r="CC69" s="100">
        <v>2287.446594982021</v>
      </c>
      <c r="CD69" s="100">
        <v>4.7453160493300457</v>
      </c>
      <c r="CE69" s="100">
        <v>3598.8476918119068</v>
      </c>
      <c r="CF69" s="100">
        <v>3.1063706990911144</v>
      </c>
      <c r="CG69" s="100">
        <v>2355.8715381907009</v>
      </c>
      <c r="CH69" s="100">
        <v>5</v>
      </c>
      <c r="CI69" s="100">
        <v>3792</v>
      </c>
      <c r="CJ69" s="100">
        <v>6.1508475161392813</v>
      </c>
      <c r="CK69" s="100">
        <v>4664.8027562400312</v>
      </c>
      <c r="CL69" s="100">
        <v>2.4937821484005749</v>
      </c>
      <c r="CM69" s="100">
        <v>1891.284381346996</v>
      </c>
      <c r="CN69" s="100">
        <v>1.8178489766575292</v>
      </c>
      <c r="CO69" s="100">
        <v>1378.6566638970701</v>
      </c>
      <c r="CP69" s="100">
        <v>3.4800452473438415</v>
      </c>
      <c r="CQ69" s="100">
        <v>2639.2663155855694</v>
      </c>
      <c r="CR69" s="100">
        <v>3.0781758859210657</v>
      </c>
      <c r="CS69" s="100">
        <v>2334.4885918825362</v>
      </c>
      <c r="CT69" s="100">
        <v>3.7503915343890886</v>
      </c>
      <c r="CU69" s="100">
        <v>2844.2969396806848</v>
      </c>
    </row>
    <row r="70" spans="2:99">
      <c r="C70" s="99" t="s">
        <v>236</v>
      </c>
      <c r="D70" s="100">
        <v>1.0780529446086096</v>
      </c>
      <c r="E70" s="100">
        <v>576.97393595452775</v>
      </c>
      <c r="F70" s="100">
        <v>2.2818583879662202</v>
      </c>
      <c r="G70" s="100">
        <v>1221.2506092395208</v>
      </c>
      <c r="H70" s="100">
        <v>2.009418557214413</v>
      </c>
      <c r="I70" s="100">
        <v>1075.4408118211536</v>
      </c>
      <c r="J70" s="100">
        <v>3.81692275012011</v>
      </c>
      <c r="K70" s="100">
        <v>2042.8170558642826</v>
      </c>
      <c r="L70" s="100">
        <v>5.4507183756886137</v>
      </c>
      <c r="M70" s="100">
        <v>2917.2244746685456</v>
      </c>
      <c r="N70" s="100">
        <v>2.7468363924254495</v>
      </c>
      <c r="O70" s="100">
        <v>1470.1068372261004</v>
      </c>
      <c r="P70" s="100">
        <v>5.1217312552628194</v>
      </c>
      <c r="Q70" s="100">
        <v>2741.1505678166604</v>
      </c>
      <c r="R70" s="100">
        <v>4.8255020984707153</v>
      </c>
      <c r="S70" s="100">
        <v>2582.6087231015267</v>
      </c>
      <c r="T70" s="100">
        <v>2.8590144565980973</v>
      </c>
      <c r="U70" s="100">
        <v>1530.1445371713014</v>
      </c>
      <c r="V70" s="100">
        <v>3.9398905991731339</v>
      </c>
      <c r="W70" s="100">
        <v>2108.6294486774609</v>
      </c>
      <c r="X70" s="100">
        <v>3</v>
      </c>
      <c r="Y70" s="100">
        <v>1605.6</v>
      </c>
      <c r="Z70" s="100">
        <v>3.9549721080360145</v>
      </c>
      <c r="AA70" s="100">
        <v>2116.7010722208747</v>
      </c>
      <c r="AB70" s="100">
        <v>3.2754859033485961</v>
      </c>
      <c r="AC70" s="100">
        <v>1753.0400554721684</v>
      </c>
      <c r="AD70" s="100">
        <v>4.4086115772295127</v>
      </c>
      <c r="AE70" s="100">
        <v>2359.4889161332349</v>
      </c>
      <c r="AF70" s="100">
        <v>3.5941451577006474</v>
      </c>
      <c r="AG70" s="100">
        <v>1923.5864884013863</v>
      </c>
      <c r="AH70" s="100">
        <v>4.3985490739479349</v>
      </c>
      <c r="AI70" s="100">
        <v>2354.1034643769344</v>
      </c>
      <c r="AJ70" s="100">
        <v>4.5077170012475722</v>
      </c>
      <c r="AK70" s="100">
        <v>2412.5301390677005</v>
      </c>
      <c r="AL70" s="100">
        <v>2.5429169445551199</v>
      </c>
      <c r="AM70" s="100">
        <v>1360.9691487258999</v>
      </c>
      <c r="AN70" s="100">
        <v>4.1857622401102059</v>
      </c>
      <c r="AO70" s="100">
        <v>2240.2199509069819</v>
      </c>
      <c r="AP70" s="100">
        <v>3.8037006090893506</v>
      </c>
      <c r="AQ70" s="100">
        <v>2035.7405659846202</v>
      </c>
      <c r="AR70" s="100">
        <v>4</v>
      </c>
      <c r="AS70" s="100">
        <v>2140.7999999999997</v>
      </c>
      <c r="AT70" s="100">
        <v>4.0193130452126473</v>
      </c>
      <c r="AU70" s="100">
        <v>2151.1363417978087</v>
      </c>
      <c r="AV70" s="100">
        <v>3.2826386637450198</v>
      </c>
      <c r="AW70" s="100">
        <v>1756.8682128363344</v>
      </c>
      <c r="AX70" s="100">
        <v>5</v>
      </c>
      <c r="AY70" s="100">
        <v>2675.9999999999995</v>
      </c>
      <c r="AZ70" s="100">
        <v>5.0915640867259269</v>
      </c>
      <c r="BA70" s="100">
        <v>2725.0050992157157</v>
      </c>
      <c r="BB70" s="100">
        <v>3.4528862359389918</v>
      </c>
      <c r="BC70" s="100">
        <v>1847.9847134745482</v>
      </c>
      <c r="BD70" s="100">
        <v>5.1578207123193822</v>
      </c>
      <c r="BE70" s="100">
        <v>2760.4656452333329</v>
      </c>
      <c r="BF70" s="100">
        <v>4.8073361626048063</v>
      </c>
      <c r="BG70" s="100">
        <v>2572.8863142260921</v>
      </c>
      <c r="BH70" s="100">
        <v>4.7614344361215366</v>
      </c>
      <c r="BI70" s="100">
        <v>2548.3197102122463</v>
      </c>
      <c r="BJ70" s="100">
        <v>4.6572872547684021</v>
      </c>
      <c r="BK70" s="100">
        <v>2492.5801387520487</v>
      </c>
      <c r="BL70" s="100">
        <v>2.3292375979615003</v>
      </c>
      <c r="BM70" s="100">
        <v>1246.6079624289948</v>
      </c>
      <c r="BN70" s="100">
        <v>7</v>
      </c>
      <c r="BO70" s="100">
        <v>3746.3999999999996</v>
      </c>
      <c r="BP70" s="100">
        <v>5.1482813994294299</v>
      </c>
      <c r="BQ70" s="100">
        <v>2755.3602049746305</v>
      </c>
      <c r="BR70" s="100">
        <v>1.9241786688216631</v>
      </c>
      <c r="BS70" s="100">
        <v>1029.820423553354</v>
      </c>
      <c r="BT70" s="100">
        <v>4.1434634831267898</v>
      </c>
      <c r="BU70" s="100">
        <v>2217.5816561694578</v>
      </c>
      <c r="BV70" s="100">
        <v>5.1395749053358655</v>
      </c>
      <c r="BW70" s="100">
        <v>2750.7004893357548</v>
      </c>
      <c r="BX70" s="100">
        <v>4.4902036107826317</v>
      </c>
      <c r="BY70" s="100">
        <v>2403.1569724908641</v>
      </c>
      <c r="BZ70" s="100">
        <v>3.8679839023270017</v>
      </c>
      <c r="CA70" s="100">
        <v>2070.144984525411</v>
      </c>
      <c r="CB70" s="100">
        <v>3.7701849205268014</v>
      </c>
      <c r="CC70" s="100">
        <v>2017.8029694659438</v>
      </c>
      <c r="CD70" s="100">
        <v>4.7348442343415629</v>
      </c>
      <c r="CE70" s="100">
        <v>2534.088634219604</v>
      </c>
      <c r="CF70" s="100">
        <v>2.5886422492425956</v>
      </c>
      <c r="CG70" s="100">
        <v>1385.4413317946369</v>
      </c>
      <c r="CH70" s="100">
        <v>5</v>
      </c>
      <c r="CI70" s="100">
        <v>2675.9999999999995</v>
      </c>
      <c r="CJ70" s="100">
        <v>5.2721550138336699</v>
      </c>
      <c r="CK70" s="100">
        <v>2821.65736340378</v>
      </c>
      <c r="CL70" s="100">
        <v>3.2641429548960725</v>
      </c>
      <c r="CM70" s="100">
        <v>1746.9693094603779</v>
      </c>
      <c r="CN70" s="100">
        <v>1.8178489766575292</v>
      </c>
      <c r="CO70" s="100">
        <v>972.91277230710955</v>
      </c>
      <c r="CP70" s="100">
        <v>2.647669031182331</v>
      </c>
      <c r="CQ70" s="100">
        <v>1417.0324654887834</v>
      </c>
      <c r="CR70" s="100">
        <v>3.0781758859210657</v>
      </c>
      <c r="CS70" s="100">
        <v>1647.4397341449542</v>
      </c>
      <c r="CT70" s="100">
        <v>4.6722596959469032</v>
      </c>
      <c r="CU70" s="100">
        <v>2500.5933892707822</v>
      </c>
    </row>
    <row r="71" spans="2:99">
      <c r="B71" s="99" t="s">
        <v>130</v>
      </c>
      <c r="C71" s="99" t="s">
        <v>237</v>
      </c>
      <c r="D71" s="100">
        <v>4.0209204049350662</v>
      </c>
      <c r="E71" s="100">
        <v>2267.7991083833772</v>
      </c>
      <c r="F71" s="100">
        <v>4</v>
      </c>
      <c r="G71" s="100">
        <v>2256</v>
      </c>
      <c r="H71" s="100">
        <v>5.2223393612485394</v>
      </c>
      <c r="I71" s="100">
        <v>2945.3993997441762</v>
      </c>
      <c r="J71" s="100">
        <v>3.8006906793424871</v>
      </c>
      <c r="K71" s="100">
        <v>2143.5895431491626</v>
      </c>
      <c r="L71" s="100">
        <v>4</v>
      </c>
      <c r="M71" s="100">
        <v>2256</v>
      </c>
      <c r="N71" s="100">
        <v>3</v>
      </c>
      <c r="O71" s="100">
        <v>1692</v>
      </c>
      <c r="P71" s="100">
        <v>4</v>
      </c>
      <c r="Q71" s="100">
        <v>2256</v>
      </c>
      <c r="R71" s="100">
        <v>4</v>
      </c>
      <c r="S71" s="100">
        <v>2256</v>
      </c>
      <c r="T71" s="100">
        <v>3.3159746993047015</v>
      </c>
      <c r="U71" s="100">
        <v>1870.2097304078516</v>
      </c>
      <c r="V71" s="100">
        <v>5.731660479111043</v>
      </c>
      <c r="W71" s="100">
        <v>3232.6565102186282</v>
      </c>
      <c r="X71" s="100">
        <v>4</v>
      </c>
      <c r="Y71" s="100">
        <v>2256</v>
      </c>
      <c r="Z71" s="100">
        <v>5.9722987683045243</v>
      </c>
      <c r="AA71" s="100">
        <v>3368.3765053237516</v>
      </c>
      <c r="AB71" s="100">
        <v>3.9973925332935529</v>
      </c>
      <c r="AC71" s="100">
        <v>2254.5293887775638</v>
      </c>
      <c r="AD71" s="100">
        <v>3.4374690676574202</v>
      </c>
      <c r="AE71" s="100">
        <v>1938.732554158785</v>
      </c>
      <c r="AF71" s="100">
        <v>3.9419790835294073</v>
      </c>
      <c r="AG71" s="100">
        <v>2223.2762031105858</v>
      </c>
      <c r="AH71" s="100">
        <v>3</v>
      </c>
      <c r="AI71" s="100">
        <v>1692</v>
      </c>
      <c r="AJ71" s="100">
        <v>4</v>
      </c>
      <c r="AK71" s="100">
        <v>2256</v>
      </c>
      <c r="AL71" s="100">
        <v>3</v>
      </c>
      <c r="AM71" s="100">
        <v>1692</v>
      </c>
      <c r="AN71" s="100">
        <v>5</v>
      </c>
      <c r="AO71" s="100">
        <v>2820</v>
      </c>
      <c r="AP71" s="100">
        <v>6</v>
      </c>
      <c r="AQ71" s="100">
        <v>3384</v>
      </c>
      <c r="AR71" s="100">
        <v>4</v>
      </c>
      <c r="AS71" s="100">
        <v>2256</v>
      </c>
      <c r="AT71" s="100">
        <v>3</v>
      </c>
      <c r="AU71" s="100">
        <v>1692</v>
      </c>
      <c r="AV71" s="100">
        <v>6</v>
      </c>
      <c r="AW71" s="100">
        <v>3384</v>
      </c>
      <c r="AX71" s="100">
        <v>4</v>
      </c>
      <c r="AY71" s="100">
        <v>2256</v>
      </c>
      <c r="AZ71" s="100">
        <v>5.0683389127072251</v>
      </c>
      <c r="BA71" s="100">
        <v>2858.543146766875</v>
      </c>
      <c r="BB71" s="100">
        <v>4.4914394330925473</v>
      </c>
      <c r="BC71" s="100">
        <v>2533.1718402641968</v>
      </c>
      <c r="BD71" s="100">
        <v>4.2029727207200782</v>
      </c>
      <c r="BE71" s="100">
        <v>2370.4766144861242</v>
      </c>
      <c r="BF71" s="100">
        <v>4.1603534439977432</v>
      </c>
      <c r="BG71" s="100">
        <v>2346.439342414727</v>
      </c>
      <c r="BH71" s="100">
        <v>4.1373784538699327</v>
      </c>
      <c r="BI71" s="100">
        <v>2333.4814479826423</v>
      </c>
      <c r="BJ71" s="100">
        <v>4</v>
      </c>
      <c r="BK71" s="100">
        <v>2256</v>
      </c>
      <c r="BL71" s="100">
        <v>4.8118005166214308</v>
      </c>
      <c r="BM71" s="100">
        <v>2713.855491374487</v>
      </c>
      <c r="BN71" s="100">
        <v>3.8208842915637082</v>
      </c>
      <c r="BO71" s="100">
        <v>2154.9787404419312</v>
      </c>
      <c r="BP71" s="100">
        <v>3.8957959860531548</v>
      </c>
      <c r="BQ71" s="100">
        <v>2197.2289361339795</v>
      </c>
      <c r="BR71" s="100">
        <v>4.3091331181653461</v>
      </c>
      <c r="BS71" s="100">
        <v>2430.3510786452553</v>
      </c>
      <c r="BT71" s="100">
        <v>3.4347564350543807</v>
      </c>
      <c r="BU71" s="100">
        <v>1937.2026293706706</v>
      </c>
      <c r="BV71" s="100">
        <v>3.9973925332935529</v>
      </c>
      <c r="BW71" s="100">
        <v>2254.5293887775638</v>
      </c>
      <c r="BX71" s="100">
        <v>3.3979666906208439</v>
      </c>
      <c r="BY71" s="100">
        <v>1916.453213510156</v>
      </c>
      <c r="BZ71" s="100">
        <v>3.6415549547491981</v>
      </c>
      <c r="CA71" s="100">
        <v>2053.8369944785477</v>
      </c>
      <c r="CB71" s="100">
        <v>2.6232591149082731</v>
      </c>
      <c r="CC71" s="100">
        <v>1479.518140808266</v>
      </c>
      <c r="CD71" s="100">
        <v>4</v>
      </c>
      <c r="CE71" s="100">
        <v>2256</v>
      </c>
      <c r="CF71" s="100">
        <v>4.5682072974223926</v>
      </c>
      <c r="CG71" s="100">
        <v>2576.4689157462294</v>
      </c>
      <c r="CH71" s="100">
        <v>3.2140587166354919</v>
      </c>
      <c r="CI71" s="100">
        <v>1812.7291161824173</v>
      </c>
      <c r="CJ71" s="100">
        <v>4.3121950253540202</v>
      </c>
      <c r="CK71" s="100">
        <v>2432.0779942996674</v>
      </c>
      <c r="CL71" s="100">
        <v>3.912483173803035</v>
      </c>
      <c r="CM71" s="100">
        <v>2206.6405100249117</v>
      </c>
      <c r="CN71" s="100">
        <v>3.6140899760888039</v>
      </c>
      <c r="CO71" s="100">
        <v>2038.3467465140855</v>
      </c>
      <c r="CP71" s="100">
        <v>3.2576794419118706</v>
      </c>
      <c r="CQ71" s="100">
        <v>1837.3312052382951</v>
      </c>
      <c r="CR71" s="100">
        <v>3.1166138707051658</v>
      </c>
      <c r="CS71" s="100">
        <v>1757.7702230777136</v>
      </c>
      <c r="CT71" s="100">
        <v>4</v>
      </c>
      <c r="CU71" s="100">
        <v>2256</v>
      </c>
    </row>
    <row r="72" spans="2:99">
      <c r="C72" s="99" t="s">
        <v>238</v>
      </c>
      <c r="D72" s="100">
        <v>4.0209204049350662</v>
      </c>
      <c r="E72" s="100">
        <v>299.1564781271689</v>
      </c>
      <c r="F72" s="100">
        <v>4</v>
      </c>
      <c r="G72" s="100">
        <v>297.59999999999997</v>
      </c>
      <c r="H72" s="100">
        <v>5.2541021271411879</v>
      </c>
      <c r="I72" s="100">
        <v>390.90519825930431</v>
      </c>
      <c r="J72" s="100">
        <v>3.8006906793424871</v>
      </c>
      <c r="K72" s="100">
        <v>282.77138654308101</v>
      </c>
      <c r="L72" s="100">
        <v>4</v>
      </c>
      <c r="M72" s="100">
        <v>297.59999999999997</v>
      </c>
      <c r="N72" s="100">
        <v>4</v>
      </c>
      <c r="O72" s="100">
        <v>297.59999999999997</v>
      </c>
      <c r="P72" s="100">
        <v>4</v>
      </c>
      <c r="Q72" s="100">
        <v>297.59999999999997</v>
      </c>
      <c r="R72" s="100">
        <v>4</v>
      </c>
      <c r="S72" s="100">
        <v>297.59999999999997</v>
      </c>
      <c r="T72" s="100">
        <v>3.3159746993047015</v>
      </c>
      <c r="U72" s="100">
        <v>246.70851762826976</v>
      </c>
      <c r="V72" s="100">
        <v>5.780437844385113</v>
      </c>
      <c r="W72" s="100">
        <v>430.06457562225233</v>
      </c>
      <c r="X72" s="100">
        <v>4</v>
      </c>
      <c r="Y72" s="100">
        <v>297.59999999999997</v>
      </c>
      <c r="Z72" s="100">
        <v>5.9722987683045243</v>
      </c>
      <c r="AA72" s="100">
        <v>444.33902836185655</v>
      </c>
      <c r="AB72" s="100">
        <v>4.7968710399522632</v>
      </c>
      <c r="AC72" s="100">
        <v>356.88720537244836</v>
      </c>
      <c r="AD72" s="100">
        <v>3.4374690676574202</v>
      </c>
      <c r="AE72" s="100">
        <v>255.74769863371205</v>
      </c>
      <c r="AF72" s="100">
        <v>2.9564843126470555</v>
      </c>
      <c r="AG72" s="100">
        <v>219.96243286094091</v>
      </c>
      <c r="AH72" s="100">
        <v>3</v>
      </c>
      <c r="AI72" s="100">
        <v>223.2</v>
      </c>
      <c r="AJ72" s="100">
        <v>4</v>
      </c>
      <c r="AK72" s="100">
        <v>297.59999999999997</v>
      </c>
      <c r="AL72" s="100">
        <v>3</v>
      </c>
      <c r="AM72" s="100">
        <v>223.2</v>
      </c>
      <c r="AN72" s="100">
        <v>5</v>
      </c>
      <c r="AO72" s="100">
        <v>371.99999999999994</v>
      </c>
      <c r="AP72" s="100">
        <v>6</v>
      </c>
      <c r="AQ72" s="100">
        <v>446.4</v>
      </c>
      <c r="AR72" s="100">
        <v>4</v>
      </c>
      <c r="AS72" s="100">
        <v>297.59999999999997</v>
      </c>
      <c r="AT72" s="100">
        <v>3</v>
      </c>
      <c r="AU72" s="100">
        <v>223.2</v>
      </c>
      <c r="AV72" s="100">
        <v>5</v>
      </c>
      <c r="AW72" s="100">
        <v>371.99999999999994</v>
      </c>
      <c r="AX72" s="100">
        <v>4</v>
      </c>
      <c r="AY72" s="100">
        <v>297.59999999999997</v>
      </c>
      <c r="AZ72" s="100">
        <v>4.2236157605893538</v>
      </c>
      <c r="BA72" s="100">
        <v>314.23701258784791</v>
      </c>
      <c r="BB72" s="100">
        <v>4.4914394330925473</v>
      </c>
      <c r="BC72" s="100">
        <v>334.1630938220855</v>
      </c>
      <c r="BD72" s="100">
        <v>4.2029727207200782</v>
      </c>
      <c r="BE72" s="100">
        <v>312.70117042157381</v>
      </c>
      <c r="BF72" s="100">
        <v>4.1603534439977432</v>
      </c>
      <c r="BG72" s="100">
        <v>309.53029623343207</v>
      </c>
      <c r="BH72" s="100">
        <v>4.1373784538699327</v>
      </c>
      <c r="BI72" s="100">
        <v>307.82095696792294</v>
      </c>
      <c r="BJ72" s="100">
        <v>3</v>
      </c>
      <c r="BK72" s="100">
        <v>223.2</v>
      </c>
      <c r="BL72" s="100">
        <v>5.6137672693916691</v>
      </c>
      <c r="BM72" s="100">
        <v>417.66428484274013</v>
      </c>
      <c r="BN72" s="100">
        <v>3.8208842915637082</v>
      </c>
      <c r="BO72" s="100">
        <v>284.27379129233987</v>
      </c>
      <c r="BP72" s="100">
        <v>4.6749551832637861</v>
      </c>
      <c r="BQ72" s="100">
        <v>347.81666563482565</v>
      </c>
      <c r="BR72" s="100">
        <v>4.3091331181653461</v>
      </c>
      <c r="BS72" s="100">
        <v>320.59950399150171</v>
      </c>
      <c r="BT72" s="100">
        <v>4.2934455438179757</v>
      </c>
      <c r="BU72" s="100">
        <v>319.43234846005737</v>
      </c>
      <c r="BV72" s="100">
        <v>3.9973925332935529</v>
      </c>
      <c r="BW72" s="100">
        <v>297.40600447704031</v>
      </c>
      <c r="BX72" s="100">
        <v>4.0775600287450127</v>
      </c>
      <c r="BY72" s="100">
        <v>303.3704661386289</v>
      </c>
      <c r="BZ72" s="100">
        <v>3.6734347796696971</v>
      </c>
      <c r="CA72" s="100">
        <v>273.30354760742546</v>
      </c>
      <c r="CB72" s="100">
        <v>3.2790738936353412</v>
      </c>
      <c r="CC72" s="100">
        <v>243.96309768646935</v>
      </c>
      <c r="CD72" s="100">
        <v>3</v>
      </c>
      <c r="CE72" s="100">
        <v>223.2</v>
      </c>
      <c r="CF72" s="100">
        <v>4.5682072974223926</v>
      </c>
      <c r="CG72" s="100">
        <v>339.87462292822596</v>
      </c>
      <c r="CH72" s="100">
        <v>3.1902744147871038</v>
      </c>
      <c r="CI72" s="100">
        <v>237.35641646016049</v>
      </c>
      <c r="CJ72" s="100">
        <v>4.3121950253540202</v>
      </c>
      <c r="CK72" s="100">
        <v>320.82730988633909</v>
      </c>
      <c r="CL72" s="100">
        <v>3.912483173803035</v>
      </c>
      <c r="CM72" s="100">
        <v>291.08874813094576</v>
      </c>
      <c r="CN72" s="100">
        <v>4.517612470111005</v>
      </c>
      <c r="CO72" s="100">
        <v>336.11036777625873</v>
      </c>
      <c r="CP72" s="100">
        <v>4.2576794419118702</v>
      </c>
      <c r="CQ72" s="100">
        <v>316.77135047824311</v>
      </c>
      <c r="CR72" s="100">
        <v>3.1166138707051658</v>
      </c>
      <c r="CS72" s="100">
        <v>231.8760719804643</v>
      </c>
      <c r="CT72" s="100">
        <v>5</v>
      </c>
      <c r="CU72" s="100">
        <v>371.99999999999994</v>
      </c>
    </row>
    <row r="73" spans="2:99">
      <c r="C73" s="99" t="s">
        <v>239</v>
      </c>
      <c r="D73" s="100">
        <v>4.0209204049350662</v>
      </c>
      <c r="E73" s="100">
        <v>2248.4986904396887</v>
      </c>
      <c r="F73" s="100">
        <v>4</v>
      </c>
      <c r="G73" s="100">
        <v>2236.7999999999997</v>
      </c>
      <c r="H73" s="100">
        <v>5.2064579783022147</v>
      </c>
      <c r="I73" s="100">
        <v>2911.4513014665981</v>
      </c>
      <c r="J73" s="100">
        <v>3.8006906793424871</v>
      </c>
      <c r="K73" s="100">
        <v>2125.3462278883185</v>
      </c>
      <c r="L73" s="100">
        <v>4</v>
      </c>
      <c r="M73" s="100">
        <v>2236.7999999999997</v>
      </c>
      <c r="N73" s="100">
        <v>3</v>
      </c>
      <c r="O73" s="100">
        <v>1677.6</v>
      </c>
      <c r="P73" s="100">
        <v>4</v>
      </c>
      <c r="Q73" s="100">
        <v>2236.7999999999997</v>
      </c>
      <c r="R73" s="100">
        <v>3</v>
      </c>
      <c r="S73" s="100">
        <v>1677.6</v>
      </c>
      <c r="T73" s="100">
        <v>3.3159746993047015</v>
      </c>
      <c r="U73" s="100">
        <v>1854.2930518511889</v>
      </c>
      <c r="V73" s="100">
        <v>5.780437844385113</v>
      </c>
      <c r="W73" s="100">
        <v>3232.4208425801548</v>
      </c>
      <c r="X73" s="100">
        <v>4</v>
      </c>
      <c r="Y73" s="100">
        <v>2236.7999999999997</v>
      </c>
      <c r="Z73" s="100">
        <v>4.9769156402537709</v>
      </c>
      <c r="AA73" s="100">
        <v>2783.0912260299083</v>
      </c>
      <c r="AB73" s="100">
        <v>3.9973925332935529</v>
      </c>
      <c r="AC73" s="100">
        <v>2235.3419046177546</v>
      </c>
      <c r="AD73" s="100">
        <v>3.3888613934732623</v>
      </c>
      <c r="AE73" s="100">
        <v>1895.0512912302481</v>
      </c>
      <c r="AF73" s="100">
        <v>3.9419790835294073</v>
      </c>
      <c r="AG73" s="100">
        <v>2204.3547035096444</v>
      </c>
      <c r="AH73" s="100">
        <v>3</v>
      </c>
      <c r="AI73" s="100">
        <v>1677.6</v>
      </c>
      <c r="AJ73" s="100">
        <v>5</v>
      </c>
      <c r="AK73" s="100">
        <v>2795.9999999999995</v>
      </c>
      <c r="AL73" s="100">
        <v>3</v>
      </c>
      <c r="AM73" s="100">
        <v>1677.6</v>
      </c>
      <c r="AN73" s="100">
        <v>5</v>
      </c>
      <c r="AO73" s="100">
        <v>2795.9999999999995</v>
      </c>
      <c r="AP73" s="100">
        <v>5</v>
      </c>
      <c r="AQ73" s="100">
        <v>2795.9999999999995</v>
      </c>
      <c r="AR73" s="100">
        <v>4</v>
      </c>
      <c r="AS73" s="100">
        <v>2236.7999999999997</v>
      </c>
      <c r="AT73" s="100">
        <v>3</v>
      </c>
      <c r="AU73" s="100">
        <v>1677.6</v>
      </c>
      <c r="AV73" s="100">
        <v>6</v>
      </c>
      <c r="AW73" s="100">
        <v>3355.2</v>
      </c>
      <c r="AX73" s="100">
        <v>4</v>
      </c>
      <c r="AY73" s="100">
        <v>2236.7999999999997</v>
      </c>
      <c r="AZ73" s="100">
        <v>5.0683389127072251</v>
      </c>
      <c r="BA73" s="100">
        <v>2834.2151199858799</v>
      </c>
      <c r="BB73" s="100">
        <v>3.7428661942437889</v>
      </c>
      <c r="BC73" s="100">
        <v>2093.0107758211266</v>
      </c>
      <c r="BD73" s="100">
        <v>4.2029727207200782</v>
      </c>
      <c r="BE73" s="100">
        <v>2350.3023454266677</v>
      </c>
      <c r="BF73" s="100">
        <v>3.3282827551981944</v>
      </c>
      <c r="BG73" s="100">
        <v>1861.1757167068301</v>
      </c>
      <c r="BH73" s="100">
        <v>4.1373784538699327</v>
      </c>
      <c r="BI73" s="100">
        <v>2313.6220314040661</v>
      </c>
      <c r="BJ73" s="100">
        <v>4</v>
      </c>
      <c r="BK73" s="100">
        <v>2236.7999999999997</v>
      </c>
      <c r="BL73" s="100">
        <v>4.8118005166214308</v>
      </c>
      <c r="BM73" s="100">
        <v>2690.758848894704</v>
      </c>
      <c r="BN73" s="100">
        <v>3.8208842915637082</v>
      </c>
      <c r="BO73" s="100">
        <v>2136.6384958424255</v>
      </c>
      <c r="BP73" s="100">
        <v>4.6749551832637861</v>
      </c>
      <c r="BQ73" s="100">
        <v>2614.2349384811087</v>
      </c>
      <c r="BR73" s="100">
        <v>4.3091331181653461</v>
      </c>
      <c r="BS73" s="100">
        <v>2409.6672396780614</v>
      </c>
      <c r="BT73" s="100">
        <v>4.2934455438179757</v>
      </c>
      <c r="BU73" s="100">
        <v>2400.8947481030118</v>
      </c>
      <c r="BV73" s="100">
        <v>3.9973925332935529</v>
      </c>
      <c r="BW73" s="100">
        <v>2235.3419046177546</v>
      </c>
      <c r="BX73" s="100">
        <v>4.0775600287450127</v>
      </c>
      <c r="BY73" s="100">
        <v>2280.1715680742109</v>
      </c>
      <c r="BZ73" s="100">
        <v>4.4483342624448783</v>
      </c>
      <c r="CA73" s="100">
        <v>2487.5085195591755</v>
      </c>
      <c r="CB73" s="100">
        <v>3.2790738936353412</v>
      </c>
      <c r="CC73" s="100">
        <v>1833.6581213208826</v>
      </c>
      <c r="CD73" s="100">
        <v>4</v>
      </c>
      <c r="CE73" s="100">
        <v>2236.7999999999997</v>
      </c>
      <c r="CF73" s="100">
        <v>5.4818487569068717</v>
      </c>
      <c r="CG73" s="100">
        <v>3065.4498248623222</v>
      </c>
      <c r="CH73" s="100">
        <v>3</v>
      </c>
      <c r="CI73" s="100">
        <v>1677.6</v>
      </c>
      <c r="CJ73" s="100">
        <v>4.3121950253540202</v>
      </c>
      <c r="CK73" s="100">
        <v>2411.379458177968</v>
      </c>
      <c r="CL73" s="100">
        <v>3.912483173803035</v>
      </c>
      <c r="CM73" s="100">
        <v>2187.8605907906567</v>
      </c>
      <c r="CN73" s="100">
        <v>4.517612470111005</v>
      </c>
      <c r="CO73" s="100">
        <v>2526.2488932860738</v>
      </c>
      <c r="CP73" s="100">
        <v>3.2208680930673177</v>
      </c>
      <c r="CQ73" s="100">
        <v>1801.1094376432438</v>
      </c>
      <c r="CR73" s="100">
        <v>3.1166138707051658</v>
      </c>
      <c r="CS73" s="100">
        <v>1742.8104764983286</v>
      </c>
      <c r="CT73" s="100">
        <v>5</v>
      </c>
      <c r="CU73" s="100">
        <v>2795.9999999999995</v>
      </c>
    </row>
    <row r="74" spans="2:99">
      <c r="C74" s="99" t="s">
        <v>240</v>
      </c>
      <c r="D74" s="100">
        <v>4.0209204049350662</v>
      </c>
      <c r="E74" s="100">
        <v>1621.2351072698186</v>
      </c>
      <c r="F74" s="100">
        <v>4</v>
      </c>
      <c r="G74" s="100">
        <v>1612.8</v>
      </c>
      <c r="H74" s="100">
        <v>6.2382207441948632</v>
      </c>
      <c r="I74" s="100">
        <v>2515.2506040593689</v>
      </c>
      <c r="J74" s="100">
        <v>4.7508633491781085</v>
      </c>
      <c r="K74" s="100">
        <v>1915.5481023886132</v>
      </c>
      <c r="L74" s="100">
        <v>4</v>
      </c>
      <c r="M74" s="100">
        <v>1612.8</v>
      </c>
      <c r="N74" s="100">
        <v>3</v>
      </c>
      <c r="O74" s="100">
        <v>1209.5999999999999</v>
      </c>
      <c r="P74" s="100">
        <v>4</v>
      </c>
      <c r="Q74" s="100">
        <v>1612.8</v>
      </c>
      <c r="R74" s="100">
        <v>4</v>
      </c>
      <c r="S74" s="100">
        <v>1612.8</v>
      </c>
      <c r="T74" s="100">
        <v>3.2764778618916139</v>
      </c>
      <c r="U74" s="100">
        <v>1321.0758739146986</v>
      </c>
      <c r="V74" s="100">
        <v>5.731660479111043</v>
      </c>
      <c r="W74" s="100">
        <v>2311.0055051775726</v>
      </c>
      <c r="X74" s="100">
        <v>4</v>
      </c>
      <c r="Y74" s="100">
        <v>1612.8</v>
      </c>
      <c r="Z74" s="100">
        <v>5.9722987683045243</v>
      </c>
      <c r="AA74" s="100">
        <v>2408.0308633803843</v>
      </c>
      <c r="AB74" s="100">
        <v>3.9973925332935529</v>
      </c>
      <c r="AC74" s="100">
        <v>1611.7486694239606</v>
      </c>
      <c r="AD74" s="100">
        <v>3.3888613934732623</v>
      </c>
      <c r="AE74" s="100">
        <v>1366.3889138484194</v>
      </c>
      <c r="AF74" s="100">
        <v>2.9564843126470555</v>
      </c>
      <c r="AG74" s="100">
        <v>1192.0544748592927</v>
      </c>
      <c r="AH74" s="100">
        <v>3</v>
      </c>
      <c r="AI74" s="100">
        <v>1209.5999999999999</v>
      </c>
      <c r="AJ74" s="100">
        <v>4</v>
      </c>
      <c r="AK74" s="100">
        <v>1612.8</v>
      </c>
      <c r="AL74" s="100">
        <v>3</v>
      </c>
      <c r="AM74" s="100">
        <v>1209.5999999999999</v>
      </c>
      <c r="AN74" s="100">
        <v>4</v>
      </c>
      <c r="AO74" s="100">
        <v>1612.8</v>
      </c>
      <c r="AP74" s="100">
        <v>5</v>
      </c>
      <c r="AQ74" s="100">
        <v>2016</v>
      </c>
      <c r="AR74" s="100">
        <v>4</v>
      </c>
      <c r="AS74" s="100">
        <v>1612.8</v>
      </c>
      <c r="AT74" s="100">
        <v>3</v>
      </c>
      <c r="AU74" s="100">
        <v>1209.5999999999999</v>
      </c>
      <c r="AV74" s="100">
        <v>6</v>
      </c>
      <c r="AW74" s="100">
        <v>2419.1999999999998</v>
      </c>
      <c r="AX74" s="100">
        <v>4</v>
      </c>
      <c r="AY74" s="100">
        <v>1612.8</v>
      </c>
      <c r="AZ74" s="100">
        <v>5.0683389127072251</v>
      </c>
      <c r="BA74" s="100">
        <v>2043.5542496035532</v>
      </c>
      <c r="BB74" s="100">
        <v>4.4914394330925473</v>
      </c>
      <c r="BC74" s="100">
        <v>1810.948379422915</v>
      </c>
      <c r="BD74" s="100">
        <v>4.2029727207200782</v>
      </c>
      <c r="BE74" s="100">
        <v>1694.6386009943355</v>
      </c>
      <c r="BF74" s="100">
        <v>3.3282827551981944</v>
      </c>
      <c r="BG74" s="100">
        <v>1341.9636068959119</v>
      </c>
      <c r="BH74" s="100">
        <v>3.3099027630959466</v>
      </c>
      <c r="BI74" s="100">
        <v>1334.5527940802856</v>
      </c>
      <c r="BJ74" s="100">
        <v>3</v>
      </c>
      <c r="BK74" s="100">
        <v>1209.5999999999999</v>
      </c>
      <c r="BL74" s="100">
        <v>4.8118005166214308</v>
      </c>
      <c r="BM74" s="100">
        <v>1940.1179683017608</v>
      </c>
      <c r="BN74" s="100">
        <v>3.8208842915637082</v>
      </c>
      <c r="BO74" s="100">
        <v>1540.580546358487</v>
      </c>
      <c r="BP74" s="100">
        <v>3.8957959860531548</v>
      </c>
      <c r="BQ74" s="100">
        <v>1570.784941576632</v>
      </c>
      <c r="BR74" s="100">
        <v>4.3091331181653461</v>
      </c>
      <c r="BS74" s="100">
        <v>1737.4424732442674</v>
      </c>
      <c r="BT74" s="100">
        <v>4.2934455438179757</v>
      </c>
      <c r="BU74" s="100">
        <v>1731.1172432674077</v>
      </c>
      <c r="BV74" s="100">
        <v>3.9973925332935529</v>
      </c>
      <c r="BW74" s="100">
        <v>1611.7486694239606</v>
      </c>
      <c r="BX74" s="100">
        <v>4.757153366869181</v>
      </c>
      <c r="BY74" s="100">
        <v>1918.0842375216537</v>
      </c>
      <c r="BZ74" s="100">
        <v>3.6415549547491981</v>
      </c>
      <c r="CA74" s="100">
        <v>1468.2749577548766</v>
      </c>
      <c r="CB74" s="100">
        <v>2.6232591149082731</v>
      </c>
      <c r="CC74" s="100">
        <v>1057.6980751310157</v>
      </c>
      <c r="CD74" s="100">
        <v>4</v>
      </c>
      <c r="CE74" s="100">
        <v>1612.8</v>
      </c>
      <c r="CF74" s="100">
        <v>5.4818487569068717</v>
      </c>
      <c r="CG74" s="100">
        <v>2210.2814187848508</v>
      </c>
      <c r="CH74" s="100">
        <v>3.1902744147871038</v>
      </c>
      <c r="CI74" s="100">
        <v>1286.3186440421603</v>
      </c>
      <c r="CJ74" s="100">
        <v>4.3121950253540202</v>
      </c>
      <c r="CK74" s="100">
        <v>1738.677034222741</v>
      </c>
      <c r="CL74" s="100">
        <v>3.912483173803035</v>
      </c>
      <c r="CM74" s="100">
        <v>1577.5132156773836</v>
      </c>
      <c r="CN74" s="100">
        <v>4.517612470111005</v>
      </c>
      <c r="CO74" s="100">
        <v>1821.5013479487573</v>
      </c>
      <c r="CP74" s="100">
        <v>3.2392737674895939</v>
      </c>
      <c r="CQ74" s="100">
        <v>1306.0751830518043</v>
      </c>
      <c r="CR74" s="100">
        <v>3.1166138707051658</v>
      </c>
      <c r="CS74" s="100">
        <v>1256.6187126683228</v>
      </c>
      <c r="CT74" s="100">
        <v>5</v>
      </c>
      <c r="CU74" s="100">
        <v>2016</v>
      </c>
    </row>
    <row r="75" spans="2:99">
      <c r="C75" s="99" t="s">
        <v>241</v>
      </c>
      <c r="D75" s="100">
        <v>4.0209204049350662</v>
      </c>
      <c r="E75" s="100">
        <v>2586.2560044542342</v>
      </c>
      <c r="F75" s="100">
        <v>4</v>
      </c>
      <c r="G75" s="100">
        <v>2572.7999999999997</v>
      </c>
      <c r="H75" s="100">
        <v>6.2223393612485394</v>
      </c>
      <c r="I75" s="100">
        <v>4002.2086771550603</v>
      </c>
      <c r="J75" s="100">
        <v>3.8006906793424871</v>
      </c>
      <c r="K75" s="100">
        <v>2444.6042449530873</v>
      </c>
      <c r="L75" s="100">
        <v>4</v>
      </c>
      <c r="M75" s="100">
        <v>2572.7999999999997</v>
      </c>
      <c r="N75" s="100">
        <v>3</v>
      </c>
      <c r="O75" s="100">
        <v>1929.6</v>
      </c>
      <c r="P75" s="100">
        <v>4</v>
      </c>
      <c r="Q75" s="100">
        <v>2572.7999999999997</v>
      </c>
      <c r="R75" s="100">
        <v>4</v>
      </c>
      <c r="S75" s="100">
        <v>2572.7999999999997</v>
      </c>
      <c r="T75" s="100">
        <v>3.3159746993047015</v>
      </c>
      <c r="U75" s="100">
        <v>2132.8349265927836</v>
      </c>
      <c r="V75" s="100">
        <v>5.634105748562904</v>
      </c>
      <c r="W75" s="100">
        <v>3623.8568174756597</v>
      </c>
      <c r="X75" s="100">
        <v>4</v>
      </c>
      <c r="Y75" s="100">
        <v>2572.7999999999997</v>
      </c>
      <c r="Z75" s="100">
        <v>4.9769156402537709</v>
      </c>
      <c r="AA75" s="100">
        <v>3201.152139811225</v>
      </c>
      <c r="AB75" s="100">
        <v>3.9973925332935529</v>
      </c>
      <c r="AC75" s="100">
        <v>2571.1228774144129</v>
      </c>
      <c r="AD75" s="100">
        <v>3.3888613934732623</v>
      </c>
      <c r="AE75" s="100">
        <v>2179.7156482820019</v>
      </c>
      <c r="AF75" s="100">
        <v>2.9564843126470555</v>
      </c>
      <c r="AG75" s="100">
        <v>1901.6107098945859</v>
      </c>
      <c r="AH75" s="100">
        <v>3</v>
      </c>
      <c r="AI75" s="100">
        <v>1929.6</v>
      </c>
      <c r="AJ75" s="100">
        <v>5</v>
      </c>
      <c r="AK75" s="100">
        <v>3215.9999999999995</v>
      </c>
      <c r="AL75" s="100">
        <v>3</v>
      </c>
      <c r="AM75" s="100">
        <v>1929.6</v>
      </c>
      <c r="AN75" s="100">
        <v>5</v>
      </c>
      <c r="AO75" s="100">
        <v>3215.9999999999995</v>
      </c>
      <c r="AP75" s="100">
        <v>5</v>
      </c>
      <c r="AQ75" s="100">
        <v>3215.9999999999995</v>
      </c>
      <c r="AR75" s="100">
        <v>4</v>
      </c>
      <c r="AS75" s="100">
        <v>2572.7999999999997</v>
      </c>
      <c r="AT75" s="100">
        <v>3</v>
      </c>
      <c r="AU75" s="100">
        <v>1929.6</v>
      </c>
      <c r="AV75" s="100">
        <v>6</v>
      </c>
      <c r="AW75" s="100">
        <v>3859.2</v>
      </c>
      <c r="AX75" s="100">
        <v>4</v>
      </c>
      <c r="AY75" s="100">
        <v>2572.7999999999997</v>
      </c>
      <c r="AZ75" s="100">
        <v>4.2236157605893538</v>
      </c>
      <c r="BA75" s="100">
        <v>2716.6296572110723</v>
      </c>
      <c r="BB75" s="100">
        <v>4.4914394330925473</v>
      </c>
      <c r="BC75" s="100">
        <v>2888.893843365126</v>
      </c>
      <c r="BD75" s="100">
        <v>4.2029727207200782</v>
      </c>
      <c r="BE75" s="100">
        <v>2703.352053967154</v>
      </c>
      <c r="BF75" s="100">
        <v>3.3282827551981944</v>
      </c>
      <c r="BG75" s="100">
        <v>2140.7514681434782</v>
      </c>
      <c r="BH75" s="100">
        <v>3.3099027630959466</v>
      </c>
      <c r="BI75" s="100">
        <v>2128.9294572233125</v>
      </c>
      <c r="BJ75" s="100">
        <v>4</v>
      </c>
      <c r="BK75" s="100">
        <v>2572.7999999999997</v>
      </c>
      <c r="BL75" s="100">
        <v>4.0098337638511925</v>
      </c>
      <c r="BM75" s="100">
        <v>2579.1250769090866</v>
      </c>
      <c r="BN75" s="100">
        <v>3.8208842915637082</v>
      </c>
      <c r="BO75" s="100">
        <v>2457.5927763337768</v>
      </c>
      <c r="BP75" s="100">
        <v>3.8957959860531548</v>
      </c>
      <c r="BQ75" s="100">
        <v>2505.7759782293888</v>
      </c>
      <c r="BR75" s="100">
        <v>4.3091331181653461</v>
      </c>
      <c r="BS75" s="100">
        <v>2771.6344216039502</v>
      </c>
      <c r="BT75" s="100">
        <v>3.4347564350543807</v>
      </c>
      <c r="BU75" s="100">
        <v>2209.2353390269773</v>
      </c>
      <c r="BV75" s="100">
        <v>3.9973925332935529</v>
      </c>
      <c r="BW75" s="100">
        <v>2571.1228774144129</v>
      </c>
      <c r="BX75" s="100">
        <v>4.0775600287450127</v>
      </c>
      <c r="BY75" s="100">
        <v>2622.6866104887918</v>
      </c>
      <c r="BZ75" s="100">
        <v>3.6734347796696971</v>
      </c>
      <c r="CA75" s="100">
        <v>2362.7532502835488</v>
      </c>
      <c r="CB75" s="100">
        <v>3.2790738936353412</v>
      </c>
      <c r="CC75" s="100">
        <v>2109.100328386251</v>
      </c>
      <c r="CD75" s="100">
        <v>4</v>
      </c>
      <c r="CE75" s="100">
        <v>2572.7999999999997</v>
      </c>
      <c r="CF75" s="100">
        <v>4.5682072974223926</v>
      </c>
      <c r="CG75" s="100">
        <v>2938.2709337020824</v>
      </c>
      <c r="CH75" s="100">
        <v>3.1902744147871038</v>
      </c>
      <c r="CI75" s="100">
        <v>2051.9845035910648</v>
      </c>
      <c r="CJ75" s="100">
        <v>3.5934958544616831</v>
      </c>
      <c r="CK75" s="100">
        <v>2311.3365335897543</v>
      </c>
      <c r="CL75" s="100">
        <v>3.912483173803035</v>
      </c>
      <c r="CM75" s="100">
        <v>2516.5091773901117</v>
      </c>
      <c r="CN75" s="100">
        <v>4.517612470111005</v>
      </c>
      <c r="CO75" s="100">
        <v>2905.728340775398</v>
      </c>
      <c r="CP75" s="100">
        <v>3.2208680930673177</v>
      </c>
      <c r="CQ75" s="100">
        <v>2071.6623574608984</v>
      </c>
      <c r="CR75" s="100">
        <v>3.1166138707051658</v>
      </c>
      <c r="CS75" s="100">
        <v>2004.6060416375624</v>
      </c>
      <c r="CT75" s="100">
        <v>4</v>
      </c>
      <c r="CU75" s="100">
        <v>2572.7999999999997</v>
      </c>
    </row>
    <row r="76" spans="2:99">
      <c r="C76" s="99" t="s">
        <v>242</v>
      </c>
      <c r="D76" s="100">
        <v>4.0209204049350662</v>
      </c>
      <c r="E76" s="100">
        <v>3131.4928113634292</v>
      </c>
      <c r="F76" s="100">
        <v>4</v>
      </c>
      <c r="G76" s="100">
        <v>3115.2</v>
      </c>
      <c r="H76" s="100">
        <v>6.2064579783022147</v>
      </c>
      <c r="I76" s="100">
        <v>4833.5894735017646</v>
      </c>
      <c r="J76" s="100">
        <v>4.7508633491781085</v>
      </c>
      <c r="K76" s="100">
        <v>3699.9723763399106</v>
      </c>
      <c r="L76" s="100">
        <v>4</v>
      </c>
      <c r="M76" s="100">
        <v>3115.2</v>
      </c>
      <c r="N76" s="100">
        <v>3</v>
      </c>
      <c r="O76" s="100">
        <v>2336.3999999999996</v>
      </c>
      <c r="P76" s="100">
        <v>4</v>
      </c>
      <c r="Q76" s="100">
        <v>3115.2</v>
      </c>
      <c r="R76" s="100">
        <v>4</v>
      </c>
      <c r="S76" s="100">
        <v>3115.2</v>
      </c>
      <c r="T76" s="100">
        <v>3.2764778618916139</v>
      </c>
      <c r="U76" s="100">
        <v>2551.7209588411888</v>
      </c>
      <c r="V76" s="100">
        <v>5.682883113836974</v>
      </c>
      <c r="W76" s="100">
        <v>4425.829369056235</v>
      </c>
      <c r="X76" s="100">
        <v>4</v>
      </c>
      <c r="Y76" s="100">
        <v>3115.2</v>
      </c>
      <c r="Z76" s="100">
        <v>5.9722987683045243</v>
      </c>
      <c r="AA76" s="100">
        <v>4651.2262807555635</v>
      </c>
      <c r="AB76" s="100">
        <v>3.9973925332935529</v>
      </c>
      <c r="AC76" s="100">
        <v>3113.1693049290188</v>
      </c>
      <c r="AD76" s="100">
        <v>3.4374690676574202</v>
      </c>
      <c r="AE76" s="100">
        <v>2677.1009098915988</v>
      </c>
      <c r="AF76" s="100">
        <v>3.9419790835294073</v>
      </c>
      <c r="AG76" s="100">
        <v>3070.013310252702</v>
      </c>
      <c r="AH76" s="100">
        <v>3</v>
      </c>
      <c r="AI76" s="100">
        <v>2336.3999999999996</v>
      </c>
      <c r="AJ76" s="100">
        <v>4</v>
      </c>
      <c r="AK76" s="100">
        <v>3115.2</v>
      </c>
      <c r="AL76" s="100">
        <v>3</v>
      </c>
      <c r="AM76" s="100">
        <v>2336.3999999999996</v>
      </c>
      <c r="AN76" s="100">
        <v>5</v>
      </c>
      <c r="AO76" s="100">
        <v>3894</v>
      </c>
      <c r="AP76" s="100">
        <v>5</v>
      </c>
      <c r="AQ76" s="100">
        <v>3894</v>
      </c>
      <c r="AR76" s="100">
        <v>4</v>
      </c>
      <c r="AS76" s="100">
        <v>3115.2</v>
      </c>
      <c r="AT76" s="100">
        <v>3</v>
      </c>
      <c r="AU76" s="100">
        <v>2336.3999999999996</v>
      </c>
      <c r="AV76" s="100">
        <v>6</v>
      </c>
      <c r="AW76" s="100">
        <v>4672.7999999999993</v>
      </c>
      <c r="AX76" s="100">
        <v>4</v>
      </c>
      <c r="AY76" s="100">
        <v>3115.2</v>
      </c>
      <c r="AZ76" s="100">
        <v>5.0683389127072251</v>
      </c>
      <c r="BA76" s="100">
        <v>3947.2223452163867</v>
      </c>
      <c r="BB76" s="100">
        <v>3.7428661942437889</v>
      </c>
      <c r="BC76" s="100">
        <v>2914.9441920770628</v>
      </c>
      <c r="BD76" s="100">
        <v>3.5024772672667321</v>
      </c>
      <c r="BE76" s="100">
        <v>2727.729295747331</v>
      </c>
      <c r="BF76" s="100">
        <v>4.1603534439977432</v>
      </c>
      <c r="BG76" s="100">
        <v>3240.0832621854424</v>
      </c>
      <c r="BH76" s="100">
        <v>4.1373784538699327</v>
      </c>
      <c r="BI76" s="100">
        <v>3222.1903398739032</v>
      </c>
      <c r="BJ76" s="100">
        <v>3</v>
      </c>
      <c r="BK76" s="100">
        <v>2336.3999999999996</v>
      </c>
      <c r="BL76" s="100">
        <v>4.0098337638511925</v>
      </c>
      <c r="BM76" s="100">
        <v>3122.8585352873083</v>
      </c>
      <c r="BN76" s="100">
        <v>3.8208842915637082</v>
      </c>
      <c r="BO76" s="100">
        <v>2975.7046862698157</v>
      </c>
      <c r="BP76" s="100">
        <v>4.6749551832637861</v>
      </c>
      <c r="BQ76" s="100">
        <v>3640.8550967258366</v>
      </c>
      <c r="BR76" s="100">
        <v>4.3091331181653461</v>
      </c>
      <c r="BS76" s="100">
        <v>3355.9528724271713</v>
      </c>
      <c r="BT76" s="100">
        <v>4.2934455438179757</v>
      </c>
      <c r="BU76" s="100">
        <v>3343.7353895254391</v>
      </c>
      <c r="BV76" s="100">
        <v>3.9973925332935529</v>
      </c>
      <c r="BW76" s="100">
        <v>3113.1693049290188</v>
      </c>
      <c r="BX76" s="100">
        <v>4.0775600287450127</v>
      </c>
      <c r="BY76" s="100">
        <v>3175.6037503866155</v>
      </c>
      <c r="BZ76" s="100">
        <v>4.4802140873653773</v>
      </c>
      <c r="CA76" s="100">
        <v>3489.1907312401559</v>
      </c>
      <c r="CB76" s="100">
        <v>3.2790738936353412</v>
      </c>
      <c r="CC76" s="100">
        <v>2553.7427483632036</v>
      </c>
      <c r="CD76" s="100">
        <v>4</v>
      </c>
      <c r="CE76" s="100">
        <v>3115.2</v>
      </c>
      <c r="CF76" s="100">
        <v>4.5682072974223926</v>
      </c>
      <c r="CG76" s="100">
        <v>3557.719843232559</v>
      </c>
      <c r="CH76" s="100">
        <v>3.1902744147871038</v>
      </c>
      <c r="CI76" s="100">
        <v>2484.5857142361965</v>
      </c>
      <c r="CJ76" s="100">
        <v>4.3121950253540202</v>
      </c>
      <c r="CK76" s="100">
        <v>3358.3374857457106</v>
      </c>
      <c r="CL76" s="100">
        <v>3.912483173803035</v>
      </c>
      <c r="CM76" s="100">
        <v>3047.0418957578036</v>
      </c>
      <c r="CN76" s="100">
        <v>3.6140899760888039</v>
      </c>
      <c r="CO76" s="100">
        <v>2814.6532733779604</v>
      </c>
      <c r="CP76" s="100">
        <v>3.2208680930673177</v>
      </c>
      <c r="CQ76" s="100">
        <v>2508.4120708808268</v>
      </c>
      <c r="CR76" s="100">
        <v>2.4932910965641333</v>
      </c>
      <c r="CS76" s="100">
        <v>1941.7751060041469</v>
      </c>
      <c r="CT76" s="100">
        <v>4</v>
      </c>
      <c r="CU76" s="100">
        <v>3115.2</v>
      </c>
    </row>
    <row r="77" spans="2:99">
      <c r="C77" s="99" t="s">
        <v>243</v>
      </c>
      <c r="D77" s="100">
        <v>4.0209204049350662</v>
      </c>
      <c r="E77" s="100">
        <v>1119.4242407339223</v>
      </c>
      <c r="F77" s="100">
        <v>4</v>
      </c>
      <c r="G77" s="100">
        <v>1113.5999999999999</v>
      </c>
      <c r="H77" s="100">
        <v>6.2382207441948632</v>
      </c>
      <c r="I77" s="100">
        <v>1736.7206551838497</v>
      </c>
      <c r="J77" s="100">
        <v>3.8006906793424871</v>
      </c>
      <c r="K77" s="100">
        <v>1058.1122851289483</v>
      </c>
      <c r="L77" s="100">
        <v>4</v>
      </c>
      <c r="M77" s="100">
        <v>1113.5999999999999</v>
      </c>
      <c r="N77" s="100">
        <v>3</v>
      </c>
      <c r="O77" s="100">
        <v>835.19999999999993</v>
      </c>
      <c r="P77" s="100">
        <v>4</v>
      </c>
      <c r="Q77" s="100">
        <v>1113.5999999999999</v>
      </c>
      <c r="R77" s="100">
        <v>3</v>
      </c>
      <c r="S77" s="100">
        <v>835.19999999999993</v>
      </c>
      <c r="T77" s="100">
        <v>4.2764778618916139</v>
      </c>
      <c r="U77" s="100">
        <v>1190.5714367506253</v>
      </c>
      <c r="V77" s="100">
        <v>5.780437844385113</v>
      </c>
      <c r="W77" s="100">
        <v>1609.2738958768152</v>
      </c>
      <c r="X77" s="100">
        <v>4</v>
      </c>
      <c r="Y77" s="100">
        <v>1113.5999999999999</v>
      </c>
      <c r="Z77" s="100">
        <v>6.9676818963552796</v>
      </c>
      <c r="AA77" s="100">
        <v>1939.8026399453097</v>
      </c>
      <c r="AB77" s="100">
        <v>3.9973925332935529</v>
      </c>
      <c r="AC77" s="100">
        <v>1112.874081268925</v>
      </c>
      <c r="AD77" s="100">
        <v>3.4374690676574202</v>
      </c>
      <c r="AE77" s="100">
        <v>956.99138843582568</v>
      </c>
      <c r="AF77" s="100">
        <v>2.9564843126470555</v>
      </c>
      <c r="AG77" s="100">
        <v>823.08523264094015</v>
      </c>
      <c r="AH77" s="100">
        <v>3</v>
      </c>
      <c r="AI77" s="100">
        <v>835.19999999999993</v>
      </c>
      <c r="AJ77" s="100">
        <v>4</v>
      </c>
      <c r="AK77" s="100">
        <v>1113.5999999999999</v>
      </c>
      <c r="AL77" s="100">
        <v>3</v>
      </c>
      <c r="AM77" s="100">
        <v>835.19999999999993</v>
      </c>
      <c r="AN77" s="100">
        <v>4</v>
      </c>
      <c r="AO77" s="100">
        <v>1113.5999999999999</v>
      </c>
      <c r="AP77" s="100">
        <v>5</v>
      </c>
      <c r="AQ77" s="100">
        <v>1392</v>
      </c>
      <c r="AR77" s="100">
        <v>4</v>
      </c>
      <c r="AS77" s="100">
        <v>1113.5999999999999</v>
      </c>
      <c r="AT77" s="100">
        <v>3</v>
      </c>
      <c r="AU77" s="100">
        <v>835.19999999999993</v>
      </c>
      <c r="AV77" s="100">
        <v>6</v>
      </c>
      <c r="AW77" s="100">
        <v>1670.3999999999999</v>
      </c>
      <c r="AX77" s="100">
        <v>3</v>
      </c>
      <c r="AY77" s="100">
        <v>835.19999999999993</v>
      </c>
      <c r="AZ77" s="100">
        <v>4.2236157605893538</v>
      </c>
      <c r="BA77" s="100">
        <v>1175.8546277480759</v>
      </c>
      <c r="BB77" s="100">
        <v>4.4914394330925473</v>
      </c>
      <c r="BC77" s="100">
        <v>1250.4167381729651</v>
      </c>
      <c r="BD77" s="100">
        <v>4.2029727207200782</v>
      </c>
      <c r="BE77" s="100">
        <v>1170.1076054484697</v>
      </c>
      <c r="BF77" s="100">
        <v>4.1603534439977432</v>
      </c>
      <c r="BG77" s="100">
        <v>1158.2423988089715</v>
      </c>
      <c r="BH77" s="100">
        <v>4.1373784538699327</v>
      </c>
      <c r="BI77" s="100">
        <v>1151.8461615573892</v>
      </c>
      <c r="BJ77" s="100">
        <v>4</v>
      </c>
      <c r="BK77" s="100">
        <v>1113.5999999999999</v>
      </c>
      <c r="BL77" s="100">
        <v>4.0098337638511925</v>
      </c>
      <c r="BM77" s="100">
        <v>1116.3377198561718</v>
      </c>
      <c r="BN77" s="100">
        <v>3.8208842915637082</v>
      </c>
      <c r="BO77" s="100">
        <v>1063.7341867713362</v>
      </c>
      <c r="BP77" s="100">
        <v>4.6749551832637861</v>
      </c>
      <c r="BQ77" s="100">
        <v>1301.507523020638</v>
      </c>
      <c r="BR77" s="100">
        <v>4.3091331181653461</v>
      </c>
      <c r="BS77" s="100">
        <v>1199.6626600972322</v>
      </c>
      <c r="BT77" s="100">
        <v>4.2934455438179757</v>
      </c>
      <c r="BU77" s="100">
        <v>1195.2952393989244</v>
      </c>
      <c r="BV77" s="100">
        <v>4.7968710399522632</v>
      </c>
      <c r="BW77" s="100">
        <v>1335.44889752271</v>
      </c>
      <c r="BX77" s="100">
        <v>4.757153366869181</v>
      </c>
      <c r="BY77" s="100">
        <v>1324.3914973363799</v>
      </c>
      <c r="BZ77" s="100">
        <v>4.4802140873653773</v>
      </c>
      <c r="CA77" s="100">
        <v>1247.2916019225208</v>
      </c>
      <c r="CB77" s="100">
        <v>3.2790738936353412</v>
      </c>
      <c r="CC77" s="100">
        <v>912.89417198807894</v>
      </c>
      <c r="CD77" s="100">
        <v>4</v>
      </c>
      <c r="CE77" s="100">
        <v>1113.5999999999999</v>
      </c>
      <c r="CF77" s="100">
        <v>4.5682072974223926</v>
      </c>
      <c r="CG77" s="100">
        <v>1271.7889116023939</v>
      </c>
      <c r="CH77" s="100">
        <v>3.1902744147871038</v>
      </c>
      <c r="CI77" s="100">
        <v>888.17239707672968</v>
      </c>
      <c r="CJ77" s="100">
        <v>4.3121950253540202</v>
      </c>
      <c r="CK77" s="100">
        <v>1200.5150950585592</v>
      </c>
      <c r="CL77" s="100">
        <v>3.912483173803035</v>
      </c>
      <c r="CM77" s="100">
        <v>1089.235315586765</v>
      </c>
      <c r="CN77" s="100">
        <v>4.517612470111005</v>
      </c>
      <c r="CO77" s="100">
        <v>1257.7033116789037</v>
      </c>
      <c r="CP77" s="100">
        <v>3.2576794419118706</v>
      </c>
      <c r="CQ77" s="100">
        <v>906.93795662826471</v>
      </c>
      <c r="CR77" s="100">
        <v>3.1166138707051658</v>
      </c>
      <c r="CS77" s="100">
        <v>867.66530160431807</v>
      </c>
      <c r="CT77" s="100">
        <v>4</v>
      </c>
      <c r="CU77" s="100">
        <v>1113.5999999999999</v>
      </c>
    </row>
    <row r="78" spans="2:99">
      <c r="C78" s="99" t="s">
        <v>244</v>
      </c>
      <c r="D78" s="100">
        <v>3.350767004112555</v>
      </c>
      <c r="E78" s="100">
        <v>1849.6233862701304</v>
      </c>
      <c r="F78" s="100">
        <v>4</v>
      </c>
      <c r="G78" s="100">
        <v>2208</v>
      </c>
      <c r="H78" s="100">
        <v>5.2223393612485394</v>
      </c>
      <c r="I78" s="100">
        <v>2882.7313274091939</v>
      </c>
      <c r="J78" s="100">
        <v>4.7508633491781085</v>
      </c>
      <c r="K78" s="100">
        <v>2622.4765687463159</v>
      </c>
      <c r="L78" s="100">
        <v>4</v>
      </c>
      <c r="M78" s="100">
        <v>2208</v>
      </c>
      <c r="N78" s="100">
        <v>3</v>
      </c>
      <c r="O78" s="100">
        <v>1656</v>
      </c>
      <c r="P78" s="100">
        <v>4</v>
      </c>
      <c r="Q78" s="100">
        <v>2208</v>
      </c>
      <c r="R78" s="100">
        <v>3</v>
      </c>
      <c r="S78" s="100">
        <v>1656</v>
      </c>
      <c r="T78" s="100">
        <v>4.3159746993047019</v>
      </c>
      <c r="U78" s="100">
        <v>2382.4180340161956</v>
      </c>
      <c r="V78" s="100">
        <v>4.731660479111043</v>
      </c>
      <c r="W78" s="100">
        <v>2611.8765844692957</v>
      </c>
      <c r="X78" s="100">
        <v>4</v>
      </c>
      <c r="Y78" s="100">
        <v>2208</v>
      </c>
      <c r="Z78" s="100">
        <v>5.9722987683045243</v>
      </c>
      <c r="AA78" s="100">
        <v>3296.7089201040976</v>
      </c>
      <c r="AB78" s="100">
        <v>4.7968710399522632</v>
      </c>
      <c r="AC78" s="100">
        <v>2647.8728140536491</v>
      </c>
      <c r="AD78" s="100">
        <v>3.3888613934732623</v>
      </c>
      <c r="AE78" s="100">
        <v>1870.6514891972408</v>
      </c>
      <c r="AF78" s="100">
        <v>2.9564843126470555</v>
      </c>
      <c r="AG78" s="100">
        <v>1631.9793405811747</v>
      </c>
      <c r="AH78" s="100">
        <v>3</v>
      </c>
      <c r="AI78" s="100">
        <v>1656</v>
      </c>
      <c r="AJ78" s="100">
        <v>4</v>
      </c>
      <c r="AK78" s="100">
        <v>2208</v>
      </c>
      <c r="AL78" s="100">
        <v>3</v>
      </c>
      <c r="AM78" s="100">
        <v>1656</v>
      </c>
      <c r="AN78" s="100">
        <v>5</v>
      </c>
      <c r="AO78" s="100">
        <v>2760</v>
      </c>
      <c r="AP78" s="100">
        <v>5</v>
      </c>
      <c r="AQ78" s="100">
        <v>2760</v>
      </c>
      <c r="AR78" s="100">
        <v>4</v>
      </c>
      <c r="AS78" s="100">
        <v>2208</v>
      </c>
      <c r="AT78" s="100">
        <v>3</v>
      </c>
      <c r="AU78" s="100">
        <v>1656</v>
      </c>
      <c r="AV78" s="100">
        <v>6</v>
      </c>
      <c r="AW78" s="100">
        <v>3312</v>
      </c>
      <c r="AX78" s="100">
        <v>4</v>
      </c>
      <c r="AY78" s="100">
        <v>2208</v>
      </c>
      <c r="AZ78" s="100">
        <v>5.0683389127072251</v>
      </c>
      <c r="BA78" s="100">
        <v>2797.7230798143883</v>
      </c>
      <c r="BB78" s="100">
        <v>4.4914394330925473</v>
      </c>
      <c r="BC78" s="100">
        <v>2479.2745670670861</v>
      </c>
      <c r="BD78" s="100">
        <v>4.2029727207200782</v>
      </c>
      <c r="BE78" s="100">
        <v>2320.0409418374834</v>
      </c>
      <c r="BF78" s="100">
        <v>4.1603534439977432</v>
      </c>
      <c r="BG78" s="100">
        <v>2296.5151010867544</v>
      </c>
      <c r="BH78" s="100">
        <v>4.1373784538699327</v>
      </c>
      <c r="BI78" s="100">
        <v>2283.8329065362027</v>
      </c>
      <c r="BJ78" s="100">
        <v>3</v>
      </c>
      <c r="BK78" s="100">
        <v>1656</v>
      </c>
      <c r="BL78" s="100">
        <v>4.8118005166214308</v>
      </c>
      <c r="BM78" s="100">
        <v>2656.1138851750297</v>
      </c>
      <c r="BN78" s="100">
        <v>3.8208842915637082</v>
      </c>
      <c r="BO78" s="100">
        <v>2109.1281289431668</v>
      </c>
      <c r="BP78" s="100">
        <v>4.6749551832637861</v>
      </c>
      <c r="BQ78" s="100">
        <v>2580.5752611616099</v>
      </c>
      <c r="BR78" s="100">
        <v>4.3091331181653461</v>
      </c>
      <c r="BS78" s="100">
        <v>2378.641481227271</v>
      </c>
      <c r="BT78" s="100">
        <v>4.2934455438179757</v>
      </c>
      <c r="BU78" s="100">
        <v>2369.9819401875225</v>
      </c>
      <c r="BV78" s="100">
        <v>3.9973925332935529</v>
      </c>
      <c r="BW78" s="100">
        <v>2206.5606783780413</v>
      </c>
      <c r="BX78" s="100">
        <v>4.0775600287450127</v>
      </c>
      <c r="BY78" s="100">
        <v>2250.8131358672472</v>
      </c>
      <c r="BZ78" s="100">
        <v>3.6734347796696971</v>
      </c>
      <c r="CA78" s="100">
        <v>2027.7359983776728</v>
      </c>
      <c r="CB78" s="100">
        <v>3.2790738936353412</v>
      </c>
      <c r="CC78" s="100">
        <v>1810.0487892867084</v>
      </c>
      <c r="CD78" s="100">
        <v>3</v>
      </c>
      <c r="CE78" s="100">
        <v>1656</v>
      </c>
      <c r="CF78" s="100">
        <v>4.5682072974223926</v>
      </c>
      <c r="CG78" s="100">
        <v>2521.6504281771608</v>
      </c>
      <c r="CH78" s="100">
        <v>3.2140587166354919</v>
      </c>
      <c r="CI78" s="100">
        <v>1774.1604115827915</v>
      </c>
      <c r="CJ78" s="100">
        <v>3.5934958544616831</v>
      </c>
      <c r="CK78" s="100">
        <v>1983.6097116628491</v>
      </c>
      <c r="CL78" s="100">
        <v>3.912483173803035</v>
      </c>
      <c r="CM78" s="100">
        <v>2159.6907119392754</v>
      </c>
      <c r="CN78" s="100">
        <v>4.517612470111005</v>
      </c>
      <c r="CO78" s="100">
        <v>2493.7220835012749</v>
      </c>
      <c r="CP78" s="100">
        <v>3.2208680930673177</v>
      </c>
      <c r="CQ78" s="100">
        <v>1777.9191873731593</v>
      </c>
      <c r="CR78" s="100">
        <v>3.1166138707051658</v>
      </c>
      <c r="CS78" s="100">
        <v>1720.3708566292516</v>
      </c>
      <c r="CT78" s="100">
        <v>5</v>
      </c>
      <c r="CU78" s="100">
        <v>2760</v>
      </c>
    </row>
    <row r="79" spans="2:99">
      <c r="C79" s="99" t="s">
        <v>245</v>
      </c>
      <c r="D79" s="100">
        <v>3.350767004112555</v>
      </c>
      <c r="E79" s="100">
        <v>2537.2007755140266</v>
      </c>
      <c r="F79" s="100">
        <v>4</v>
      </c>
      <c r="G79" s="100">
        <v>3028.7999999999997</v>
      </c>
      <c r="H79" s="100">
        <v>5.2382207441948632</v>
      </c>
      <c r="I79" s="100">
        <v>3966.38074750435</v>
      </c>
      <c r="J79" s="100">
        <v>4.7508633491781085</v>
      </c>
      <c r="K79" s="100">
        <v>3597.3537279976636</v>
      </c>
      <c r="L79" s="100">
        <v>4</v>
      </c>
      <c r="M79" s="100">
        <v>3028.7999999999997</v>
      </c>
      <c r="N79" s="100">
        <v>3</v>
      </c>
      <c r="O79" s="100">
        <v>2271.6</v>
      </c>
      <c r="P79" s="100">
        <v>4</v>
      </c>
      <c r="Q79" s="100">
        <v>3028.7999999999997</v>
      </c>
      <c r="R79" s="100">
        <v>3</v>
      </c>
      <c r="S79" s="100">
        <v>2271.6</v>
      </c>
      <c r="T79" s="100">
        <v>3.2764778618916139</v>
      </c>
      <c r="U79" s="100">
        <v>2480.9490370243298</v>
      </c>
      <c r="V79" s="100">
        <v>5.780437844385113</v>
      </c>
      <c r="W79" s="100">
        <v>4376.9475357684069</v>
      </c>
      <c r="X79" s="100">
        <v>4</v>
      </c>
      <c r="Y79" s="100">
        <v>3028.7999999999997</v>
      </c>
      <c r="Z79" s="100">
        <v>5.9722987683045243</v>
      </c>
      <c r="AA79" s="100">
        <v>4522.224627360185</v>
      </c>
      <c r="AB79" s="100">
        <v>3.9973925332935529</v>
      </c>
      <c r="AC79" s="100">
        <v>3026.825626209878</v>
      </c>
      <c r="AD79" s="100">
        <v>3.3888613934732623</v>
      </c>
      <c r="AE79" s="100">
        <v>2566.0458471379538</v>
      </c>
      <c r="AF79" s="100">
        <v>3.9419790835294073</v>
      </c>
      <c r="AG79" s="100">
        <v>2984.8665620484671</v>
      </c>
      <c r="AH79" s="100">
        <v>3</v>
      </c>
      <c r="AI79" s="100">
        <v>2271.6</v>
      </c>
      <c r="AJ79" s="100">
        <v>4</v>
      </c>
      <c r="AK79" s="100">
        <v>3028.7999999999997</v>
      </c>
      <c r="AL79" s="100">
        <v>3</v>
      </c>
      <c r="AM79" s="100">
        <v>2271.6</v>
      </c>
      <c r="AN79" s="100">
        <v>4</v>
      </c>
      <c r="AO79" s="100">
        <v>3028.7999999999997</v>
      </c>
      <c r="AP79" s="100">
        <v>5</v>
      </c>
      <c r="AQ79" s="100">
        <v>3785.9999999999995</v>
      </c>
      <c r="AR79" s="100">
        <v>4</v>
      </c>
      <c r="AS79" s="100">
        <v>3028.7999999999997</v>
      </c>
      <c r="AT79" s="100">
        <v>3</v>
      </c>
      <c r="AU79" s="100">
        <v>2271.6</v>
      </c>
      <c r="AV79" s="100">
        <v>5</v>
      </c>
      <c r="AW79" s="100">
        <v>3785.9999999999995</v>
      </c>
      <c r="AX79" s="100">
        <v>4</v>
      </c>
      <c r="AY79" s="100">
        <v>3028.7999999999997</v>
      </c>
      <c r="AZ79" s="100">
        <v>4.2236157605893538</v>
      </c>
      <c r="BA79" s="100">
        <v>3198.1218539182582</v>
      </c>
      <c r="BB79" s="100">
        <v>4.4914394330925473</v>
      </c>
      <c r="BC79" s="100">
        <v>3400.9179387376766</v>
      </c>
      <c r="BD79" s="100">
        <v>4.2029727207200782</v>
      </c>
      <c r="BE79" s="100">
        <v>3182.490944129243</v>
      </c>
      <c r="BF79" s="100">
        <v>3.3282827551981944</v>
      </c>
      <c r="BG79" s="100">
        <v>2520.1757022360725</v>
      </c>
      <c r="BH79" s="100">
        <v>3.3099027630959466</v>
      </c>
      <c r="BI79" s="100">
        <v>2506.2583722162503</v>
      </c>
      <c r="BJ79" s="100">
        <v>4</v>
      </c>
      <c r="BK79" s="100">
        <v>3028.7999999999997</v>
      </c>
      <c r="BL79" s="100">
        <v>4.8118005166214308</v>
      </c>
      <c r="BM79" s="100">
        <v>3643.495351185747</v>
      </c>
      <c r="BN79" s="100">
        <v>3.8208842915637082</v>
      </c>
      <c r="BO79" s="100">
        <v>2893.1735855720394</v>
      </c>
      <c r="BP79" s="100">
        <v>3.8957959860531548</v>
      </c>
      <c r="BQ79" s="100">
        <v>2949.8967206394486</v>
      </c>
      <c r="BR79" s="100">
        <v>4.3091331181653461</v>
      </c>
      <c r="BS79" s="100">
        <v>3262.8755970747998</v>
      </c>
      <c r="BT79" s="100">
        <v>4.2934455438179757</v>
      </c>
      <c r="BU79" s="100">
        <v>3250.9969657789711</v>
      </c>
      <c r="BV79" s="100">
        <v>3.9973925332935529</v>
      </c>
      <c r="BW79" s="100">
        <v>3026.825626209878</v>
      </c>
      <c r="BX79" s="100">
        <v>4.0775600287450127</v>
      </c>
      <c r="BY79" s="100">
        <v>3087.5284537657235</v>
      </c>
      <c r="BZ79" s="100">
        <v>3.6415549547491981</v>
      </c>
      <c r="CA79" s="100">
        <v>2757.3854117360925</v>
      </c>
      <c r="CB79" s="100">
        <v>2.6232591149082731</v>
      </c>
      <c r="CC79" s="100">
        <v>1986.3318018085442</v>
      </c>
      <c r="CD79" s="100">
        <v>4</v>
      </c>
      <c r="CE79" s="100">
        <v>3028.7999999999997</v>
      </c>
      <c r="CF79" s="100">
        <v>5.4818487569068717</v>
      </c>
      <c r="CG79" s="100">
        <v>4150.8558787298825</v>
      </c>
      <c r="CH79" s="100">
        <v>3.2140587166354919</v>
      </c>
      <c r="CI79" s="100">
        <v>2433.6852602363942</v>
      </c>
      <c r="CJ79" s="100">
        <v>3.5934958544616831</v>
      </c>
      <c r="CK79" s="100">
        <v>2720.9950609983862</v>
      </c>
      <c r="CL79" s="100">
        <v>3.912483173803035</v>
      </c>
      <c r="CM79" s="100">
        <v>2962.5322592036578</v>
      </c>
      <c r="CN79" s="100">
        <v>3.6140899760888039</v>
      </c>
      <c r="CO79" s="100">
        <v>2736.5889298944421</v>
      </c>
      <c r="CP79" s="100">
        <v>3.2208680930673177</v>
      </c>
      <c r="CQ79" s="100">
        <v>2438.8413200705727</v>
      </c>
      <c r="CR79" s="100">
        <v>3.1166138707051658</v>
      </c>
      <c r="CS79" s="100">
        <v>2359.9000228979512</v>
      </c>
      <c r="CT79" s="100">
        <v>4</v>
      </c>
      <c r="CU79" s="100">
        <v>3028.7999999999997</v>
      </c>
    </row>
    <row r="80" spans="2:99">
      <c r="C80" s="99" t="s">
        <v>246</v>
      </c>
      <c r="D80" s="100">
        <v>4.0209204049350662</v>
      </c>
      <c r="E80" s="100">
        <v>3237.6451100537151</v>
      </c>
      <c r="F80" s="100">
        <v>4</v>
      </c>
      <c r="G80" s="100">
        <v>3220.7999999999997</v>
      </c>
      <c r="H80" s="100">
        <v>5.2223393612485394</v>
      </c>
      <c r="I80" s="100">
        <v>4205.0276536773235</v>
      </c>
      <c r="J80" s="100">
        <v>3.8006906793424871</v>
      </c>
      <c r="K80" s="100">
        <v>3060.3161350065702</v>
      </c>
      <c r="L80" s="100">
        <v>4</v>
      </c>
      <c r="M80" s="100">
        <v>3220.7999999999997</v>
      </c>
      <c r="N80" s="100">
        <v>3</v>
      </c>
      <c r="O80" s="100">
        <v>2415.6</v>
      </c>
      <c r="P80" s="100">
        <v>4</v>
      </c>
      <c r="Q80" s="100">
        <v>3220.7999999999997</v>
      </c>
      <c r="R80" s="100">
        <v>4</v>
      </c>
      <c r="S80" s="100">
        <v>3220.7999999999997</v>
      </c>
      <c r="T80" s="100">
        <v>3.2764778618916139</v>
      </c>
      <c r="U80" s="100">
        <v>2638.2199743951273</v>
      </c>
      <c r="V80" s="100">
        <v>4.682883113836974</v>
      </c>
      <c r="W80" s="100">
        <v>3770.6574832615311</v>
      </c>
      <c r="X80" s="100">
        <v>3</v>
      </c>
      <c r="Y80" s="100">
        <v>2415.6</v>
      </c>
      <c r="Z80" s="100">
        <v>4.9769156402537709</v>
      </c>
      <c r="AA80" s="100">
        <v>4007.4124735323358</v>
      </c>
      <c r="AB80" s="100">
        <v>3.9973925332935529</v>
      </c>
      <c r="AC80" s="100">
        <v>3218.7004678079684</v>
      </c>
      <c r="AD80" s="100">
        <v>3.3888613934732623</v>
      </c>
      <c r="AE80" s="100">
        <v>2728.7111940246705</v>
      </c>
      <c r="AF80" s="100">
        <v>2.9564843126470555</v>
      </c>
      <c r="AG80" s="100">
        <v>2380.5611685434087</v>
      </c>
      <c r="AH80" s="100">
        <v>3</v>
      </c>
      <c r="AI80" s="100">
        <v>2415.6</v>
      </c>
      <c r="AJ80" s="100">
        <v>4</v>
      </c>
      <c r="AK80" s="100">
        <v>3220.7999999999997</v>
      </c>
      <c r="AL80" s="100">
        <v>3</v>
      </c>
      <c r="AM80" s="100">
        <v>2415.6</v>
      </c>
      <c r="AN80" s="100">
        <v>4</v>
      </c>
      <c r="AO80" s="100">
        <v>3220.7999999999997</v>
      </c>
      <c r="AP80" s="100">
        <v>5</v>
      </c>
      <c r="AQ80" s="100">
        <v>4025.9999999999995</v>
      </c>
      <c r="AR80" s="100">
        <v>4</v>
      </c>
      <c r="AS80" s="100">
        <v>3220.7999999999997</v>
      </c>
      <c r="AT80" s="100">
        <v>3</v>
      </c>
      <c r="AU80" s="100">
        <v>2415.6</v>
      </c>
      <c r="AV80" s="100">
        <v>6</v>
      </c>
      <c r="AW80" s="100">
        <v>4831.2</v>
      </c>
      <c r="AX80" s="100">
        <v>3</v>
      </c>
      <c r="AY80" s="100">
        <v>2415.6</v>
      </c>
      <c r="AZ80" s="100">
        <v>4.2236157605893538</v>
      </c>
      <c r="BA80" s="100">
        <v>3400.8554104265472</v>
      </c>
      <c r="BB80" s="100">
        <v>4.4914394330925473</v>
      </c>
      <c r="BC80" s="100">
        <v>3616.5070315261187</v>
      </c>
      <c r="BD80" s="100">
        <v>3.5024772672667321</v>
      </c>
      <c r="BE80" s="100">
        <v>2820.1946956031725</v>
      </c>
      <c r="BF80" s="100">
        <v>4.1603534439977432</v>
      </c>
      <c r="BG80" s="100">
        <v>3349.9165931069824</v>
      </c>
      <c r="BH80" s="100">
        <v>3.3099027630959466</v>
      </c>
      <c r="BI80" s="100">
        <v>2665.1337048448559</v>
      </c>
      <c r="BJ80" s="100">
        <v>4</v>
      </c>
      <c r="BK80" s="100">
        <v>3220.7999999999997</v>
      </c>
      <c r="BL80" s="100">
        <v>4.8118005166214308</v>
      </c>
      <c r="BM80" s="100">
        <v>3874.461775983576</v>
      </c>
      <c r="BN80" s="100">
        <v>3.8208842915637082</v>
      </c>
      <c r="BO80" s="100">
        <v>3076.5760315670977</v>
      </c>
      <c r="BP80" s="100">
        <v>3.8957959860531548</v>
      </c>
      <c r="BQ80" s="100">
        <v>3136.89492797</v>
      </c>
      <c r="BR80" s="100">
        <v>3.590944265137789</v>
      </c>
      <c r="BS80" s="100">
        <v>2891.4283222889476</v>
      </c>
      <c r="BT80" s="100">
        <v>4.2934455438179757</v>
      </c>
      <c r="BU80" s="100">
        <v>3457.082351882234</v>
      </c>
      <c r="BV80" s="100">
        <v>3.9973925332935529</v>
      </c>
      <c r="BW80" s="100">
        <v>3218.7004678079684</v>
      </c>
      <c r="BX80" s="100">
        <v>4.0775600287450127</v>
      </c>
      <c r="BY80" s="100">
        <v>3283.2513351454841</v>
      </c>
      <c r="BZ80" s="100">
        <v>3.6415549547491981</v>
      </c>
      <c r="CA80" s="100">
        <v>2932.1800495640541</v>
      </c>
      <c r="CB80" s="100">
        <v>3.2790738936353412</v>
      </c>
      <c r="CC80" s="100">
        <v>2640.3102991551764</v>
      </c>
      <c r="CD80" s="100">
        <v>3</v>
      </c>
      <c r="CE80" s="100">
        <v>2415.6</v>
      </c>
      <c r="CF80" s="100">
        <v>5.4818487569068717</v>
      </c>
      <c r="CG80" s="100">
        <v>4413.9846190614126</v>
      </c>
      <c r="CH80" s="100">
        <v>3.1902744147871038</v>
      </c>
      <c r="CI80" s="100">
        <v>2568.8089587865757</v>
      </c>
      <c r="CJ80" s="100">
        <v>4.3121950253540202</v>
      </c>
      <c r="CK80" s="100">
        <v>3472.1794344150567</v>
      </c>
      <c r="CL80" s="100">
        <v>3.912483173803035</v>
      </c>
      <c r="CM80" s="100">
        <v>3150.3314515462034</v>
      </c>
      <c r="CN80" s="100">
        <v>4.517612470111005</v>
      </c>
      <c r="CO80" s="100">
        <v>3637.5815609333808</v>
      </c>
      <c r="CP80" s="100">
        <v>4.2208680930673177</v>
      </c>
      <c r="CQ80" s="100">
        <v>3398.6429885378038</v>
      </c>
      <c r="CR80" s="100">
        <v>3.1166138707051658</v>
      </c>
      <c r="CS80" s="100">
        <v>2509.4974886917994</v>
      </c>
      <c r="CT80" s="100">
        <v>5</v>
      </c>
      <c r="CU80" s="100">
        <v>4025.9999999999995</v>
      </c>
    </row>
    <row r="81" spans="2:99">
      <c r="C81" s="99" t="s">
        <v>247</v>
      </c>
      <c r="D81" s="100">
        <v>4.0209204049350662</v>
      </c>
      <c r="E81" s="100">
        <v>3030.1656171590662</v>
      </c>
      <c r="F81" s="100">
        <v>4</v>
      </c>
      <c r="G81" s="100">
        <v>3014.4</v>
      </c>
      <c r="H81" s="100">
        <v>5.2223393612485394</v>
      </c>
      <c r="I81" s="100">
        <v>3935.5549426368993</v>
      </c>
      <c r="J81" s="100">
        <v>3.8006906793424871</v>
      </c>
      <c r="K81" s="100">
        <v>2864.2004959524984</v>
      </c>
      <c r="L81" s="100">
        <v>4</v>
      </c>
      <c r="M81" s="100">
        <v>3014.4</v>
      </c>
      <c r="N81" s="100">
        <v>3</v>
      </c>
      <c r="O81" s="100">
        <v>2260.8000000000002</v>
      </c>
      <c r="P81" s="100">
        <v>4</v>
      </c>
      <c r="Q81" s="100">
        <v>3014.4</v>
      </c>
      <c r="R81" s="100">
        <v>4</v>
      </c>
      <c r="S81" s="100">
        <v>3014.4</v>
      </c>
      <c r="T81" s="100">
        <v>3.2764778618916139</v>
      </c>
      <c r="U81" s="100">
        <v>2469.1537167215201</v>
      </c>
      <c r="V81" s="100">
        <v>5.731660479111043</v>
      </c>
      <c r="W81" s="100">
        <v>4319.3793370580825</v>
      </c>
      <c r="X81" s="100">
        <v>4</v>
      </c>
      <c r="Y81" s="100">
        <v>3014.4</v>
      </c>
      <c r="Z81" s="100">
        <v>5.9722987683045243</v>
      </c>
      <c r="AA81" s="100">
        <v>4500.7243517942898</v>
      </c>
      <c r="AB81" s="100">
        <v>3.9973925332935529</v>
      </c>
      <c r="AC81" s="100">
        <v>3012.4350130900216</v>
      </c>
      <c r="AD81" s="100">
        <v>3.4374690676574202</v>
      </c>
      <c r="AE81" s="100">
        <v>2590.4766893866317</v>
      </c>
      <c r="AF81" s="100">
        <v>2.9564843126470555</v>
      </c>
      <c r="AG81" s="100">
        <v>2228.0065780108212</v>
      </c>
      <c r="AH81" s="100">
        <v>3</v>
      </c>
      <c r="AI81" s="100">
        <v>2260.8000000000002</v>
      </c>
      <c r="AJ81" s="100">
        <v>4</v>
      </c>
      <c r="AK81" s="100">
        <v>3014.4</v>
      </c>
      <c r="AL81" s="100">
        <v>3</v>
      </c>
      <c r="AM81" s="100">
        <v>2260.8000000000002</v>
      </c>
      <c r="AN81" s="100">
        <v>4</v>
      </c>
      <c r="AO81" s="100">
        <v>3014.4</v>
      </c>
      <c r="AP81" s="100">
        <v>5</v>
      </c>
      <c r="AQ81" s="100">
        <v>3768</v>
      </c>
      <c r="AR81" s="100">
        <v>3</v>
      </c>
      <c r="AS81" s="100">
        <v>2260.8000000000002</v>
      </c>
      <c r="AT81" s="100">
        <v>3</v>
      </c>
      <c r="AU81" s="100">
        <v>2260.8000000000002</v>
      </c>
      <c r="AV81" s="100">
        <v>5</v>
      </c>
      <c r="AW81" s="100">
        <v>3768</v>
      </c>
      <c r="AX81" s="100">
        <v>4</v>
      </c>
      <c r="AY81" s="100">
        <v>3014.4</v>
      </c>
      <c r="AZ81" s="100">
        <v>5.0683389127072251</v>
      </c>
      <c r="BA81" s="100">
        <v>3819.5002046161649</v>
      </c>
      <c r="BB81" s="100">
        <v>4.4914394330925473</v>
      </c>
      <c r="BC81" s="100">
        <v>3384.7487567785438</v>
      </c>
      <c r="BD81" s="100">
        <v>3.5024772672667321</v>
      </c>
      <c r="BE81" s="100">
        <v>2639.4668686122095</v>
      </c>
      <c r="BF81" s="100">
        <v>3.3282827551981944</v>
      </c>
      <c r="BG81" s="100">
        <v>2508.1938843173593</v>
      </c>
      <c r="BH81" s="100">
        <v>4.1373784538699327</v>
      </c>
      <c r="BI81" s="100">
        <v>3117.9284028363813</v>
      </c>
      <c r="BJ81" s="100">
        <v>4</v>
      </c>
      <c r="BK81" s="100">
        <v>3014.4</v>
      </c>
      <c r="BL81" s="100">
        <v>4.8118005166214308</v>
      </c>
      <c r="BM81" s="100">
        <v>3626.1728693259106</v>
      </c>
      <c r="BN81" s="100">
        <v>3.8208842915637082</v>
      </c>
      <c r="BO81" s="100">
        <v>2879.4184021224105</v>
      </c>
      <c r="BP81" s="100">
        <v>4.6749551832637861</v>
      </c>
      <c r="BQ81" s="100">
        <v>3523.0462261075895</v>
      </c>
      <c r="BR81" s="100">
        <v>4.3091331181653461</v>
      </c>
      <c r="BS81" s="100">
        <v>3247.3627178494048</v>
      </c>
      <c r="BT81" s="100">
        <v>3.4347564350543807</v>
      </c>
      <c r="BU81" s="100">
        <v>2588.4324494569814</v>
      </c>
      <c r="BV81" s="100">
        <v>3.9973925332935529</v>
      </c>
      <c r="BW81" s="100">
        <v>3012.4350130900216</v>
      </c>
      <c r="BX81" s="100">
        <v>3.3979666906208439</v>
      </c>
      <c r="BY81" s="100">
        <v>2560.7076980518682</v>
      </c>
      <c r="BZ81" s="100">
        <v>3.6096751298287004</v>
      </c>
      <c r="CA81" s="100">
        <v>2720.2511778389089</v>
      </c>
      <c r="CB81" s="100">
        <v>3.2790738936353412</v>
      </c>
      <c r="CC81" s="100">
        <v>2471.1100862435933</v>
      </c>
      <c r="CD81" s="100">
        <v>4</v>
      </c>
      <c r="CE81" s="100">
        <v>3014.4</v>
      </c>
      <c r="CF81" s="100">
        <v>4.5682072974223926</v>
      </c>
      <c r="CG81" s="100">
        <v>3442.601019337515</v>
      </c>
      <c r="CH81" s="100">
        <v>3.1902744147871038</v>
      </c>
      <c r="CI81" s="100">
        <v>2404.1907989835613</v>
      </c>
      <c r="CJ81" s="100">
        <v>3.5934958544616831</v>
      </c>
      <c r="CK81" s="100">
        <v>2708.0584759223243</v>
      </c>
      <c r="CL81" s="100">
        <v>3.912483173803035</v>
      </c>
      <c r="CM81" s="100">
        <v>2948.4473197779671</v>
      </c>
      <c r="CN81" s="100">
        <v>4.517612470111005</v>
      </c>
      <c r="CO81" s="100">
        <v>3404.4727574756535</v>
      </c>
      <c r="CP81" s="100">
        <v>3.2392737674895939</v>
      </c>
      <c r="CQ81" s="100">
        <v>2441.1167111801583</v>
      </c>
      <c r="CR81" s="100">
        <v>3.1166138707051658</v>
      </c>
      <c r="CS81" s="100">
        <v>2348.6802129634129</v>
      </c>
      <c r="CT81" s="100">
        <v>4</v>
      </c>
      <c r="CU81" s="100">
        <v>3014.4</v>
      </c>
    </row>
    <row r="82" spans="2:99">
      <c r="C82" s="99" t="s">
        <v>248</v>
      </c>
      <c r="D82" s="100">
        <v>3.350767004112555</v>
      </c>
      <c r="E82" s="100">
        <v>1704.8702516924677</v>
      </c>
      <c r="F82" s="100">
        <v>4</v>
      </c>
      <c r="G82" s="100">
        <v>2035.1999999999996</v>
      </c>
      <c r="H82" s="100">
        <v>5.2223393612485394</v>
      </c>
      <c r="I82" s="100">
        <v>2657.1262670032561</v>
      </c>
      <c r="J82" s="100">
        <v>3.8006906793424871</v>
      </c>
      <c r="K82" s="100">
        <v>1933.7914176494571</v>
      </c>
      <c r="L82" s="100">
        <v>4</v>
      </c>
      <c r="M82" s="100">
        <v>2035.1999999999996</v>
      </c>
      <c r="N82" s="100">
        <v>3</v>
      </c>
      <c r="O82" s="100">
        <v>1526.3999999999996</v>
      </c>
      <c r="P82" s="100">
        <v>4</v>
      </c>
      <c r="Q82" s="100">
        <v>2035.1999999999996</v>
      </c>
      <c r="R82" s="100">
        <v>3</v>
      </c>
      <c r="S82" s="100">
        <v>1526.3999999999996</v>
      </c>
      <c r="T82" s="100">
        <v>3.3159746993047015</v>
      </c>
      <c r="U82" s="100">
        <v>1687.1679270062318</v>
      </c>
      <c r="V82" s="100">
        <v>5.634105748562904</v>
      </c>
      <c r="W82" s="100">
        <v>2866.6330048688051</v>
      </c>
      <c r="X82" s="100">
        <v>4</v>
      </c>
      <c r="Y82" s="100">
        <v>2035.1999999999996</v>
      </c>
      <c r="Z82" s="100">
        <v>4.9769156402537709</v>
      </c>
      <c r="AA82" s="100">
        <v>2532.2546777611183</v>
      </c>
      <c r="AB82" s="100">
        <v>3.9973925332935529</v>
      </c>
      <c r="AC82" s="100">
        <v>2033.8733209397594</v>
      </c>
      <c r="AD82" s="100">
        <v>3.4374690676574202</v>
      </c>
      <c r="AE82" s="100">
        <v>1748.9842616240951</v>
      </c>
      <c r="AF82" s="100">
        <v>2.9564843126470555</v>
      </c>
      <c r="AG82" s="100">
        <v>1504.2592182748215</v>
      </c>
      <c r="AH82" s="100">
        <v>3</v>
      </c>
      <c r="AI82" s="100">
        <v>1526.3999999999996</v>
      </c>
      <c r="AJ82" s="100">
        <v>5</v>
      </c>
      <c r="AK82" s="100">
        <v>2543.9999999999995</v>
      </c>
      <c r="AL82" s="100">
        <v>3</v>
      </c>
      <c r="AM82" s="100">
        <v>1526.3999999999996</v>
      </c>
      <c r="AN82" s="100">
        <v>5</v>
      </c>
      <c r="AO82" s="100">
        <v>2543.9999999999995</v>
      </c>
      <c r="AP82" s="100">
        <v>5</v>
      </c>
      <c r="AQ82" s="100">
        <v>2543.9999999999995</v>
      </c>
      <c r="AR82" s="100">
        <v>4</v>
      </c>
      <c r="AS82" s="100">
        <v>2035.1999999999996</v>
      </c>
      <c r="AT82" s="100">
        <v>3</v>
      </c>
      <c r="AU82" s="100">
        <v>1526.3999999999996</v>
      </c>
      <c r="AV82" s="100">
        <v>6</v>
      </c>
      <c r="AW82" s="100">
        <v>3052.7999999999993</v>
      </c>
      <c r="AX82" s="100">
        <v>4</v>
      </c>
      <c r="AY82" s="100">
        <v>2035.1999999999996</v>
      </c>
      <c r="AZ82" s="100">
        <v>4.2236157605893538</v>
      </c>
      <c r="BA82" s="100">
        <v>2148.9756989878629</v>
      </c>
      <c r="BB82" s="100">
        <v>5.2400126719413045</v>
      </c>
      <c r="BC82" s="100">
        <v>2666.1184474837351</v>
      </c>
      <c r="BD82" s="100">
        <v>3.5024772672667321</v>
      </c>
      <c r="BE82" s="100">
        <v>1782.0604335853129</v>
      </c>
      <c r="BF82" s="100">
        <v>4.1603534439977432</v>
      </c>
      <c r="BG82" s="100">
        <v>2116.7878323060513</v>
      </c>
      <c r="BH82" s="100">
        <v>4.1373784538699327</v>
      </c>
      <c r="BI82" s="100">
        <v>2105.0981573290214</v>
      </c>
      <c r="BJ82" s="100">
        <v>3</v>
      </c>
      <c r="BK82" s="100">
        <v>1526.3999999999996</v>
      </c>
      <c r="BL82" s="100">
        <v>4.8118005166214308</v>
      </c>
      <c r="BM82" s="100">
        <v>2448.2441028569833</v>
      </c>
      <c r="BN82" s="100">
        <v>3.8208842915637082</v>
      </c>
      <c r="BO82" s="100">
        <v>1944.0659275476144</v>
      </c>
      <c r="BP82" s="100">
        <v>3.8957959860531548</v>
      </c>
      <c r="BQ82" s="100">
        <v>1982.1809977038447</v>
      </c>
      <c r="BR82" s="100">
        <v>4.3091331181653461</v>
      </c>
      <c r="BS82" s="100">
        <v>2192.4869305225275</v>
      </c>
      <c r="BT82" s="100">
        <v>4.2934455438179757</v>
      </c>
      <c r="BU82" s="100">
        <v>2184.5050926945855</v>
      </c>
      <c r="BV82" s="100">
        <v>3.9973925332935529</v>
      </c>
      <c r="BW82" s="100">
        <v>2033.8733209397594</v>
      </c>
      <c r="BX82" s="100">
        <v>4.757153366869181</v>
      </c>
      <c r="BY82" s="100">
        <v>2420.4396330630389</v>
      </c>
      <c r="BZ82" s="100">
        <v>3.6734347796696971</v>
      </c>
      <c r="CA82" s="100">
        <v>1869.0436158959415</v>
      </c>
      <c r="CB82" s="100">
        <v>3.2790738936353412</v>
      </c>
      <c r="CC82" s="100">
        <v>1668.3927970816612</v>
      </c>
      <c r="CD82" s="100">
        <v>4</v>
      </c>
      <c r="CE82" s="100">
        <v>2035.1999999999996</v>
      </c>
      <c r="CF82" s="100">
        <v>5.4818487569068717</v>
      </c>
      <c r="CG82" s="100">
        <v>2789.1646475142156</v>
      </c>
      <c r="CH82" s="100">
        <v>3.1902744147871038</v>
      </c>
      <c r="CI82" s="100">
        <v>1623.211622243678</v>
      </c>
      <c r="CJ82" s="100">
        <v>3.5934958544616831</v>
      </c>
      <c r="CK82" s="100">
        <v>1828.3706907501039</v>
      </c>
      <c r="CL82" s="100">
        <v>3.912483173803035</v>
      </c>
      <c r="CM82" s="100">
        <v>1990.6714388309838</v>
      </c>
      <c r="CN82" s="100">
        <v>4.517612470111005</v>
      </c>
      <c r="CO82" s="100">
        <v>2298.5612247924787</v>
      </c>
      <c r="CP82" s="100">
        <v>3.2208680930673177</v>
      </c>
      <c r="CQ82" s="100">
        <v>1638.777685752651</v>
      </c>
      <c r="CR82" s="100">
        <v>3.1166138707051658</v>
      </c>
      <c r="CS82" s="100">
        <v>1585.733137414788</v>
      </c>
      <c r="CT82" s="100">
        <v>4</v>
      </c>
      <c r="CU82" s="100">
        <v>2035.1999999999996</v>
      </c>
    </row>
    <row r="83" spans="2:99">
      <c r="C83" s="99" t="s">
        <v>249</v>
      </c>
      <c r="D83" s="100">
        <v>4.0209204049350662</v>
      </c>
      <c r="E83" s="100">
        <v>3459.5999164061309</v>
      </c>
      <c r="F83" s="100">
        <v>4</v>
      </c>
      <c r="G83" s="100">
        <v>3441.6</v>
      </c>
      <c r="H83" s="100">
        <v>5.2223393612485394</v>
      </c>
      <c r="I83" s="100">
        <v>4493.3007864182428</v>
      </c>
      <c r="J83" s="100">
        <v>4.7508633491781085</v>
      </c>
      <c r="K83" s="100">
        <v>4087.6428256328445</v>
      </c>
      <c r="L83" s="100">
        <v>4</v>
      </c>
      <c r="M83" s="100">
        <v>3441.6</v>
      </c>
      <c r="N83" s="100">
        <v>3</v>
      </c>
      <c r="O83" s="100">
        <v>2581.1999999999998</v>
      </c>
      <c r="P83" s="100">
        <v>4</v>
      </c>
      <c r="Q83" s="100">
        <v>3441.6</v>
      </c>
      <c r="R83" s="100">
        <v>3</v>
      </c>
      <c r="S83" s="100">
        <v>2581.1999999999998</v>
      </c>
      <c r="T83" s="100">
        <v>4.2764778618916139</v>
      </c>
      <c r="U83" s="100">
        <v>3679.4815523715447</v>
      </c>
      <c r="V83" s="100">
        <v>5.682883113836974</v>
      </c>
      <c r="W83" s="100">
        <v>4889.5526311453323</v>
      </c>
      <c r="X83" s="100">
        <v>4</v>
      </c>
      <c r="Y83" s="100">
        <v>3441.6</v>
      </c>
      <c r="Z83" s="100">
        <v>4.9769156402537709</v>
      </c>
      <c r="AA83" s="100">
        <v>4282.1382168743439</v>
      </c>
      <c r="AB83" s="100">
        <v>3.1979140266348423</v>
      </c>
      <c r="AC83" s="100">
        <v>2751.485228516618</v>
      </c>
      <c r="AD83" s="100">
        <v>3.4374690676574202</v>
      </c>
      <c r="AE83" s="100">
        <v>2957.5983858124441</v>
      </c>
      <c r="AF83" s="100">
        <v>3.9419790835294073</v>
      </c>
      <c r="AG83" s="100">
        <v>3391.678803468702</v>
      </c>
      <c r="AH83" s="100">
        <v>3</v>
      </c>
      <c r="AI83" s="100">
        <v>2581.1999999999998</v>
      </c>
      <c r="AJ83" s="100">
        <v>4</v>
      </c>
      <c r="AK83" s="100">
        <v>3441.6</v>
      </c>
      <c r="AL83" s="100">
        <v>3</v>
      </c>
      <c r="AM83" s="100">
        <v>2581.1999999999998</v>
      </c>
      <c r="AN83" s="100">
        <v>4</v>
      </c>
      <c r="AO83" s="100">
        <v>3441.6</v>
      </c>
      <c r="AP83" s="100">
        <v>5</v>
      </c>
      <c r="AQ83" s="100">
        <v>4302</v>
      </c>
      <c r="AR83" s="100">
        <v>3</v>
      </c>
      <c r="AS83" s="100">
        <v>2581.1999999999998</v>
      </c>
      <c r="AT83" s="100">
        <v>3</v>
      </c>
      <c r="AU83" s="100">
        <v>2581.1999999999998</v>
      </c>
      <c r="AV83" s="100">
        <v>5</v>
      </c>
      <c r="AW83" s="100">
        <v>4302</v>
      </c>
      <c r="AX83" s="100">
        <v>4</v>
      </c>
      <c r="AY83" s="100">
        <v>3441.6</v>
      </c>
      <c r="AZ83" s="100">
        <v>4.2236157605893538</v>
      </c>
      <c r="BA83" s="100">
        <v>3633.99900041108</v>
      </c>
      <c r="BB83" s="100">
        <v>3.7428661942437889</v>
      </c>
      <c r="BC83" s="100">
        <v>3220.3620735273557</v>
      </c>
      <c r="BD83" s="100">
        <v>4.2029727207200782</v>
      </c>
      <c r="BE83" s="100">
        <v>3616.2377289075553</v>
      </c>
      <c r="BF83" s="100">
        <v>4.1603534439977432</v>
      </c>
      <c r="BG83" s="100">
        <v>3579.5681032156581</v>
      </c>
      <c r="BH83" s="100">
        <v>4.1373784538699327</v>
      </c>
      <c r="BI83" s="100">
        <v>3559.80042170969</v>
      </c>
      <c r="BJ83" s="100">
        <v>3</v>
      </c>
      <c r="BK83" s="100">
        <v>2581.1999999999998</v>
      </c>
      <c r="BL83" s="100">
        <v>4.0098337638511925</v>
      </c>
      <c r="BM83" s="100">
        <v>3450.0609704175658</v>
      </c>
      <c r="BN83" s="100">
        <v>3.8208842915637082</v>
      </c>
      <c r="BO83" s="100">
        <v>3287.4888444614144</v>
      </c>
      <c r="BP83" s="100">
        <v>3.8957959860531548</v>
      </c>
      <c r="BQ83" s="100">
        <v>3351.9428664001343</v>
      </c>
      <c r="BR83" s="100">
        <v>3.590944265137789</v>
      </c>
      <c r="BS83" s="100">
        <v>3089.6484457245538</v>
      </c>
      <c r="BT83" s="100">
        <v>4.2934455438179757</v>
      </c>
      <c r="BU83" s="100">
        <v>3694.0805459009862</v>
      </c>
      <c r="BV83" s="100">
        <v>3.9973925332935529</v>
      </c>
      <c r="BW83" s="100">
        <v>3439.356535645773</v>
      </c>
      <c r="BX83" s="100">
        <v>4.0775600287450127</v>
      </c>
      <c r="BY83" s="100">
        <v>3508.3326487322088</v>
      </c>
      <c r="BZ83" s="100">
        <v>4.4164544375243802</v>
      </c>
      <c r="CA83" s="100">
        <v>3799.9173980459764</v>
      </c>
      <c r="CB83" s="100">
        <v>3.2790738936353412</v>
      </c>
      <c r="CC83" s="100">
        <v>2821.3151780838475</v>
      </c>
      <c r="CD83" s="100">
        <v>4</v>
      </c>
      <c r="CE83" s="100">
        <v>3441.6</v>
      </c>
      <c r="CF83" s="100">
        <v>4.5682072974223926</v>
      </c>
      <c r="CG83" s="100">
        <v>3930.4855587022266</v>
      </c>
      <c r="CH83" s="100">
        <v>3.2140587166354919</v>
      </c>
      <c r="CI83" s="100">
        <v>2765.3761197931772</v>
      </c>
      <c r="CJ83" s="100">
        <v>3.5934958544616831</v>
      </c>
      <c r="CK83" s="100">
        <v>3091.843833178832</v>
      </c>
      <c r="CL83" s="100">
        <v>3.912483173803035</v>
      </c>
      <c r="CM83" s="100">
        <v>3366.3005227401313</v>
      </c>
      <c r="CN83" s="100">
        <v>4.517612470111005</v>
      </c>
      <c r="CO83" s="100">
        <v>3886.9537692835088</v>
      </c>
      <c r="CP83" s="100">
        <v>3.2208680930673177</v>
      </c>
      <c r="CQ83" s="100">
        <v>2771.2349072751199</v>
      </c>
      <c r="CR83" s="100">
        <v>3.1166138707051658</v>
      </c>
      <c r="CS83" s="100">
        <v>2681.5345743547246</v>
      </c>
      <c r="CT83" s="100">
        <v>5</v>
      </c>
      <c r="CU83" s="100">
        <v>4302</v>
      </c>
    </row>
    <row r="84" spans="2:99">
      <c r="C84" s="99" t="s">
        <v>250</v>
      </c>
      <c r="D84" s="100">
        <v>4.0209204049350662</v>
      </c>
      <c r="E84" s="100">
        <v>3141.1430203352734</v>
      </c>
      <c r="F84" s="100">
        <v>4</v>
      </c>
      <c r="G84" s="100">
        <v>3124.7999999999997</v>
      </c>
      <c r="H84" s="100">
        <v>5.2223393612485394</v>
      </c>
      <c r="I84" s="100">
        <v>4079.6915090073585</v>
      </c>
      <c r="J84" s="100">
        <v>3.8006906793424871</v>
      </c>
      <c r="K84" s="100">
        <v>2969.0995587023508</v>
      </c>
      <c r="L84" s="100">
        <v>4</v>
      </c>
      <c r="M84" s="100">
        <v>3124.7999999999997</v>
      </c>
      <c r="N84" s="100">
        <v>3</v>
      </c>
      <c r="O84" s="100">
        <v>2343.6</v>
      </c>
      <c r="P84" s="100">
        <v>4</v>
      </c>
      <c r="Q84" s="100">
        <v>3124.7999999999997</v>
      </c>
      <c r="R84" s="100">
        <v>4</v>
      </c>
      <c r="S84" s="100">
        <v>3124.7999999999997</v>
      </c>
      <c r="T84" s="100">
        <v>3.2764778618916139</v>
      </c>
      <c r="U84" s="100">
        <v>2559.5845057097285</v>
      </c>
      <c r="V84" s="100">
        <v>5.731660479111043</v>
      </c>
      <c r="W84" s="100">
        <v>4477.573166281546</v>
      </c>
      <c r="X84" s="100">
        <v>4</v>
      </c>
      <c r="Y84" s="100">
        <v>3124.7999999999997</v>
      </c>
      <c r="Z84" s="100">
        <v>5.9722987683045243</v>
      </c>
      <c r="AA84" s="100">
        <v>4665.5597977994939</v>
      </c>
      <c r="AB84" s="100">
        <v>3.9973925332935529</v>
      </c>
      <c r="AC84" s="100">
        <v>3122.7630470089234</v>
      </c>
      <c r="AD84" s="100">
        <v>3.3888613934732623</v>
      </c>
      <c r="AE84" s="100">
        <v>2647.3785205813124</v>
      </c>
      <c r="AF84" s="100">
        <v>2.9564843126470555</v>
      </c>
      <c r="AG84" s="100">
        <v>2309.6055450398794</v>
      </c>
      <c r="AH84" s="100">
        <v>3</v>
      </c>
      <c r="AI84" s="100">
        <v>2343.6</v>
      </c>
      <c r="AJ84" s="100">
        <v>4</v>
      </c>
      <c r="AK84" s="100">
        <v>3124.7999999999997</v>
      </c>
      <c r="AL84" s="100">
        <v>3</v>
      </c>
      <c r="AM84" s="100">
        <v>2343.6</v>
      </c>
      <c r="AN84" s="100">
        <v>4</v>
      </c>
      <c r="AO84" s="100">
        <v>3124.7999999999997</v>
      </c>
      <c r="AP84" s="100">
        <v>5</v>
      </c>
      <c r="AQ84" s="100">
        <v>3905.9999999999995</v>
      </c>
      <c r="AR84" s="100">
        <v>4</v>
      </c>
      <c r="AS84" s="100">
        <v>3124.7999999999997</v>
      </c>
      <c r="AT84" s="100">
        <v>3</v>
      </c>
      <c r="AU84" s="100">
        <v>2343.6</v>
      </c>
      <c r="AV84" s="100">
        <v>5</v>
      </c>
      <c r="AW84" s="100">
        <v>3905.9999999999995</v>
      </c>
      <c r="AX84" s="100">
        <v>4</v>
      </c>
      <c r="AY84" s="100">
        <v>3124.7999999999997</v>
      </c>
      <c r="AZ84" s="100">
        <v>4.2236157605893538</v>
      </c>
      <c r="BA84" s="100">
        <v>3299.488632172403</v>
      </c>
      <c r="BB84" s="100">
        <v>4.4914394330925473</v>
      </c>
      <c r="BC84" s="100">
        <v>3508.7124851318977</v>
      </c>
      <c r="BD84" s="100">
        <v>3.5024772672667321</v>
      </c>
      <c r="BE84" s="100">
        <v>2736.135241188771</v>
      </c>
      <c r="BF84" s="100">
        <v>4.1603534439977432</v>
      </c>
      <c r="BG84" s="100">
        <v>3250.0681104510368</v>
      </c>
      <c r="BH84" s="100">
        <v>4.1373784538699327</v>
      </c>
      <c r="BI84" s="100">
        <v>3232.1200481631913</v>
      </c>
      <c r="BJ84" s="100">
        <v>3</v>
      </c>
      <c r="BK84" s="100">
        <v>2343.6</v>
      </c>
      <c r="BL84" s="100">
        <v>4.8118005166214308</v>
      </c>
      <c r="BM84" s="100">
        <v>3758.9785635846615</v>
      </c>
      <c r="BN84" s="100">
        <v>3.8208842915637082</v>
      </c>
      <c r="BO84" s="100">
        <v>2984.8748085695688</v>
      </c>
      <c r="BP84" s="100">
        <v>4.6749551832637861</v>
      </c>
      <c r="BQ84" s="100">
        <v>3652.0749891656692</v>
      </c>
      <c r="BR84" s="100">
        <v>3.590944265137789</v>
      </c>
      <c r="BS84" s="100">
        <v>2805.2456599256407</v>
      </c>
      <c r="BT84" s="100">
        <v>3.4347564350543807</v>
      </c>
      <c r="BU84" s="100">
        <v>2683.2317270644821</v>
      </c>
      <c r="BV84" s="100">
        <v>3.9973925332935529</v>
      </c>
      <c r="BW84" s="100">
        <v>3122.7630470089234</v>
      </c>
      <c r="BX84" s="100">
        <v>4.757153366869181</v>
      </c>
      <c r="BY84" s="100">
        <v>3716.2882101982041</v>
      </c>
      <c r="BZ84" s="100">
        <v>3.6734347796696971</v>
      </c>
      <c r="CA84" s="100">
        <v>2869.6872498779671</v>
      </c>
      <c r="CB84" s="100">
        <v>3.2790738936353412</v>
      </c>
      <c r="CC84" s="100">
        <v>2561.6125257079284</v>
      </c>
      <c r="CD84" s="100">
        <v>4</v>
      </c>
      <c r="CE84" s="100">
        <v>3124.7999999999997</v>
      </c>
      <c r="CF84" s="100">
        <v>4.5682072974223926</v>
      </c>
      <c r="CG84" s="100">
        <v>3568.6835407463727</v>
      </c>
      <c r="CH84" s="100">
        <v>3.1902744147871038</v>
      </c>
      <c r="CI84" s="100">
        <v>2492.2423728316853</v>
      </c>
      <c r="CJ84" s="100">
        <v>4.3121950253540202</v>
      </c>
      <c r="CK84" s="100">
        <v>3368.6867538065603</v>
      </c>
      <c r="CL84" s="100">
        <v>3.912483173803035</v>
      </c>
      <c r="CM84" s="100">
        <v>3056.4318553749308</v>
      </c>
      <c r="CN84" s="100">
        <v>3.6140899760888039</v>
      </c>
      <c r="CO84" s="100">
        <v>2823.3270893205736</v>
      </c>
      <c r="CP84" s="100">
        <v>3.2392737674895939</v>
      </c>
      <c r="CQ84" s="100">
        <v>2530.5206671628707</v>
      </c>
      <c r="CR84" s="100">
        <v>3.1166138707051658</v>
      </c>
      <c r="CS84" s="100">
        <v>2434.6987557948755</v>
      </c>
      <c r="CT84" s="100">
        <v>4</v>
      </c>
      <c r="CU84" s="100">
        <v>3124.7999999999997</v>
      </c>
    </row>
    <row r="85" spans="2:99">
      <c r="C85" s="99" t="s">
        <v>251</v>
      </c>
      <c r="D85" s="100">
        <v>4.0209204049350662</v>
      </c>
      <c r="E85" s="100">
        <v>603.1380607402599</v>
      </c>
      <c r="F85" s="100">
        <v>3</v>
      </c>
      <c r="G85" s="100">
        <v>450</v>
      </c>
      <c r="H85" s="100">
        <v>5.2223393612485394</v>
      </c>
      <c r="I85" s="100">
        <v>783.35090418728089</v>
      </c>
      <c r="J85" s="100">
        <v>3.8006906793424871</v>
      </c>
      <c r="K85" s="100">
        <v>570.10360190137305</v>
      </c>
      <c r="L85" s="100">
        <v>4</v>
      </c>
      <c r="M85" s="100">
        <v>600</v>
      </c>
      <c r="N85" s="100">
        <v>3</v>
      </c>
      <c r="O85" s="100">
        <v>450</v>
      </c>
      <c r="P85" s="100">
        <v>4</v>
      </c>
      <c r="Q85" s="100">
        <v>600</v>
      </c>
      <c r="R85" s="100">
        <v>3</v>
      </c>
      <c r="S85" s="100">
        <v>450</v>
      </c>
      <c r="T85" s="100">
        <v>3.3159746993047015</v>
      </c>
      <c r="U85" s="100">
        <v>497.39620489570524</v>
      </c>
      <c r="V85" s="100">
        <v>5.682883113836974</v>
      </c>
      <c r="W85" s="100">
        <v>852.43246707554613</v>
      </c>
      <c r="X85" s="100">
        <v>4</v>
      </c>
      <c r="Y85" s="100">
        <v>600</v>
      </c>
      <c r="Z85" s="100">
        <v>5.9722987683045243</v>
      </c>
      <c r="AA85" s="100">
        <v>895.84481524567866</v>
      </c>
      <c r="AB85" s="100">
        <v>3.9973925332935529</v>
      </c>
      <c r="AC85" s="100">
        <v>599.60887999403292</v>
      </c>
      <c r="AD85" s="100">
        <v>3.4374690676574202</v>
      </c>
      <c r="AE85" s="100">
        <v>515.62036014861303</v>
      </c>
      <c r="AF85" s="100">
        <v>2.9564843126470555</v>
      </c>
      <c r="AG85" s="100">
        <v>443.47264689705833</v>
      </c>
      <c r="AH85" s="100">
        <v>3</v>
      </c>
      <c r="AI85" s="100">
        <v>450</v>
      </c>
      <c r="AJ85" s="100">
        <v>4</v>
      </c>
      <c r="AK85" s="100">
        <v>600</v>
      </c>
      <c r="AL85" s="100">
        <v>3</v>
      </c>
      <c r="AM85" s="100">
        <v>450</v>
      </c>
      <c r="AN85" s="100">
        <v>4</v>
      </c>
      <c r="AO85" s="100">
        <v>600</v>
      </c>
      <c r="AP85" s="100">
        <v>5</v>
      </c>
      <c r="AQ85" s="100">
        <v>750</v>
      </c>
      <c r="AR85" s="100">
        <v>4</v>
      </c>
      <c r="AS85" s="100">
        <v>600</v>
      </c>
      <c r="AT85" s="100">
        <v>3</v>
      </c>
      <c r="AU85" s="100">
        <v>450</v>
      </c>
      <c r="AV85" s="100">
        <v>6</v>
      </c>
      <c r="AW85" s="100">
        <v>900</v>
      </c>
      <c r="AX85" s="100">
        <v>4</v>
      </c>
      <c r="AY85" s="100">
        <v>600</v>
      </c>
      <c r="AZ85" s="100">
        <v>4.2236157605893538</v>
      </c>
      <c r="BA85" s="100">
        <v>633.54236408840302</v>
      </c>
      <c r="BB85" s="100">
        <v>4.4914394330925473</v>
      </c>
      <c r="BC85" s="100">
        <v>673.71591496388214</v>
      </c>
      <c r="BD85" s="100">
        <v>4.2029727207200782</v>
      </c>
      <c r="BE85" s="100">
        <v>630.44590810801174</v>
      </c>
      <c r="BF85" s="100">
        <v>4.1603534439977432</v>
      </c>
      <c r="BG85" s="100">
        <v>624.05301659966153</v>
      </c>
      <c r="BH85" s="100">
        <v>4.1373784538699327</v>
      </c>
      <c r="BI85" s="100">
        <v>620.60676808048993</v>
      </c>
      <c r="BJ85" s="100">
        <v>4</v>
      </c>
      <c r="BK85" s="100">
        <v>600</v>
      </c>
      <c r="BL85" s="100">
        <v>4.8118005166214308</v>
      </c>
      <c r="BM85" s="100">
        <v>721.77007749321467</v>
      </c>
      <c r="BN85" s="100">
        <v>3.8208842915637082</v>
      </c>
      <c r="BO85" s="100">
        <v>573.13264373455627</v>
      </c>
      <c r="BP85" s="100">
        <v>4.6749551832637861</v>
      </c>
      <c r="BQ85" s="100">
        <v>701.24327748956796</v>
      </c>
      <c r="BR85" s="100">
        <v>4.3091331181653461</v>
      </c>
      <c r="BS85" s="100">
        <v>646.36996772480188</v>
      </c>
      <c r="BT85" s="100">
        <v>4.2934455438179757</v>
      </c>
      <c r="BU85" s="100">
        <v>644.01683157269633</v>
      </c>
      <c r="BV85" s="100">
        <v>3.9973925332935529</v>
      </c>
      <c r="BW85" s="100">
        <v>599.60887999403292</v>
      </c>
      <c r="BX85" s="100">
        <v>4.757153366869181</v>
      </c>
      <c r="BY85" s="100">
        <v>713.5730050303772</v>
      </c>
      <c r="BZ85" s="100">
        <v>3.6415549547491981</v>
      </c>
      <c r="CA85" s="100">
        <v>546.23324321237976</v>
      </c>
      <c r="CB85" s="100">
        <v>2.6232591149082731</v>
      </c>
      <c r="CC85" s="100">
        <v>393.48886723624099</v>
      </c>
      <c r="CD85" s="100">
        <v>4</v>
      </c>
      <c r="CE85" s="100">
        <v>600</v>
      </c>
      <c r="CF85" s="100">
        <v>4.5682072974223926</v>
      </c>
      <c r="CG85" s="100">
        <v>685.23109461335889</v>
      </c>
      <c r="CH85" s="100">
        <v>3.2140587166354919</v>
      </c>
      <c r="CI85" s="100">
        <v>482.10880749532379</v>
      </c>
      <c r="CJ85" s="100">
        <v>4.3121950253540202</v>
      </c>
      <c r="CK85" s="100">
        <v>646.82925380310303</v>
      </c>
      <c r="CL85" s="100">
        <v>3.912483173803035</v>
      </c>
      <c r="CM85" s="100">
        <v>586.87247607045526</v>
      </c>
      <c r="CN85" s="100">
        <v>4.517612470111005</v>
      </c>
      <c r="CO85" s="100">
        <v>677.64187051665078</v>
      </c>
      <c r="CP85" s="100">
        <v>4.2208680930673177</v>
      </c>
      <c r="CQ85" s="100">
        <v>633.13021396009765</v>
      </c>
      <c r="CR85" s="100">
        <v>2.4932910965641333</v>
      </c>
      <c r="CS85" s="100">
        <v>373.99366448462001</v>
      </c>
      <c r="CT85" s="100">
        <v>4</v>
      </c>
      <c r="CU85" s="100">
        <v>600</v>
      </c>
    </row>
    <row r="86" spans="2:99">
      <c r="C86" s="99" t="s">
        <v>252</v>
      </c>
      <c r="D86" s="100">
        <v>3.350767004112555</v>
      </c>
      <c r="E86" s="100">
        <v>1809.4141822207798</v>
      </c>
      <c r="F86" s="100">
        <v>3</v>
      </c>
      <c r="G86" s="100">
        <v>1620</v>
      </c>
      <c r="H86" s="100">
        <v>5.2223393612485394</v>
      </c>
      <c r="I86" s="100">
        <v>2820.0632550742112</v>
      </c>
      <c r="J86" s="100">
        <v>4.7508633491781085</v>
      </c>
      <c r="K86" s="100">
        <v>2565.4662085561786</v>
      </c>
      <c r="L86" s="100">
        <v>4</v>
      </c>
      <c r="M86" s="100">
        <v>2160</v>
      </c>
      <c r="N86" s="100">
        <v>3</v>
      </c>
      <c r="O86" s="100">
        <v>1620</v>
      </c>
      <c r="P86" s="100">
        <v>4</v>
      </c>
      <c r="Q86" s="100">
        <v>2160</v>
      </c>
      <c r="R86" s="100">
        <v>3</v>
      </c>
      <c r="S86" s="100">
        <v>1620</v>
      </c>
      <c r="T86" s="100">
        <v>4.3159746993047019</v>
      </c>
      <c r="U86" s="100">
        <v>2330.6263376245392</v>
      </c>
      <c r="V86" s="100">
        <v>5.682883113836974</v>
      </c>
      <c r="W86" s="100">
        <v>3068.7568814719662</v>
      </c>
      <c r="X86" s="100">
        <v>4</v>
      </c>
      <c r="Y86" s="100">
        <v>2160</v>
      </c>
      <c r="Z86" s="100">
        <v>5.9722987683045243</v>
      </c>
      <c r="AA86" s="100">
        <v>3225.0413348844431</v>
      </c>
      <c r="AB86" s="100">
        <v>3.9973925332935529</v>
      </c>
      <c r="AC86" s="100">
        <v>2158.5919679785184</v>
      </c>
      <c r="AD86" s="100">
        <v>3.4374690676574202</v>
      </c>
      <c r="AE86" s="100">
        <v>1856.233296535007</v>
      </c>
      <c r="AF86" s="100">
        <v>3.9419790835294073</v>
      </c>
      <c r="AG86" s="100">
        <v>2128.6687051058798</v>
      </c>
      <c r="AH86" s="100">
        <v>3</v>
      </c>
      <c r="AI86" s="100">
        <v>1620</v>
      </c>
      <c r="AJ86" s="100">
        <v>4</v>
      </c>
      <c r="AK86" s="100">
        <v>2160</v>
      </c>
      <c r="AL86" s="100">
        <v>3</v>
      </c>
      <c r="AM86" s="100">
        <v>1620</v>
      </c>
      <c r="AN86" s="100">
        <v>5</v>
      </c>
      <c r="AO86" s="100">
        <v>2700</v>
      </c>
      <c r="AP86" s="100">
        <v>5</v>
      </c>
      <c r="AQ86" s="100">
        <v>2700</v>
      </c>
      <c r="AR86" s="100">
        <v>3</v>
      </c>
      <c r="AS86" s="100">
        <v>1620</v>
      </c>
      <c r="AT86" s="100">
        <v>3</v>
      </c>
      <c r="AU86" s="100">
        <v>1620</v>
      </c>
      <c r="AV86" s="100">
        <v>5</v>
      </c>
      <c r="AW86" s="100">
        <v>2700</v>
      </c>
      <c r="AX86" s="100">
        <v>4</v>
      </c>
      <c r="AY86" s="100">
        <v>2160</v>
      </c>
      <c r="AZ86" s="100">
        <v>4.2236157605893538</v>
      </c>
      <c r="BA86" s="100">
        <v>2280.752510718251</v>
      </c>
      <c r="BB86" s="100">
        <v>4.4914394330925473</v>
      </c>
      <c r="BC86" s="100">
        <v>2425.3772938699753</v>
      </c>
      <c r="BD86" s="100">
        <v>4.2029727207200782</v>
      </c>
      <c r="BE86" s="100">
        <v>2269.6052691888422</v>
      </c>
      <c r="BF86" s="100">
        <v>4.1603534439977432</v>
      </c>
      <c r="BG86" s="100">
        <v>2246.5908597587813</v>
      </c>
      <c r="BH86" s="100">
        <v>4.1373784538699327</v>
      </c>
      <c r="BI86" s="100">
        <v>2234.1843650897636</v>
      </c>
      <c r="BJ86" s="100">
        <v>3</v>
      </c>
      <c r="BK86" s="100">
        <v>1620</v>
      </c>
      <c r="BL86" s="100">
        <v>4.8118005166214308</v>
      </c>
      <c r="BM86" s="100">
        <v>2598.3722789755725</v>
      </c>
      <c r="BN86" s="100">
        <v>3.8208842915637082</v>
      </c>
      <c r="BO86" s="100">
        <v>2063.2775174444023</v>
      </c>
      <c r="BP86" s="100">
        <v>3.8957959860531548</v>
      </c>
      <c r="BQ86" s="100">
        <v>2103.7298324687035</v>
      </c>
      <c r="BR86" s="100">
        <v>4.3091331181653461</v>
      </c>
      <c r="BS86" s="100">
        <v>2326.9318838092868</v>
      </c>
      <c r="BT86" s="100">
        <v>3.4347564350543807</v>
      </c>
      <c r="BU86" s="100">
        <v>1854.7684749293655</v>
      </c>
      <c r="BV86" s="100">
        <v>3.9973925332935529</v>
      </c>
      <c r="BW86" s="100">
        <v>2158.5919679785184</v>
      </c>
      <c r="BX86" s="100">
        <v>3.3979666906208439</v>
      </c>
      <c r="BY86" s="100">
        <v>1834.9020129352557</v>
      </c>
      <c r="BZ86" s="100">
        <v>4.4483342624448783</v>
      </c>
      <c r="CA86" s="100">
        <v>2402.1005017202342</v>
      </c>
      <c r="CB86" s="100">
        <v>3.2790738936353412</v>
      </c>
      <c r="CC86" s="100">
        <v>1770.6999025630842</v>
      </c>
      <c r="CD86" s="100">
        <v>4</v>
      </c>
      <c r="CE86" s="100">
        <v>2160</v>
      </c>
      <c r="CF86" s="100">
        <v>4.5682072974223926</v>
      </c>
      <c r="CG86" s="100">
        <v>2466.8319406080918</v>
      </c>
      <c r="CH86" s="100">
        <v>3.2140587166354919</v>
      </c>
      <c r="CI86" s="100">
        <v>1735.5917069831657</v>
      </c>
      <c r="CJ86" s="100">
        <v>4.3121950253540202</v>
      </c>
      <c r="CK86" s="100">
        <v>2328.585313691171</v>
      </c>
      <c r="CL86" s="100">
        <v>3.912483173803035</v>
      </c>
      <c r="CM86" s="100">
        <v>2112.7409138536391</v>
      </c>
      <c r="CN86" s="100">
        <v>4.517612470111005</v>
      </c>
      <c r="CO86" s="100">
        <v>2439.5107338599428</v>
      </c>
      <c r="CP86" s="100">
        <v>3.2392737674895939</v>
      </c>
      <c r="CQ86" s="100">
        <v>1749.2078344443808</v>
      </c>
      <c r="CR86" s="100">
        <v>3.1166138707051658</v>
      </c>
      <c r="CS86" s="100">
        <v>1682.9714901807895</v>
      </c>
      <c r="CT86" s="100">
        <v>5</v>
      </c>
      <c r="CU86" s="100">
        <v>2700</v>
      </c>
    </row>
    <row r="87" spans="2:99">
      <c r="B87" s="99" t="s">
        <v>131</v>
      </c>
      <c r="C87" s="99" t="s">
        <v>253</v>
      </c>
      <c r="D87" s="100">
        <v>6</v>
      </c>
      <c r="E87" s="100">
        <v>6444</v>
      </c>
      <c r="F87" s="100">
        <v>3</v>
      </c>
      <c r="G87" s="100">
        <v>3222</v>
      </c>
      <c r="H87" s="100">
        <v>5.0829435193072197</v>
      </c>
      <c r="I87" s="100">
        <v>5459.0813397359543</v>
      </c>
      <c r="J87" s="100">
        <v>2.2521756312481935</v>
      </c>
      <c r="K87" s="100">
        <v>2418.8366279605598</v>
      </c>
      <c r="L87" s="100">
        <v>5.645786717820199</v>
      </c>
      <c r="M87" s="100">
        <v>6063.5749349388934</v>
      </c>
      <c r="N87" s="100">
        <v>2.6374389355566725</v>
      </c>
      <c r="O87" s="100">
        <v>2832.6094167878664</v>
      </c>
      <c r="P87" s="100">
        <v>3.2972310474484865</v>
      </c>
      <c r="Q87" s="100">
        <v>3541.2261449596745</v>
      </c>
      <c r="R87" s="100">
        <v>2.887028941067483</v>
      </c>
      <c r="S87" s="100">
        <v>3100.6690827064767</v>
      </c>
      <c r="T87" s="100">
        <v>3.9068701443625122</v>
      </c>
      <c r="U87" s="100">
        <v>4195.9785350453385</v>
      </c>
      <c r="V87" s="100">
        <v>4.2990278101599637</v>
      </c>
      <c r="W87" s="100">
        <v>4617.1558681118013</v>
      </c>
      <c r="X87" s="100">
        <v>1.916968095434509</v>
      </c>
      <c r="Y87" s="100">
        <v>2058.8237344966628</v>
      </c>
      <c r="Z87" s="100">
        <v>3.7958508945623604</v>
      </c>
      <c r="AA87" s="100">
        <v>4076.7438607599752</v>
      </c>
      <c r="AB87" s="100">
        <v>3.9163676832059582</v>
      </c>
      <c r="AC87" s="100">
        <v>4206.1788917631993</v>
      </c>
      <c r="AD87" s="100">
        <v>3.4541697285107267</v>
      </c>
      <c r="AE87" s="100">
        <v>3709.7782884205203</v>
      </c>
      <c r="AF87" s="100">
        <v>3.377496518439052</v>
      </c>
      <c r="AG87" s="100">
        <v>3627.4312608035416</v>
      </c>
      <c r="AH87" s="100">
        <v>3.7586796928791042</v>
      </c>
      <c r="AI87" s="100">
        <v>4036.8219901521579</v>
      </c>
      <c r="AJ87" s="100">
        <v>3.2058422512119824</v>
      </c>
      <c r="AK87" s="100">
        <v>3443.074577801669</v>
      </c>
      <c r="AL87" s="100">
        <v>2.8671942709177611</v>
      </c>
      <c r="AM87" s="100">
        <v>3079.3666469656755</v>
      </c>
      <c r="AN87" s="100">
        <v>3.1238452918517541</v>
      </c>
      <c r="AO87" s="100">
        <v>3355.0098434487841</v>
      </c>
      <c r="AP87" s="100">
        <v>3.127212948176028</v>
      </c>
      <c r="AQ87" s="100">
        <v>3358.6267063410542</v>
      </c>
      <c r="AR87" s="100">
        <v>3.9630208780291416</v>
      </c>
      <c r="AS87" s="100">
        <v>4256.2844230032979</v>
      </c>
      <c r="AT87" s="100">
        <v>3.4321714173530933</v>
      </c>
      <c r="AU87" s="100">
        <v>3686.1521022372222</v>
      </c>
      <c r="AV87" s="100">
        <v>2.8553514621474729</v>
      </c>
      <c r="AW87" s="100">
        <v>3066.6474703463859</v>
      </c>
      <c r="AX87" s="100">
        <v>4.2321694547304745</v>
      </c>
      <c r="AY87" s="100">
        <v>4545.34999438053</v>
      </c>
      <c r="AZ87" s="100">
        <v>3.632887968002259</v>
      </c>
      <c r="BA87" s="100">
        <v>3901.7216776344262</v>
      </c>
      <c r="BB87" s="100">
        <v>3.3509004291130511</v>
      </c>
      <c r="BC87" s="100">
        <v>3598.867060867417</v>
      </c>
      <c r="BD87" s="100">
        <v>2.9209965698464706</v>
      </c>
      <c r="BE87" s="100">
        <v>3137.1503160151096</v>
      </c>
      <c r="BF87" s="100">
        <v>3.8165194572250267</v>
      </c>
      <c r="BG87" s="100">
        <v>4098.9418970596789</v>
      </c>
      <c r="BH87" s="100">
        <v>2.935214299248555</v>
      </c>
      <c r="BI87" s="100">
        <v>3152.4201573929481</v>
      </c>
      <c r="BJ87" s="100">
        <v>4.2344203098589457</v>
      </c>
      <c r="BK87" s="100">
        <v>4547.7674127885075</v>
      </c>
      <c r="BL87" s="100">
        <v>2.0667565143669324</v>
      </c>
      <c r="BM87" s="100">
        <v>2219.6964964300855</v>
      </c>
      <c r="BN87" s="100">
        <v>2.5836674093375445</v>
      </c>
      <c r="BO87" s="100">
        <v>2774.8587976285226</v>
      </c>
      <c r="BP87" s="100">
        <v>3.7139067926656315</v>
      </c>
      <c r="BQ87" s="100">
        <v>3988.7358953228882</v>
      </c>
      <c r="BR87" s="100">
        <v>2.7104361900184717</v>
      </c>
      <c r="BS87" s="100">
        <v>2911.0084680798386</v>
      </c>
      <c r="BT87" s="100">
        <v>2.2533735279458647</v>
      </c>
      <c r="BU87" s="100">
        <v>2420.1231690138588</v>
      </c>
      <c r="BV87" s="100">
        <v>5.6520947717244487</v>
      </c>
      <c r="BW87" s="100">
        <v>6070.3497848320576</v>
      </c>
      <c r="BX87" s="100">
        <v>4.1014770339616478</v>
      </c>
      <c r="BY87" s="100">
        <v>4404.9863344748101</v>
      </c>
      <c r="BZ87" s="100">
        <v>3.0573832898829902</v>
      </c>
      <c r="CA87" s="100">
        <v>3283.6296533343316</v>
      </c>
      <c r="CB87" s="100">
        <v>3.206473382212121</v>
      </c>
      <c r="CC87" s="100">
        <v>3443.7524124958181</v>
      </c>
      <c r="CD87" s="100">
        <v>3.5091257545034216</v>
      </c>
      <c r="CE87" s="100">
        <v>3768.8010603366747</v>
      </c>
      <c r="CF87" s="100">
        <v>3.6083667669480355</v>
      </c>
      <c r="CG87" s="100">
        <v>3875.3859077021903</v>
      </c>
      <c r="CH87" s="100">
        <v>4.3099400877016789</v>
      </c>
      <c r="CI87" s="100">
        <v>4628.8756541916027</v>
      </c>
      <c r="CJ87" s="100">
        <v>3.1795270422296418</v>
      </c>
      <c r="CK87" s="100">
        <v>3414.8120433546351</v>
      </c>
      <c r="CL87" s="100">
        <v>2.7942499352087209</v>
      </c>
      <c r="CM87" s="100">
        <v>3001.0244304141661</v>
      </c>
      <c r="CN87" s="100">
        <v>2.9933824174126702</v>
      </c>
      <c r="CO87" s="100">
        <v>3214.8927163012077</v>
      </c>
      <c r="CP87" s="100">
        <v>4.3763122123815137</v>
      </c>
      <c r="CQ87" s="100">
        <v>4700.1593160977454</v>
      </c>
      <c r="CR87" s="100">
        <v>2.3007486296358532</v>
      </c>
      <c r="CS87" s="100">
        <v>2471.0040282289065</v>
      </c>
      <c r="CT87" s="100">
        <v>2.5127774224268893</v>
      </c>
      <c r="CU87" s="100">
        <v>2698.7229516864791</v>
      </c>
    </row>
    <row r="88" spans="2:99">
      <c r="C88" s="99" t="s">
        <v>254</v>
      </c>
      <c r="D88" s="100">
        <v>6</v>
      </c>
      <c r="E88" s="100">
        <v>5954.4</v>
      </c>
      <c r="F88" s="100">
        <v>4</v>
      </c>
      <c r="G88" s="100">
        <v>3969.6</v>
      </c>
      <c r="H88" s="100">
        <v>6.0659238213790676</v>
      </c>
      <c r="I88" s="100">
        <v>6019.8228003365866</v>
      </c>
      <c r="J88" s="100">
        <v>2.2521756312481935</v>
      </c>
      <c r="K88" s="100">
        <v>2235.0590964507073</v>
      </c>
      <c r="L88" s="100">
        <v>5.645786717820199</v>
      </c>
      <c r="M88" s="100">
        <v>5602.8787387647653</v>
      </c>
      <c r="N88" s="100">
        <v>2.6374389355566725</v>
      </c>
      <c r="O88" s="100">
        <v>2617.3943996464418</v>
      </c>
      <c r="P88" s="100">
        <v>3.3346180441392894</v>
      </c>
      <c r="Q88" s="100">
        <v>3309.2749470038307</v>
      </c>
      <c r="R88" s="100">
        <v>2.887028941067483</v>
      </c>
      <c r="S88" s="100">
        <v>2865.0875211153702</v>
      </c>
      <c r="T88" s="100">
        <v>3.9068701443625122</v>
      </c>
      <c r="U88" s="100">
        <v>3877.1779312653571</v>
      </c>
      <c r="V88" s="100">
        <v>4.9530010670538438</v>
      </c>
      <c r="W88" s="100">
        <v>4915.3582589442349</v>
      </c>
      <c r="X88" s="100">
        <v>1.916968095434509</v>
      </c>
      <c r="Y88" s="100">
        <v>1902.3991379092067</v>
      </c>
      <c r="Z88" s="100">
        <v>4.538429756621551</v>
      </c>
      <c r="AA88" s="100">
        <v>4503.9376904712271</v>
      </c>
      <c r="AB88" s="100">
        <v>4.558825384842903</v>
      </c>
      <c r="AC88" s="100">
        <v>4524.1783119180973</v>
      </c>
      <c r="AD88" s="100">
        <v>3.4541697285107267</v>
      </c>
      <c r="AE88" s="100">
        <v>3427.9180385740451</v>
      </c>
      <c r="AF88" s="100">
        <v>4.0035335134841166</v>
      </c>
      <c r="AG88" s="100">
        <v>3973.1066587816372</v>
      </c>
      <c r="AH88" s="100">
        <v>3.9289215939663191</v>
      </c>
      <c r="AI88" s="100">
        <v>3899.061789852175</v>
      </c>
      <c r="AJ88" s="100">
        <v>3.2265747605680559</v>
      </c>
      <c r="AK88" s="100">
        <v>3202.0527923877385</v>
      </c>
      <c r="AL88" s="100">
        <v>2.8671942709177611</v>
      </c>
      <c r="AM88" s="100">
        <v>2845.4035944587863</v>
      </c>
      <c r="AN88" s="100">
        <v>3.8774438802247708</v>
      </c>
      <c r="AO88" s="100">
        <v>3847.9753067350625</v>
      </c>
      <c r="AP88" s="100">
        <v>3.127212948176028</v>
      </c>
      <c r="AQ88" s="100">
        <v>3103.4461297698899</v>
      </c>
      <c r="AR88" s="100">
        <v>4.5962467046972817</v>
      </c>
      <c r="AS88" s="100">
        <v>4561.3152297415827</v>
      </c>
      <c r="AT88" s="100">
        <v>3.8624144402773233</v>
      </c>
      <c r="AU88" s="100">
        <v>3833.0600905312153</v>
      </c>
      <c r="AV88" s="100">
        <v>2.8277935144718671</v>
      </c>
      <c r="AW88" s="100">
        <v>2806.302283761881</v>
      </c>
      <c r="AX88" s="100">
        <v>4.9375310305188869</v>
      </c>
      <c r="AY88" s="100">
        <v>4900.0057946869429</v>
      </c>
      <c r="AZ88" s="100">
        <v>3.632887968002259</v>
      </c>
      <c r="BA88" s="100">
        <v>3605.2780194454417</v>
      </c>
      <c r="BB88" s="100">
        <v>3.3509004291130511</v>
      </c>
      <c r="BC88" s="100">
        <v>3325.433585851792</v>
      </c>
      <c r="BD88" s="100">
        <v>3.3942259050333163</v>
      </c>
      <c r="BE88" s="100">
        <v>3368.4297881550629</v>
      </c>
      <c r="BF88" s="100">
        <v>3.8099452866087722</v>
      </c>
      <c r="BG88" s="100">
        <v>3780.9897024305455</v>
      </c>
      <c r="BH88" s="100">
        <v>2.935214299248555</v>
      </c>
      <c r="BI88" s="100">
        <v>2912.9066705742662</v>
      </c>
      <c r="BJ88" s="100">
        <v>4.2344203098589457</v>
      </c>
      <c r="BK88" s="100">
        <v>4202.2387155040178</v>
      </c>
      <c r="BL88" s="100">
        <v>1.6534052114935462</v>
      </c>
      <c r="BM88" s="100">
        <v>1640.8393318861952</v>
      </c>
      <c r="BN88" s="100">
        <v>3.4448898791167255</v>
      </c>
      <c r="BO88" s="100">
        <v>3418.7087160354381</v>
      </c>
      <c r="BP88" s="100">
        <v>3.7278223574331624</v>
      </c>
      <c r="BQ88" s="100">
        <v>3699.4909075166702</v>
      </c>
      <c r="BR88" s="100">
        <v>2.7104361900184717</v>
      </c>
      <c r="BS88" s="100">
        <v>2689.8368749743313</v>
      </c>
      <c r="BT88" s="100">
        <v>2.7040482335350373</v>
      </c>
      <c r="BU88" s="100">
        <v>2683.4974669601711</v>
      </c>
      <c r="BV88" s="100">
        <v>4.9455829252588916</v>
      </c>
      <c r="BW88" s="100">
        <v>4907.9964950269241</v>
      </c>
      <c r="BX88" s="100">
        <v>3.3011223048922087</v>
      </c>
      <c r="BY88" s="100">
        <v>3276.0337753750277</v>
      </c>
      <c r="BZ88" s="100">
        <v>3.5423492366106784</v>
      </c>
      <c r="CA88" s="100">
        <v>3515.4273824124371</v>
      </c>
      <c r="CB88" s="100">
        <v>3.206473382212121</v>
      </c>
      <c r="CC88" s="100">
        <v>3182.1041845073087</v>
      </c>
      <c r="CD88" s="100">
        <v>3.5091257545034216</v>
      </c>
      <c r="CE88" s="100">
        <v>3482.4563987691954</v>
      </c>
      <c r="CF88" s="100">
        <v>3.5858446955631775</v>
      </c>
      <c r="CG88" s="100">
        <v>3558.5922758768975</v>
      </c>
      <c r="CH88" s="100">
        <v>4.8856851019496439</v>
      </c>
      <c r="CI88" s="100">
        <v>4848.5538951748267</v>
      </c>
      <c r="CJ88" s="100">
        <v>2.7253088933396925</v>
      </c>
      <c r="CK88" s="100">
        <v>2704.5965457503107</v>
      </c>
      <c r="CL88" s="100">
        <v>2.7942499352087209</v>
      </c>
      <c r="CM88" s="100">
        <v>2773.0136357011347</v>
      </c>
      <c r="CN88" s="100">
        <v>3.5920589008952044</v>
      </c>
      <c r="CO88" s="100">
        <v>3564.7592532484009</v>
      </c>
      <c r="CP88" s="100">
        <v>4.3763122123815137</v>
      </c>
      <c r="CQ88" s="100">
        <v>4343.0522395674143</v>
      </c>
      <c r="CR88" s="100">
        <v>2.3007486296358532</v>
      </c>
      <c r="CS88" s="100">
        <v>2283.2629400506207</v>
      </c>
      <c r="CT88" s="100">
        <v>2.5127774224268893</v>
      </c>
      <c r="CU88" s="100">
        <v>2493.6803140164448</v>
      </c>
    </row>
    <row r="89" spans="2:99">
      <c r="C89" s="99" t="s">
        <v>255</v>
      </c>
      <c r="D89" s="100">
        <v>6</v>
      </c>
      <c r="E89" s="100">
        <v>6372</v>
      </c>
      <c r="F89" s="100">
        <v>4</v>
      </c>
      <c r="G89" s="100">
        <v>4248</v>
      </c>
      <c r="H89" s="100">
        <v>5.0829435193072197</v>
      </c>
      <c r="I89" s="100">
        <v>5398.0860175042671</v>
      </c>
      <c r="J89" s="100">
        <v>1.8017405049985551</v>
      </c>
      <c r="K89" s="100">
        <v>1913.4484163084655</v>
      </c>
      <c r="L89" s="100">
        <v>5.645786717820199</v>
      </c>
      <c r="M89" s="100">
        <v>5995.8254943250513</v>
      </c>
      <c r="N89" s="100">
        <v>2.6374389355566725</v>
      </c>
      <c r="O89" s="100">
        <v>2800.9601495611864</v>
      </c>
      <c r="P89" s="100">
        <v>3.3346180441392894</v>
      </c>
      <c r="Q89" s="100">
        <v>3541.3643628759255</v>
      </c>
      <c r="R89" s="100">
        <v>2.887028941067483</v>
      </c>
      <c r="S89" s="100">
        <v>3066.0247354136668</v>
      </c>
      <c r="T89" s="100">
        <v>3.9068701443625122</v>
      </c>
      <c r="U89" s="100">
        <v>4149.0960933129882</v>
      </c>
      <c r="V89" s="100">
        <v>4.2769579119954528</v>
      </c>
      <c r="W89" s="100">
        <v>4542.1293025391706</v>
      </c>
      <c r="X89" s="100">
        <v>1.916968095434509</v>
      </c>
      <c r="Y89" s="100">
        <v>2035.8201173514485</v>
      </c>
      <c r="Z89" s="100">
        <v>3.8165900406289617</v>
      </c>
      <c r="AA89" s="100">
        <v>4053.2186231479573</v>
      </c>
      <c r="AB89" s="100">
        <v>4.5382848937148079</v>
      </c>
      <c r="AC89" s="100">
        <v>4819.6585571251262</v>
      </c>
      <c r="AD89" s="100">
        <v>4.2849582270843056</v>
      </c>
      <c r="AE89" s="100">
        <v>4550.6256371635327</v>
      </c>
      <c r="AF89" s="100">
        <v>3.7562219702703934</v>
      </c>
      <c r="AG89" s="100">
        <v>3989.1077324271578</v>
      </c>
      <c r="AH89" s="100">
        <v>3.9289215939663191</v>
      </c>
      <c r="AI89" s="100">
        <v>4172.5147327922305</v>
      </c>
      <c r="AJ89" s="100">
        <v>3.7159613654985599</v>
      </c>
      <c r="AK89" s="100">
        <v>3946.3509701594708</v>
      </c>
      <c r="AL89" s="100">
        <v>2.8671942709177611</v>
      </c>
      <c r="AM89" s="100">
        <v>3044.9603157146621</v>
      </c>
      <c r="AN89" s="100">
        <v>3.1238452918517541</v>
      </c>
      <c r="AO89" s="100">
        <v>3317.5236999465628</v>
      </c>
      <c r="AP89" s="100">
        <v>3.7231799360521842</v>
      </c>
      <c r="AQ89" s="100">
        <v>3954.0170920874198</v>
      </c>
      <c r="AR89" s="100">
        <v>3.9630208780291416</v>
      </c>
      <c r="AS89" s="100">
        <v>4208.7281724669483</v>
      </c>
      <c r="AT89" s="100">
        <v>3.4321714173530933</v>
      </c>
      <c r="AU89" s="100">
        <v>3644.966045228985</v>
      </c>
      <c r="AV89" s="100">
        <v>2.1759610312051119</v>
      </c>
      <c r="AW89" s="100">
        <v>2310.8706151398287</v>
      </c>
      <c r="AX89" s="100">
        <v>4.2321694547304745</v>
      </c>
      <c r="AY89" s="100">
        <v>4494.5639609237642</v>
      </c>
      <c r="AZ89" s="100">
        <v>3.632887968002259</v>
      </c>
      <c r="BA89" s="100">
        <v>3858.1270220183992</v>
      </c>
      <c r="BB89" s="100">
        <v>2.5559231260788007</v>
      </c>
      <c r="BC89" s="100">
        <v>2714.3903598956863</v>
      </c>
      <c r="BD89" s="100">
        <v>2.9209965698464706</v>
      </c>
      <c r="BE89" s="100">
        <v>3102.0983571769516</v>
      </c>
      <c r="BF89" s="100">
        <v>4.4449361677102344</v>
      </c>
      <c r="BG89" s="100">
        <v>4720.5222101082691</v>
      </c>
      <c r="BH89" s="100">
        <v>2.935214299248555</v>
      </c>
      <c r="BI89" s="100">
        <v>3117.1975858019655</v>
      </c>
      <c r="BJ89" s="100">
        <v>4.2344203098589457</v>
      </c>
      <c r="BK89" s="100">
        <v>4496.9543690702003</v>
      </c>
      <c r="BL89" s="100">
        <v>2.0667565143669324</v>
      </c>
      <c r="BM89" s="100">
        <v>2194.8954182576822</v>
      </c>
      <c r="BN89" s="100">
        <v>3.4448898791167255</v>
      </c>
      <c r="BO89" s="100">
        <v>3658.4730516219624</v>
      </c>
      <c r="BP89" s="100">
        <v>3.7208645750493972</v>
      </c>
      <c r="BQ89" s="100">
        <v>3951.5581787024598</v>
      </c>
      <c r="BR89" s="100">
        <v>2.7104361900184717</v>
      </c>
      <c r="BS89" s="100">
        <v>2878.4832337996168</v>
      </c>
      <c r="BT89" s="100">
        <v>2.2533735279458647</v>
      </c>
      <c r="BU89" s="100">
        <v>2393.0826866785083</v>
      </c>
      <c r="BV89" s="100">
        <v>4.9455829252588916</v>
      </c>
      <c r="BW89" s="100">
        <v>5252.2090666249433</v>
      </c>
      <c r="BX89" s="100">
        <v>3.4412525729832062</v>
      </c>
      <c r="BY89" s="100">
        <v>3654.6102325081652</v>
      </c>
      <c r="BZ89" s="100">
        <v>3.038934838693383</v>
      </c>
      <c r="CA89" s="100">
        <v>3227.3487986923728</v>
      </c>
      <c r="CB89" s="100">
        <v>3.1811721249581684</v>
      </c>
      <c r="CC89" s="100">
        <v>3378.4047967055749</v>
      </c>
      <c r="CD89" s="100">
        <v>2.8355888606493234</v>
      </c>
      <c r="CE89" s="100">
        <v>3011.3953700095813</v>
      </c>
      <c r="CF89" s="100">
        <v>3.5858446955631775</v>
      </c>
      <c r="CG89" s="100">
        <v>3808.1670666880946</v>
      </c>
      <c r="CH89" s="100">
        <v>4.3379125864982715</v>
      </c>
      <c r="CI89" s="100">
        <v>4606.8631668611642</v>
      </c>
      <c r="CJ89" s="100">
        <v>2.7384980760401438</v>
      </c>
      <c r="CK89" s="100">
        <v>2908.2849567546327</v>
      </c>
      <c r="CL89" s="100">
        <v>2.7641450342234588</v>
      </c>
      <c r="CM89" s="100">
        <v>2935.5220263453134</v>
      </c>
      <c r="CN89" s="100">
        <v>3.5920589008952044</v>
      </c>
      <c r="CO89" s="100">
        <v>3814.766552750707</v>
      </c>
      <c r="CP89" s="100">
        <v>4.3763122123815137</v>
      </c>
      <c r="CQ89" s="100">
        <v>4647.6435695491673</v>
      </c>
      <c r="CR89" s="100">
        <v>2.6294270052981177</v>
      </c>
      <c r="CS89" s="100">
        <v>2792.4514796266008</v>
      </c>
      <c r="CT89" s="100">
        <v>2.5127774224268893</v>
      </c>
      <c r="CU89" s="100">
        <v>2668.5696226173563</v>
      </c>
    </row>
    <row r="90" spans="2:99">
      <c r="C90" s="99" t="s">
        <v>256</v>
      </c>
      <c r="D90" s="100">
        <v>7</v>
      </c>
      <c r="E90" s="100">
        <v>7761.5999999999995</v>
      </c>
      <c r="F90" s="100">
        <v>4</v>
      </c>
      <c r="G90" s="100">
        <v>4435.2</v>
      </c>
      <c r="H90" s="100">
        <v>5.0829435193072197</v>
      </c>
      <c r="I90" s="100">
        <v>5635.9677742078447</v>
      </c>
      <c r="J90" s="100">
        <v>2.2521756312481935</v>
      </c>
      <c r="K90" s="100">
        <v>2497.2123399279967</v>
      </c>
      <c r="L90" s="100">
        <v>6.5867511707902313</v>
      </c>
      <c r="M90" s="100">
        <v>7303.3896981722082</v>
      </c>
      <c r="N90" s="100">
        <v>2.6374389355566725</v>
      </c>
      <c r="O90" s="100">
        <v>2924.3922917452383</v>
      </c>
      <c r="P90" s="100">
        <v>3.3346180441392894</v>
      </c>
      <c r="Q90" s="100">
        <v>3697.4244873416442</v>
      </c>
      <c r="R90" s="100">
        <v>2.887028941067483</v>
      </c>
      <c r="S90" s="100">
        <v>3201.137689855625</v>
      </c>
      <c r="T90" s="100">
        <v>3.1254961154900092</v>
      </c>
      <c r="U90" s="100">
        <v>3465.550092855322</v>
      </c>
      <c r="V90" s="100">
        <v>4.2990278101599637</v>
      </c>
      <c r="W90" s="100">
        <v>4766.7620359053672</v>
      </c>
      <c r="X90" s="100">
        <v>1.916968095434509</v>
      </c>
      <c r="Y90" s="100">
        <v>2125.5342242177835</v>
      </c>
      <c r="Z90" s="100">
        <v>4.5176906105549497</v>
      </c>
      <c r="AA90" s="100">
        <v>5009.2153489833281</v>
      </c>
      <c r="AB90" s="100">
        <v>4.5177444025867119</v>
      </c>
      <c r="AC90" s="100">
        <v>5009.2749935881457</v>
      </c>
      <c r="AD90" s="100">
        <v>4.2849582270843056</v>
      </c>
      <c r="AE90" s="100">
        <v>4751.1616821910775</v>
      </c>
      <c r="AF90" s="100">
        <v>4.0035335134841166</v>
      </c>
      <c r="AG90" s="100">
        <v>4439.1179597511882</v>
      </c>
      <c r="AH90" s="100">
        <v>3.9076413563304175</v>
      </c>
      <c r="AI90" s="100">
        <v>4332.7927358991665</v>
      </c>
      <c r="AJ90" s="100">
        <v>3.2058422512119824</v>
      </c>
      <c r="AK90" s="100">
        <v>3554.6378881438459</v>
      </c>
      <c r="AL90" s="100">
        <v>2.8671942709177611</v>
      </c>
      <c r="AM90" s="100">
        <v>3179.1450075936136</v>
      </c>
      <c r="AN90" s="100">
        <v>3.1512080264416769</v>
      </c>
      <c r="AO90" s="100">
        <v>3494.0594597185313</v>
      </c>
      <c r="AP90" s="100">
        <v>3.6986169345863091</v>
      </c>
      <c r="AQ90" s="100">
        <v>4101.0264570692998</v>
      </c>
      <c r="AR90" s="100">
        <v>3.9630208780291416</v>
      </c>
      <c r="AS90" s="100">
        <v>4394.1975495587121</v>
      </c>
      <c r="AT90" s="100">
        <v>4.1704303188954333</v>
      </c>
      <c r="AU90" s="100">
        <v>4624.1731375912559</v>
      </c>
      <c r="AV90" s="100">
        <v>2.1759610312051119</v>
      </c>
      <c r="AW90" s="100">
        <v>2412.7055914002281</v>
      </c>
      <c r="AX90" s="100">
        <v>4.9375310305188869</v>
      </c>
      <c r="AY90" s="100">
        <v>5474.7344066393416</v>
      </c>
      <c r="AZ90" s="100">
        <v>3.632887968002259</v>
      </c>
      <c r="BA90" s="100">
        <v>4028.1461789209047</v>
      </c>
      <c r="BB90" s="100">
        <v>3.3509004291130511</v>
      </c>
      <c r="BC90" s="100">
        <v>3715.478395800551</v>
      </c>
      <c r="BD90" s="100">
        <v>3.373820765351967</v>
      </c>
      <c r="BE90" s="100">
        <v>3740.8924646222608</v>
      </c>
      <c r="BF90" s="100">
        <v>3.8099452866087722</v>
      </c>
      <c r="BG90" s="100">
        <v>4224.4673337918066</v>
      </c>
      <c r="BH90" s="100">
        <v>2.935214299248555</v>
      </c>
      <c r="BI90" s="100">
        <v>3254.5656150067975</v>
      </c>
      <c r="BJ90" s="100">
        <v>4.2344203098589457</v>
      </c>
      <c r="BK90" s="100">
        <v>4695.1252395715992</v>
      </c>
      <c r="BL90" s="100">
        <v>1.6534052114935462</v>
      </c>
      <c r="BM90" s="100">
        <v>1833.2956985040439</v>
      </c>
      <c r="BN90" s="100">
        <v>3.4448898791167255</v>
      </c>
      <c r="BO90" s="100">
        <v>3819.6938979646252</v>
      </c>
      <c r="BP90" s="100">
        <v>3.6443289688279781</v>
      </c>
      <c r="BQ90" s="100">
        <v>4040.8319606364621</v>
      </c>
      <c r="BR90" s="100">
        <v>2.6943455178444009</v>
      </c>
      <c r="BS90" s="100">
        <v>2987.4903101858717</v>
      </c>
      <c r="BT90" s="100">
        <v>2.2533735279458647</v>
      </c>
      <c r="BU90" s="100">
        <v>2498.5405677863746</v>
      </c>
      <c r="BV90" s="100">
        <v>4.9455829252588916</v>
      </c>
      <c r="BW90" s="100">
        <v>5483.662347527059</v>
      </c>
      <c r="BX90" s="100">
        <v>4.1214956436889336</v>
      </c>
      <c r="BY90" s="100">
        <v>4569.9143697222898</v>
      </c>
      <c r="BZ90" s="100">
        <v>3.038934838693383</v>
      </c>
      <c r="CA90" s="100">
        <v>3369.5709491432231</v>
      </c>
      <c r="CB90" s="100">
        <v>3.206473382212121</v>
      </c>
      <c r="CC90" s="100">
        <v>3555.3376861967995</v>
      </c>
      <c r="CD90" s="100">
        <v>3.5091257545034216</v>
      </c>
      <c r="CE90" s="100">
        <v>3890.9186365933938</v>
      </c>
      <c r="CF90" s="100">
        <v>3.0332480557390307</v>
      </c>
      <c r="CG90" s="100">
        <v>3363.2654442034373</v>
      </c>
      <c r="CH90" s="100">
        <v>4.3379125864982715</v>
      </c>
      <c r="CI90" s="100">
        <v>4809.877475909283</v>
      </c>
      <c r="CJ90" s="100">
        <v>3.1663378595291904</v>
      </c>
      <c r="CK90" s="100">
        <v>3510.835418645966</v>
      </c>
      <c r="CL90" s="100">
        <v>2.7641450342234588</v>
      </c>
      <c r="CM90" s="100">
        <v>3064.8840139469712</v>
      </c>
      <c r="CN90" s="100">
        <v>2.9933824174126702</v>
      </c>
      <c r="CO90" s="100">
        <v>3319.0624244271685</v>
      </c>
      <c r="CP90" s="100">
        <v>4.4090578524499637</v>
      </c>
      <c r="CQ90" s="100">
        <v>4888.7633467965197</v>
      </c>
      <c r="CR90" s="100">
        <v>2.3007486296358532</v>
      </c>
      <c r="CS90" s="100">
        <v>2551.0700805402339</v>
      </c>
      <c r="CT90" s="100">
        <v>2.5127774224268893</v>
      </c>
      <c r="CU90" s="100">
        <v>2786.1676059869346</v>
      </c>
    </row>
    <row r="91" spans="2:99">
      <c r="C91" s="99" t="s">
        <v>257</v>
      </c>
      <c r="D91" s="100">
        <v>6</v>
      </c>
      <c r="E91" s="100">
        <v>6818.4</v>
      </c>
      <c r="F91" s="100">
        <v>3</v>
      </c>
      <c r="G91" s="100">
        <v>3409.2</v>
      </c>
      <c r="H91" s="100">
        <v>5.0829435193072197</v>
      </c>
      <c r="I91" s="100">
        <v>5776.2570153407241</v>
      </c>
      <c r="J91" s="100">
        <v>2.2521756312481935</v>
      </c>
      <c r="K91" s="100">
        <v>2559.3723873504468</v>
      </c>
      <c r="L91" s="100">
        <v>6.5867511707902313</v>
      </c>
      <c r="M91" s="100">
        <v>7485.1840304860179</v>
      </c>
      <c r="N91" s="100">
        <v>2.6374389355566725</v>
      </c>
      <c r="O91" s="100">
        <v>2997.1856063666023</v>
      </c>
      <c r="P91" s="100">
        <v>3.2972310474484865</v>
      </c>
      <c r="Q91" s="100">
        <v>3746.9733623204597</v>
      </c>
      <c r="R91" s="100">
        <v>2.887028941067483</v>
      </c>
      <c r="S91" s="100">
        <v>3280.8196886290871</v>
      </c>
      <c r="T91" s="100">
        <v>3.1254961154900092</v>
      </c>
      <c r="U91" s="100">
        <v>3551.8137856428461</v>
      </c>
      <c r="V91" s="100">
        <v>4.2990278101599637</v>
      </c>
      <c r="W91" s="100">
        <v>4885.4152034657818</v>
      </c>
      <c r="X91" s="100">
        <v>2.2364627780069273</v>
      </c>
      <c r="Y91" s="100">
        <v>2541.5163009270718</v>
      </c>
      <c r="Z91" s="100">
        <v>3.8165900406289617</v>
      </c>
      <c r="AA91" s="100">
        <v>4337.1729221707519</v>
      </c>
      <c r="AB91" s="100">
        <v>4.5382848937148079</v>
      </c>
      <c r="AC91" s="100">
        <v>5157.3069532175068</v>
      </c>
      <c r="AD91" s="100">
        <v>3.4541697285107267</v>
      </c>
      <c r="AE91" s="100">
        <v>3925.3184794795893</v>
      </c>
      <c r="AF91" s="100">
        <v>3.9760544531270363</v>
      </c>
      <c r="AG91" s="100">
        <v>4518.3882805335634</v>
      </c>
      <c r="AH91" s="100">
        <v>3.9289215939663191</v>
      </c>
      <c r="AI91" s="100">
        <v>4464.8264993833245</v>
      </c>
      <c r="AJ91" s="100">
        <v>3.2265747605680559</v>
      </c>
      <c r="AK91" s="100">
        <v>3666.6795579095383</v>
      </c>
      <c r="AL91" s="100">
        <v>2.8671942709177611</v>
      </c>
      <c r="AM91" s="100">
        <v>3258.2795694709434</v>
      </c>
      <c r="AN91" s="100">
        <v>3.1512080264416769</v>
      </c>
      <c r="AO91" s="100">
        <v>3581.032801248321</v>
      </c>
      <c r="AP91" s="100">
        <v>3.7231799360521842</v>
      </c>
      <c r="AQ91" s="100">
        <v>4231.0216793297013</v>
      </c>
      <c r="AR91" s="100">
        <v>4.5962467046972817</v>
      </c>
      <c r="AS91" s="100">
        <v>5223.1747552179904</v>
      </c>
      <c r="AT91" s="100">
        <v>3.8624144402773233</v>
      </c>
      <c r="AU91" s="100">
        <v>4389.2477699311494</v>
      </c>
      <c r="AV91" s="100">
        <v>2.8553514621474729</v>
      </c>
      <c r="AW91" s="100">
        <v>3244.8214015843878</v>
      </c>
      <c r="AX91" s="100">
        <v>4.2321694547304745</v>
      </c>
      <c r="AY91" s="100">
        <v>4809.4373683557105</v>
      </c>
      <c r="AZ91" s="100">
        <v>3.632887968002259</v>
      </c>
      <c r="BA91" s="100">
        <v>4128.4138868377668</v>
      </c>
      <c r="BB91" s="100">
        <v>3.3264731124021871</v>
      </c>
      <c r="BC91" s="100">
        <v>3780.2040449338451</v>
      </c>
      <c r="BD91" s="100">
        <v>2.94140170952782</v>
      </c>
      <c r="BE91" s="100">
        <v>3342.608902707414</v>
      </c>
      <c r="BF91" s="100">
        <v>3.8165194572250267</v>
      </c>
      <c r="BG91" s="100">
        <v>4337.0927111905203</v>
      </c>
      <c r="BH91" s="100">
        <v>2.935214299248555</v>
      </c>
      <c r="BI91" s="100">
        <v>3335.5775296660577</v>
      </c>
      <c r="BJ91" s="100">
        <v>4.2344203098589457</v>
      </c>
      <c r="BK91" s="100">
        <v>4811.9952401237051</v>
      </c>
      <c r="BL91" s="100">
        <v>2.0667565143669324</v>
      </c>
      <c r="BM91" s="100">
        <v>2348.6621029265816</v>
      </c>
      <c r="BN91" s="100">
        <v>2.5836674093375445</v>
      </c>
      <c r="BO91" s="100">
        <v>2936.0796439711853</v>
      </c>
      <c r="BP91" s="100">
        <v>3.7208645750493972</v>
      </c>
      <c r="BQ91" s="100">
        <v>4228.3905030861342</v>
      </c>
      <c r="BR91" s="100">
        <v>2.6943455178444009</v>
      </c>
      <c r="BS91" s="100">
        <v>3061.8542464783768</v>
      </c>
      <c r="BT91" s="100">
        <v>2.2533735279458647</v>
      </c>
      <c r="BU91" s="100">
        <v>2560.7336771576802</v>
      </c>
      <c r="BV91" s="100">
        <v>4.9455829252588916</v>
      </c>
      <c r="BW91" s="100">
        <v>5620.1604362642038</v>
      </c>
      <c r="BX91" s="100">
        <v>4.1214956436889336</v>
      </c>
      <c r="BY91" s="100">
        <v>4683.667649488104</v>
      </c>
      <c r="BZ91" s="100">
        <v>3.5239007854210711</v>
      </c>
      <c r="CA91" s="100">
        <v>4004.5608525525049</v>
      </c>
      <c r="CB91" s="100">
        <v>3.1811721249581684</v>
      </c>
      <c r="CC91" s="100">
        <v>3615.0840028024622</v>
      </c>
      <c r="CD91" s="100">
        <v>3.5091257545034216</v>
      </c>
      <c r="CE91" s="100">
        <v>3987.7705074176879</v>
      </c>
      <c r="CF91" s="100">
        <v>3.0332480557390307</v>
      </c>
      <c r="CG91" s="100">
        <v>3446.9830905418339</v>
      </c>
      <c r="CH91" s="100">
        <v>4.9136576007462365</v>
      </c>
      <c r="CI91" s="100">
        <v>5583.8804974880222</v>
      </c>
      <c r="CJ91" s="100">
        <v>3.1795270422296418</v>
      </c>
      <c r="CK91" s="100">
        <v>3613.2145307897645</v>
      </c>
      <c r="CL91" s="100">
        <v>2.7641450342234588</v>
      </c>
      <c r="CM91" s="100">
        <v>3141.1744168915384</v>
      </c>
      <c r="CN91" s="100">
        <v>2.9933824174126702</v>
      </c>
      <c r="CO91" s="100">
        <v>3401.6797791477579</v>
      </c>
      <c r="CP91" s="100">
        <v>4.3763122123815137</v>
      </c>
      <c r="CQ91" s="100">
        <v>4973.2411981503519</v>
      </c>
      <c r="CR91" s="100">
        <v>1.9720702539735886</v>
      </c>
      <c r="CS91" s="100">
        <v>2241.0606366155857</v>
      </c>
      <c r="CT91" s="100">
        <v>2.5127774224268893</v>
      </c>
      <c r="CU91" s="100">
        <v>2855.5202628459165</v>
      </c>
    </row>
    <row r="92" spans="2:99">
      <c r="C92" s="99" t="s">
        <v>258</v>
      </c>
      <c r="D92" s="100">
        <v>6</v>
      </c>
      <c r="E92" s="100">
        <v>4708.7999999999993</v>
      </c>
      <c r="F92" s="100">
        <v>4</v>
      </c>
      <c r="G92" s="100">
        <v>3139.2</v>
      </c>
      <c r="H92" s="100">
        <v>5.0829435193072197</v>
      </c>
      <c r="I92" s="100">
        <v>3989.0940739523057</v>
      </c>
      <c r="J92" s="100">
        <v>2.2521756312481935</v>
      </c>
      <c r="K92" s="100">
        <v>1767.5074354035821</v>
      </c>
      <c r="L92" s="100">
        <v>5.645786717820199</v>
      </c>
      <c r="M92" s="100">
        <v>4430.8134161452917</v>
      </c>
      <c r="N92" s="100">
        <v>2.6374389355566725</v>
      </c>
      <c r="O92" s="100">
        <v>2069.8620766248764</v>
      </c>
      <c r="P92" s="100">
        <v>3.3346180441392894</v>
      </c>
      <c r="Q92" s="100">
        <v>2617.0082410405143</v>
      </c>
      <c r="R92" s="100">
        <v>3.368200431245397</v>
      </c>
      <c r="S92" s="100">
        <v>2643.3636984413874</v>
      </c>
      <c r="T92" s="100">
        <v>3.1254961154900092</v>
      </c>
      <c r="U92" s="100">
        <v>2452.8893514365591</v>
      </c>
      <c r="V92" s="100">
        <v>4.9750709652183547</v>
      </c>
      <c r="W92" s="100">
        <v>3904.4356935033647</v>
      </c>
      <c r="X92" s="100">
        <v>1.916968095434509</v>
      </c>
      <c r="Y92" s="100">
        <v>1504.4365612970025</v>
      </c>
      <c r="Z92" s="100">
        <v>4.538429756621551</v>
      </c>
      <c r="AA92" s="100">
        <v>3561.7596729965931</v>
      </c>
      <c r="AB92" s="100">
        <v>4.5382848937148079</v>
      </c>
      <c r="AC92" s="100">
        <v>3561.645984587381</v>
      </c>
      <c r="AD92" s="100">
        <v>4.2849582270843056</v>
      </c>
      <c r="AE92" s="100">
        <v>3362.8352166157629</v>
      </c>
      <c r="AF92" s="100">
        <v>3.377496518439052</v>
      </c>
      <c r="AG92" s="100">
        <v>2650.6592676709679</v>
      </c>
      <c r="AH92" s="100">
        <v>4.5766484470820723</v>
      </c>
      <c r="AI92" s="100">
        <v>3591.75370127001</v>
      </c>
      <c r="AJ92" s="100">
        <v>3.2265747605680559</v>
      </c>
      <c r="AK92" s="100">
        <v>2532.21587209381</v>
      </c>
      <c r="AL92" s="100">
        <v>2.8773342843912495</v>
      </c>
      <c r="AM92" s="100">
        <v>2258.1319463902523</v>
      </c>
      <c r="AN92" s="100">
        <v>3.1238452918517541</v>
      </c>
      <c r="AO92" s="100">
        <v>2451.5937850452565</v>
      </c>
      <c r="AP92" s="100">
        <v>3.7231799360521842</v>
      </c>
      <c r="AQ92" s="100">
        <v>2921.9516138137542</v>
      </c>
      <c r="AR92" s="100">
        <v>4.5962467046972817</v>
      </c>
      <c r="AS92" s="100">
        <v>3607.1344138464265</v>
      </c>
      <c r="AT92" s="100">
        <v>3.4321714173530933</v>
      </c>
      <c r="AU92" s="100">
        <v>2693.5681283387075</v>
      </c>
      <c r="AV92" s="100">
        <v>2.8553514621474729</v>
      </c>
      <c r="AW92" s="100">
        <v>2240.8798274933365</v>
      </c>
      <c r="AX92" s="100">
        <v>4.2321694547304745</v>
      </c>
      <c r="AY92" s="100">
        <v>3321.4065880724761</v>
      </c>
      <c r="AZ92" s="100">
        <v>3.632887968002259</v>
      </c>
      <c r="BA92" s="100">
        <v>2851.0904772881727</v>
      </c>
      <c r="BB92" s="100">
        <v>3.375327745823915</v>
      </c>
      <c r="BC92" s="100">
        <v>2648.9572149226083</v>
      </c>
      <c r="BD92" s="100">
        <v>3.3942259050333163</v>
      </c>
      <c r="BE92" s="100">
        <v>2663.7884902701467</v>
      </c>
      <c r="BF92" s="100">
        <v>3.8165194572250267</v>
      </c>
      <c r="BG92" s="100">
        <v>2995.2044700302008</v>
      </c>
      <c r="BH92" s="100">
        <v>2.935214299248555</v>
      </c>
      <c r="BI92" s="100">
        <v>2303.5561820502658</v>
      </c>
      <c r="BJ92" s="100">
        <v>4.2344203098589457</v>
      </c>
      <c r="BK92" s="100">
        <v>3323.1730591773003</v>
      </c>
      <c r="BL92" s="100">
        <v>2.0667565143669324</v>
      </c>
      <c r="BM92" s="100">
        <v>1621.9905124751685</v>
      </c>
      <c r="BN92" s="100">
        <v>2.5836674093375445</v>
      </c>
      <c r="BO92" s="100">
        <v>2027.6621828481047</v>
      </c>
      <c r="BP92" s="100">
        <v>4.4497303688149925</v>
      </c>
      <c r="BQ92" s="100">
        <v>3492.1483934460061</v>
      </c>
      <c r="BR92" s="100">
        <v>2.7104361900184717</v>
      </c>
      <c r="BS92" s="100">
        <v>2127.1503219264964</v>
      </c>
      <c r="BT92" s="100">
        <v>2.7040482335350373</v>
      </c>
      <c r="BU92" s="100">
        <v>2122.137053678297</v>
      </c>
      <c r="BV92" s="100">
        <v>4.9455829252588916</v>
      </c>
      <c r="BW92" s="100">
        <v>3881.2934797431781</v>
      </c>
      <c r="BX92" s="100">
        <v>4.1014770339616478</v>
      </c>
      <c r="BY92" s="100">
        <v>3218.839176253101</v>
      </c>
      <c r="BZ92" s="100">
        <v>3.5423492366106784</v>
      </c>
      <c r="CA92" s="100">
        <v>2780.0356808920601</v>
      </c>
      <c r="CB92" s="100">
        <v>3.8376475557529637</v>
      </c>
      <c r="CC92" s="100">
        <v>3011.7858017549256</v>
      </c>
      <c r="CD92" s="100">
        <v>3.480837497456835</v>
      </c>
      <c r="CE92" s="100">
        <v>2731.7612680041238</v>
      </c>
      <c r="CF92" s="100">
        <v>3.5858446955631775</v>
      </c>
      <c r="CG92" s="100">
        <v>2814.1709170779814</v>
      </c>
      <c r="CH92" s="100">
        <v>4.3658850852948632</v>
      </c>
      <c r="CI92" s="100">
        <v>3426.3466149394085</v>
      </c>
      <c r="CJ92" s="100">
        <v>2.7253088933396925</v>
      </c>
      <c r="CK92" s="100">
        <v>2138.8224194929908</v>
      </c>
      <c r="CL92" s="100">
        <v>2.7942499352087209</v>
      </c>
      <c r="CM92" s="100">
        <v>2192.9273491518038</v>
      </c>
      <c r="CN92" s="100">
        <v>2.9933824174126702</v>
      </c>
      <c r="CO92" s="100">
        <v>2349.2065211854633</v>
      </c>
      <c r="CP92" s="100">
        <v>4.4090578524499637</v>
      </c>
      <c r="CQ92" s="100">
        <v>3460.2286026027314</v>
      </c>
      <c r="CR92" s="100">
        <v>2.3007486296358532</v>
      </c>
      <c r="CS92" s="100">
        <v>1805.6275245382176</v>
      </c>
      <c r="CT92" s="100">
        <v>2.5127774224268893</v>
      </c>
      <c r="CU92" s="100">
        <v>1972.0277211206226</v>
      </c>
    </row>
    <row r="93" spans="2:99">
      <c r="C93" s="99" t="s">
        <v>259</v>
      </c>
      <c r="D93" s="100">
        <v>6</v>
      </c>
      <c r="E93" s="100">
        <v>4161.6000000000004</v>
      </c>
      <c r="F93" s="100">
        <v>4</v>
      </c>
      <c r="G93" s="100">
        <v>2774.4</v>
      </c>
      <c r="H93" s="100">
        <v>5.0829435193072197</v>
      </c>
      <c r="I93" s="100">
        <v>3525.5296249914877</v>
      </c>
      <c r="J93" s="100">
        <v>2.2521756312481935</v>
      </c>
      <c r="K93" s="100">
        <v>1562.109017833747</v>
      </c>
      <c r="L93" s="100">
        <v>6.5867511707902313</v>
      </c>
      <c r="M93" s="100">
        <v>4568.5706120601044</v>
      </c>
      <c r="N93" s="100">
        <v>2.6374389355566725</v>
      </c>
      <c r="O93" s="100">
        <v>1829.3276457021082</v>
      </c>
      <c r="P93" s="100">
        <v>3.3346180441392894</v>
      </c>
      <c r="Q93" s="100">
        <v>2312.8910754150111</v>
      </c>
      <c r="R93" s="100">
        <v>2.887028941067483</v>
      </c>
      <c r="S93" s="100">
        <v>2002.4432735244063</v>
      </c>
      <c r="T93" s="100">
        <v>3.1254961154900092</v>
      </c>
      <c r="U93" s="100">
        <v>2167.8441057038704</v>
      </c>
      <c r="V93" s="100">
        <v>4.2769579119954528</v>
      </c>
      <c r="W93" s="100">
        <v>2966.4980077600462</v>
      </c>
      <c r="X93" s="100">
        <v>2.2364627780069273</v>
      </c>
      <c r="Y93" s="100">
        <v>1551.2105828256049</v>
      </c>
      <c r="Z93" s="100">
        <v>3.8373291866955634</v>
      </c>
      <c r="AA93" s="100">
        <v>2661.5715238920429</v>
      </c>
      <c r="AB93" s="100">
        <v>4.5177444025867119</v>
      </c>
      <c r="AC93" s="100">
        <v>3133.5075176341434</v>
      </c>
      <c r="AD93" s="100">
        <v>4.2849582270843056</v>
      </c>
      <c r="AE93" s="100">
        <v>2972.0470263056745</v>
      </c>
      <c r="AF93" s="100">
        <v>4.0035335134841166</v>
      </c>
      <c r="AG93" s="100">
        <v>2776.8508449525834</v>
      </c>
      <c r="AH93" s="100">
        <v>4.5553682094461703</v>
      </c>
      <c r="AI93" s="100">
        <v>3159.6033900718639</v>
      </c>
      <c r="AJ93" s="100">
        <v>3.2058422512119824</v>
      </c>
      <c r="AK93" s="100">
        <v>2223.5721854406311</v>
      </c>
      <c r="AL93" s="100">
        <v>2.8671942709177611</v>
      </c>
      <c r="AM93" s="100">
        <v>1988.6859463085591</v>
      </c>
      <c r="AN93" s="100">
        <v>3.1512080264416769</v>
      </c>
      <c r="AO93" s="100">
        <v>2185.677887139947</v>
      </c>
      <c r="AP93" s="100">
        <v>3.7231799360521842</v>
      </c>
      <c r="AQ93" s="100">
        <v>2582.3976036457952</v>
      </c>
      <c r="AR93" s="100">
        <v>3.9396400325976701</v>
      </c>
      <c r="AS93" s="100">
        <v>2732.5343266097443</v>
      </c>
      <c r="AT93" s="100">
        <v>3.8624144402773233</v>
      </c>
      <c r="AU93" s="100">
        <v>2678.9706557763516</v>
      </c>
      <c r="AV93" s="100">
        <v>2.8553514621474729</v>
      </c>
      <c r="AW93" s="100">
        <v>1980.4717741454872</v>
      </c>
      <c r="AX93" s="100">
        <v>4.9375310305188869</v>
      </c>
      <c r="AY93" s="100">
        <v>3424.6715227679001</v>
      </c>
      <c r="AZ93" s="100">
        <v>3.632887968002259</v>
      </c>
      <c r="BA93" s="100">
        <v>2519.7710946063671</v>
      </c>
      <c r="BB93" s="100">
        <v>2.5803504427896642</v>
      </c>
      <c r="BC93" s="100">
        <v>1789.7310671189111</v>
      </c>
      <c r="BD93" s="100">
        <v>3.3942259050333163</v>
      </c>
      <c r="BE93" s="100">
        <v>2354.2350877311083</v>
      </c>
      <c r="BF93" s="100">
        <v>3.8165194572250267</v>
      </c>
      <c r="BG93" s="100">
        <v>2647.1378955312784</v>
      </c>
      <c r="BH93" s="100">
        <v>2.935214299248555</v>
      </c>
      <c r="BI93" s="100">
        <v>2035.8646379587979</v>
      </c>
      <c r="BJ93" s="100">
        <v>4.2344203098589457</v>
      </c>
      <c r="BK93" s="100">
        <v>2936.993926918165</v>
      </c>
      <c r="BL93" s="100">
        <v>2.0667565143669324</v>
      </c>
      <c r="BM93" s="100">
        <v>1433.5023183649043</v>
      </c>
      <c r="BN93" s="100">
        <v>3.4448898791167255</v>
      </c>
      <c r="BO93" s="100">
        <v>2389.375620155361</v>
      </c>
      <c r="BP93" s="100">
        <v>3.7208645750493972</v>
      </c>
      <c r="BQ93" s="100">
        <v>2580.7916692542622</v>
      </c>
      <c r="BR93" s="100">
        <v>2.7104361900184717</v>
      </c>
      <c r="BS93" s="100">
        <v>1879.9585413968121</v>
      </c>
      <c r="BT93" s="100">
        <v>2.7040482335350373</v>
      </c>
      <c r="BU93" s="100">
        <v>1875.5278547799019</v>
      </c>
      <c r="BV93" s="100">
        <v>4.9455829252588916</v>
      </c>
      <c r="BW93" s="100">
        <v>3430.2563169595674</v>
      </c>
      <c r="BX93" s="100">
        <v>4.1214956436889336</v>
      </c>
      <c r="BY93" s="100">
        <v>2858.6693784626445</v>
      </c>
      <c r="BZ93" s="100">
        <v>3.5239007854210711</v>
      </c>
      <c r="CA93" s="100">
        <v>2444.1775847680551</v>
      </c>
      <c r="CB93" s="100">
        <v>3.206473382212121</v>
      </c>
      <c r="CC93" s="100">
        <v>2224.0099379023272</v>
      </c>
      <c r="CD93" s="100">
        <v>3.5091257545034216</v>
      </c>
      <c r="CE93" s="100">
        <v>2433.9296233235732</v>
      </c>
      <c r="CF93" s="100">
        <v>3.6083667669480355</v>
      </c>
      <c r="CG93" s="100">
        <v>2502.7631895551576</v>
      </c>
      <c r="CH93" s="100">
        <v>4.3099400877016789</v>
      </c>
      <c r="CI93" s="100">
        <v>2989.3744448298844</v>
      </c>
      <c r="CJ93" s="100">
        <v>3.1663378595291904</v>
      </c>
      <c r="CK93" s="100">
        <v>2196.1719393694466</v>
      </c>
      <c r="CL93" s="100">
        <v>2.7942499352087209</v>
      </c>
      <c r="CM93" s="100">
        <v>1938.0917550607689</v>
      </c>
      <c r="CN93" s="100">
        <v>2.9933824174126702</v>
      </c>
      <c r="CO93" s="100">
        <v>2076.210044717428</v>
      </c>
      <c r="CP93" s="100">
        <v>4.4090578524499637</v>
      </c>
      <c r="CQ93" s="100">
        <v>3058.1225264592949</v>
      </c>
      <c r="CR93" s="100">
        <v>1.9720702539735886</v>
      </c>
      <c r="CS93" s="100">
        <v>1367.827928156081</v>
      </c>
      <c r="CT93" s="100">
        <v>2.5127774224268893</v>
      </c>
      <c r="CU93" s="100">
        <v>1742.8624201952905</v>
      </c>
    </row>
    <row r="94" spans="2:99">
      <c r="C94" s="99" t="s">
        <v>260</v>
      </c>
      <c r="D94" s="100">
        <v>6</v>
      </c>
      <c r="E94" s="100">
        <v>7156.7999999999993</v>
      </c>
      <c r="F94" s="100">
        <v>3</v>
      </c>
      <c r="G94" s="100">
        <v>3578.3999999999996</v>
      </c>
      <c r="H94" s="100">
        <v>5.0829435193072197</v>
      </c>
      <c r="I94" s="100">
        <v>6062.9350298296513</v>
      </c>
      <c r="J94" s="100">
        <v>2.2521756312481935</v>
      </c>
      <c r="K94" s="100">
        <v>2686.3950929528451</v>
      </c>
      <c r="L94" s="100">
        <v>5.645786717820199</v>
      </c>
      <c r="M94" s="100">
        <v>6734.2943970159331</v>
      </c>
      <c r="N94" s="100">
        <v>2.6374389355566725</v>
      </c>
      <c r="O94" s="100">
        <v>3145.9371623319989</v>
      </c>
      <c r="P94" s="100">
        <v>3.3346180441392894</v>
      </c>
      <c r="Q94" s="100">
        <v>3977.5324030493443</v>
      </c>
      <c r="R94" s="100">
        <v>3.368200431245397</v>
      </c>
      <c r="S94" s="100">
        <v>4017.5894743895096</v>
      </c>
      <c r="T94" s="100">
        <v>3.9068701443625122</v>
      </c>
      <c r="U94" s="100">
        <v>4660.1147081956042</v>
      </c>
      <c r="V94" s="100">
        <v>4.9750709652183547</v>
      </c>
      <c r="W94" s="100">
        <v>5934.2646473124532</v>
      </c>
      <c r="X94" s="100">
        <v>1.916968095434509</v>
      </c>
      <c r="Y94" s="100">
        <v>2286.5595442342824</v>
      </c>
      <c r="Z94" s="100">
        <v>4.5176906105549497</v>
      </c>
      <c r="AA94" s="100">
        <v>5388.7013602699435</v>
      </c>
      <c r="AB94" s="100">
        <v>3.8958271920778622</v>
      </c>
      <c r="AC94" s="100">
        <v>4646.9426747104735</v>
      </c>
      <c r="AD94" s="100">
        <v>3.4541697285107267</v>
      </c>
      <c r="AE94" s="100">
        <v>4120.1336521675948</v>
      </c>
      <c r="AF94" s="100">
        <v>3.3500174580819713</v>
      </c>
      <c r="AG94" s="100">
        <v>3995.9008240001754</v>
      </c>
      <c r="AH94" s="100">
        <v>3.9289215939663191</v>
      </c>
      <c r="AI94" s="100">
        <v>4686.4176772830251</v>
      </c>
      <c r="AJ94" s="100">
        <v>3.2058422512119824</v>
      </c>
      <c r="AK94" s="100">
        <v>3823.9286372456527</v>
      </c>
      <c r="AL94" s="100">
        <v>2.8570542574442723</v>
      </c>
      <c r="AM94" s="100">
        <v>3407.8943182795279</v>
      </c>
      <c r="AN94" s="100">
        <v>3.1238452918517541</v>
      </c>
      <c r="AO94" s="100">
        <v>3726.1226641207722</v>
      </c>
      <c r="AP94" s="100">
        <v>3.127212948176028</v>
      </c>
      <c r="AQ94" s="100">
        <v>3730.1396045843662</v>
      </c>
      <c r="AR94" s="100">
        <v>3.9630208780291416</v>
      </c>
      <c r="AS94" s="100">
        <v>4727.0913033131601</v>
      </c>
      <c r="AT94" s="100">
        <v>4.2388782919216812</v>
      </c>
      <c r="AU94" s="100">
        <v>5056.1340266041807</v>
      </c>
      <c r="AV94" s="100">
        <v>2.1759610312051119</v>
      </c>
      <c r="AW94" s="100">
        <v>2595.4863180214575</v>
      </c>
      <c r="AX94" s="100">
        <v>4.2321694547304745</v>
      </c>
      <c r="AY94" s="100">
        <v>5048.1317256025095</v>
      </c>
      <c r="AZ94" s="100">
        <v>3.632887968002259</v>
      </c>
      <c r="BA94" s="100">
        <v>4333.3087682330943</v>
      </c>
      <c r="BB94" s="100">
        <v>2.5559231260788007</v>
      </c>
      <c r="BC94" s="100">
        <v>3048.7051047867935</v>
      </c>
      <c r="BD94" s="100">
        <v>3.373820765351967</v>
      </c>
      <c r="BE94" s="100">
        <v>4024.2934089118262</v>
      </c>
      <c r="BF94" s="100">
        <v>3.1881027467398195</v>
      </c>
      <c r="BG94" s="100">
        <v>3802.7689563112567</v>
      </c>
      <c r="BH94" s="100">
        <v>2.935214299248555</v>
      </c>
      <c r="BI94" s="100">
        <v>3501.1236161436764</v>
      </c>
      <c r="BJ94" s="100">
        <v>4.2344203098589457</v>
      </c>
      <c r="BK94" s="100">
        <v>5050.8165455997505</v>
      </c>
      <c r="BL94" s="100">
        <v>2.0667565143669324</v>
      </c>
      <c r="BM94" s="100">
        <v>2465.227170336877</v>
      </c>
      <c r="BN94" s="100">
        <v>2.5836674093375445</v>
      </c>
      <c r="BO94" s="100">
        <v>3081.7984858578229</v>
      </c>
      <c r="BP94" s="100">
        <v>4.3731947625935739</v>
      </c>
      <c r="BQ94" s="100">
        <v>5216.3467128216143</v>
      </c>
      <c r="BR94" s="100">
        <v>2.7104361900184717</v>
      </c>
      <c r="BS94" s="100">
        <v>3233.0082874540331</v>
      </c>
      <c r="BT94" s="100">
        <v>2.2533735279458647</v>
      </c>
      <c r="BU94" s="100">
        <v>2687.8239441338274</v>
      </c>
      <c r="BV94" s="100">
        <v>4.9455829252588916</v>
      </c>
      <c r="BW94" s="100">
        <v>5899.0913132488058</v>
      </c>
      <c r="BX94" s="100">
        <v>4.1014770339616478</v>
      </c>
      <c r="BY94" s="100">
        <v>4892.2418061094531</v>
      </c>
      <c r="BZ94" s="100">
        <v>3.5423492366106784</v>
      </c>
      <c r="CA94" s="100">
        <v>4225.3141694292171</v>
      </c>
      <c r="CB94" s="100">
        <v>3.206473382212121</v>
      </c>
      <c r="CC94" s="100">
        <v>3824.6814503026176</v>
      </c>
      <c r="CD94" s="100">
        <v>3.5374140115500081</v>
      </c>
      <c r="CE94" s="100">
        <v>4219.4274329768496</v>
      </c>
      <c r="CF94" s="100">
        <v>3.6083667669480355</v>
      </c>
      <c r="CG94" s="100">
        <v>4304.0598796156164</v>
      </c>
      <c r="CH94" s="100">
        <v>4.3099400877016789</v>
      </c>
      <c r="CI94" s="100">
        <v>5140.8965366105622</v>
      </c>
      <c r="CJ94" s="100">
        <v>2.7384980760401438</v>
      </c>
      <c r="CK94" s="100">
        <v>3266.4805051006833</v>
      </c>
      <c r="CL94" s="100">
        <v>2.7641450342234588</v>
      </c>
      <c r="CM94" s="100">
        <v>3297.0721968217417</v>
      </c>
      <c r="CN94" s="100">
        <v>3.5920589008952044</v>
      </c>
      <c r="CO94" s="100">
        <v>4284.6078569878</v>
      </c>
      <c r="CP94" s="100">
        <v>4.3763122123815137</v>
      </c>
      <c r="CQ94" s="100">
        <v>5220.0652069286689</v>
      </c>
      <c r="CR94" s="100">
        <v>1.9720702539735886</v>
      </c>
      <c r="CS94" s="100">
        <v>2352.2853989396963</v>
      </c>
      <c r="CT94" s="100">
        <v>2.5127774224268893</v>
      </c>
      <c r="CU94" s="100">
        <v>2997.2409094707932</v>
      </c>
    </row>
    <row r="95" spans="2:99">
      <c r="B95" s="99" t="s">
        <v>132</v>
      </c>
      <c r="C95" s="99" t="s">
        <v>261</v>
      </c>
      <c r="D95" s="100">
        <v>8</v>
      </c>
      <c r="E95" s="100">
        <v>2630.4</v>
      </c>
      <c r="F95" s="100">
        <v>10</v>
      </c>
      <c r="G95" s="100">
        <v>3288</v>
      </c>
      <c r="H95" s="100">
        <v>7.0489041234509155</v>
      </c>
      <c r="I95" s="100">
        <v>2317.6796757906609</v>
      </c>
      <c r="J95" s="100">
        <v>3.1530458837474713</v>
      </c>
      <c r="K95" s="100">
        <v>1036.7214865761687</v>
      </c>
      <c r="L95" s="100">
        <v>6.5867511707902313</v>
      </c>
      <c r="M95" s="100">
        <v>2165.7237849558283</v>
      </c>
      <c r="N95" s="100">
        <v>5.9342376050025134</v>
      </c>
      <c r="O95" s="100">
        <v>1951.1773245248264</v>
      </c>
      <c r="P95" s="100">
        <v>4.9645400695181312</v>
      </c>
      <c r="Q95" s="100">
        <v>1632.3407748575617</v>
      </c>
      <c r="R95" s="100">
        <v>2.887028941067483</v>
      </c>
      <c r="S95" s="100">
        <v>949.25511582298839</v>
      </c>
      <c r="T95" s="100">
        <v>7.8137402887250245</v>
      </c>
      <c r="U95" s="100">
        <v>2569.1578069327879</v>
      </c>
      <c r="V95" s="100">
        <v>4.9530010670538438</v>
      </c>
      <c r="W95" s="100">
        <v>1628.5467508473039</v>
      </c>
      <c r="X95" s="100">
        <v>3.5144415082966001</v>
      </c>
      <c r="Y95" s="100">
        <v>1155.5483679279221</v>
      </c>
      <c r="Z95" s="100">
        <v>5.9821091886067297</v>
      </c>
      <c r="AA95" s="100">
        <v>1966.9175012138928</v>
      </c>
      <c r="AB95" s="100">
        <v>4.558825384842903</v>
      </c>
      <c r="AC95" s="100">
        <v>1498.9417865363466</v>
      </c>
      <c r="AD95" s="100">
        <v>4.9847309914414764</v>
      </c>
      <c r="AE95" s="100">
        <v>1638.9795499859574</v>
      </c>
      <c r="AF95" s="100">
        <v>4.7120076896004237</v>
      </c>
      <c r="AG95" s="100">
        <v>1549.3081283406193</v>
      </c>
      <c r="AH95" s="100">
        <v>5.2456555378337271</v>
      </c>
      <c r="AI95" s="100">
        <v>1724.7715408397296</v>
      </c>
      <c r="AJ95" s="100">
        <v>6.1214293714389303</v>
      </c>
      <c r="AK95" s="100">
        <v>2012.7259773291203</v>
      </c>
      <c r="AL95" s="100">
        <v>5.6127083801536584</v>
      </c>
      <c r="AM95" s="100">
        <v>1845.4585153945229</v>
      </c>
      <c r="AN95" s="100">
        <v>5.0836509764816569</v>
      </c>
      <c r="AO95" s="100">
        <v>1671.5044410671687</v>
      </c>
      <c r="AP95" s="100">
        <v>4.7677359030092443</v>
      </c>
      <c r="AQ95" s="100">
        <v>1567.6315649094395</v>
      </c>
      <c r="AR95" s="100">
        <v>4.4325807866769829</v>
      </c>
      <c r="AS95" s="100">
        <v>1457.432562659392</v>
      </c>
      <c r="AT95" s="100">
        <v>4.6348973283327872</v>
      </c>
      <c r="AU95" s="100">
        <v>1523.9542415558205</v>
      </c>
      <c r="AV95" s="100">
        <v>5.8664923494007981</v>
      </c>
      <c r="AW95" s="100">
        <v>1928.9026844829825</v>
      </c>
      <c r="AX95" s="100">
        <v>4.2321694547304745</v>
      </c>
      <c r="AY95" s="100">
        <v>1391.53731671538</v>
      </c>
      <c r="AZ95" s="100">
        <v>5.2531436850546998</v>
      </c>
      <c r="BA95" s="100">
        <v>1727.2336436459852</v>
      </c>
      <c r="BB95" s="100">
        <v>5.5892684379506186</v>
      </c>
      <c r="BC95" s="100">
        <v>1837.7514623981635</v>
      </c>
      <c r="BD95" s="100">
        <v>2.7169451730329794</v>
      </c>
      <c r="BE95" s="100">
        <v>893.33157289324367</v>
      </c>
      <c r="BF95" s="100">
        <v>5.0273336838816576</v>
      </c>
      <c r="BG95" s="100">
        <v>1652.9873152602891</v>
      </c>
      <c r="BH95" s="100">
        <v>5.8704285984971101</v>
      </c>
      <c r="BI95" s="100">
        <v>1930.1969231858498</v>
      </c>
      <c r="BJ95" s="100">
        <v>6</v>
      </c>
      <c r="BK95" s="100">
        <v>1972.8000000000002</v>
      </c>
      <c r="BL95" s="100">
        <v>4.5468643316072521</v>
      </c>
      <c r="BM95" s="100">
        <v>1495.0089922324646</v>
      </c>
      <c r="BN95" s="100">
        <v>7.7510022280126334</v>
      </c>
      <c r="BO95" s="100">
        <v>2548.5295325705538</v>
      </c>
      <c r="BP95" s="100">
        <v>4.3731947625935739</v>
      </c>
      <c r="BQ95" s="100">
        <v>1437.9064379407671</v>
      </c>
      <c r="BR95" s="100">
        <v>5.9082513326487973</v>
      </c>
      <c r="BS95" s="100">
        <v>1942.6330381749246</v>
      </c>
      <c r="BT95" s="100">
        <v>4.0560723503025562</v>
      </c>
      <c r="BU95" s="100">
        <v>1333.6365887794805</v>
      </c>
      <c r="BV95" s="100">
        <v>6.3586066181900041</v>
      </c>
      <c r="BW95" s="100">
        <v>2090.7098560608733</v>
      </c>
      <c r="BX95" s="100">
        <v>4.6215712268490918</v>
      </c>
      <c r="BY95" s="100">
        <v>1519.5726193879814</v>
      </c>
      <c r="BZ95" s="100">
        <v>5.3346254140045666</v>
      </c>
      <c r="CA95" s="100">
        <v>1754.0248361247016</v>
      </c>
      <c r="CB95" s="100">
        <v>5.6805675618675897</v>
      </c>
      <c r="CC95" s="100">
        <v>1867.7706143420635</v>
      </c>
      <c r="CD95" s="100">
        <v>4.7713347710718574</v>
      </c>
      <c r="CE95" s="100">
        <v>1568.8148727284267</v>
      </c>
      <c r="CF95" s="100">
        <v>4.781126260750904</v>
      </c>
      <c r="CG95" s="100">
        <v>1572.0343145348972</v>
      </c>
      <c r="CH95" s="100">
        <v>3.7062225746571218</v>
      </c>
      <c r="CI95" s="100">
        <v>1218.6059825472616</v>
      </c>
      <c r="CJ95" s="100">
        <v>4.8513186280844751</v>
      </c>
      <c r="CK95" s="100">
        <v>1595.1135649141754</v>
      </c>
      <c r="CL95" s="100">
        <v>5.8505412899333251</v>
      </c>
      <c r="CM95" s="100">
        <v>1923.6579761300773</v>
      </c>
      <c r="CN95" s="100">
        <v>4.1907353843777386</v>
      </c>
      <c r="CO95" s="100">
        <v>1377.9137943834005</v>
      </c>
      <c r="CP95" s="100">
        <v>6.1137388413067386</v>
      </c>
      <c r="CQ95" s="100">
        <v>2010.1973310216558</v>
      </c>
      <c r="CR95" s="100">
        <v>3.6925355056086486</v>
      </c>
      <c r="CS95" s="100">
        <v>1214.1056742441237</v>
      </c>
      <c r="CT95" s="100">
        <v>7.5383322672806674</v>
      </c>
      <c r="CU95" s="100">
        <v>2478.6036494818836</v>
      </c>
    </row>
    <row r="96" spans="2:99">
      <c r="C96" s="99" t="s">
        <v>262</v>
      </c>
      <c r="D96" s="100">
        <v>8</v>
      </c>
      <c r="E96" s="100">
        <v>5558.4</v>
      </c>
      <c r="F96" s="100">
        <v>10</v>
      </c>
      <c r="G96" s="100">
        <v>6948</v>
      </c>
      <c r="H96" s="100">
        <v>6.8808621145029347</v>
      </c>
      <c r="I96" s="100">
        <v>4780.8229971566388</v>
      </c>
      <c r="J96" s="100">
        <v>3.1530458837474713</v>
      </c>
      <c r="K96" s="100">
        <v>2190.7362800277429</v>
      </c>
      <c r="L96" s="100">
        <v>6.5867511707902313</v>
      </c>
      <c r="M96" s="100">
        <v>4576.4747134650524</v>
      </c>
      <c r="N96" s="100">
        <v>6.5935973388916818</v>
      </c>
      <c r="O96" s="100">
        <v>4581.2314310619404</v>
      </c>
      <c r="P96" s="100">
        <v>4.9645400695181312</v>
      </c>
      <c r="Q96" s="100">
        <v>3449.3624403011972</v>
      </c>
      <c r="R96" s="100">
        <v>3.368200431245397</v>
      </c>
      <c r="S96" s="100">
        <v>2340.2256596293018</v>
      </c>
      <c r="T96" s="100">
        <v>7.8137402887250245</v>
      </c>
      <c r="U96" s="100">
        <v>5428.9867526061471</v>
      </c>
      <c r="V96" s="100">
        <v>4.2769579119954528</v>
      </c>
      <c r="W96" s="100">
        <v>2971.6303572544402</v>
      </c>
      <c r="X96" s="100">
        <v>3.1949468257241818</v>
      </c>
      <c r="Y96" s="100">
        <v>2219.8490545131613</v>
      </c>
      <c r="Z96" s="100">
        <v>5.2602694726141399</v>
      </c>
      <c r="AA96" s="100">
        <v>3654.8352295723043</v>
      </c>
      <c r="AB96" s="100">
        <v>3.9163676832059582</v>
      </c>
      <c r="AC96" s="100">
        <v>2721.0922662914995</v>
      </c>
      <c r="AD96" s="100">
        <v>4.9847309914414764</v>
      </c>
      <c r="AE96" s="100">
        <v>3463.3910928535374</v>
      </c>
      <c r="AF96" s="100">
        <v>4.3822589653154589</v>
      </c>
      <c r="AG96" s="100">
        <v>3044.7935291011804</v>
      </c>
      <c r="AH96" s="100">
        <v>4.6192089223538755</v>
      </c>
      <c r="AI96" s="100">
        <v>3209.4263592514726</v>
      </c>
      <c r="AJ96" s="100">
        <v>5.1011911428657761</v>
      </c>
      <c r="AK96" s="100">
        <v>3544.3076060631411</v>
      </c>
      <c r="AL96" s="100">
        <v>5.6127083801536584</v>
      </c>
      <c r="AM96" s="100">
        <v>3899.7097825307615</v>
      </c>
      <c r="AN96" s="100">
        <v>5.3846410569708025</v>
      </c>
      <c r="AO96" s="100">
        <v>3741.2486063833135</v>
      </c>
      <c r="AP96" s="100">
        <v>5.3637028908853992</v>
      </c>
      <c r="AQ96" s="100">
        <v>3726.7007685871749</v>
      </c>
      <c r="AR96" s="100">
        <v>4.4325807866769829</v>
      </c>
      <c r="AS96" s="100">
        <v>3079.7571305831675</v>
      </c>
      <c r="AT96" s="100">
        <v>3.8624144402773233</v>
      </c>
      <c r="AU96" s="100">
        <v>2683.6055531046841</v>
      </c>
      <c r="AV96" s="100">
        <v>5.8664923494007981</v>
      </c>
      <c r="AW96" s="100">
        <v>4076.0388843636742</v>
      </c>
      <c r="AX96" s="100">
        <v>4.2321694547304745</v>
      </c>
      <c r="AY96" s="100">
        <v>2940.5113371467332</v>
      </c>
      <c r="AZ96" s="100">
        <v>4.6708559588600478</v>
      </c>
      <c r="BA96" s="100">
        <v>3245.3107202159608</v>
      </c>
      <c r="BB96" s="100">
        <v>5.5892684379506186</v>
      </c>
      <c r="BC96" s="100">
        <v>3883.4237106880896</v>
      </c>
      <c r="BD96" s="100">
        <v>2.7169451730329794</v>
      </c>
      <c r="BE96" s="100">
        <v>1887.733506223314</v>
      </c>
      <c r="BF96" s="100">
        <v>5.0273336838816576</v>
      </c>
      <c r="BG96" s="100">
        <v>3492.9914435609753</v>
      </c>
      <c r="BH96" s="100">
        <v>5.8704285984971101</v>
      </c>
      <c r="BI96" s="100">
        <v>4078.7737902357917</v>
      </c>
      <c r="BJ96" s="100">
        <v>7</v>
      </c>
      <c r="BK96" s="100">
        <v>4863.5999999999995</v>
      </c>
      <c r="BL96" s="100">
        <v>3.7201617258604793</v>
      </c>
      <c r="BM96" s="100">
        <v>2584.768367127861</v>
      </c>
      <c r="BN96" s="100">
        <v>7.7510022280126334</v>
      </c>
      <c r="BO96" s="100">
        <v>5385.3963480231778</v>
      </c>
      <c r="BP96" s="100">
        <v>5.1020605563591692</v>
      </c>
      <c r="BQ96" s="100">
        <v>3544.9116745583506</v>
      </c>
      <c r="BR96" s="100">
        <v>5.9082513326487973</v>
      </c>
      <c r="BS96" s="100">
        <v>4105.0530259243842</v>
      </c>
      <c r="BT96" s="100">
        <v>4.0560723503025562</v>
      </c>
      <c r="BU96" s="100">
        <v>2818.1590689902159</v>
      </c>
      <c r="BV96" s="100">
        <v>7.0651184646555603</v>
      </c>
      <c r="BW96" s="100">
        <v>4908.8443092426833</v>
      </c>
      <c r="BX96" s="100">
        <v>5.2817956878275334</v>
      </c>
      <c r="BY96" s="100">
        <v>3669.7916439025698</v>
      </c>
      <c r="BZ96" s="100">
        <v>5.3346254140045666</v>
      </c>
      <c r="CA96" s="100">
        <v>3706.4977376503725</v>
      </c>
      <c r="CB96" s="100">
        <v>5.7058688191215419</v>
      </c>
      <c r="CC96" s="100">
        <v>3964.4376555256472</v>
      </c>
      <c r="CD96" s="100">
        <v>4.0977978772177597</v>
      </c>
      <c r="CE96" s="100">
        <v>2847.1499650908991</v>
      </c>
      <c r="CF96" s="100">
        <v>4.2060075495418987</v>
      </c>
      <c r="CG96" s="100">
        <v>2922.3340454217109</v>
      </c>
      <c r="CH96" s="100">
        <v>3.7341950734537139</v>
      </c>
      <c r="CI96" s="100">
        <v>2594.5187370356402</v>
      </c>
      <c r="CJ96" s="100">
        <v>4.4102896618949776</v>
      </c>
      <c r="CK96" s="100">
        <v>3064.2692570846302</v>
      </c>
      <c r="CL96" s="100">
        <v>5.8806461909185872</v>
      </c>
      <c r="CM96" s="100">
        <v>4085.872973450234</v>
      </c>
      <c r="CN96" s="100">
        <v>4.1907353843777386</v>
      </c>
      <c r="CO96" s="100">
        <v>2911.7229450656528</v>
      </c>
      <c r="CP96" s="100">
        <v>5.2777711669125766</v>
      </c>
      <c r="CQ96" s="100">
        <v>3666.9954067708582</v>
      </c>
      <c r="CR96" s="100">
        <v>3.6154621322849123</v>
      </c>
      <c r="CS96" s="100">
        <v>2512.0230895115569</v>
      </c>
      <c r="CT96" s="100">
        <v>6.9101379116739459</v>
      </c>
      <c r="CU96" s="100">
        <v>4801.1638210310575</v>
      </c>
    </row>
    <row r="97" spans="2:99">
      <c r="C97" s="99" t="s">
        <v>263</v>
      </c>
      <c r="D97" s="100">
        <v>8</v>
      </c>
      <c r="E97" s="100">
        <v>3139.2</v>
      </c>
      <c r="F97" s="100">
        <v>10</v>
      </c>
      <c r="G97" s="100">
        <v>3924</v>
      </c>
      <c r="H97" s="100">
        <v>7.0489041234509155</v>
      </c>
      <c r="I97" s="100">
        <v>2765.9899780421392</v>
      </c>
      <c r="J97" s="100">
        <v>3.1530458837474713</v>
      </c>
      <c r="K97" s="100">
        <v>1237.2552047825077</v>
      </c>
      <c r="L97" s="100">
        <v>5.645786717820199</v>
      </c>
      <c r="M97" s="100">
        <v>2215.4067080726459</v>
      </c>
      <c r="N97" s="100">
        <v>5.9342376050025134</v>
      </c>
      <c r="O97" s="100">
        <v>2328.5948362029862</v>
      </c>
      <c r="P97" s="100">
        <v>4.9645400695181312</v>
      </c>
      <c r="Q97" s="100">
        <v>1948.0855232789145</v>
      </c>
      <c r="R97" s="100">
        <v>3.368200431245397</v>
      </c>
      <c r="S97" s="100">
        <v>1321.6818492206937</v>
      </c>
      <c r="T97" s="100">
        <v>7.8137402887250245</v>
      </c>
      <c r="U97" s="100">
        <v>3066.1116892956993</v>
      </c>
      <c r="V97" s="100">
        <v>4.254888013830942</v>
      </c>
      <c r="W97" s="100">
        <v>1669.6180566272615</v>
      </c>
      <c r="X97" s="100">
        <v>3.1949468257241818</v>
      </c>
      <c r="Y97" s="100">
        <v>1253.6971344141689</v>
      </c>
      <c r="Z97" s="100">
        <v>5.9613700425401275</v>
      </c>
      <c r="AA97" s="100">
        <v>2339.241604692746</v>
      </c>
      <c r="AB97" s="100">
        <v>3.9369081743340537</v>
      </c>
      <c r="AC97" s="100">
        <v>1544.8427676086826</v>
      </c>
      <c r="AD97" s="100">
        <v>4.1539424928678974</v>
      </c>
      <c r="AE97" s="100">
        <v>1630.0070342013628</v>
      </c>
      <c r="AF97" s="100">
        <v>5.0082959603605248</v>
      </c>
      <c r="AG97" s="100">
        <v>1965.2553348454699</v>
      </c>
      <c r="AH97" s="100">
        <v>4.5979286847179743</v>
      </c>
      <c r="AI97" s="100">
        <v>1804.227215883333</v>
      </c>
      <c r="AJ97" s="100">
        <v>6.1214293714389303</v>
      </c>
      <c r="AK97" s="100">
        <v>2402.0488853526363</v>
      </c>
      <c r="AL97" s="100">
        <v>5.6127083801536584</v>
      </c>
      <c r="AM97" s="100">
        <v>2202.4267683722956</v>
      </c>
      <c r="AN97" s="100">
        <v>6.1108769107538974</v>
      </c>
      <c r="AO97" s="100">
        <v>2397.9080997798292</v>
      </c>
      <c r="AP97" s="100">
        <v>5.3637028908853992</v>
      </c>
      <c r="AQ97" s="100">
        <v>2104.7170143834305</v>
      </c>
      <c r="AR97" s="100">
        <v>5.0658066133451234</v>
      </c>
      <c r="AS97" s="100">
        <v>1987.8225150766264</v>
      </c>
      <c r="AT97" s="100">
        <v>4.6348973283327872</v>
      </c>
      <c r="AU97" s="100">
        <v>1818.7337116377855</v>
      </c>
      <c r="AV97" s="100">
        <v>5.214659866134042</v>
      </c>
      <c r="AW97" s="100">
        <v>2046.2325314709979</v>
      </c>
      <c r="AX97" s="100">
        <v>4.2321694547304745</v>
      </c>
      <c r="AY97" s="100">
        <v>1660.703294036238</v>
      </c>
      <c r="AZ97" s="100">
        <v>5.2531436850546998</v>
      </c>
      <c r="BA97" s="100">
        <v>2061.3335820154639</v>
      </c>
      <c r="BB97" s="100">
        <v>4.8431457683380961</v>
      </c>
      <c r="BC97" s="100">
        <v>1900.4503994958689</v>
      </c>
      <c r="BD97" s="100">
        <v>3.1697693685384762</v>
      </c>
      <c r="BE97" s="100">
        <v>1243.8175002144981</v>
      </c>
      <c r="BF97" s="100">
        <v>4.3989169733964504</v>
      </c>
      <c r="BG97" s="100">
        <v>1726.1350203607669</v>
      </c>
      <c r="BH97" s="100">
        <v>5.2833857386473992</v>
      </c>
      <c r="BI97" s="100">
        <v>2073.2005638452392</v>
      </c>
      <c r="BJ97" s="100">
        <v>7</v>
      </c>
      <c r="BK97" s="100">
        <v>2746.7999999999997</v>
      </c>
      <c r="BL97" s="100">
        <v>4.1335130287338648</v>
      </c>
      <c r="BM97" s="100">
        <v>1621.9905124751685</v>
      </c>
      <c r="BN97" s="100">
        <v>7.7510022280126334</v>
      </c>
      <c r="BO97" s="100">
        <v>3041.4932742721571</v>
      </c>
      <c r="BP97" s="100">
        <v>5.1020605563591692</v>
      </c>
      <c r="BQ97" s="100">
        <v>2002.0485623153379</v>
      </c>
      <c r="BR97" s="100">
        <v>6.4278116296087919</v>
      </c>
      <c r="BS97" s="100">
        <v>2522.2732834584899</v>
      </c>
      <c r="BT97" s="100">
        <v>4.0560723503025562</v>
      </c>
      <c r="BU97" s="100">
        <v>1591.602790258723</v>
      </c>
      <c r="BV97" s="100">
        <v>6.3586066181900041</v>
      </c>
      <c r="BW97" s="100">
        <v>2495.1172369777573</v>
      </c>
      <c r="BX97" s="100">
        <v>4.6215712268490918</v>
      </c>
      <c r="BY97" s="100">
        <v>1813.5045494155836</v>
      </c>
      <c r="BZ97" s="100">
        <v>5.8195913607322556</v>
      </c>
      <c r="CA97" s="100">
        <v>2283.607649951337</v>
      </c>
      <c r="CB97" s="100">
        <v>5.0999959028346504</v>
      </c>
      <c r="CC97" s="100">
        <v>2001.2383922723168</v>
      </c>
      <c r="CD97" s="100">
        <v>4.7430465140252709</v>
      </c>
      <c r="CE97" s="100">
        <v>1861.1714521035162</v>
      </c>
      <c r="CF97" s="100">
        <v>5.3562449719599083</v>
      </c>
      <c r="CG97" s="100">
        <v>2101.7905269970679</v>
      </c>
      <c r="CH97" s="100">
        <v>3.7341950734537139</v>
      </c>
      <c r="CI97" s="100">
        <v>1465.2981468232372</v>
      </c>
      <c r="CJ97" s="100">
        <v>5.2923475942739735</v>
      </c>
      <c r="CK97" s="100">
        <v>2076.717195993107</v>
      </c>
      <c r="CL97" s="100">
        <v>5.8505412899333251</v>
      </c>
      <c r="CM97" s="100">
        <v>2295.7524021698368</v>
      </c>
      <c r="CN97" s="100">
        <v>3.5920589008952044</v>
      </c>
      <c r="CO97" s="100">
        <v>1409.5239127112782</v>
      </c>
      <c r="CP97" s="100">
        <v>6.1137388413067386</v>
      </c>
      <c r="CQ97" s="100">
        <v>2399.0311213287641</v>
      </c>
      <c r="CR97" s="100">
        <v>3.6154621322849123</v>
      </c>
      <c r="CS97" s="100">
        <v>1418.7073407085995</v>
      </c>
      <c r="CT97" s="100">
        <v>7.5383322672806674</v>
      </c>
      <c r="CU97" s="100">
        <v>2958.0415816809336</v>
      </c>
    </row>
    <row r="98" spans="2:99">
      <c r="C98" s="99" t="s">
        <v>264</v>
      </c>
      <c r="D98" s="100">
        <v>8</v>
      </c>
      <c r="E98" s="100">
        <v>4204.8</v>
      </c>
      <c r="F98" s="100">
        <v>9</v>
      </c>
      <c r="G98" s="100">
        <v>4730.4000000000005</v>
      </c>
      <c r="H98" s="100">
        <v>6.8808621145029347</v>
      </c>
      <c r="I98" s="100">
        <v>3616.5811273827426</v>
      </c>
      <c r="J98" s="100">
        <v>3.1530458837474713</v>
      </c>
      <c r="K98" s="100">
        <v>1657.2409164976709</v>
      </c>
      <c r="L98" s="100">
        <v>6.5867511707902313</v>
      </c>
      <c r="M98" s="100">
        <v>3461.9964153673459</v>
      </c>
      <c r="N98" s="100">
        <v>5.9342376050025134</v>
      </c>
      <c r="O98" s="100">
        <v>3119.0352851893213</v>
      </c>
      <c r="P98" s="100">
        <v>5.0019270662089337</v>
      </c>
      <c r="Q98" s="100">
        <v>2629.0128659994157</v>
      </c>
      <c r="R98" s="100">
        <v>2.887028941067483</v>
      </c>
      <c r="S98" s="100">
        <v>1517.4224114250692</v>
      </c>
      <c r="T98" s="100">
        <v>7.8137402887250245</v>
      </c>
      <c r="U98" s="100">
        <v>4106.9018957538729</v>
      </c>
      <c r="V98" s="100">
        <v>4.254888013830942</v>
      </c>
      <c r="W98" s="100">
        <v>2236.3691400695434</v>
      </c>
      <c r="X98" s="100">
        <v>3.1949468257241818</v>
      </c>
      <c r="Y98" s="100">
        <v>1679.26405160063</v>
      </c>
      <c r="Z98" s="100">
        <v>5.7747177279407147</v>
      </c>
      <c r="AA98" s="100">
        <v>3035.1916378056399</v>
      </c>
      <c r="AB98" s="100">
        <v>5.1602021042236572</v>
      </c>
      <c r="AC98" s="100">
        <v>2712.2022259799542</v>
      </c>
      <c r="AD98" s="100">
        <v>4.9847309914414764</v>
      </c>
      <c r="AE98" s="100">
        <v>2619.97460910164</v>
      </c>
      <c r="AF98" s="100">
        <v>5.0082959603605248</v>
      </c>
      <c r="AG98" s="100">
        <v>2632.3603567654918</v>
      </c>
      <c r="AH98" s="100">
        <v>4.5979286847179743</v>
      </c>
      <c r="AI98" s="100">
        <v>2416.6713166877676</v>
      </c>
      <c r="AJ98" s="100">
        <v>5.1011911428657761</v>
      </c>
      <c r="AK98" s="100">
        <v>2681.1860646902519</v>
      </c>
      <c r="AL98" s="100">
        <v>5.6127083801536584</v>
      </c>
      <c r="AM98" s="100">
        <v>2950.0395246087628</v>
      </c>
      <c r="AN98" s="100">
        <v>5.4120037915607258</v>
      </c>
      <c r="AO98" s="100">
        <v>2844.5491928443175</v>
      </c>
      <c r="AP98" s="100">
        <v>4.7677359030092443</v>
      </c>
      <c r="AQ98" s="100">
        <v>2505.921990621659</v>
      </c>
      <c r="AR98" s="100">
        <v>4.4325807866769829</v>
      </c>
      <c r="AS98" s="100">
        <v>2329.7644614774222</v>
      </c>
      <c r="AT98" s="100">
        <v>4.6348973283327872</v>
      </c>
      <c r="AU98" s="100">
        <v>2436.102035771713</v>
      </c>
      <c r="AV98" s="100">
        <v>6.5183248326675534</v>
      </c>
      <c r="AW98" s="100">
        <v>3426.0315320500663</v>
      </c>
      <c r="AX98" s="100">
        <v>4.2321694547304745</v>
      </c>
      <c r="AY98" s="100">
        <v>2224.4282654063377</v>
      </c>
      <c r="AZ98" s="100">
        <v>5.764214714137875</v>
      </c>
      <c r="BA98" s="100">
        <v>3029.6712537508674</v>
      </c>
      <c r="BB98" s="100">
        <v>5.5892684379506186</v>
      </c>
      <c r="BC98" s="100">
        <v>2937.7194909868454</v>
      </c>
      <c r="BD98" s="100">
        <v>3.1697693685384762</v>
      </c>
      <c r="BE98" s="100">
        <v>1666.0307801038232</v>
      </c>
      <c r="BF98" s="100">
        <v>5.0273336838816576</v>
      </c>
      <c r="BG98" s="100">
        <v>2642.3665842481992</v>
      </c>
      <c r="BH98" s="100">
        <v>5.8704285984971101</v>
      </c>
      <c r="BI98" s="100">
        <v>3085.4972713700813</v>
      </c>
      <c r="BJ98" s="100">
        <v>7</v>
      </c>
      <c r="BK98" s="100">
        <v>3679.2000000000003</v>
      </c>
      <c r="BL98" s="100">
        <v>4.1335130287338648</v>
      </c>
      <c r="BM98" s="100">
        <v>2172.5744479025193</v>
      </c>
      <c r="BN98" s="100">
        <v>6.889779758233451</v>
      </c>
      <c r="BO98" s="100">
        <v>3621.2682409275021</v>
      </c>
      <c r="BP98" s="100">
        <v>5.1020605563591692</v>
      </c>
      <c r="BQ98" s="100">
        <v>2681.6430284223793</v>
      </c>
      <c r="BR98" s="100">
        <v>5.9243420048228677</v>
      </c>
      <c r="BS98" s="100">
        <v>3113.8341577348992</v>
      </c>
      <c r="BT98" s="100">
        <v>3.6053976447133831</v>
      </c>
      <c r="BU98" s="100">
        <v>1894.9970020613541</v>
      </c>
      <c r="BV98" s="100">
        <v>6.3586066181900041</v>
      </c>
      <c r="BW98" s="100">
        <v>3342.0836385206662</v>
      </c>
      <c r="BX98" s="100">
        <v>4.6215712268490918</v>
      </c>
      <c r="BY98" s="100">
        <v>2429.0978368318829</v>
      </c>
      <c r="BZ98" s="100">
        <v>5.3346254140045666</v>
      </c>
      <c r="CA98" s="100">
        <v>2803.8791176008003</v>
      </c>
      <c r="CB98" s="100">
        <v>5.049393388326747</v>
      </c>
      <c r="CC98" s="100">
        <v>2653.9611649045382</v>
      </c>
      <c r="CD98" s="100">
        <v>4.7430465140252709</v>
      </c>
      <c r="CE98" s="100">
        <v>2492.9452477716823</v>
      </c>
      <c r="CF98" s="100">
        <v>4.6009496896720385</v>
      </c>
      <c r="CG98" s="100">
        <v>2418.2591568916237</v>
      </c>
      <c r="CH98" s="100">
        <v>3.6782500758605297</v>
      </c>
      <c r="CI98" s="100">
        <v>1933.2882398722945</v>
      </c>
      <c r="CJ98" s="100">
        <v>4.8513186280844751</v>
      </c>
      <c r="CK98" s="100">
        <v>2549.8530709212</v>
      </c>
      <c r="CL98" s="100">
        <v>5.2573459595795615</v>
      </c>
      <c r="CM98" s="100">
        <v>2763.2610363550175</v>
      </c>
      <c r="CN98" s="100">
        <v>3.5920589008952044</v>
      </c>
      <c r="CO98" s="100">
        <v>1887.9861583105196</v>
      </c>
      <c r="CP98" s="100">
        <v>6.1137388413067386</v>
      </c>
      <c r="CQ98" s="100">
        <v>3213.3811349908219</v>
      </c>
      <c r="CR98" s="100">
        <v>3.3638571299463842</v>
      </c>
      <c r="CS98" s="100">
        <v>1768.0433074998195</v>
      </c>
      <c r="CT98" s="100">
        <v>6.2819435560672234</v>
      </c>
      <c r="CU98" s="100">
        <v>3301.789533068933</v>
      </c>
    </row>
    <row r="99" spans="2:99">
      <c r="C99" s="99" t="s">
        <v>265</v>
      </c>
      <c r="D99" s="100">
        <v>7</v>
      </c>
      <c r="E99" s="100">
        <v>29458.799999999996</v>
      </c>
      <c r="F99" s="100">
        <v>7</v>
      </c>
      <c r="G99" s="100">
        <v>29458.799999999996</v>
      </c>
      <c r="H99" s="100">
        <v>5.8978818124310868</v>
      </c>
      <c r="I99" s="100">
        <v>24820.645819434983</v>
      </c>
      <c r="J99" s="100">
        <v>2.7026107574978324</v>
      </c>
      <c r="K99" s="100">
        <v>11373.667111853876</v>
      </c>
      <c r="L99" s="100">
        <v>4.704822264850165</v>
      </c>
      <c r="M99" s="100">
        <v>19799.774019395434</v>
      </c>
      <c r="N99" s="100">
        <v>5.2748778711133451</v>
      </c>
      <c r="O99" s="100">
        <v>22198.796032793398</v>
      </c>
      <c r="P99" s="100">
        <v>3.8878700799930934</v>
      </c>
      <c r="Q99" s="100">
        <v>16361.712444642933</v>
      </c>
      <c r="R99" s="100">
        <v>2.4058574508895694</v>
      </c>
      <c r="S99" s="100">
        <v>10124.810496323664</v>
      </c>
      <c r="T99" s="100">
        <v>6.2509922309800183</v>
      </c>
      <c r="U99" s="100">
        <v>26306.675704856309</v>
      </c>
      <c r="V99" s="100">
        <v>3.5567749606080405</v>
      </c>
      <c r="W99" s="100">
        <v>14968.331744222876</v>
      </c>
      <c r="X99" s="100">
        <v>2.5559574605793456</v>
      </c>
      <c r="Y99" s="100">
        <v>10756.491377102117</v>
      </c>
      <c r="Z99" s="100">
        <v>4.4969514644883484</v>
      </c>
      <c r="AA99" s="100">
        <v>18924.970543152765</v>
      </c>
      <c r="AB99" s="100">
        <v>3.8752867009497671</v>
      </c>
      <c r="AC99" s="100">
        <v>16308.756552276998</v>
      </c>
      <c r="AD99" s="100">
        <v>4.1539424928678974</v>
      </c>
      <c r="AE99" s="100">
        <v>17481.451586985258</v>
      </c>
      <c r="AF99" s="100">
        <v>4.3822589653154589</v>
      </c>
      <c r="AG99" s="100">
        <v>18442.298629633577</v>
      </c>
      <c r="AH99" s="100">
        <v>3.3237552161223705</v>
      </c>
      <c r="AI99" s="100">
        <v>13987.691451529383</v>
      </c>
      <c r="AJ99" s="100">
        <v>4.0809529142926211</v>
      </c>
      <c r="AK99" s="100">
        <v>17174.282244509064</v>
      </c>
      <c r="AL99" s="100">
        <v>4.9111198326344514</v>
      </c>
      <c r="AM99" s="100">
        <v>20667.956703658823</v>
      </c>
      <c r="AN99" s="100">
        <v>4.6036797340078648</v>
      </c>
      <c r="AO99" s="100">
        <v>19374.125792598697</v>
      </c>
      <c r="AP99" s="100">
        <v>4.1717689151330886</v>
      </c>
      <c r="AQ99" s="100">
        <v>17556.472302446087</v>
      </c>
      <c r="AR99" s="100">
        <v>4.4325807866769829</v>
      </c>
      <c r="AS99" s="100">
        <v>18654.072982651414</v>
      </c>
      <c r="AT99" s="100">
        <v>3.8624144402773233</v>
      </c>
      <c r="AU99" s="100">
        <v>16254.584930463086</v>
      </c>
      <c r="AV99" s="100">
        <v>4.5628273828672867</v>
      </c>
      <c r="AW99" s="100">
        <v>19202.202758058687</v>
      </c>
      <c r="AX99" s="100">
        <v>3.526807878942062</v>
      </c>
      <c r="AY99" s="100">
        <v>14842.218277739772</v>
      </c>
      <c r="AZ99" s="100">
        <v>4.1914367951597535</v>
      </c>
      <c r="BA99" s="100">
        <v>17639.242608750304</v>
      </c>
      <c r="BB99" s="100">
        <v>4.794291134916369</v>
      </c>
      <c r="BC99" s="100">
        <v>20176.294812182045</v>
      </c>
      <c r="BD99" s="100">
        <v>2.2641209775274826</v>
      </c>
      <c r="BE99" s="100">
        <v>9528.3267218266574</v>
      </c>
      <c r="BF99" s="100">
        <v>3.7705002629112427</v>
      </c>
      <c r="BG99" s="100">
        <v>15867.773306435673</v>
      </c>
      <c r="BH99" s="100">
        <v>4.6963428787976875</v>
      </c>
      <c r="BI99" s="100">
        <v>19764.089371132188</v>
      </c>
      <c r="BJ99" s="100">
        <v>5</v>
      </c>
      <c r="BK99" s="100">
        <v>21042</v>
      </c>
      <c r="BL99" s="100">
        <v>3.3068104229870925</v>
      </c>
      <c r="BM99" s="100">
        <v>13916.38098409888</v>
      </c>
      <c r="BN99" s="100">
        <v>6.889779758233451</v>
      </c>
      <c r="BO99" s="100">
        <v>28994.949134549654</v>
      </c>
      <c r="BP99" s="100">
        <v>3.6443289688279781</v>
      </c>
      <c r="BQ99" s="100">
        <v>15336.794032415663</v>
      </c>
      <c r="BR99" s="100">
        <v>5.340419019166589</v>
      </c>
      <c r="BS99" s="100">
        <v>22474.619400260672</v>
      </c>
      <c r="BT99" s="100">
        <v>3.15472293912421</v>
      </c>
      <c r="BU99" s="100">
        <v>13276.336017010324</v>
      </c>
      <c r="BV99" s="100">
        <v>4.9455829252588916</v>
      </c>
      <c r="BW99" s="100">
        <v>20812.991182659516</v>
      </c>
      <c r="BX99" s="100">
        <v>3.9613467658706503</v>
      </c>
      <c r="BY99" s="100">
        <v>16670.931729490043</v>
      </c>
      <c r="BZ99" s="100">
        <v>4.8496594672768794</v>
      </c>
      <c r="CA99" s="100">
        <v>20409.306902088018</v>
      </c>
      <c r="CB99" s="100">
        <v>4.4435204720398556</v>
      </c>
      <c r="CC99" s="100">
        <v>18700.111554532526</v>
      </c>
      <c r="CD99" s="100">
        <v>4.0412213631245866</v>
      </c>
      <c r="CE99" s="100">
        <v>17007.075984573508</v>
      </c>
      <c r="CF99" s="100">
        <v>3.4507122672540289</v>
      </c>
      <c r="CG99" s="100">
        <v>14521.977505511853</v>
      </c>
      <c r="CH99" s="100">
        <v>3.1025050616125642</v>
      </c>
      <c r="CI99" s="100">
        <v>13056.582301290315</v>
      </c>
      <c r="CJ99" s="100">
        <v>4.4102896618949776</v>
      </c>
      <c r="CK99" s="100">
        <v>18560.263013118823</v>
      </c>
      <c r="CL99" s="100">
        <v>5.1971361576090374</v>
      </c>
      <c r="CM99" s="100">
        <v>21871.62780568187</v>
      </c>
      <c r="CN99" s="100">
        <v>2.9933824174126702</v>
      </c>
      <c r="CO99" s="100">
        <v>12597.350565439479</v>
      </c>
      <c r="CP99" s="100">
        <v>4.3763122123815137</v>
      </c>
      <c r="CQ99" s="100">
        <v>18417.27231458636</v>
      </c>
      <c r="CR99" s="100">
        <v>2.6294270052981177</v>
      </c>
      <c r="CS99" s="100">
        <v>11065.680609096598</v>
      </c>
      <c r="CT99" s="100">
        <v>5.653749200460501</v>
      </c>
      <c r="CU99" s="100">
        <v>23793.238135217969</v>
      </c>
    </row>
    <row r="100" spans="2:99">
      <c r="C100" s="99" t="s">
        <v>266</v>
      </c>
      <c r="D100" s="100">
        <v>7</v>
      </c>
      <c r="E100" s="100">
        <v>2268</v>
      </c>
      <c r="F100" s="100">
        <v>10</v>
      </c>
      <c r="G100" s="100">
        <v>3240</v>
      </c>
      <c r="H100" s="100">
        <v>6.8808621145029347</v>
      </c>
      <c r="I100" s="100">
        <v>2229.3993250989511</v>
      </c>
      <c r="J100" s="100">
        <v>3.1530458837474713</v>
      </c>
      <c r="K100" s="100">
        <v>1021.5868663341807</v>
      </c>
      <c r="L100" s="100">
        <v>5.645786717820199</v>
      </c>
      <c r="M100" s="100">
        <v>1829.2348965737444</v>
      </c>
      <c r="N100" s="100">
        <v>5.9342376050025134</v>
      </c>
      <c r="O100" s="100">
        <v>1922.6929840208143</v>
      </c>
      <c r="P100" s="100">
        <v>4.9645400695181312</v>
      </c>
      <c r="Q100" s="100">
        <v>1608.5109825238744</v>
      </c>
      <c r="R100" s="100">
        <v>3.368200431245397</v>
      </c>
      <c r="S100" s="100">
        <v>1091.2969397235086</v>
      </c>
      <c r="T100" s="100">
        <v>7.8137402887250245</v>
      </c>
      <c r="U100" s="100">
        <v>2531.6518535469081</v>
      </c>
      <c r="V100" s="100">
        <v>4.2769579119954528</v>
      </c>
      <c r="W100" s="100">
        <v>1385.7343634865267</v>
      </c>
      <c r="X100" s="100">
        <v>3.1949468257241818</v>
      </c>
      <c r="Y100" s="100">
        <v>1035.1627715346349</v>
      </c>
      <c r="Z100" s="100">
        <v>5.2810086186807421</v>
      </c>
      <c r="AA100" s="100">
        <v>1711.0467924525603</v>
      </c>
      <c r="AB100" s="100">
        <v>4.558825384842903</v>
      </c>
      <c r="AC100" s="100">
        <v>1477.0594246891005</v>
      </c>
      <c r="AD100" s="100">
        <v>4.9847309914414764</v>
      </c>
      <c r="AE100" s="100">
        <v>1615.0528412270382</v>
      </c>
      <c r="AF100" s="100">
        <v>4.3822589653154589</v>
      </c>
      <c r="AG100" s="100">
        <v>1419.8519047622087</v>
      </c>
      <c r="AH100" s="100">
        <v>5.2456555378337271</v>
      </c>
      <c r="AI100" s="100">
        <v>1699.5923942581276</v>
      </c>
      <c r="AJ100" s="100">
        <v>5.6113102571523532</v>
      </c>
      <c r="AK100" s="100">
        <v>1818.0645233173625</v>
      </c>
      <c r="AL100" s="100">
        <v>6.3142969276728653</v>
      </c>
      <c r="AM100" s="100">
        <v>2045.8322045660084</v>
      </c>
      <c r="AN100" s="100">
        <v>5.3846410569708025</v>
      </c>
      <c r="AO100" s="100">
        <v>1744.62370245854</v>
      </c>
      <c r="AP100" s="100">
        <v>5.3637028908853992</v>
      </c>
      <c r="AQ100" s="100">
        <v>1737.8397366468694</v>
      </c>
      <c r="AR100" s="100">
        <v>5.0658066133451234</v>
      </c>
      <c r="AS100" s="100">
        <v>1641.32134272382</v>
      </c>
      <c r="AT100" s="100">
        <v>4.6348973283327872</v>
      </c>
      <c r="AU100" s="100">
        <v>1501.706734379823</v>
      </c>
      <c r="AV100" s="100">
        <v>6.5183248326675534</v>
      </c>
      <c r="AW100" s="100">
        <v>2111.9372457842874</v>
      </c>
      <c r="AX100" s="100">
        <v>4.9375310305188869</v>
      </c>
      <c r="AY100" s="100">
        <v>1599.7600538881193</v>
      </c>
      <c r="AZ100" s="100">
        <v>4.7341596896258062</v>
      </c>
      <c r="BA100" s="100">
        <v>1533.8677394387612</v>
      </c>
      <c r="BB100" s="100">
        <v>5.5892684379506186</v>
      </c>
      <c r="BC100" s="100">
        <v>1810.9229738960005</v>
      </c>
      <c r="BD100" s="100">
        <v>3.1697693685384762</v>
      </c>
      <c r="BE100" s="100">
        <v>1027.0052754064664</v>
      </c>
      <c r="BF100" s="100">
        <v>4.4515103383264885</v>
      </c>
      <c r="BG100" s="100">
        <v>1442.2893496177824</v>
      </c>
      <c r="BH100" s="100">
        <v>5.8704285984971101</v>
      </c>
      <c r="BI100" s="100">
        <v>1902.0188659130636</v>
      </c>
      <c r="BJ100" s="100">
        <v>7</v>
      </c>
      <c r="BK100" s="100">
        <v>2268</v>
      </c>
      <c r="BL100" s="100">
        <v>4.5468643316072521</v>
      </c>
      <c r="BM100" s="100">
        <v>1473.1840434407497</v>
      </c>
      <c r="BN100" s="100">
        <v>7.7510022280126334</v>
      </c>
      <c r="BO100" s="100">
        <v>2511.324721876093</v>
      </c>
      <c r="BP100" s="100">
        <v>5.1020605563591692</v>
      </c>
      <c r="BQ100" s="100">
        <v>1653.0676202603709</v>
      </c>
      <c r="BR100" s="100">
        <v>5.9082513326487973</v>
      </c>
      <c r="BS100" s="100">
        <v>1914.2734317782104</v>
      </c>
      <c r="BT100" s="100">
        <v>4.0560723503025562</v>
      </c>
      <c r="BU100" s="100">
        <v>1314.1674414980282</v>
      </c>
      <c r="BV100" s="100">
        <v>7.0651184646555603</v>
      </c>
      <c r="BW100" s="100">
        <v>2289.0983825484013</v>
      </c>
      <c r="BX100" s="100">
        <v>5.2817956878275334</v>
      </c>
      <c r="BY100" s="100">
        <v>1711.3018028561207</v>
      </c>
      <c r="BZ100" s="100">
        <v>5.8195913607322556</v>
      </c>
      <c r="CA100" s="100">
        <v>1885.5476008772507</v>
      </c>
      <c r="CB100" s="100">
        <v>5.6805675618675897</v>
      </c>
      <c r="CC100" s="100">
        <v>1840.5038900450991</v>
      </c>
      <c r="CD100" s="100">
        <v>4.0695096201711731</v>
      </c>
      <c r="CE100" s="100">
        <v>1318.52111693546</v>
      </c>
      <c r="CF100" s="100">
        <v>4.6009496896720385</v>
      </c>
      <c r="CG100" s="100">
        <v>1490.7076994537406</v>
      </c>
      <c r="CH100" s="100">
        <v>4.2819675889050863</v>
      </c>
      <c r="CI100" s="100">
        <v>1387.357498805248</v>
      </c>
      <c r="CJ100" s="100">
        <v>5.2923475942739735</v>
      </c>
      <c r="CK100" s="100">
        <v>1714.7206205447674</v>
      </c>
      <c r="CL100" s="100">
        <v>6.4738415212723499</v>
      </c>
      <c r="CM100" s="100">
        <v>2097.5246528922412</v>
      </c>
      <c r="CN100" s="100">
        <v>4.1907353843777386</v>
      </c>
      <c r="CO100" s="100">
        <v>1357.7982645383872</v>
      </c>
      <c r="CP100" s="100">
        <v>5.2777711669125766</v>
      </c>
      <c r="CQ100" s="100">
        <v>1709.9978580796749</v>
      </c>
      <c r="CR100" s="100">
        <v>3.2867837566226474</v>
      </c>
      <c r="CS100" s="100">
        <v>1064.9179371457378</v>
      </c>
      <c r="CT100" s="100">
        <v>6.2819435560672234</v>
      </c>
      <c r="CU100" s="100">
        <v>2035.3497121657804</v>
      </c>
    </row>
    <row r="101" spans="2:99">
      <c r="C101" s="99" t="s">
        <v>267</v>
      </c>
      <c r="D101" s="100">
        <v>7</v>
      </c>
      <c r="E101" s="100">
        <v>5065.2</v>
      </c>
      <c r="F101" s="100">
        <v>9</v>
      </c>
      <c r="G101" s="100">
        <v>6512.4000000000005</v>
      </c>
      <c r="H101" s="100">
        <v>7.0489041234509155</v>
      </c>
      <c r="I101" s="100">
        <v>5100.5870237290828</v>
      </c>
      <c r="J101" s="100">
        <v>2.7026107574978324</v>
      </c>
      <c r="K101" s="100">
        <v>1955.6091441254316</v>
      </c>
      <c r="L101" s="100">
        <v>6.5867511707902313</v>
      </c>
      <c r="M101" s="100">
        <v>4766.1731471838111</v>
      </c>
      <c r="N101" s="100">
        <v>5.9342376050025134</v>
      </c>
      <c r="O101" s="100">
        <v>4294.0143309798186</v>
      </c>
      <c r="P101" s="100">
        <v>5.7795010822075525</v>
      </c>
      <c r="Q101" s="100">
        <v>4182.0469830853854</v>
      </c>
      <c r="R101" s="100">
        <v>2.887028941067483</v>
      </c>
      <c r="S101" s="100">
        <v>2089.0541417564309</v>
      </c>
      <c r="T101" s="100">
        <v>7.0323662598525214</v>
      </c>
      <c r="U101" s="100">
        <v>5088.6202256292845</v>
      </c>
      <c r="V101" s="100">
        <v>4.254888013830942</v>
      </c>
      <c r="W101" s="100">
        <v>3078.8369668080695</v>
      </c>
      <c r="X101" s="100">
        <v>3.5144415082966001</v>
      </c>
      <c r="Y101" s="100">
        <v>2543.0498754034197</v>
      </c>
      <c r="Z101" s="100">
        <v>5.2602694726141399</v>
      </c>
      <c r="AA101" s="100">
        <v>3806.3309903835916</v>
      </c>
      <c r="AB101" s="100">
        <v>4.5382848937148079</v>
      </c>
      <c r="AC101" s="100">
        <v>3283.9029490920352</v>
      </c>
      <c r="AD101" s="100">
        <v>4.9847309914414764</v>
      </c>
      <c r="AE101" s="100">
        <v>3606.9513454070525</v>
      </c>
      <c r="AF101" s="100">
        <v>5.0082959603605248</v>
      </c>
      <c r="AG101" s="100">
        <v>3624.002956916876</v>
      </c>
      <c r="AH101" s="100">
        <v>3.9927623068740257</v>
      </c>
      <c r="AI101" s="100">
        <v>2889.162805254045</v>
      </c>
      <c r="AJ101" s="100">
        <v>5.3292487457825883</v>
      </c>
      <c r="AK101" s="100">
        <v>3856.2443924482809</v>
      </c>
      <c r="AL101" s="100">
        <v>5.6127083801536584</v>
      </c>
      <c r="AM101" s="100">
        <v>4061.3557838791871</v>
      </c>
      <c r="AN101" s="100">
        <v>6.1382396453438197</v>
      </c>
      <c r="AO101" s="100">
        <v>4441.6302073707884</v>
      </c>
      <c r="AP101" s="100">
        <v>4.7677359030092443</v>
      </c>
      <c r="AQ101" s="100">
        <v>3449.9336994174892</v>
      </c>
      <c r="AR101" s="100">
        <v>5.0658066133451234</v>
      </c>
      <c r="AS101" s="100">
        <v>3665.6176654165315</v>
      </c>
      <c r="AT101" s="100">
        <v>4.6348973283327872</v>
      </c>
      <c r="AU101" s="100">
        <v>3353.8117067816052</v>
      </c>
      <c r="AV101" s="100">
        <v>5.8664923494007981</v>
      </c>
      <c r="AW101" s="100">
        <v>4244.9938640264172</v>
      </c>
      <c r="AX101" s="100">
        <v>4.9375310305188869</v>
      </c>
      <c r="AY101" s="100">
        <v>3572.7974536834668</v>
      </c>
      <c r="AZ101" s="100">
        <v>5.2531436850546998</v>
      </c>
      <c r="BA101" s="100">
        <v>3801.1747705055809</v>
      </c>
      <c r="BB101" s="100">
        <v>5.5892684379506186</v>
      </c>
      <c r="BC101" s="100">
        <v>4044.3946417010679</v>
      </c>
      <c r="BD101" s="100">
        <v>3.1697693685384762</v>
      </c>
      <c r="BE101" s="100">
        <v>2293.6451150744415</v>
      </c>
      <c r="BF101" s="100">
        <v>4.3989169733964504</v>
      </c>
      <c r="BG101" s="100">
        <v>3183.0563219496717</v>
      </c>
      <c r="BH101" s="100">
        <v>5.2833857386473992</v>
      </c>
      <c r="BI101" s="100">
        <v>3823.0579204852584</v>
      </c>
      <c r="BJ101" s="100">
        <v>6</v>
      </c>
      <c r="BK101" s="100">
        <v>4341.6000000000004</v>
      </c>
      <c r="BL101" s="100">
        <v>4.1335130287338648</v>
      </c>
      <c r="BM101" s="100">
        <v>2991.0100275918248</v>
      </c>
      <c r="BN101" s="100">
        <v>6.889779758233451</v>
      </c>
      <c r="BO101" s="100">
        <v>4985.4446330577257</v>
      </c>
      <c r="BP101" s="100">
        <v>4.3731947625935739</v>
      </c>
      <c r="BQ101" s="100">
        <v>3164.4437302127103</v>
      </c>
      <c r="BR101" s="100">
        <v>5.9082513326487973</v>
      </c>
      <c r="BS101" s="100">
        <v>4275.21066430467</v>
      </c>
      <c r="BT101" s="100">
        <v>3.6053976447133831</v>
      </c>
      <c r="BU101" s="100">
        <v>2608.8657357146039</v>
      </c>
      <c r="BV101" s="100">
        <v>5.6520947717244487</v>
      </c>
      <c r="BW101" s="100">
        <v>4089.8557768198111</v>
      </c>
      <c r="BX101" s="100">
        <v>4.6215712268490918</v>
      </c>
      <c r="BY101" s="100">
        <v>3344.1689397480031</v>
      </c>
      <c r="BZ101" s="100">
        <v>5.3346254140045666</v>
      </c>
      <c r="CA101" s="100">
        <v>3860.1349495737045</v>
      </c>
      <c r="CB101" s="100">
        <v>5.6805675618675897</v>
      </c>
      <c r="CC101" s="100">
        <v>4110.4586877673883</v>
      </c>
      <c r="CD101" s="100">
        <v>4.7430465140252709</v>
      </c>
      <c r="CE101" s="100">
        <v>3432.0684575486862</v>
      </c>
      <c r="CF101" s="100">
        <v>4.6009496896720385</v>
      </c>
      <c r="CG101" s="100">
        <v>3329.2471954466873</v>
      </c>
      <c r="CH101" s="100">
        <v>3.6782500758605297</v>
      </c>
      <c r="CI101" s="100">
        <v>2661.5817548926793</v>
      </c>
      <c r="CJ101" s="100">
        <v>4.8513186280844751</v>
      </c>
      <c r="CK101" s="100">
        <v>3510.4141592819265</v>
      </c>
      <c r="CL101" s="100">
        <v>5.8806461909185872</v>
      </c>
      <c r="CM101" s="100">
        <v>4255.2355837486903</v>
      </c>
      <c r="CN101" s="100">
        <v>4.1907353843777386</v>
      </c>
      <c r="CO101" s="100">
        <v>3032.4161241357319</v>
      </c>
      <c r="CP101" s="100">
        <v>6.1464844813751887</v>
      </c>
      <c r="CQ101" s="100">
        <v>4447.5961707230863</v>
      </c>
      <c r="CR101" s="100">
        <v>3.6154621322849123</v>
      </c>
      <c r="CS101" s="100">
        <v>2616.1483989213625</v>
      </c>
      <c r="CT101" s="100">
        <v>6.2819435560672234</v>
      </c>
      <c r="CU101" s="100">
        <v>4545.6143571702432</v>
      </c>
    </row>
    <row r="102" spans="2:99">
      <c r="C102" s="99" t="s">
        <v>268</v>
      </c>
      <c r="D102" s="100">
        <v>7</v>
      </c>
      <c r="E102" s="100">
        <v>3721.2000000000003</v>
      </c>
      <c r="F102" s="100">
        <v>9</v>
      </c>
      <c r="G102" s="100">
        <v>4784.4000000000005</v>
      </c>
      <c r="H102" s="100">
        <v>5.8978818124310868</v>
      </c>
      <c r="I102" s="100">
        <v>3135.313971488366</v>
      </c>
      <c r="J102" s="100">
        <v>3.1530458837474713</v>
      </c>
      <c r="K102" s="100">
        <v>1676.1591918001559</v>
      </c>
      <c r="L102" s="100">
        <v>5.645786717820199</v>
      </c>
      <c r="M102" s="100">
        <v>3001.3002191932178</v>
      </c>
      <c r="N102" s="100">
        <v>5.9342376050025134</v>
      </c>
      <c r="O102" s="100">
        <v>3154.6407108193362</v>
      </c>
      <c r="P102" s="100">
        <v>4.9645400695181312</v>
      </c>
      <c r="Q102" s="100">
        <v>2639.1495009558384</v>
      </c>
      <c r="R102" s="100">
        <v>3.368200431245397</v>
      </c>
      <c r="S102" s="100">
        <v>1790.5353492500531</v>
      </c>
      <c r="T102" s="100">
        <v>8.5951143175975258</v>
      </c>
      <c r="U102" s="100">
        <v>4569.1627712348445</v>
      </c>
      <c r="V102" s="100">
        <v>4.254888013830942</v>
      </c>
      <c r="W102" s="100">
        <v>2261.8984681525289</v>
      </c>
      <c r="X102" s="100">
        <v>3.5144415082966001</v>
      </c>
      <c r="Y102" s="100">
        <v>1868.2771058104727</v>
      </c>
      <c r="Z102" s="100">
        <v>5.9821091886067297</v>
      </c>
      <c r="AA102" s="100">
        <v>3180.0892446633375</v>
      </c>
      <c r="AB102" s="100">
        <v>5.1602021042236572</v>
      </c>
      <c r="AC102" s="100">
        <v>2743.1634386052965</v>
      </c>
      <c r="AD102" s="100">
        <v>4.9847309914414764</v>
      </c>
      <c r="AE102" s="100">
        <v>2649.8829950502891</v>
      </c>
      <c r="AF102" s="100">
        <v>5.0082959603605248</v>
      </c>
      <c r="AG102" s="100">
        <v>2662.4101325276552</v>
      </c>
      <c r="AH102" s="100">
        <v>4.6192089223538755</v>
      </c>
      <c r="AI102" s="100">
        <v>2455.5714631233204</v>
      </c>
      <c r="AJ102" s="100">
        <v>5.1011911428657761</v>
      </c>
      <c r="AK102" s="100">
        <v>2711.7932115474468</v>
      </c>
      <c r="AL102" s="100">
        <v>5.6127083801536584</v>
      </c>
      <c r="AM102" s="100">
        <v>2983.7157748896848</v>
      </c>
      <c r="AN102" s="100">
        <v>6.1108769107538974</v>
      </c>
      <c r="AO102" s="100">
        <v>3248.5421657567722</v>
      </c>
      <c r="AP102" s="100">
        <v>5.3637028908853992</v>
      </c>
      <c r="AQ102" s="100">
        <v>2851.3444567946785</v>
      </c>
      <c r="AR102" s="100">
        <v>5.0658066133451234</v>
      </c>
      <c r="AS102" s="100">
        <v>2692.9827956542676</v>
      </c>
      <c r="AT102" s="100">
        <v>4.6348973283327872</v>
      </c>
      <c r="AU102" s="100">
        <v>2463.9114197417098</v>
      </c>
      <c r="AV102" s="100">
        <v>5.8664923494007981</v>
      </c>
      <c r="AW102" s="100">
        <v>3118.6273329414644</v>
      </c>
      <c r="AX102" s="100">
        <v>4.9375310305188869</v>
      </c>
      <c r="AY102" s="100">
        <v>2624.7914958238403</v>
      </c>
      <c r="AZ102" s="100">
        <v>4.7341596896258062</v>
      </c>
      <c r="BA102" s="100">
        <v>2516.6792910050785</v>
      </c>
      <c r="BB102" s="100">
        <v>4.8187184516272321</v>
      </c>
      <c r="BC102" s="100">
        <v>2561.6307288850367</v>
      </c>
      <c r="BD102" s="100">
        <v>3.1697693685384762</v>
      </c>
      <c r="BE102" s="100">
        <v>1685.0493963150541</v>
      </c>
      <c r="BF102" s="100">
        <v>5.0273336838816576</v>
      </c>
      <c r="BG102" s="100">
        <v>2672.5305863514891</v>
      </c>
      <c r="BH102" s="100">
        <v>5.2833857386473992</v>
      </c>
      <c r="BI102" s="100">
        <v>2808.6478586649578</v>
      </c>
      <c r="BJ102" s="100">
        <v>7</v>
      </c>
      <c r="BK102" s="100">
        <v>3721.2000000000003</v>
      </c>
      <c r="BL102" s="100">
        <v>4.1335130287338648</v>
      </c>
      <c r="BM102" s="100">
        <v>2197.3755260749226</v>
      </c>
      <c r="BN102" s="100">
        <v>8.6122246977918131</v>
      </c>
      <c r="BO102" s="100">
        <v>4578.2586493461276</v>
      </c>
      <c r="BP102" s="100">
        <v>5.1020605563591692</v>
      </c>
      <c r="BQ102" s="100">
        <v>2712.2553917605346</v>
      </c>
      <c r="BR102" s="100">
        <v>5.9082513326487973</v>
      </c>
      <c r="BS102" s="100">
        <v>3140.8264084361008</v>
      </c>
      <c r="BT102" s="100">
        <v>3.15472293912421</v>
      </c>
      <c r="BU102" s="100">
        <v>1677.0507144384301</v>
      </c>
      <c r="BV102" s="100">
        <v>7.0651184646555603</v>
      </c>
      <c r="BW102" s="100">
        <v>3755.8169758108961</v>
      </c>
      <c r="BX102" s="100">
        <v>5.2817956878275334</v>
      </c>
      <c r="BY102" s="100">
        <v>2807.802587649117</v>
      </c>
      <c r="BZ102" s="100">
        <v>4.8496594672768794</v>
      </c>
      <c r="CA102" s="100">
        <v>2578.0789728043892</v>
      </c>
      <c r="CB102" s="100">
        <v>5.0999959028346504</v>
      </c>
      <c r="CC102" s="100">
        <v>2711.1578219469002</v>
      </c>
      <c r="CD102" s="100">
        <v>4.7430465140252709</v>
      </c>
      <c r="CE102" s="100">
        <v>2521.4035268558341</v>
      </c>
      <c r="CF102" s="100">
        <v>4.781126260750904</v>
      </c>
      <c r="CG102" s="100">
        <v>2541.6467202151807</v>
      </c>
      <c r="CH102" s="100">
        <v>3.7341950734537139</v>
      </c>
      <c r="CI102" s="100">
        <v>1985.0981010479943</v>
      </c>
      <c r="CJ102" s="100">
        <v>5.2923475942739735</v>
      </c>
      <c r="CK102" s="100">
        <v>2813.4119811160444</v>
      </c>
      <c r="CL102" s="100">
        <v>5.2874508605648236</v>
      </c>
      <c r="CM102" s="100">
        <v>2810.8088774762605</v>
      </c>
      <c r="CN102" s="100">
        <v>4.1907353843777386</v>
      </c>
      <c r="CO102" s="100">
        <v>2227.7949303352061</v>
      </c>
      <c r="CP102" s="100">
        <v>6.1137388413067386</v>
      </c>
      <c r="CQ102" s="100">
        <v>3250.0635680386622</v>
      </c>
      <c r="CR102" s="100">
        <v>3.6154621322849123</v>
      </c>
      <c r="CS102" s="100">
        <v>1921.9796695226594</v>
      </c>
      <c r="CT102" s="100">
        <v>6.9101379116739459</v>
      </c>
      <c r="CU102" s="100">
        <v>3673.4293138458697</v>
      </c>
    </row>
    <row r="103" spans="2:99">
      <c r="C103" s="99" t="s">
        <v>269</v>
      </c>
      <c r="D103" s="100">
        <v>8</v>
      </c>
      <c r="E103" s="100">
        <v>4713.5999999999995</v>
      </c>
      <c r="F103" s="100">
        <v>10</v>
      </c>
      <c r="G103" s="100">
        <v>5891.9999999999991</v>
      </c>
      <c r="H103" s="100">
        <v>6.0659238213790676</v>
      </c>
      <c r="I103" s="100">
        <v>3574.0423155565463</v>
      </c>
      <c r="J103" s="100">
        <v>2.7026107574978324</v>
      </c>
      <c r="K103" s="100">
        <v>1592.3782583177226</v>
      </c>
      <c r="L103" s="100">
        <v>6.5867511707902313</v>
      </c>
      <c r="M103" s="100">
        <v>3880.913789829604</v>
      </c>
      <c r="N103" s="100">
        <v>5.9342376050025134</v>
      </c>
      <c r="O103" s="100">
        <v>3496.4527968674806</v>
      </c>
      <c r="P103" s="100">
        <v>4.9645400695181312</v>
      </c>
      <c r="Q103" s="100">
        <v>2925.1070089600826</v>
      </c>
      <c r="R103" s="100">
        <v>2.887028941067483</v>
      </c>
      <c r="S103" s="100">
        <v>1701.0374520769608</v>
      </c>
      <c r="T103" s="100">
        <v>7.0323662598525214</v>
      </c>
      <c r="U103" s="100">
        <v>4143.4702003051052</v>
      </c>
      <c r="V103" s="100">
        <v>4.2328181156664311</v>
      </c>
      <c r="W103" s="100">
        <v>2493.9764337506608</v>
      </c>
      <c r="X103" s="100">
        <v>3.8339361908690179</v>
      </c>
      <c r="Y103" s="100">
        <v>2258.9552036600253</v>
      </c>
      <c r="Z103" s="100">
        <v>5.9821091886067297</v>
      </c>
      <c r="AA103" s="100">
        <v>3524.6587339270845</v>
      </c>
      <c r="AB103" s="100">
        <v>4.5177444025867119</v>
      </c>
      <c r="AC103" s="100">
        <v>2661.8550020040902</v>
      </c>
      <c r="AD103" s="100">
        <v>4.9847309914414764</v>
      </c>
      <c r="AE103" s="100">
        <v>2937.0035001573174</v>
      </c>
      <c r="AF103" s="100">
        <v>5.3380446846454896</v>
      </c>
      <c r="AG103" s="100">
        <v>3145.1759281931222</v>
      </c>
      <c r="AH103" s="100">
        <v>3.9714820692381236</v>
      </c>
      <c r="AI103" s="100">
        <v>2339.9972351951023</v>
      </c>
      <c r="AJ103" s="100">
        <v>5.1011911428657761</v>
      </c>
      <c r="AK103" s="100">
        <v>3005.6218213765151</v>
      </c>
      <c r="AL103" s="100">
        <v>6.3142969276728653</v>
      </c>
      <c r="AM103" s="100">
        <v>3720.3837497848517</v>
      </c>
      <c r="AN103" s="100">
        <v>5.0836509764816569</v>
      </c>
      <c r="AO103" s="100">
        <v>2995.2871553429918</v>
      </c>
      <c r="AP103" s="100">
        <v>5.3637028908853992</v>
      </c>
      <c r="AQ103" s="100">
        <v>3160.2937433096768</v>
      </c>
      <c r="AR103" s="100">
        <v>5.0658066133451234</v>
      </c>
      <c r="AS103" s="100">
        <v>2984.7732565829465</v>
      </c>
      <c r="AT103" s="100">
        <v>4.6348973283327872</v>
      </c>
      <c r="AU103" s="100">
        <v>2730.8815058536779</v>
      </c>
      <c r="AV103" s="100">
        <v>5.214659866134042</v>
      </c>
      <c r="AW103" s="100">
        <v>3072.477593126177</v>
      </c>
      <c r="AX103" s="100">
        <v>4.9375310305188869</v>
      </c>
      <c r="AY103" s="100">
        <v>2909.193283181728</v>
      </c>
      <c r="AZ103" s="100">
        <v>5.2452307187089806</v>
      </c>
      <c r="BA103" s="100">
        <v>3090.4899394633312</v>
      </c>
      <c r="BB103" s="100">
        <v>4.8431457683380961</v>
      </c>
      <c r="BC103" s="100">
        <v>2853.5814867048057</v>
      </c>
      <c r="BD103" s="100">
        <v>2.7169451730329794</v>
      </c>
      <c r="BE103" s="100">
        <v>1600.8240959510313</v>
      </c>
      <c r="BF103" s="100">
        <v>5.0273336838816576</v>
      </c>
      <c r="BG103" s="100">
        <v>2962.1050065430722</v>
      </c>
      <c r="BH103" s="100">
        <v>5.8704285984971101</v>
      </c>
      <c r="BI103" s="100">
        <v>3458.8565302344969</v>
      </c>
      <c r="BJ103" s="100">
        <v>7</v>
      </c>
      <c r="BK103" s="100">
        <v>4124.3999999999996</v>
      </c>
      <c r="BL103" s="100">
        <v>4.1335130287338648</v>
      </c>
      <c r="BM103" s="100">
        <v>2435.4658765299928</v>
      </c>
      <c r="BN103" s="100">
        <v>7.7510022280126334</v>
      </c>
      <c r="BO103" s="100">
        <v>4566.8905127450435</v>
      </c>
      <c r="BP103" s="100">
        <v>5.1020605563591692</v>
      </c>
      <c r="BQ103" s="100">
        <v>3006.1340798068222</v>
      </c>
      <c r="BR103" s="100">
        <v>6.4117209574347216</v>
      </c>
      <c r="BS103" s="100">
        <v>3777.7859881205377</v>
      </c>
      <c r="BT103" s="100">
        <v>3.15472293912421</v>
      </c>
      <c r="BU103" s="100">
        <v>1858.7627557319843</v>
      </c>
      <c r="BV103" s="100">
        <v>6.3586066181900041</v>
      </c>
      <c r="BW103" s="100">
        <v>3746.4910194375498</v>
      </c>
      <c r="BX103" s="100">
        <v>5.2817956878275334</v>
      </c>
      <c r="BY103" s="100">
        <v>3112.0340192679823</v>
      </c>
      <c r="BZ103" s="100">
        <v>5.3346254140045666</v>
      </c>
      <c r="CA103" s="100">
        <v>3143.1612939314905</v>
      </c>
      <c r="CB103" s="100">
        <v>5.6805675618675897</v>
      </c>
      <c r="CC103" s="100">
        <v>3346.9904074523834</v>
      </c>
      <c r="CD103" s="100">
        <v>4.7430465140252709</v>
      </c>
      <c r="CE103" s="100">
        <v>2794.6030060636895</v>
      </c>
      <c r="CF103" s="100">
        <v>4.6009496896720385</v>
      </c>
      <c r="CG103" s="100">
        <v>2710.8795571547648</v>
      </c>
      <c r="CH103" s="100">
        <v>4.2819675889050863</v>
      </c>
      <c r="CI103" s="100">
        <v>2522.9353033828766</v>
      </c>
      <c r="CJ103" s="100">
        <v>4.8513186280844751</v>
      </c>
      <c r="CK103" s="100">
        <v>2858.3969356673724</v>
      </c>
      <c r="CL103" s="100">
        <v>6.503946422257612</v>
      </c>
      <c r="CM103" s="100">
        <v>3832.1252319941846</v>
      </c>
      <c r="CN103" s="100">
        <v>3.5920589008952044</v>
      </c>
      <c r="CO103" s="100">
        <v>2116.4411044074541</v>
      </c>
      <c r="CP103" s="100">
        <v>6.1464844813751887</v>
      </c>
      <c r="CQ103" s="100">
        <v>3621.5086564262606</v>
      </c>
      <c r="CR103" s="100">
        <v>3.3715644672787577</v>
      </c>
      <c r="CS103" s="100">
        <v>1986.5257841206437</v>
      </c>
      <c r="CT103" s="100">
        <v>6.9101379116739459</v>
      </c>
      <c r="CU103" s="100">
        <v>4071.4532575582884</v>
      </c>
    </row>
    <row r="104" spans="2:99">
      <c r="C104" s="99" t="s">
        <v>270</v>
      </c>
      <c r="D104" s="100">
        <v>7</v>
      </c>
      <c r="E104" s="100">
        <v>4426.8</v>
      </c>
      <c r="F104" s="100">
        <v>10</v>
      </c>
      <c r="G104" s="100">
        <v>6324</v>
      </c>
      <c r="H104" s="100">
        <v>7.0489041234509155</v>
      </c>
      <c r="I104" s="100">
        <v>4457.726967670359</v>
      </c>
      <c r="J104" s="100">
        <v>2.7026107574978324</v>
      </c>
      <c r="K104" s="100">
        <v>1709.1310430416293</v>
      </c>
      <c r="L104" s="100">
        <v>6.5867511707902313</v>
      </c>
      <c r="M104" s="100">
        <v>4165.461440407742</v>
      </c>
      <c r="N104" s="100">
        <v>5.2748778711133451</v>
      </c>
      <c r="O104" s="100">
        <v>3335.8327656920792</v>
      </c>
      <c r="P104" s="100">
        <v>5.0019270662089337</v>
      </c>
      <c r="Q104" s="100">
        <v>3163.2186766705295</v>
      </c>
      <c r="R104" s="100">
        <v>2.887028941067483</v>
      </c>
      <c r="S104" s="100">
        <v>1825.7571023310761</v>
      </c>
      <c r="T104" s="100">
        <v>7.8137402887250245</v>
      </c>
      <c r="U104" s="100">
        <v>4941.4093585897053</v>
      </c>
      <c r="V104" s="100">
        <v>4.254888013830942</v>
      </c>
      <c r="W104" s="100">
        <v>2690.7911799466874</v>
      </c>
      <c r="X104" s="100">
        <v>3.5144415082966001</v>
      </c>
      <c r="Y104" s="100">
        <v>2222.5328098467699</v>
      </c>
      <c r="Z104" s="100">
        <v>5.9613700425401275</v>
      </c>
      <c r="AA104" s="100">
        <v>3769.9704149023764</v>
      </c>
      <c r="AB104" s="100">
        <v>4.558825384842903</v>
      </c>
      <c r="AC104" s="100">
        <v>2883.0011733746519</v>
      </c>
      <c r="AD104" s="100">
        <v>4.1539424928678974</v>
      </c>
      <c r="AE104" s="100">
        <v>2626.9532324896581</v>
      </c>
      <c r="AF104" s="100">
        <v>5.6343329554055899</v>
      </c>
      <c r="AG104" s="100">
        <v>3563.1521609984948</v>
      </c>
      <c r="AH104" s="100">
        <v>4.6192089223538755</v>
      </c>
      <c r="AI104" s="100">
        <v>2921.1877224965906</v>
      </c>
      <c r="AJ104" s="100">
        <v>5.1011911428657761</v>
      </c>
      <c r="AK104" s="100">
        <v>3225.9932787483167</v>
      </c>
      <c r="AL104" s="100">
        <v>5.6127083801536584</v>
      </c>
      <c r="AM104" s="100">
        <v>3549.4767796091733</v>
      </c>
      <c r="AN104" s="100">
        <v>5.4120037915607258</v>
      </c>
      <c r="AO104" s="100">
        <v>3422.5511977830029</v>
      </c>
      <c r="AP104" s="100">
        <v>4.7677359030092443</v>
      </c>
      <c r="AQ104" s="100">
        <v>3015.116185063046</v>
      </c>
      <c r="AR104" s="100">
        <v>4.4325807866769829</v>
      </c>
      <c r="AS104" s="100">
        <v>2803.164089494524</v>
      </c>
      <c r="AT104" s="100">
        <v>4.6348973283327872</v>
      </c>
      <c r="AU104" s="100">
        <v>2931.1090704376547</v>
      </c>
      <c r="AV104" s="100">
        <v>5.214659866134042</v>
      </c>
      <c r="AW104" s="100">
        <v>3297.7508993431679</v>
      </c>
      <c r="AX104" s="100">
        <v>4.2321694547304745</v>
      </c>
      <c r="AY104" s="100">
        <v>2676.4239631715518</v>
      </c>
      <c r="AZ104" s="100">
        <v>5.2531436850546998</v>
      </c>
      <c r="BA104" s="100">
        <v>3322.0880664285919</v>
      </c>
      <c r="BB104" s="100">
        <v>5.5892684379506186</v>
      </c>
      <c r="BC104" s="100">
        <v>3534.6533601599713</v>
      </c>
      <c r="BD104" s="100">
        <v>3.1697693685384762</v>
      </c>
      <c r="BE104" s="100">
        <v>2004.5621486637324</v>
      </c>
      <c r="BF104" s="100">
        <v>4.3989169733964504</v>
      </c>
      <c r="BG104" s="100">
        <v>2781.8750939759152</v>
      </c>
      <c r="BH104" s="100">
        <v>5.8704285984971101</v>
      </c>
      <c r="BI104" s="100">
        <v>3712.4590456895721</v>
      </c>
      <c r="BJ104" s="100">
        <v>7</v>
      </c>
      <c r="BK104" s="100">
        <v>4426.8</v>
      </c>
      <c r="BL104" s="100">
        <v>4.1335130287338648</v>
      </c>
      <c r="BM104" s="100">
        <v>2614.033639371296</v>
      </c>
      <c r="BN104" s="100">
        <v>6.889779758233451</v>
      </c>
      <c r="BO104" s="100">
        <v>4357.0967191068339</v>
      </c>
      <c r="BP104" s="100">
        <v>4.3731947625935739</v>
      </c>
      <c r="BQ104" s="100">
        <v>2765.6083678641762</v>
      </c>
      <c r="BR104" s="100">
        <v>5.9243420048228677</v>
      </c>
      <c r="BS104" s="100">
        <v>3746.5538838499815</v>
      </c>
      <c r="BT104" s="100">
        <v>3.6053976447133831</v>
      </c>
      <c r="BU104" s="100">
        <v>2280.0534705167433</v>
      </c>
      <c r="BV104" s="100">
        <v>6.3586066181900041</v>
      </c>
      <c r="BW104" s="100">
        <v>4021.1828253433582</v>
      </c>
      <c r="BX104" s="100">
        <v>4.6215712268490918</v>
      </c>
      <c r="BY104" s="100">
        <v>2922.6816438593655</v>
      </c>
      <c r="BZ104" s="100">
        <v>4.8496594672768794</v>
      </c>
      <c r="CA104" s="100">
        <v>3066.9246471058982</v>
      </c>
      <c r="CB104" s="100">
        <v>5.7058688191215419</v>
      </c>
      <c r="CC104" s="100">
        <v>3608.3914412124627</v>
      </c>
      <c r="CD104" s="100">
        <v>4.7430465140252709</v>
      </c>
      <c r="CE104" s="100">
        <v>2999.5026154695811</v>
      </c>
      <c r="CF104" s="100">
        <v>4.0258309784630342</v>
      </c>
      <c r="CG104" s="100">
        <v>2545.9355107800229</v>
      </c>
      <c r="CH104" s="100">
        <v>3.7341950734537139</v>
      </c>
      <c r="CI104" s="100">
        <v>2361.5049644521287</v>
      </c>
      <c r="CJ104" s="100">
        <v>4.8513186280844751</v>
      </c>
      <c r="CK104" s="100">
        <v>3067.9739004006219</v>
      </c>
      <c r="CL104" s="100">
        <v>5.8806461909185872</v>
      </c>
      <c r="CM104" s="100">
        <v>3718.9206511369143</v>
      </c>
      <c r="CN104" s="100">
        <v>3.5920589008952044</v>
      </c>
      <c r="CO104" s="100">
        <v>2271.6180489261274</v>
      </c>
      <c r="CP104" s="100">
        <v>6.1137388413067386</v>
      </c>
      <c r="CQ104" s="100">
        <v>3866.3284432423816</v>
      </c>
      <c r="CR104" s="100">
        <v>3.7002428429410226</v>
      </c>
      <c r="CS104" s="100">
        <v>2340.0335738759027</v>
      </c>
      <c r="CT104" s="100">
        <v>6.9101379116739459</v>
      </c>
      <c r="CU104" s="100">
        <v>4369.9712153426035</v>
      </c>
    </row>
    <row r="105" spans="2:99">
      <c r="C105" s="99" t="s">
        <v>271</v>
      </c>
      <c r="D105" s="100">
        <v>8</v>
      </c>
      <c r="E105" s="100">
        <v>4454.3999999999996</v>
      </c>
      <c r="F105" s="100">
        <v>8</v>
      </c>
      <c r="G105" s="100">
        <v>4454.3999999999996</v>
      </c>
      <c r="H105" s="100">
        <v>6.8808621145029347</v>
      </c>
      <c r="I105" s="100">
        <v>3831.2640253552336</v>
      </c>
      <c r="J105" s="100">
        <v>2.7026107574978324</v>
      </c>
      <c r="K105" s="100">
        <v>1504.813669774793</v>
      </c>
      <c r="L105" s="100">
        <v>5.645786717820199</v>
      </c>
      <c r="M105" s="100">
        <v>3143.5740444822864</v>
      </c>
      <c r="N105" s="100">
        <v>5.9342376050025134</v>
      </c>
      <c r="O105" s="100">
        <v>3304.1834984653992</v>
      </c>
      <c r="P105" s="100">
        <v>4.9645400695181312</v>
      </c>
      <c r="Q105" s="100">
        <v>2764.2559107076954</v>
      </c>
      <c r="R105" s="100">
        <v>3.368200431245397</v>
      </c>
      <c r="S105" s="100">
        <v>1875.4140001174369</v>
      </c>
      <c r="T105" s="100">
        <v>7.8137402887250245</v>
      </c>
      <c r="U105" s="100">
        <v>4350.6905927620928</v>
      </c>
      <c r="V105" s="100">
        <v>4.254888013830942</v>
      </c>
      <c r="W105" s="100">
        <v>2369.1216461010681</v>
      </c>
      <c r="X105" s="100">
        <v>3.5144415082966001</v>
      </c>
      <c r="Y105" s="100">
        <v>1956.8410318195467</v>
      </c>
      <c r="Z105" s="100">
        <v>5.2395303265475386</v>
      </c>
      <c r="AA105" s="100">
        <v>2917.3704858216693</v>
      </c>
      <c r="AB105" s="100">
        <v>4.558825384842903</v>
      </c>
      <c r="AC105" s="100">
        <v>2538.3539742805283</v>
      </c>
      <c r="AD105" s="100">
        <v>4.1539424928678974</v>
      </c>
      <c r="AE105" s="100">
        <v>2312.915180028845</v>
      </c>
      <c r="AF105" s="100">
        <v>5.0082959603605248</v>
      </c>
      <c r="AG105" s="100">
        <v>2788.6191907287398</v>
      </c>
      <c r="AH105" s="100">
        <v>4.6192089223538755</v>
      </c>
      <c r="AI105" s="100">
        <v>2571.9755279666379</v>
      </c>
      <c r="AJ105" s="100">
        <v>5.6113102571523532</v>
      </c>
      <c r="AK105" s="100">
        <v>3124.3775511824301</v>
      </c>
      <c r="AL105" s="100">
        <v>5.6127083801536584</v>
      </c>
      <c r="AM105" s="100">
        <v>3125.1560260695569</v>
      </c>
      <c r="AN105" s="100">
        <v>5.0836509764816569</v>
      </c>
      <c r="AO105" s="100">
        <v>2830.5768637049864</v>
      </c>
      <c r="AP105" s="100">
        <v>4.7677359030092443</v>
      </c>
      <c r="AQ105" s="100">
        <v>2654.6753507955468</v>
      </c>
      <c r="AR105" s="100">
        <v>4.4325807866769829</v>
      </c>
      <c r="AS105" s="100">
        <v>2468.0609820217437</v>
      </c>
      <c r="AT105" s="100">
        <v>4.6348973283327872</v>
      </c>
      <c r="AU105" s="100">
        <v>2580.7108324156957</v>
      </c>
      <c r="AV105" s="100">
        <v>5.8664923494007981</v>
      </c>
      <c r="AW105" s="100">
        <v>3266.462940146364</v>
      </c>
      <c r="AX105" s="100">
        <v>4.2321694547304745</v>
      </c>
      <c r="AY105" s="100">
        <v>2356.4719523939279</v>
      </c>
      <c r="AZ105" s="100">
        <v>5.7721276804835941</v>
      </c>
      <c r="BA105" s="100">
        <v>3213.9206924932651</v>
      </c>
      <c r="BB105" s="100">
        <v>5.6136957546614825</v>
      </c>
      <c r="BC105" s="100">
        <v>3125.7057961955134</v>
      </c>
      <c r="BD105" s="100">
        <v>3.1697693685384762</v>
      </c>
      <c r="BE105" s="100">
        <v>1764.9275844022234</v>
      </c>
      <c r="BF105" s="100">
        <v>5.0273336838816576</v>
      </c>
      <c r="BG105" s="100">
        <v>2799.2193951853069</v>
      </c>
      <c r="BH105" s="100">
        <v>5.2833857386473992</v>
      </c>
      <c r="BI105" s="100">
        <v>2941.7891792788719</v>
      </c>
      <c r="BJ105" s="100">
        <v>7</v>
      </c>
      <c r="BK105" s="100">
        <v>3897.5999999999995</v>
      </c>
      <c r="BL105" s="100">
        <v>4.1335130287338648</v>
      </c>
      <c r="BM105" s="100">
        <v>2301.5400543990158</v>
      </c>
      <c r="BN105" s="100">
        <v>7.7510022280126334</v>
      </c>
      <c r="BO105" s="100">
        <v>4315.7580405574336</v>
      </c>
      <c r="BP105" s="100">
        <v>5.1020605563591692</v>
      </c>
      <c r="BQ105" s="100">
        <v>2840.8273177807851</v>
      </c>
      <c r="BR105" s="100">
        <v>5.3886910356888018</v>
      </c>
      <c r="BS105" s="100">
        <v>3000.4231686715248</v>
      </c>
      <c r="BT105" s="100">
        <v>3.6053976447133831</v>
      </c>
      <c r="BU105" s="100">
        <v>2007.4854085764116</v>
      </c>
      <c r="BV105" s="100">
        <v>6.3586066181900041</v>
      </c>
      <c r="BW105" s="100">
        <v>3540.4721650081938</v>
      </c>
      <c r="BX105" s="100">
        <v>5.2817956878275334</v>
      </c>
      <c r="BY105" s="100">
        <v>2940.9038389823704</v>
      </c>
      <c r="BZ105" s="100">
        <v>5.3346254140045666</v>
      </c>
      <c r="CA105" s="100">
        <v>2970.3194305177426</v>
      </c>
      <c r="CB105" s="100">
        <v>5.6805675618675897</v>
      </c>
      <c r="CC105" s="100">
        <v>3162.9400184478736</v>
      </c>
      <c r="CD105" s="100">
        <v>4.7430465140252709</v>
      </c>
      <c r="CE105" s="100">
        <v>2640.9282990092706</v>
      </c>
      <c r="CF105" s="100">
        <v>4.6009496896720385</v>
      </c>
      <c r="CG105" s="100">
        <v>2561.8087872093906</v>
      </c>
      <c r="CH105" s="100">
        <v>4.2819675889050863</v>
      </c>
      <c r="CI105" s="100">
        <v>2384.199553502352</v>
      </c>
      <c r="CJ105" s="100">
        <v>5.2923475942739735</v>
      </c>
      <c r="CK105" s="100">
        <v>2946.7791404917484</v>
      </c>
      <c r="CL105" s="100">
        <v>6.503946422257612</v>
      </c>
      <c r="CM105" s="100">
        <v>3621.3973679130381</v>
      </c>
      <c r="CN105" s="100">
        <v>3.5920589008952044</v>
      </c>
      <c r="CO105" s="100">
        <v>2000.0583960184497</v>
      </c>
      <c r="CP105" s="100">
        <v>5.2777711669125766</v>
      </c>
      <c r="CQ105" s="100">
        <v>2938.6629857369226</v>
      </c>
      <c r="CR105" s="100">
        <v>3.6925355056086486</v>
      </c>
      <c r="CS105" s="100">
        <v>2056.0037695228953</v>
      </c>
      <c r="CT105" s="100">
        <v>6.9101379116739459</v>
      </c>
      <c r="CU105" s="100">
        <v>3847.5647892200527</v>
      </c>
    </row>
    <row r="107" spans="2:99">
      <c r="B107" s="104" t="s">
        <v>276</v>
      </c>
    </row>
    <row r="108" spans="2:99">
      <c r="C108" s="99" t="s">
        <v>277</v>
      </c>
      <c r="D108" s="99" t="s">
        <v>92</v>
      </c>
      <c r="E108" s="99" t="s">
        <v>93</v>
      </c>
      <c r="F108" s="99" t="s">
        <v>94</v>
      </c>
      <c r="G108" s="99" t="s">
        <v>95</v>
      </c>
      <c r="H108" s="99" t="s">
        <v>96</v>
      </c>
      <c r="I108" s="99" t="s">
        <v>97</v>
      </c>
      <c r="J108" s="99" t="s">
        <v>98</v>
      </c>
      <c r="K108" s="99" t="s">
        <v>99</v>
      </c>
      <c r="L108" s="99" t="s">
        <v>100</v>
      </c>
      <c r="M108" s="99" t="s">
        <v>101</v>
      </c>
      <c r="N108" s="99" t="s">
        <v>102</v>
      </c>
      <c r="O108" s="99" t="s">
        <v>103</v>
      </c>
    </row>
    <row r="109" spans="2:99">
      <c r="C109" s="99" t="s">
        <v>126</v>
      </c>
      <c r="D109" s="100">
        <f>SUM(D$6:D$19)+SUM(F$6:F$19)+SUM(H$6:H$19)+SUM(J$6:J$19)</f>
        <v>221.48087019878889</v>
      </c>
      <c r="E109" s="100">
        <f>SUM(L$6:L$19)+SUM(N$6:N$19)+SUM(P$6:P$19)+SUM(R$6:R$19)</f>
        <v>283.39599724639237</v>
      </c>
      <c r="F109" s="100">
        <f>SUM(T$6:T$19)+SUM(V$6:V$19)+SUM(X$6:X$19)+SUM(Z$6:Z$19)</f>
        <v>341.6184655752653</v>
      </c>
      <c r="G109" s="100">
        <f>SUM(AB$6:AB$19)+SUM(AD$6:AD$19)+SUM(AF$6:AF$19)+SUM(AH$6:AH$19)</f>
        <v>329.17268370461954</v>
      </c>
      <c r="H109" s="100">
        <f>SUM(AJ$6:AJ$19)+SUM(AL$6:AL$19)+SUM(AN$6:AN$19)+SUM(AP$6:AP$19)</f>
        <v>264.35159464543079</v>
      </c>
      <c r="I109" s="100">
        <f>SUM(AR$6:AR$19)+SUM(AT$6:AT$19)+SUM(AV$6:AV$19)+SUM(AX$6:AX$19)</f>
        <v>289.3171889604705</v>
      </c>
      <c r="J109" s="100">
        <f>SUM(AZ$6:AZ$19)+SUM(BB$6:BB$19)+SUM(BD$6:BD$19)+SUM(BF$6:BF$19)</f>
        <v>308.27987676349829</v>
      </c>
      <c r="K109" s="100">
        <f>SUM(BH$6:BH$19)+SUM(BJ$6:BJ$19)+SUM(BL$6:BL$19)+SUM(BN$6:BN$19)</f>
        <v>321.70793259509986</v>
      </c>
      <c r="L109" s="100">
        <f>SUM(BP$6:BP$19)+SUM(BR$6:BR$19)+SUM(BT$6:BT$19)+SUM(BV$6:BV$19)</f>
        <v>296.65357943453574</v>
      </c>
      <c r="M109" s="100">
        <f>SUM(BX$6:BX$19)+SUM(BZ$6:BZ$19)+SUM(CB$6:CB$19)+SUM(CD$6:CD$19)</f>
        <v>365.05526434033396</v>
      </c>
      <c r="N109" s="100">
        <f>SUM(CF$6:CF$19)+SUM(CH$6:CH$19)+SUM(CJ$6:CJ$19)+SUM(CL$6:CL$19)</f>
        <v>348.88958177931761</v>
      </c>
      <c r="O109" s="100">
        <f>SUM(CN$6:CN$19)+SUM(CP$6:CP$19)+SUM(CR$6:CR$19)+SUM(CT$6:CT$19)</f>
        <v>349.36381376041936</v>
      </c>
    </row>
    <row r="110" spans="2:99">
      <c r="C110" s="99" t="s">
        <v>127</v>
      </c>
      <c r="D110" s="100">
        <f>SUM(D$20:D$36)+SUM(F$20:F$36)+SUM(H$20:H$36)+SUM(J$20:J$36)</f>
        <v>385.21861131298419</v>
      </c>
      <c r="E110" s="100">
        <f>SUM(L$20:L$36)+SUM(N$20:N$36)+SUM(P$20:P$36)+SUM(R$20:R$36)</f>
        <v>548.56166851410944</v>
      </c>
      <c r="F110" s="100">
        <f>SUM(T$20:T$36)+SUM(V$20:V$36)+SUM(X$20:X$36)+SUM(Z$20:Z$36)</f>
        <v>691.52708136972115</v>
      </c>
      <c r="G110" s="100">
        <f>SUM(AB$20:AB$36)+SUM(AD$20:AD$36)+SUM(AF$20:AF$36)+SUM(AH$20:AH$36)</f>
        <v>632.81007320433378</v>
      </c>
      <c r="H110" s="100">
        <f>SUM(AJ$20:AJ$36)+SUM(AL$20:AL$36)+SUM(AN$20:AN$36)+SUM(AP$20:AP$36)</f>
        <v>577.13988187028815</v>
      </c>
      <c r="I110" s="100">
        <f>SUM(AR$20:AR$36)+SUM(AT$20:AT$36)+SUM(AV$20:AV$36)+SUM(AX$20:AX$36)</f>
        <v>701.30853694544976</v>
      </c>
      <c r="J110" s="100">
        <f>SUM(AZ$20:AZ$36)+SUM(BB$20:BB$36)+SUM(BD$20:BD$36)+SUM(BF$20:BF$36)</f>
        <v>596.72832795297711</v>
      </c>
      <c r="K110" s="100">
        <f>SUM(BH$20:BH$36)+SUM(BJ$20:BJ$36)+SUM(BL$20:BL$36)+SUM(BN$20:BN$36)</f>
        <v>572.79315497399534</v>
      </c>
      <c r="L110" s="100">
        <f>SUM(BP$20:BP$36)+SUM(BR$20:BR$36)+SUM(BT$20:BT$36)+SUM(BV$20:BV$36)</f>
        <v>607.54251251934511</v>
      </c>
      <c r="M110" s="100">
        <f>SUM(BX$20:BX$36)+SUM(BZ$20:BZ$36)+SUM(CB$20:CB$36)+SUM(CD$20:CD$36)</f>
        <v>712.5636473689899</v>
      </c>
      <c r="N110" s="100">
        <f>SUM(CF$20:CF$36)+SUM(CH$20:CH$36)+SUM(CJ$20:CJ$36)+SUM(CL$20:CL$36)</f>
        <v>597.68136068020362</v>
      </c>
      <c r="O110" s="100">
        <f>SUM(CN$20:CN$36)+SUM(CP$20:CP$36)+SUM(CR$20:CR$36)+SUM(CT$20:CT$36)</f>
        <v>654.86038622222077</v>
      </c>
    </row>
    <row r="111" spans="2:99">
      <c r="C111" s="99" t="s">
        <v>128</v>
      </c>
      <c r="D111" s="100">
        <f>SUM(D$37:D$48)+SUM(F$37:F$48)+SUM(H$37:H$48)+SUM(J$37:J$48)</f>
        <v>138.28236904669291</v>
      </c>
      <c r="E111" s="100">
        <f>SUM(L$37:L$48)+SUM(N$37:N$48)+SUM(P$37:P$48)+SUM(R$37:R$48)</f>
        <v>257.2377119148419</v>
      </c>
      <c r="F111" s="100">
        <f>SUM(T$37:T$48)+SUM(V$37:V$48)+SUM(X$37:X$48)+SUM(Z$37:Z$48)</f>
        <v>314.25065158632276</v>
      </c>
      <c r="G111" s="100">
        <f>SUM(AB$37:AB$48)+SUM(AD$37:AD$48)+SUM(AF$37:AF$48)+SUM(AH$37:AH$48)</f>
        <v>225.54602231839135</v>
      </c>
      <c r="H111" s="100">
        <f>SUM(AJ$37:AJ$48)+SUM(AL$37:AL$48)+SUM(AN$37:AN$48)+SUM(AP$37:AP$48)</f>
        <v>235.41363974662897</v>
      </c>
      <c r="I111" s="100">
        <f>SUM(AR$37:AR$48)+SUM(AT$37:AT$48)+SUM(AV$37:AV$48)+SUM(AX$37:AX$48)</f>
        <v>305.3704169222915</v>
      </c>
      <c r="J111" s="100">
        <f>SUM(AZ$37:AZ$48)+SUM(BB$37:BB$48)+SUM(BD$37:BD$48)+SUM(BF$37:BF$48)</f>
        <v>269.36203824516616</v>
      </c>
      <c r="K111" s="100">
        <f>SUM(BH$37:BH$48)+SUM(BJ$37:BJ$48)+SUM(BL$37:BL$48)+SUM(BN$37:BN$48)</f>
        <v>290.46398098937215</v>
      </c>
      <c r="L111" s="100">
        <f>SUM(BP$37:BP$48)+SUM(BR$37:BR$48)+SUM(BT$37:BT$48)+SUM(BV$37:BV$48)</f>
        <v>231.17386062768998</v>
      </c>
      <c r="M111" s="100">
        <f>SUM(BX$37:BX$48)+SUM(BZ$37:BZ$48)+SUM(CB$37:CB$48)+SUM(CD$37:CD$48)</f>
        <v>289.07271815858485</v>
      </c>
      <c r="N111" s="100">
        <f>SUM(CF$37:CF$48)+SUM(CH$37:CH$48)+SUM(CJ$37:CJ$48)+SUM(CL$37:CL$48)</f>
        <v>248.49142101017028</v>
      </c>
      <c r="O111" s="100">
        <f>SUM(CN$37:CN$48)+SUM(CP$37:CP$48)+SUM(CR$37:CR$48)+SUM(CT$37:CT$48)</f>
        <v>249.70006671954093</v>
      </c>
    </row>
    <row r="112" spans="2:99">
      <c r="C112" s="99" t="s">
        <v>129</v>
      </c>
      <c r="D112" s="100">
        <f>SUM(D$49:D$70)+SUM(F$49:F$70)+SUM(H$49:H$70)+SUM(J$49:J$70)</f>
        <v>245.67738844118833</v>
      </c>
      <c r="E112" s="100">
        <f>SUM(L$49:L$70)+SUM(N$49:N$70)+SUM(P$49:P$70)+SUM(R$49:R$70)</f>
        <v>385.35775898060967</v>
      </c>
      <c r="F112" s="100">
        <f>SUM(T$49:T$70)+SUM(V$49:V$70)+SUM(X$49:X$70)+SUM(Z$49:Z$70)</f>
        <v>317.15382436509128</v>
      </c>
      <c r="G112" s="100">
        <f>SUM(AB$49:AB$70)+SUM(AD$49:AD$70)+SUM(AF$49:AF$70)+SUM(AH$49:AH$70)</f>
        <v>368.09013827351146</v>
      </c>
      <c r="H112" s="100">
        <f>SUM(AJ$49:AJ$70)+SUM(AL$49:AL$70)+SUM(AN$49:AN$70)+SUM(AP$49:AP$70)</f>
        <v>334.03753590848174</v>
      </c>
      <c r="I112" s="100">
        <f>SUM(AR$49:AR$70)+SUM(AT$49:AT$70)+SUM(AV$49:AV$70)+SUM(AX$49:AX$70)</f>
        <v>377.15946101426255</v>
      </c>
      <c r="J112" s="100">
        <f>SUM(AZ$49:AZ$70)+SUM(BB$49:BB$70)+SUM(BD$49:BD$70)+SUM(BF$49:BF$70)</f>
        <v>397.42729567387511</v>
      </c>
      <c r="K112" s="100">
        <f>SUM(BH$49:BH$70)+SUM(BJ$49:BJ$70)+SUM(BL$49:BL$70)+SUM(BN$49:BN$70)</f>
        <v>389.25713097182859</v>
      </c>
      <c r="L112" s="100">
        <f>SUM(BP$49:BP$70)+SUM(BR$49:BR$70)+SUM(BT$49:BT$70)+SUM(BV$49:BV$70)</f>
        <v>343.54282669710449</v>
      </c>
      <c r="M112" s="100">
        <f>SUM(BX$49:BX$70)+SUM(BZ$49:BZ$70)+SUM(CB$49:CB$70)+SUM(CD$49:CD$70)</f>
        <v>347.21620523824549</v>
      </c>
      <c r="N112" s="100">
        <f>SUM(CF$49:CF$70)+SUM(CH$49:CH$70)+SUM(CJ$49:CJ$70)+SUM(CL$49:CL$70)</f>
        <v>356.42304774863766</v>
      </c>
      <c r="O112" s="100">
        <f>SUM(CN$49:CN$70)+SUM(CP$49:CP$70)+SUM(CR$49:CR$70)+SUM(CT$49:CT$70)</f>
        <v>277.18732339856695</v>
      </c>
    </row>
    <row r="113" spans="2:15">
      <c r="C113" s="99" t="s">
        <v>130</v>
      </c>
      <c r="D113" s="100">
        <f>SUM(D$71:D$86)+SUM(F$71:F$86)+SUM(H$71:H$86)+SUM(J$71:J$86)</f>
        <v>277.77127369298017</v>
      </c>
      <c r="E113" s="100">
        <f>SUM(L$71:L$86)+SUM(N$71:N$86)+SUM(P$71:P$86)+SUM(R$71:R$86)</f>
        <v>233</v>
      </c>
      <c r="F113" s="100">
        <f>SUM(T$71:T$86)+SUM(V$71:V$86)+SUM(X$71:X$86)+SUM(Z$71:Z$86)</f>
        <v>300.77754910964626</v>
      </c>
      <c r="G113" s="100">
        <f>SUM(AB$71:AB$86)+SUM(AD$71:AD$86)+SUM(AF$71:AF$86)+SUM(AH$71:AH$86)</f>
        <v>220.63372803023213</v>
      </c>
      <c r="H113" s="100">
        <f>SUM(AJ$71:AJ$86)+SUM(AL$71:AL$86)+SUM(AN$71:AN$86)+SUM(AP$71:AP$86)</f>
        <v>269</v>
      </c>
      <c r="I113" s="100">
        <f>SUM(AR$71:AR$86)+SUM(AT$71:AT$86)+SUM(AV$71:AV$86)+SUM(AX$71:AX$86)</f>
        <v>261</v>
      </c>
      <c r="J113" s="100">
        <f>SUM(AZ$71:AZ$86)+SUM(BB$71:BB$86)+SUM(BD$71:BD$86)+SUM(BF$71:BF$86)</f>
        <v>269.16246345814079</v>
      </c>
      <c r="K113" s="100">
        <f>SUM(BH$71:BH$86)+SUM(BJ$71:BJ$86)+SUM(BL$71:BL$86)+SUM(BN$71:BN$86)</f>
        <v>254.60520917147448</v>
      </c>
      <c r="L113" s="100">
        <f>SUM(BP$71:BP$86)+SUM(BR$71:BR$86)+SUM(BT$71:BT$86)+SUM(BV$71:BV$86)</f>
        <v>264.51701488272352</v>
      </c>
      <c r="M113" s="100">
        <f>SUM(BX$71:BX$86)+SUM(BZ$71:BZ$86)+SUM(CB$71:CB$86)+SUM(CD$71:CD$86)</f>
        <v>239.90024525849378</v>
      </c>
      <c r="N113" s="100">
        <f>SUM(CF$71:CF$86)+SUM(CH$71:CH$86)+SUM(CJ$71:CJ$86)+SUM(CL$71:CL$86)</f>
        <v>255.93900225023643</v>
      </c>
      <c r="O113" s="100">
        <f>SUM(CN$71:CN$86)+SUM(CP$71:CP$86)+SUM(CR$71:CR$86)+SUM(CT$71:CT$86)</f>
        <v>243.00483216198771</v>
      </c>
    </row>
    <row r="114" spans="2:15">
      <c r="C114" s="99" t="s">
        <v>131</v>
      </c>
      <c r="D114" s="100">
        <f>SUM(D$87:D$94)+SUM(F$87:F$94)+SUM(H$87:H$94)+SUM(J$87:J$94)</f>
        <v>137.21349838026552</v>
      </c>
      <c r="E114" s="100">
        <f>SUM(L$87:L$94)+SUM(N$87:N$94)+SUM(P$87:P$94)+SUM(R$87:R$94)</f>
        <v>119.74944345455347</v>
      </c>
      <c r="F114" s="100">
        <f>SUM(T$87:T$94)+SUM(V$87:V$94)+SUM(X$87:X$94)+SUM(Z$87:Z$94)</f>
        <v>113.83694231686118</v>
      </c>
      <c r="G114" s="100">
        <f>SUM(AB$87:AB$94)+SUM(AD$87:AD$94)+SUM(AF$87:AF$94)+SUM(AH$87:AH$94)</f>
        <v>128.33978710923759</v>
      </c>
      <c r="H114" s="100">
        <f>SUM(AJ$87:AJ$94)+SUM(AL$87:AL$94)+SUM(AN$87:AN$94)+SUM(AP$87:AP$94)</f>
        <v>102.95603346967269</v>
      </c>
      <c r="I114" s="100">
        <f>SUM(AR$87:AR$94)+SUM(AT$87:AT$94)+SUM(AV$87:AV$94)+SUM(AX$87:AX$94)</f>
        <v>120.62405266440057</v>
      </c>
      <c r="J114" s="100">
        <f>SUM(AZ$87:AZ$94)+SUM(BB$87:BB$94)+SUM(BD$87:BD$94)+SUM(BF$87:BF$94)</f>
        <v>109.74252399612294</v>
      </c>
      <c r="K114" s="100">
        <f>SUM(BH$87:BH$94)+SUM(BJ$87:BJ$94)+SUM(BL$87:BL$94)+SUM(BN$87:BN$94)</f>
        <v>97.178655535865786</v>
      </c>
      <c r="L114" s="100">
        <f>SUM(BP$87:BP$94)+SUM(BR$87:BR$94)+SUM(BT$87:BT$94)+SUM(BV$87:BV$94)</f>
        <v>112.37307274015427</v>
      </c>
      <c r="M114" s="100">
        <f>SUM(BX$87:BX$94)+SUM(BZ$87:BZ$94)+SUM(CB$87:CB$94)+SUM(CD$87:CD$94)</f>
        <v>111.85322301767428</v>
      </c>
      <c r="N114" s="100">
        <f>SUM(CF$87:CF$94)+SUM(CH$87:CH$94)+SUM(CJ$87:CJ$94)+SUM(CL$87:CL$94)</f>
        <v>109.27292734311007</v>
      </c>
      <c r="O114" s="100">
        <f>SUM(CN$87:CN$94)+SUM(CP$87:CP$94)+SUM(CR$87:CR$94)+SUM(CT$87:CT$94)</f>
        <v>98.70267507418383</v>
      </c>
    </row>
    <row r="115" spans="2:15">
      <c r="C115" s="99" t="s">
        <v>132</v>
      </c>
      <c r="D115" s="100">
        <f>SUM(D$95:D$105)+SUM(F$95:F$105)+SUM(H$95:H$105)+SUM(J$95:J$105)</f>
        <v>291.01208148803062</v>
      </c>
      <c r="E115" s="100">
        <f>SUM(L$95:L$105)+SUM(N$95:N$105)+SUM(P$95:P$105)+SUM(R$95:R$105)</f>
        <v>219.53074017571024</v>
      </c>
      <c r="F115" s="100">
        <f>SUM(T$95:T$105)+SUM(V$95:V$105)+SUM(X$95:X$105)+SUM(Z$95:Z$105)</f>
        <v>228.35656236927679</v>
      </c>
      <c r="G115" s="100">
        <f>SUM(AB$95:AB$105)+SUM(AD$95:AD$105)+SUM(AF$95:AF$105)+SUM(AH$95:AH$105)</f>
        <v>204.17383026832607</v>
      </c>
      <c r="H115" s="100">
        <f>SUM(AJ$95:AJ$105)+SUM(AL$95:AL$105)+SUM(AN$95:AN$105)+SUM(AP$95:AP$105)</f>
        <v>235.45989607276991</v>
      </c>
      <c r="I115" s="100">
        <f>SUM(AR$95:AR$105)+SUM(AT$95:AT$105)+SUM(AV$95:AV$105)+SUM(AX$95:AX$105)</f>
        <v>212.60928974534622</v>
      </c>
      <c r="J115" s="100">
        <f>SUM(AZ$95:AZ$105)+SUM(BB$95:BB$105)+SUM(BD$95:BD$105)+SUM(BF$95:BF$105)</f>
        <v>198.75947319351843</v>
      </c>
      <c r="K115" s="100">
        <f>SUM(BH$95:BH$105)+SUM(BJ$95:BJ$105)+SUM(BL$95:BL$105)+SUM(BN$95:BN$105)</f>
        <v>261.78510653637051</v>
      </c>
      <c r="L115" s="100">
        <f>SUM(BP$95:BP$105)+SUM(BR$95:BR$105)+SUM(BT$95:BT$105)+SUM(BV$95:BV$105)</f>
        <v>227.49164206343798</v>
      </c>
      <c r="M115" s="100">
        <f>SUM(BX$95:BX$105)+SUM(BZ$95:BZ$105)+SUM(CB$95:CB$105)+SUM(CD$95:CD$105)</f>
        <v>221.36276528995552</v>
      </c>
      <c r="N115" s="100">
        <f>SUM(CF$95:CF$105)+SUM(CH$95:CH$105)+SUM(CJ$95:CJ$105)+SUM(CL$95:CL$105)</f>
        <v>210.36695892307335</v>
      </c>
      <c r="O115" s="100">
        <f>SUM(CN$95:CN$105)+SUM(CP$95:CP$105)+SUM(CR$95:CR$105)+SUM(CT$95:CT$105)</f>
        <v>217.30437143021783</v>
      </c>
    </row>
    <row r="116" spans="2:15">
      <c r="C116" s="99" t="s">
        <v>278</v>
      </c>
      <c r="D116" s="100">
        <f t="shared" ref="D116:O116" si="0">SUM(D$109:D$115)</f>
        <v>1696.6560925609306</v>
      </c>
      <c r="E116" s="100">
        <f t="shared" si="0"/>
        <v>2046.8333202862173</v>
      </c>
      <c r="F116" s="100">
        <f t="shared" si="0"/>
        <v>2307.5210766921846</v>
      </c>
      <c r="G116" s="100">
        <f t="shared" si="0"/>
        <v>2108.7662629086522</v>
      </c>
      <c r="H116" s="100">
        <f t="shared" si="0"/>
        <v>2018.3585817132721</v>
      </c>
      <c r="I116" s="100">
        <f t="shared" si="0"/>
        <v>2267.3889462522211</v>
      </c>
      <c r="J116" s="100">
        <f t="shared" si="0"/>
        <v>2149.4619992832986</v>
      </c>
      <c r="K116" s="100">
        <f t="shared" si="0"/>
        <v>2187.7911707740072</v>
      </c>
      <c r="L116" s="100">
        <f t="shared" si="0"/>
        <v>2083.2945089649911</v>
      </c>
      <c r="M116" s="100">
        <f t="shared" si="0"/>
        <v>2287.0240686722777</v>
      </c>
      <c r="N116" s="100">
        <f t="shared" si="0"/>
        <v>2127.0642997347491</v>
      </c>
      <c r="O116" s="100">
        <f t="shared" si="0"/>
        <v>2090.1234687671372</v>
      </c>
    </row>
    <row r="118" spans="2:15">
      <c r="B118" s="103" t="s">
        <v>279</v>
      </c>
    </row>
    <row r="119" spans="2:15">
      <c r="C119" s="99" t="s">
        <v>277</v>
      </c>
      <c r="D119" s="99" t="s">
        <v>92</v>
      </c>
      <c r="E119" s="99" t="s">
        <v>93</v>
      </c>
      <c r="F119" s="99" t="s">
        <v>94</v>
      </c>
      <c r="G119" s="99" t="s">
        <v>95</v>
      </c>
      <c r="H119" s="99" t="s">
        <v>96</v>
      </c>
      <c r="I119" s="99" t="s">
        <v>97</v>
      </c>
      <c r="J119" s="99" t="s">
        <v>98</v>
      </c>
      <c r="K119" s="99" t="s">
        <v>99</v>
      </c>
      <c r="L119" s="99" t="s">
        <v>100</v>
      </c>
      <c r="M119" s="99" t="s">
        <v>101</v>
      </c>
      <c r="N119" s="99" t="s">
        <v>102</v>
      </c>
      <c r="O119" s="99" t="s">
        <v>103</v>
      </c>
    </row>
    <row r="120" spans="2:15">
      <c r="C120" s="99" t="s">
        <v>126</v>
      </c>
      <c r="D120" s="100">
        <f>D109*pricing!D24*2000</f>
        <v>1683254.6135107954</v>
      </c>
      <c r="E120" s="100">
        <f>E109*pricing!E24*2000</f>
        <v>2153809.5790725821</v>
      </c>
      <c r="F120" s="100">
        <f>F109*pricing!F24*2000</f>
        <v>2596300.3383720159</v>
      </c>
      <c r="G120" s="100">
        <f>G109*pricing!G24*2000</f>
        <v>2501712.3961551082</v>
      </c>
      <c r="H120" s="100">
        <f>H109*pricing!H24*2000</f>
        <v>2009072.119305274</v>
      </c>
      <c r="I120" s="100">
        <f>I109*pricing!I24*2000</f>
        <v>2198810.6360995756</v>
      </c>
      <c r="J120" s="100">
        <f>J109*pricing!J24*2000</f>
        <v>2342927.0634025871</v>
      </c>
      <c r="K120" s="100">
        <f>K109*pricing!K24*2000</f>
        <v>2444980.2877227589</v>
      </c>
      <c r="L120" s="100">
        <f>L109*pricing!L24*2000</f>
        <v>2254567.2037024717</v>
      </c>
      <c r="M120" s="100">
        <f>M109*pricing!M24*2000</f>
        <v>2774420.0089865383</v>
      </c>
      <c r="N120" s="100">
        <f>N109*pricing!N24*2000</f>
        <v>2651560.8215228133</v>
      </c>
      <c r="O120" s="100">
        <f>O109*pricing!O24*2000</f>
        <v>2655164.9845791874</v>
      </c>
    </row>
    <row r="121" spans="2:15">
      <c r="C121" s="99" t="s">
        <v>127</v>
      </c>
      <c r="D121" s="100">
        <f>D110*pricing!D25*2000</f>
        <v>2927661.4459786797</v>
      </c>
      <c r="E121" s="100">
        <f>E110*pricing!E25*2000</f>
        <v>4169068.6807072316</v>
      </c>
      <c r="F121" s="100">
        <f>F110*pricing!F25*2000</f>
        <v>5255605.8184098806</v>
      </c>
      <c r="G121" s="100">
        <f>G110*pricing!G25*2000</f>
        <v>4809356.5563529367</v>
      </c>
      <c r="H121" s="100">
        <f>H110*pricing!H25*2000</f>
        <v>4386263.1022141892</v>
      </c>
      <c r="I121" s="100">
        <f>I110*pricing!I25*2000</f>
        <v>5329944.8807854177</v>
      </c>
      <c r="J121" s="100">
        <f>J110*pricing!J25*2000</f>
        <v>4535135.2924426254</v>
      </c>
      <c r="K121" s="100">
        <f>K110*pricing!K25*2000</f>
        <v>4353227.9778023642</v>
      </c>
      <c r="L121" s="100">
        <f>L110*pricing!L25*2000</f>
        <v>4617323.095147022</v>
      </c>
      <c r="M121" s="100">
        <f>M110*pricing!M25*2000</f>
        <v>5415483.7200043229</v>
      </c>
      <c r="N121" s="100">
        <f>N110*pricing!N25*2000</f>
        <v>4542378.3411695473</v>
      </c>
      <c r="O121" s="100">
        <f>O110*pricing!O25*2000</f>
        <v>4976938.9352888772</v>
      </c>
    </row>
    <row r="122" spans="2:15">
      <c r="C122" s="99" t="s">
        <v>128</v>
      </c>
      <c r="D122" s="100">
        <f>D111*pricing!D26*2000</f>
        <v>1050946.004754866</v>
      </c>
      <c r="E122" s="100">
        <f>E111*pricing!E26*2000</f>
        <v>1955006.6105527983</v>
      </c>
      <c r="F122" s="100">
        <f>F111*pricing!F26*2000</f>
        <v>2388304.9520560531</v>
      </c>
      <c r="G122" s="100">
        <f>G111*pricing!G26*2000</f>
        <v>1714149.7696197741</v>
      </c>
      <c r="H122" s="100">
        <f>H111*pricing!H26*2000</f>
        <v>1789143.6620743801</v>
      </c>
      <c r="I122" s="100">
        <f>I111*pricing!I26*2000</f>
        <v>2320815.1686094152</v>
      </c>
      <c r="J122" s="100">
        <f>J111*pricing!J26*2000</f>
        <v>2047151.4906632625</v>
      </c>
      <c r="K122" s="100">
        <f>K111*pricing!K26*2000</f>
        <v>2207526.2555192281</v>
      </c>
      <c r="L122" s="100">
        <f>L111*pricing!L26*2000</f>
        <v>1756921.3407704437</v>
      </c>
      <c r="M122" s="100">
        <f>M111*pricing!M26*2000</f>
        <v>2196952.6580052446</v>
      </c>
      <c r="N122" s="100">
        <f>N111*pricing!N26*2000</f>
        <v>1888534.7996772942</v>
      </c>
      <c r="O122" s="100">
        <f>O111*pricing!O26*2000</f>
        <v>1897720.5070685109</v>
      </c>
    </row>
    <row r="123" spans="2:15">
      <c r="C123" s="99" t="s">
        <v>129</v>
      </c>
      <c r="D123" s="100">
        <f>D112*pricing!D27*2000</f>
        <v>1867148.1521530312</v>
      </c>
      <c r="E123" s="100">
        <f>E112*pricing!E27*2000</f>
        <v>2928718.9682526332</v>
      </c>
      <c r="F123" s="100">
        <f>F112*pricing!F27*2000</f>
        <v>2410369.0651746937</v>
      </c>
      <c r="G123" s="100">
        <f>G112*pricing!G27*2000</f>
        <v>2797485.0508786873</v>
      </c>
      <c r="H123" s="100">
        <f>H112*pricing!H27*2000</f>
        <v>2538685.2729044612</v>
      </c>
      <c r="I123" s="100">
        <f>I112*pricing!I27*2000</f>
        <v>2866411.9037083951</v>
      </c>
      <c r="J123" s="100">
        <f>J112*pricing!J27*2000</f>
        <v>3020447.4471214507</v>
      </c>
      <c r="K123" s="100">
        <f>K112*pricing!K27*2000</f>
        <v>2958354.1953858971</v>
      </c>
      <c r="L123" s="100">
        <f>L112*pricing!L27*2000</f>
        <v>2610925.4828979936</v>
      </c>
      <c r="M123" s="100">
        <f>M112*pricing!M27*2000</f>
        <v>2638843.159810666</v>
      </c>
      <c r="N123" s="100">
        <f>N112*pricing!N27*2000</f>
        <v>2708815.1628896464</v>
      </c>
      <c r="O123" s="100">
        <f>O112*pricing!O27*2000</f>
        <v>2106623.6578291086</v>
      </c>
    </row>
    <row r="124" spans="2:15">
      <c r="C124" s="99" t="s">
        <v>130</v>
      </c>
      <c r="D124" s="100">
        <f>D113*pricing!D28*2000</f>
        <v>2111061.6800666493</v>
      </c>
      <c r="E124" s="100">
        <f>E113*pricing!E28*2000</f>
        <v>1770800</v>
      </c>
      <c r="F124" s="100">
        <f>F113*pricing!F28*2000</f>
        <v>2285909.3732333113</v>
      </c>
      <c r="G124" s="100">
        <f>G113*pricing!G28*2000</f>
        <v>1676816.333029764</v>
      </c>
      <c r="H124" s="100">
        <f>H113*pricing!H28*2000</f>
        <v>2044399.9999999998</v>
      </c>
      <c r="I124" s="100">
        <f>I113*pricing!I28*2000</f>
        <v>1983600</v>
      </c>
      <c r="J124" s="100">
        <f>J113*pricing!J28*2000</f>
        <v>2045634.72228187</v>
      </c>
      <c r="K124" s="100">
        <f>K113*pricing!K28*2000</f>
        <v>1934999.589703206</v>
      </c>
      <c r="L124" s="100">
        <f>L113*pricing!L28*2000</f>
        <v>2010329.3131086987</v>
      </c>
      <c r="M124" s="100">
        <f>M113*pricing!M28*2000</f>
        <v>1823241.8639645528</v>
      </c>
      <c r="N124" s="100">
        <f>N113*pricing!N28*2000</f>
        <v>1945136.4171017967</v>
      </c>
      <c r="O124" s="100">
        <f>O113*pricing!O28*2000</f>
        <v>1846836.7244311064</v>
      </c>
    </row>
    <row r="125" spans="2:15">
      <c r="C125" s="99" t="s">
        <v>131</v>
      </c>
      <c r="D125" s="100">
        <f>D114*pricing!D29*2000</f>
        <v>1042822.5876900179</v>
      </c>
      <c r="E125" s="100">
        <f>E114*pricing!E29*2000</f>
        <v>910095.77025460638</v>
      </c>
      <c r="F125" s="100">
        <f>F114*pricing!F29*2000</f>
        <v>865160.76160814497</v>
      </c>
      <c r="G125" s="100">
        <f>G114*pricing!G29*2000</f>
        <v>975382.38203020568</v>
      </c>
      <c r="H125" s="100">
        <f>H114*pricing!H29*2000</f>
        <v>782465.85436951241</v>
      </c>
      <c r="I125" s="100">
        <f>I114*pricing!I29*2000</f>
        <v>916742.8002494442</v>
      </c>
      <c r="J125" s="100">
        <f>J114*pricing!J29*2000</f>
        <v>834043.18237053428</v>
      </c>
      <c r="K125" s="100">
        <f>K114*pricing!K29*2000</f>
        <v>738557.78207257995</v>
      </c>
      <c r="L125" s="100">
        <f>L114*pricing!L29*2000</f>
        <v>854035.35282517236</v>
      </c>
      <c r="M125" s="100">
        <f>M114*pricing!M29*2000</f>
        <v>850084.49493432452</v>
      </c>
      <c r="N125" s="100">
        <f>N114*pricing!N29*2000</f>
        <v>830474.24780763651</v>
      </c>
      <c r="O125" s="100">
        <f>O114*pricing!O29*2000</f>
        <v>750140.33056379703</v>
      </c>
    </row>
    <row r="126" spans="2:15">
      <c r="C126" s="99" t="s">
        <v>132</v>
      </c>
      <c r="D126" s="100">
        <f>D115*pricing!D30*2000</f>
        <v>2211691.819309033</v>
      </c>
      <c r="E126" s="100">
        <f>E115*pricing!E30*2000</f>
        <v>1668433.6253353977</v>
      </c>
      <c r="F126" s="100">
        <f>F115*pricing!F30*2000</f>
        <v>1735509.8740065035</v>
      </c>
      <c r="G126" s="100">
        <f>G115*pricing!G30*2000</f>
        <v>1551721.1100392782</v>
      </c>
      <c r="H126" s="100">
        <f>H115*pricing!H30*2000</f>
        <v>1789495.2101530512</v>
      </c>
      <c r="I126" s="100">
        <f>I115*pricing!I30*2000</f>
        <v>1615830.6020646312</v>
      </c>
      <c r="J126" s="100">
        <f>J115*pricing!J30*2000</f>
        <v>1510571.9962707402</v>
      </c>
      <c r="K126" s="100">
        <f>K115*pricing!K30*2000</f>
        <v>1989566.8096764158</v>
      </c>
      <c r="L126" s="100">
        <f>L115*pricing!L30*2000</f>
        <v>1728936.4796821284</v>
      </c>
      <c r="M126" s="100">
        <f>M115*pricing!M30*2000</f>
        <v>1682357.0162036619</v>
      </c>
      <c r="N126" s="100">
        <f>N115*pricing!N30*2000</f>
        <v>1598788.8878153574</v>
      </c>
      <c r="O126" s="100">
        <f>O115*pricing!O30*2000</f>
        <v>1651513.2228696554</v>
      </c>
    </row>
    <row r="127" spans="2:15">
      <c r="C127" s="99" t="s">
        <v>278</v>
      </c>
      <c r="D127" s="100">
        <f t="shared" ref="D127:O127" si="1">SUM(D$120:D$126)</f>
        <v>12894586.303463073</v>
      </c>
      <c r="E127" s="100">
        <f t="shared" si="1"/>
        <v>15555933.234175248</v>
      </c>
      <c r="F127" s="100">
        <f t="shared" si="1"/>
        <v>17537160.182860602</v>
      </c>
      <c r="G127" s="100">
        <f t="shared" si="1"/>
        <v>16026623.598105755</v>
      </c>
      <c r="H127" s="100">
        <f t="shared" si="1"/>
        <v>15339525.221020866</v>
      </c>
      <c r="I127" s="100">
        <f t="shared" si="1"/>
        <v>17232155.991516877</v>
      </c>
      <c r="J127" s="100">
        <f t="shared" si="1"/>
        <v>16335911.19455307</v>
      </c>
      <c r="K127" s="100">
        <f t="shared" si="1"/>
        <v>16627212.89788245</v>
      </c>
      <c r="L127" s="100">
        <f t="shared" si="1"/>
        <v>15833038.268133931</v>
      </c>
      <c r="M127" s="100">
        <f t="shared" si="1"/>
        <v>17381382.92190931</v>
      </c>
      <c r="N127" s="100">
        <f t="shared" si="1"/>
        <v>16165688.677984092</v>
      </c>
      <c r="O127" s="100">
        <f t="shared" si="1"/>
        <v>15884938.362630242</v>
      </c>
    </row>
    <row r="129" spans="2:15">
      <c r="B129" s="103" t="s">
        <v>280</v>
      </c>
    </row>
    <row r="130" spans="2:15">
      <c r="C130" s="105" t="s">
        <v>277</v>
      </c>
      <c r="D130" s="105" t="s">
        <v>92</v>
      </c>
      <c r="E130" s="105" t="s">
        <v>93</v>
      </c>
      <c r="F130" s="105" t="s">
        <v>94</v>
      </c>
      <c r="G130" s="105" t="s">
        <v>95</v>
      </c>
      <c r="H130" s="105" t="s">
        <v>96</v>
      </c>
      <c r="I130" s="105" t="s">
        <v>97</v>
      </c>
      <c r="J130" s="105" t="s">
        <v>98</v>
      </c>
      <c r="K130" s="105" t="s">
        <v>99</v>
      </c>
      <c r="L130" s="105" t="s">
        <v>100</v>
      </c>
      <c r="M130" s="105" t="s">
        <v>101</v>
      </c>
      <c r="N130" s="105" t="s">
        <v>102</v>
      </c>
      <c r="O130" s="105" t="s">
        <v>103</v>
      </c>
    </row>
    <row r="131" spans="2:15">
      <c r="C131" s="105" t="s">
        <v>126</v>
      </c>
      <c r="D131" s="106">
        <f>SUM(E$6:E$19)+SUM(G$6:G$19)+SUM(I$6:I$19)+SUM(K$6:K$19)</f>
        <v>111738.48027151359</v>
      </c>
      <c r="E131" s="106">
        <f>SUM(M$6:M$19)+SUM(O$6:O$19)+SUM(Q$6:Q$19)+SUM(S$6:S$19)</f>
        <v>143497.77074324983</v>
      </c>
      <c r="F131" s="106">
        <f>SUM(U$6:U$19)+SUM(W$6:W$19)+SUM(Y$6:Y$19)+SUM(AA$6:AA$19)</f>
        <v>172682.10521666484</v>
      </c>
      <c r="G131" s="106">
        <f>SUM(AC$6:AC$19)+SUM(AE$6:AE$19)+SUM(AG$6:AG$19)+SUM(AI$6:AI$19)</f>
        <v>165878.12975630673</v>
      </c>
      <c r="H131" s="106">
        <f>SUM(AK$6:AK$19)+SUM(AM$6:AM$19)+SUM(AO$6:AO$19)+SUM(AQ$6:AQ$19)</f>
        <v>133692.91524078703</v>
      </c>
      <c r="I131" s="106">
        <f>SUM(AS$6:AS$19)+SUM(AU$6:AU$19)+SUM(AW$6:AW$19)+SUM(AY$6:AY$19)</f>
        <v>146284.01166079933</v>
      </c>
      <c r="J131" s="106">
        <f>SUM(BA$6:BA$19)+SUM(BC$6:BC$19)+SUM(BE$6:BE$19)+SUM(BG$6:BG$19)</f>
        <v>156534.14871433444</v>
      </c>
      <c r="K131" s="106">
        <f>SUM(BI$6:BI$19)+SUM(BK$6:BK$19)+SUM(BM$6:BM$19)+SUM(BO$6:BO$19)</f>
        <v>163322.15724523849</v>
      </c>
      <c r="L131" s="106">
        <f>SUM(BQ$6:BQ$19)+SUM(BS$6:BS$19)+SUM(BU$6:BU$19)+SUM(BW$6:BW$19)</f>
        <v>150202.09930566064</v>
      </c>
      <c r="M131" s="106">
        <f>SUM(BY$6:BY$19)+SUM(CA$6:CA$19)+SUM(CC$6:CC$19)+SUM(CE$6:CE$19)</f>
        <v>184906.59113888256</v>
      </c>
      <c r="N131" s="106">
        <f>SUM(CG$6:CG$19)+SUM(CI$6:CI$19)+SUM(CK$6:CK$19)+SUM(CM$6:CM$19)</f>
        <v>175151.3795637257</v>
      </c>
      <c r="O131" s="106">
        <f>SUM(CO$6:CO$19)+SUM(CQ$6:CQ$19)+SUM(CS$6:CS$19)+SUM(CU$6:CU$19)</f>
        <v>177137.48441822204</v>
      </c>
    </row>
    <row r="132" spans="2:15">
      <c r="C132" s="105" t="s">
        <v>127</v>
      </c>
      <c r="D132" s="106">
        <f>SUM(E$20:E$36)+SUM(G$20:G$36)+SUM(I$20:I$36)+SUM(K$20:K$36)</f>
        <v>165288.08414289352</v>
      </c>
      <c r="E132" s="106">
        <f>SUM(M$20:M$36)+SUM(O$20:O$36)+SUM(Q$20:Q$36)+SUM(S$20:S$36)</f>
        <v>234847.22753302034</v>
      </c>
      <c r="F132" s="106">
        <f>SUM(U$20:U$36)+SUM(W$20:W$36)+SUM(Y$20:Y$36)+SUM(AA$20:AA$36)</f>
        <v>295712.27498392167</v>
      </c>
      <c r="G132" s="106">
        <f>SUM(AC$20:AC$36)+SUM(AE$20:AE$36)+SUM(AG$20:AG$36)+SUM(AI$20:AI$36)</f>
        <v>271920.08292502782</v>
      </c>
      <c r="H132" s="106">
        <f>SUM(AK$20:AK$36)+SUM(AM$20:AM$36)+SUM(AO$20:AO$36)+SUM(AQ$20:AQ$36)</f>
        <v>246981.61011563975</v>
      </c>
      <c r="I132" s="106">
        <f>SUM(AS$20:AS$36)+SUM(AU$20:AU$36)+SUM(AW$20:AW$36)+SUM(AY$20:AY$36)</f>
        <v>300907.0065809692</v>
      </c>
      <c r="J132" s="106">
        <f>SUM(BA$20:BA$36)+SUM(BC$20:BC$36)+SUM(BE$20:BE$36)+SUM(BG$20:BG$36)</f>
        <v>255288.20100718818</v>
      </c>
      <c r="K132" s="106">
        <f>SUM(BI$20:BI$36)+SUM(BK$20:BK$36)+SUM(BM$20:BM$36)+SUM(BO$20:BO$36)</f>
        <v>246232.01583187425</v>
      </c>
      <c r="L132" s="106">
        <f>SUM(BQ$20:BQ$36)+SUM(BS$20:BS$36)+SUM(BU$20:BU$36)+SUM(BW$20:BW$36)</f>
        <v>259457.43810646419</v>
      </c>
      <c r="M132" s="106">
        <f>SUM(BY$20:BY$36)+SUM(CA$20:CA$36)+SUM(CC$20:CC$36)+SUM(CE$20:CE$36)</f>
        <v>305679.28185665241</v>
      </c>
      <c r="N132" s="106">
        <f>SUM(CG$20:CG$36)+SUM(CI$20:CI$36)+SUM(CK$20:CK$36)+SUM(CM$20:CM$36)</f>
        <v>255651.64011818974</v>
      </c>
      <c r="O132" s="106">
        <f>SUM(CO$20:CO$36)+SUM(CQ$20:CQ$36)+SUM(CS$20:CS$36)+SUM(CU$20:CU$36)</f>
        <v>280793.12122808496</v>
      </c>
    </row>
    <row r="133" spans="2:15">
      <c r="C133" s="105" t="s">
        <v>128</v>
      </c>
      <c r="D133" s="106">
        <f>SUM(E$37:E$48)+SUM(G$37:G$48)+SUM(I$37:I$48)+SUM(K$37:K$48)</f>
        <v>145204.44537204629</v>
      </c>
      <c r="E133" s="106">
        <f>SUM(M$37:M$48)+SUM(O$37:O$48)+SUM(Q$37:Q$48)+SUM(S$37:S$48)</f>
        <v>270420.03237821301</v>
      </c>
      <c r="F133" s="106">
        <f>SUM(U$37:U$48)+SUM(W$37:W$48)+SUM(Y$37:Y$48)+SUM(AA$37:AA$48)</f>
        <v>331627.38067411358</v>
      </c>
      <c r="G133" s="106">
        <f>SUM(AC$37:AC$48)+SUM(AE$37:AE$48)+SUM(AG$37:AG$48)+SUM(AI$37:AI$48)</f>
        <v>237603.94367728964</v>
      </c>
      <c r="H133" s="106">
        <f>SUM(AK$37:AK$48)+SUM(AM$37:AM$48)+SUM(AO$37:AO$48)+SUM(AQ$37:AQ$48)</f>
        <v>247762.86157004745</v>
      </c>
      <c r="I133" s="106">
        <f>SUM(AS$37:AS$48)+SUM(AU$37:AU$48)+SUM(AW$37:AW$48)+SUM(AY$37:AY$48)</f>
        <v>320899.58578673832</v>
      </c>
      <c r="J133" s="106">
        <f>SUM(BA$37:BA$48)+SUM(BC$37:BC$48)+SUM(BE$37:BE$48)+SUM(BG$37:BG$48)</f>
        <v>281376.9738988991</v>
      </c>
      <c r="K133" s="106">
        <f>SUM(BI$37:BI$48)+SUM(BK$37:BK$48)+SUM(BM$37:BM$48)+SUM(BO$37:BO$48)</f>
        <v>306060.25843024132</v>
      </c>
      <c r="L133" s="106">
        <f>SUM(BQ$37:BQ$48)+SUM(BS$37:BS$48)+SUM(BU$37:BU$48)+SUM(BW$37:BW$48)</f>
        <v>242873.97672057574</v>
      </c>
      <c r="M133" s="106">
        <f>SUM(BY$37:BY$48)+SUM(CA$37:CA$48)+SUM(CC$37:CC$48)+SUM(CE$37:CE$48)</f>
        <v>303038.96287440363</v>
      </c>
      <c r="N133" s="106">
        <f>SUM(CG$37:CG$48)+SUM(CI$37:CI$48)+SUM(CK$37:CK$48)+SUM(CM$37:CM$48)</f>
        <v>260860.80631524045</v>
      </c>
      <c r="O133" s="106">
        <f>SUM(CO$37:CO$48)+SUM(CQ$37:CQ$48)+SUM(CS$37:CS$48)+SUM(CU$37:CU$48)</f>
        <v>262777.28611262608</v>
      </c>
    </row>
    <row r="134" spans="2:15">
      <c r="C134" s="105" t="s">
        <v>129</v>
      </c>
      <c r="D134" s="106">
        <f>SUM(E$49:E$70)+SUM(G$49:G$70)+SUM(I$49:I$70)+SUM(K$49:K$70)</f>
        <v>217041.63733732601</v>
      </c>
      <c r="E134" s="106">
        <f>SUM(M$49:M$70)+SUM(O$49:O$70)+SUM(Q$49:Q$70)+SUM(S$49:S$70)</f>
        <v>327888.56052329496</v>
      </c>
      <c r="F134" s="106">
        <f>SUM(U$49:U$70)+SUM(W$49:W$70)+SUM(Y$49:Y$70)+SUM(AA$49:AA$70)</f>
        <v>268150.0873345118</v>
      </c>
      <c r="G134" s="106">
        <f>SUM(AC$49:AC$70)+SUM(AE$49:AE$70)+SUM(AG$49:AG$70)+SUM(AI$49:AI$70)</f>
        <v>312512.33238370065</v>
      </c>
      <c r="H134" s="106">
        <f>SUM(AK$49:AK$70)+SUM(AM$49:AM$70)+SUM(AO$49:AO$70)+SUM(AQ$49:AQ$70)</f>
        <v>283144.03101980669</v>
      </c>
      <c r="I134" s="106">
        <f>SUM(AS$49:AS$70)+SUM(AU$49:AU$70)+SUM(AW$49:AW$70)+SUM(AY$49:AY$70)</f>
        <v>319350.52901708998</v>
      </c>
      <c r="J134" s="106">
        <f>SUM(BA$49:BA$70)+SUM(BC$49:BC$70)+SUM(BE$49:BE$70)+SUM(BG$49:BG$70)</f>
        <v>331132.82243264664</v>
      </c>
      <c r="K134" s="106">
        <f>SUM(BI$49:BI$70)+SUM(BK$49:BK$70)+SUM(BM$49:BM$70)+SUM(BO$49:BO$70)</f>
        <v>326522.81249600241</v>
      </c>
      <c r="L134" s="106">
        <f>SUM(BQ$49:BQ$70)+SUM(BS$49:BS$70)+SUM(BU$49:BU$70)+SUM(BW$49:BW$70)</f>
        <v>286578.84485816112</v>
      </c>
      <c r="M134" s="106">
        <f>SUM(BY$49:BY$70)+SUM(CA$49:CA$70)+SUM(CC$49:CC$70)+SUM(CE$49:CE$70)</f>
        <v>291037.89796070266</v>
      </c>
      <c r="N134" s="106">
        <f>SUM(CG$49:CG$70)+SUM(CI$49:CI$70)+SUM(CK$49:CK$70)+SUM(CM$49:CM$70)</f>
        <v>296588.31232044136</v>
      </c>
      <c r="O134" s="106">
        <f>SUM(CO$49:CO$70)+SUM(CQ$49:CQ$70)+SUM(CS$49:CS$70)+SUM(CU$49:CU$70)</f>
        <v>232912.21943359956</v>
      </c>
    </row>
    <row r="135" spans="2:15">
      <c r="C135" s="105" t="s">
        <v>130</v>
      </c>
      <c r="D135" s="106">
        <f>SUM(E$71:E$86)+SUM(G$71:G$86)+SUM(I$71:I$86)+SUM(K$71:K$86)</f>
        <v>157094.2101699881</v>
      </c>
      <c r="E135" s="106">
        <f>SUM(M$71:M$86)+SUM(O$71:O$86)+SUM(Q$71:Q$86)+SUM(S$71:S$86)</f>
        <v>131012.4</v>
      </c>
      <c r="F135" s="106">
        <f>SUM(U$71:U$86)+SUM(W$71:W$86)+SUM(Y$71:Y$86)+SUM(AA$71:AA$86)</f>
        <v>167948.45629212333</v>
      </c>
      <c r="G135" s="106">
        <f>SUM(AC$71:AC$86)+SUM(AE$71:AE$86)+SUM(AG$71:AG$86)+SUM(AI$71:AI$86)</f>
        <v>124245.51388143092</v>
      </c>
      <c r="H135" s="106">
        <f>SUM(AK$71:AK$86)+SUM(AM$71:AM$86)+SUM(AO$71:AO$86)+SUM(AQ$71:AQ$86)</f>
        <v>150723.6</v>
      </c>
      <c r="I135" s="106">
        <f>SUM(AS$71:AS$86)+SUM(AU$71:AU$86)+SUM(AW$71:AW$86)+SUM(AY$71:AY$86)</f>
        <v>146158.79999999999</v>
      </c>
      <c r="J135" s="106">
        <f>SUM(BA$71:BA$86)+SUM(BC$71:BC$86)+SUM(BE$71:BE$86)+SUM(BG$71:BG$86)</f>
        <v>150520.53929842421</v>
      </c>
      <c r="K135" s="106">
        <f>SUM(BI$71:BI$86)+SUM(BK$71:BK$86)+SUM(BM$71:BM$86)+SUM(BO$71:BO$86)</f>
        <v>142440.03324963228</v>
      </c>
      <c r="L135" s="106">
        <f>SUM(BQ$71:BQ$86)+SUM(BS$71:BS$86)+SUM(BU$71:BU$86)+SUM(BW$71:BW$86)</f>
        <v>147327.58233557933</v>
      </c>
      <c r="M135" s="106">
        <f>SUM(BY$71:BY$86)+SUM(CA$71:CA$86)+SUM(CC$71:CC$86)+SUM(CE$71:CE$86)</f>
        <v>135143.9766562123</v>
      </c>
      <c r="N135" s="106">
        <f>SUM(CG$71:CG$86)+SUM(CI$71:CI$86)+SUM(CK$71:CK$86)+SUM(CM$71:CM$86)</f>
        <v>143819.68389077892</v>
      </c>
      <c r="O135" s="106">
        <f>SUM(CO$71:CO$86)+SUM(CQ$71:CQ$86)+SUM(CS$71:CS$86)+SUM(CU$71:CU$86)</f>
        <v>135559.64551495679</v>
      </c>
    </row>
    <row r="136" spans="2:15">
      <c r="C136" s="105" t="s">
        <v>131</v>
      </c>
      <c r="D136" s="106">
        <f>SUM(E$87:E$94)+SUM(G$87:G$94)+SUM(I$87:I$94)+SUM(K$87:K$94)</f>
        <v>137660.31409008717</v>
      </c>
      <c r="E136" s="106">
        <f>SUM(M$87:M$94)+SUM(O$87:O$94)+SUM(Q$87:Q$94)+SUM(S$87:S$94)</f>
        <v>120323.03025875651</v>
      </c>
      <c r="F136" s="106">
        <f>SUM(U$87:U$94)+SUM(W$87:W$94)+SUM(Y$87:Y$94)+SUM(AA$87:AA$94)</f>
        <v>114651.10482695099</v>
      </c>
      <c r="G136" s="106">
        <f>SUM(AC$87:AC$94)+SUM(AE$87:AE$94)+SUM(AG$87:AG$94)+SUM(AI$87:AI$94)</f>
        <v>128192.86725108663</v>
      </c>
      <c r="H136" s="106">
        <f>SUM(AK$87:AK$94)+SUM(AM$87:AM$94)+SUM(AO$87:AO$94)+SUM(AQ$87:AQ$94)</f>
        <v>103396.00216040888</v>
      </c>
      <c r="I136" s="106">
        <f>SUM(AS$87:AS$94)+SUM(AU$87:AU$94)+SUM(AW$87:AW$94)+SUM(AY$87:AY$94)</f>
        <v>120993.21877331909</v>
      </c>
      <c r="J136" s="106">
        <f>SUM(BA$87:BA$94)+SUM(BC$87:BC$94)+SUM(BE$87:BE$94)+SUM(BG$87:BG$94)</f>
        <v>110188.24595120561</v>
      </c>
      <c r="K136" s="106">
        <f>SUM(BI$87:BI$94)+SUM(BK$87:BK$94)+SUM(BM$87:BM$94)+SUM(BO$87:BO$94)</f>
        <v>97543.035948612582</v>
      </c>
      <c r="L136" s="106">
        <f>SUM(BQ$87:BQ$94)+SUM(BS$87:BS$94)+SUM(BU$87:BU$94)+SUM(BW$87:BW$94)</f>
        <v>112753.57016549724</v>
      </c>
      <c r="M136" s="106">
        <f>SUM(BY$87:BY$94)+SUM(CA$87:CA$94)+SUM(CC$87:CC$94)+SUM(CE$87:CE$94)</f>
        <v>112170.64836371671</v>
      </c>
      <c r="N136" s="106">
        <f>SUM(CG$87:CG$94)+SUM(CI$87:CI$94)+SUM(CK$87:CK$94)+SUM(CM$87:CM$94)</f>
        <v>109804.98424085783</v>
      </c>
      <c r="O136" s="106">
        <f>SUM(CO$87:CO$94)+SUM(CQ$87:CQ$94)+SUM(CS$87:CS$94)+SUM(CU$87:CU$94)</f>
        <v>99395.842979553607</v>
      </c>
    </row>
    <row r="137" spans="2:15">
      <c r="C137" s="105" t="s">
        <v>132</v>
      </c>
      <c r="D137" s="106">
        <f>SUM(E$95:E$105)+SUM(G$95:G$105)+SUM(I$95:I$105)+SUM(K$95:K$105)</f>
        <v>236782.55239983756</v>
      </c>
      <c r="E137" s="106">
        <f>SUM(M$95:M$105)+SUM(O$95:O$105)+SUM(Q$95:Q$105)+SUM(S$95:S$105)</f>
        <v>176621.97880520474</v>
      </c>
      <c r="F137" s="106">
        <f>SUM(U$95:U$105)+SUM(W$95:W$105)+SUM(Y$95:Y$105)+SUM(AA$95:AA$105)</f>
        <v>182637.98592100054</v>
      </c>
      <c r="G137" s="106">
        <f>SUM(AC$95:AC$105)+SUM(AE$95:AE$105)+SUM(AG$95:AG$105)+SUM(AI$95:AI$105)</f>
        <v>165813.2378135261</v>
      </c>
      <c r="H137" s="106">
        <f>SUM(AK$95:AK$105)+SUM(AM$95:AM$105)+SUM(AO$95:AO$105)+SUM(AQ$95:AQ$105)</f>
        <v>189651.35140799367</v>
      </c>
      <c r="I137" s="106">
        <f>SUM(AS$95:AS$105)+SUM(AU$95:AU$105)+SUM(AW$95:AW$105)+SUM(AY$95:AY$105)</f>
        <v>172634.37648546646</v>
      </c>
      <c r="J137" s="106">
        <f>SUM(BA$95:BA$105)+SUM(BC$95:BC$105)+SUM(BE$95:BE$105)+SUM(BG$95:BG$105)</f>
        <v>160666.12429157022</v>
      </c>
      <c r="K137" s="106">
        <f>SUM(BI$95:BI$105)+SUM(BK$95:BK$105)+SUM(BM$95:BM$105)+SUM(BO$95:BO$105)</f>
        <v>211372.32959831238</v>
      </c>
      <c r="L137" s="106">
        <f>SUM(BQ$95:BQ$105)+SUM(BS$95:BS$105)+SUM(BU$95:BU$105)+SUM(BW$95:BW$105)</f>
        <v>182912.90705605829</v>
      </c>
      <c r="M137" s="106">
        <f>SUM(BY$95:BY$105)+SUM(CA$95:CA$105)+SUM(CC$95:CC$105)+SUM(CE$95:CE$105)</f>
        <v>180855.42054221645</v>
      </c>
      <c r="N137" s="106">
        <f>SUM(CG$95:CG$105)+SUM(CI$95:CI$105)+SUM(CK$95:CK$105)+SUM(CM$95:CM$105)</f>
        <v>170321.68900175174</v>
      </c>
      <c r="O137" s="106">
        <f>SUM(CO$95:CO$105)+SUM(CQ$95:CQ$105)+SUM(CS$95:CS$105)+SUM(CU$95:CU$105)</f>
        <v>172572.04775517067</v>
      </c>
    </row>
    <row r="138" spans="2:15">
      <c r="C138" s="105" t="s">
        <v>278</v>
      </c>
      <c r="D138" s="100">
        <f t="shared" ref="D138:O138" si="2">SUM(D$131:D$137)</f>
        <v>1170809.7237836923</v>
      </c>
      <c r="E138" s="100">
        <f t="shared" si="2"/>
        <v>1404611.0002417397</v>
      </c>
      <c r="F138" s="100">
        <f t="shared" si="2"/>
        <v>1533409.3952492867</v>
      </c>
      <c r="G138" s="100">
        <f t="shared" si="2"/>
        <v>1406166.1076883685</v>
      </c>
      <c r="H138" s="100">
        <f t="shared" si="2"/>
        <v>1355352.3715146836</v>
      </c>
      <c r="I138" s="100">
        <f t="shared" si="2"/>
        <v>1527227.5283043827</v>
      </c>
      <c r="J138" s="100">
        <f t="shared" si="2"/>
        <v>1445707.0555942685</v>
      </c>
      <c r="K138" s="100">
        <f t="shared" si="2"/>
        <v>1493492.6427999139</v>
      </c>
      <c r="L138" s="100">
        <f t="shared" si="2"/>
        <v>1382106.4185479963</v>
      </c>
      <c r="M138" s="100">
        <f t="shared" si="2"/>
        <v>1512832.7793927866</v>
      </c>
      <c r="N138" s="100">
        <f t="shared" si="2"/>
        <v>1412198.4954509859</v>
      </c>
      <c r="O138" s="100">
        <f t="shared" si="2"/>
        <v>1361147.6474422137</v>
      </c>
    </row>
  </sheetData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U138"/>
  <sheetViews>
    <sheetView workbookViewId="0"/>
  </sheetViews>
  <sheetFormatPr baseColWidth="10" defaultColWidth="8.83203125" defaultRowHeight="12" x14ac:dyDescent="0"/>
  <cols>
    <col min="1" max="16384" width="8.83203125" style="100"/>
  </cols>
  <sheetData>
    <row r="1" spans="1:99">
      <c r="A1" s="101"/>
    </row>
    <row r="2" spans="1:99">
      <c r="B2" s="102" t="s">
        <v>272</v>
      </c>
    </row>
    <row r="3" spans="1:99">
      <c r="B3" s="103" t="s">
        <v>273</v>
      </c>
    </row>
    <row r="4" spans="1:99">
      <c r="A4" s="101"/>
      <c r="B4" s="101"/>
      <c r="C4" s="99" t="s">
        <v>274</v>
      </c>
      <c r="D4" s="99" t="s">
        <v>92</v>
      </c>
      <c r="E4" s="101"/>
      <c r="F4" s="101"/>
      <c r="G4" s="101"/>
      <c r="H4" s="101"/>
      <c r="I4" s="101"/>
      <c r="J4" s="101"/>
      <c r="K4" s="101"/>
      <c r="L4" s="99" t="s">
        <v>93</v>
      </c>
      <c r="M4" s="101"/>
      <c r="N4" s="101"/>
      <c r="O4" s="101"/>
      <c r="P4" s="101"/>
      <c r="Q4" s="101"/>
      <c r="R4" s="101"/>
      <c r="S4" s="101"/>
      <c r="T4" s="99" t="s">
        <v>94</v>
      </c>
      <c r="U4" s="101"/>
      <c r="V4" s="101"/>
      <c r="W4" s="101"/>
      <c r="X4" s="101"/>
      <c r="Y4" s="101"/>
      <c r="Z4" s="101"/>
      <c r="AA4" s="101"/>
      <c r="AB4" s="99" t="s">
        <v>95</v>
      </c>
      <c r="AC4" s="101"/>
      <c r="AD4" s="101"/>
      <c r="AE4" s="101"/>
      <c r="AF4" s="101"/>
      <c r="AG4" s="101"/>
      <c r="AH4" s="101"/>
      <c r="AI4" s="101"/>
      <c r="AJ4" s="99" t="s">
        <v>96</v>
      </c>
      <c r="AK4" s="101"/>
      <c r="AL4" s="101"/>
      <c r="AM4" s="101"/>
      <c r="AN4" s="101"/>
      <c r="AO4" s="101"/>
      <c r="AP4" s="101"/>
      <c r="AQ4" s="101"/>
      <c r="AR4" s="99" t="s">
        <v>97</v>
      </c>
      <c r="AS4" s="101"/>
      <c r="AT4" s="101"/>
      <c r="AU4" s="101"/>
      <c r="AV4" s="101"/>
      <c r="AW4" s="101"/>
      <c r="AX4" s="101"/>
      <c r="AY4" s="101"/>
      <c r="AZ4" s="99" t="s">
        <v>98</v>
      </c>
      <c r="BA4" s="101"/>
      <c r="BB4" s="101"/>
      <c r="BC4" s="101"/>
      <c r="BD4" s="101"/>
      <c r="BE4" s="101"/>
      <c r="BF4" s="101"/>
      <c r="BG4" s="101"/>
      <c r="BH4" s="99" t="s">
        <v>99</v>
      </c>
      <c r="BI4" s="101"/>
      <c r="BJ4" s="101"/>
      <c r="BK4" s="101"/>
      <c r="BL4" s="101"/>
      <c r="BM4" s="101"/>
      <c r="BN4" s="101"/>
      <c r="BO4" s="101"/>
      <c r="BP4" s="99" t="s">
        <v>100</v>
      </c>
      <c r="BQ4" s="101"/>
      <c r="BR4" s="101"/>
      <c r="BS4" s="101"/>
      <c r="BT4" s="101"/>
      <c r="BU4" s="101"/>
      <c r="BV4" s="101"/>
      <c r="BW4" s="101"/>
      <c r="BX4" s="99" t="s">
        <v>101</v>
      </c>
      <c r="BY4" s="101"/>
      <c r="BZ4" s="101"/>
      <c r="CA4" s="101"/>
      <c r="CB4" s="101"/>
      <c r="CC4" s="101"/>
      <c r="CD4" s="101"/>
      <c r="CE4" s="101"/>
      <c r="CF4" s="99" t="s">
        <v>102</v>
      </c>
      <c r="CG4" s="101"/>
      <c r="CH4" s="101"/>
      <c r="CI4" s="101"/>
      <c r="CJ4" s="101"/>
      <c r="CK4" s="101"/>
      <c r="CL4" s="101"/>
      <c r="CM4" s="101"/>
      <c r="CN4" s="99" t="s">
        <v>103</v>
      </c>
      <c r="CO4" s="101"/>
      <c r="CP4" s="101"/>
      <c r="CQ4" s="101"/>
      <c r="CR4" s="101"/>
      <c r="CS4" s="101"/>
      <c r="CT4" s="101"/>
      <c r="CU4" s="101"/>
    </row>
    <row r="5" spans="1:99">
      <c r="B5" s="99" t="s">
        <v>167</v>
      </c>
      <c r="C5" s="99" t="s">
        <v>275</v>
      </c>
      <c r="D5" s="99">
        <v>1</v>
      </c>
      <c r="E5" s="99"/>
      <c r="F5" s="99">
        <v>2</v>
      </c>
      <c r="G5" s="99"/>
      <c r="H5" s="99">
        <v>3</v>
      </c>
      <c r="I5" s="99"/>
      <c r="J5" s="99">
        <v>4</v>
      </c>
      <c r="K5" s="99"/>
      <c r="L5" s="99">
        <v>1</v>
      </c>
      <c r="M5" s="99"/>
      <c r="N5" s="99">
        <v>2</v>
      </c>
      <c r="O5" s="99"/>
      <c r="P5" s="99">
        <v>3</v>
      </c>
      <c r="Q5" s="99"/>
      <c r="R5" s="99">
        <v>4</v>
      </c>
      <c r="S5" s="99"/>
      <c r="T5" s="99">
        <v>1</v>
      </c>
      <c r="U5" s="99"/>
      <c r="V5" s="99">
        <v>2</v>
      </c>
      <c r="W5" s="99"/>
      <c r="X5" s="99">
        <v>3</v>
      </c>
      <c r="Y5" s="99"/>
      <c r="Z5" s="99">
        <v>4</v>
      </c>
      <c r="AA5" s="99"/>
      <c r="AB5" s="99">
        <v>1</v>
      </c>
      <c r="AC5" s="99"/>
      <c r="AD5" s="99">
        <v>2</v>
      </c>
      <c r="AE5" s="99"/>
      <c r="AF5" s="99">
        <v>3</v>
      </c>
      <c r="AG5" s="99"/>
      <c r="AH5" s="99">
        <v>4</v>
      </c>
      <c r="AI5" s="99"/>
      <c r="AJ5" s="99">
        <v>1</v>
      </c>
      <c r="AK5" s="99"/>
      <c r="AL5" s="99">
        <v>2</v>
      </c>
      <c r="AM5" s="99"/>
      <c r="AN5" s="99">
        <v>3</v>
      </c>
      <c r="AO5" s="99"/>
      <c r="AP5" s="99">
        <v>4</v>
      </c>
      <c r="AQ5" s="99"/>
      <c r="AR5" s="99">
        <v>1</v>
      </c>
      <c r="AS5" s="99"/>
      <c r="AT5" s="99">
        <v>2</v>
      </c>
      <c r="AU5" s="99"/>
      <c r="AV5" s="99">
        <v>3</v>
      </c>
      <c r="AW5" s="99"/>
      <c r="AX5" s="99">
        <v>4</v>
      </c>
      <c r="AY5" s="99"/>
      <c r="AZ5" s="99">
        <v>1</v>
      </c>
      <c r="BA5" s="99"/>
      <c r="BB5" s="99">
        <v>2</v>
      </c>
      <c r="BC5" s="99"/>
      <c r="BD5" s="99">
        <v>3</v>
      </c>
      <c r="BE5" s="99"/>
      <c r="BF5" s="99">
        <v>4</v>
      </c>
      <c r="BG5" s="99"/>
      <c r="BH5" s="99">
        <v>1</v>
      </c>
      <c r="BI5" s="99"/>
      <c r="BJ5" s="99">
        <v>2</v>
      </c>
      <c r="BK5" s="99"/>
      <c r="BL5" s="99">
        <v>3</v>
      </c>
      <c r="BM5" s="99"/>
      <c r="BN5" s="99">
        <v>4</v>
      </c>
      <c r="BO5" s="99"/>
      <c r="BP5" s="99">
        <v>1</v>
      </c>
      <c r="BQ5" s="99"/>
      <c r="BR5" s="99">
        <v>2</v>
      </c>
      <c r="BS5" s="99"/>
      <c r="BT5" s="99">
        <v>3</v>
      </c>
      <c r="BU5" s="99"/>
      <c r="BV5" s="99">
        <v>4</v>
      </c>
      <c r="BW5" s="99"/>
      <c r="BX5" s="99">
        <v>1</v>
      </c>
      <c r="BY5" s="99"/>
      <c r="BZ5" s="99">
        <v>2</v>
      </c>
      <c r="CA5" s="99"/>
      <c r="CB5" s="99">
        <v>3</v>
      </c>
      <c r="CC5" s="99"/>
      <c r="CD5" s="99">
        <v>4</v>
      </c>
      <c r="CE5" s="99"/>
      <c r="CF5" s="99">
        <v>1</v>
      </c>
      <c r="CG5" s="99"/>
      <c r="CH5" s="99">
        <v>2</v>
      </c>
      <c r="CI5" s="99"/>
      <c r="CJ5" s="99">
        <v>3</v>
      </c>
      <c r="CK5" s="99"/>
      <c r="CL5" s="99">
        <v>4</v>
      </c>
      <c r="CM5" s="99"/>
      <c r="CN5" s="99">
        <v>1</v>
      </c>
      <c r="CO5" s="99"/>
      <c r="CP5" s="99">
        <v>2</v>
      </c>
      <c r="CQ5" s="99"/>
      <c r="CR5" s="99">
        <v>3</v>
      </c>
      <c r="CS5" s="99"/>
      <c r="CT5" s="99">
        <v>4</v>
      </c>
      <c r="CU5" s="99"/>
    </row>
    <row r="6" spans="1:99">
      <c r="B6" s="99" t="s">
        <v>126</v>
      </c>
      <c r="C6" s="99" t="s">
        <v>172</v>
      </c>
      <c r="D6" s="100">
        <v>3.4823720172350239</v>
      </c>
      <c r="E6" s="100">
        <v>2014.2039747687377</v>
      </c>
      <c r="F6" s="100">
        <v>2.8931782001914472</v>
      </c>
      <c r="G6" s="100">
        <v>1673.414270990733</v>
      </c>
      <c r="H6" s="100">
        <v>5.0797800051330384</v>
      </c>
      <c r="I6" s="100">
        <v>2938.1447549689492</v>
      </c>
      <c r="J6" s="100">
        <v>4.5087159726572708</v>
      </c>
      <c r="K6" s="100">
        <v>2607.8413185849654</v>
      </c>
      <c r="L6" s="100">
        <v>3.4785941909189617</v>
      </c>
      <c r="M6" s="100">
        <v>2012.0188800275273</v>
      </c>
      <c r="N6" s="100">
        <v>4.6399409593627707</v>
      </c>
      <c r="O6" s="100">
        <v>2683.7418508954265</v>
      </c>
      <c r="P6" s="100">
        <v>4.9753156935748848</v>
      </c>
      <c r="Q6" s="100">
        <v>2877.7225971637131</v>
      </c>
      <c r="R6" s="100">
        <v>3.5208125359495828</v>
      </c>
      <c r="S6" s="100">
        <v>2036.4379707932385</v>
      </c>
      <c r="T6" s="100">
        <v>7.3799865785304917</v>
      </c>
      <c r="U6" s="100">
        <v>4268.5842370220362</v>
      </c>
      <c r="V6" s="100">
        <v>7</v>
      </c>
      <c r="W6" s="100">
        <v>4048.7999999999997</v>
      </c>
      <c r="X6" s="100">
        <v>8</v>
      </c>
      <c r="Y6" s="100">
        <v>4627.2</v>
      </c>
      <c r="Z6" s="100">
        <v>4.1661324144279979</v>
      </c>
      <c r="AA6" s="100">
        <v>2409.6909885051537</v>
      </c>
      <c r="AB6" s="100">
        <v>6.3816075649727226</v>
      </c>
      <c r="AC6" s="100">
        <v>3691.1218155802226</v>
      </c>
      <c r="AD6" s="100">
        <v>6.149989731071444</v>
      </c>
      <c r="AE6" s="100">
        <v>3557.1540604517231</v>
      </c>
      <c r="AF6" s="100">
        <v>7.006356207782348</v>
      </c>
      <c r="AG6" s="100">
        <v>4052.4764305813101</v>
      </c>
      <c r="AH6" s="100">
        <v>6.5981451516921794</v>
      </c>
      <c r="AI6" s="100">
        <v>3816.3671557387565</v>
      </c>
      <c r="AJ6" s="100">
        <v>3.2403584307073108</v>
      </c>
      <c r="AK6" s="100">
        <v>1874.2233163211085</v>
      </c>
      <c r="AL6" s="100">
        <v>8.8105215106001413</v>
      </c>
      <c r="AM6" s="100">
        <v>5096.0056417311216</v>
      </c>
      <c r="AN6" s="100">
        <v>2.4750523346030739</v>
      </c>
      <c r="AO6" s="100">
        <v>1431.570270334418</v>
      </c>
      <c r="AP6" s="100">
        <v>8.6256487559035744</v>
      </c>
      <c r="AQ6" s="100">
        <v>4989.0752404146269</v>
      </c>
      <c r="AR6" s="100">
        <v>4.3593283144281765</v>
      </c>
      <c r="AS6" s="100">
        <v>2521.4354970652571</v>
      </c>
      <c r="AT6" s="100">
        <v>5.198412260348654</v>
      </c>
      <c r="AU6" s="100">
        <v>3006.7616513856615</v>
      </c>
      <c r="AV6" s="100">
        <v>9.8515286935345792</v>
      </c>
      <c r="AW6" s="100">
        <v>5698.1241963404</v>
      </c>
      <c r="AX6" s="100">
        <v>6.7240582963113846</v>
      </c>
      <c r="AY6" s="100">
        <v>3889.1953185865045</v>
      </c>
      <c r="AZ6" s="100">
        <v>5.2102024827436262</v>
      </c>
      <c r="BA6" s="100">
        <v>3013.5811160189132</v>
      </c>
      <c r="BB6" s="100">
        <v>6.1508331882747393</v>
      </c>
      <c r="BC6" s="100">
        <v>3557.641916098109</v>
      </c>
      <c r="BD6" s="100">
        <v>7.4648564475062402</v>
      </c>
      <c r="BE6" s="100">
        <v>4317.6729692376093</v>
      </c>
      <c r="BF6" s="100">
        <v>6.543627935997578</v>
      </c>
      <c r="BG6" s="100">
        <v>3784.834398180999</v>
      </c>
      <c r="BH6" s="100">
        <v>7.9263202265577251</v>
      </c>
      <c r="BI6" s="100">
        <v>4584.5836190409882</v>
      </c>
      <c r="BJ6" s="100">
        <v>4.5103355627148582</v>
      </c>
      <c r="BK6" s="100">
        <v>2608.7780894742741</v>
      </c>
      <c r="BL6" s="100">
        <v>8.967732204303184</v>
      </c>
      <c r="BM6" s="100">
        <v>5186.9363069689616</v>
      </c>
      <c r="BN6" s="100">
        <v>4.7888343229374044</v>
      </c>
      <c r="BO6" s="100">
        <v>2769.8617723869947</v>
      </c>
      <c r="BP6" s="100">
        <v>3.0598329618489153</v>
      </c>
      <c r="BQ6" s="100">
        <v>1769.8073851334125</v>
      </c>
      <c r="BR6" s="100">
        <v>3.7543958664206616</v>
      </c>
      <c r="BS6" s="100">
        <v>2171.5425691377104</v>
      </c>
      <c r="BT6" s="100">
        <v>6.7468898074483592</v>
      </c>
      <c r="BU6" s="100">
        <v>3902.4010646281308</v>
      </c>
      <c r="BV6" s="100">
        <v>5.8598759603110873</v>
      </c>
      <c r="BW6" s="100">
        <v>3389.3522554439328</v>
      </c>
      <c r="BX6" s="100">
        <v>6.2886092250415304</v>
      </c>
      <c r="BY6" s="100">
        <v>3637.3315757640212</v>
      </c>
      <c r="BZ6" s="100">
        <v>5.8332417186142678</v>
      </c>
      <c r="CA6" s="100">
        <v>3373.9470100464923</v>
      </c>
      <c r="CB6" s="100">
        <v>8.6418570987289591</v>
      </c>
      <c r="CC6" s="100">
        <v>4998.4501459048297</v>
      </c>
      <c r="CD6" s="100">
        <v>3.6640256267975171</v>
      </c>
      <c r="CE6" s="100">
        <v>2119.2724225396837</v>
      </c>
      <c r="CF6" s="100">
        <v>7.223459940123246</v>
      </c>
      <c r="CG6" s="100">
        <v>4178.0492293672851</v>
      </c>
      <c r="CH6" s="100">
        <v>6.2710970047430266</v>
      </c>
      <c r="CI6" s="100">
        <v>3627.2025075433662</v>
      </c>
      <c r="CJ6" s="100">
        <v>6.0940677231311291</v>
      </c>
      <c r="CK6" s="100">
        <v>3524.8087710590448</v>
      </c>
      <c r="CL6" s="100">
        <v>5.0705951138930248</v>
      </c>
      <c r="CM6" s="100">
        <v>2932.8322138757253</v>
      </c>
      <c r="CN6" s="100">
        <v>6.4588368699379135</v>
      </c>
      <c r="CO6" s="100">
        <v>3735.7912455720889</v>
      </c>
      <c r="CP6" s="100">
        <v>4.5517834050681962</v>
      </c>
      <c r="CQ6" s="100">
        <v>2632.7515214914447</v>
      </c>
      <c r="CR6" s="100">
        <v>9.2872225092457565</v>
      </c>
      <c r="CS6" s="100">
        <v>5371.7294993477453</v>
      </c>
      <c r="CT6" s="100">
        <v>3.7694837488692285</v>
      </c>
      <c r="CU6" s="100">
        <v>2180.2694003459619</v>
      </c>
    </row>
    <row r="7" spans="1:99">
      <c r="C7" s="99" t="s">
        <v>173</v>
      </c>
      <c r="D7" s="100">
        <v>3.4823720172350239</v>
      </c>
      <c r="E7" s="100">
        <v>2745.5020983880927</v>
      </c>
      <c r="F7" s="100">
        <v>2.8931782001914472</v>
      </c>
      <c r="G7" s="100">
        <v>2280.9816930309371</v>
      </c>
      <c r="H7" s="100">
        <v>5.2018043503547817</v>
      </c>
      <c r="I7" s="100">
        <v>4101.1025498197096</v>
      </c>
      <c r="J7" s="100">
        <v>3.8306326719027881</v>
      </c>
      <c r="K7" s="100">
        <v>3020.0707985281579</v>
      </c>
      <c r="L7" s="100">
        <v>3.4785941909189617</v>
      </c>
      <c r="M7" s="100">
        <v>2742.5236601205092</v>
      </c>
      <c r="N7" s="100">
        <v>4.6399409593627707</v>
      </c>
      <c r="O7" s="100">
        <v>3658.1294523616084</v>
      </c>
      <c r="P7" s="100">
        <v>5.0516640126477768</v>
      </c>
      <c r="Q7" s="100">
        <v>3982.7319075715072</v>
      </c>
      <c r="R7" s="100">
        <v>3.4895636022435537</v>
      </c>
      <c r="S7" s="100">
        <v>2751.1719440088177</v>
      </c>
      <c r="T7" s="100">
        <v>7.2570923500981284</v>
      </c>
      <c r="U7" s="100">
        <v>5721.4916088173641</v>
      </c>
      <c r="V7" s="100">
        <v>7</v>
      </c>
      <c r="W7" s="100">
        <v>5518.8</v>
      </c>
      <c r="X7" s="100">
        <v>7</v>
      </c>
      <c r="Y7" s="100">
        <v>5518.8</v>
      </c>
      <c r="Z7" s="100">
        <v>4.205083306908449</v>
      </c>
      <c r="AA7" s="100">
        <v>3315.2876791666213</v>
      </c>
      <c r="AB7" s="100">
        <v>7.2255436753586979</v>
      </c>
      <c r="AC7" s="100">
        <v>5696.6186336527971</v>
      </c>
      <c r="AD7" s="100">
        <v>6.8725818326359249</v>
      </c>
      <c r="AE7" s="100">
        <v>5418.3435168501628</v>
      </c>
      <c r="AF7" s="100">
        <v>7.006356207782348</v>
      </c>
      <c r="AG7" s="100">
        <v>5523.8112342156028</v>
      </c>
      <c r="AH7" s="100">
        <v>6.6975030308236532</v>
      </c>
      <c r="AI7" s="100">
        <v>5280.3113895013676</v>
      </c>
      <c r="AJ7" s="100">
        <v>3.2638537587752032</v>
      </c>
      <c r="AK7" s="100">
        <v>2573.2223034183703</v>
      </c>
      <c r="AL7" s="100">
        <v>8.8105215106001413</v>
      </c>
      <c r="AM7" s="100">
        <v>6946.2151589571513</v>
      </c>
      <c r="AN7" s="100">
        <v>2.4750523346030739</v>
      </c>
      <c r="AO7" s="100">
        <v>1951.3312606010634</v>
      </c>
      <c r="AP7" s="100">
        <v>8.487428321303252</v>
      </c>
      <c r="AQ7" s="100">
        <v>6691.4884885154834</v>
      </c>
      <c r="AR7" s="100">
        <v>4.3593283144281765</v>
      </c>
      <c r="AS7" s="100">
        <v>3436.8944430951742</v>
      </c>
      <c r="AT7" s="100">
        <v>4.692609159783272</v>
      </c>
      <c r="AU7" s="100">
        <v>3699.6530615731317</v>
      </c>
      <c r="AV7" s="100">
        <v>8.7001879905185024</v>
      </c>
      <c r="AW7" s="100">
        <v>6859.2282117247869</v>
      </c>
      <c r="AX7" s="100">
        <v>7.4711758847904273</v>
      </c>
      <c r="AY7" s="100">
        <v>5890.275067568773</v>
      </c>
      <c r="AZ7" s="100">
        <v>5.2639432730175129</v>
      </c>
      <c r="BA7" s="100">
        <v>4150.0928764470073</v>
      </c>
      <c r="BB7" s="100">
        <v>7.0425869039230768</v>
      </c>
      <c r="BC7" s="100">
        <v>5552.3755150529532</v>
      </c>
      <c r="BD7" s="100">
        <v>7.4648564475062402</v>
      </c>
      <c r="BE7" s="100">
        <v>5885.2928232139193</v>
      </c>
      <c r="BF7" s="100">
        <v>6.543627935997578</v>
      </c>
      <c r="BG7" s="100">
        <v>5158.99626474049</v>
      </c>
      <c r="BH7" s="100">
        <v>7.2729869813847312</v>
      </c>
      <c r="BI7" s="100">
        <v>5734.0229361237216</v>
      </c>
      <c r="BJ7" s="100">
        <v>3.9465436173755015</v>
      </c>
      <c r="BK7" s="100">
        <v>3111.4549879388455</v>
      </c>
      <c r="BL7" s="100">
        <v>10.109877585722833</v>
      </c>
      <c r="BM7" s="100">
        <v>7970.6274885838811</v>
      </c>
      <c r="BN7" s="100">
        <v>3.9906952691145041</v>
      </c>
      <c r="BO7" s="100">
        <v>3146.2641501698749</v>
      </c>
      <c r="BP7" s="100">
        <v>3.0122013613323695</v>
      </c>
      <c r="BQ7" s="100">
        <v>2374.8195532744398</v>
      </c>
      <c r="BR7" s="100">
        <v>4.368343287183694</v>
      </c>
      <c r="BS7" s="100">
        <v>3444.0018476156242</v>
      </c>
      <c r="BT7" s="100">
        <v>6.7468898074483592</v>
      </c>
      <c r="BU7" s="100">
        <v>5319.2479241922865</v>
      </c>
      <c r="BV7" s="100">
        <v>5.7738883642799781</v>
      </c>
      <c r="BW7" s="100">
        <v>4552.133586398335</v>
      </c>
      <c r="BX7" s="100">
        <v>6.2470776770994876</v>
      </c>
      <c r="BY7" s="100">
        <v>4925.1960406252356</v>
      </c>
      <c r="BZ7" s="100">
        <v>4.9831390457753031</v>
      </c>
      <c r="CA7" s="100">
        <v>3928.7068236892487</v>
      </c>
      <c r="CB7" s="100">
        <v>9.5139985234540703</v>
      </c>
      <c r="CC7" s="100">
        <v>7500.8364358911886</v>
      </c>
      <c r="CD7" s="100">
        <v>4.0812243838359503</v>
      </c>
      <c r="CE7" s="100">
        <v>3217.6373042162631</v>
      </c>
      <c r="CF7" s="100">
        <v>7.0486799486770675</v>
      </c>
      <c r="CG7" s="100">
        <v>5557.1792715370002</v>
      </c>
      <c r="CH7" s="100">
        <v>6.2710970047430266</v>
      </c>
      <c r="CI7" s="100">
        <v>4944.1328785394016</v>
      </c>
      <c r="CJ7" s="100">
        <v>6.0940677231311291</v>
      </c>
      <c r="CK7" s="100">
        <v>4804.5629929165816</v>
      </c>
      <c r="CL7" s="100">
        <v>4.6497314161677039</v>
      </c>
      <c r="CM7" s="100">
        <v>3665.8482485066174</v>
      </c>
      <c r="CN7" s="100">
        <v>5.4564800625081125</v>
      </c>
      <c r="CO7" s="100">
        <v>4301.8888812813957</v>
      </c>
      <c r="CP7" s="100">
        <v>5.5367927763328542</v>
      </c>
      <c r="CQ7" s="100">
        <v>4365.2074248608224</v>
      </c>
      <c r="CR7" s="100">
        <v>7.6103541608659127</v>
      </c>
      <c r="CS7" s="100">
        <v>6000.0032204266854</v>
      </c>
      <c r="CT7" s="100">
        <v>3.361853900862227</v>
      </c>
      <c r="CU7" s="100">
        <v>2650.4856154397798</v>
      </c>
    </row>
    <row r="8" spans="1:99">
      <c r="C8" s="99" t="s">
        <v>174</v>
      </c>
      <c r="D8" s="100">
        <v>3.4823720172350239</v>
      </c>
      <c r="E8" s="100">
        <v>1078.1423765359632</v>
      </c>
      <c r="F8" s="100">
        <v>2.8931782001914472</v>
      </c>
      <c r="G8" s="100">
        <v>895.72797077927191</v>
      </c>
      <c r="H8" s="100">
        <v>5.0771234738847291</v>
      </c>
      <c r="I8" s="100">
        <v>1571.8774275147121</v>
      </c>
      <c r="J8" s="100">
        <v>4.5967592062833456</v>
      </c>
      <c r="K8" s="100">
        <v>1423.1566502653236</v>
      </c>
      <c r="L8" s="100">
        <v>3.4512061259310345</v>
      </c>
      <c r="M8" s="100">
        <v>1068.4934165882482</v>
      </c>
      <c r="N8" s="100">
        <v>4.5208110782140478</v>
      </c>
      <c r="O8" s="100">
        <v>1399.643109815069</v>
      </c>
      <c r="P8" s="100">
        <v>4.2913505620565813</v>
      </c>
      <c r="Q8" s="100">
        <v>1328.6021340127174</v>
      </c>
      <c r="R8" s="100">
        <v>3.5208125359495828</v>
      </c>
      <c r="S8" s="100">
        <v>1090.0435611299906</v>
      </c>
      <c r="T8" s="100">
        <v>7.3799865785304917</v>
      </c>
      <c r="U8" s="100">
        <v>2284.8438447130397</v>
      </c>
      <c r="V8" s="100">
        <v>7</v>
      </c>
      <c r="W8" s="100">
        <v>2167.1999999999998</v>
      </c>
      <c r="X8" s="100">
        <v>7</v>
      </c>
      <c r="Y8" s="100">
        <v>2167.1999999999998</v>
      </c>
      <c r="Z8" s="100">
        <v>4.205083306908449</v>
      </c>
      <c r="AA8" s="100">
        <v>1301.8937918188556</v>
      </c>
      <c r="AB8" s="100">
        <v>6.3816075649727226</v>
      </c>
      <c r="AC8" s="100">
        <v>1975.7457021155546</v>
      </c>
      <c r="AD8" s="100">
        <v>6.149989731071444</v>
      </c>
      <c r="AE8" s="100">
        <v>1904.0368207397189</v>
      </c>
      <c r="AF8" s="100">
        <v>7.1166140168538741</v>
      </c>
      <c r="AG8" s="100">
        <v>2203.303699617959</v>
      </c>
      <c r="AH8" s="100">
        <v>5.9720927659936054</v>
      </c>
      <c r="AI8" s="100">
        <v>1848.95992035162</v>
      </c>
      <c r="AJ8" s="100">
        <v>3.2638537587752032</v>
      </c>
      <c r="AK8" s="100">
        <v>1010.4891237168029</v>
      </c>
      <c r="AL8" s="100">
        <v>8.9726258127201692</v>
      </c>
      <c r="AM8" s="100">
        <v>2777.924951618164</v>
      </c>
      <c r="AN8" s="100">
        <v>2.4750523346030739</v>
      </c>
      <c r="AO8" s="100">
        <v>766.27620279311157</v>
      </c>
      <c r="AP8" s="100">
        <v>7.7747481210478719</v>
      </c>
      <c r="AQ8" s="100">
        <v>2407.062018276421</v>
      </c>
      <c r="AR8" s="100">
        <v>5.2311939773138114</v>
      </c>
      <c r="AS8" s="100">
        <v>1619.5776553763558</v>
      </c>
      <c r="AT8" s="100">
        <v>5.704215360914036</v>
      </c>
      <c r="AU8" s="100">
        <v>1766.0250757389854</v>
      </c>
      <c r="AV8" s="100">
        <v>8.8703672017218693</v>
      </c>
      <c r="AW8" s="100">
        <v>2746.2656856530903</v>
      </c>
      <c r="AX8" s="100">
        <v>7.4711758847904273</v>
      </c>
      <c r="AY8" s="100">
        <v>2313.0760539311159</v>
      </c>
      <c r="AZ8" s="100">
        <v>5.8614777930865785</v>
      </c>
      <c r="BA8" s="100">
        <v>1814.7135247396045</v>
      </c>
      <c r="BB8" s="100">
        <v>6.1508331882747393</v>
      </c>
      <c r="BC8" s="100">
        <v>1904.297955089859</v>
      </c>
      <c r="BD8" s="100">
        <v>8.4592719796454983</v>
      </c>
      <c r="BE8" s="100">
        <v>2618.9906048982461</v>
      </c>
      <c r="BF8" s="100">
        <v>6.543627935997578</v>
      </c>
      <c r="BG8" s="100">
        <v>2025.9072089848498</v>
      </c>
      <c r="BH8" s="100">
        <v>7.1857092286043942</v>
      </c>
      <c r="BI8" s="100">
        <v>2224.6955771759203</v>
      </c>
      <c r="BJ8" s="100">
        <v>5.0741275080542154</v>
      </c>
      <c r="BK8" s="100">
        <v>1570.949876493585</v>
      </c>
      <c r="BL8" s="100">
        <v>9.9404467386688289</v>
      </c>
      <c r="BM8" s="100">
        <v>3077.5623102918689</v>
      </c>
      <c r="BN8" s="100">
        <v>4.7888343229374044</v>
      </c>
      <c r="BO8" s="100">
        <v>1482.6231063814203</v>
      </c>
      <c r="BP8" s="100">
        <v>3.0462779418917889</v>
      </c>
      <c r="BQ8" s="100">
        <v>943.1276508096978</v>
      </c>
      <c r="BR8" s="100">
        <v>4.368343287183694</v>
      </c>
      <c r="BS8" s="100">
        <v>1352.4390817120716</v>
      </c>
      <c r="BT8" s="100">
        <v>6.8900953509824756</v>
      </c>
      <c r="BU8" s="100">
        <v>2133.1735206641742</v>
      </c>
      <c r="BV8" s="100">
        <v>5.7738883642799781</v>
      </c>
      <c r="BW8" s="100">
        <v>1787.595837581081</v>
      </c>
      <c r="BX8" s="100">
        <v>6.205546129157443</v>
      </c>
      <c r="BY8" s="100">
        <v>1921.2370815871441</v>
      </c>
      <c r="BZ8" s="100">
        <v>4.9831390457753031</v>
      </c>
      <c r="CA8" s="100">
        <v>1542.7798485720336</v>
      </c>
      <c r="CB8" s="100">
        <v>9.5139985234540703</v>
      </c>
      <c r="CC8" s="100">
        <v>2945.5339428613797</v>
      </c>
      <c r="CD8" s="100">
        <v>4.0812243838359503</v>
      </c>
      <c r="CE8" s="100">
        <v>1263.54706923561</v>
      </c>
      <c r="CF8" s="100">
        <v>7.3982399315694236</v>
      </c>
      <c r="CG8" s="100">
        <v>2290.4950828138931</v>
      </c>
      <c r="CH8" s="100">
        <v>6.2710970047430266</v>
      </c>
      <c r="CI8" s="100">
        <v>1941.5316326684408</v>
      </c>
      <c r="CJ8" s="100">
        <v>6.0940677231311291</v>
      </c>
      <c r="CK8" s="100">
        <v>1886.7233670813973</v>
      </c>
      <c r="CL8" s="100">
        <v>5.5576229774555195</v>
      </c>
      <c r="CM8" s="100">
        <v>1720.6400738202287</v>
      </c>
      <c r="CN8" s="100">
        <v>6.4588368699379135</v>
      </c>
      <c r="CO8" s="100">
        <v>1999.6558949327778</v>
      </c>
      <c r="CP8" s="100">
        <v>5.5380482547524803</v>
      </c>
      <c r="CQ8" s="100">
        <v>1714.5797396713676</v>
      </c>
      <c r="CR8" s="100">
        <v>8.3730789897716402</v>
      </c>
      <c r="CS8" s="100">
        <v>2592.3052552332997</v>
      </c>
      <c r="CT8" s="100">
        <v>3.7550815893254845</v>
      </c>
      <c r="CU8" s="100">
        <v>1162.5732600551698</v>
      </c>
    </row>
    <row r="9" spans="1:99">
      <c r="C9" s="99" t="s">
        <v>175</v>
      </c>
      <c r="D9" s="100">
        <v>3.4823720172350239</v>
      </c>
      <c r="E9" s="100">
        <v>2444.6251560989867</v>
      </c>
      <c r="F9" s="100">
        <v>2.4113942191768589</v>
      </c>
      <c r="G9" s="100">
        <v>1692.7987418621549</v>
      </c>
      <c r="H9" s="100">
        <v>5.2018043503547817</v>
      </c>
      <c r="I9" s="100">
        <v>3651.6666539490566</v>
      </c>
      <c r="J9" s="100">
        <v>5.2748425070378282</v>
      </c>
      <c r="K9" s="100">
        <v>3702.9394399405555</v>
      </c>
      <c r="L9" s="100">
        <v>3.4512061259310345</v>
      </c>
      <c r="M9" s="100">
        <v>2422.7467004035861</v>
      </c>
      <c r="N9" s="100">
        <v>4.5208110782140478</v>
      </c>
      <c r="O9" s="100">
        <v>3173.6093769062618</v>
      </c>
      <c r="P9" s="100">
        <v>4.9737310238417223</v>
      </c>
      <c r="Q9" s="100">
        <v>3491.559178736889</v>
      </c>
      <c r="R9" s="100">
        <v>3.5208125359495828</v>
      </c>
      <c r="S9" s="100">
        <v>2471.6104002366069</v>
      </c>
      <c r="T9" s="100">
        <v>6.3688616884052065</v>
      </c>
      <c r="U9" s="100">
        <v>4470.9409052604551</v>
      </c>
      <c r="V9" s="100">
        <v>6.9355841739804749</v>
      </c>
      <c r="W9" s="100">
        <v>4868.7800901342935</v>
      </c>
      <c r="X9" s="100">
        <v>8</v>
      </c>
      <c r="Y9" s="100">
        <v>5616</v>
      </c>
      <c r="Z9" s="100">
        <v>4.9993588973135976</v>
      </c>
      <c r="AA9" s="100">
        <v>3509.5499459141456</v>
      </c>
      <c r="AB9" s="100">
        <v>6.3816075649727226</v>
      </c>
      <c r="AC9" s="100">
        <v>4479.888510610851</v>
      </c>
      <c r="AD9" s="100">
        <v>6.149989731071444</v>
      </c>
      <c r="AE9" s="100">
        <v>4317.292791212154</v>
      </c>
      <c r="AF9" s="100">
        <v>7.1166140168538741</v>
      </c>
      <c r="AG9" s="100">
        <v>4995.8630398314199</v>
      </c>
      <c r="AH9" s="100">
        <v>6.6975030308236532</v>
      </c>
      <c r="AI9" s="100">
        <v>4701.6471276382044</v>
      </c>
      <c r="AJ9" s="100">
        <v>2.7590370124258228</v>
      </c>
      <c r="AK9" s="100">
        <v>1936.8439827229276</v>
      </c>
      <c r="AL9" s="100">
        <v>8.9726258127201692</v>
      </c>
      <c r="AM9" s="100">
        <v>6298.7833205295592</v>
      </c>
      <c r="AN9" s="100">
        <v>2.4750523346030739</v>
      </c>
      <c r="AO9" s="100">
        <v>1737.4867388913578</v>
      </c>
      <c r="AP9" s="100">
        <v>8.487428321303252</v>
      </c>
      <c r="AQ9" s="100">
        <v>5958.1746815548831</v>
      </c>
      <c r="AR9" s="100">
        <v>4.3593283144281765</v>
      </c>
      <c r="AS9" s="100">
        <v>3060.24847672858</v>
      </c>
      <c r="AT9" s="100">
        <v>5.6808184851315637</v>
      </c>
      <c r="AU9" s="100">
        <v>3987.934576562358</v>
      </c>
      <c r="AV9" s="100">
        <v>8.8703672017218693</v>
      </c>
      <c r="AW9" s="100">
        <v>6226.9977756087519</v>
      </c>
      <c r="AX9" s="100">
        <v>7.4711758847904273</v>
      </c>
      <c r="AY9" s="100">
        <v>5244.7654711228797</v>
      </c>
      <c r="AZ9" s="100">
        <v>5.8614777930865785</v>
      </c>
      <c r="BA9" s="100">
        <v>4114.7574107467781</v>
      </c>
      <c r="BB9" s="100">
        <v>6.1508331882747393</v>
      </c>
      <c r="BC9" s="100">
        <v>4317.884898168867</v>
      </c>
      <c r="BD9" s="100">
        <v>7.4648564475062402</v>
      </c>
      <c r="BE9" s="100">
        <v>5240.3292261493807</v>
      </c>
      <c r="BF9" s="100">
        <v>6.543627935997578</v>
      </c>
      <c r="BG9" s="100">
        <v>4593.6268110702995</v>
      </c>
      <c r="BH9" s="100">
        <v>7.2712606269092284</v>
      </c>
      <c r="BI9" s="100">
        <v>5104.4249600902785</v>
      </c>
      <c r="BJ9" s="100">
        <v>4.5103355627148582</v>
      </c>
      <c r="BK9" s="100">
        <v>3166.2555650258305</v>
      </c>
      <c r="BL9" s="100">
        <v>9.9404467386688289</v>
      </c>
      <c r="BM9" s="100">
        <v>6978.1936105455179</v>
      </c>
      <c r="BN9" s="100">
        <v>4.7888343229374044</v>
      </c>
      <c r="BO9" s="100">
        <v>3361.7616947020579</v>
      </c>
      <c r="BP9" s="100">
        <v>3.4338289045026418</v>
      </c>
      <c r="BQ9" s="100">
        <v>2410.5478909608546</v>
      </c>
      <c r="BR9" s="100">
        <v>4.4741075091116844</v>
      </c>
      <c r="BS9" s="100">
        <v>3140.8234713964025</v>
      </c>
      <c r="BT9" s="100">
        <v>6.8900953509824756</v>
      </c>
      <c r="BU9" s="100">
        <v>4836.8469363896975</v>
      </c>
      <c r="BV9" s="100">
        <v>6.7738883642799781</v>
      </c>
      <c r="BW9" s="100">
        <v>4755.2696317245445</v>
      </c>
      <c r="BX9" s="100">
        <v>6.2886092250415304</v>
      </c>
      <c r="BY9" s="100">
        <v>4414.6036759791541</v>
      </c>
      <c r="BZ9" s="100">
        <v>4.9831390457753031</v>
      </c>
      <c r="CA9" s="100">
        <v>3498.1636101342629</v>
      </c>
      <c r="CB9" s="100">
        <v>9.5139985234540703</v>
      </c>
      <c r="CC9" s="100">
        <v>6678.8269634647577</v>
      </c>
      <c r="CD9" s="100">
        <v>4.0812243838359503</v>
      </c>
      <c r="CE9" s="100">
        <v>2865.0195174528371</v>
      </c>
      <c r="CF9" s="100">
        <v>7.0486799486770675</v>
      </c>
      <c r="CG9" s="100">
        <v>4948.1733239713012</v>
      </c>
      <c r="CH9" s="100">
        <v>7.1669680054206006</v>
      </c>
      <c r="CI9" s="100">
        <v>5031.211539805262</v>
      </c>
      <c r="CJ9" s="100">
        <v>5.3789946570955536</v>
      </c>
      <c r="CK9" s="100">
        <v>3776.0542492810787</v>
      </c>
      <c r="CL9" s="100">
        <v>4.2288677184423831</v>
      </c>
      <c r="CM9" s="100">
        <v>2968.6651383465528</v>
      </c>
      <c r="CN9" s="100">
        <v>6.4588368699379135</v>
      </c>
      <c r="CO9" s="100">
        <v>4534.1034826964151</v>
      </c>
      <c r="CP9" s="100">
        <v>5.0405078653536313</v>
      </c>
      <c r="CQ9" s="100">
        <v>3538.4365214782492</v>
      </c>
      <c r="CR9" s="100">
        <v>7.4589354702975257</v>
      </c>
      <c r="CS9" s="100">
        <v>5236.1727001488634</v>
      </c>
      <c r="CT9" s="100">
        <v>3.7550815893254845</v>
      </c>
      <c r="CU9" s="100">
        <v>2636.0672757064904</v>
      </c>
    </row>
    <row r="10" spans="1:99">
      <c r="C10" s="99" t="s">
        <v>176</v>
      </c>
      <c r="D10" s="100">
        <v>3.4823720172350239</v>
      </c>
      <c r="E10" s="100">
        <v>1897.1962749896409</v>
      </c>
      <c r="F10" s="100">
        <v>2.8931782001914472</v>
      </c>
      <c r="G10" s="100">
        <v>1576.2034834643002</v>
      </c>
      <c r="H10" s="100">
        <v>5.2018043503547817</v>
      </c>
      <c r="I10" s="100">
        <v>2833.9430100732848</v>
      </c>
      <c r="J10" s="100">
        <v>3.8306326719027881</v>
      </c>
      <c r="K10" s="100">
        <v>2086.9286796526389</v>
      </c>
      <c r="L10" s="100">
        <v>3.4785941909189617</v>
      </c>
      <c r="M10" s="100">
        <v>1895.1381152126503</v>
      </c>
      <c r="N10" s="100">
        <v>4.5208110782140478</v>
      </c>
      <c r="O10" s="100">
        <v>2462.937875411013</v>
      </c>
      <c r="P10" s="100">
        <v>4.9753156935748848</v>
      </c>
      <c r="Q10" s="100">
        <v>2710.5519898595971</v>
      </c>
      <c r="R10" s="100">
        <v>3.4895636022435537</v>
      </c>
      <c r="S10" s="100">
        <v>1901.1142505022879</v>
      </c>
      <c r="T10" s="100">
        <v>8.2682172402234144</v>
      </c>
      <c r="U10" s="100">
        <v>4504.524752473716</v>
      </c>
      <c r="V10" s="100">
        <v>6</v>
      </c>
      <c r="W10" s="100">
        <v>3268.7999999999997</v>
      </c>
      <c r="X10" s="100">
        <v>8</v>
      </c>
      <c r="Y10" s="100">
        <v>4358.3999999999996</v>
      </c>
      <c r="Z10" s="100">
        <v>4.205083306908449</v>
      </c>
      <c r="AA10" s="100">
        <v>2290.9293856037229</v>
      </c>
      <c r="AB10" s="100">
        <v>7.3719871089872395</v>
      </c>
      <c r="AC10" s="100">
        <v>4016.2585769762477</v>
      </c>
      <c r="AD10" s="100">
        <v>6.149989731071444</v>
      </c>
      <c r="AE10" s="100">
        <v>3350.5144054877223</v>
      </c>
      <c r="AF10" s="100">
        <v>7.8959329598890831</v>
      </c>
      <c r="AG10" s="100">
        <v>4301.7042765475717</v>
      </c>
      <c r="AH10" s="100">
        <v>6.6975030308236532</v>
      </c>
      <c r="AI10" s="100">
        <v>3648.7996511927258</v>
      </c>
      <c r="AJ10" s="100">
        <v>2.7590370124258228</v>
      </c>
      <c r="AK10" s="100">
        <v>1503.1233643695882</v>
      </c>
      <c r="AL10" s="100">
        <v>9.8105215106001413</v>
      </c>
      <c r="AM10" s="100">
        <v>5344.7721189749564</v>
      </c>
      <c r="AN10" s="100">
        <v>2.4750523346030739</v>
      </c>
      <c r="AO10" s="100">
        <v>1348.4085118917546</v>
      </c>
      <c r="AP10" s="100">
        <v>7.6365276864475504</v>
      </c>
      <c r="AQ10" s="100">
        <v>4160.3802835766255</v>
      </c>
      <c r="AR10" s="100">
        <v>4.3593283144281765</v>
      </c>
      <c r="AS10" s="100">
        <v>2374.9620657004702</v>
      </c>
      <c r="AT10" s="100">
        <v>5.198412260348654</v>
      </c>
      <c r="AU10" s="100">
        <v>2832.0949994379466</v>
      </c>
      <c r="AV10" s="100">
        <v>9.8515286935345792</v>
      </c>
      <c r="AW10" s="100">
        <v>5367.112832237638</v>
      </c>
      <c r="AX10" s="100">
        <v>6.7240582963113846</v>
      </c>
      <c r="AY10" s="100">
        <v>3663.2669598304419</v>
      </c>
      <c r="AZ10" s="100">
        <v>5.8614777930865785</v>
      </c>
      <c r="BA10" s="100">
        <v>3193.3331016735679</v>
      </c>
      <c r="BB10" s="100">
        <v>7.0425869039230768</v>
      </c>
      <c r="BC10" s="100">
        <v>3836.8013452572918</v>
      </c>
      <c r="BD10" s="100">
        <v>7.4648564475062402</v>
      </c>
      <c r="BE10" s="100">
        <v>4066.8537926013992</v>
      </c>
      <c r="BF10" s="100">
        <v>7.088306244925227</v>
      </c>
      <c r="BG10" s="100">
        <v>3861.7092422352634</v>
      </c>
      <c r="BH10" s="100">
        <v>7.9280465810332297</v>
      </c>
      <c r="BI10" s="100">
        <v>4319.1997773469029</v>
      </c>
      <c r="BJ10" s="100">
        <v>4.5103355627148582</v>
      </c>
      <c r="BK10" s="100">
        <v>2457.2308145670545</v>
      </c>
      <c r="BL10" s="100">
        <v>9.1371630513571898</v>
      </c>
      <c r="BM10" s="100">
        <v>4977.9264303793962</v>
      </c>
      <c r="BN10" s="100">
        <v>3.9906952691145041</v>
      </c>
      <c r="BO10" s="100">
        <v>2174.1307826135817</v>
      </c>
      <c r="BP10" s="100">
        <v>3.0122013613323695</v>
      </c>
      <c r="BQ10" s="100">
        <v>1641.0473016538747</v>
      </c>
      <c r="BR10" s="100">
        <v>4.4796712236714127</v>
      </c>
      <c r="BS10" s="100">
        <v>2440.5248826561856</v>
      </c>
      <c r="BT10" s="100">
        <v>5.9326868505308861</v>
      </c>
      <c r="BU10" s="100">
        <v>3232.1277961692263</v>
      </c>
      <c r="BV10" s="100">
        <v>6.7738883642799781</v>
      </c>
      <c r="BW10" s="100">
        <v>3690.4143808597319</v>
      </c>
      <c r="BX10" s="100">
        <v>6.2470776770994876</v>
      </c>
      <c r="BY10" s="100">
        <v>3403.4079184838006</v>
      </c>
      <c r="BZ10" s="100">
        <v>5.1006160370337863</v>
      </c>
      <c r="CA10" s="100">
        <v>2778.8156169760064</v>
      </c>
      <c r="CB10" s="100">
        <v>9.5139985234540703</v>
      </c>
      <c r="CC10" s="100">
        <v>5183.2263955777771</v>
      </c>
      <c r="CD10" s="100">
        <v>4.1006140071204857</v>
      </c>
      <c r="CE10" s="100">
        <v>2234.0145110792405</v>
      </c>
      <c r="CF10" s="100">
        <v>7.223459940123246</v>
      </c>
      <c r="CG10" s="100">
        <v>3935.3409753791443</v>
      </c>
      <c r="CH10" s="100">
        <v>6.2710970047430266</v>
      </c>
      <c r="CI10" s="100">
        <v>3416.4936481840004</v>
      </c>
      <c r="CJ10" s="100">
        <v>5.4323493992164869</v>
      </c>
      <c r="CK10" s="100">
        <v>2959.5439526931418</v>
      </c>
      <c r="CL10" s="100">
        <v>5.0705951138930248</v>
      </c>
      <c r="CM10" s="100">
        <v>2762.4602180489196</v>
      </c>
      <c r="CN10" s="100">
        <v>7.3129616689146832</v>
      </c>
      <c r="CO10" s="100">
        <v>3984.1015172247189</v>
      </c>
      <c r="CP10" s="100">
        <v>5.0405078653536313</v>
      </c>
      <c r="CQ10" s="100">
        <v>2746.0686850446582</v>
      </c>
      <c r="CR10" s="100">
        <v>8.5244976803400281</v>
      </c>
      <c r="CS10" s="100">
        <v>4644.1463362492468</v>
      </c>
      <c r="CT10" s="100">
        <v>3.361853900862227</v>
      </c>
      <c r="CU10" s="100">
        <v>1831.5380051897412</v>
      </c>
    </row>
    <row r="11" spans="1:99">
      <c r="C11" s="99" t="s">
        <v>177</v>
      </c>
      <c r="D11" s="100">
        <v>3.4823720172350239</v>
      </c>
      <c r="E11" s="100">
        <v>1855.4078107828207</v>
      </c>
      <c r="F11" s="100">
        <v>2.8931782001914472</v>
      </c>
      <c r="G11" s="100">
        <v>1541.485345062003</v>
      </c>
      <c r="H11" s="100">
        <v>5.2018043503547817</v>
      </c>
      <c r="I11" s="100">
        <v>2771.5213578690273</v>
      </c>
      <c r="J11" s="100">
        <v>3.8306326719027881</v>
      </c>
      <c r="K11" s="100">
        <v>2040.9610875898054</v>
      </c>
      <c r="L11" s="100">
        <v>3.4512061259310345</v>
      </c>
      <c r="M11" s="100">
        <v>1838.8026238960549</v>
      </c>
      <c r="N11" s="100">
        <v>4.6437902485162912</v>
      </c>
      <c r="O11" s="100">
        <v>2474.2114444094796</v>
      </c>
      <c r="P11" s="100">
        <v>5.0532486823809393</v>
      </c>
      <c r="Q11" s="100">
        <v>2692.3708979725643</v>
      </c>
      <c r="R11" s="100">
        <v>4.1874763226922642</v>
      </c>
      <c r="S11" s="100">
        <v>2231.0873847304383</v>
      </c>
      <c r="T11" s="100">
        <v>7.3799865785304917</v>
      </c>
      <c r="U11" s="100">
        <v>3932.0568490410456</v>
      </c>
      <c r="V11" s="100">
        <v>7.052532195728034</v>
      </c>
      <c r="W11" s="100">
        <v>3757.5891538838964</v>
      </c>
      <c r="X11" s="100">
        <v>7</v>
      </c>
      <c r="Y11" s="100">
        <v>3729.5999999999995</v>
      </c>
      <c r="Z11" s="100">
        <v>4.9993588973135976</v>
      </c>
      <c r="AA11" s="100">
        <v>2663.6584204886844</v>
      </c>
      <c r="AB11" s="100">
        <v>6.5280509986012634</v>
      </c>
      <c r="AC11" s="100">
        <v>3478.1455720547528</v>
      </c>
      <c r="AD11" s="100">
        <v>6.149989731071444</v>
      </c>
      <c r="AE11" s="100">
        <v>3276.7145287148651</v>
      </c>
      <c r="AF11" s="100">
        <v>7.785675150817557</v>
      </c>
      <c r="AG11" s="100">
        <v>4148.2077203555937</v>
      </c>
      <c r="AH11" s="100">
        <v>6.7968609099551287</v>
      </c>
      <c r="AI11" s="100">
        <v>3621.3674928240921</v>
      </c>
      <c r="AJ11" s="100">
        <v>2.7825323404937148</v>
      </c>
      <c r="AK11" s="100">
        <v>1482.5332310150511</v>
      </c>
      <c r="AL11" s="100">
        <v>9.8105215106001413</v>
      </c>
      <c r="AM11" s="100">
        <v>5227.0458608477547</v>
      </c>
      <c r="AN11" s="100">
        <v>2.4750523346030739</v>
      </c>
      <c r="AO11" s="100">
        <v>1318.7078838765176</v>
      </c>
      <c r="AP11" s="100">
        <v>7.6365276864475504</v>
      </c>
      <c r="AQ11" s="100">
        <v>4068.7419513392547</v>
      </c>
      <c r="AR11" s="100">
        <v>4.3593283144281765</v>
      </c>
      <c r="AS11" s="100">
        <v>2322.6501259273323</v>
      </c>
      <c r="AT11" s="100">
        <v>4.692609159783272</v>
      </c>
      <c r="AU11" s="100">
        <v>2500.222160332527</v>
      </c>
      <c r="AV11" s="100">
        <v>8.8703672017218693</v>
      </c>
      <c r="AW11" s="100">
        <v>4726.1316450774111</v>
      </c>
      <c r="AX11" s="100">
        <v>6.7240582963113846</v>
      </c>
      <c r="AY11" s="100">
        <v>3582.5782602747054</v>
      </c>
      <c r="AZ11" s="100">
        <v>5.8614777930865785</v>
      </c>
      <c r="BA11" s="100">
        <v>3122.9953681565289</v>
      </c>
      <c r="BB11" s="100">
        <v>6.1508331882747393</v>
      </c>
      <c r="BC11" s="100">
        <v>3277.1639227127807</v>
      </c>
      <c r="BD11" s="100">
        <v>7.4648564475062402</v>
      </c>
      <c r="BE11" s="100">
        <v>3977.2755152313243</v>
      </c>
      <c r="BF11" s="100">
        <v>6.543627935997578</v>
      </c>
      <c r="BG11" s="100">
        <v>3486.4449642995091</v>
      </c>
      <c r="BH11" s="100">
        <v>6.6162010272607299</v>
      </c>
      <c r="BI11" s="100">
        <v>3525.1119073245168</v>
      </c>
      <c r="BJ11" s="100">
        <v>4.5103355627148582</v>
      </c>
      <c r="BK11" s="100">
        <v>2403.1067878144763</v>
      </c>
      <c r="BL11" s="100">
        <v>10.109877585722833</v>
      </c>
      <c r="BM11" s="100">
        <v>5386.5427776731249</v>
      </c>
      <c r="BN11" s="100">
        <v>4.7888343229374044</v>
      </c>
      <c r="BO11" s="100">
        <v>2551.4909272610489</v>
      </c>
      <c r="BP11" s="100">
        <v>3.0598329618489153</v>
      </c>
      <c r="BQ11" s="100">
        <v>1630.279002073102</v>
      </c>
      <c r="BR11" s="100">
        <v>4.368343287183694</v>
      </c>
      <c r="BS11" s="100">
        <v>2327.453303411472</v>
      </c>
      <c r="BT11" s="100">
        <v>6.8900953509824756</v>
      </c>
      <c r="BU11" s="100">
        <v>3671.0428030034627</v>
      </c>
      <c r="BV11" s="100">
        <v>5.7738883642799781</v>
      </c>
      <c r="BW11" s="100">
        <v>3076.3277204883721</v>
      </c>
      <c r="BX11" s="100">
        <v>6.8535197066773366</v>
      </c>
      <c r="BY11" s="100">
        <v>3651.5552997176846</v>
      </c>
      <c r="BZ11" s="100">
        <v>4.9831390457753031</v>
      </c>
      <c r="CA11" s="100">
        <v>2655.0164835890814</v>
      </c>
      <c r="CB11" s="100">
        <v>9.6272248486259198</v>
      </c>
      <c r="CC11" s="100">
        <v>5129.3853993478897</v>
      </c>
      <c r="CD11" s="100">
        <v>4.4986356758975212</v>
      </c>
      <c r="CE11" s="100">
        <v>2396.8730881181991</v>
      </c>
      <c r="CF11" s="100">
        <v>8.0486799486770675</v>
      </c>
      <c r="CG11" s="100">
        <v>4288.3366766551408</v>
      </c>
      <c r="CH11" s="100">
        <v>5.3752260040654516</v>
      </c>
      <c r="CI11" s="100">
        <v>2863.9204149660723</v>
      </c>
      <c r="CJ11" s="100">
        <v>5.3789946570955536</v>
      </c>
      <c r="CK11" s="100">
        <v>2865.9283533005105</v>
      </c>
      <c r="CL11" s="100">
        <v>5.1147045577844743</v>
      </c>
      <c r="CM11" s="100">
        <v>2725.1145883875679</v>
      </c>
      <c r="CN11" s="100">
        <v>6.3106048614848804</v>
      </c>
      <c r="CO11" s="100">
        <v>3362.2902701991438</v>
      </c>
      <c r="CP11" s="100">
        <v>5.5355372979132289</v>
      </c>
      <c r="CQ11" s="100">
        <v>2949.334272328168</v>
      </c>
      <c r="CR11" s="100">
        <v>8.5244976803400281</v>
      </c>
      <c r="CS11" s="100">
        <v>4541.8523640851663</v>
      </c>
      <c r="CT11" s="100">
        <v>3.7550815893254845</v>
      </c>
      <c r="CU11" s="100">
        <v>2000.7074707926181</v>
      </c>
    </row>
    <row r="12" spans="1:99">
      <c r="C12" s="99" t="s">
        <v>178</v>
      </c>
      <c r="D12" s="100">
        <v>3.4823720172350239</v>
      </c>
      <c r="E12" s="100">
        <v>1959.8789712998712</v>
      </c>
      <c r="F12" s="100">
        <v>2.8907038860875272</v>
      </c>
      <c r="G12" s="100">
        <v>1626.8881470900601</v>
      </c>
      <c r="H12" s="100">
        <v>5.2044608816030911</v>
      </c>
      <c r="I12" s="100">
        <v>2929.0705841662193</v>
      </c>
      <c r="J12" s="100">
        <v>3.8306326719027881</v>
      </c>
      <c r="K12" s="100">
        <v>2155.8800677468889</v>
      </c>
      <c r="L12" s="100">
        <v>2.9307812349183839</v>
      </c>
      <c r="M12" s="100">
        <v>1649.4436790120662</v>
      </c>
      <c r="N12" s="100">
        <v>4.5208110782140478</v>
      </c>
      <c r="O12" s="100">
        <v>2544.3124748188661</v>
      </c>
      <c r="P12" s="100">
        <v>4.2118329035173643</v>
      </c>
      <c r="Q12" s="100">
        <v>2370.4195580995724</v>
      </c>
      <c r="R12" s="100">
        <v>3.5208125359495828</v>
      </c>
      <c r="S12" s="100">
        <v>1981.513295232425</v>
      </c>
      <c r="T12" s="100">
        <v>6.390468410770171</v>
      </c>
      <c r="U12" s="100">
        <v>3596.5556215814518</v>
      </c>
      <c r="V12" s="100">
        <v>7.052532195728034</v>
      </c>
      <c r="W12" s="100">
        <v>3969.1651197557371</v>
      </c>
      <c r="X12" s="100">
        <v>8</v>
      </c>
      <c r="Y12" s="100">
        <v>4502.3999999999996</v>
      </c>
      <c r="Z12" s="100">
        <v>4.1661324144279979</v>
      </c>
      <c r="AA12" s="100">
        <v>2344.699322840077</v>
      </c>
      <c r="AB12" s="100">
        <v>6.3816075649727226</v>
      </c>
      <c r="AC12" s="100">
        <v>3591.568737566648</v>
      </c>
      <c r="AD12" s="100">
        <v>5.427397629506963</v>
      </c>
      <c r="AE12" s="100">
        <v>3054.5393858865186</v>
      </c>
      <c r="AF12" s="100">
        <v>7.006356207782348</v>
      </c>
      <c r="AG12" s="100">
        <v>3943.1772737399051</v>
      </c>
      <c r="AH12" s="100">
        <v>5.9720927659936054</v>
      </c>
      <c r="AI12" s="100">
        <v>3361.0938087012009</v>
      </c>
      <c r="AJ12" s="100">
        <v>3.2638537587752032</v>
      </c>
      <c r="AK12" s="100">
        <v>1836.8968954386842</v>
      </c>
      <c r="AL12" s="100">
        <v>8.9726258127201692</v>
      </c>
      <c r="AM12" s="100">
        <v>5049.7938073989108</v>
      </c>
      <c r="AN12" s="100">
        <v>2.4750523346030739</v>
      </c>
      <c r="AO12" s="100">
        <v>1392.9594539146099</v>
      </c>
      <c r="AP12" s="100">
        <v>7.6365276864475504</v>
      </c>
      <c r="AQ12" s="100">
        <v>4297.8377819326806</v>
      </c>
      <c r="AR12" s="100">
        <v>5.2311939773138114</v>
      </c>
      <c r="AS12" s="100">
        <v>2944.1159704322126</v>
      </c>
      <c r="AT12" s="100">
        <v>5.198412260348654</v>
      </c>
      <c r="AU12" s="100">
        <v>2925.6664201242224</v>
      </c>
      <c r="AV12" s="100">
        <v>8.7001879905185024</v>
      </c>
      <c r="AW12" s="100">
        <v>4896.4658010638132</v>
      </c>
      <c r="AX12" s="100">
        <v>6.7240582963113846</v>
      </c>
      <c r="AY12" s="100">
        <v>3784.300009164047</v>
      </c>
      <c r="AZ12" s="100">
        <v>5.2639432730175129</v>
      </c>
      <c r="BA12" s="100">
        <v>2962.5472740542559</v>
      </c>
      <c r="BB12" s="100">
        <v>6.1508331882747393</v>
      </c>
      <c r="BC12" s="100">
        <v>3461.6889183610228</v>
      </c>
      <c r="BD12" s="100">
        <v>7.4648564475062402</v>
      </c>
      <c r="BE12" s="100">
        <v>4201.2212086565114</v>
      </c>
      <c r="BF12" s="100">
        <v>6.543627935997578</v>
      </c>
      <c r="BG12" s="100">
        <v>3682.7538023794364</v>
      </c>
      <c r="BH12" s="100">
        <v>7.9297729355087325</v>
      </c>
      <c r="BI12" s="100">
        <v>4462.8762081043142</v>
      </c>
      <c r="BJ12" s="100">
        <v>4.5103355627148582</v>
      </c>
      <c r="BK12" s="100">
        <v>2538.4168546959222</v>
      </c>
      <c r="BL12" s="100">
        <v>10.913161273034472</v>
      </c>
      <c r="BM12" s="100">
        <v>6141.9271644638002</v>
      </c>
      <c r="BN12" s="100">
        <v>4.7888343229374044</v>
      </c>
      <c r="BO12" s="100">
        <v>2695.155956949171</v>
      </c>
      <c r="BP12" s="100">
        <v>3.4342030546076381</v>
      </c>
      <c r="BQ12" s="100">
        <v>1932.7694791331785</v>
      </c>
      <c r="BR12" s="100">
        <v>3.8712875174681094</v>
      </c>
      <c r="BS12" s="100">
        <v>2178.760614831052</v>
      </c>
      <c r="BT12" s="100">
        <v>6.7468898074483592</v>
      </c>
      <c r="BU12" s="100">
        <v>3797.1495836319364</v>
      </c>
      <c r="BV12" s="100">
        <v>6.7738883642799781</v>
      </c>
      <c r="BW12" s="100">
        <v>3812.3443714167715</v>
      </c>
      <c r="BX12" s="100">
        <v>5.5575725516375485</v>
      </c>
      <c r="BY12" s="100">
        <v>3127.801832061612</v>
      </c>
      <c r="BZ12" s="100">
        <v>5.1006160370337863</v>
      </c>
      <c r="CA12" s="100">
        <v>2870.6267056426145</v>
      </c>
      <c r="CB12" s="100">
        <v>9.5139985234540703</v>
      </c>
      <c r="CC12" s="100">
        <v>5354.4783689999504</v>
      </c>
      <c r="CD12" s="100">
        <v>3.5399112365574208</v>
      </c>
      <c r="CE12" s="100">
        <v>1992.2620439345162</v>
      </c>
      <c r="CF12" s="100">
        <v>8.2234599401232451</v>
      </c>
      <c r="CG12" s="100">
        <v>4628.163254301362</v>
      </c>
      <c r="CH12" s="100">
        <v>6.2710970047430266</v>
      </c>
      <c r="CI12" s="100">
        <v>3529.3733942693752</v>
      </c>
      <c r="CJ12" s="100">
        <v>6.0940677231311291</v>
      </c>
      <c r="CK12" s="100">
        <v>3429.7413145781993</v>
      </c>
      <c r="CL12" s="100">
        <v>4.6717861381134291</v>
      </c>
      <c r="CM12" s="100">
        <v>2629.2812385302377</v>
      </c>
      <c r="CN12" s="100">
        <v>6.4588368699379135</v>
      </c>
      <c r="CO12" s="100">
        <v>3635.0333904010572</v>
      </c>
      <c r="CP12" s="100">
        <v>6.1454029379932118</v>
      </c>
      <c r="CQ12" s="100">
        <v>3458.6327735025793</v>
      </c>
      <c r="CR12" s="100">
        <v>7.4589354702975257</v>
      </c>
      <c r="CS12" s="100">
        <v>4197.8888826834473</v>
      </c>
      <c r="CT12" s="100">
        <v>3.361853900862227</v>
      </c>
      <c r="CU12" s="100">
        <v>1892.0513754052613</v>
      </c>
    </row>
    <row r="13" spans="1:99">
      <c r="C13" s="99" t="s">
        <v>179</v>
      </c>
      <c r="D13" s="100">
        <v>3.4823720172350239</v>
      </c>
      <c r="E13" s="100">
        <v>296.69809586842405</v>
      </c>
      <c r="F13" s="100">
        <v>2.413868533280779</v>
      </c>
      <c r="G13" s="100">
        <v>205.66159903552239</v>
      </c>
      <c r="H13" s="100">
        <v>5.2044608816030911</v>
      </c>
      <c r="I13" s="100">
        <v>443.42006711258335</v>
      </c>
      <c r="J13" s="100">
        <v>4.5087159726572708</v>
      </c>
      <c r="K13" s="100">
        <v>384.14260087039946</v>
      </c>
      <c r="L13" s="100">
        <v>3.4785941909189617</v>
      </c>
      <c r="M13" s="100">
        <v>296.37622506629555</v>
      </c>
      <c r="N13" s="100">
        <v>5.3969130995582413</v>
      </c>
      <c r="O13" s="100">
        <v>459.81699608236215</v>
      </c>
      <c r="P13" s="100">
        <v>4.9753156935748848</v>
      </c>
      <c r="Q13" s="100">
        <v>423.89689709258022</v>
      </c>
      <c r="R13" s="100">
        <v>3.5208125359495828</v>
      </c>
      <c r="S13" s="100">
        <v>299.97322806290447</v>
      </c>
      <c r="T13" s="100">
        <v>7.2786990724630929</v>
      </c>
      <c r="U13" s="100">
        <v>620.14516097385558</v>
      </c>
      <c r="V13" s="100">
        <v>6</v>
      </c>
      <c r="W13" s="100">
        <v>511.20000000000005</v>
      </c>
      <c r="X13" s="100">
        <v>8</v>
      </c>
      <c r="Y13" s="100">
        <v>681.6</v>
      </c>
      <c r="Z13" s="100">
        <v>4.1661324144279979</v>
      </c>
      <c r="AA13" s="100">
        <v>354.95448170926545</v>
      </c>
      <c r="AB13" s="100">
        <v>6.3816075649727226</v>
      </c>
      <c r="AC13" s="100">
        <v>543.71296453567595</v>
      </c>
      <c r="AD13" s="100">
        <v>6.2027401480079583</v>
      </c>
      <c r="AE13" s="100">
        <v>528.47346061027804</v>
      </c>
      <c r="AF13" s="100">
        <v>7.1166140168538741</v>
      </c>
      <c r="AG13" s="100">
        <v>606.33551423595009</v>
      </c>
      <c r="AH13" s="100">
        <v>6.7968609099551287</v>
      </c>
      <c r="AI13" s="100">
        <v>579.09254952817696</v>
      </c>
      <c r="AJ13" s="100">
        <v>2.7825323404937148</v>
      </c>
      <c r="AK13" s="100">
        <v>237.0717554100645</v>
      </c>
      <c r="AL13" s="100">
        <v>9.9726258127201692</v>
      </c>
      <c r="AM13" s="100">
        <v>849.66771924375848</v>
      </c>
      <c r="AN13" s="100">
        <v>2.4750523346030739</v>
      </c>
      <c r="AO13" s="100">
        <v>210.87445890818191</v>
      </c>
      <c r="AP13" s="100">
        <v>7.7747481210478719</v>
      </c>
      <c r="AQ13" s="100">
        <v>662.40853991327867</v>
      </c>
      <c r="AR13" s="100">
        <v>4.3593283144281765</v>
      </c>
      <c r="AS13" s="100">
        <v>371.41477238928064</v>
      </c>
      <c r="AT13" s="100">
        <v>5.198412260348654</v>
      </c>
      <c r="AU13" s="100">
        <v>442.90472458170535</v>
      </c>
      <c r="AV13" s="100">
        <v>9.8515286935345792</v>
      </c>
      <c r="AW13" s="100">
        <v>839.35024468914617</v>
      </c>
      <c r="AX13" s="100">
        <v>6.7240582963113846</v>
      </c>
      <c r="AY13" s="100">
        <v>572.88976684573004</v>
      </c>
      <c r="AZ13" s="100">
        <v>5.2102024827436262</v>
      </c>
      <c r="BA13" s="100">
        <v>443.90925152975694</v>
      </c>
      <c r="BB13" s="100">
        <v>6.1508331882747393</v>
      </c>
      <c r="BC13" s="100">
        <v>524.05098764100785</v>
      </c>
      <c r="BD13" s="100">
        <v>7.4648564475062402</v>
      </c>
      <c r="BE13" s="100">
        <v>636.00576932753165</v>
      </c>
      <c r="BF13" s="100">
        <v>7.1848664305516232</v>
      </c>
      <c r="BG13" s="100">
        <v>612.15061988299828</v>
      </c>
      <c r="BH13" s="100">
        <v>7.8459478916794039</v>
      </c>
      <c r="BI13" s="100">
        <v>668.47476037108527</v>
      </c>
      <c r="BJ13" s="100">
        <v>4.5103355627148582</v>
      </c>
      <c r="BK13" s="100">
        <v>384.28058994330593</v>
      </c>
      <c r="BL13" s="100">
        <v>10.109877585722833</v>
      </c>
      <c r="BM13" s="100">
        <v>861.36157030358538</v>
      </c>
      <c r="BN13" s="100">
        <v>4.7888343229374044</v>
      </c>
      <c r="BO13" s="100">
        <v>408.00868431426687</v>
      </c>
      <c r="BP13" s="100">
        <v>3.8558305977779108</v>
      </c>
      <c r="BQ13" s="100">
        <v>328.51676693067799</v>
      </c>
      <c r="BR13" s="100">
        <v>4.4852349382311409</v>
      </c>
      <c r="BS13" s="100">
        <v>382.1420167372932</v>
      </c>
      <c r="BT13" s="100">
        <v>6.7468898074483592</v>
      </c>
      <c r="BU13" s="100">
        <v>574.83501159460025</v>
      </c>
      <c r="BV13" s="100">
        <v>6.8598759603110873</v>
      </c>
      <c r="BW13" s="100">
        <v>584.46143181850471</v>
      </c>
      <c r="BX13" s="100">
        <v>5.8317621976790486</v>
      </c>
      <c r="BY13" s="100">
        <v>496.86613924225497</v>
      </c>
      <c r="BZ13" s="100">
        <v>5.1006160370337863</v>
      </c>
      <c r="CA13" s="100">
        <v>434.57248635527861</v>
      </c>
      <c r="CB13" s="100">
        <v>9.6272248486259198</v>
      </c>
      <c r="CC13" s="100">
        <v>820.23955710292842</v>
      </c>
      <c r="CD13" s="100">
        <v>3.644848538536118</v>
      </c>
      <c r="CE13" s="100">
        <v>310.54109548327727</v>
      </c>
      <c r="CF13" s="100">
        <v>8.2234599401232451</v>
      </c>
      <c r="CG13" s="100">
        <v>700.63878689850048</v>
      </c>
      <c r="CH13" s="100">
        <v>6.2710970047430266</v>
      </c>
      <c r="CI13" s="100">
        <v>534.29746480410586</v>
      </c>
      <c r="CJ13" s="100">
        <v>5.4323493992164869</v>
      </c>
      <c r="CK13" s="100">
        <v>462.83616881324468</v>
      </c>
      <c r="CL13" s="100">
        <v>5.0926498358387491</v>
      </c>
      <c r="CM13" s="100">
        <v>433.89376601346146</v>
      </c>
      <c r="CN13" s="100">
        <v>6.4588368699379135</v>
      </c>
      <c r="CO13" s="100">
        <v>550.29290131871028</v>
      </c>
      <c r="CP13" s="100">
        <v>6.0898680518624575</v>
      </c>
      <c r="CQ13" s="100">
        <v>518.85675801868138</v>
      </c>
      <c r="CR13" s="100">
        <v>8.3730789897716402</v>
      </c>
      <c r="CS13" s="100">
        <v>713.38632992854377</v>
      </c>
      <c r="CT13" s="100">
        <v>3.7694837488692285</v>
      </c>
      <c r="CU13" s="100">
        <v>321.16001540365829</v>
      </c>
    </row>
    <row r="14" spans="1:99">
      <c r="C14" s="99" t="s">
        <v>180</v>
      </c>
      <c r="D14" s="100">
        <v>3.4823720172350239</v>
      </c>
      <c r="E14" s="100">
        <v>1700.7904932175857</v>
      </c>
      <c r="F14" s="100">
        <v>2.8956525142953664</v>
      </c>
      <c r="G14" s="100">
        <v>1414.2366879818569</v>
      </c>
      <c r="H14" s="100">
        <v>4.3379362450853449</v>
      </c>
      <c r="I14" s="100">
        <v>2118.6480620996822</v>
      </c>
      <c r="J14" s="100">
        <v>3.8306326719027881</v>
      </c>
      <c r="K14" s="100">
        <v>1870.8809969573217</v>
      </c>
      <c r="L14" s="100">
        <v>3.4785941909189617</v>
      </c>
      <c r="M14" s="100">
        <v>1698.9454028448208</v>
      </c>
      <c r="N14" s="100">
        <v>4.5227357227908076</v>
      </c>
      <c r="O14" s="100">
        <v>2208.9041270110301</v>
      </c>
      <c r="P14" s="100">
        <v>4.9737310238417223</v>
      </c>
      <c r="Q14" s="100">
        <v>2429.1702320442969</v>
      </c>
      <c r="R14" s="100">
        <v>4.1874763226922642</v>
      </c>
      <c r="S14" s="100">
        <v>2045.1634360029018</v>
      </c>
      <c r="T14" s="100">
        <v>7.3799865785304917</v>
      </c>
      <c r="U14" s="100">
        <v>3604.3854449542919</v>
      </c>
      <c r="V14" s="100">
        <v>8.052532195728034</v>
      </c>
      <c r="W14" s="100">
        <v>3932.8567243935718</v>
      </c>
      <c r="X14" s="100">
        <v>7</v>
      </c>
      <c r="Y14" s="100">
        <v>3418.7999999999997</v>
      </c>
      <c r="Z14" s="100">
        <v>4.1661324144279979</v>
      </c>
      <c r="AA14" s="100">
        <v>2034.739071206634</v>
      </c>
      <c r="AB14" s="100">
        <v>7.3719871089872395</v>
      </c>
      <c r="AC14" s="100">
        <v>3600.4785040293677</v>
      </c>
      <c r="AD14" s="100">
        <v>6.8725818326359249</v>
      </c>
      <c r="AE14" s="100">
        <v>3356.5689670593856</v>
      </c>
      <c r="AF14" s="100">
        <v>7.8959329598890831</v>
      </c>
      <c r="AG14" s="100">
        <v>3856.3736576098281</v>
      </c>
      <c r="AH14" s="100">
        <v>6.7968609099551287</v>
      </c>
      <c r="AI14" s="100">
        <v>3319.5868684220845</v>
      </c>
      <c r="AJ14" s="100">
        <v>3.2403584307073108</v>
      </c>
      <c r="AK14" s="100">
        <v>1582.5910575574505</v>
      </c>
      <c r="AL14" s="100">
        <v>9.9726258127201692</v>
      </c>
      <c r="AM14" s="100">
        <v>4870.6304469325305</v>
      </c>
      <c r="AN14" s="100">
        <v>2.4750523346030739</v>
      </c>
      <c r="AO14" s="100">
        <v>1208.8155602201412</v>
      </c>
      <c r="AP14" s="100">
        <v>7.7747481210478719</v>
      </c>
      <c r="AQ14" s="100">
        <v>3797.1869823197803</v>
      </c>
      <c r="AR14" s="100">
        <v>4.3593283144281765</v>
      </c>
      <c r="AS14" s="100">
        <v>2129.0959487667214</v>
      </c>
      <c r="AT14" s="100">
        <v>5.198412260348654</v>
      </c>
      <c r="AU14" s="100">
        <v>2538.9045479542824</v>
      </c>
      <c r="AV14" s="100">
        <v>8.8703672017218693</v>
      </c>
      <c r="AW14" s="100">
        <v>4332.2873413209609</v>
      </c>
      <c r="AX14" s="100">
        <v>7.4711758847904273</v>
      </c>
      <c r="AY14" s="100">
        <v>3648.9223021316443</v>
      </c>
      <c r="AZ14" s="100">
        <v>5.3778106806215895</v>
      </c>
      <c r="BA14" s="100">
        <v>2626.5227364155844</v>
      </c>
      <c r="BB14" s="100">
        <v>6.1508331882747393</v>
      </c>
      <c r="BC14" s="100">
        <v>3004.0669291533827</v>
      </c>
      <c r="BD14" s="100">
        <v>7.4648564475062402</v>
      </c>
      <c r="BE14" s="100">
        <v>3645.8358889620476</v>
      </c>
      <c r="BF14" s="100">
        <v>6.543627935997578</v>
      </c>
      <c r="BG14" s="100">
        <v>3195.9078839412168</v>
      </c>
      <c r="BH14" s="100">
        <v>7.9280465810332297</v>
      </c>
      <c r="BI14" s="100">
        <v>3872.0579501766292</v>
      </c>
      <c r="BJ14" s="100">
        <v>4.5103355627148582</v>
      </c>
      <c r="BK14" s="100">
        <v>2202.8478888299369</v>
      </c>
      <c r="BL14" s="100">
        <v>9.9404467386688289</v>
      </c>
      <c r="BM14" s="100">
        <v>4854.9141871658558</v>
      </c>
      <c r="BN14" s="100">
        <v>3.9906952691145041</v>
      </c>
      <c r="BO14" s="100">
        <v>1949.0555694355237</v>
      </c>
      <c r="BP14" s="100">
        <v>3.0598329618489153</v>
      </c>
      <c r="BQ14" s="100">
        <v>1494.4224185670103</v>
      </c>
      <c r="BR14" s="100">
        <v>3.8657238029083811</v>
      </c>
      <c r="BS14" s="100">
        <v>1888.0195053404532</v>
      </c>
      <c r="BT14" s="100">
        <v>6.7468898074483592</v>
      </c>
      <c r="BU14" s="100">
        <v>3295.1809819577784</v>
      </c>
      <c r="BV14" s="100">
        <v>5.6879007682488698</v>
      </c>
      <c r="BW14" s="100">
        <v>2777.970735212748</v>
      </c>
      <c r="BX14" s="100">
        <v>6.2470776770994876</v>
      </c>
      <c r="BY14" s="100">
        <v>3051.0727374953894</v>
      </c>
      <c r="BZ14" s="100">
        <v>5.1006160370337863</v>
      </c>
      <c r="CA14" s="100">
        <v>2491.1408724873013</v>
      </c>
      <c r="CB14" s="100">
        <v>8.6418570987289591</v>
      </c>
      <c r="CC14" s="100">
        <v>4220.6830070192236</v>
      </c>
      <c r="CD14" s="100">
        <v>4.5369898524203176</v>
      </c>
      <c r="CE14" s="100">
        <v>2215.8658439220831</v>
      </c>
      <c r="CF14" s="100">
        <v>8.0486799486770675</v>
      </c>
      <c r="CG14" s="100">
        <v>3930.9752869338795</v>
      </c>
      <c r="CH14" s="100">
        <v>6.2710970047430266</v>
      </c>
      <c r="CI14" s="100">
        <v>3062.8037771164941</v>
      </c>
      <c r="CJ14" s="100">
        <v>6.0940677231311291</v>
      </c>
      <c r="CK14" s="100">
        <v>2976.3426759772433</v>
      </c>
      <c r="CL14" s="100">
        <v>5.0926498358387491</v>
      </c>
      <c r="CM14" s="100">
        <v>2487.2501798236449</v>
      </c>
      <c r="CN14" s="100">
        <v>6.3106048614848804</v>
      </c>
      <c r="CO14" s="100">
        <v>3082.0994143492153</v>
      </c>
      <c r="CP14" s="100">
        <v>6.1441474595735883</v>
      </c>
      <c r="CQ14" s="100">
        <v>3000.8016192557402</v>
      </c>
      <c r="CR14" s="100">
        <v>9.4386411998141444</v>
      </c>
      <c r="CS14" s="100">
        <v>4609.832361989228</v>
      </c>
      <c r="CT14" s="100">
        <v>3.7694837488692285</v>
      </c>
      <c r="CU14" s="100">
        <v>1841.0158629477312</v>
      </c>
    </row>
    <row r="15" spans="1:99">
      <c r="C15" s="99" t="s">
        <v>181</v>
      </c>
      <c r="D15" s="100">
        <v>3.4823720172350239</v>
      </c>
      <c r="E15" s="100">
        <v>2657.7463235537698</v>
      </c>
      <c r="F15" s="100">
        <v>2.413868533280779</v>
      </c>
      <c r="G15" s="100">
        <v>1842.2644645998903</v>
      </c>
      <c r="H15" s="100">
        <v>4.4626171215553985</v>
      </c>
      <c r="I15" s="100">
        <v>3405.8693871710798</v>
      </c>
      <c r="J15" s="100">
        <v>5.2748425070378282</v>
      </c>
      <c r="K15" s="100">
        <v>4025.75980137127</v>
      </c>
      <c r="L15" s="100">
        <v>3.4512061259310345</v>
      </c>
      <c r="M15" s="100">
        <v>2633.9605153105654</v>
      </c>
      <c r="N15" s="100">
        <v>4.6418656039395314</v>
      </c>
      <c r="O15" s="100">
        <v>3542.6718289266501</v>
      </c>
      <c r="P15" s="100">
        <v>4.2118329035173643</v>
      </c>
      <c r="Q15" s="100">
        <v>3214.4708719644523</v>
      </c>
      <c r="R15" s="100">
        <v>3.5208125359495828</v>
      </c>
      <c r="S15" s="100">
        <v>2687.0841274367212</v>
      </c>
      <c r="T15" s="100">
        <v>6.390468410770171</v>
      </c>
      <c r="U15" s="100">
        <v>4877.205491099794</v>
      </c>
      <c r="V15" s="100">
        <v>6</v>
      </c>
      <c r="W15" s="100">
        <v>4579.2</v>
      </c>
      <c r="X15" s="100">
        <v>8</v>
      </c>
      <c r="Y15" s="100">
        <v>6105.5999999999995</v>
      </c>
      <c r="Z15" s="100">
        <v>4.1661324144279979</v>
      </c>
      <c r="AA15" s="100">
        <v>3179.5922586914476</v>
      </c>
      <c r="AB15" s="100">
        <v>6.5280509986012634</v>
      </c>
      <c r="AC15" s="100">
        <v>4982.2085221324842</v>
      </c>
      <c r="AD15" s="100">
        <v>6.149989731071444</v>
      </c>
      <c r="AE15" s="100">
        <v>4693.6721627537254</v>
      </c>
      <c r="AF15" s="100">
        <v>7.785675150817557</v>
      </c>
      <c r="AG15" s="100">
        <v>5942.0272751039593</v>
      </c>
      <c r="AH15" s="100">
        <v>6.6975030308236532</v>
      </c>
      <c r="AI15" s="100">
        <v>5111.5343131246118</v>
      </c>
      <c r="AJ15" s="100">
        <v>2.7355416843579303</v>
      </c>
      <c r="AK15" s="100">
        <v>2087.765413501972</v>
      </c>
      <c r="AL15" s="100">
        <v>8.8105215106001413</v>
      </c>
      <c r="AM15" s="100">
        <v>6724.1900168900274</v>
      </c>
      <c r="AN15" s="100">
        <v>2.4750523346030739</v>
      </c>
      <c r="AO15" s="100">
        <v>1888.9599417690658</v>
      </c>
      <c r="AP15" s="100">
        <v>6.7856270515918471</v>
      </c>
      <c r="AQ15" s="100">
        <v>5178.790565774897</v>
      </c>
      <c r="AR15" s="100">
        <v>4.3593283144281765</v>
      </c>
      <c r="AS15" s="100">
        <v>3327.0393695715838</v>
      </c>
      <c r="AT15" s="100">
        <v>5.198412260348654</v>
      </c>
      <c r="AU15" s="100">
        <v>3967.4282370980923</v>
      </c>
      <c r="AV15" s="100">
        <v>8.8703672017218693</v>
      </c>
      <c r="AW15" s="100">
        <v>6769.8642483541298</v>
      </c>
      <c r="AX15" s="100">
        <v>6.7240582963113846</v>
      </c>
      <c r="AY15" s="100">
        <v>5131.8012917448486</v>
      </c>
      <c r="AZ15" s="100">
        <v>5.2639432730175129</v>
      </c>
      <c r="BA15" s="100">
        <v>4017.4415059669655</v>
      </c>
      <c r="BB15" s="100">
        <v>6.9092017548589588</v>
      </c>
      <c r="BC15" s="100">
        <v>5273.1027793083567</v>
      </c>
      <c r="BD15" s="100">
        <v>8.4592719796454983</v>
      </c>
      <c r="BE15" s="100">
        <v>6456.1163748654435</v>
      </c>
      <c r="BF15" s="100">
        <v>5.9023894414435336</v>
      </c>
      <c r="BG15" s="100">
        <v>4504.7036217097047</v>
      </c>
      <c r="BH15" s="100">
        <v>6.6127483183097224</v>
      </c>
      <c r="BI15" s="100">
        <v>5046.84951653398</v>
      </c>
      <c r="BJ15" s="100">
        <v>4.5103355627148582</v>
      </c>
      <c r="BK15" s="100">
        <v>3442.2881014639797</v>
      </c>
      <c r="BL15" s="100">
        <v>10.109877585722833</v>
      </c>
      <c r="BM15" s="100">
        <v>7715.8585734236658</v>
      </c>
      <c r="BN15" s="100">
        <v>4.7888343229374044</v>
      </c>
      <c r="BO15" s="100">
        <v>3654.8383552658265</v>
      </c>
      <c r="BP15" s="100">
        <v>3.4342030546076381</v>
      </c>
      <c r="BQ15" s="100">
        <v>2620.9837712765493</v>
      </c>
      <c r="BR15" s="100">
        <v>4.4741075091116844</v>
      </c>
      <c r="BS15" s="100">
        <v>3414.638850954037</v>
      </c>
      <c r="BT15" s="100">
        <v>5.7894813069967697</v>
      </c>
      <c r="BU15" s="100">
        <v>4418.5321334999344</v>
      </c>
      <c r="BV15" s="100">
        <v>5.7738883642799781</v>
      </c>
      <c r="BW15" s="100">
        <v>4406.6315996184785</v>
      </c>
      <c r="BX15" s="100">
        <v>5.6406356475216368</v>
      </c>
      <c r="BY15" s="100">
        <v>4304.9331261885127</v>
      </c>
      <c r="BZ15" s="100">
        <v>5.1006160370337863</v>
      </c>
      <c r="CA15" s="100">
        <v>3892.7901594641853</v>
      </c>
      <c r="CB15" s="100">
        <v>8.6418570987289591</v>
      </c>
      <c r="CC15" s="100">
        <v>6595.4653377499408</v>
      </c>
      <c r="CD15" s="100">
        <v>3.6640256267975171</v>
      </c>
      <c r="CE15" s="100">
        <v>2796.3843583718649</v>
      </c>
      <c r="CF15" s="100">
        <v>7.223459940123246</v>
      </c>
      <c r="CG15" s="100">
        <v>5512.9446263020609</v>
      </c>
      <c r="CH15" s="100">
        <v>7.1669680054206006</v>
      </c>
      <c r="CI15" s="100">
        <v>5469.8299817370016</v>
      </c>
      <c r="CJ15" s="100">
        <v>5.3789946570955536</v>
      </c>
      <c r="CK15" s="100">
        <v>4105.2487222953259</v>
      </c>
      <c r="CL15" s="100">
        <v>4.6717861381134291</v>
      </c>
      <c r="CM15" s="100">
        <v>3565.5071806081687</v>
      </c>
      <c r="CN15" s="100">
        <v>6.4588368699379135</v>
      </c>
      <c r="CO15" s="100">
        <v>4929.3842991366155</v>
      </c>
      <c r="CP15" s="100">
        <v>5.5380482547524803</v>
      </c>
      <c r="CQ15" s="100">
        <v>4226.6384280270922</v>
      </c>
      <c r="CR15" s="100">
        <v>9.2872225092457565</v>
      </c>
      <c r="CS15" s="100">
        <v>7088.0082190563608</v>
      </c>
      <c r="CT15" s="100">
        <v>3.361853900862227</v>
      </c>
      <c r="CU15" s="100">
        <v>2565.7668971380513</v>
      </c>
    </row>
    <row r="16" spans="1:99">
      <c r="C16" s="99" t="s">
        <v>182</v>
      </c>
      <c r="D16" s="100">
        <v>3.4773592174177663</v>
      </c>
      <c r="E16" s="100">
        <v>1185.0840212959747</v>
      </c>
      <c r="F16" s="100">
        <v>2.8931782001914472</v>
      </c>
      <c r="G16" s="100">
        <v>985.99513062524522</v>
      </c>
      <c r="H16" s="100">
        <v>5.2044608816030911</v>
      </c>
      <c r="I16" s="100">
        <v>1773.6802684503334</v>
      </c>
      <c r="J16" s="100">
        <v>4.5087159726572708</v>
      </c>
      <c r="K16" s="100">
        <v>1536.5704034815979</v>
      </c>
      <c r="L16" s="100">
        <v>3.4785941909189617</v>
      </c>
      <c r="M16" s="100">
        <v>1185.5049002651822</v>
      </c>
      <c r="N16" s="100">
        <v>5.2758585738327586</v>
      </c>
      <c r="O16" s="100">
        <v>1798.0126019622041</v>
      </c>
      <c r="P16" s="100">
        <v>5.0516640126477768</v>
      </c>
      <c r="Q16" s="100">
        <v>1721.6070955103623</v>
      </c>
      <c r="R16" s="100">
        <v>3.5208125359495828</v>
      </c>
      <c r="S16" s="100">
        <v>1199.8929122516179</v>
      </c>
      <c r="T16" s="100">
        <v>7.3799865785304917</v>
      </c>
      <c r="U16" s="100">
        <v>2515.0994259631916</v>
      </c>
      <c r="V16" s="100">
        <v>6</v>
      </c>
      <c r="W16" s="100">
        <v>2044.8000000000002</v>
      </c>
      <c r="X16" s="100">
        <v>8</v>
      </c>
      <c r="Y16" s="100">
        <v>2726.4</v>
      </c>
      <c r="Z16" s="100">
        <v>4.1661324144279979</v>
      </c>
      <c r="AA16" s="100">
        <v>1419.8179268370618</v>
      </c>
      <c r="AB16" s="100">
        <v>6.3816075649727226</v>
      </c>
      <c r="AC16" s="100">
        <v>2174.8518581427038</v>
      </c>
      <c r="AD16" s="100">
        <v>6.149989731071444</v>
      </c>
      <c r="AE16" s="100">
        <v>2095.916500349148</v>
      </c>
      <c r="AF16" s="100">
        <v>7.785675150817557</v>
      </c>
      <c r="AG16" s="100">
        <v>2653.3580913986234</v>
      </c>
      <c r="AH16" s="100">
        <v>5.9720927659936054</v>
      </c>
      <c r="AI16" s="100">
        <v>2035.2892146506208</v>
      </c>
      <c r="AJ16" s="100">
        <v>2.7590370124258228</v>
      </c>
      <c r="AK16" s="100">
        <v>940.27981383472047</v>
      </c>
      <c r="AL16" s="100">
        <v>8.9726258127201692</v>
      </c>
      <c r="AM16" s="100">
        <v>3057.8708769750338</v>
      </c>
      <c r="AN16" s="100">
        <v>2.4750523346030739</v>
      </c>
      <c r="AO16" s="100">
        <v>843.49783563272763</v>
      </c>
      <c r="AP16" s="100">
        <v>8.6256487559035744</v>
      </c>
      <c r="AQ16" s="100">
        <v>2939.6210960119383</v>
      </c>
      <c r="AR16" s="100">
        <v>5.2311939773138114</v>
      </c>
      <c r="AS16" s="100">
        <v>1782.7909074685469</v>
      </c>
      <c r="AT16" s="100">
        <v>5.198412260348654</v>
      </c>
      <c r="AU16" s="100">
        <v>1771.6188983268214</v>
      </c>
      <c r="AV16" s="100">
        <v>8.7001879905185024</v>
      </c>
      <c r="AW16" s="100">
        <v>2965.0240671687056</v>
      </c>
      <c r="AX16" s="100">
        <v>6.7240582963113846</v>
      </c>
      <c r="AY16" s="100">
        <v>2291.5590673829201</v>
      </c>
      <c r="AZ16" s="100">
        <v>5.2102024827436262</v>
      </c>
      <c r="BA16" s="100">
        <v>1775.6370061190278</v>
      </c>
      <c r="BB16" s="100">
        <v>7.0425869039230768</v>
      </c>
      <c r="BC16" s="100">
        <v>2400.1136168569847</v>
      </c>
      <c r="BD16" s="100">
        <v>7.4648564475062402</v>
      </c>
      <c r="BE16" s="100">
        <v>2544.0230773101266</v>
      </c>
      <c r="BF16" s="100">
        <v>7.2814266161780195</v>
      </c>
      <c r="BG16" s="100">
        <v>2481.5101907934691</v>
      </c>
      <c r="BH16" s="100">
        <v>7.9297729355087325</v>
      </c>
      <c r="BI16" s="100">
        <v>2702.4666164213763</v>
      </c>
      <c r="BJ16" s="100">
        <v>3.9465436173755015</v>
      </c>
      <c r="BK16" s="100">
        <v>1344.9820648015709</v>
      </c>
      <c r="BL16" s="100">
        <v>9.9404467386688289</v>
      </c>
      <c r="BM16" s="100">
        <v>3387.7042485383372</v>
      </c>
      <c r="BN16" s="100">
        <v>3.9906952691145041</v>
      </c>
      <c r="BO16" s="100">
        <v>1360.028947714223</v>
      </c>
      <c r="BP16" s="100">
        <v>3.4679054850620616</v>
      </c>
      <c r="BQ16" s="100">
        <v>1181.8621893091506</v>
      </c>
      <c r="BR16" s="100">
        <v>4.4796712236714127</v>
      </c>
      <c r="BS16" s="100">
        <v>1526.6719530272176</v>
      </c>
      <c r="BT16" s="100">
        <v>6.7468898074483592</v>
      </c>
      <c r="BU16" s="100">
        <v>2299.340046378401</v>
      </c>
      <c r="BV16" s="100">
        <v>6.6879007682488698</v>
      </c>
      <c r="BW16" s="100">
        <v>2279.2365818192147</v>
      </c>
      <c r="BX16" s="100">
        <v>6.2886092250415304</v>
      </c>
      <c r="BY16" s="100">
        <v>2143.1580238941538</v>
      </c>
      <c r="BZ16" s="100">
        <v>4.9831390457753031</v>
      </c>
      <c r="CA16" s="100">
        <v>1698.2537868002235</v>
      </c>
      <c r="CB16" s="100">
        <v>8.6418570987289591</v>
      </c>
      <c r="CC16" s="100">
        <v>2945.1448992468295</v>
      </c>
      <c r="CD16" s="100">
        <v>4.5178127641589203</v>
      </c>
      <c r="CE16" s="100">
        <v>1539.6705900253601</v>
      </c>
      <c r="CF16" s="100">
        <v>8.2234599401232451</v>
      </c>
      <c r="CG16" s="100">
        <v>2802.5551475940019</v>
      </c>
      <c r="CH16" s="100">
        <v>7.1669680054206006</v>
      </c>
      <c r="CI16" s="100">
        <v>2442.5026962473407</v>
      </c>
      <c r="CJ16" s="100">
        <v>5.3789946570955536</v>
      </c>
      <c r="CK16" s="100">
        <v>1833.1613791381646</v>
      </c>
      <c r="CL16" s="100">
        <v>4.6276766942219787</v>
      </c>
      <c r="CM16" s="100">
        <v>1577.1122173908504</v>
      </c>
      <c r="CN16" s="100">
        <v>7.3129616689146832</v>
      </c>
      <c r="CO16" s="100">
        <v>2492.2573367661244</v>
      </c>
      <c r="CP16" s="100">
        <v>5.1285532073033329</v>
      </c>
      <c r="CQ16" s="100">
        <v>1747.8109330489758</v>
      </c>
      <c r="CR16" s="100">
        <v>8.3730789897716402</v>
      </c>
      <c r="CS16" s="100">
        <v>2853.5453197141751</v>
      </c>
      <c r="CT16" s="100">
        <v>4.1627114373324865</v>
      </c>
      <c r="CU16" s="100">
        <v>1418.6520578429115</v>
      </c>
    </row>
    <row r="17" spans="2:99">
      <c r="C17" s="99" t="s">
        <v>183</v>
      </c>
      <c r="D17" s="100">
        <v>3.4823720172350239</v>
      </c>
      <c r="E17" s="100">
        <v>1470.9539400800741</v>
      </c>
      <c r="F17" s="100">
        <v>2.4113942191768589</v>
      </c>
      <c r="G17" s="100">
        <v>1018.5729181803051</v>
      </c>
      <c r="H17" s="100">
        <v>5.2044608816030911</v>
      </c>
      <c r="I17" s="100">
        <v>2198.3642763891457</v>
      </c>
      <c r="J17" s="100">
        <v>3.8306326719027881</v>
      </c>
      <c r="K17" s="100">
        <v>1618.0592406117376</v>
      </c>
      <c r="L17" s="100">
        <v>3.4785941909189617</v>
      </c>
      <c r="M17" s="100">
        <v>1469.3581862441692</v>
      </c>
      <c r="N17" s="100">
        <v>4.6437902485162912</v>
      </c>
      <c r="O17" s="100">
        <v>1961.5370009732812</v>
      </c>
      <c r="P17" s="100">
        <v>4.9753156935748848</v>
      </c>
      <c r="Q17" s="100">
        <v>2101.5733489660311</v>
      </c>
      <c r="R17" s="100">
        <v>3.5208125359495828</v>
      </c>
      <c r="S17" s="100">
        <v>1487.1912151851036</v>
      </c>
      <c r="T17" s="100">
        <v>8.2682172402234144</v>
      </c>
      <c r="U17" s="100">
        <v>3492.4949622703703</v>
      </c>
      <c r="V17" s="100">
        <v>7</v>
      </c>
      <c r="W17" s="100">
        <v>2956.7999999999997</v>
      </c>
      <c r="X17" s="100">
        <v>7</v>
      </c>
      <c r="Y17" s="100">
        <v>2956.7999999999997</v>
      </c>
      <c r="Z17" s="100">
        <v>4.9993588973135976</v>
      </c>
      <c r="AA17" s="100">
        <v>2111.7291982252636</v>
      </c>
      <c r="AB17" s="100">
        <v>6.3816075649727226</v>
      </c>
      <c r="AC17" s="100">
        <v>2695.5910354444777</v>
      </c>
      <c r="AD17" s="100">
        <v>5.427397629506963</v>
      </c>
      <c r="AE17" s="100">
        <v>2292.5327587037409</v>
      </c>
      <c r="AF17" s="100">
        <v>7.8959329598890831</v>
      </c>
      <c r="AG17" s="100">
        <v>3335.2420822571485</v>
      </c>
      <c r="AH17" s="100">
        <v>5.9720927659936054</v>
      </c>
      <c r="AI17" s="100">
        <v>2522.611984355699</v>
      </c>
      <c r="AJ17" s="100">
        <v>3.2403584307073108</v>
      </c>
      <c r="AK17" s="100">
        <v>1368.7274011307679</v>
      </c>
      <c r="AL17" s="100">
        <v>9.8105215106001413</v>
      </c>
      <c r="AM17" s="100">
        <v>4143.9642860774993</v>
      </c>
      <c r="AN17" s="100">
        <v>2.4750523346030739</v>
      </c>
      <c r="AO17" s="100">
        <v>1045.4621061363384</v>
      </c>
      <c r="AP17" s="100">
        <v>8.6256487559035744</v>
      </c>
      <c r="AQ17" s="100">
        <v>3643.4740344936695</v>
      </c>
      <c r="AR17" s="100">
        <v>4.3593283144281765</v>
      </c>
      <c r="AS17" s="100">
        <v>1841.3802800144617</v>
      </c>
      <c r="AT17" s="100">
        <v>4.7160060355657434</v>
      </c>
      <c r="AU17" s="100">
        <v>1992.0409494229698</v>
      </c>
      <c r="AV17" s="100">
        <v>9.8515286935345792</v>
      </c>
      <c r="AW17" s="100">
        <v>4161.285720149006</v>
      </c>
      <c r="AX17" s="100">
        <v>7.4711758847904273</v>
      </c>
      <c r="AY17" s="100">
        <v>3155.8246937354761</v>
      </c>
      <c r="AZ17" s="100">
        <v>5.2102024827436262</v>
      </c>
      <c r="BA17" s="100">
        <v>2200.7895287109077</v>
      </c>
      <c r="BB17" s="100">
        <v>7.0425869039230768</v>
      </c>
      <c r="BC17" s="100">
        <v>2974.7887082171073</v>
      </c>
      <c r="BD17" s="100">
        <v>8.4592719796454983</v>
      </c>
      <c r="BE17" s="100">
        <v>3573.1964842022585</v>
      </c>
      <c r="BF17" s="100">
        <v>7.088306244925227</v>
      </c>
      <c r="BG17" s="100">
        <v>2994.1005578564159</v>
      </c>
      <c r="BH17" s="100">
        <v>6.5306496289558957</v>
      </c>
      <c r="BI17" s="100">
        <v>2758.5464032709701</v>
      </c>
      <c r="BJ17" s="100">
        <v>4.5103355627148582</v>
      </c>
      <c r="BK17" s="100">
        <v>1905.165741690756</v>
      </c>
      <c r="BL17" s="100">
        <v>11.082592120088478</v>
      </c>
      <c r="BM17" s="100">
        <v>4681.2869115253725</v>
      </c>
      <c r="BN17" s="100">
        <v>4.7888343229374044</v>
      </c>
      <c r="BO17" s="100">
        <v>2022.8036180087595</v>
      </c>
      <c r="BP17" s="100">
        <v>3.0598329618489153</v>
      </c>
      <c r="BQ17" s="100">
        <v>1292.4734430849817</v>
      </c>
      <c r="BR17" s="100">
        <v>4.4741075091116844</v>
      </c>
      <c r="BS17" s="100">
        <v>1889.8630118487754</v>
      </c>
      <c r="BT17" s="100">
        <v>6.7468898074483592</v>
      </c>
      <c r="BU17" s="100">
        <v>2849.8862546661867</v>
      </c>
      <c r="BV17" s="100">
        <v>6.7738883642799781</v>
      </c>
      <c r="BW17" s="100">
        <v>2861.2904450718625</v>
      </c>
      <c r="BX17" s="100">
        <v>5.8317621976790486</v>
      </c>
      <c r="BY17" s="100">
        <v>2463.3363522996301</v>
      </c>
      <c r="BZ17" s="100">
        <v>5.1006160370337863</v>
      </c>
      <c r="CA17" s="100">
        <v>2154.5002140430711</v>
      </c>
      <c r="CB17" s="100">
        <v>9.6272248486259198</v>
      </c>
      <c r="CC17" s="100">
        <v>4066.5397760595883</v>
      </c>
      <c r="CD17" s="100">
        <v>4.0812243838359503</v>
      </c>
      <c r="CE17" s="100">
        <v>1723.9091797323053</v>
      </c>
      <c r="CF17" s="100">
        <v>7.223459940123246</v>
      </c>
      <c r="CG17" s="100">
        <v>3051.1894787080591</v>
      </c>
      <c r="CH17" s="100">
        <v>7.1669680054206006</v>
      </c>
      <c r="CI17" s="100">
        <v>3027.3272854896613</v>
      </c>
      <c r="CJ17" s="100">
        <v>6.0407129810101958</v>
      </c>
      <c r="CK17" s="100">
        <v>2551.5971631787065</v>
      </c>
      <c r="CL17" s="100">
        <v>4.6497314161677039</v>
      </c>
      <c r="CM17" s="100">
        <v>1964.0465501892381</v>
      </c>
      <c r="CN17" s="100">
        <v>7.3129616689146832</v>
      </c>
      <c r="CO17" s="100">
        <v>3088.9950089495619</v>
      </c>
      <c r="CP17" s="100">
        <v>5.5380482547524803</v>
      </c>
      <c r="CQ17" s="100">
        <v>2339.2715828074474</v>
      </c>
      <c r="CR17" s="100">
        <v>9.4386411998141444</v>
      </c>
      <c r="CS17" s="100">
        <v>3986.8820428014942</v>
      </c>
      <c r="CT17" s="100">
        <v>4.1627114373324865</v>
      </c>
      <c r="CU17" s="100">
        <v>1758.3293111292421</v>
      </c>
    </row>
    <row r="18" spans="2:99">
      <c r="C18" s="99" t="s">
        <v>184</v>
      </c>
      <c r="D18" s="100">
        <v>3.4823720172350239</v>
      </c>
      <c r="E18" s="100">
        <v>2273.2924528510234</v>
      </c>
      <c r="F18" s="100">
        <v>2.4113942191768589</v>
      </c>
      <c r="G18" s="100">
        <v>1574.1581462786535</v>
      </c>
      <c r="H18" s="100">
        <v>5.2044608816030911</v>
      </c>
      <c r="I18" s="100">
        <v>3397.4720635104977</v>
      </c>
      <c r="J18" s="100">
        <v>4.5967592062833456</v>
      </c>
      <c r="K18" s="100">
        <v>3000.7644098617679</v>
      </c>
      <c r="L18" s="100">
        <v>2.9033931699304567</v>
      </c>
      <c r="M18" s="100">
        <v>1895.335061330602</v>
      </c>
      <c r="N18" s="100">
        <v>4.6418656039395314</v>
      </c>
      <c r="O18" s="100">
        <v>3030.209866251726</v>
      </c>
      <c r="P18" s="100">
        <v>4.9753156935748848</v>
      </c>
      <c r="Q18" s="100">
        <v>3247.8860847656847</v>
      </c>
      <c r="R18" s="100">
        <v>3.5208125359495828</v>
      </c>
      <c r="S18" s="100">
        <v>2298.3864234678877</v>
      </c>
      <c r="T18" s="100">
        <v>6.3688616884052065</v>
      </c>
      <c r="U18" s="100">
        <v>4157.5929101909187</v>
      </c>
      <c r="V18" s="100">
        <v>7</v>
      </c>
      <c r="W18" s="100">
        <v>4569.5999999999995</v>
      </c>
      <c r="X18" s="100">
        <v>8</v>
      </c>
      <c r="Y18" s="100">
        <v>5222.3999999999996</v>
      </c>
      <c r="Z18" s="100">
        <v>4.1661324144279979</v>
      </c>
      <c r="AA18" s="100">
        <v>2719.6512401385967</v>
      </c>
      <c r="AB18" s="100">
        <v>6.3816075649727226</v>
      </c>
      <c r="AC18" s="100">
        <v>4165.9134184141931</v>
      </c>
      <c r="AD18" s="100">
        <v>6.149989731071444</v>
      </c>
      <c r="AE18" s="100">
        <v>4014.7132964434381</v>
      </c>
      <c r="AF18" s="100">
        <v>7.1166140168538741</v>
      </c>
      <c r="AG18" s="100">
        <v>4645.7256302022088</v>
      </c>
      <c r="AH18" s="100">
        <v>5.9720927659936054</v>
      </c>
      <c r="AI18" s="100">
        <v>3898.5821576406252</v>
      </c>
      <c r="AJ18" s="100">
        <v>3.2638537587752032</v>
      </c>
      <c r="AK18" s="100">
        <v>2130.6437337284524</v>
      </c>
      <c r="AL18" s="100">
        <v>9.9726258127201692</v>
      </c>
      <c r="AM18" s="100">
        <v>6510.1301305437264</v>
      </c>
      <c r="AN18" s="100">
        <v>2.4750523346030739</v>
      </c>
      <c r="AO18" s="100">
        <v>1615.7141640288867</v>
      </c>
      <c r="AP18" s="100">
        <v>8.487428321303252</v>
      </c>
      <c r="AQ18" s="100">
        <v>5540.5932081467627</v>
      </c>
      <c r="AR18" s="100">
        <v>4.3593283144281765</v>
      </c>
      <c r="AS18" s="100">
        <v>2845.7695236587133</v>
      </c>
      <c r="AT18" s="100">
        <v>4.692609159783272</v>
      </c>
      <c r="AU18" s="100">
        <v>3063.3352595065198</v>
      </c>
      <c r="AV18" s="100">
        <v>9.8515286935345792</v>
      </c>
      <c r="AW18" s="100">
        <v>6431.0779311393726</v>
      </c>
      <c r="AX18" s="100">
        <v>7.4711758847904273</v>
      </c>
      <c r="AY18" s="100">
        <v>4877.1836175911903</v>
      </c>
      <c r="AZ18" s="100">
        <v>5.2102024827436262</v>
      </c>
      <c r="BA18" s="100">
        <v>3401.2201807350389</v>
      </c>
      <c r="BB18" s="100">
        <v>7.0425869039230768</v>
      </c>
      <c r="BC18" s="100">
        <v>4597.4007308809842</v>
      </c>
      <c r="BD18" s="100">
        <v>7.4648564475062402</v>
      </c>
      <c r="BE18" s="100">
        <v>4873.0582889320731</v>
      </c>
      <c r="BF18" s="100">
        <v>7.1848664305516232</v>
      </c>
      <c r="BG18" s="100">
        <v>4690.2808058640994</v>
      </c>
      <c r="BH18" s="100">
        <v>7.2729869813847312</v>
      </c>
      <c r="BI18" s="100">
        <v>4747.8059014479522</v>
      </c>
      <c r="BJ18" s="100">
        <v>4.5103355627148582</v>
      </c>
      <c r="BK18" s="100">
        <v>2944.3470553402594</v>
      </c>
      <c r="BL18" s="100">
        <v>11.082592120088478</v>
      </c>
      <c r="BM18" s="100">
        <v>7234.7161359937581</v>
      </c>
      <c r="BN18" s="100">
        <v>3.9906952691145041</v>
      </c>
      <c r="BO18" s="100">
        <v>2605.125871677948</v>
      </c>
      <c r="BP18" s="100">
        <v>3.4342030546076381</v>
      </c>
      <c r="BQ18" s="100">
        <v>2241.8477540478661</v>
      </c>
      <c r="BR18" s="100">
        <v>4.3627795726239658</v>
      </c>
      <c r="BS18" s="100">
        <v>2848.0225050089248</v>
      </c>
      <c r="BT18" s="100">
        <v>5.7894813069967697</v>
      </c>
      <c r="BU18" s="100">
        <v>3779.3733972074911</v>
      </c>
      <c r="BV18" s="100">
        <v>5.7738883642799781</v>
      </c>
      <c r="BW18" s="100">
        <v>3769.1943242019693</v>
      </c>
      <c r="BX18" s="100">
        <v>6.8950512546193812</v>
      </c>
      <c r="BY18" s="100">
        <v>4501.0894590155322</v>
      </c>
      <c r="BZ18" s="100">
        <v>4.9831390457753031</v>
      </c>
      <c r="CA18" s="100">
        <v>3252.9931690821177</v>
      </c>
      <c r="CB18" s="100">
        <v>9.5139985234540703</v>
      </c>
      <c r="CC18" s="100">
        <v>6210.7382361108166</v>
      </c>
      <c r="CD18" s="100">
        <v>4.0812243838359503</v>
      </c>
      <c r="CE18" s="100">
        <v>2664.2232777681083</v>
      </c>
      <c r="CF18" s="100">
        <v>7.223459940123246</v>
      </c>
      <c r="CG18" s="100">
        <v>4715.4746489124545</v>
      </c>
      <c r="CH18" s="100">
        <v>6.2710970047430266</v>
      </c>
      <c r="CI18" s="100">
        <v>4093.7721246962474</v>
      </c>
      <c r="CJ18" s="100">
        <v>6.0940677231311291</v>
      </c>
      <c r="CK18" s="100">
        <v>3978.2074096600008</v>
      </c>
      <c r="CL18" s="100">
        <v>5.0926498358387491</v>
      </c>
      <c r="CM18" s="100">
        <v>3324.481812835535</v>
      </c>
      <c r="CN18" s="100">
        <v>6.3106048614848804</v>
      </c>
      <c r="CO18" s="100">
        <v>4119.5628535773294</v>
      </c>
      <c r="CP18" s="100">
        <v>5.5923276624636094</v>
      </c>
      <c r="CQ18" s="100">
        <v>3650.6714980562438</v>
      </c>
      <c r="CR18" s="100">
        <v>8.5244976803400281</v>
      </c>
      <c r="CS18" s="100">
        <v>5564.7920857259696</v>
      </c>
      <c r="CT18" s="100">
        <v>3.7694837488692285</v>
      </c>
      <c r="CU18" s="100">
        <v>2460.7189912618323</v>
      </c>
    </row>
    <row r="19" spans="2:99">
      <c r="C19" s="99" t="s">
        <v>185</v>
      </c>
      <c r="D19" s="100">
        <v>3.4823720172350239</v>
      </c>
      <c r="E19" s="100">
        <v>1149.1827656875578</v>
      </c>
      <c r="F19" s="100">
        <v>2.413868533280779</v>
      </c>
      <c r="G19" s="100">
        <v>796.57661598265702</v>
      </c>
      <c r="H19" s="100">
        <v>5.2044608816030911</v>
      </c>
      <c r="I19" s="100">
        <v>1717.4720909290199</v>
      </c>
      <c r="J19" s="100">
        <v>4.5967592062833456</v>
      </c>
      <c r="K19" s="100">
        <v>1516.9305380735041</v>
      </c>
      <c r="L19" s="100">
        <v>3.4785941909189617</v>
      </c>
      <c r="M19" s="100">
        <v>1147.9360830032574</v>
      </c>
      <c r="N19" s="100">
        <v>4.6399409593627707</v>
      </c>
      <c r="O19" s="100">
        <v>1531.1805165897144</v>
      </c>
      <c r="P19" s="100">
        <v>5.0516640126477768</v>
      </c>
      <c r="Q19" s="100">
        <v>1667.0491241737664</v>
      </c>
      <c r="R19" s="100">
        <v>3.4895636022435537</v>
      </c>
      <c r="S19" s="100">
        <v>1151.5559887403726</v>
      </c>
      <c r="T19" s="100">
        <v>6.390468410770171</v>
      </c>
      <c r="U19" s="100">
        <v>2108.8545755541563</v>
      </c>
      <c r="V19" s="100">
        <v>7</v>
      </c>
      <c r="W19" s="100">
        <v>2310</v>
      </c>
      <c r="X19" s="100">
        <v>8</v>
      </c>
      <c r="Y19" s="100">
        <v>2640</v>
      </c>
      <c r="Z19" s="100">
        <v>4.1661324144279979</v>
      </c>
      <c r="AA19" s="100">
        <v>1374.8236967612393</v>
      </c>
      <c r="AB19" s="100">
        <v>7.2255436753586979</v>
      </c>
      <c r="AC19" s="100">
        <v>2384.4294128683705</v>
      </c>
      <c r="AD19" s="100">
        <v>6.2027401480079583</v>
      </c>
      <c r="AE19" s="100">
        <v>2046.9042488426262</v>
      </c>
      <c r="AF19" s="100">
        <v>7.1166140168538741</v>
      </c>
      <c r="AG19" s="100">
        <v>2348.4826255617786</v>
      </c>
      <c r="AH19" s="100">
        <v>6.6975030308236532</v>
      </c>
      <c r="AI19" s="100">
        <v>2210.1760001718058</v>
      </c>
      <c r="AJ19" s="100">
        <v>3.2638537587752032</v>
      </c>
      <c r="AK19" s="100">
        <v>1077.071740395817</v>
      </c>
      <c r="AL19" s="100">
        <v>9.8105215106001413</v>
      </c>
      <c r="AM19" s="100">
        <v>3237.4720984980468</v>
      </c>
      <c r="AN19" s="100">
        <v>2.4750523346030739</v>
      </c>
      <c r="AO19" s="100">
        <v>816.76727041901438</v>
      </c>
      <c r="AP19" s="100">
        <v>8.6256487559035744</v>
      </c>
      <c r="AQ19" s="100">
        <v>2846.4640894481795</v>
      </c>
      <c r="AR19" s="100">
        <v>5.2311939773138114</v>
      </c>
      <c r="AS19" s="100">
        <v>1726.2940125135578</v>
      </c>
      <c r="AT19" s="100">
        <v>5.704215360914036</v>
      </c>
      <c r="AU19" s="100">
        <v>1882.391069101632</v>
      </c>
      <c r="AV19" s="100">
        <v>9.6813494823312123</v>
      </c>
      <c r="AW19" s="100">
        <v>3194.8453291692999</v>
      </c>
      <c r="AX19" s="100">
        <v>7.4711758847904273</v>
      </c>
      <c r="AY19" s="100">
        <v>2465.488041980841</v>
      </c>
      <c r="AZ19" s="100">
        <v>5.2102024827436262</v>
      </c>
      <c r="BA19" s="100">
        <v>1719.3668193053966</v>
      </c>
      <c r="BB19" s="100">
        <v>6.2842183373388574</v>
      </c>
      <c r="BC19" s="100">
        <v>2073.7920513218228</v>
      </c>
      <c r="BD19" s="100">
        <v>8.4592719796454983</v>
      </c>
      <c r="BE19" s="100">
        <v>2791.5597532830143</v>
      </c>
      <c r="BF19" s="100">
        <v>6.543627935997578</v>
      </c>
      <c r="BG19" s="100">
        <v>2159.3972188792009</v>
      </c>
      <c r="BH19" s="100">
        <v>7.8424951827283973</v>
      </c>
      <c r="BI19" s="100">
        <v>2588.0234103003713</v>
      </c>
      <c r="BJ19" s="100">
        <v>3.9465436173755015</v>
      </c>
      <c r="BK19" s="100">
        <v>1302.3593937339156</v>
      </c>
      <c r="BL19" s="100">
        <v>10.913161273034472</v>
      </c>
      <c r="BM19" s="100">
        <v>3601.3432201013757</v>
      </c>
      <c r="BN19" s="100">
        <v>4.7888343229374044</v>
      </c>
      <c r="BO19" s="100">
        <v>1580.3153265693434</v>
      </c>
      <c r="BP19" s="100">
        <v>3.8558305977779108</v>
      </c>
      <c r="BQ19" s="100">
        <v>1272.4240972667105</v>
      </c>
      <c r="BR19" s="100">
        <v>4.4796712236714127</v>
      </c>
      <c r="BS19" s="100">
        <v>1478.2915038115661</v>
      </c>
      <c r="BT19" s="100">
        <v>6.7468898074483592</v>
      </c>
      <c r="BU19" s="100">
        <v>2226.4736364579585</v>
      </c>
      <c r="BV19" s="100">
        <v>5.7738883642799781</v>
      </c>
      <c r="BW19" s="100">
        <v>1905.3831602123928</v>
      </c>
      <c r="BX19" s="100">
        <v>6.2886092250415304</v>
      </c>
      <c r="BY19" s="100">
        <v>2075.2410442637051</v>
      </c>
      <c r="BZ19" s="100">
        <v>5.7157647273557846</v>
      </c>
      <c r="CA19" s="100">
        <v>1886.202360027409</v>
      </c>
      <c r="CB19" s="100">
        <v>9.5139985234540703</v>
      </c>
      <c r="CC19" s="100">
        <v>3139.6195127398432</v>
      </c>
      <c r="CD19" s="100">
        <v>4.0814369188590875</v>
      </c>
      <c r="CE19" s="100">
        <v>1346.8741832234989</v>
      </c>
      <c r="CF19" s="100">
        <v>7.0486799486770675</v>
      </c>
      <c r="CG19" s="100">
        <v>2326.0643830634322</v>
      </c>
      <c r="CH19" s="100">
        <v>7.1669680054206006</v>
      </c>
      <c r="CI19" s="100">
        <v>2365.0994417887982</v>
      </c>
      <c r="CJ19" s="100">
        <v>6.0940677231311291</v>
      </c>
      <c r="CK19" s="100">
        <v>2011.0423486332727</v>
      </c>
      <c r="CL19" s="100">
        <v>4.6497314161677039</v>
      </c>
      <c r="CM19" s="100">
        <v>1534.4113673353422</v>
      </c>
      <c r="CN19" s="100">
        <v>6.4588368699379135</v>
      </c>
      <c r="CO19" s="100">
        <v>2131.4161670795115</v>
      </c>
      <c r="CP19" s="100">
        <v>5.6554229992881515</v>
      </c>
      <c r="CQ19" s="100">
        <v>1866.2895897650899</v>
      </c>
      <c r="CR19" s="100">
        <v>9.2872225092457565</v>
      </c>
      <c r="CS19" s="100">
        <v>3064.7834280510997</v>
      </c>
      <c r="CT19" s="100">
        <v>3.7694837488692285</v>
      </c>
      <c r="CU19" s="100">
        <v>1243.9296371268454</v>
      </c>
    </row>
    <row r="20" spans="2:99">
      <c r="B20" s="99" t="s">
        <v>127</v>
      </c>
      <c r="C20" s="99" t="s">
        <v>186</v>
      </c>
      <c r="D20" s="100">
        <v>4.2119308994759299</v>
      </c>
      <c r="E20" s="100">
        <v>1207.9817819696968</v>
      </c>
      <c r="F20" s="100">
        <v>3.8592204763245417</v>
      </c>
      <c r="G20" s="100">
        <v>1106.8244326098786</v>
      </c>
      <c r="H20" s="100">
        <v>6.2222317070739752</v>
      </c>
      <c r="I20" s="100">
        <v>1784.5360535888162</v>
      </c>
      <c r="J20" s="100">
        <v>8.1544363679690566</v>
      </c>
      <c r="K20" s="100">
        <v>2338.6923503335256</v>
      </c>
      <c r="L20" s="100">
        <v>5.8341744048488415</v>
      </c>
      <c r="M20" s="100">
        <v>1673.2412193106479</v>
      </c>
      <c r="N20" s="100">
        <v>7.2797948908559107</v>
      </c>
      <c r="O20" s="100">
        <v>2087.8451746974752</v>
      </c>
      <c r="P20" s="100">
        <v>6.895115557186525</v>
      </c>
      <c r="Q20" s="100">
        <v>1977.5191418010954</v>
      </c>
      <c r="R20" s="100">
        <v>7.7707867260539061</v>
      </c>
      <c r="S20" s="100">
        <v>2228.6616330322604</v>
      </c>
      <c r="T20" s="100">
        <v>6.8099527900666539</v>
      </c>
      <c r="U20" s="100">
        <v>1953.0944601911165</v>
      </c>
      <c r="V20" s="100">
        <v>9.052532195728034</v>
      </c>
      <c r="W20" s="100">
        <v>2596.2662337348002</v>
      </c>
      <c r="X20" s="100">
        <v>7</v>
      </c>
      <c r="Y20" s="100">
        <v>2007.6000000000001</v>
      </c>
      <c r="Z20" s="100">
        <v>4.2700014610425345</v>
      </c>
      <c r="AA20" s="100">
        <v>1224.636419026999</v>
      </c>
      <c r="AB20" s="100">
        <v>10.196682307402249</v>
      </c>
      <c r="AC20" s="100">
        <v>2924.408485762965</v>
      </c>
      <c r="AD20" s="100">
        <v>7.2259210156448077</v>
      </c>
      <c r="AE20" s="100">
        <v>2072.394147286931</v>
      </c>
      <c r="AF20" s="100">
        <v>9.2265409482819187</v>
      </c>
      <c r="AG20" s="100">
        <v>2646.1719439672543</v>
      </c>
      <c r="AH20" s="100">
        <v>6.8962187890866034</v>
      </c>
      <c r="AI20" s="100">
        <v>1977.835548710038</v>
      </c>
      <c r="AJ20" s="100">
        <v>4.5319358602207771</v>
      </c>
      <c r="AK20" s="100">
        <v>1299.7592047113189</v>
      </c>
      <c r="AL20" s="100">
        <v>11.296834416960227</v>
      </c>
      <c r="AM20" s="100">
        <v>3239.9321107841934</v>
      </c>
      <c r="AN20" s="100">
        <v>3.4650732684443031</v>
      </c>
      <c r="AO20" s="100">
        <v>993.78301338982612</v>
      </c>
      <c r="AP20" s="100">
        <v>8.8805115978504521</v>
      </c>
      <c r="AQ20" s="100">
        <v>2546.9307262635098</v>
      </c>
      <c r="AR20" s="100">
        <v>6.9749253030850822</v>
      </c>
      <c r="AS20" s="100">
        <v>2000.4085769248015</v>
      </c>
      <c r="AT20" s="100">
        <v>6.0436452911481142</v>
      </c>
      <c r="AU20" s="100">
        <v>1733.3174695012792</v>
      </c>
      <c r="AV20" s="100">
        <v>10.572159313755533</v>
      </c>
      <c r="AW20" s="100">
        <v>3032.0952911850868</v>
      </c>
      <c r="AX20" s="100">
        <v>6.7240582963113846</v>
      </c>
      <c r="AY20" s="100">
        <v>1928.4599193821052</v>
      </c>
      <c r="AZ20" s="100">
        <v>4.0688742328793817</v>
      </c>
      <c r="BA20" s="100">
        <v>1166.9531299898067</v>
      </c>
      <c r="BB20" s="100">
        <v>11.143142362772904</v>
      </c>
      <c r="BC20" s="100">
        <v>3195.8532296432691</v>
      </c>
      <c r="BD20" s="100">
        <v>6.9609087249748098</v>
      </c>
      <c r="BE20" s="100">
        <v>1996.3886223227755</v>
      </c>
      <c r="BF20" s="100">
        <v>6.3851903695755174</v>
      </c>
      <c r="BG20" s="100">
        <v>1831.2725979942584</v>
      </c>
      <c r="BH20" s="100">
        <v>6.1339705786974017</v>
      </c>
      <c r="BI20" s="100">
        <v>1759.2227619704149</v>
      </c>
      <c r="BJ20" s="100">
        <v>3.9465436173755015</v>
      </c>
      <c r="BK20" s="100">
        <v>1131.868709463294</v>
      </c>
      <c r="BL20" s="100">
        <v>14.678459111401429</v>
      </c>
      <c r="BM20" s="100">
        <v>4209.7820731499296</v>
      </c>
      <c r="BN20" s="100">
        <v>7.9813905382290082</v>
      </c>
      <c r="BO20" s="100">
        <v>2289.0628063640797</v>
      </c>
      <c r="BP20" s="100">
        <v>3.474354861120875</v>
      </c>
      <c r="BQ20" s="100">
        <v>996.44497416946695</v>
      </c>
      <c r="BR20" s="100">
        <v>4.6235402710135496</v>
      </c>
      <c r="BS20" s="100">
        <v>1326.0313497266861</v>
      </c>
      <c r="BT20" s="100">
        <v>12.77775189722613</v>
      </c>
      <c r="BU20" s="100">
        <v>3664.6592441244543</v>
      </c>
      <c r="BV20" s="100">
        <v>7.4617891325288479</v>
      </c>
      <c r="BW20" s="100">
        <v>2140.0411232092738</v>
      </c>
      <c r="BX20" s="100">
        <v>5.6821671954636805</v>
      </c>
      <c r="BY20" s="100">
        <v>1629.6455516589835</v>
      </c>
      <c r="BZ20" s="100">
        <v>8.9709346934235779</v>
      </c>
      <c r="CA20" s="100">
        <v>2572.8640700738824</v>
      </c>
      <c r="CB20" s="100">
        <v>9.4344413749319109</v>
      </c>
      <c r="CC20" s="100">
        <v>2705.7977863304723</v>
      </c>
      <c r="CD20" s="100">
        <v>4.197137053496891</v>
      </c>
      <c r="CE20" s="100">
        <v>1203.7389069429084</v>
      </c>
      <c r="CF20" s="100">
        <v>10.573019923015602</v>
      </c>
      <c r="CG20" s="100">
        <v>3032.3421139208749</v>
      </c>
      <c r="CH20" s="100">
        <v>7.1669680054206006</v>
      </c>
      <c r="CI20" s="100">
        <v>2055.4864239546282</v>
      </c>
      <c r="CJ20" s="100">
        <v>7.1292692418922998</v>
      </c>
      <c r="CK20" s="100">
        <v>2044.6744185747116</v>
      </c>
      <c r="CL20" s="100">
        <v>4.3391413281710083</v>
      </c>
      <c r="CM20" s="100">
        <v>1244.4657329194451</v>
      </c>
      <c r="CN20" s="100">
        <v>10.468264099657125</v>
      </c>
      <c r="CO20" s="100">
        <v>3002.2981437816634</v>
      </c>
      <c r="CP20" s="100">
        <v>5.7053230095384695</v>
      </c>
      <c r="CQ20" s="100">
        <v>1636.2866391356331</v>
      </c>
      <c r="CR20" s="100">
        <v>9.7414785809509201</v>
      </c>
      <c r="CS20" s="100">
        <v>2793.8560570167242</v>
      </c>
      <c r="CT20" s="100">
        <v>5.1075905692401893</v>
      </c>
      <c r="CU20" s="100">
        <v>1464.8569752580863</v>
      </c>
    </row>
    <row r="21" spans="2:99">
      <c r="C21" s="99" t="s">
        <v>187</v>
      </c>
      <c r="D21" s="100">
        <v>4.2119308994759299</v>
      </c>
      <c r="E21" s="100">
        <v>262.82448812729803</v>
      </c>
      <c r="F21" s="100">
        <v>3.8592204763245417</v>
      </c>
      <c r="G21" s="100">
        <v>240.81535772265138</v>
      </c>
      <c r="H21" s="100">
        <v>6.3469125835440288</v>
      </c>
      <c r="I21" s="100">
        <v>396.04734521314737</v>
      </c>
      <c r="J21" s="100">
        <v>8.2513054109339841</v>
      </c>
      <c r="K21" s="100">
        <v>514.88145764228057</v>
      </c>
      <c r="L21" s="100">
        <v>5.3137495138361901</v>
      </c>
      <c r="M21" s="100">
        <v>331.57796966337827</v>
      </c>
      <c r="N21" s="100">
        <v>6.6496512101162013</v>
      </c>
      <c r="O21" s="100">
        <v>414.93823551125098</v>
      </c>
      <c r="P21" s="100">
        <v>8.422081137301566</v>
      </c>
      <c r="Q21" s="100">
        <v>525.53786296761768</v>
      </c>
      <c r="R21" s="100">
        <v>6.3749612851564841</v>
      </c>
      <c r="S21" s="100">
        <v>397.79758419376458</v>
      </c>
      <c r="T21" s="100">
        <v>6.9517987975817741</v>
      </c>
      <c r="U21" s="100">
        <v>433.79224496910268</v>
      </c>
      <c r="V21" s="100">
        <v>7.9355841739804749</v>
      </c>
      <c r="W21" s="100">
        <v>495.1804524563816</v>
      </c>
      <c r="X21" s="100">
        <v>7</v>
      </c>
      <c r="Y21" s="100">
        <v>436.8</v>
      </c>
      <c r="Z21" s="100">
        <v>5.1032279439281334</v>
      </c>
      <c r="AA21" s="100">
        <v>318.44142370111553</v>
      </c>
      <c r="AB21" s="100">
        <v>10.196682307402249</v>
      </c>
      <c r="AC21" s="100">
        <v>636.27297598190034</v>
      </c>
      <c r="AD21" s="100">
        <v>7.2259210156448077</v>
      </c>
      <c r="AE21" s="100">
        <v>450.89747137623601</v>
      </c>
      <c r="AF21" s="100">
        <v>8.5574798143182349</v>
      </c>
      <c r="AG21" s="100">
        <v>533.98674041345782</v>
      </c>
      <c r="AH21" s="100">
        <v>6.8962187890866034</v>
      </c>
      <c r="AI21" s="100">
        <v>430.32405243900405</v>
      </c>
      <c r="AJ21" s="100">
        <v>4.0506144419392891</v>
      </c>
      <c r="AK21" s="100">
        <v>252.75834117701163</v>
      </c>
      <c r="AL21" s="100">
        <v>13.458938719080255</v>
      </c>
      <c r="AM21" s="100">
        <v>839.8377760706079</v>
      </c>
      <c r="AN21" s="100">
        <v>3.4650732684443031</v>
      </c>
      <c r="AO21" s="100">
        <v>216.22057195092449</v>
      </c>
      <c r="AP21" s="100">
        <v>10.582312867561853</v>
      </c>
      <c r="AQ21" s="100">
        <v>660.33632293585958</v>
      </c>
      <c r="AR21" s="100">
        <v>7.8467909659707171</v>
      </c>
      <c r="AS21" s="100">
        <v>489.63975627657271</v>
      </c>
      <c r="AT21" s="100">
        <v>5.3509096500840991</v>
      </c>
      <c r="AU21" s="100">
        <v>333.89676216524776</v>
      </c>
      <c r="AV21" s="100">
        <v>10.401980102552166</v>
      </c>
      <c r="AW21" s="100">
        <v>649.08355839925514</v>
      </c>
      <c r="AX21" s="100">
        <v>7.4711758847904273</v>
      </c>
      <c r="AY21" s="100">
        <v>466.20137521092266</v>
      </c>
      <c r="AZ21" s="100">
        <v>4.0688742328793817</v>
      </c>
      <c r="BA21" s="100">
        <v>253.8977521316734</v>
      </c>
      <c r="BB21" s="100">
        <v>12.168281227485361</v>
      </c>
      <c r="BC21" s="100">
        <v>759.30074859508647</v>
      </c>
      <c r="BD21" s="100">
        <v>6.9609087249748098</v>
      </c>
      <c r="BE21" s="100">
        <v>434.36070443842812</v>
      </c>
      <c r="BF21" s="100">
        <v>6.9298686785031656</v>
      </c>
      <c r="BG21" s="100">
        <v>432.42380553859755</v>
      </c>
      <c r="BH21" s="100">
        <v>5.3968122896950765</v>
      </c>
      <c r="BI21" s="100">
        <v>336.76108687697274</v>
      </c>
      <c r="BJ21" s="100">
        <v>3.9465436173755015</v>
      </c>
      <c r="BK21" s="100">
        <v>246.26432172423128</v>
      </c>
      <c r="BL21" s="100">
        <v>13.705744577035786</v>
      </c>
      <c r="BM21" s="100">
        <v>855.23846160703295</v>
      </c>
      <c r="BN21" s="100">
        <v>9.5776686458748088</v>
      </c>
      <c r="BO21" s="100">
        <v>597.64652350258802</v>
      </c>
      <c r="BP21" s="100">
        <v>3.4980048145880662</v>
      </c>
      <c r="BQ21" s="100">
        <v>218.27550043029532</v>
      </c>
      <c r="BR21" s="100">
        <v>4.5931357437143472</v>
      </c>
      <c r="BS21" s="100">
        <v>286.61167040777525</v>
      </c>
      <c r="BT21" s="100">
        <v>12.920957440760247</v>
      </c>
      <c r="BU21" s="100">
        <v>806.26774430343937</v>
      </c>
      <c r="BV21" s="100">
        <v>7</v>
      </c>
      <c r="BW21" s="100">
        <v>436.8</v>
      </c>
      <c r="BX21" s="100">
        <v>4.9511305220596986</v>
      </c>
      <c r="BY21" s="100">
        <v>308.9505445765252</v>
      </c>
      <c r="BZ21" s="100">
        <v>9.5860833837455761</v>
      </c>
      <c r="CA21" s="100">
        <v>598.17160314572391</v>
      </c>
      <c r="CB21" s="100">
        <v>9.3212150497600597</v>
      </c>
      <c r="CC21" s="100">
        <v>581.64381910502766</v>
      </c>
      <c r="CD21" s="100">
        <v>4.2169517468277</v>
      </c>
      <c r="CE21" s="100">
        <v>263.13778900204846</v>
      </c>
      <c r="CF21" s="100">
        <v>10.398239931569424</v>
      </c>
      <c r="CG21" s="100">
        <v>648.85017172993207</v>
      </c>
      <c r="CH21" s="100">
        <v>8.9587100067757515</v>
      </c>
      <c r="CI21" s="100">
        <v>559.02350442280692</v>
      </c>
      <c r="CJ21" s="100">
        <v>7.7909875658069421</v>
      </c>
      <c r="CK21" s="100">
        <v>486.15762410635318</v>
      </c>
      <c r="CL21" s="100">
        <v>3.9182776304456874</v>
      </c>
      <c r="CM21" s="100">
        <v>244.50052413981089</v>
      </c>
      <c r="CN21" s="100">
        <v>10.171800082751059</v>
      </c>
      <c r="CO21" s="100">
        <v>634.72032516366608</v>
      </c>
      <c r="CP21" s="100">
        <v>6.8089626037584257</v>
      </c>
      <c r="CQ21" s="100">
        <v>424.87926647452576</v>
      </c>
      <c r="CR21" s="100">
        <v>9.892897271519308</v>
      </c>
      <c r="CS21" s="100">
        <v>617.31678974280476</v>
      </c>
      <c r="CT21" s="100">
        <v>4.7287650403206758</v>
      </c>
      <c r="CU21" s="100">
        <v>295.07493851601015</v>
      </c>
    </row>
    <row r="22" spans="2:99">
      <c r="C22" s="99" t="s">
        <v>188</v>
      </c>
      <c r="D22" s="100">
        <v>4.9064001829960322</v>
      </c>
      <c r="E22" s="100">
        <v>918.47811425685722</v>
      </c>
      <c r="F22" s="100">
        <v>3.8592204763245417</v>
      </c>
      <c r="G22" s="100">
        <v>722.44607316795418</v>
      </c>
      <c r="H22" s="100">
        <v>6.3495691147923372</v>
      </c>
      <c r="I22" s="100">
        <v>1188.6393382891254</v>
      </c>
      <c r="J22" s="100">
        <v>7.2914407906235734</v>
      </c>
      <c r="K22" s="100">
        <v>1364.9577160047329</v>
      </c>
      <c r="L22" s="100">
        <v>5.3137495138361901</v>
      </c>
      <c r="M22" s="100">
        <v>994.73390899013475</v>
      </c>
      <c r="N22" s="100">
        <v>7.4008494165813925</v>
      </c>
      <c r="O22" s="100">
        <v>1385.4390107840366</v>
      </c>
      <c r="P22" s="100">
        <v>8.342563478762349</v>
      </c>
      <c r="Q22" s="100">
        <v>1561.7278832243117</v>
      </c>
      <c r="R22" s="100">
        <v>6.4062102188625127</v>
      </c>
      <c r="S22" s="100">
        <v>1199.2425529710624</v>
      </c>
      <c r="T22" s="100">
        <v>6.8030518184268844</v>
      </c>
      <c r="U22" s="100">
        <v>1273.5313004095126</v>
      </c>
      <c r="V22" s="100">
        <v>8.9355841739804749</v>
      </c>
      <c r="W22" s="100">
        <v>1672.7413573691449</v>
      </c>
      <c r="X22" s="100">
        <v>7</v>
      </c>
      <c r="Y22" s="100">
        <v>1310.3999999999999</v>
      </c>
      <c r="Z22" s="100">
        <v>4.1661324144279979</v>
      </c>
      <c r="AA22" s="100">
        <v>779.8999879809212</v>
      </c>
      <c r="AB22" s="100">
        <v>10.343125741030791</v>
      </c>
      <c r="AC22" s="100">
        <v>1936.233138720964</v>
      </c>
      <c r="AD22" s="100">
        <v>6.5033289140803276</v>
      </c>
      <c r="AE22" s="100">
        <v>1217.4231727158372</v>
      </c>
      <c r="AF22" s="100">
        <v>9.447056566424969</v>
      </c>
      <c r="AG22" s="100">
        <v>1768.4889892347542</v>
      </c>
      <c r="AH22" s="100">
        <v>6.9955766682180771</v>
      </c>
      <c r="AI22" s="100">
        <v>1309.571952290424</v>
      </c>
      <c r="AJ22" s="100">
        <v>4.0506144419392891</v>
      </c>
      <c r="AK22" s="100">
        <v>758.27502353103489</v>
      </c>
      <c r="AL22" s="100">
        <v>12.134730114840199</v>
      </c>
      <c r="AM22" s="100">
        <v>2271.6214774980849</v>
      </c>
      <c r="AN22" s="100">
        <v>3.4650732684443031</v>
      </c>
      <c r="AO22" s="100">
        <v>648.66171585277345</v>
      </c>
      <c r="AP22" s="100">
        <v>10.444092432961531</v>
      </c>
      <c r="AQ22" s="100">
        <v>1955.1341034503985</v>
      </c>
      <c r="AR22" s="100">
        <v>6.9749253030850822</v>
      </c>
      <c r="AS22" s="100">
        <v>1305.7060167375273</v>
      </c>
      <c r="AT22" s="100">
        <v>5.3509096500840991</v>
      </c>
      <c r="AU22" s="100">
        <v>1001.6902864957433</v>
      </c>
      <c r="AV22" s="100">
        <v>10.7423385249589</v>
      </c>
      <c r="AW22" s="100">
        <v>2010.9657718723058</v>
      </c>
      <c r="AX22" s="100">
        <v>7.4711758847904273</v>
      </c>
      <c r="AY22" s="100">
        <v>1398.6041256327678</v>
      </c>
      <c r="AZ22" s="100">
        <v>4.0688742328793817</v>
      </c>
      <c r="BA22" s="100">
        <v>761.69325639502017</v>
      </c>
      <c r="BB22" s="100">
        <v>12.301666376549479</v>
      </c>
      <c r="BC22" s="100">
        <v>2302.8719456900621</v>
      </c>
      <c r="BD22" s="100">
        <v>6.9609087249748098</v>
      </c>
      <c r="BE22" s="100">
        <v>1303.0821133152842</v>
      </c>
      <c r="BF22" s="100">
        <v>7.0264288641295618</v>
      </c>
      <c r="BG22" s="100">
        <v>1315.3474833650539</v>
      </c>
      <c r="BH22" s="100">
        <v>6.0484191803925684</v>
      </c>
      <c r="BI22" s="100">
        <v>1132.2640705694887</v>
      </c>
      <c r="BJ22" s="100">
        <v>3.9465436173755015</v>
      </c>
      <c r="BK22" s="100">
        <v>738.79296517269381</v>
      </c>
      <c r="BL22" s="100">
        <v>12.902460889724145</v>
      </c>
      <c r="BM22" s="100">
        <v>2415.3406785563598</v>
      </c>
      <c r="BN22" s="100">
        <v>8.7795295920519081</v>
      </c>
      <c r="BO22" s="100">
        <v>1643.5279396321171</v>
      </c>
      <c r="BP22" s="100">
        <v>3.0639910695267036</v>
      </c>
      <c r="BQ22" s="100">
        <v>573.5791282153989</v>
      </c>
      <c r="BR22" s="100">
        <v>4.6235402710135496</v>
      </c>
      <c r="BS22" s="100">
        <v>865.52673873373647</v>
      </c>
      <c r="BT22" s="100">
        <v>12.920957440760247</v>
      </c>
      <c r="BU22" s="100">
        <v>2418.803232910318</v>
      </c>
      <c r="BV22" s="100">
        <v>7.2898139404666304</v>
      </c>
      <c r="BW22" s="100">
        <v>1364.6531696553532</v>
      </c>
      <c r="BX22" s="100">
        <v>5.6821671954636805</v>
      </c>
      <c r="BY22" s="100">
        <v>1063.7016989908009</v>
      </c>
      <c r="BZ22" s="100">
        <v>8.2383090118430964</v>
      </c>
      <c r="CA22" s="100">
        <v>1542.2114470170275</v>
      </c>
      <c r="CB22" s="100">
        <v>9.4344413749319109</v>
      </c>
      <c r="CC22" s="100">
        <v>1766.1274253872537</v>
      </c>
      <c r="CD22" s="100">
        <v>4.6145483455584611</v>
      </c>
      <c r="CE22" s="100">
        <v>863.84345028854386</v>
      </c>
      <c r="CF22" s="100">
        <v>8.5730199230156021</v>
      </c>
      <c r="CG22" s="100">
        <v>1604.8693295885207</v>
      </c>
      <c r="CH22" s="100">
        <v>7.1669680054206006</v>
      </c>
      <c r="CI22" s="100">
        <v>1341.6564106147364</v>
      </c>
      <c r="CJ22" s="100">
        <v>7.8443423079278762</v>
      </c>
      <c r="CK22" s="100">
        <v>1468.4608800440983</v>
      </c>
      <c r="CL22" s="100">
        <v>3.9403323523914122</v>
      </c>
      <c r="CM22" s="100">
        <v>737.63021636767235</v>
      </c>
      <c r="CN22" s="100">
        <v>11.174156890180859</v>
      </c>
      <c r="CO22" s="100">
        <v>2091.8021698418565</v>
      </c>
      <c r="CP22" s="100">
        <v>6.2446678040858679</v>
      </c>
      <c r="CQ22" s="100">
        <v>1169.0018129248745</v>
      </c>
      <c r="CR22" s="100">
        <v>10.807040790993424</v>
      </c>
      <c r="CS22" s="100">
        <v>2023.0780360739689</v>
      </c>
      <c r="CT22" s="100">
        <v>4.6999607212331869</v>
      </c>
      <c r="CU22" s="100">
        <v>879.83264701485257</v>
      </c>
    </row>
    <row r="23" spans="2:99">
      <c r="C23" s="99" t="s">
        <v>189</v>
      </c>
      <c r="D23" s="100">
        <v>4.2169436992931884</v>
      </c>
      <c r="E23" s="100">
        <v>1239.7814475921973</v>
      </c>
      <c r="F23" s="100">
        <v>3.8616947904284618</v>
      </c>
      <c r="G23" s="100">
        <v>1135.3382683859677</v>
      </c>
      <c r="H23" s="100">
        <v>6.3415995210474119</v>
      </c>
      <c r="I23" s="100">
        <v>1864.4302591879391</v>
      </c>
      <c r="J23" s="100">
        <v>8.1544363679690566</v>
      </c>
      <c r="K23" s="100">
        <v>2397.4042921829027</v>
      </c>
      <c r="L23" s="100">
        <v>5.3137495138361901</v>
      </c>
      <c r="M23" s="100">
        <v>1562.24235706784</v>
      </c>
      <c r="N23" s="100">
        <v>8.1616708459303826</v>
      </c>
      <c r="O23" s="100">
        <v>2399.5312287035326</v>
      </c>
      <c r="P23" s="100">
        <v>7.6585983472440446</v>
      </c>
      <c r="Q23" s="100">
        <v>2251.6279140897491</v>
      </c>
      <c r="R23" s="100">
        <v>7.0416250718991655</v>
      </c>
      <c r="S23" s="100">
        <v>2070.2377711383547</v>
      </c>
      <c r="T23" s="100">
        <v>6.8065023042467701</v>
      </c>
      <c r="U23" s="100">
        <v>2001.1116774485504</v>
      </c>
      <c r="V23" s="100">
        <v>7.9355841739804749</v>
      </c>
      <c r="W23" s="100">
        <v>2333.0617471502596</v>
      </c>
      <c r="X23" s="100">
        <v>6</v>
      </c>
      <c r="Y23" s="100">
        <v>1764</v>
      </c>
      <c r="Z23" s="100">
        <v>4.9993588973135976</v>
      </c>
      <c r="AA23" s="100">
        <v>1469.8115158101978</v>
      </c>
      <c r="AB23" s="100">
        <v>9.3527461970162715</v>
      </c>
      <c r="AC23" s="100">
        <v>2749.707381922784</v>
      </c>
      <c r="AD23" s="100">
        <v>6.5033289140803276</v>
      </c>
      <c r="AE23" s="100">
        <v>1911.9787007396162</v>
      </c>
      <c r="AF23" s="100">
        <v>9.447056566424969</v>
      </c>
      <c r="AG23" s="100">
        <v>2777.4346305289409</v>
      </c>
      <c r="AH23" s="100">
        <v>6.369524282519504</v>
      </c>
      <c r="AI23" s="100">
        <v>1872.6401390607341</v>
      </c>
      <c r="AJ23" s="100">
        <v>4.0506144419392891</v>
      </c>
      <c r="AK23" s="100">
        <v>1190.8806459301511</v>
      </c>
      <c r="AL23" s="100">
        <v>11.458938719080255</v>
      </c>
      <c r="AM23" s="100">
        <v>3368.9279834095951</v>
      </c>
      <c r="AN23" s="100">
        <v>3.4650732684443031</v>
      </c>
      <c r="AO23" s="100">
        <v>1018.7315409226251</v>
      </c>
      <c r="AP23" s="100">
        <v>9.5931917981058294</v>
      </c>
      <c r="AQ23" s="100">
        <v>2820.3983886431138</v>
      </c>
      <c r="AR23" s="100">
        <v>6.9749253030850822</v>
      </c>
      <c r="AS23" s="100">
        <v>2050.628039107014</v>
      </c>
      <c r="AT23" s="100">
        <v>5.2675507246582578</v>
      </c>
      <c r="AU23" s="100">
        <v>1548.6599130495279</v>
      </c>
      <c r="AV23" s="100">
        <v>10.572159313755533</v>
      </c>
      <c r="AW23" s="100">
        <v>3108.2148382441264</v>
      </c>
      <c r="AX23" s="100">
        <v>7.4711758847904273</v>
      </c>
      <c r="AY23" s="100">
        <v>2196.5257101283855</v>
      </c>
      <c r="AZ23" s="100">
        <v>4.0151334426054941</v>
      </c>
      <c r="BA23" s="100">
        <v>1180.4492321260152</v>
      </c>
      <c r="BB23" s="100">
        <v>12.168281227485361</v>
      </c>
      <c r="BC23" s="100">
        <v>3577.4746808806958</v>
      </c>
      <c r="BD23" s="100">
        <v>6.9609087249748098</v>
      </c>
      <c r="BE23" s="100">
        <v>2046.5071651425942</v>
      </c>
      <c r="BF23" s="100">
        <v>6.3851903695755174</v>
      </c>
      <c r="BG23" s="100">
        <v>1877.2459686552022</v>
      </c>
      <c r="BH23" s="100">
        <v>5.3916332262685662</v>
      </c>
      <c r="BI23" s="100">
        <v>1585.1401685229584</v>
      </c>
      <c r="BJ23" s="100">
        <v>4.5103355627148582</v>
      </c>
      <c r="BK23" s="100">
        <v>1326.0386554381682</v>
      </c>
      <c r="BL23" s="100">
        <v>12.902460889724145</v>
      </c>
      <c r="BM23" s="100">
        <v>3793.3235015788987</v>
      </c>
      <c r="BN23" s="100">
        <v>8.7795295920519081</v>
      </c>
      <c r="BO23" s="100">
        <v>2581.1817000632609</v>
      </c>
      <c r="BP23" s="100">
        <v>3.4863669129069681</v>
      </c>
      <c r="BQ23" s="100">
        <v>1024.9918723946487</v>
      </c>
      <c r="BR23" s="100">
        <v>3.9847520375110435</v>
      </c>
      <c r="BS23" s="100">
        <v>1171.5170990282468</v>
      </c>
      <c r="BT23" s="100">
        <v>10.862934896322951</v>
      </c>
      <c r="BU23" s="100">
        <v>3193.7028595189477</v>
      </c>
      <c r="BV23" s="100">
        <v>8.3758015364977396</v>
      </c>
      <c r="BW23" s="100">
        <v>2462.4856517303356</v>
      </c>
      <c r="BX23" s="100">
        <v>5.5991040995795931</v>
      </c>
      <c r="BY23" s="100">
        <v>1646.1366052764004</v>
      </c>
      <c r="BZ23" s="100">
        <v>8.1208320205846132</v>
      </c>
      <c r="CA23" s="100">
        <v>2387.5246140518761</v>
      </c>
      <c r="CB23" s="100">
        <v>8.4490736250349485</v>
      </c>
      <c r="CC23" s="100">
        <v>2484.0276457602749</v>
      </c>
      <c r="CD23" s="100">
        <v>4.197137053496891</v>
      </c>
      <c r="CE23" s="100">
        <v>1233.9582937280859</v>
      </c>
      <c r="CF23" s="100">
        <v>9.5730199230156021</v>
      </c>
      <c r="CG23" s="100">
        <v>2814.4678573665869</v>
      </c>
      <c r="CH23" s="100">
        <v>8.0628390060981765</v>
      </c>
      <c r="CI23" s="100">
        <v>2370.4746677928638</v>
      </c>
      <c r="CJ23" s="100">
        <v>7.1292692418922998</v>
      </c>
      <c r="CK23" s="100">
        <v>2096.0051571163362</v>
      </c>
      <c r="CL23" s="100">
        <v>3.4312497668831923</v>
      </c>
      <c r="CM23" s="100">
        <v>1008.7874314636585</v>
      </c>
      <c r="CN23" s="100">
        <v>10.171800082751059</v>
      </c>
      <c r="CO23" s="100">
        <v>2990.5092243288113</v>
      </c>
      <c r="CP23" s="100">
        <v>6.2321928015232899</v>
      </c>
      <c r="CQ23" s="100">
        <v>1832.2646836478473</v>
      </c>
      <c r="CR23" s="100">
        <v>9.7414785809509201</v>
      </c>
      <c r="CS23" s="100">
        <v>2863.9947027995704</v>
      </c>
      <c r="CT23" s="100">
        <v>5.5296225767909366</v>
      </c>
      <c r="CU23" s="100">
        <v>1625.7090375765354</v>
      </c>
    </row>
    <row r="24" spans="2:99">
      <c r="C24" s="99" t="s">
        <v>190</v>
      </c>
      <c r="D24" s="100">
        <v>4.2119308994759299</v>
      </c>
      <c r="E24" s="100">
        <v>1546.6210262875613</v>
      </c>
      <c r="F24" s="100">
        <v>3.8592204763245417</v>
      </c>
      <c r="G24" s="100">
        <v>1417.1057589063716</v>
      </c>
      <c r="H24" s="100">
        <v>6.2169186445773583</v>
      </c>
      <c r="I24" s="100">
        <v>2282.8525262888061</v>
      </c>
      <c r="J24" s="100">
        <v>7.4851788765534257</v>
      </c>
      <c r="K24" s="100">
        <v>2748.5576834704179</v>
      </c>
      <c r="L24" s="100">
        <v>5.2863614488482629</v>
      </c>
      <c r="M24" s="100">
        <v>1941.1519240170821</v>
      </c>
      <c r="N24" s="100">
        <v>7.4027740611581532</v>
      </c>
      <c r="O24" s="100">
        <v>2718.2986352572739</v>
      </c>
      <c r="P24" s="100">
        <v>7.5806653584379919</v>
      </c>
      <c r="Q24" s="100">
        <v>2783.6203196184306</v>
      </c>
      <c r="R24" s="100">
        <v>6.3749612851564841</v>
      </c>
      <c r="S24" s="100">
        <v>2340.8857839094608</v>
      </c>
      <c r="T24" s="100">
        <v>6.9517987975817741</v>
      </c>
      <c r="U24" s="100">
        <v>2552.7005184720274</v>
      </c>
      <c r="V24" s="100">
        <v>9.052532195728034</v>
      </c>
      <c r="W24" s="100">
        <v>3324.089822271334</v>
      </c>
      <c r="X24" s="100">
        <v>6</v>
      </c>
      <c r="Y24" s="100">
        <v>2203.1999999999998</v>
      </c>
      <c r="Z24" s="100">
        <v>4.9993588973135976</v>
      </c>
      <c r="AA24" s="100">
        <v>1835.764587093553</v>
      </c>
      <c r="AB24" s="100">
        <v>9.3527461970162715</v>
      </c>
      <c r="AC24" s="100">
        <v>3434.3284035443749</v>
      </c>
      <c r="AD24" s="100">
        <v>6.5033289140803276</v>
      </c>
      <c r="AE24" s="100">
        <v>2388.0223772502964</v>
      </c>
      <c r="AF24" s="100">
        <v>8.5574798143182349</v>
      </c>
      <c r="AG24" s="100">
        <v>3142.3065878176558</v>
      </c>
      <c r="AH24" s="100">
        <v>6.7968609099551287</v>
      </c>
      <c r="AI24" s="100">
        <v>2495.807326135523</v>
      </c>
      <c r="AJ24" s="100">
        <v>3.9801284577356126</v>
      </c>
      <c r="AK24" s="100">
        <v>1461.503169680517</v>
      </c>
      <c r="AL24" s="100">
        <v>12.458938719080255</v>
      </c>
      <c r="AM24" s="100">
        <v>4574.9222976462697</v>
      </c>
      <c r="AN24" s="100">
        <v>3.4650732684443031</v>
      </c>
      <c r="AO24" s="100">
        <v>1272.3749041727481</v>
      </c>
      <c r="AP24" s="100">
        <v>8.8805115978504521</v>
      </c>
      <c r="AQ24" s="100">
        <v>3260.9238587306859</v>
      </c>
      <c r="AR24" s="100">
        <v>7.8467909659707171</v>
      </c>
      <c r="AS24" s="100">
        <v>2881.3416427044472</v>
      </c>
      <c r="AT24" s="100">
        <v>5.4383115134393307</v>
      </c>
      <c r="AU24" s="100">
        <v>1996.9479877349222</v>
      </c>
      <c r="AV24" s="100">
        <v>10.572159313755533</v>
      </c>
      <c r="AW24" s="100">
        <v>3882.0969000110317</v>
      </c>
      <c r="AX24" s="100">
        <v>7.4711758847904273</v>
      </c>
      <c r="AY24" s="100">
        <v>2743.4157848950449</v>
      </c>
      <c r="AZ24" s="100">
        <v>4.0151334426054941</v>
      </c>
      <c r="BA24" s="100">
        <v>1474.3570001247374</v>
      </c>
      <c r="BB24" s="100">
        <v>12.301666376549479</v>
      </c>
      <c r="BC24" s="100">
        <v>4517.1718934689688</v>
      </c>
      <c r="BD24" s="100">
        <v>5.9664931928355509</v>
      </c>
      <c r="BE24" s="100">
        <v>2190.8963004092143</v>
      </c>
      <c r="BF24" s="100">
        <v>7.1229890497559598</v>
      </c>
      <c r="BG24" s="100">
        <v>2615.5615790703882</v>
      </c>
      <c r="BH24" s="100">
        <v>5.3950859352195737</v>
      </c>
      <c r="BI24" s="100">
        <v>1981.0755554126274</v>
      </c>
      <c r="BJ24" s="100">
        <v>3.9465436173755015</v>
      </c>
      <c r="BK24" s="100">
        <v>1449.1708163002841</v>
      </c>
      <c r="BL24" s="100">
        <v>11.760315508304499</v>
      </c>
      <c r="BM24" s="100">
        <v>4318.3878546494116</v>
      </c>
      <c r="BN24" s="100">
        <v>8.7795295920519081</v>
      </c>
      <c r="BO24" s="100">
        <v>3223.8432662014607</v>
      </c>
      <c r="BP24" s="100">
        <v>3.474354861120875</v>
      </c>
      <c r="BQ24" s="100">
        <v>1275.7831050035852</v>
      </c>
      <c r="BR24" s="100">
        <v>4.015156564810245</v>
      </c>
      <c r="BS24" s="100">
        <v>1474.3654905983219</v>
      </c>
      <c r="BT24" s="100">
        <v>11.149345983391187</v>
      </c>
      <c r="BU24" s="100">
        <v>4094.0398451012438</v>
      </c>
      <c r="BV24" s="100">
        <v>8.3758015364977396</v>
      </c>
      <c r="BW24" s="100">
        <v>3075.5943242019698</v>
      </c>
      <c r="BX24" s="100">
        <v>5.6406356475216368</v>
      </c>
      <c r="BY24" s="100">
        <v>2071.2414097699448</v>
      </c>
      <c r="BZ24" s="100">
        <v>9.7035603750040575</v>
      </c>
      <c r="CA24" s="100">
        <v>3563.1473697014899</v>
      </c>
      <c r="CB24" s="100">
        <v>9.3212150497600597</v>
      </c>
      <c r="CC24" s="100">
        <v>3422.7501662718937</v>
      </c>
      <c r="CD24" s="100">
        <v>4.1973495885200274</v>
      </c>
      <c r="CE24" s="100">
        <v>1541.2667689045541</v>
      </c>
      <c r="CF24" s="100">
        <v>10.573019923015602</v>
      </c>
      <c r="CG24" s="100">
        <v>3882.4129157313291</v>
      </c>
      <c r="CH24" s="100">
        <v>8.9587100067757515</v>
      </c>
      <c r="CI24" s="100">
        <v>3289.638314488056</v>
      </c>
      <c r="CJ24" s="100">
        <v>8.55941537396345</v>
      </c>
      <c r="CK24" s="100">
        <v>3143.0173253193789</v>
      </c>
      <c r="CL24" s="100">
        <v>4.317086606225284</v>
      </c>
      <c r="CM24" s="100">
        <v>1585.2342018059242</v>
      </c>
      <c r="CN24" s="100">
        <v>10.468264099657125</v>
      </c>
      <c r="CO24" s="100">
        <v>3843.946577394096</v>
      </c>
      <c r="CP24" s="100">
        <v>6.8108034642039508</v>
      </c>
      <c r="CQ24" s="100">
        <v>2500.9270320556907</v>
      </c>
      <c r="CR24" s="100">
        <v>9.7414785809509201</v>
      </c>
      <c r="CS24" s="100">
        <v>3577.0709349251779</v>
      </c>
      <c r="CT24" s="100">
        <v>5.1219927287839342</v>
      </c>
      <c r="CU24" s="100">
        <v>1880.7957300094606</v>
      </c>
    </row>
    <row r="25" spans="2:99">
      <c r="C25" s="99" t="s">
        <v>191</v>
      </c>
      <c r="D25" s="100">
        <v>4.2069180996586724</v>
      </c>
      <c r="E25" s="100">
        <v>2231.3493600589595</v>
      </c>
      <c r="F25" s="100">
        <v>3.8592204763245417</v>
      </c>
      <c r="G25" s="100">
        <v>2046.9305406425369</v>
      </c>
      <c r="H25" s="100">
        <v>5.4777314157779751</v>
      </c>
      <c r="I25" s="100">
        <v>2905.3887429286378</v>
      </c>
      <c r="J25" s="100">
        <v>7.2914407906235734</v>
      </c>
      <c r="K25" s="100">
        <v>3867.3801953467432</v>
      </c>
      <c r="L25" s="100">
        <v>4.7385484928476851</v>
      </c>
      <c r="M25" s="100">
        <v>2513.3261206064121</v>
      </c>
      <c r="N25" s="100">
        <v>7.3989247720046336</v>
      </c>
      <c r="O25" s="100">
        <v>3924.3896990712574</v>
      </c>
      <c r="P25" s="100">
        <v>7.5011476998987732</v>
      </c>
      <c r="Q25" s="100">
        <v>3978.6087400263091</v>
      </c>
      <c r="R25" s="100">
        <v>6.4062102188625127</v>
      </c>
      <c r="S25" s="100">
        <v>3397.8539000846768</v>
      </c>
      <c r="T25" s="100">
        <v>6.9517987975817741</v>
      </c>
      <c r="U25" s="100">
        <v>3687.2340822373726</v>
      </c>
      <c r="V25" s="100">
        <v>8.9355841739804749</v>
      </c>
      <c r="W25" s="100">
        <v>4739.4338458792436</v>
      </c>
      <c r="X25" s="100">
        <v>6</v>
      </c>
      <c r="Y25" s="100">
        <v>3182.3999999999996</v>
      </c>
      <c r="Z25" s="100">
        <v>4.2570178302157178</v>
      </c>
      <c r="AA25" s="100">
        <v>2257.9222571464165</v>
      </c>
      <c r="AB25" s="100">
        <v>10.343125741030791</v>
      </c>
      <c r="AC25" s="100">
        <v>5485.9938930427315</v>
      </c>
      <c r="AD25" s="100">
        <v>6.5033289140803276</v>
      </c>
      <c r="AE25" s="100">
        <v>3449.3656560282056</v>
      </c>
      <c r="AF25" s="100">
        <v>7.8884186803545528</v>
      </c>
      <c r="AG25" s="100">
        <v>4184.0172680600544</v>
      </c>
      <c r="AH25" s="100">
        <v>6.1708085242565556</v>
      </c>
      <c r="AI25" s="100">
        <v>3272.9968412656767</v>
      </c>
      <c r="AJ25" s="100">
        <v>4.0271191138713966</v>
      </c>
      <c r="AK25" s="100">
        <v>2135.9839779973886</v>
      </c>
      <c r="AL25" s="100">
        <v>12.296834416960227</v>
      </c>
      <c r="AM25" s="100">
        <v>6522.240974755704</v>
      </c>
      <c r="AN25" s="100">
        <v>2.9700628015236883</v>
      </c>
      <c r="AO25" s="100">
        <v>1575.3213099281643</v>
      </c>
      <c r="AP25" s="100">
        <v>9.5931917981058294</v>
      </c>
      <c r="AQ25" s="100">
        <v>5088.228929715332</v>
      </c>
      <c r="AR25" s="100">
        <v>6.9749253030850822</v>
      </c>
      <c r="AS25" s="100">
        <v>3699.5003807563276</v>
      </c>
      <c r="AT25" s="100">
        <v>5.9562434277928835</v>
      </c>
      <c r="AU25" s="100">
        <v>3159.1915141013451</v>
      </c>
      <c r="AV25" s="100">
        <v>9.5909978219428247</v>
      </c>
      <c r="AW25" s="100">
        <v>5087.0652447584744</v>
      </c>
      <c r="AX25" s="100">
        <v>7.4711758847904273</v>
      </c>
      <c r="AY25" s="100">
        <v>3962.7116892928425</v>
      </c>
      <c r="AZ25" s="100">
        <v>4.6664087529484473</v>
      </c>
      <c r="BA25" s="100">
        <v>2475.0632025638565</v>
      </c>
      <c r="BB25" s="100">
        <v>10.518158945252802</v>
      </c>
      <c r="BC25" s="100">
        <v>5578.8315045620857</v>
      </c>
      <c r="BD25" s="100">
        <v>5.9664931928355509</v>
      </c>
      <c r="BE25" s="100">
        <v>3164.6279894799759</v>
      </c>
      <c r="BF25" s="100">
        <v>7.0264288641295618</v>
      </c>
      <c r="BG25" s="100">
        <v>3726.8178695343195</v>
      </c>
      <c r="BH25" s="100">
        <v>6.0518718893435759</v>
      </c>
      <c r="BI25" s="100">
        <v>3209.9128501078326</v>
      </c>
      <c r="BJ25" s="100">
        <v>3.9465436173755015</v>
      </c>
      <c r="BK25" s="100">
        <v>2093.2467346559661</v>
      </c>
      <c r="BL25" s="100">
        <v>12.733030042670141</v>
      </c>
      <c r="BM25" s="100">
        <v>6753.5991346322426</v>
      </c>
      <c r="BN25" s="100">
        <v>9.5776686458748088</v>
      </c>
      <c r="BO25" s="100">
        <v>5079.9954497719982</v>
      </c>
      <c r="BP25" s="100">
        <v>3.0531014680555981</v>
      </c>
      <c r="BQ25" s="100">
        <v>1619.3650186566892</v>
      </c>
      <c r="BR25" s="100">
        <v>4.5931357437143472</v>
      </c>
      <c r="BS25" s="100">
        <v>2436.1991984660895</v>
      </c>
      <c r="BT25" s="100">
        <v>11.963548940308657</v>
      </c>
      <c r="BU25" s="100">
        <v>6345.4663579397111</v>
      </c>
      <c r="BV25" s="100">
        <v>8.2898139404666296</v>
      </c>
      <c r="BW25" s="100">
        <v>4396.9173140234998</v>
      </c>
      <c r="BX25" s="100">
        <v>4.9511305220596986</v>
      </c>
      <c r="BY25" s="100">
        <v>2626.0796289004638</v>
      </c>
      <c r="BZ25" s="100">
        <v>9.4686063924870911</v>
      </c>
      <c r="CA25" s="100">
        <v>5022.1488305751527</v>
      </c>
      <c r="CB25" s="100">
        <v>7.6901585254816878</v>
      </c>
      <c r="CC25" s="100">
        <v>4078.8600819154872</v>
      </c>
      <c r="CD25" s="100">
        <v>3.7799382964584569</v>
      </c>
      <c r="CE25" s="100">
        <v>2004.8792724415655</v>
      </c>
      <c r="CF25" s="100">
        <v>10.74779991446178</v>
      </c>
      <c r="CG25" s="100">
        <v>5700.6330746305275</v>
      </c>
      <c r="CH25" s="100">
        <v>7.1669680054206006</v>
      </c>
      <c r="CI25" s="100">
        <v>3801.3598300750864</v>
      </c>
      <c r="CJ25" s="100">
        <v>7.8976970500488077</v>
      </c>
      <c r="CK25" s="100">
        <v>4188.938515345887</v>
      </c>
      <c r="CL25" s="100">
        <v>3.9403323523914122</v>
      </c>
      <c r="CM25" s="100">
        <v>2089.9522797084051</v>
      </c>
      <c r="CN25" s="100">
        <v>11.322388898633893</v>
      </c>
      <c r="CO25" s="100">
        <v>6005.3950718354163</v>
      </c>
      <c r="CP25" s="100">
        <v>6.2589836670939736</v>
      </c>
      <c r="CQ25" s="100">
        <v>3319.7649370266436</v>
      </c>
      <c r="CR25" s="100">
        <v>9.7414785809509201</v>
      </c>
      <c r="CS25" s="100">
        <v>5166.8802393363676</v>
      </c>
      <c r="CT25" s="100">
        <v>4.6999607212331869</v>
      </c>
      <c r="CU25" s="100">
        <v>2492.8591665420822</v>
      </c>
    </row>
    <row r="26" spans="2:99">
      <c r="C26" s="99" t="s">
        <v>192</v>
      </c>
      <c r="D26" s="100">
        <v>4.2069180996586724</v>
      </c>
      <c r="E26" s="100">
        <v>2044.5621964341149</v>
      </c>
      <c r="F26" s="100">
        <v>4.34100445733913</v>
      </c>
      <c r="G26" s="100">
        <v>2109.728166266817</v>
      </c>
      <c r="H26" s="100">
        <v>6.3495691147923372</v>
      </c>
      <c r="I26" s="100">
        <v>3085.8905897890759</v>
      </c>
      <c r="J26" s="100">
        <v>8.0575673250041326</v>
      </c>
      <c r="K26" s="100">
        <v>3915.9777199520086</v>
      </c>
      <c r="L26" s="100">
        <v>5.3137495138361901</v>
      </c>
      <c r="M26" s="100">
        <v>2582.4822637243883</v>
      </c>
      <c r="N26" s="100">
        <v>7.2836441800094303</v>
      </c>
      <c r="O26" s="100">
        <v>3539.8510714845829</v>
      </c>
      <c r="P26" s="100">
        <v>6.8187672381136331</v>
      </c>
      <c r="Q26" s="100">
        <v>3313.9208777232257</v>
      </c>
      <c r="R26" s="100">
        <v>7.0416250718991655</v>
      </c>
      <c r="S26" s="100">
        <v>3422.2297849429942</v>
      </c>
      <c r="T26" s="100">
        <v>6.6715572683714175</v>
      </c>
      <c r="U26" s="100">
        <v>3242.3768324285088</v>
      </c>
      <c r="V26" s="100">
        <v>8.052532195728034</v>
      </c>
      <c r="W26" s="100">
        <v>3913.5306471238246</v>
      </c>
      <c r="X26" s="100">
        <v>7</v>
      </c>
      <c r="Y26" s="100">
        <v>3402</v>
      </c>
      <c r="Z26" s="100">
        <v>5.0902443131013166</v>
      </c>
      <c r="AA26" s="100">
        <v>2473.8587361672398</v>
      </c>
      <c r="AB26" s="100">
        <v>10.196682307402249</v>
      </c>
      <c r="AC26" s="100">
        <v>4955.587601397493</v>
      </c>
      <c r="AD26" s="100">
        <v>5.7807368125158467</v>
      </c>
      <c r="AE26" s="100">
        <v>2809.4380908827015</v>
      </c>
      <c r="AF26" s="100">
        <v>7.7781608712830268</v>
      </c>
      <c r="AG26" s="100">
        <v>3780.1861834435508</v>
      </c>
      <c r="AH26" s="100">
        <v>6.2701664033880293</v>
      </c>
      <c r="AI26" s="100">
        <v>3047.3008720465823</v>
      </c>
      <c r="AJ26" s="100">
        <v>4.0271191138713966</v>
      </c>
      <c r="AK26" s="100">
        <v>1957.1798893414987</v>
      </c>
      <c r="AL26" s="100">
        <v>12.296834416960227</v>
      </c>
      <c r="AM26" s="100">
        <v>5976.2615266426701</v>
      </c>
      <c r="AN26" s="100">
        <v>2.9700628015236883</v>
      </c>
      <c r="AO26" s="100">
        <v>1443.4505215405125</v>
      </c>
      <c r="AP26" s="100">
        <v>9.7314122327061536</v>
      </c>
      <c r="AQ26" s="100">
        <v>4729.4663450951903</v>
      </c>
      <c r="AR26" s="100">
        <v>6.9749253030850822</v>
      </c>
      <c r="AS26" s="100">
        <v>3389.8136972993498</v>
      </c>
      <c r="AT26" s="100">
        <v>5.2756366005170383</v>
      </c>
      <c r="AU26" s="100">
        <v>2563.9593878512806</v>
      </c>
      <c r="AV26" s="100">
        <v>9.4208186107394596</v>
      </c>
      <c r="AW26" s="100">
        <v>4578.5178448193774</v>
      </c>
      <c r="AX26" s="100">
        <v>7.4711758847904273</v>
      </c>
      <c r="AY26" s="100">
        <v>3630.9914800081478</v>
      </c>
      <c r="AZ26" s="100">
        <v>4.0151334426054941</v>
      </c>
      <c r="BA26" s="100">
        <v>1951.3548531062702</v>
      </c>
      <c r="BB26" s="100">
        <v>11.276527511837021</v>
      </c>
      <c r="BC26" s="100">
        <v>5480.392370752792</v>
      </c>
      <c r="BD26" s="100">
        <v>5.9664931928355509</v>
      </c>
      <c r="BE26" s="100">
        <v>2899.7156917180778</v>
      </c>
      <c r="BF26" s="100">
        <v>7.1229890497559598</v>
      </c>
      <c r="BG26" s="100">
        <v>3461.7726781813963</v>
      </c>
      <c r="BH26" s="100">
        <v>6.050145534868073</v>
      </c>
      <c r="BI26" s="100">
        <v>2940.3707299458833</v>
      </c>
      <c r="BJ26" s="100">
        <v>3.3827516720361439</v>
      </c>
      <c r="BK26" s="100">
        <v>1644.017312609566</v>
      </c>
      <c r="BL26" s="100">
        <v>12.902460889724145</v>
      </c>
      <c r="BM26" s="100">
        <v>6270.5959924059343</v>
      </c>
      <c r="BN26" s="100">
        <v>8.7795295920519081</v>
      </c>
      <c r="BO26" s="100">
        <v>4266.8513817372277</v>
      </c>
      <c r="BP26" s="100">
        <v>3.4863669129069681</v>
      </c>
      <c r="BQ26" s="100">
        <v>1694.3743196727864</v>
      </c>
      <c r="BR26" s="100">
        <v>4.6235402710135496</v>
      </c>
      <c r="BS26" s="100">
        <v>2247.040571712585</v>
      </c>
      <c r="BT26" s="100">
        <v>10.862934896322951</v>
      </c>
      <c r="BU26" s="100">
        <v>5279.386359612954</v>
      </c>
      <c r="BV26" s="100">
        <v>7.2038263444355222</v>
      </c>
      <c r="BW26" s="100">
        <v>3501.059603395664</v>
      </c>
      <c r="BX26" s="100">
        <v>5.6406356475216368</v>
      </c>
      <c r="BY26" s="100">
        <v>2741.3489246955155</v>
      </c>
      <c r="BZ26" s="100">
        <v>8.00335502932613</v>
      </c>
      <c r="CA26" s="100">
        <v>3889.630544252499</v>
      </c>
      <c r="CB26" s="100">
        <v>8.562299950206798</v>
      </c>
      <c r="CC26" s="100">
        <v>4161.2777758005041</v>
      </c>
      <c r="CD26" s="100">
        <v>4.1973495885200274</v>
      </c>
      <c r="CE26" s="100">
        <v>2039.9119000207334</v>
      </c>
      <c r="CF26" s="100">
        <v>8.3982399315694245</v>
      </c>
      <c r="CG26" s="100">
        <v>4081.5446067427401</v>
      </c>
      <c r="CH26" s="100">
        <v>7.1669680054206006</v>
      </c>
      <c r="CI26" s="100">
        <v>3483.1464506344118</v>
      </c>
      <c r="CJ26" s="100">
        <v>7.8976970500488077</v>
      </c>
      <c r="CK26" s="100">
        <v>3838.2807663237204</v>
      </c>
      <c r="CL26" s="100">
        <v>3.4533044888289171</v>
      </c>
      <c r="CM26" s="100">
        <v>1678.3059815708536</v>
      </c>
      <c r="CN26" s="100">
        <v>10.468264099657125</v>
      </c>
      <c r="CO26" s="100">
        <v>5087.5763524333624</v>
      </c>
      <c r="CP26" s="100">
        <v>6.2571428066484476</v>
      </c>
      <c r="CQ26" s="100">
        <v>3040.9714040311455</v>
      </c>
      <c r="CR26" s="100">
        <v>9.7414785809509201</v>
      </c>
      <c r="CS26" s="100">
        <v>4734.3585903421472</v>
      </c>
      <c r="CT26" s="100">
        <v>5.1075905692401893</v>
      </c>
      <c r="CU26" s="100">
        <v>2482.2890166507318</v>
      </c>
    </row>
    <row r="27" spans="2:99">
      <c r="C27" s="99" t="s">
        <v>193</v>
      </c>
      <c r="D27" s="100">
        <v>4.9064001829960322</v>
      </c>
      <c r="E27" s="100">
        <v>2096.0141581759049</v>
      </c>
      <c r="F27" s="100">
        <v>4.34100445733913</v>
      </c>
      <c r="G27" s="100">
        <v>1854.4771041752763</v>
      </c>
      <c r="H27" s="100">
        <v>5.4803879470262835</v>
      </c>
      <c r="I27" s="100">
        <v>2341.2217309696284</v>
      </c>
      <c r="J27" s="100">
        <v>8.1544363679690566</v>
      </c>
      <c r="K27" s="100">
        <v>3483.5752163963807</v>
      </c>
      <c r="L27" s="100">
        <v>5.2863614488482629</v>
      </c>
      <c r="M27" s="100">
        <v>2258.3336109479778</v>
      </c>
      <c r="N27" s="100">
        <v>7.4027740611581532</v>
      </c>
      <c r="O27" s="100">
        <v>3162.465078926763</v>
      </c>
      <c r="P27" s="100">
        <v>7.5806653584379919</v>
      </c>
      <c r="Q27" s="100">
        <v>3238.4602411247101</v>
      </c>
      <c r="R27" s="100">
        <v>7.0416250718991655</v>
      </c>
      <c r="S27" s="100">
        <v>3008.1822307153234</v>
      </c>
      <c r="T27" s="100">
        <v>6.9552492834016579</v>
      </c>
      <c r="U27" s="100">
        <v>2971.2824938691883</v>
      </c>
      <c r="V27" s="100">
        <v>8.052532195728034</v>
      </c>
      <c r="W27" s="100">
        <v>3440.0417540150161</v>
      </c>
      <c r="X27" s="100">
        <v>7</v>
      </c>
      <c r="Y27" s="100">
        <v>2990.4</v>
      </c>
      <c r="Z27" s="100">
        <v>4.2570178302157178</v>
      </c>
      <c r="AA27" s="100">
        <v>1818.5980170681546</v>
      </c>
      <c r="AB27" s="100">
        <v>9.3527461970162715</v>
      </c>
      <c r="AC27" s="100">
        <v>3995.4931753653509</v>
      </c>
      <c r="AD27" s="100">
        <v>5.7807368125158467</v>
      </c>
      <c r="AE27" s="100">
        <v>2469.5307663067697</v>
      </c>
      <c r="AF27" s="100">
        <v>7.8884186803545528</v>
      </c>
      <c r="AG27" s="100">
        <v>3369.9324602474649</v>
      </c>
      <c r="AH27" s="100">
        <v>6.369524282519504</v>
      </c>
      <c r="AI27" s="100">
        <v>2721.0607734923319</v>
      </c>
      <c r="AJ27" s="100">
        <v>4.0506144419392891</v>
      </c>
      <c r="AK27" s="100">
        <v>1730.4224895964642</v>
      </c>
      <c r="AL27" s="100">
        <v>10.296834416960227</v>
      </c>
      <c r="AM27" s="100">
        <v>4398.8076629254092</v>
      </c>
      <c r="AN27" s="100">
        <v>2.9700628015236883</v>
      </c>
      <c r="AO27" s="100">
        <v>1268.8108288109197</v>
      </c>
      <c r="AP27" s="100">
        <v>9.7314122327061536</v>
      </c>
      <c r="AQ27" s="100">
        <v>4157.2593058120683</v>
      </c>
      <c r="AR27" s="100">
        <v>6.9749253030850822</v>
      </c>
      <c r="AS27" s="100">
        <v>2979.688089477947</v>
      </c>
      <c r="AT27" s="100">
        <v>5.8647986265082617</v>
      </c>
      <c r="AU27" s="100">
        <v>2505.4419732443293</v>
      </c>
      <c r="AV27" s="100">
        <v>10.401980102552166</v>
      </c>
      <c r="AW27" s="100">
        <v>4443.7258998102852</v>
      </c>
      <c r="AX27" s="100">
        <v>7.4711758847904273</v>
      </c>
      <c r="AY27" s="100">
        <v>3191.6863379824704</v>
      </c>
      <c r="AZ27" s="100">
        <v>4.6126679626745597</v>
      </c>
      <c r="BA27" s="100">
        <v>1970.531753654572</v>
      </c>
      <c r="BB27" s="100">
        <v>12.034896078421243</v>
      </c>
      <c r="BC27" s="100">
        <v>5141.3076047015547</v>
      </c>
      <c r="BD27" s="100">
        <v>7.0583799249869852</v>
      </c>
      <c r="BE27" s="100">
        <v>3015.3399039544402</v>
      </c>
      <c r="BF27" s="100">
        <v>6.9298686785031656</v>
      </c>
      <c r="BG27" s="100">
        <v>2960.4398994565522</v>
      </c>
      <c r="BH27" s="100">
        <v>5.3950859352195737</v>
      </c>
      <c r="BI27" s="100">
        <v>2304.780711525802</v>
      </c>
      <c r="BJ27" s="100">
        <v>3.3827516720361439</v>
      </c>
      <c r="BK27" s="100">
        <v>1445.1115142938406</v>
      </c>
      <c r="BL27" s="100">
        <v>13.87517542408979</v>
      </c>
      <c r="BM27" s="100">
        <v>5927.4749411711582</v>
      </c>
      <c r="BN27" s="100">
        <v>9.5776686458748088</v>
      </c>
      <c r="BO27" s="100">
        <v>4091.5800455177182</v>
      </c>
      <c r="BP27" s="100">
        <v>3.0636169194217082</v>
      </c>
      <c r="BQ27" s="100">
        <v>1308.7771479769538</v>
      </c>
      <c r="BR27" s="100">
        <v>4.6235402710135496</v>
      </c>
      <c r="BS27" s="100">
        <v>1975.1764037769883</v>
      </c>
      <c r="BT27" s="100">
        <v>10.862934896322951</v>
      </c>
      <c r="BU27" s="100">
        <v>4640.6457877091643</v>
      </c>
      <c r="BV27" s="100">
        <v>7.4617891325288479</v>
      </c>
      <c r="BW27" s="100">
        <v>3187.6763174163239</v>
      </c>
      <c r="BX27" s="100">
        <v>5.5991040995795931</v>
      </c>
      <c r="BY27" s="100">
        <v>2391.9372713404023</v>
      </c>
      <c r="BZ27" s="100">
        <v>9.4686063924870911</v>
      </c>
      <c r="CA27" s="100">
        <v>4044.9886508704853</v>
      </c>
      <c r="CB27" s="100">
        <v>8.6755262753786493</v>
      </c>
      <c r="CC27" s="100">
        <v>3706.1848248417587</v>
      </c>
      <c r="CD27" s="100">
        <v>4.17881010532804</v>
      </c>
      <c r="CE27" s="100">
        <v>1785.1876769961386</v>
      </c>
      <c r="CF27" s="100">
        <v>10.573019923015602</v>
      </c>
      <c r="CG27" s="100">
        <v>4516.7941111122655</v>
      </c>
      <c r="CH27" s="100">
        <v>8.9587100067757515</v>
      </c>
      <c r="CI27" s="100">
        <v>3827.1609148946009</v>
      </c>
      <c r="CJ27" s="100">
        <v>7.8443423079278762</v>
      </c>
      <c r="CK27" s="100">
        <v>3351.1030339467889</v>
      </c>
      <c r="CL27" s="100">
        <v>3.9182776304456874</v>
      </c>
      <c r="CM27" s="100">
        <v>1673.8882037263977</v>
      </c>
      <c r="CN27" s="100">
        <v>10.320032091204091</v>
      </c>
      <c r="CO27" s="100">
        <v>4408.7177093623877</v>
      </c>
      <c r="CP27" s="100">
        <v>5.6928480069758898</v>
      </c>
      <c r="CQ27" s="100">
        <v>2431.9846685800999</v>
      </c>
      <c r="CR27" s="100">
        <v>10.807040790993424</v>
      </c>
      <c r="CS27" s="100">
        <v>4616.7678259123904</v>
      </c>
      <c r="CT27" s="100">
        <v>5.1363948883276782</v>
      </c>
      <c r="CU27" s="100">
        <v>2194.2678962935843</v>
      </c>
    </row>
    <row r="28" spans="2:99">
      <c r="C28" s="99" t="s">
        <v>194</v>
      </c>
      <c r="D28" s="100">
        <v>4.2169436992931884</v>
      </c>
      <c r="E28" s="100">
        <v>3112.1044500783728</v>
      </c>
      <c r="F28" s="100">
        <v>4.34100445733913</v>
      </c>
      <c r="G28" s="100">
        <v>3203.661289516278</v>
      </c>
      <c r="H28" s="100">
        <v>6.3442560522957203</v>
      </c>
      <c r="I28" s="100">
        <v>4682.060966594242</v>
      </c>
      <c r="J28" s="100">
        <v>7.4851788765534257</v>
      </c>
      <c r="K28" s="100">
        <v>5524.0620108964285</v>
      </c>
      <c r="L28" s="100">
        <v>5.888950534824696</v>
      </c>
      <c r="M28" s="100">
        <v>4346.0454947006256</v>
      </c>
      <c r="N28" s="100">
        <v>6.5247473952371999</v>
      </c>
      <c r="O28" s="100">
        <v>4815.2635776850539</v>
      </c>
      <c r="P28" s="100">
        <v>7.5822500281711536</v>
      </c>
      <c r="Q28" s="100">
        <v>5595.7005207903112</v>
      </c>
      <c r="R28" s="100">
        <v>6.3749612851564841</v>
      </c>
      <c r="S28" s="100">
        <v>4704.7214284454849</v>
      </c>
      <c r="T28" s="100">
        <v>5.9217221283737311</v>
      </c>
      <c r="U28" s="100">
        <v>4370.2309307398136</v>
      </c>
      <c r="V28" s="100">
        <v>8.052532195728034</v>
      </c>
      <c r="W28" s="100">
        <v>5942.7687604472894</v>
      </c>
      <c r="X28" s="100">
        <v>7</v>
      </c>
      <c r="Y28" s="100">
        <v>5166</v>
      </c>
      <c r="Z28" s="100">
        <v>4.2635096456291262</v>
      </c>
      <c r="AA28" s="100">
        <v>3146.4701184742953</v>
      </c>
      <c r="AB28" s="100">
        <v>10.196682307402249</v>
      </c>
      <c r="AC28" s="100">
        <v>7525.1515428628591</v>
      </c>
      <c r="AD28" s="100">
        <v>6.5033289140803276</v>
      </c>
      <c r="AE28" s="100">
        <v>4799.4567385912815</v>
      </c>
      <c r="AF28" s="100">
        <v>8.7779954324612852</v>
      </c>
      <c r="AG28" s="100">
        <v>6478.1606291564285</v>
      </c>
      <c r="AH28" s="100">
        <v>6.07145064512508</v>
      </c>
      <c r="AI28" s="100">
        <v>4480.730576102309</v>
      </c>
      <c r="AJ28" s="100">
        <v>3.9566331296677206</v>
      </c>
      <c r="AK28" s="100">
        <v>2919.9952496947776</v>
      </c>
      <c r="AL28" s="100">
        <v>11.134730114840199</v>
      </c>
      <c r="AM28" s="100">
        <v>8217.4308247520676</v>
      </c>
      <c r="AN28" s="100">
        <v>2.9700628015236883</v>
      </c>
      <c r="AO28" s="100">
        <v>2191.906347524482</v>
      </c>
      <c r="AP28" s="100">
        <v>8.6040707286498055</v>
      </c>
      <c r="AQ28" s="100">
        <v>6349.8041977435569</v>
      </c>
      <c r="AR28" s="100">
        <v>6.9749253030850822</v>
      </c>
      <c r="AS28" s="100">
        <v>5147.494873676791</v>
      </c>
      <c r="AT28" s="100">
        <v>5.4463973892981103</v>
      </c>
      <c r="AU28" s="100">
        <v>4019.4412733020054</v>
      </c>
      <c r="AV28" s="100">
        <v>9.5909978219428247</v>
      </c>
      <c r="AW28" s="100">
        <v>7078.1563925938044</v>
      </c>
      <c r="AX28" s="100">
        <v>7.4711758847904273</v>
      </c>
      <c r="AY28" s="100">
        <v>5513.7278029753352</v>
      </c>
      <c r="AZ28" s="100">
        <v>4.0688742328793817</v>
      </c>
      <c r="BA28" s="100">
        <v>3002.8291838649839</v>
      </c>
      <c r="BB28" s="100">
        <v>11.276527511837021</v>
      </c>
      <c r="BC28" s="100">
        <v>8322.0773037357212</v>
      </c>
      <c r="BD28" s="100">
        <v>6.9609087249748098</v>
      </c>
      <c r="BE28" s="100">
        <v>5137.1506390314098</v>
      </c>
      <c r="BF28" s="100">
        <v>6.9298686785031656</v>
      </c>
      <c r="BG28" s="100">
        <v>5114.2430847353362</v>
      </c>
      <c r="BH28" s="100">
        <v>5.3933595807440708</v>
      </c>
      <c r="BI28" s="100">
        <v>3980.2993705891245</v>
      </c>
      <c r="BJ28" s="100">
        <v>3.9465436173755015</v>
      </c>
      <c r="BK28" s="100">
        <v>2912.5491896231201</v>
      </c>
      <c r="BL28" s="100">
        <v>14.044606271143794</v>
      </c>
      <c r="BM28" s="100">
        <v>10364.91942810412</v>
      </c>
      <c r="BN28" s="100">
        <v>9.5776686458748088</v>
      </c>
      <c r="BO28" s="100">
        <v>7068.319460655609</v>
      </c>
      <c r="BP28" s="100">
        <v>3.4739807110158787</v>
      </c>
      <c r="BQ28" s="100">
        <v>2563.7977647297184</v>
      </c>
      <c r="BR28" s="100">
        <v>4.5931357437143472</v>
      </c>
      <c r="BS28" s="100">
        <v>3389.7341788611884</v>
      </c>
      <c r="BT28" s="100">
        <v>11.963548940308657</v>
      </c>
      <c r="BU28" s="100">
        <v>8829.0991179477896</v>
      </c>
      <c r="BV28" s="100">
        <v>6</v>
      </c>
      <c r="BW28" s="100">
        <v>4428</v>
      </c>
      <c r="BX28" s="100">
        <v>4.909598974117654</v>
      </c>
      <c r="BY28" s="100">
        <v>3623.2840428988288</v>
      </c>
      <c r="BZ28" s="100">
        <v>8.1208320205846132</v>
      </c>
      <c r="CA28" s="100">
        <v>5993.1740311914446</v>
      </c>
      <c r="CB28" s="100">
        <v>7.5769322003098365</v>
      </c>
      <c r="CC28" s="100">
        <v>5591.7759638286598</v>
      </c>
      <c r="CD28" s="100">
        <v>3.7420091899819337</v>
      </c>
      <c r="CE28" s="100">
        <v>2761.6027822066671</v>
      </c>
      <c r="CF28" s="100">
        <v>9.3982399315694245</v>
      </c>
      <c r="CG28" s="100">
        <v>6935.9010694982353</v>
      </c>
      <c r="CH28" s="100">
        <v>8.0628390060981765</v>
      </c>
      <c r="CI28" s="100">
        <v>5950.3751865004542</v>
      </c>
      <c r="CJ28" s="100">
        <v>7.0759144997713674</v>
      </c>
      <c r="CK28" s="100">
        <v>5222.0249008312694</v>
      </c>
      <c r="CL28" s="100">
        <v>3.8741681865542379</v>
      </c>
      <c r="CM28" s="100">
        <v>2859.1361216770274</v>
      </c>
      <c r="CN28" s="100">
        <v>10.171800082751059</v>
      </c>
      <c r="CO28" s="100">
        <v>7506.7884610702813</v>
      </c>
      <c r="CP28" s="100">
        <v>5.6928480069758898</v>
      </c>
      <c r="CQ28" s="100">
        <v>4201.3218291482062</v>
      </c>
      <c r="CR28" s="100">
        <v>8.9787537520451934</v>
      </c>
      <c r="CS28" s="100">
        <v>6626.3202690093531</v>
      </c>
      <c r="CT28" s="100">
        <v>5.1075905692401893</v>
      </c>
      <c r="CU28" s="100">
        <v>3769.4018400992595</v>
      </c>
    </row>
    <row r="29" spans="2:99">
      <c r="C29" s="99" t="s">
        <v>195</v>
      </c>
      <c r="D29" s="100">
        <v>4.2119308994759299</v>
      </c>
      <c r="E29" s="100">
        <v>1425.3174163826545</v>
      </c>
      <c r="F29" s="100">
        <v>4.3434787714430501</v>
      </c>
      <c r="G29" s="100">
        <v>1469.8332162563281</v>
      </c>
      <c r="H29" s="100">
        <v>5.6050688234963371</v>
      </c>
      <c r="I29" s="100">
        <v>1896.7552898711604</v>
      </c>
      <c r="J29" s="100">
        <v>8.0575673250041326</v>
      </c>
      <c r="K29" s="100">
        <v>2726.6807827813982</v>
      </c>
      <c r="L29" s="100">
        <v>5.888950534824696</v>
      </c>
      <c r="M29" s="100">
        <v>1992.820860984677</v>
      </c>
      <c r="N29" s="100">
        <v>6.7668564466881653</v>
      </c>
      <c r="O29" s="100">
        <v>2289.9042215592749</v>
      </c>
      <c r="P29" s="100">
        <v>7.5806653584379919</v>
      </c>
      <c r="Q29" s="100">
        <v>2565.2971572954161</v>
      </c>
      <c r="R29" s="100">
        <v>6.4062102188625127</v>
      </c>
      <c r="S29" s="100">
        <v>2167.861538063074</v>
      </c>
      <c r="T29" s="100">
        <v>6.8030518184268844</v>
      </c>
      <c r="U29" s="100">
        <v>2302.1527353556576</v>
      </c>
      <c r="V29" s="100">
        <v>7.9355841739804749</v>
      </c>
      <c r="W29" s="100">
        <v>2685.4016844749926</v>
      </c>
      <c r="X29" s="100">
        <v>7</v>
      </c>
      <c r="Y29" s="100">
        <v>2368.7999999999997</v>
      </c>
      <c r="Z29" s="100">
        <v>4.2570178302157178</v>
      </c>
      <c r="AA29" s="100">
        <v>1440.5748337449988</v>
      </c>
      <c r="AB29" s="100">
        <v>10.196682307402249</v>
      </c>
      <c r="AC29" s="100">
        <v>3450.5572928249208</v>
      </c>
      <c r="AD29" s="100">
        <v>7.2259210156448077</v>
      </c>
      <c r="AE29" s="100">
        <v>2445.2516716942027</v>
      </c>
      <c r="AF29" s="100">
        <v>8.5574798143182349</v>
      </c>
      <c r="AG29" s="100">
        <v>2895.8511691652907</v>
      </c>
      <c r="AH29" s="100">
        <v>6.2701664033880293</v>
      </c>
      <c r="AI29" s="100">
        <v>2121.8243109065088</v>
      </c>
      <c r="AJ29" s="100">
        <v>4.5319358602207771</v>
      </c>
      <c r="AK29" s="100">
        <v>1533.6070950987109</v>
      </c>
      <c r="AL29" s="100">
        <v>12.296834416960227</v>
      </c>
      <c r="AM29" s="100">
        <v>4161.2487666993402</v>
      </c>
      <c r="AN29" s="100">
        <v>2.9700628015236883</v>
      </c>
      <c r="AO29" s="100">
        <v>1005.069252035616</v>
      </c>
      <c r="AP29" s="100">
        <v>9.454971363505507</v>
      </c>
      <c r="AQ29" s="100">
        <v>3199.5623094102634</v>
      </c>
      <c r="AR29" s="100">
        <v>6.9749253030850822</v>
      </c>
      <c r="AS29" s="100">
        <v>2360.3147225639918</v>
      </c>
      <c r="AT29" s="100">
        <v>5.3509096500840991</v>
      </c>
      <c r="AU29" s="100">
        <v>1810.7478255884591</v>
      </c>
      <c r="AV29" s="100">
        <v>9.5909978219428247</v>
      </c>
      <c r="AW29" s="100">
        <v>3245.5936629454518</v>
      </c>
      <c r="AX29" s="100">
        <v>6.7240582963113846</v>
      </c>
      <c r="AY29" s="100">
        <v>2275.4213274717722</v>
      </c>
      <c r="AZ29" s="100">
        <v>4.6664087529484473</v>
      </c>
      <c r="BA29" s="100">
        <v>1579.1127219977545</v>
      </c>
      <c r="BB29" s="100">
        <v>12.168281227485361</v>
      </c>
      <c r="BC29" s="100">
        <v>4117.7463673810462</v>
      </c>
      <c r="BD29" s="100">
        <v>5.9664931928355509</v>
      </c>
      <c r="BE29" s="100">
        <v>2019.0612964555503</v>
      </c>
      <c r="BF29" s="100">
        <v>7.0264288641295618</v>
      </c>
      <c r="BG29" s="100">
        <v>2377.7435276214437</v>
      </c>
      <c r="BH29" s="100">
        <v>5.3916332262685662</v>
      </c>
      <c r="BI29" s="100">
        <v>1824.5286837692827</v>
      </c>
      <c r="BJ29" s="100">
        <v>3.3827516720361439</v>
      </c>
      <c r="BK29" s="100">
        <v>1144.723165817031</v>
      </c>
      <c r="BL29" s="100">
        <v>13.071891736778152</v>
      </c>
      <c r="BM29" s="100">
        <v>4423.5281637257267</v>
      </c>
      <c r="BN29" s="100">
        <v>9.5776686458748088</v>
      </c>
      <c r="BO29" s="100">
        <v>3241.0830697640349</v>
      </c>
      <c r="BP29" s="100">
        <v>3.0647393697366958</v>
      </c>
      <c r="BQ29" s="100">
        <v>1037.1078027188978</v>
      </c>
      <c r="BR29" s="100">
        <v>4.5931357437143472</v>
      </c>
      <c r="BS29" s="100">
        <v>1554.3171356729349</v>
      </c>
      <c r="BT29" s="100">
        <v>12.106754483842776</v>
      </c>
      <c r="BU29" s="100">
        <v>4096.9257173323949</v>
      </c>
      <c r="BV29" s="100">
        <v>8.2898139404666296</v>
      </c>
      <c r="BW29" s="100">
        <v>2805.2730374539074</v>
      </c>
      <c r="BX29" s="100">
        <v>5.6406356475216368</v>
      </c>
      <c r="BY29" s="100">
        <v>1908.7911031213218</v>
      </c>
      <c r="BZ29" s="100">
        <v>8.8534577021650946</v>
      </c>
      <c r="CA29" s="100">
        <v>2996.010086412668</v>
      </c>
      <c r="CB29" s="100">
        <v>8.6755262753786493</v>
      </c>
      <c r="CC29" s="100">
        <v>2935.7980915881349</v>
      </c>
      <c r="CD29" s="100">
        <v>4.1977746585663009</v>
      </c>
      <c r="CE29" s="100">
        <v>1420.5269444588362</v>
      </c>
      <c r="CF29" s="100">
        <v>10.74779991446178</v>
      </c>
      <c r="CG29" s="100">
        <v>3637.0554910538658</v>
      </c>
      <c r="CH29" s="100">
        <v>8.9587100067757515</v>
      </c>
      <c r="CI29" s="100">
        <v>3031.6274662929141</v>
      </c>
      <c r="CJ29" s="100">
        <v>7.1292692418922998</v>
      </c>
      <c r="CK29" s="100">
        <v>2412.544711456354</v>
      </c>
      <c r="CL29" s="100">
        <v>4.3832507720624578</v>
      </c>
      <c r="CM29" s="100">
        <v>1483.2920612659357</v>
      </c>
      <c r="CN29" s="100">
        <v>10.468264099657125</v>
      </c>
      <c r="CO29" s="100">
        <v>3542.4605713239707</v>
      </c>
      <c r="CP29" s="100">
        <v>6.7964876011958459</v>
      </c>
      <c r="CQ29" s="100">
        <v>2299.931404244674</v>
      </c>
      <c r="CR29" s="100">
        <v>9.7414785809509201</v>
      </c>
      <c r="CS29" s="100">
        <v>3296.5163517937913</v>
      </c>
      <c r="CT29" s="100">
        <v>5.1075905692401893</v>
      </c>
      <c r="CU29" s="100">
        <v>1728.40864863088</v>
      </c>
    </row>
    <row r="30" spans="2:99">
      <c r="C30" s="99" t="s">
        <v>196</v>
      </c>
      <c r="D30" s="100">
        <v>4.2119308994759299</v>
      </c>
      <c r="E30" s="100">
        <v>586.30078120704934</v>
      </c>
      <c r="F30" s="100">
        <v>4.3385301432352099</v>
      </c>
      <c r="G30" s="100">
        <v>603.92339593834117</v>
      </c>
      <c r="H30" s="100">
        <v>6.2195751758256668</v>
      </c>
      <c r="I30" s="100">
        <v>865.76486447493278</v>
      </c>
      <c r="J30" s="100">
        <v>8.2513054109339841</v>
      </c>
      <c r="K30" s="100">
        <v>1148.5817132020104</v>
      </c>
      <c r="L30" s="100">
        <v>6.3819873608494193</v>
      </c>
      <c r="M30" s="100">
        <v>888.37264063023906</v>
      </c>
      <c r="N30" s="100">
        <v>6.7707057358416849</v>
      </c>
      <c r="O30" s="100">
        <v>942.48223842916241</v>
      </c>
      <c r="P30" s="100">
        <v>8.342563478762349</v>
      </c>
      <c r="Q30" s="100">
        <v>1161.2848362437189</v>
      </c>
      <c r="R30" s="100">
        <v>7.0416250718991655</v>
      </c>
      <c r="S30" s="100">
        <v>980.19421000836371</v>
      </c>
      <c r="T30" s="100">
        <v>6.0670186217087361</v>
      </c>
      <c r="U30" s="100">
        <v>844.52899214185595</v>
      </c>
      <c r="V30" s="100">
        <v>9.052532195728034</v>
      </c>
      <c r="W30" s="100">
        <v>1260.1124816453423</v>
      </c>
      <c r="X30" s="100">
        <v>7</v>
      </c>
      <c r="Y30" s="100">
        <v>974.39999999999986</v>
      </c>
      <c r="Z30" s="100">
        <v>4.9993588973135976</v>
      </c>
      <c r="AA30" s="100">
        <v>695.91075850605273</v>
      </c>
      <c r="AB30" s="100">
        <v>10.343125741030791</v>
      </c>
      <c r="AC30" s="100">
        <v>1439.7631031514859</v>
      </c>
      <c r="AD30" s="100">
        <v>5.7807368125158467</v>
      </c>
      <c r="AE30" s="100">
        <v>804.67856430220581</v>
      </c>
      <c r="AF30" s="100">
        <v>8.7779954324612852</v>
      </c>
      <c r="AG30" s="100">
        <v>1221.8969641986107</v>
      </c>
      <c r="AH30" s="100">
        <v>6.8962187890866034</v>
      </c>
      <c r="AI30" s="100">
        <v>959.95365544085507</v>
      </c>
      <c r="AJ30" s="100">
        <v>4.5319358602207771</v>
      </c>
      <c r="AK30" s="100">
        <v>630.84547174273212</v>
      </c>
      <c r="AL30" s="100">
        <v>12.296834416960227</v>
      </c>
      <c r="AM30" s="100">
        <v>1711.7193508408634</v>
      </c>
      <c r="AN30" s="100">
        <v>2.9700628015236883</v>
      </c>
      <c r="AO30" s="100">
        <v>413.4327419720974</v>
      </c>
      <c r="AP30" s="100">
        <v>10.720533302162176</v>
      </c>
      <c r="AQ30" s="100">
        <v>1492.2982356609748</v>
      </c>
      <c r="AR30" s="100">
        <v>6.9749253030850822</v>
      </c>
      <c r="AS30" s="100">
        <v>970.90960218944338</v>
      </c>
      <c r="AT30" s="100">
        <v>5.4504403272275006</v>
      </c>
      <c r="AU30" s="100">
        <v>758.70129355006804</v>
      </c>
      <c r="AV30" s="100">
        <v>10.231800891348801</v>
      </c>
      <c r="AW30" s="100">
        <v>1424.2666840757529</v>
      </c>
      <c r="AX30" s="100">
        <v>6.7240582963113846</v>
      </c>
      <c r="AY30" s="100">
        <v>935.98891484654462</v>
      </c>
      <c r="AZ30" s="100">
        <v>4.0151334426054941</v>
      </c>
      <c r="BA30" s="100">
        <v>558.90657521068476</v>
      </c>
      <c r="BB30" s="100">
        <v>11.40991266090114</v>
      </c>
      <c r="BC30" s="100">
        <v>1588.2598423974387</v>
      </c>
      <c r="BD30" s="100">
        <v>5.9664931928355509</v>
      </c>
      <c r="BE30" s="100">
        <v>830.53585244270857</v>
      </c>
      <c r="BF30" s="100">
        <v>6.9298686785031656</v>
      </c>
      <c r="BG30" s="100">
        <v>964.63772004764053</v>
      </c>
      <c r="BH30" s="100">
        <v>6.050145534868073</v>
      </c>
      <c r="BI30" s="100">
        <v>842.1802584536357</v>
      </c>
      <c r="BJ30" s="100">
        <v>3.9465436173755015</v>
      </c>
      <c r="BK30" s="100">
        <v>549.35887153866975</v>
      </c>
      <c r="BL30" s="100">
        <v>13.071891736778152</v>
      </c>
      <c r="BM30" s="100">
        <v>1819.6073297595187</v>
      </c>
      <c r="BN30" s="100">
        <v>8.7795295920519081</v>
      </c>
      <c r="BO30" s="100">
        <v>1222.1105192136256</v>
      </c>
      <c r="BP30" s="100">
        <v>3.0752548211028055</v>
      </c>
      <c r="BQ30" s="100">
        <v>428.0754710975105</v>
      </c>
      <c r="BR30" s="100">
        <v>4.6235402710135496</v>
      </c>
      <c r="BS30" s="100">
        <v>643.59680572508603</v>
      </c>
      <c r="BT30" s="100">
        <v>11.963548940308657</v>
      </c>
      <c r="BU30" s="100">
        <v>1665.326012490965</v>
      </c>
      <c r="BV30" s="100">
        <v>8.2898139404666296</v>
      </c>
      <c r="BW30" s="100">
        <v>1153.9421005129548</v>
      </c>
      <c r="BX30" s="100">
        <v>5.6406356475216368</v>
      </c>
      <c r="BY30" s="100">
        <v>785.17648213501172</v>
      </c>
      <c r="BZ30" s="100">
        <v>9.5860833837455761</v>
      </c>
      <c r="CA30" s="100">
        <v>1334.382807017384</v>
      </c>
      <c r="CB30" s="100">
        <v>8.562299950206798</v>
      </c>
      <c r="CC30" s="100">
        <v>1191.8721530687862</v>
      </c>
      <c r="CD30" s="100">
        <v>3.7799382964584569</v>
      </c>
      <c r="CE30" s="100">
        <v>526.16741086701711</v>
      </c>
      <c r="CF30" s="100">
        <v>10.573019923015602</v>
      </c>
      <c r="CG30" s="100">
        <v>1471.7643732837716</v>
      </c>
      <c r="CH30" s="100">
        <v>8.9587100067757515</v>
      </c>
      <c r="CI30" s="100">
        <v>1247.0524329431846</v>
      </c>
      <c r="CJ30" s="100">
        <v>7.8976970500488077</v>
      </c>
      <c r="CK30" s="100">
        <v>1099.3594293667938</v>
      </c>
      <c r="CL30" s="100">
        <v>3.4533044888289171</v>
      </c>
      <c r="CM30" s="100">
        <v>480.69998484498524</v>
      </c>
      <c r="CN30" s="100">
        <v>11.322388898633893</v>
      </c>
      <c r="CO30" s="100">
        <v>1576.0765346898377</v>
      </c>
      <c r="CP30" s="100">
        <v>6.2602391455135988</v>
      </c>
      <c r="CQ30" s="100">
        <v>871.42528905549284</v>
      </c>
      <c r="CR30" s="100">
        <v>9.892897271519308</v>
      </c>
      <c r="CS30" s="100">
        <v>1377.0913001954875</v>
      </c>
      <c r="CT30" s="100">
        <v>5.1363948883276782</v>
      </c>
      <c r="CU30" s="100">
        <v>714.98616845521269</v>
      </c>
    </row>
    <row r="31" spans="2:99">
      <c r="C31" s="99" t="s">
        <v>197</v>
      </c>
      <c r="D31" s="100">
        <v>4.9064001829960322</v>
      </c>
      <c r="E31" s="100">
        <v>1672.1011823650479</v>
      </c>
      <c r="F31" s="100">
        <v>4.3385301432352099</v>
      </c>
      <c r="G31" s="100">
        <v>1478.5710728145596</v>
      </c>
      <c r="H31" s="100">
        <v>6.3469125835440288</v>
      </c>
      <c r="I31" s="100">
        <v>2163.0278084718052</v>
      </c>
      <c r="J31" s="100">
        <v>7.4851788765534257</v>
      </c>
      <c r="K31" s="100">
        <v>2550.9489611294075</v>
      </c>
      <c r="L31" s="100">
        <v>5.3411375788241182</v>
      </c>
      <c r="M31" s="100">
        <v>1820.2596868632595</v>
      </c>
      <c r="N31" s="100">
        <v>6.5305213289674793</v>
      </c>
      <c r="O31" s="100">
        <v>2225.601668912117</v>
      </c>
      <c r="P31" s="100">
        <v>8.342563478762349</v>
      </c>
      <c r="Q31" s="100">
        <v>2843.1456335622088</v>
      </c>
      <c r="R31" s="100">
        <v>7.1041229393112229</v>
      </c>
      <c r="S31" s="100">
        <v>2421.0850977172649</v>
      </c>
      <c r="T31" s="100">
        <v>6.6681067825515337</v>
      </c>
      <c r="U31" s="100">
        <v>2272.4907914935629</v>
      </c>
      <c r="V31" s="100">
        <v>7.9355841739804749</v>
      </c>
      <c r="W31" s="100">
        <v>2704.4470864925461</v>
      </c>
      <c r="X31" s="100">
        <v>7</v>
      </c>
      <c r="Y31" s="100">
        <v>2385.6</v>
      </c>
      <c r="Z31" s="100">
        <v>4.9993588973135976</v>
      </c>
      <c r="AA31" s="100">
        <v>1703.7815122044742</v>
      </c>
      <c r="AB31" s="100">
        <v>10.196682307402249</v>
      </c>
      <c r="AC31" s="100">
        <v>3475.0293303626863</v>
      </c>
      <c r="AD31" s="100">
        <v>5.7807368125158467</v>
      </c>
      <c r="AE31" s="100">
        <v>1970.0751057054006</v>
      </c>
      <c r="AF31" s="100">
        <v>8.7779954324612852</v>
      </c>
      <c r="AG31" s="100">
        <v>2991.5408433828061</v>
      </c>
      <c r="AH31" s="100">
        <v>6.9955766682180771</v>
      </c>
      <c r="AI31" s="100">
        <v>2384.0925285287208</v>
      </c>
      <c r="AJ31" s="100">
        <v>4.0506144419392891</v>
      </c>
      <c r="AK31" s="100">
        <v>1380.4494018129099</v>
      </c>
      <c r="AL31" s="100">
        <v>12.296834416960227</v>
      </c>
      <c r="AM31" s="100">
        <v>4190.7611693000454</v>
      </c>
      <c r="AN31" s="100">
        <v>3.4650732684443031</v>
      </c>
      <c r="AO31" s="100">
        <v>1180.8969698858186</v>
      </c>
      <c r="AP31" s="100">
        <v>10.444092432961531</v>
      </c>
      <c r="AQ31" s="100">
        <v>3559.3467011532898</v>
      </c>
      <c r="AR31" s="100">
        <v>6.9749253030850822</v>
      </c>
      <c r="AS31" s="100">
        <v>2377.0545432913959</v>
      </c>
      <c r="AT31" s="100">
        <v>4.7577046861634855</v>
      </c>
      <c r="AU31" s="100">
        <v>1621.4257570445159</v>
      </c>
      <c r="AV31" s="100">
        <v>10.572159313755533</v>
      </c>
      <c r="AW31" s="100">
        <v>3602.9918941278856</v>
      </c>
      <c r="AX31" s="100">
        <v>7.4711758847904273</v>
      </c>
      <c r="AY31" s="100">
        <v>2546.1767415365775</v>
      </c>
      <c r="AZ31" s="100">
        <v>4.0151334426054941</v>
      </c>
      <c r="BA31" s="100">
        <v>1368.3574772399525</v>
      </c>
      <c r="BB31" s="100">
        <v>11.276527511837021</v>
      </c>
      <c r="BC31" s="100">
        <v>3843.0405760340568</v>
      </c>
      <c r="BD31" s="100">
        <v>5.9664931928355509</v>
      </c>
      <c r="BE31" s="100">
        <v>2033.3808801183559</v>
      </c>
      <c r="BF31" s="100">
        <v>6.9298686785031656</v>
      </c>
      <c r="BG31" s="100">
        <v>2361.6992456338789</v>
      </c>
      <c r="BH31" s="100">
        <v>6.0484191803925684</v>
      </c>
      <c r="BI31" s="100">
        <v>2061.3012566777875</v>
      </c>
      <c r="BJ31" s="100">
        <v>3.3827516720361439</v>
      </c>
      <c r="BK31" s="100">
        <v>1152.8417698299179</v>
      </c>
      <c r="BL31" s="100">
        <v>12.902460889724145</v>
      </c>
      <c r="BM31" s="100">
        <v>4397.1586712179887</v>
      </c>
      <c r="BN31" s="100">
        <v>9.5776686458748088</v>
      </c>
      <c r="BO31" s="100">
        <v>3264.069474514135</v>
      </c>
      <c r="BP31" s="100">
        <v>3.0527273179506023</v>
      </c>
      <c r="BQ31" s="100">
        <v>1040.3694699575653</v>
      </c>
      <c r="BR31" s="100">
        <v>4.6235402710135496</v>
      </c>
      <c r="BS31" s="100">
        <v>1575.7025243614178</v>
      </c>
      <c r="BT31" s="100">
        <v>11.149345983391187</v>
      </c>
      <c r="BU31" s="100">
        <v>3799.697111139717</v>
      </c>
      <c r="BV31" s="100">
        <v>8.3758015364977396</v>
      </c>
      <c r="BW31" s="100">
        <v>2854.4731636384299</v>
      </c>
      <c r="BX31" s="100">
        <v>4.9926620700017414</v>
      </c>
      <c r="BY31" s="100">
        <v>1701.4992334565936</v>
      </c>
      <c r="BZ31" s="100">
        <v>8.00335502932613</v>
      </c>
      <c r="CA31" s="100">
        <v>2727.543393994345</v>
      </c>
      <c r="CB31" s="100">
        <v>8.562299950206798</v>
      </c>
      <c r="CC31" s="100">
        <v>2918.031823030477</v>
      </c>
      <c r="CD31" s="100">
        <v>4.2161016067351511</v>
      </c>
      <c r="CE31" s="100">
        <v>1436.8474275753395</v>
      </c>
      <c r="CF31" s="100">
        <v>10.573019923015602</v>
      </c>
      <c r="CG31" s="100">
        <v>3603.2851897637174</v>
      </c>
      <c r="CH31" s="100">
        <v>8.0628390060981765</v>
      </c>
      <c r="CI31" s="100">
        <v>2747.8155332782585</v>
      </c>
      <c r="CJ31" s="100">
        <v>7.0759144997713674</v>
      </c>
      <c r="CK31" s="100">
        <v>2411.4716615220823</v>
      </c>
      <c r="CL31" s="100">
        <v>3.9182776304456874</v>
      </c>
      <c r="CM31" s="100">
        <v>1335.3490164558903</v>
      </c>
      <c r="CN31" s="100">
        <v>11.322388898633893</v>
      </c>
      <c r="CO31" s="100">
        <v>3858.6701366544307</v>
      </c>
      <c r="CP31" s="100">
        <v>6.7840125986332671</v>
      </c>
      <c r="CQ31" s="100">
        <v>2311.9914936142177</v>
      </c>
      <c r="CR31" s="100">
        <v>9.892897271519308</v>
      </c>
      <c r="CS31" s="100">
        <v>3371.4993901337803</v>
      </c>
      <c r="CT31" s="100">
        <v>5.1363948883276782</v>
      </c>
      <c r="CU31" s="100">
        <v>1750.4833779420728</v>
      </c>
    </row>
    <row r="32" spans="2:99">
      <c r="C32" s="99" t="s">
        <v>198</v>
      </c>
      <c r="D32" s="100">
        <v>3.517461615955829</v>
      </c>
      <c r="E32" s="100">
        <v>2954.6677574028963</v>
      </c>
      <c r="F32" s="100">
        <v>3.3774364953099543</v>
      </c>
      <c r="G32" s="100">
        <v>2837.0466560603618</v>
      </c>
      <c r="H32" s="100">
        <v>5.4803879470262835</v>
      </c>
      <c r="I32" s="100">
        <v>4603.5258755020777</v>
      </c>
      <c r="J32" s="100">
        <v>6.525314256243016</v>
      </c>
      <c r="K32" s="100">
        <v>5481.2639752441337</v>
      </c>
      <c r="L32" s="100">
        <v>5.2863614488482629</v>
      </c>
      <c r="M32" s="100">
        <v>4440.5436170325411</v>
      </c>
      <c r="N32" s="100">
        <v>7.4008494165813925</v>
      </c>
      <c r="O32" s="100">
        <v>6216.7135099283696</v>
      </c>
      <c r="P32" s="100">
        <v>7.5043170393650991</v>
      </c>
      <c r="Q32" s="100">
        <v>6303.626313066683</v>
      </c>
      <c r="R32" s="100">
        <v>7.0728740056051933</v>
      </c>
      <c r="S32" s="100">
        <v>5941.2141647083627</v>
      </c>
      <c r="T32" s="100">
        <v>5.7764256350387271</v>
      </c>
      <c r="U32" s="100">
        <v>4852.1975334325307</v>
      </c>
      <c r="V32" s="100">
        <v>8.052532195728034</v>
      </c>
      <c r="W32" s="100">
        <v>6764.1270444115489</v>
      </c>
      <c r="X32" s="100">
        <v>6</v>
      </c>
      <c r="Y32" s="100">
        <v>5040</v>
      </c>
      <c r="Z32" s="100">
        <v>5.0902443131013166</v>
      </c>
      <c r="AA32" s="100">
        <v>4275.8052230051062</v>
      </c>
      <c r="AB32" s="100">
        <v>9.3527461970162715</v>
      </c>
      <c r="AC32" s="100">
        <v>7856.3068054936684</v>
      </c>
      <c r="AD32" s="100">
        <v>6.5033289140803276</v>
      </c>
      <c r="AE32" s="100">
        <v>5462.7962878274757</v>
      </c>
      <c r="AF32" s="100">
        <v>7.7781608712830268</v>
      </c>
      <c r="AG32" s="100">
        <v>6533.6551318777429</v>
      </c>
      <c r="AH32" s="100">
        <v>6.07145064512508</v>
      </c>
      <c r="AI32" s="100">
        <v>5100.0185419050677</v>
      </c>
      <c r="AJ32" s="100">
        <v>4.5319358602207771</v>
      </c>
      <c r="AK32" s="100">
        <v>3806.8261225854526</v>
      </c>
      <c r="AL32" s="100">
        <v>12.296834416960227</v>
      </c>
      <c r="AM32" s="100">
        <v>10329.34091024659</v>
      </c>
      <c r="AN32" s="100">
        <v>2.9700628015236883</v>
      </c>
      <c r="AO32" s="100">
        <v>2494.852753279898</v>
      </c>
      <c r="AP32" s="100">
        <v>9.5931917981058294</v>
      </c>
      <c r="AQ32" s="100">
        <v>8058.2811104088969</v>
      </c>
      <c r="AR32" s="100">
        <v>6.9749253030850822</v>
      </c>
      <c r="AS32" s="100">
        <v>5858.9372545914694</v>
      </c>
      <c r="AT32" s="100">
        <v>5.4463973892981103</v>
      </c>
      <c r="AU32" s="100">
        <v>4574.9738070104131</v>
      </c>
      <c r="AV32" s="100">
        <v>10.231800891348801</v>
      </c>
      <c r="AW32" s="100">
        <v>8594.7127487329926</v>
      </c>
      <c r="AX32" s="100">
        <v>7.4711758847904273</v>
      </c>
      <c r="AY32" s="100">
        <v>6275.7877432239593</v>
      </c>
      <c r="AZ32" s="100">
        <v>4.0151334426054941</v>
      </c>
      <c r="BA32" s="100">
        <v>3372.712091788615</v>
      </c>
      <c r="BB32" s="100">
        <v>11.276527511837021</v>
      </c>
      <c r="BC32" s="100">
        <v>9472.2831099430969</v>
      </c>
      <c r="BD32" s="100">
        <v>5.9664931928355509</v>
      </c>
      <c r="BE32" s="100">
        <v>5011.8542819818631</v>
      </c>
      <c r="BF32" s="100">
        <v>6.2886301839491212</v>
      </c>
      <c r="BG32" s="100">
        <v>5282.4493545172618</v>
      </c>
      <c r="BH32" s="100">
        <v>6.0484191803925684</v>
      </c>
      <c r="BI32" s="100">
        <v>5080.6721115297578</v>
      </c>
      <c r="BJ32" s="100">
        <v>3.9465436173755015</v>
      </c>
      <c r="BK32" s="100">
        <v>3315.0966385954212</v>
      </c>
      <c r="BL32" s="100">
        <v>12.733030042670141</v>
      </c>
      <c r="BM32" s="100">
        <v>10695.745235842918</v>
      </c>
      <c r="BN32" s="100">
        <v>7.9813905382290082</v>
      </c>
      <c r="BO32" s="100">
        <v>6704.368052112367</v>
      </c>
      <c r="BP32" s="100">
        <v>3.0527273179506023</v>
      </c>
      <c r="BQ32" s="100">
        <v>2564.2909470785057</v>
      </c>
      <c r="BR32" s="100">
        <v>4.5931357437143472</v>
      </c>
      <c r="BS32" s="100">
        <v>3858.2340247200518</v>
      </c>
      <c r="BT32" s="100">
        <v>10.04873193940548</v>
      </c>
      <c r="BU32" s="100">
        <v>8440.9348291006027</v>
      </c>
      <c r="BV32" s="100">
        <v>6</v>
      </c>
      <c r="BW32" s="100">
        <v>5040</v>
      </c>
      <c r="BX32" s="100">
        <v>5.5991040995795931</v>
      </c>
      <c r="BY32" s="100">
        <v>4703.2474436468583</v>
      </c>
      <c r="BZ32" s="100">
        <v>8.9709346934235779</v>
      </c>
      <c r="CA32" s="100">
        <v>7535.5851424758057</v>
      </c>
      <c r="CB32" s="100">
        <v>9.5476677001037622</v>
      </c>
      <c r="CC32" s="100">
        <v>8020.0408680871606</v>
      </c>
      <c r="CD32" s="100">
        <v>4.1592079470203673</v>
      </c>
      <c r="CE32" s="100">
        <v>3493.7346754971086</v>
      </c>
      <c r="CF32" s="100">
        <v>9.5730199230156021</v>
      </c>
      <c r="CG32" s="100">
        <v>8041.3367353331059</v>
      </c>
      <c r="CH32" s="100">
        <v>8.0628390060981765</v>
      </c>
      <c r="CI32" s="100">
        <v>6772.7847651224683</v>
      </c>
      <c r="CJ32" s="100">
        <v>7.1292692418922998</v>
      </c>
      <c r="CK32" s="100">
        <v>5988.5861631895323</v>
      </c>
      <c r="CL32" s="100">
        <v>3.4533044888289171</v>
      </c>
      <c r="CM32" s="100">
        <v>2900.7757706162902</v>
      </c>
      <c r="CN32" s="100">
        <v>10.468264099657125</v>
      </c>
      <c r="CO32" s="100">
        <v>8793.3418437119853</v>
      </c>
      <c r="CP32" s="100">
        <v>5.7071638699839946</v>
      </c>
      <c r="CQ32" s="100">
        <v>4794.0176507865554</v>
      </c>
      <c r="CR32" s="100">
        <v>9.5900598903825323</v>
      </c>
      <c r="CS32" s="100">
        <v>8055.6503079213271</v>
      </c>
      <c r="CT32" s="100">
        <v>5.1075905692401893</v>
      </c>
      <c r="CU32" s="100">
        <v>4290.3760781617593</v>
      </c>
    </row>
    <row r="33" spans="2:99">
      <c r="C33" s="99" t="s">
        <v>199</v>
      </c>
      <c r="D33" s="100">
        <v>4.2219564991104459</v>
      </c>
      <c r="E33" s="100">
        <v>2001.2073805783514</v>
      </c>
      <c r="F33" s="100">
        <v>4.34100445733913</v>
      </c>
      <c r="G33" s="100">
        <v>2057.6361127787477</v>
      </c>
      <c r="H33" s="100">
        <v>6.3415995210474119</v>
      </c>
      <c r="I33" s="100">
        <v>3005.9181729764732</v>
      </c>
      <c r="J33" s="100">
        <v>8.2513054109339841</v>
      </c>
      <c r="K33" s="100">
        <v>3911.1187647827082</v>
      </c>
      <c r="L33" s="100">
        <v>5.8341744048488415</v>
      </c>
      <c r="M33" s="100">
        <v>2765.3986678983511</v>
      </c>
      <c r="N33" s="100">
        <v>8.2808007270791055</v>
      </c>
      <c r="O33" s="100">
        <v>3925.0995446354959</v>
      </c>
      <c r="P33" s="100">
        <v>6.8171825683804697</v>
      </c>
      <c r="Q33" s="100">
        <v>3231.3445374123426</v>
      </c>
      <c r="R33" s="100">
        <v>7.0416250718991655</v>
      </c>
      <c r="S33" s="100">
        <v>3337.7302840802045</v>
      </c>
      <c r="T33" s="100">
        <v>5.7764256350387271</v>
      </c>
      <c r="U33" s="100">
        <v>2738.0257510083566</v>
      </c>
      <c r="V33" s="100">
        <v>9.052532195728034</v>
      </c>
      <c r="W33" s="100">
        <v>4290.9002607750881</v>
      </c>
      <c r="X33" s="100">
        <v>8</v>
      </c>
      <c r="Y33" s="100">
        <v>3792</v>
      </c>
      <c r="Z33" s="100">
        <v>4.2700014610425345</v>
      </c>
      <c r="AA33" s="100">
        <v>2023.9806925341613</v>
      </c>
      <c r="AB33" s="100">
        <v>9.3527461970162715</v>
      </c>
      <c r="AC33" s="100">
        <v>4433.2016973857126</v>
      </c>
      <c r="AD33" s="100">
        <v>5.7807368125158467</v>
      </c>
      <c r="AE33" s="100">
        <v>2740.0692491325112</v>
      </c>
      <c r="AF33" s="100">
        <v>7.8884186803545528</v>
      </c>
      <c r="AG33" s="100">
        <v>3739.1104544880582</v>
      </c>
      <c r="AH33" s="100">
        <v>6.1708085242565556</v>
      </c>
      <c r="AI33" s="100">
        <v>2924.9632404976073</v>
      </c>
      <c r="AJ33" s="100">
        <v>4.0036237858035051</v>
      </c>
      <c r="AK33" s="100">
        <v>1897.7176744708613</v>
      </c>
      <c r="AL33" s="100">
        <v>10.296834416960227</v>
      </c>
      <c r="AM33" s="100">
        <v>4880.6995136391479</v>
      </c>
      <c r="AN33" s="100">
        <v>3.4650732684443031</v>
      </c>
      <c r="AO33" s="100">
        <v>1642.4447292425996</v>
      </c>
      <c r="AP33" s="100">
        <v>9.0187320324507709</v>
      </c>
      <c r="AQ33" s="100">
        <v>4274.8789833816654</v>
      </c>
      <c r="AR33" s="100">
        <v>7.8467909659707171</v>
      </c>
      <c r="AS33" s="100">
        <v>3719.3789178701199</v>
      </c>
      <c r="AT33" s="100">
        <v>5.8647986265082617</v>
      </c>
      <c r="AU33" s="100">
        <v>2779.9145489649159</v>
      </c>
      <c r="AV33" s="100">
        <v>6.8681304426889618</v>
      </c>
      <c r="AW33" s="100">
        <v>3255.4938298345678</v>
      </c>
      <c r="AX33" s="100">
        <v>7.4711758847904273</v>
      </c>
      <c r="AY33" s="100">
        <v>3541.3373693906624</v>
      </c>
      <c r="AZ33" s="100">
        <v>4.0151334426054941</v>
      </c>
      <c r="BA33" s="100">
        <v>1903.1732517950043</v>
      </c>
      <c r="BB33" s="100">
        <v>12.168281227485361</v>
      </c>
      <c r="BC33" s="100">
        <v>5767.7653018280607</v>
      </c>
      <c r="BD33" s="100">
        <v>5.9664931928355509</v>
      </c>
      <c r="BE33" s="100">
        <v>2828.1177734040511</v>
      </c>
      <c r="BF33" s="100">
        <v>6.9298686785031656</v>
      </c>
      <c r="BG33" s="100">
        <v>3284.7577536105005</v>
      </c>
      <c r="BH33" s="100">
        <v>6.1391496421239129</v>
      </c>
      <c r="BI33" s="100">
        <v>2909.9569303667349</v>
      </c>
      <c r="BJ33" s="100">
        <v>3.9465436173755015</v>
      </c>
      <c r="BK33" s="100">
        <v>1870.6616746359878</v>
      </c>
      <c r="BL33" s="100">
        <v>11.929746355358503</v>
      </c>
      <c r="BM33" s="100">
        <v>5654.6997724399307</v>
      </c>
      <c r="BN33" s="100">
        <v>8.7795295920519081</v>
      </c>
      <c r="BO33" s="100">
        <v>4161.4970266326045</v>
      </c>
      <c r="BP33" s="100">
        <v>3.0636169194217082</v>
      </c>
      <c r="BQ33" s="100">
        <v>1452.1544198058898</v>
      </c>
      <c r="BR33" s="100">
        <v>4.5931357437143472</v>
      </c>
      <c r="BS33" s="100">
        <v>2177.1463425206007</v>
      </c>
      <c r="BT33" s="100">
        <v>12.77775189722613</v>
      </c>
      <c r="BU33" s="100">
        <v>6056.6543992851857</v>
      </c>
      <c r="BV33" s="100">
        <v>7.2898139404666304</v>
      </c>
      <c r="BW33" s="100">
        <v>3455.3718077811827</v>
      </c>
      <c r="BX33" s="100">
        <v>4.9926620700017414</v>
      </c>
      <c r="BY33" s="100">
        <v>2366.5218211808256</v>
      </c>
      <c r="BZ33" s="100">
        <v>8.9709346934235779</v>
      </c>
      <c r="CA33" s="100">
        <v>4252.2230446827762</v>
      </c>
      <c r="CB33" s="100">
        <v>7.6901585254816878</v>
      </c>
      <c r="CC33" s="100">
        <v>3645.13514107832</v>
      </c>
      <c r="CD33" s="100">
        <v>3.7424342600282086</v>
      </c>
      <c r="CE33" s="100">
        <v>1773.913839253371</v>
      </c>
      <c r="CF33" s="100">
        <v>9.5730199230156021</v>
      </c>
      <c r="CG33" s="100">
        <v>4537.611443509395</v>
      </c>
      <c r="CH33" s="100">
        <v>8.0628390060981765</v>
      </c>
      <c r="CI33" s="100">
        <v>3821.7856888905358</v>
      </c>
      <c r="CJ33" s="100">
        <v>7.1292692418922998</v>
      </c>
      <c r="CK33" s="100">
        <v>3379.2736206569502</v>
      </c>
      <c r="CL33" s="100">
        <v>3.8741681865542379</v>
      </c>
      <c r="CM33" s="100">
        <v>1836.3557204267088</v>
      </c>
      <c r="CN33" s="100">
        <v>10.171800082751059</v>
      </c>
      <c r="CO33" s="100">
        <v>4821.4332392240021</v>
      </c>
      <c r="CP33" s="100">
        <v>5.6803730044133109</v>
      </c>
      <c r="CQ33" s="100">
        <v>2692.4968040919093</v>
      </c>
      <c r="CR33" s="100">
        <v>10.807040790993424</v>
      </c>
      <c r="CS33" s="100">
        <v>5122.5373349308829</v>
      </c>
      <c r="CT33" s="100">
        <v>5.1075905692401893</v>
      </c>
      <c r="CU33" s="100">
        <v>2420.9979298198496</v>
      </c>
    </row>
    <row r="34" spans="2:99">
      <c r="C34" s="99" t="s">
        <v>200</v>
      </c>
      <c r="D34" s="100">
        <v>4.2219564991104459</v>
      </c>
      <c r="E34" s="100">
        <v>2315.3209441121685</v>
      </c>
      <c r="F34" s="100">
        <v>4.34100445733913</v>
      </c>
      <c r="G34" s="100">
        <v>2380.6068444047787</v>
      </c>
      <c r="H34" s="100">
        <v>5.6077253547446455</v>
      </c>
      <c r="I34" s="100">
        <v>3075.2765845419635</v>
      </c>
      <c r="J34" s="100">
        <v>8.2513054109339841</v>
      </c>
      <c r="K34" s="100">
        <v>4525.0158873561968</v>
      </c>
      <c r="L34" s="100">
        <v>5.3411375788241182</v>
      </c>
      <c r="M34" s="100">
        <v>2929.0798482271462</v>
      </c>
      <c r="N34" s="100">
        <v>7.2797948908559107</v>
      </c>
      <c r="O34" s="100">
        <v>3992.2395181453812</v>
      </c>
      <c r="P34" s="100">
        <v>6.7392495795744143</v>
      </c>
      <c r="Q34" s="100">
        <v>3695.8044694386085</v>
      </c>
      <c r="R34" s="100">
        <v>6.3437123514504545</v>
      </c>
      <c r="S34" s="100">
        <v>3478.8918535354292</v>
      </c>
      <c r="T34" s="100">
        <v>6.0670186217087361</v>
      </c>
      <c r="U34" s="100">
        <v>3327.1530121450705</v>
      </c>
      <c r="V34" s="100">
        <v>7.9355841739804749</v>
      </c>
      <c r="W34" s="100">
        <v>4351.8743610108922</v>
      </c>
      <c r="X34" s="100">
        <v>7</v>
      </c>
      <c r="Y34" s="100">
        <v>3838.7999999999997</v>
      </c>
      <c r="Z34" s="100">
        <v>5.096736128514725</v>
      </c>
      <c r="AA34" s="100">
        <v>2795.050092877475</v>
      </c>
      <c r="AB34" s="100">
        <v>10.343125741030791</v>
      </c>
      <c r="AC34" s="100">
        <v>5672.1701563812858</v>
      </c>
      <c r="AD34" s="100">
        <v>6.5033289140803276</v>
      </c>
      <c r="AE34" s="100">
        <v>3566.4255764816517</v>
      </c>
      <c r="AF34" s="100">
        <v>8.5574798143182349</v>
      </c>
      <c r="AG34" s="100">
        <v>4692.9219301721196</v>
      </c>
      <c r="AH34" s="100">
        <v>6.9955766682180771</v>
      </c>
      <c r="AI34" s="100">
        <v>3836.3742448507933</v>
      </c>
      <c r="AJ34" s="100">
        <v>4.0271191138713966</v>
      </c>
      <c r="AK34" s="100">
        <v>2208.4721220470738</v>
      </c>
      <c r="AL34" s="100">
        <v>12.296834416960227</v>
      </c>
      <c r="AM34" s="100">
        <v>6743.5839942609882</v>
      </c>
      <c r="AN34" s="100">
        <v>2.9700628015236883</v>
      </c>
      <c r="AO34" s="100">
        <v>1628.7824403555906</v>
      </c>
      <c r="AP34" s="100">
        <v>9.7314122327061536</v>
      </c>
      <c r="AQ34" s="100">
        <v>5336.7064684160541</v>
      </c>
      <c r="AR34" s="100">
        <v>6.9749253030850822</v>
      </c>
      <c r="AS34" s="100">
        <v>3825.0490362118589</v>
      </c>
      <c r="AT34" s="100">
        <v>4.7536617482340953</v>
      </c>
      <c r="AU34" s="100">
        <v>2606.9081027315779</v>
      </c>
      <c r="AV34" s="100">
        <v>9.4208186107394596</v>
      </c>
      <c r="AW34" s="100">
        <v>5166.3769261295192</v>
      </c>
      <c r="AX34" s="100">
        <v>6.7240582963113846</v>
      </c>
      <c r="AY34" s="100">
        <v>3687.4735696971634</v>
      </c>
      <c r="AZ34" s="100">
        <v>4.0151334426054941</v>
      </c>
      <c r="BA34" s="100">
        <v>2201.8991799248529</v>
      </c>
      <c r="BB34" s="100">
        <v>11.40991266090114</v>
      </c>
      <c r="BC34" s="100">
        <v>6257.1961032381851</v>
      </c>
      <c r="BD34" s="100">
        <v>5.9664931928355509</v>
      </c>
      <c r="BE34" s="100">
        <v>3272.0248669510161</v>
      </c>
      <c r="BF34" s="100">
        <v>6.3851903695755174</v>
      </c>
      <c r="BG34" s="100">
        <v>3501.6383986752135</v>
      </c>
      <c r="BH34" s="100">
        <v>5.306081827963733</v>
      </c>
      <c r="BI34" s="100">
        <v>2909.8552744553112</v>
      </c>
      <c r="BJ34" s="100">
        <v>3.3827516720361439</v>
      </c>
      <c r="BK34" s="100">
        <v>1855.1010169446213</v>
      </c>
      <c r="BL34" s="100">
        <v>13.705744577035786</v>
      </c>
      <c r="BM34" s="100">
        <v>7516.2303260464241</v>
      </c>
      <c r="BN34" s="100">
        <v>8.7795295920519081</v>
      </c>
      <c r="BO34" s="100">
        <v>4814.6940282812666</v>
      </c>
      <c r="BP34" s="100">
        <v>3.4736065609108828</v>
      </c>
      <c r="BQ34" s="100">
        <v>1904.925838003528</v>
      </c>
      <c r="BR34" s="100">
        <v>4.015156564810245</v>
      </c>
      <c r="BS34" s="100">
        <v>2201.9118601419382</v>
      </c>
      <c r="BT34" s="100">
        <v>11.006140439857068</v>
      </c>
      <c r="BU34" s="100">
        <v>6035.7674172176157</v>
      </c>
      <c r="BV34" s="100">
        <v>8.3758015364977396</v>
      </c>
      <c r="BW34" s="100">
        <v>4593.2895626153604</v>
      </c>
      <c r="BX34" s="100">
        <v>4.9926620700017414</v>
      </c>
      <c r="BY34" s="100">
        <v>2737.9758791889549</v>
      </c>
      <c r="BZ34" s="100">
        <v>9.7035603750040575</v>
      </c>
      <c r="CA34" s="100">
        <v>5321.4325096522252</v>
      </c>
      <c r="CB34" s="100">
        <v>7.5769322003098365</v>
      </c>
      <c r="CC34" s="100">
        <v>4155.1896186499143</v>
      </c>
      <c r="CD34" s="100">
        <v>4.2161016067351511</v>
      </c>
      <c r="CE34" s="100">
        <v>2312.1101211335567</v>
      </c>
      <c r="CF34" s="100">
        <v>9.5730199230156021</v>
      </c>
      <c r="CG34" s="100">
        <v>5249.8441257817558</v>
      </c>
      <c r="CH34" s="100">
        <v>8.0628390060981765</v>
      </c>
      <c r="CI34" s="100">
        <v>4421.6609109442397</v>
      </c>
      <c r="CJ34" s="100">
        <v>7.1292692418922998</v>
      </c>
      <c r="CK34" s="100">
        <v>3909.6912522537373</v>
      </c>
      <c r="CL34" s="100">
        <v>3.4533044888289171</v>
      </c>
      <c r="CM34" s="100">
        <v>1893.792181673778</v>
      </c>
      <c r="CN34" s="100">
        <v>10.320032091204091</v>
      </c>
      <c r="CO34" s="100">
        <v>5659.5055988163231</v>
      </c>
      <c r="CP34" s="100">
        <v>5.6803730044133109</v>
      </c>
      <c r="CQ34" s="100">
        <v>3115.1165556202595</v>
      </c>
      <c r="CR34" s="100">
        <v>9.7414785809509201</v>
      </c>
      <c r="CS34" s="100">
        <v>5342.2268537934842</v>
      </c>
      <c r="CT34" s="100">
        <v>4.6999607212331869</v>
      </c>
      <c r="CU34" s="100">
        <v>2577.4584595242795</v>
      </c>
    </row>
    <row r="35" spans="2:99">
      <c r="C35" s="99" t="s">
        <v>201</v>
      </c>
      <c r="D35" s="100">
        <v>4.9064001829960322</v>
      </c>
      <c r="E35" s="100">
        <v>2466.9380120104047</v>
      </c>
      <c r="F35" s="100">
        <v>3.8592204763245417</v>
      </c>
      <c r="G35" s="100">
        <v>1940.4160554959792</v>
      </c>
      <c r="H35" s="100">
        <v>5.610381885992954</v>
      </c>
      <c r="I35" s="100">
        <v>2820.9000122772568</v>
      </c>
      <c r="J35" s="100">
        <v>7.4851788765534257</v>
      </c>
      <c r="K35" s="100">
        <v>3763.5479391310619</v>
      </c>
      <c r="L35" s="100">
        <v>5.8341744048488415</v>
      </c>
      <c r="M35" s="100">
        <v>2933.4228907579968</v>
      </c>
      <c r="N35" s="100">
        <v>7.2836441800094303</v>
      </c>
      <c r="O35" s="100">
        <v>3662.216293708741</v>
      </c>
      <c r="P35" s="100">
        <v>6.7408342493075795</v>
      </c>
      <c r="Q35" s="100">
        <v>3389.2914605518504</v>
      </c>
      <c r="R35" s="100">
        <v>6.4062102188625127</v>
      </c>
      <c r="S35" s="100">
        <v>3221.0424980440707</v>
      </c>
      <c r="T35" s="100">
        <v>6.8099527900666539</v>
      </c>
      <c r="U35" s="100">
        <v>3424.044262845513</v>
      </c>
      <c r="V35" s="100">
        <v>7.9355841739804749</v>
      </c>
      <c r="W35" s="100">
        <v>3990.0117226773818</v>
      </c>
      <c r="X35" s="100">
        <v>6</v>
      </c>
      <c r="Y35" s="100">
        <v>3016.7999999999993</v>
      </c>
      <c r="Z35" s="100">
        <v>5.0837524976879083</v>
      </c>
      <c r="AA35" s="100">
        <v>2556.1107558374797</v>
      </c>
      <c r="AB35" s="100">
        <v>9.3527461970162715</v>
      </c>
      <c r="AC35" s="100">
        <v>4702.5607878597802</v>
      </c>
      <c r="AD35" s="100">
        <v>6.5033289140803276</v>
      </c>
      <c r="AE35" s="100">
        <v>3269.8737779995881</v>
      </c>
      <c r="AF35" s="100">
        <v>8.5574798143182349</v>
      </c>
      <c r="AG35" s="100">
        <v>4302.7008506392076</v>
      </c>
      <c r="AH35" s="100">
        <v>6.1708085242565556</v>
      </c>
      <c r="AI35" s="100">
        <v>3102.6825259961956</v>
      </c>
      <c r="AJ35" s="100">
        <v>4.0506144419392891</v>
      </c>
      <c r="AK35" s="100">
        <v>2036.6489414070741</v>
      </c>
      <c r="AL35" s="100">
        <v>12.296834416960227</v>
      </c>
      <c r="AM35" s="100">
        <v>6182.8483448476009</v>
      </c>
      <c r="AN35" s="100">
        <v>2.9700628015236883</v>
      </c>
      <c r="AO35" s="100">
        <v>1493.3475766061101</v>
      </c>
      <c r="AP35" s="100">
        <v>8.7422911632501279</v>
      </c>
      <c r="AQ35" s="100">
        <v>4395.6239968821637</v>
      </c>
      <c r="AR35" s="100">
        <v>6.9749253030850822</v>
      </c>
      <c r="AS35" s="100">
        <v>3506.9924423911784</v>
      </c>
      <c r="AT35" s="100">
        <v>5.5337992526533419</v>
      </c>
      <c r="AU35" s="100">
        <v>2782.3942642340999</v>
      </c>
      <c r="AV35" s="100">
        <v>10.7423385249589</v>
      </c>
      <c r="AW35" s="100">
        <v>5401.247810349334</v>
      </c>
      <c r="AX35" s="100">
        <v>6.7240582963113846</v>
      </c>
      <c r="AY35" s="100">
        <v>3380.8565113853633</v>
      </c>
      <c r="AZ35" s="100">
        <v>4.0688742328793817</v>
      </c>
      <c r="BA35" s="100">
        <v>2045.8299642917527</v>
      </c>
      <c r="BB35" s="100">
        <v>10.251388647124566</v>
      </c>
      <c r="BC35" s="100">
        <v>5154.3982117742307</v>
      </c>
      <c r="BD35" s="100">
        <v>5.9664931928355509</v>
      </c>
      <c r="BE35" s="100">
        <v>2999.9527773577142</v>
      </c>
      <c r="BF35" s="100">
        <v>6.8333084928767684</v>
      </c>
      <c r="BG35" s="100">
        <v>3435.7875102184385</v>
      </c>
      <c r="BH35" s="100">
        <v>5.4789109790489041</v>
      </c>
      <c r="BI35" s="100">
        <v>2754.7964402657885</v>
      </c>
      <c r="BJ35" s="100">
        <v>3.9465436173755015</v>
      </c>
      <c r="BK35" s="100">
        <v>1984.3221308164018</v>
      </c>
      <c r="BL35" s="100">
        <v>12.733030042670141</v>
      </c>
      <c r="BM35" s="100">
        <v>6402.1675054545458</v>
      </c>
      <c r="BN35" s="100">
        <v>8.7795295920519081</v>
      </c>
      <c r="BO35" s="100">
        <v>4414.3474788836984</v>
      </c>
      <c r="BP35" s="100">
        <v>3.0527273179506023</v>
      </c>
      <c r="BQ35" s="100">
        <v>1534.9112954655625</v>
      </c>
      <c r="BR35" s="100">
        <v>4.5931357437143472</v>
      </c>
      <c r="BS35" s="100">
        <v>2309.4286519395732</v>
      </c>
      <c r="BT35" s="100">
        <v>10.862934896322951</v>
      </c>
      <c r="BU35" s="100">
        <v>5461.8836658711789</v>
      </c>
      <c r="BV35" s="100">
        <v>7.2038263444355222</v>
      </c>
      <c r="BW35" s="100">
        <v>3622.0838859821797</v>
      </c>
      <c r="BX35" s="100">
        <v>5.6406356475216368</v>
      </c>
      <c r="BY35" s="100">
        <v>2836.1116035738783</v>
      </c>
      <c r="BZ35" s="100">
        <v>8.9709346934235779</v>
      </c>
      <c r="CA35" s="100">
        <v>4510.5859638533739</v>
      </c>
      <c r="CB35" s="100">
        <v>8.6755262753786493</v>
      </c>
      <c r="CC35" s="100">
        <v>4362.0546112603843</v>
      </c>
      <c r="CD35" s="100">
        <v>4.17881010532804</v>
      </c>
      <c r="CE35" s="100">
        <v>2101.105720958938</v>
      </c>
      <c r="CF35" s="100">
        <v>10.573019923015602</v>
      </c>
      <c r="CG35" s="100">
        <v>5316.1144172922441</v>
      </c>
      <c r="CH35" s="100">
        <v>8.0628390060981765</v>
      </c>
      <c r="CI35" s="100">
        <v>4053.9954522661624</v>
      </c>
      <c r="CJ35" s="100">
        <v>7.7909875658069421</v>
      </c>
      <c r="CK35" s="100">
        <v>3917.3085480877298</v>
      </c>
      <c r="CL35" s="100">
        <v>4.317086606225284</v>
      </c>
      <c r="CM35" s="100">
        <v>2170.6311456100725</v>
      </c>
      <c r="CN35" s="100">
        <v>9.614139300680355</v>
      </c>
      <c r="CO35" s="100">
        <v>4833.9892403820813</v>
      </c>
      <c r="CP35" s="100">
        <v>6.8089626037584257</v>
      </c>
      <c r="CQ35" s="100">
        <v>3423.5463971697359</v>
      </c>
      <c r="CR35" s="100">
        <v>9.5900598903825323</v>
      </c>
      <c r="CS35" s="100">
        <v>4821.8821128843365</v>
      </c>
      <c r="CT35" s="100">
        <v>4.6855585616894428</v>
      </c>
      <c r="CU35" s="100">
        <v>2355.8988448174514</v>
      </c>
    </row>
    <row r="36" spans="2:99">
      <c r="C36" s="99" t="s">
        <v>202</v>
      </c>
      <c r="D36" s="100">
        <v>4.2119308994759299</v>
      </c>
      <c r="E36" s="100">
        <v>3204.4370283212875</v>
      </c>
      <c r="F36" s="100">
        <v>4.34100445733913</v>
      </c>
      <c r="G36" s="100">
        <v>3302.6361911436097</v>
      </c>
      <c r="H36" s="100">
        <v>5.4803879470262835</v>
      </c>
      <c r="I36" s="100">
        <v>4169.4791500975962</v>
      </c>
      <c r="J36" s="100">
        <v>7.2914407906235734</v>
      </c>
      <c r="K36" s="100">
        <v>5547.3281535064143</v>
      </c>
      <c r="L36" s="100">
        <v>4.7385484928476851</v>
      </c>
      <c r="M36" s="100">
        <v>3605.0876933585187</v>
      </c>
      <c r="N36" s="100">
        <v>6.6458019209626826</v>
      </c>
      <c r="O36" s="100">
        <v>5056.1261014684087</v>
      </c>
      <c r="P36" s="100">
        <v>7.5822500281711536</v>
      </c>
      <c r="Q36" s="100">
        <v>5768.5758214326133</v>
      </c>
      <c r="R36" s="100">
        <v>6.3749612851564841</v>
      </c>
      <c r="S36" s="100">
        <v>4850.0705457470531</v>
      </c>
      <c r="T36" s="100">
        <v>5.9251726141936158</v>
      </c>
      <c r="U36" s="100">
        <v>4507.8713248785025</v>
      </c>
      <c r="V36" s="100">
        <v>7.9355841739804749</v>
      </c>
      <c r="W36" s="100">
        <v>6037.3924395643453</v>
      </c>
      <c r="X36" s="100">
        <v>7</v>
      </c>
      <c r="Y36" s="100">
        <v>5325.5999999999995</v>
      </c>
      <c r="Z36" s="100">
        <v>5.0902443131013166</v>
      </c>
      <c r="AA36" s="100">
        <v>3872.6578734074815</v>
      </c>
      <c r="AB36" s="100">
        <v>9.499189630644814</v>
      </c>
      <c r="AC36" s="100">
        <v>7226.9834709945744</v>
      </c>
      <c r="AD36" s="100">
        <v>5.7807368125158467</v>
      </c>
      <c r="AE36" s="100">
        <v>4397.9845669620563</v>
      </c>
      <c r="AF36" s="100">
        <v>8.6677376233897601</v>
      </c>
      <c r="AG36" s="100">
        <v>6594.4147838749286</v>
      </c>
      <c r="AH36" s="100">
        <v>6.9955766682180771</v>
      </c>
      <c r="AI36" s="100">
        <v>5322.2347291803126</v>
      </c>
      <c r="AJ36" s="100">
        <v>3.9801284577356126</v>
      </c>
      <c r="AK36" s="100">
        <v>3028.0817306452541</v>
      </c>
      <c r="AL36" s="100">
        <v>11.296834416960227</v>
      </c>
      <c r="AM36" s="100">
        <v>8594.6316244233403</v>
      </c>
      <c r="AN36" s="100">
        <v>3.4650732684443031</v>
      </c>
      <c r="AO36" s="100">
        <v>2636.2277426324258</v>
      </c>
      <c r="AP36" s="100">
        <v>8.8805115978504521</v>
      </c>
      <c r="AQ36" s="100">
        <v>6756.2932236446231</v>
      </c>
      <c r="AR36" s="100">
        <v>6.9749253030850822</v>
      </c>
      <c r="AS36" s="100">
        <v>5306.5231705871302</v>
      </c>
      <c r="AT36" s="100">
        <v>4.7536617482340953</v>
      </c>
      <c r="AU36" s="100">
        <v>3616.5858580564995</v>
      </c>
      <c r="AV36" s="100">
        <v>10.572159313755533</v>
      </c>
      <c r="AW36" s="100">
        <v>8043.2988059052086</v>
      </c>
      <c r="AX36" s="100">
        <v>6.7240582963113846</v>
      </c>
      <c r="AY36" s="100">
        <v>5115.6635518337007</v>
      </c>
      <c r="AZ36" s="100">
        <v>4.0151334426054941</v>
      </c>
      <c r="BA36" s="100">
        <v>3054.7135231342595</v>
      </c>
      <c r="BB36" s="100">
        <v>12.301666376549479</v>
      </c>
      <c r="BC36" s="100">
        <v>9359.1077792788437</v>
      </c>
      <c r="BD36" s="100">
        <v>6.9743886378984135</v>
      </c>
      <c r="BE36" s="100">
        <v>5306.1148757131123</v>
      </c>
      <c r="BF36" s="100">
        <v>6.1920699983227232</v>
      </c>
      <c r="BG36" s="100">
        <v>4710.9268547239271</v>
      </c>
      <c r="BH36" s="100">
        <v>5.306081827963733</v>
      </c>
      <c r="BI36" s="100">
        <v>4036.8670547148076</v>
      </c>
      <c r="BJ36" s="100">
        <v>3.3827516720361439</v>
      </c>
      <c r="BK36" s="100">
        <v>2573.5974720850982</v>
      </c>
      <c r="BL36" s="100">
        <v>12.563599195616137</v>
      </c>
      <c r="BM36" s="100">
        <v>9558.3862680247566</v>
      </c>
      <c r="BN36" s="100">
        <v>8.7795295920519081</v>
      </c>
      <c r="BO36" s="100">
        <v>6679.4661136330915</v>
      </c>
      <c r="BP36" s="100">
        <v>2.6431118265664235</v>
      </c>
      <c r="BQ36" s="100">
        <v>2010.879477651735</v>
      </c>
      <c r="BR36" s="100">
        <v>3.9543475102118424</v>
      </c>
      <c r="BS36" s="100">
        <v>3008.4675857691695</v>
      </c>
      <c r="BT36" s="100">
        <v>11.820343396774541</v>
      </c>
      <c r="BU36" s="100">
        <v>8992.9172562660715</v>
      </c>
      <c r="BV36" s="100">
        <v>7.2038263444355222</v>
      </c>
      <c r="BW36" s="100">
        <v>5480.6710828465448</v>
      </c>
      <c r="BX36" s="100">
        <v>4.9926620700017414</v>
      </c>
      <c r="BY36" s="100">
        <v>3798.4173028573246</v>
      </c>
      <c r="BZ36" s="100">
        <v>8.1208320205846132</v>
      </c>
      <c r="CA36" s="100">
        <v>6178.3290012607731</v>
      </c>
      <c r="CB36" s="100">
        <v>8.6755262753786493</v>
      </c>
      <c r="CC36" s="100">
        <v>6600.3403903080762</v>
      </c>
      <c r="CD36" s="100">
        <v>4.2165266767814256</v>
      </c>
      <c r="CE36" s="100">
        <v>3207.9334956953085</v>
      </c>
      <c r="CF36" s="100">
        <v>9.5730199230156021</v>
      </c>
      <c r="CG36" s="100">
        <v>7283.1535574302698</v>
      </c>
      <c r="CH36" s="100">
        <v>7.1669680054206006</v>
      </c>
      <c r="CI36" s="100">
        <v>5452.6292585239926</v>
      </c>
      <c r="CJ36" s="100">
        <v>7.0225597576504342</v>
      </c>
      <c r="CK36" s="100">
        <v>5342.7634636204502</v>
      </c>
      <c r="CL36" s="100">
        <v>3.4312497668831923</v>
      </c>
      <c r="CM36" s="100">
        <v>2610.4948226447327</v>
      </c>
      <c r="CN36" s="100">
        <v>9.4659072922273193</v>
      </c>
      <c r="CO36" s="100">
        <v>7201.6622679265438</v>
      </c>
      <c r="CP36" s="100">
        <v>6.2446678040858679</v>
      </c>
      <c r="CQ36" s="100">
        <v>4750.9432653485283</v>
      </c>
      <c r="CR36" s="100">
        <v>8.8273350614768056</v>
      </c>
      <c r="CS36" s="100">
        <v>6715.8365147715531</v>
      </c>
      <c r="CT36" s="100">
        <v>4.7143628807769318</v>
      </c>
      <c r="CU36" s="100">
        <v>3586.6872796950893</v>
      </c>
    </row>
    <row r="37" spans="2:99">
      <c r="B37" s="99" t="s">
        <v>128</v>
      </c>
      <c r="C37" s="99" t="s">
        <v>203</v>
      </c>
      <c r="D37" s="100">
        <v>8.3286186024239619</v>
      </c>
      <c r="E37" s="100">
        <v>7165.9434455255769</v>
      </c>
      <c r="F37" s="100">
        <v>9.1365754405497306</v>
      </c>
      <c r="G37" s="100">
        <v>7861.109509048988</v>
      </c>
      <c r="H37" s="100">
        <v>15.314346456847591</v>
      </c>
      <c r="I37" s="100">
        <v>13176.463691471667</v>
      </c>
      <c r="J37" s="100">
        <v>14.17775379070974</v>
      </c>
      <c r="K37" s="100">
        <v>12198.53936152666</v>
      </c>
      <c r="L37" s="100">
        <v>10.764491008854044</v>
      </c>
      <c r="M37" s="100">
        <v>9261.7680640180188</v>
      </c>
      <c r="N37" s="100">
        <v>11.312389249628922</v>
      </c>
      <c r="O37" s="100">
        <v>9733.1797103807239</v>
      </c>
      <c r="P37" s="100">
        <v>12.150469410650974</v>
      </c>
      <c r="Q37" s="100">
        <v>10454.263880924098</v>
      </c>
      <c r="R37" s="100">
        <v>8.0590139192316919</v>
      </c>
      <c r="S37" s="100">
        <v>6933.9755761069473</v>
      </c>
      <c r="T37" s="100">
        <v>12.574425512812672</v>
      </c>
      <c r="U37" s="100">
        <v>10819.035711224024</v>
      </c>
      <c r="V37" s="100">
        <v>17.935584173980473</v>
      </c>
      <c r="W37" s="100">
        <v>15431.776623292799</v>
      </c>
      <c r="X37" s="100">
        <v>16</v>
      </c>
      <c r="Y37" s="100">
        <v>13766.4</v>
      </c>
      <c r="Z37" s="100">
        <v>7.5509728692776639</v>
      </c>
      <c r="AA37" s="100">
        <v>6496.8570567265015</v>
      </c>
      <c r="AB37" s="100">
        <v>16.508840889604436</v>
      </c>
      <c r="AC37" s="100">
        <v>14204.206701415656</v>
      </c>
      <c r="AD37" s="100">
        <v>14.873845366781724</v>
      </c>
      <c r="AE37" s="100">
        <v>12797.456553578995</v>
      </c>
      <c r="AF37" s="100">
        <v>9.9031163617801301</v>
      </c>
      <c r="AG37" s="100">
        <v>8520.6413176756232</v>
      </c>
      <c r="AH37" s="100">
        <v>9.9271228384479944</v>
      </c>
      <c r="AI37" s="100">
        <v>8541.2964902006534</v>
      </c>
      <c r="AJ37" s="100">
        <v>9.8029761332492527</v>
      </c>
      <c r="AK37" s="100">
        <v>8434.4806650476567</v>
      </c>
      <c r="AL37" s="100">
        <v>13.972625812720169</v>
      </c>
      <c r="AM37" s="100">
        <v>12022.047249264433</v>
      </c>
      <c r="AN37" s="100">
        <v>9.9002093384122958</v>
      </c>
      <c r="AO37" s="100">
        <v>8518.1401147699398</v>
      </c>
      <c r="AP37" s="100">
        <v>11.178350660470681</v>
      </c>
      <c r="AQ37" s="100">
        <v>9617.8529082689729</v>
      </c>
      <c r="AR37" s="100">
        <v>13.077984943284529</v>
      </c>
      <c r="AS37" s="100">
        <v>11252.298245202008</v>
      </c>
      <c r="AT37" s="100">
        <v>9.3544687474648125</v>
      </c>
      <c r="AU37" s="100">
        <v>8048.5849103187247</v>
      </c>
      <c r="AV37" s="100">
        <v>15.26787378620822</v>
      </c>
      <c r="AW37" s="100">
        <v>13136.478605653552</v>
      </c>
      <c r="AX37" s="100">
        <v>10.459646238706597</v>
      </c>
      <c r="AY37" s="100">
        <v>8999.4796237831561</v>
      </c>
      <c r="AZ37" s="100">
        <v>11.239288473708166</v>
      </c>
      <c r="BA37" s="100">
        <v>9670.2838027785056</v>
      </c>
      <c r="BB37" s="100">
        <v>13.151477764397329</v>
      </c>
      <c r="BC37" s="100">
        <v>11315.531468487461</v>
      </c>
      <c r="BD37" s="100">
        <v>13.515340927430364</v>
      </c>
      <c r="BE37" s="100">
        <v>11628.599333961085</v>
      </c>
      <c r="BF37" s="100">
        <v>14.335050056272514</v>
      </c>
      <c r="BG37" s="100">
        <v>12333.87706841687</v>
      </c>
      <c r="BH37" s="100">
        <v>14.476916223042709</v>
      </c>
      <c r="BI37" s="100">
        <v>12455.938718305946</v>
      </c>
      <c r="BJ37" s="100">
        <v>6.2017113987329306</v>
      </c>
      <c r="BK37" s="100">
        <v>5335.9524874698136</v>
      </c>
      <c r="BL37" s="100">
        <v>19.498161235271262</v>
      </c>
      <c r="BM37" s="100">
        <v>16776.217926827394</v>
      </c>
      <c r="BN37" s="100">
        <v>15.962781076458016</v>
      </c>
      <c r="BO37" s="100">
        <v>13734.376838184477</v>
      </c>
      <c r="BP37" s="100">
        <v>7.6759991903025355</v>
      </c>
      <c r="BQ37" s="100">
        <v>6604.4297033363018</v>
      </c>
      <c r="BR37" s="100">
        <v>12.785514666661689</v>
      </c>
      <c r="BS37" s="100">
        <v>11000.656819195716</v>
      </c>
      <c r="BT37" s="100">
        <v>16.034563724896021</v>
      </c>
      <c r="BU37" s="100">
        <v>13796.138628900537</v>
      </c>
      <c r="BV37" s="100">
        <v>10.773888364279978</v>
      </c>
      <c r="BW37" s="100">
        <v>9269.8535486264936</v>
      </c>
      <c r="BX37" s="100">
        <v>8.672845795410888</v>
      </c>
      <c r="BY37" s="100">
        <v>7462.1165223715279</v>
      </c>
      <c r="BZ37" s="100">
        <v>9.731324109033638</v>
      </c>
      <c r="CA37" s="100">
        <v>8372.8312634125414</v>
      </c>
      <c r="CB37" s="100">
        <v>17.250045020808226</v>
      </c>
      <c r="CC37" s="100">
        <v>14841.938735903397</v>
      </c>
      <c r="CD37" s="100">
        <v>6.697354105403571</v>
      </c>
      <c r="CE37" s="100">
        <v>5762.403472289232</v>
      </c>
      <c r="CF37" s="100">
        <v>11.398239931569424</v>
      </c>
      <c r="CG37" s="100">
        <v>9807.0456371223318</v>
      </c>
      <c r="CH37" s="100">
        <v>8.9587100067757515</v>
      </c>
      <c r="CI37" s="100">
        <v>7708.0740898298563</v>
      </c>
      <c r="CJ37" s="100">
        <v>14.013226191643387</v>
      </c>
      <c r="CK37" s="100">
        <v>12056.979815289969</v>
      </c>
      <c r="CL37" s="100">
        <v>4.8697113210354139</v>
      </c>
      <c r="CM37" s="100">
        <v>4189.8996206188704</v>
      </c>
      <c r="CN37" s="100">
        <v>12.995371244846</v>
      </c>
      <c r="CO37" s="100">
        <v>11181.217419065499</v>
      </c>
      <c r="CP37" s="100">
        <v>9.1206014470293013</v>
      </c>
      <c r="CQ37" s="100">
        <v>7847.3654850240109</v>
      </c>
      <c r="CR37" s="100">
        <v>17.968770256217962</v>
      </c>
      <c r="CS37" s="100">
        <v>15460.329928449934</v>
      </c>
      <c r="CT37" s="100">
        <v>5.9368356255120744</v>
      </c>
      <c r="CU37" s="100">
        <v>5108.0533721905886</v>
      </c>
    </row>
    <row r="38" spans="2:99">
      <c r="C38" s="99" t="s">
        <v>204</v>
      </c>
      <c r="D38" s="100">
        <v>7.6391621187211172</v>
      </c>
      <c r="E38" s="100">
        <v>9487.8393514516283</v>
      </c>
      <c r="F38" s="100">
        <v>8.6597400877429838</v>
      </c>
      <c r="G38" s="100">
        <v>10755.397188976785</v>
      </c>
      <c r="H38" s="100">
        <v>15.317002988095899</v>
      </c>
      <c r="I38" s="100">
        <v>19023.717711215108</v>
      </c>
      <c r="J38" s="100">
        <v>14.943880325090298</v>
      </c>
      <c r="K38" s="100">
        <v>18560.299363762151</v>
      </c>
      <c r="L38" s="100">
        <v>9.0936640758643801</v>
      </c>
      <c r="M38" s="100">
        <v>11294.33078222356</v>
      </c>
      <c r="N38" s="100">
        <v>11.310464605052161</v>
      </c>
      <c r="O38" s="100">
        <v>14047.597039474784</v>
      </c>
      <c r="P38" s="100">
        <v>12.051935715313801</v>
      </c>
      <c r="Q38" s="100">
        <v>14968.504158419741</v>
      </c>
      <c r="R38" s="100">
        <v>9.3923414927170548</v>
      </c>
      <c r="S38" s="100">
        <v>11665.288133954582</v>
      </c>
      <c r="T38" s="100">
        <v>11.682744365299865</v>
      </c>
      <c r="U38" s="100">
        <v>14509.968501702431</v>
      </c>
      <c r="V38" s="100">
        <v>15</v>
      </c>
      <c r="W38" s="100">
        <v>18630</v>
      </c>
      <c r="X38" s="100">
        <v>15</v>
      </c>
      <c r="Y38" s="100">
        <v>18630</v>
      </c>
      <c r="Z38" s="100">
        <v>8.3906911675766711</v>
      </c>
      <c r="AA38" s="100">
        <v>10421.238430130226</v>
      </c>
      <c r="AB38" s="100">
        <v>17.20633356636187</v>
      </c>
      <c r="AC38" s="100">
        <v>21370.266289421445</v>
      </c>
      <c r="AD38" s="100">
        <v>13.428661163652764</v>
      </c>
      <c r="AE38" s="100">
        <v>16678.397165256734</v>
      </c>
      <c r="AF38" s="100">
        <v>8.3444784757097139</v>
      </c>
      <c r="AG38" s="100">
        <v>10363.842266831465</v>
      </c>
      <c r="AH38" s="100">
        <v>9.9271228384479944</v>
      </c>
      <c r="AI38" s="100">
        <v>12329.486565352408</v>
      </c>
      <c r="AJ38" s="100">
        <v>9.2981593868998722</v>
      </c>
      <c r="AK38" s="100">
        <v>11548.313958529641</v>
      </c>
      <c r="AL38" s="100">
        <v>12.810521510600141</v>
      </c>
      <c r="AM38" s="100">
        <v>15910.667716165375</v>
      </c>
      <c r="AN38" s="100">
        <v>8.9101884045710662</v>
      </c>
      <c r="AO38" s="100">
        <v>11066.453998477264</v>
      </c>
      <c r="AP38" s="100">
        <v>10.327450025614977</v>
      </c>
      <c r="AQ38" s="100">
        <v>12826.692931813803</v>
      </c>
      <c r="AR38" s="100">
        <v>13.077984943284529</v>
      </c>
      <c r="AS38" s="100">
        <v>16242.857299559384</v>
      </c>
      <c r="AT38" s="100">
        <v>8.8446227089700376</v>
      </c>
      <c r="AU38" s="100">
        <v>10985.021404540787</v>
      </c>
      <c r="AV38" s="100">
        <v>13.135371591379437</v>
      </c>
      <c r="AW38" s="100">
        <v>16314.13151649326</v>
      </c>
      <c r="AX38" s="100">
        <v>9.7125286502275543</v>
      </c>
      <c r="AY38" s="100">
        <v>12062.960583582622</v>
      </c>
      <c r="AZ38" s="100">
        <v>10.641753953639101</v>
      </c>
      <c r="BA38" s="100">
        <v>13217.058410419764</v>
      </c>
      <c r="BB38" s="100">
        <v>11.367970333100653</v>
      </c>
      <c r="BC38" s="100">
        <v>14119.019153711011</v>
      </c>
      <c r="BD38" s="100">
        <v>11.526509863151846</v>
      </c>
      <c r="BE38" s="100">
        <v>14315.925250034592</v>
      </c>
      <c r="BF38" s="100">
        <v>12.314774386983984</v>
      </c>
      <c r="BG38" s="100">
        <v>15294.949788634109</v>
      </c>
      <c r="BH38" s="100">
        <v>13.905681667223542</v>
      </c>
      <c r="BI38" s="100">
        <v>17270.85663069164</v>
      </c>
      <c r="BJ38" s="100">
        <v>6.2017113987329306</v>
      </c>
      <c r="BK38" s="100">
        <v>7702.5255572262995</v>
      </c>
      <c r="BL38" s="100">
        <v>16.749448479228334</v>
      </c>
      <c r="BM38" s="100">
        <v>20802.81501120159</v>
      </c>
      <c r="BN38" s="100">
        <v>13.568363914989314</v>
      </c>
      <c r="BO38" s="100">
        <v>16851.907982416727</v>
      </c>
      <c r="BP38" s="100">
        <v>7.6767474905125272</v>
      </c>
      <c r="BQ38" s="100">
        <v>9534.5203832165589</v>
      </c>
      <c r="BR38" s="100">
        <v>11.574310968814807</v>
      </c>
      <c r="BS38" s="100">
        <v>14375.294223267991</v>
      </c>
      <c r="BT38" s="100">
        <v>14.933949680910313</v>
      </c>
      <c r="BU38" s="100">
        <v>18547.965503690608</v>
      </c>
      <c r="BV38" s="100">
        <v>9.6019131722177615</v>
      </c>
      <c r="BW38" s="100">
        <v>11925.576159894459</v>
      </c>
      <c r="BX38" s="100">
        <v>8.672845795410888</v>
      </c>
      <c r="BY38" s="100">
        <v>10771.674477900322</v>
      </c>
      <c r="BZ38" s="100">
        <v>10.581426781872604</v>
      </c>
      <c r="CA38" s="100">
        <v>13142.132063085775</v>
      </c>
      <c r="CB38" s="100">
        <v>18.122186445533341</v>
      </c>
      <c r="CC38" s="100">
        <v>22507.75556535241</v>
      </c>
      <c r="CD38" s="100">
        <v>6.2799428133420001</v>
      </c>
      <c r="CE38" s="100">
        <v>7799.6889741707637</v>
      </c>
      <c r="CF38" s="100">
        <v>12.223459940123245</v>
      </c>
      <c r="CG38" s="100">
        <v>15181.53724563307</v>
      </c>
      <c r="CH38" s="100">
        <v>9.8545810074533264</v>
      </c>
      <c r="CI38" s="100">
        <v>12239.389611257031</v>
      </c>
      <c r="CJ38" s="100">
        <v>14.013226191643387</v>
      </c>
      <c r="CK38" s="100">
        <v>17404.426930021087</v>
      </c>
      <c r="CL38" s="100">
        <v>5.3093785272004341</v>
      </c>
      <c r="CM38" s="100">
        <v>6594.2481307829394</v>
      </c>
      <c r="CN38" s="100">
        <v>13.84949604382277</v>
      </c>
      <c r="CO38" s="100">
        <v>17201.074086427881</v>
      </c>
      <c r="CP38" s="100">
        <v>10.222985562829633</v>
      </c>
      <c r="CQ38" s="100">
        <v>12696.948069034404</v>
      </c>
      <c r="CR38" s="100">
        <v>16.903208046175461</v>
      </c>
      <c r="CS38" s="100">
        <v>20993.784393349924</v>
      </c>
      <c r="CT38" s="100">
        <v>5.9510576377072786</v>
      </c>
      <c r="CU38" s="100">
        <v>7391.2135860324397</v>
      </c>
    </row>
    <row r="39" spans="2:99">
      <c r="C39" s="99" t="s">
        <v>205</v>
      </c>
      <c r="D39" s="100">
        <v>7.6341493189038605</v>
      </c>
      <c r="E39" s="100">
        <v>10864.921310663975</v>
      </c>
      <c r="F39" s="100">
        <v>7.696172125713808</v>
      </c>
      <c r="G39" s="100">
        <v>10953.192169315891</v>
      </c>
      <c r="H39" s="100">
        <v>13.838628530497132</v>
      </c>
      <c r="I39" s="100">
        <v>19695.136124603519</v>
      </c>
      <c r="J39" s="100">
        <v>14.17775379070974</v>
      </c>
      <c r="K39" s="100">
        <v>20177.779194938103</v>
      </c>
      <c r="L39" s="100">
        <v>9.6688650968528886</v>
      </c>
      <c r="M39" s="100">
        <v>13760.728805841032</v>
      </c>
      <c r="N39" s="100">
        <v>10.678396279735695</v>
      </c>
      <c r="O39" s="100">
        <v>15197.493585319842</v>
      </c>
      <c r="P39" s="100">
        <v>12.813833835638158</v>
      </c>
      <c r="Q39" s="100">
        <v>18236.648314880229</v>
      </c>
      <c r="R39" s="100">
        <v>9.219554270585169</v>
      </c>
      <c r="S39" s="100">
        <v>13121.269637896812</v>
      </c>
      <c r="T39" s="100">
        <v>11.686194851119749</v>
      </c>
      <c r="U39" s="100">
        <v>16631.792512113629</v>
      </c>
      <c r="V39" s="100">
        <v>17.052532195728034</v>
      </c>
      <c r="W39" s="100">
        <v>24269.163820960141</v>
      </c>
      <c r="X39" s="100">
        <v>15</v>
      </c>
      <c r="Y39" s="100">
        <v>21348</v>
      </c>
      <c r="Z39" s="100">
        <v>8.3841993521632627</v>
      </c>
      <c r="AA39" s="100">
        <v>11932.392517998756</v>
      </c>
      <c r="AB39" s="100">
        <v>15.66490477921846</v>
      </c>
      <c r="AC39" s="100">
        <v>22294.292481783712</v>
      </c>
      <c r="AD39" s="100">
        <v>12.706069062088284</v>
      </c>
      <c r="AE39" s="100">
        <v>18083.277489164047</v>
      </c>
      <c r="AF39" s="100">
        <v>9.7928585527086067</v>
      </c>
      <c r="AG39" s="100">
        <v>13937.196292214889</v>
      </c>
      <c r="AH39" s="100">
        <v>9.2017125736179466</v>
      </c>
      <c r="AI39" s="100">
        <v>13095.877334773062</v>
      </c>
      <c r="AJ39" s="100">
        <v>9.8029761332492527</v>
      </c>
      <c r="AK39" s="100">
        <v>13951.595632840337</v>
      </c>
      <c r="AL39" s="100">
        <v>11.972625812720169</v>
      </c>
      <c r="AM39" s="100">
        <v>17039.441056663345</v>
      </c>
      <c r="AN39" s="100">
        <v>7.9201674707298357</v>
      </c>
      <c r="AO39" s="100">
        <v>11271.982344342703</v>
      </c>
      <c r="AP39" s="100">
        <v>9.4765493907592759</v>
      </c>
      <c r="AQ39" s="100">
        <v>13487.025092928601</v>
      </c>
      <c r="AR39" s="100">
        <v>12.206119280398893</v>
      </c>
      <c r="AS39" s="100">
        <v>17371.748959863704</v>
      </c>
      <c r="AT39" s="100">
        <v>8.8446227089700376</v>
      </c>
      <c r="AU39" s="100">
        <v>12587.667039406158</v>
      </c>
      <c r="AV39" s="100">
        <v>12.154210099566729</v>
      </c>
      <c r="AW39" s="100">
        <v>17297.871813703368</v>
      </c>
      <c r="AX39" s="100">
        <v>11.206763827185641</v>
      </c>
      <c r="AY39" s="100">
        <v>15949.466278850605</v>
      </c>
      <c r="AZ39" s="100">
        <v>10.641753953639101</v>
      </c>
      <c r="BA39" s="100">
        <v>15145.34422681917</v>
      </c>
      <c r="BB39" s="100">
        <v>12.126338899684873</v>
      </c>
      <c r="BC39" s="100">
        <v>17258.205522031512</v>
      </c>
      <c r="BD39" s="100">
        <v>12.520925395291105</v>
      </c>
      <c r="BE39" s="100">
        <v>17819.7810225783</v>
      </c>
      <c r="BF39" s="100">
        <v>13.597251376092073</v>
      </c>
      <c r="BG39" s="100">
        <v>19351.608158454237</v>
      </c>
      <c r="BH39" s="100">
        <v>13.905681667223542</v>
      </c>
      <c r="BI39" s="100">
        <v>19790.566148792546</v>
      </c>
      <c r="BJ39" s="100">
        <v>6.2017113987329306</v>
      </c>
      <c r="BK39" s="100">
        <v>8826.2756626767077</v>
      </c>
      <c r="BL39" s="100">
        <v>16.580017632174332</v>
      </c>
      <c r="BM39" s="100">
        <v>23596.68109411051</v>
      </c>
      <c r="BN39" s="100">
        <v>13.568363914989314</v>
      </c>
      <c r="BO39" s="100">
        <v>19310.495523812791</v>
      </c>
      <c r="BP39" s="100">
        <v>6.4118648610017095</v>
      </c>
      <c r="BQ39" s="100">
        <v>9125.3660701776334</v>
      </c>
      <c r="BR39" s="100">
        <v>11.563183539695352</v>
      </c>
      <c r="BS39" s="100">
        <v>16456.722813694425</v>
      </c>
      <c r="BT39" s="100">
        <v>15.077155224444432</v>
      </c>
      <c r="BU39" s="100">
        <v>21457.807315429316</v>
      </c>
      <c r="BV39" s="100">
        <v>10.68790076824887</v>
      </c>
      <c r="BW39" s="100">
        <v>15211.020373371792</v>
      </c>
      <c r="BX39" s="100">
        <v>9.9687929504506769</v>
      </c>
      <c r="BY39" s="100">
        <v>14187.586127081404</v>
      </c>
      <c r="BZ39" s="100">
        <v>11.079098480936119</v>
      </c>
      <c r="CA39" s="100">
        <v>15767.772958068286</v>
      </c>
      <c r="CB39" s="100">
        <v>17.363271345980078</v>
      </c>
      <c r="CC39" s="100">
        <v>24711.407779598849</v>
      </c>
      <c r="CD39" s="100">
        <v>6.697354105403571</v>
      </c>
      <c r="CE39" s="100">
        <v>9531.6743628103632</v>
      </c>
      <c r="CF39" s="100">
        <v>11.223459940123245</v>
      </c>
      <c r="CG39" s="100">
        <v>15973.228186783403</v>
      </c>
      <c r="CH39" s="100">
        <v>9.8545810074533264</v>
      </c>
      <c r="CI39" s="100">
        <v>14025.039689807574</v>
      </c>
      <c r="CJ39" s="100">
        <v>12.583080059572238</v>
      </c>
      <c r="CK39" s="100">
        <v>17908.239540783208</v>
      </c>
      <c r="CL39" s="100">
        <v>4.7158955820048787</v>
      </c>
      <c r="CM39" s="100">
        <v>6711.6625923093434</v>
      </c>
      <c r="CN39" s="100">
        <v>14.703620842799538</v>
      </c>
      <c r="CO39" s="100">
        <v>20926.193183472304</v>
      </c>
      <c r="CP39" s="100">
        <v>9.1193459686096787</v>
      </c>
      <c r="CQ39" s="100">
        <v>12978.653182525295</v>
      </c>
      <c r="CR39" s="100">
        <v>17.054626736743845</v>
      </c>
      <c r="CS39" s="100">
        <v>24272.144771733841</v>
      </c>
      <c r="CT39" s="100">
        <v>5.5434277897002762</v>
      </c>
      <c r="CU39" s="100">
        <v>7889.4064303014329</v>
      </c>
    </row>
    <row r="40" spans="2:99">
      <c r="C40" s="99" t="s">
        <v>206</v>
      </c>
      <c r="D40" s="100">
        <v>8.3286186024239619</v>
      </c>
      <c r="E40" s="100">
        <v>6036.5827630368876</v>
      </c>
      <c r="F40" s="100">
        <v>9.6158851074603984</v>
      </c>
      <c r="G40" s="100">
        <v>6969.593525887296</v>
      </c>
      <c r="H40" s="100">
        <v>15.441683864565952</v>
      </c>
      <c r="I40" s="100">
        <v>11192.132465037401</v>
      </c>
      <c r="J40" s="100">
        <v>15.710006859470855</v>
      </c>
      <c r="K40" s="100">
        <v>11386.612971744475</v>
      </c>
      <c r="L40" s="100">
        <v>9.3799389362385703</v>
      </c>
      <c r="M40" s="100">
        <v>6798.579740985715</v>
      </c>
      <c r="N40" s="100">
        <v>12.822484240866343</v>
      </c>
      <c r="O40" s="100">
        <v>9293.7365777799241</v>
      </c>
      <c r="P40" s="100">
        <v>12.990300519781385</v>
      </c>
      <c r="Q40" s="100">
        <v>9415.3698167375478</v>
      </c>
      <c r="R40" s="100">
        <v>8.6150926973883131</v>
      </c>
      <c r="S40" s="100">
        <v>6244.2191870670486</v>
      </c>
      <c r="T40" s="100">
        <v>10.794513703606942</v>
      </c>
      <c r="U40" s="100">
        <v>7823.863532374311</v>
      </c>
      <c r="V40" s="100">
        <v>16.935584173980473</v>
      </c>
      <c r="W40" s="100">
        <v>12274.911409301047</v>
      </c>
      <c r="X40" s="100">
        <v>16</v>
      </c>
      <c r="Y40" s="100">
        <v>11596.8</v>
      </c>
      <c r="Z40" s="100">
        <v>9.2174258350488625</v>
      </c>
      <c r="AA40" s="100">
        <v>6680.7902452434155</v>
      </c>
      <c r="AB40" s="100">
        <v>18.19671311037639</v>
      </c>
      <c r="AC40" s="100">
        <v>13188.977662400806</v>
      </c>
      <c r="AD40" s="100">
        <v>15.543687051409695</v>
      </c>
      <c r="AE40" s="100">
        <v>11266.064374861746</v>
      </c>
      <c r="AF40" s="100">
        <v>10.682435304815339</v>
      </c>
      <c r="AG40" s="100">
        <v>7742.6291089301576</v>
      </c>
      <c r="AH40" s="100">
        <v>10.026480717579469</v>
      </c>
      <c r="AI40" s="100">
        <v>7267.1932241015984</v>
      </c>
      <c r="AJ40" s="100">
        <v>10.78911429788012</v>
      </c>
      <c r="AK40" s="100">
        <v>7819.9500431035103</v>
      </c>
      <c r="AL40" s="100">
        <v>12.972625812720169</v>
      </c>
      <c r="AM40" s="100">
        <v>9402.5591890595788</v>
      </c>
      <c r="AN40" s="100">
        <v>9.405198871491681</v>
      </c>
      <c r="AO40" s="100">
        <v>6816.8881420571697</v>
      </c>
      <c r="AP40" s="100">
        <v>9.4765493907592759</v>
      </c>
      <c r="AQ40" s="100">
        <v>6868.6029984223223</v>
      </c>
      <c r="AR40" s="100">
        <v>13.077984943284529</v>
      </c>
      <c r="AS40" s="100">
        <v>9478.9234868926251</v>
      </c>
      <c r="AT40" s="100">
        <v>10.031032636811267</v>
      </c>
      <c r="AU40" s="100">
        <v>7270.4924551608055</v>
      </c>
      <c r="AV40" s="100">
        <v>14.116533083192145</v>
      </c>
      <c r="AW40" s="100">
        <v>10231.663178697667</v>
      </c>
      <c r="AX40" s="100">
        <v>10.459646238706597</v>
      </c>
      <c r="AY40" s="100">
        <v>7581.1515938145412</v>
      </c>
      <c r="AZ40" s="100">
        <v>11.836822993777233</v>
      </c>
      <c r="BA40" s="100">
        <v>8579.329305889738</v>
      </c>
      <c r="BB40" s="100">
        <v>11.367970333100653</v>
      </c>
      <c r="BC40" s="100">
        <v>8239.5048974313522</v>
      </c>
      <c r="BD40" s="100">
        <v>13.515340927430364</v>
      </c>
      <c r="BE40" s="100">
        <v>9795.9191042015264</v>
      </c>
      <c r="BF40" s="100">
        <v>13.597251376092073</v>
      </c>
      <c r="BG40" s="100">
        <v>9855.2877973915347</v>
      </c>
      <c r="BH40" s="100">
        <v>12.701830119937423</v>
      </c>
      <c r="BI40" s="100">
        <v>9206.2864709306432</v>
      </c>
      <c r="BJ40" s="100">
        <v>7.3292952894116459</v>
      </c>
      <c r="BK40" s="100">
        <v>5312.2732257655607</v>
      </c>
      <c r="BL40" s="100">
        <v>19.667592082325267</v>
      </c>
      <c r="BM40" s="100">
        <v>14255.070741269354</v>
      </c>
      <c r="BN40" s="100">
        <v>15.962781076458016</v>
      </c>
      <c r="BO40" s="100">
        <v>11569.823724216769</v>
      </c>
      <c r="BP40" s="100">
        <v>7.6647354387264341</v>
      </c>
      <c r="BQ40" s="100">
        <v>5555.4002459889189</v>
      </c>
      <c r="BR40" s="100">
        <v>12.791078381221414</v>
      </c>
      <c r="BS40" s="100">
        <v>9270.9736107092813</v>
      </c>
      <c r="BT40" s="100">
        <v>17.949380725799202</v>
      </c>
      <c r="BU40" s="100">
        <v>13009.71115005926</v>
      </c>
      <c r="BV40" s="100">
        <v>10.68790076824887</v>
      </c>
      <c r="BW40" s="100">
        <v>7746.5904768267801</v>
      </c>
      <c r="BX40" s="100">
        <v>9.3208193729307833</v>
      </c>
      <c r="BY40" s="100">
        <v>6755.7298815002314</v>
      </c>
      <c r="BZ40" s="100">
        <v>11.314052463453084</v>
      </c>
      <c r="CA40" s="100">
        <v>8200.4252255107949</v>
      </c>
      <c r="CB40" s="100">
        <v>18.235412770705189</v>
      </c>
      <c r="CC40" s="100">
        <v>13217.027176207121</v>
      </c>
      <c r="CD40" s="100">
        <v>7.1716590571799239</v>
      </c>
      <c r="CE40" s="100">
        <v>5198.0184846440088</v>
      </c>
      <c r="CF40" s="100">
        <v>12.223459940123245</v>
      </c>
      <c r="CG40" s="100">
        <v>8859.5637646013274</v>
      </c>
      <c r="CH40" s="100">
        <v>9.8545810074533264</v>
      </c>
      <c r="CI40" s="100">
        <v>7142.6003142021709</v>
      </c>
      <c r="CJ40" s="100">
        <v>14.013226191643387</v>
      </c>
      <c r="CK40" s="100">
        <v>10156.786343703126</v>
      </c>
      <c r="CL40" s="100">
        <v>5.3779228943288881</v>
      </c>
      <c r="CM40" s="100">
        <v>3897.9185138095777</v>
      </c>
      <c r="CN40" s="100">
        <v>13.701264035369736</v>
      </c>
      <c r="CO40" s="100">
        <v>9930.6761728359834</v>
      </c>
      <c r="CP40" s="100">
        <v>10.776060838359237</v>
      </c>
      <c r="CQ40" s="100">
        <v>7810.4888956427749</v>
      </c>
      <c r="CR40" s="100">
        <v>17.817351565649577</v>
      </c>
      <c r="CS40" s="100">
        <v>12914.016414782813</v>
      </c>
      <c r="CT40" s="100">
        <v>5.529205777505072</v>
      </c>
      <c r="CU40" s="100">
        <v>4007.5683475356759</v>
      </c>
    </row>
    <row r="41" spans="2:99">
      <c r="C41" s="99" t="s">
        <v>207</v>
      </c>
      <c r="D41" s="100">
        <v>8.3236058026067035</v>
      </c>
      <c r="E41" s="100">
        <v>5493.5798297204246</v>
      </c>
      <c r="F41" s="100">
        <v>9.1365754405497306</v>
      </c>
      <c r="G41" s="100">
        <v>6030.1397907628225</v>
      </c>
      <c r="H41" s="100">
        <v>15.441683864565952</v>
      </c>
      <c r="I41" s="100">
        <v>10191.511350613529</v>
      </c>
      <c r="J41" s="100">
        <v>13.411627256329183</v>
      </c>
      <c r="K41" s="100">
        <v>8851.6739891772613</v>
      </c>
      <c r="L41" s="100">
        <v>10.216678052853466</v>
      </c>
      <c r="M41" s="100">
        <v>6743.0075148832875</v>
      </c>
      <c r="N41" s="100">
        <v>12.188491270973117</v>
      </c>
      <c r="O41" s="100">
        <v>8044.4042388422567</v>
      </c>
      <c r="P41" s="100">
        <v>12.150469410650974</v>
      </c>
      <c r="Q41" s="100">
        <v>8019.3098110296423</v>
      </c>
      <c r="R41" s="100">
        <v>9.9432367530781924</v>
      </c>
      <c r="S41" s="100">
        <v>6562.5362570316074</v>
      </c>
      <c r="T41" s="100">
        <v>11.540898357784746</v>
      </c>
      <c r="U41" s="100">
        <v>7616.9929161379323</v>
      </c>
      <c r="V41" s="100">
        <v>16.052532195728034</v>
      </c>
      <c r="W41" s="100">
        <v>10594.671249180503</v>
      </c>
      <c r="X41" s="100">
        <v>17</v>
      </c>
      <c r="Y41" s="100">
        <v>11220</v>
      </c>
      <c r="Z41" s="100">
        <v>9.2239176504622709</v>
      </c>
      <c r="AA41" s="100">
        <v>6087.7856493050986</v>
      </c>
      <c r="AB41" s="100">
        <v>17.20633356636187</v>
      </c>
      <c r="AC41" s="100">
        <v>11356.180153798834</v>
      </c>
      <c r="AD41" s="100">
        <v>14.873845366781724</v>
      </c>
      <c r="AE41" s="100">
        <v>9816.7379420759389</v>
      </c>
      <c r="AF41" s="100">
        <v>10.682435304815339</v>
      </c>
      <c r="AG41" s="100">
        <v>7050.4073011781238</v>
      </c>
      <c r="AH41" s="100">
        <v>11.377943368108092</v>
      </c>
      <c r="AI41" s="100">
        <v>7509.4426229513401</v>
      </c>
      <c r="AJ41" s="100">
        <v>9.2746640588319806</v>
      </c>
      <c r="AK41" s="100">
        <v>6121.278278829107</v>
      </c>
      <c r="AL41" s="100">
        <v>13.972625812720169</v>
      </c>
      <c r="AM41" s="100">
        <v>9221.9330363953122</v>
      </c>
      <c r="AN41" s="100">
        <v>9.9002093384122958</v>
      </c>
      <c r="AO41" s="100">
        <v>6534.138163352115</v>
      </c>
      <c r="AP41" s="100">
        <v>10.327450025614977</v>
      </c>
      <c r="AQ41" s="100">
        <v>6816.1170169058851</v>
      </c>
      <c r="AR41" s="100">
        <v>12.206119280398893</v>
      </c>
      <c r="AS41" s="100">
        <v>8056.0387250632693</v>
      </c>
      <c r="AT41" s="100">
        <v>9.9436307734560341</v>
      </c>
      <c r="AU41" s="100">
        <v>6562.7963104809824</v>
      </c>
      <c r="AV41" s="100">
        <v>14.116533083192145</v>
      </c>
      <c r="AW41" s="100">
        <v>9316.9118349068158</v>
      </c>
      <c r="AX41" s="100">
        <v>11.206763827185641</v>
      </c>
      <c r="AY41" s="100">
        <v>7396.4641259425234</v>
      </c>
      <c r="AZ41" s="100">
        <v>11.836822993777233</v>
      </c>
      <c r="BA41" s="100">
        <v>7812.3031758929737</v>
      </c>
      <c r="BB41" s="100">
        <v>11.367970333100653</v>
      </c>
      <c r="BC41" s="100">
        <v>7502.8604198464309</v>
      </c>
      <c r="BD41" s="100">
        <v>11.932986385671102</v>
      </c>
      <c r="BE41" s="100">
        <v>7875.7710145429273</v>
      </c>
      <c r="BF41" s="100">
        <v>14.879728365200164</v>
      </c>
      <c r="BG41" s="100">
        <v>9820.6207210321081</v>
      </c>
      <c r="BH41" s="100">
        <v>13.24889571309954</v>
      </c>
      <c r="BI41" s="100">
        <v>8744.2711706456957</v>
      </c>
      <c r="BJ41" s="100">
        <v>6.7655033440722878</v>
      </c>
      <c r="BK41" s="100">
        <v>4465.2322070877099</v>
      </c>
      <c r="BL41" s="100">
        <v>20.470875769636905</v>
      </c>
      <c r="BM41" s="100">
        <v>13510.778007960358</v>
      </c>
      <c r="BN41" s="100">
        <v>15.164642022635116</v>
      </c>
      <c r="BO41" s="100">
        <v>10008.663734939177</v>
      </c>
      <c r="BP41" s="100">
        <v>8.0976267334728078</v>
      </c>
      <c r="BQ41" s="100">
        <v>5344.4336440920533</v>
      </c>
      <c r="BR41" s="100">
        <v>12.785514666661689</v>
      </c>
      <c r="BS41" s="100">
        <v>8438.4396799967144</v>
      </c>
      <c r="BT41" s="100">
        <v>16.034563724896021</v>
      </c>
      <c r="BU41" s="100">
        <v>10582.812058431375</v>
      </c>
      <c r="BV41" s="100">
        <v>10.68790076824887</v>
      </c>
      <c r="BW41" s="100">
        <v>7054.0145070442541</v>
      </c>
      <c r="BX41" s="100">
        <v>9.9687929504506769</v>
      </c>
      <c r="BY41" s="100">
        <v>6579.403347297447</v>
      </c>
      <c r="BZ41" s="100">
        <v>11.196575472194601</v>
      </c>
      <c r="CA41" s="100">
        <v>7389.7398116484364</v>
      </c>
      <c r="CB41" s="100">
        <v>19.1075541954303</v>
      </c>
      <c r="CC41" s="100">
        <v>12610.985768983997</v>
      </c>
      <c r="CD41" s="100">
        <v>6.735283211880092</v>
      </c>
      <c r="CE41" s="100">
        <v>4445.2869198408607</v>
      </c>
      <c r="CF41" s="100">
        <v>11.223459940123245</v>
      </c>
      <c r="CG41" s="100">
        <v>7407.4835604813416</v>
      </c>
      <c r="CH41" s="100">
        <v>8.9587100067757515</v>
      </c>
      <c r="CI41" s="100">
        <v>5912.7486044719963</v>
      </c>
      <c r="CJ41" s="100">
        <v>15.390017581593604</v>
      </c>
      <c r="CK41" s="100">
        <v>10157.411603851779</v>
      </c>
      <c r="CL41" s="100">
        <v>4.9317532611518171</v>
      </c>
      <c r="CM41" s="100">
        <v>3254.9571523601994</v>
      </c>
      <c r="CN41" s="100">
        <v>14.851852851252572</v>
      </c>
      <c r="CO41" s="100">
        <v>9802.2228818266976</v>
      </c>
      <c r="CP41" s="100">
        <v>9.1206014470293013</v>
      </c>
      <c r="CQ41" s="100">
        <v>6019.5969550393393</v>
      </c>
      <c r="CR41" s="100">
        <v>16.140483217269729</v>
      </c>
      <c r="CS41" s="100">
        <v>10652.718923398021</v>
      </c>
      <c r="CT41" s="100">
        <v>5.5731958668909751</v>
      </c>
      <c r="CU41" s="100">
        <v>3678.3092721480434</v>
      </c>
    </row>
    <row r="42" spans="2:99">
      <c r="C42" s="99" t="s">
        <v>208</v>
      </c>
      <c r="D42" s="100">
        <v>7.6341493189038605</v>
      </c>
      <c r="E42" s="100">
        <v>6458.4903237926655</v>
      </c>
      <c r="F42" s="100">
        <v>9.6158851074603984</v>
      </c>
      <c r="G42" s="100">
        <v>8135.0388009114968</v>
      </c>
      <c r="H42" s="100">
        <v>16.056190216895285</v>
      </c>
      <c r="I42" s="100">
        <v>13583.536923493411</v>
      </c>
      <c r="J42" s="100">
        <v>15.806875902435783</v>
      </c>
      <c r="K42" s="100">
        <v>13372.617013460673</v>
      </c>
      <c r="L42" s="100">
        <v>10.244066117841394</v>
      </c>
      <c r="M42" s="100">
        <v>8666.4799356938183</v>
      </c>
      <c r="N42" s="100">
        <v>10.557341754010212</v>
      </c>
      <c r="O42" s="100">
        <v>8931.5111238926384</v>
      </c>
      <c r="P42" s="100">
        <v>12.813833835638158</v>
      </c>
      <c r="Q42" s="100">
        <v>10840.503424949882</v>
      </c>
      <c r="R42" s="100">
        <v>8.6202762151837984</v>
      </c>
      <c r="S42" s="100">
        <v>7292.7536780454939</v>
      </c>
      <c r="T42" s="100">
        <v>12.570975026992787</v>
      </c>
      <c r="U42" s="100">
        <v>10635.044872835899</v>
      </c>
      <c r="V42" s="100">
        <v>17.052532195728034</v>
      </c>
      <c r="W42" s="100">
        <v>14426.442237585918</v>
      </c>
      <c r="X42" s="100">
        <v>15</v>
      </c>
      <c r="Y42" s="100">
        <v>12690</v>
      </c>
      <c r="Z42" s="100">
        <v>9.2174258350488625</v>
      </c>
      <c r="AA42" s="100">
        <v>7797.9422564513379</v>
      </c>
      <c r="AB42" s="100">
        <v>15.518461345589918</v>
      </c>
      <c r="AC42" s="100">
        <v>13128.618298369071</v>
      </c>
      <c r="AD42" s="100">
        <v>16.31902956991069</v>
      </c>
      <c r="AE42" s="100">
        <v>13805.899016144444</v>
      </c>
      <c r="AF42" s="100">
        <v>9.9031163617801301</v>
      </c>
      <c r="AG42" s="100">
        <v>8378.0364420659898</v>
      </c>
      <c r="AH42" s="100">
        <v>10.026480717579469</v>
      </c>
      <c r="AI42" s="100">
        <v>8482.40268707223</v>
      </c>
      <c r="AJ42" s="100">
        <v>9.8029761332492527</v>
      </c>
      <c r="AK42" s="100">
        <v>8293.317808728867</v>
      </c>
      <c r="AL42" s="100">
        <v>12.810521510600141</v>
      </c>
      <c r="AM42" s="100">
        <v>10837.701197967719</v>
      </c>
      <c r="AN42" s="100">
        <v>8.4151779376504514</v>
      </c>
      <c r="AO42" s="100">
        <v>7119.2405352522819</v>
      </c>
      <c r="AP42" s="100">
        <v>10.327450025614977</v>
      </c>
      <c r="AQ42" s="100">
        <v>8737.0227216702715</v>
      </c>
      <c r="AR42" s="100">
        <v>11.334253617513259</v>
      </c>
      <c r="AS42" s="100">
        <v>9588.7785604162164</v>
      </c>
      <c r="AT42" s="100">
        <v>9.4378276728906521</v>
      </c>
      <c r="AU42" s="100">
        <v>7984.402211265492</v>
      </c>
      <c r="AV42" s="100">
        <v>13.305550802582804</v>
      </c>
      <c r="AW42" s="100">
        <v>11256.495978985053</v>
      </c>
      <c r="AX42" s="100">
        <v>11.206763827185641</v>
      </c>
      <c r="AY42" s="100">
        <v>9480.9221977990528</v>
      </c>
      <c r="AZ42" s="100">
        <v>11.239288473708166</v>
      </c>
      <c r="BA42" s="100">
        <v>9508.4380487571088</v>
      </c>
      <c r="BB42" s="100">
        <v>12.259724048748993</v>
      </c>
      <c r="BC42" s="100">
        <v>10371.726545241649</v>
      </c>
      <c r="BD42" s="100">
        <v>11.526509863151846</v>
      </c>
      <c r="BE42" s="100">
        <v>9751.4273442264621</v>
      </c>
      <c r="BF42" s="100">
        <v>13.052573067164424</v>
      </c>
      <c r="BG42" s="100">
        <v>11042.476814821102</v>
      </c>
      <c r="BH42" s="100">
        <v>13.163344314794706</v>
      </c>
      <c r="BI42" s="100">
        <v>11136.189290316321</v>
      </c>
      <c r="BJ42" s="100">
        <v>6.2017113987329306</v>
      </c>
      <c r="BK42" s="100">
        <v>5246.647843328059</v>
      </c>
      <c r="BL42" s="100">
        <v>16.749448479228334</v>
      </c>
      <c r="BM42" s="100">
        <v>14170.033413427171</v>
      </c>
      <c r="BN42" s="100">
        <v>16.760920130280915</v>
      </c>
      <c r="BO42" s="100">
        <v>14179.738430217654</v>
      </c>
      <c r="BP42" s="100">
        <v>8.0859888317917115</v>
      </c>
      <c r="BQ42" s="100">
        <v>6840.7465516957882</v>
      </c>
      <c r="BR42" s="100">
        <v>12.791078381221414</v>
      </c>
      <c r="BS42" s="100">
        <v>10821.252310513317</v>
      </c>
      <c r="BT42" s="100">
        <v>17.949380725799202</v>
      </c>
      <c r="BU42" s="100">
        <v>15185.176094026125</v>
      </c>
      <c r="BV42" s="100">
        <v>10.68790076824887</v>
      </c>
      <c r="BW42" s="100">
        <v>9041.9640499385441</v>
      </c>
      <c r="BX42" s="100">
        <v>10.010324498392722</v>
      </c>
      <c r="BY42" s="100">
        <v>8468.7345256402423</v>
      </c>
      <c r="BZ42" s="100">
        <v>9.848801100292123</v>
      </c>
      <c r="CA42" s="100">
        <v>8332.0857308471368</v>
      </c>
      <c r="CB42" s="100">
        <v>19.1075541954303</v>
      </c>
      <c r="CC42" s="100">
        <v>16164.990849334034</v>
      </c>
      <c r="CD42" s="100">
        <v>5.8435669680421682</v>
      </c>
      <c r="CE42" s="100">
        <v>4943.6576549636748</v>
      </c>
      <c r="CF42" s="100">
        <v>12.398239931569424</v>
      </c>
      <c r="CG42" s="100">
        <v>10488.910982107733</v>
      </c>
      <c r="CH42" s="100">
        <v>9.8545810074533264</v>
      </c>
      <c r="CI42" s="100">
        <v>8336.9755323055142</v>
      </c>
      <c r="CJ42" s="100">
        <v>13.959871449522453</v>
      </c>
      <c r="CK42" s="100">
        <v>11810.051246295994</v>
      </c>
      <c r="CL42" s="100">
        <v>5.7490457333654534</v>
      </c>
      <c r="CM42" s="100">
        <v>4863.6926904271741</v>
      </c>
      <c r="CN42" s="100">
        <v>13.84949604382277</v>
      </c>
      <c r="CO42" s="100">
        <v>11716.673653074064</v>
      </c>
      <c r="CP42" s="100">
        <v>9.1218569254489292</v>
      </c>
      <c r="CQ42" s="100">
        <v>7717.0909589297944</v>
      </c>
      <c r="CR42" s="100">
        <v>17.206045427312233</v>
      </c>
      <c r="CS42" s="100">
        <v>14556.314431506149</v>
      </c>
      <c r="CT42" s="100">
        <v>5.9368356255120744</v>
      </c>
      <c r="CU42" s="100">
        <v>5022.5629391832153</v>
      </c>
    </row>
    <row r="43" spans="2:99">
      <c r="C43" s="99" t="s">
        <v>209</v>
      </c>
      <c r="D43" s="100">
        <v>7.6341493189038605</v>
      </c>
      <c r="E43" s="100">
        <v>7805.1542636473068</v>
      </c>
      <c r="F43" s="100">
        <v>9.6158851074603984</v>
      </c>
      <c r="G43" s="100">
        <v>9831.2809338675106</v>
      </c>
      <c r="H43" s="100">
        <v>14.699840104518261</v>
      </c>
      <c r="I43" s="100">
        <v>15029.116522859469</v>
      </c>
      <c r="J43" s="100">
        <v>15.040749368055225</v>
      </c>
      <c r="K43" s="100">
        <v>15377.662153899662</v>
      </c>
      <c r="L43" s="100">
        <v>11.023377804240306</v>
      </c>
      <c r="M43" s="100">
        <v>11270.301467055289</v>
      </c>
      <c r="N43" s="100">
        <v>11.312389249628922</v>
      </c>
      <c r="O43" s="100">
        <v>11565.78676882061</v>
      </c>
      <c r="P43" s="100">
        <v>12.912367530975333</v>
      </c>
      <c r="Q43" s="100">
        <v>13201.60456366918</v>
      </c>
      <c r="R43" s="100">
        <v>7.8862266970998052</v>
      </c>
      <c r="S43" s="100">
        <v>8062.8781751148408</v>
      </c>
      <c r="T43" s="100">
        <v>11.682744365299865</v>
      </c>
      <c r="U43" s="100">
        <v>11944.43783908258</v>
      </c>
      <c r="V43" s="100">
        <v>16.052532195728034</v>
      </c>
      <c r="W43" s="100">
        <v>16412.108916912341</v>
      </c>
      <c r="X43" s="100">
        <v>16</v>
      </c>
      <c r="Y43" s="100">
        <v>16358.4</v>
      </c>
      <c r="Z43" s="100">
        <v>8.3906911675766711</v>
      </c>
      <c r="AA43" s="100">
        <v>8578.6426497303892</v>
      </c>
      <c r="AB43" s="100">
        <v>15.518461345589918</v>
      </c>
      <c r="AC43" s="100">
        <v>15866.074879731132</v>
      </c>
      <c r="AD43" s="100">
        <v>15.596437468346206</v>
      </c>
      <c r="AE43" s="100">
        <v>15945.79766763716</v>
      </c>
      <c r="AF43" s="100">
        <v>9.1237974187449229</v>
      </c>
      <c r="AG43" s="100">
        <v>9328.1704809248095</v>
      </c>
      <c r="AH43" s="100">
        <v>10.652533103278044</v>
      </c>
      <c r="AI43" s="100">
        <v>10891.149844791471</v>
      </c>
      <c r="AJ43" s="100">
        <v>8.7698473124826002</v>
      </c>
      <c r="AK43" s="100">
        <v>8966.29189228221</v>
      </c>
      <c r="AL43" s="100">
        <v>12.810521510600141</v>
      </c>
      <c r="AM43" s="100">
        <v>13097.477192437584</v>
      </c>
      <c r="AN43" s="100">
        <v>9.9002093384122958</v>
      </c>
      <c r="AO43" s="100">
        <v>10121.974027592731</v>
      </c>
      <c r="AP43" s="100">
        <v>9.3383289561589535</v>
      </c>
      <c r="AQ43" s="100">
        <v>9547.5075247769146</v>
      </c>
      <c r="AR43" s="100">
        <v>13.077984943284529</v>
      </c>
      <c r="AS43" s="100">
        <v>13370.931806014101</v>
      </c>
      <c r="AT43" s="100">
        <v>9.9436307734560341</v>
      </c>
      <c r="AU43" s="100">
        <v>10166.368102781449</v>
      </c>
      <c r="AV43" s="100">
        <v>15.097694575004855</v>
      </c>
      <c r="AW43" s="100">
        <v>15435.882933484963</v>
      </c>
      <c r="AX43" s="100">
        <v>11.206763827185641</v>
      </c>
      <c r="AY43" s="100">
        <v>11457.7953369146</v>
      </c>
      <c r="AZ43" s="100">
        <v>10.641753953639101</v>
      </c>
      <c r="BA43" s="100">
        <v>10880.129242200617</v>
      </c>
      <c r="BB43" s="100">
        <v>11.367970333100653</v>
      </c>
      <c r="BC43" s="100">
        <v>11622.612868562106</v>
      </c>
      <c r="BD43" s="100">
        <v>13.515340927430364</v>
      </c>
      <c r="BE43" s="100">
        <v>13818.084564204804</v>
      </c>
      <c r="BF43" s="100">
        <v>14.335050056272514</v>
      </c>
      <c r="BG43" s="100">
        <v>14656.155177533019</v>
      </c>
      <c r="BH43" s="100">
        <v>13.27306467575659</v>
      </c>
      <c r="BI43" s="100">
        <v>13570.381324493537</v>
      </c>
      <c r="BJ43" s="100">
        <v>6.2017113987329306</v>
      </c>
      <c r="BK43" s="100">
        <v>6340.6297340645478</v>
      </c>
      <c r="BL43" s="100">
        <v>16.749448479228334</v>
      </c>
      <c r="BM43" s="100">
        <v>17124.636125163048</v>
      </c>
      <c r="BN43" s="100">
        <v>15.962781076458016</v>
      </c>
      <c r="BO43" s="100">
        <v>16320.347372570675</v>
      </c>
      <c r="BP43" s="100">
        <v>6.4111165607917178</v>
      </c>
      <c r="BQ43" s="100">
        <v>6554.7255717534517</v>
      </c>
      <c r="BR43" s="100">
        <v>13.393898372864992</v>
      </c>
      <c r="BS43" s="100">
        <v>13693.921696417168</v>
      </c>
      <c r="BT43" s="100">
        <v>16.034563724896021</v>
      </c>
      <c r="BU43" s="100">
        <v>16393.737952333693</v>
      </c>
      <c r="BV43" s="100">
        <v>11.68790076824887</v>
      </c>
      <c r="BW43" s="100">
        <v>11949.709745457645</v>
      </c>
      <c r="BX43" s="100">
        <v>8.672845795410888</v>
      </c>
      <c r="BY43" s="100">
        <v>8867.1175412280918</v>
      </c>
      <c r="BZ43" s="100">
        <v>10.463949790614119</v>
      </c>
      <c r="CA43" s="100">
        <v>10698.342265923875</v>
      </c>
      <c r="CB43" s="100">
        <v>17.250045020808226</v>
      </c>
      <c r="CC43" s="100">
        <v>17636.446029274332</v>
      </c>
      <c r="CD43" s="100">
        <v>5.8246024148039064</v>
      </c>
      <c r="CE43" s="100">
        <v>5955.0735088955134</v>
      </c>
      <c r="CF43" s="100">
        <v>13.223459940123245</v>
      </c>
      <c r="CG43" s="100">
        <v>13519.665442782005</v>
      </c>
      <c r="CH43" s="100">
        <v>10.750452008130903</v>
      </c>
      <c r="CI43" s="100">
        <v>10991.262133113036</v>
      </c>
      <c r="CJ43" s="100">
        <v>13.244798383486879</v>
      </c>
      <c r="CK43" s="100">
        <v>13541.481867276985</v>
      </c>
      <c r="CL43" s="100">
        <v>5.3126297407064591</v>
      </c>
      <c r="CM43" s="100">
        <v>5431.6326468982834</v>
      </c>
      <c r="CN43" s="100">
        <v>13.84949604382277</v>
      </c>
      <c r="CO43" s="100">
        <v>14159.724755204399</v>
      </c>
      <c r="CP43" s="100">
        <v>9.6724212441392812</v>
      </c>
      <c r="CQ43" s="100">
        <v>9889.0834800080011</v>
      </c>
      <c r="CR43" s="100">
        <v>16.140483217269729</v>
      </c>
      <c r="CS43" s="100">
        <v>16502.030041336569</v>
      </c>
      <c r="CT43" s="100">
        <v>5.9368356255120744</v>
      </c>
      <c r="CU43" s="100">
        <v>6069.8207435235445</v>
      </c>
    </row>
    <row r="44" spans="2:99">
      <c r="C44" s="99" t="s">
        <v>210</v>
      </c>
      <c r="D44" s="100">
        <v>8.3286186024239619</v>
      </c>
      <c r="E44" s="100">
        <v>8515.1796591182592</v>
      </c>
      <c r="F44" s="100">
        <v>9.6134107933564792</v>
      </c>
      <c r="G44" s="100">
        <v>9828.7511951276647</v>
      </c>
      <c r="H44" s="100">
        <v>16.183527624613642</v>
      </c>
      <c r="I44" s="100">
        <v>16546.038643404987</v>
      </c>
      <c r="J44" s="100">
        <v>14.274622833674668</v>
      </c>
      <c r="K44" s="100">
        <v>14594.37438514898</v>
      </c>
      <c r="L44" s="100">
        <v>9.6688650968528886</v>
      </c>
      <c r="M44" s="100">
        <v>9885.447675022393</v>
      </c>
      <c r="N44" s="100">
        <v>12.067436745247631</v>
      </c>
      <c r="O44" s="100">
        <v>12337.747328341178</v>
      </c>
      <c r="P44" s="100">
        <v>12.072536421844918</v>
      </c>
      <c r="Q44" s="100">
        <v>12342.961237694244</v>
      </c>
      <c r="R44" s="100">
        <v>8.6150926973883131</v>
      </c>
      <c r="S44" s="100">
        <v>8808.0707738098117</v>
      </c>
      <c r="T44" s="100">
        <v>10.794513703606942</v>
      </c>
      <c r="U44" s="100">
        <v>11036.310810567737</v>
      </c>
      <c r="V44" s="100">
        <v>15.935584173980475</v>
      </c>
      <c r="W44" s="100">
        <v>16292.541259477637</v>
      </c>
      <c r="X44" s="100">
        <v>15</v>
      </c>
      <c r="Y44" s="100">
        <v>15336</v>
      </c>
      <c r="Z44" s="100">
        <v>8.3841993521632627</v>
      </c>
      <c r="AA44" s="100">
        <v>8572.0054176517187</v>
      </c>
      <c r="AB44" s="100">
        <v>16.362397455975895</v>
      </c>
      <c r="AC44" s="100">
        <v>16728.915158989756</v>
      </c>
      <c r="AD44" s="100">
        <v>15.543687051409695</v>
      </c>
      <c r="AE44" s="100">
        <v>15891.865641361272</v>
      </c>
      <c r="AF44" s="100">
        <v>9.9031163617801301</v>
      </c>
      <c r="AG44" s="100">
        <v>10124.946168284005</v>
      </c>
      <c r="AH44" s="100">
        <v>11.377943368108092</v>
      </c>
      <c r="AI44" s="100">
        <v>11632.809299553714</v>
      </c>
      <c r="AJ44" s="100">
        <v>9.8029761332492527</v>
      </c>
      <c r="AK44" s="100">
        <v>10022.562798634035</v>
      </c>
      <c r="AL44" s="100">
        <v>12.810521510600141</v>
      </c>
      <c r="AM44" s="100">
        <v>13097.477192437584</v>
      </c>
      <c r="AN44" s="100">
        <v>9.9002093384122958</v>
      </c>
      <c r="AO44" s="100">
        <v>10121.974027592731</v>
      </c>
      <c r="AP44" s="100">
        <v>10.189229591014657</v>
      </c>
      <c r="AQ44" s="100">
        <v>10417.468333853385</v>
      </c>
      <c r="AR44" s="100">
        <v>11.334253617513259</v>
      </c>
      <c r="AS44" s="100">
        <v>11588.140898545555</v>
      </c>
      <c r="AT44" s="100">
        <v>7.8370594457686646</v>
      </c>
      <c r="AU44" s="100">
        <v>8012.6095773538827</v>
      </c>
      <c r="AV44" s="100">
        <v>13.305550802582804</v>
      </c>
      <c r="AW44" s="100">
        <v>13603.595140560659</v>
      </c>
      <c r="AX44" s="100">
        <v>9.7125286502275543</v>
      </c>
      <c r="AY44" s="100">
        <v>9930.0892919926519</v>
      </c>
      <c r="AZ44" s="100">
        <v>10.641753953639101</v>
      </c>
      <c r="BA44" s="100">
        <v>10880.129242200617</v>
      </c>
      <c r="BB44" s="100">
        <v>11.367970333100653</v>
      </c>
      <c r="BC44" s="100">
        <v>11622.612868562106</v>
      </c>
      <c r="BD44" s="100">
        <v>12.520925395291105</v>
      </c>
      <c r="BE44" s="100">
        <v>12801.394124145625</v>
      </c>
      <c r="BF44" s="100">
        <v>14.976288550826558</v>
      </c>
      <c r="BG44" s="100">
        <v>15311.757414365073</v>
      </c>
      <c r="BH44" s="100">
        <v>13.271338321281085</v>
      </c>
      <c r="BI44" s="100">
        <v>13568.616299677782</v>
      </c>
      <c r="BJ44" s="100">
        <v>6.2017113987329306</v>
      </c>
      <c r="BK44" s="100">
        <v>6340.6297340645478</v>
      </c>
      <c r="BL44" s="100">
        <v>16.749448479228334</v>
      </c>
      <c r="BM44" s="100">
        <v>17124.636125163048</v>
      </c>
      <c r="BN44" s="100">
        <v>14.366502968812215</v>
      </c>
      <c r="BO44" s="100">
        <v>14688.312635313609</v>
      </c>
      <c r="BP44" s="100">
        <v>7.2434820456611577</v>
      </c>
      <c r="BQ44" s="100">
        <v>7405.7360434839675</v>
      </c>
      <c r="BR44" s="100">
        <v>12.177130960458383</v>
      </c>
      <c r="BS44" s="100">
        <v>12449.898693972651</v>
      </c>
      <c r="BT44" s="100">
        <v>15.077155224444432</v>
      </c>
      <c r="BU44" s="100">
        <v>15414.883501471988</v>
      </c>
      <c r="BV44" s="100">
        <v>11.68790076824887</v>
      </c>
      <c r="BW44" s="100">
        <v>11949.709745457645</v>
      </c>
      <c r="BX44" s="100">
        <v>8.672845795410888</v>
      </c>
      <c r="BY44" s="100">
        <v>8867.1175412280918</v>
      </c>
      <c r="BZ44" s="100">
        <v>11.314052463453084</v>
      </c>
      <c r="CA44" s="100">
        <v>11567.487238634432</v>
      </c>
      <c r="CB44" s="100">
        <v>16.377903596083115</v>
      </c>
      <c r="CC44" s="100">
        <v>16744.768636635377</v>
      </c>
      <c r="CD44" s="100">
        <v>6.2799428133420001</v>
      </c>
      <c r="CE44" s="100">
        <v>6420.6135323608605</v>
      </c>
      <c r="CF44" s="100">
        <v>13.223459940123245</v>
      </c>
      <c r="CG44" s="100">
        <v>13519.665442782005</v>
      </c>
      <c r="CH44" s="100">
        <v>10.750452008130903</v>
      </c>
      <c r="CI44" s="100">
        <v>10991.262133113036</v>
      </c>
      <c r="CJ44" s="100">
        <v>15.390017581593604</v>
      </c>
      <c r="CK44" s="100">
        <v>15734.753975421299</v>
      </c>
      <c r="CL44" s="100">
        <v>5.7522969468714793</v>
      </c>
      <c r="CM44" s="100">
        <v>5881.1483984814004</v>
      </c>
      <c r="CN44" s="100">
        <v>13.84949604382277</v>
      </c>
      <c r="CO44" s="100">
        <v>14159.724755204399</v>
      </c>
      <c r="CP44" s="100">
        <v>10.224241041249257</v>
      </c>
      <c r="CQ44" s="100">
        <v>10453.26404057324</v>
      </c>
      <c r="CR44" s="100">
        <v>15.074921007227228</v>
      </c>
      <c r="CS44" s="100">
        <v>15412.599237789118</v>
      </c>
      <c r="CT44" s="100">
        <v>5.9368356255120744</v>
      </c>
      <c r="CU44" s="100">
        <v>6069.8207435235445</v>
      </c>
    </row>
    <row r="45" spans="2:99">
      <c r="C45" s="99" t="s">
        <v>211</v>
      </c>
      <c r="D45" s="100">
        <v>7.6341493189038605</v>
      </c>
      <c r="E45" s="100">
        <v>9536.5793291747032</v>
      </c>
      <c r="F45" s="100">
        <v>9.6158851074603984</v>
      </c>
      <c r="G45" s="100">
        <v>12012.16367623953</v>
      </c>
      <c r="H45" s="100">
        <v>15.314346456847591</v>
      </c>
      <c r="I45" s="100">
        <v>19130.681593894013</v>
      </c>
      <c r="J45" s="100">
        <v>14.943880325090298</v>
      </c>
      <c r="K45" s="100">
        <v>18667.895302102799</v>
      </c>
      <c r="L45" s="100">
        <v>9.9277518922391508</v>
      </c>
      <c r="M45" s="100">
        <v>12401.747663785147</v>
      </c>
      <c r="N45" s="100">
        <v>11.312389249628922</v>
      </c>
      <c r="O45" s="100">
        <v>14131.436650636449</v>
      </c>
      <c r="P45" s="100">
        <v>11.367970583795499</v>
      </c>
      <c r="Q45" s="100">
        <v>14200.868853277338</v>
      </c>
      <c r="R45" s="100">
        <v>8.6099091795928278</v>
      </c>
      <c r="S45" s="100">
        <v>10755.498547147361</v>
      </c>
      <c r="T45" s="100">
        <v>12.570975026992787</v>
      </c>
      <c r="U45" s="100">
        <v>15703.66200371939</v>
      </c>
      <c r="V45" s="100">
        <v>14</v>
      </c>
      <c r="W45" s="100">
        <v>17488.8</v>
      </c>
      <c r="X45" s="100">
        <v>17</v>
      </c>
      <c r="Y45" s="100">
        <v>21236.400000000001</v>
      </c>
      <c r="Z45" s="100">
        <v>7.5574646846910722</v>
      </c>
      <c r="AA45" s="100">
        <v>9440.7848841160885</v>
      </c>
      <c r="AB45" s="100">
        <v>15.66490477921846</v>
      </c>
      <c r="AC45" s="100">
        <v>19568.5990501997</v>
      </c>
      <c r="AD45" s="100">
        <v>14.151253265217246</v>
      </c>
      <c r="AE45" s="100">
        <v>17677.745578909384</v>
      </c>
      <c r="AF45" s="100">
        <v>9.9031163617801301</v>
      </c>
      <c r="AG45" s="100">
        <v>12370.972959135739</v>
      </c>
      <c r="AH45" s="100">
        <v>9.9271228384479944</v>
      </c>
      <c r="AI45" s="100">
        <v>12400.961849789235</v>
      </c>
      <c r="AJ45" s="100">
        <v>9.2981593868998722</v>
      </c>
      <c r="AK45" s="100">
        <v>11615.260706115321</v>
      </c>
      <c r="AL45" s="100">
        <v>13.810521510600141</v>
      </c>
      <c r="AM45" s="100">
        <v>17252.103471041697</v>
      </c>
      <c r="AN45" s="100">
        <v>8.9101884045710662</v>
      </c>
      <c r="AO45" s="100">
        <v>11130.607354990176</v>
      </c>
      <c r="AP45" s="100">
        <v>11.178350660470681</v>
      </c>
      <c r="AQ45" s="100">
        <v>13963.995645059975</v>
      </c>
      <c r="AR45" s="100">
        <v>11.334253617513259</v>
      </c>
      <c r="AS45" s="100">
        <v>14158.749618997563</v>
      </c>
      <c r="AT45" s="100">
        <v>8.9360675102546594</v>
      </c>
      <c r="AU45" s="100">
        <v>11162.935533810121</v>
      </c>
      <c r="AV45" s="100">
        <v>12.154210099566729</v>
      </c>
      <c r="AW45" s="100">
        <v>15183.039256378759</v>
      </c>
      <c r="AX45" s="100">
        <v>8.9654110617485117</v>
      </c>
      <c r="AY45" s="100">
        <v>11199.591498336242</v>
      </c>
      <c r="AZ45" s="100">
        <v>9.3929441232270836</v>
      </c>
      <c r="BA45" s="100">
        <v>11733.665798735274</v>
      </c>
      <c r="BB45" s="100">
        <v>10.342831468388196</v>
      </c>
      <c r="BC45" s="100">
        <v>12920.265070310536</v>
      </c>
      <c r="BD45" s="100">
        <v>12.520925395291105</v>
      </c>
      <c r="BE45" s="100">
        <v>15641.140003797649</v>
      </c>
      <c r="BF45" s="100">
        <v>14.14192968501972</v>
      </c>
      <c r="BG45" s="100">
        <v>17666.098562526637</v>
      </c>
      <c r="BH45" s="100">
        <v>13.905681667223542</v>
      </c>
      <c r="BI45" s="100">
        <v>17370.97753869565</v>
      </c>
      <c r="BJ45" s="100">
        <v>6.7655033440722878</v>
      </c>
      <c r="BK45" s="100">
        <v>8451.4667774151021</v>
      </c>
      <c r="BL45" s="100">
        <v>18.525446700905619</v>
      </c>
      <c r="BM45" s="100">
        <v>23141.988018771299</v>
      </c>
      <c r="BN45" s="100">
        <v>15.164642022635116</v>
      </c>
      <c r="BO45" s="100">
        <v>18943.670814675788</v>
      </c>
      <c r="BP45" s="100">
        <v>7.6643612886214392</v>
      </c>
      <c r="BQ45" s="100">
        <v>9574.3201217459027</v>
      </c>
      <c r="BR45" s="100">
        <v>12.177130960458383</v>
      </c>
      <c r="BS45" s="100">
        <v>15211.671995804612</v>
      </c>
      <c r="BT45" s="100">
        <v>16.99197222534761</v>
      </c>
      <c r="BU45" s="100">
        <v>21226.371703904235</v>
      </c>
      <c r="BV45" s="100">
        <v>10.601913172217762</v>
      </c>
      <c r="BW45" s="100">
        <v>13243.909934734429</v>
      </c>
      <c r="BX45" s="100">
        <v>9.3623509208728262</v>
      </c>
      <c r="BY45" s="100">
        <v>11695.448770354335</v>
      </c>
      <c r="BZ45" s="100">
        <v>11.196575472194601</v>
      </c>
      <c r="CA45" s="100">
        <v>13986.762079865495</v>
      </c>
      <c r="CB45" s="100">
        <v>15.505762171358004</v>
      </c>
      <c r="CC45" s="100">
        <v>19369.79810446042</v>
      </c>
      <c r="CD45" s="100">
        <v>6.2609782601037383</v>
      </c>
      <c r="CE45" s="100">
        <v>7821.2140425215903</v>
      </c>
      <c r="CF45" s="100">
        <v>12.223459940123245</v>
      </c>
      <c r="CG45" s="100">
        <v>15269.546157201958</v>
      </c>
      <c r="CH45" s="100">
        <v>8.9587100067757515</v>
      </c>
      <c r="CI45" s="100">
        <v>11191.22054046427</v>
      </c>
      <c r="CJ45" s="100">
        <v>14.674944515558028</v>
      </c>
      <c r="CK45" s="100">
        <v>18331.94068883509</v>
      </c>
      <c r="CL45" s="100">
        <v>4.7158955820048787</v>
      </c>
      <c r="CM45" s="100">
        <v>5891.096761040495</v>
      </c>
      <c r="CN45" s="100">
        <v>13.701264035369736</v>
      </c>
      <c r="CO45" s="100">
        <v>17115.619032983876</v>
      </c>
      <c r="CP45" s="100">
        <v>10.224241041249257</v>
      </c>
      <c r="CQ45" s="100">
        <v>12772.121908728574</v>
      </c>
      <c r="CR45" s="100">
        <v>15.989064526701345</v>
      </c>
      <c r="CS45" s="100">
        <v>19973.539406755321</v>
      </c>
      <c r="CT45" s="100">
        <v>5.9368356255120744</v>
      </c>
      <c r="CU45" s="100">
        <v>7416.2950633896835</v>
      </c>
    </row>
    <row r="46" spans="2:99">
      <c r="C46" s="99" t="s">
        <v>212</v>
      </c>
      <c r="D46" s="100">
        <v>8.3236058026067035</v>
      </c>
      <c r="E46" s="100">
        <v>10088.210232759324</v>
      </c>
      <c r="F46" s="100">
        <v>8.180430420832316</v>
      </c>
      <c r="G46" s="100">
        <v>9914.681670048767</v>
      </c>
      <c r="H46" s="100">
        <v>16.178214562117027</v>
      </c>
      <c r="I46" s="100">
        <v>19607.996049285837</v>
      </c>
      <c r="J46" s="100">
        <v>15.040749368055225</v>
      </c>
      <c r="K46" s="100">
        <v>18229.388234082933</v>
      </c>
      <c r="L46" s="100">
        <v>9.1484402058402363</v>
      </c>
      <c r="M46" s="100">
        <v>11087.909529478366</v>
      </c>
      <c r="N46" s="100">
        <v>10.555417109433453</v>
      </c>
      <c r="O46" s="100">
        <v>12793.165536633345</v>
      </c>
      <c r="P46" s="100">
        <v>12.813833835638158</v>
      </c>
      <c r="Q46" s="100">
        <v>15530.366608793449</v>
      </c>
      <c r="R46" s="100">
        <v>8.6099091795928278</v>
      </c>
      <c r="S46" s="100">
        <v>10435.209925666508</v>
      </c>
      <c r="T46" s="100">
        <v>10.794513703606942</v>
      </c>
      <c r="U46" s="100">
        <v>13082.950608771613</v>
      </c>
      <c r="V46" s="100">
        <v>15.052532195728034</v>
      </c>
      <c r="W46" s="100">
        <v>18243.669021222377</v>
      </c>
      <c r="X46" s="100">
        <v>16</v>
      </c>
      <c r="Y46" s="100">
        <v>19392</v>
      </c>
      <c r="Z46" s="100">
        <v>8.3906911675766711</v>
      </c>
      <c r="AA46" s="100">
        <v>10169.517695102926</v>
      </c>
      <c r="AB46" s="100">
        <v>17.20633356636187</v>
      </c>
      <c r="AC46" s="100">
        <v>20854.076282430586</v>
      </c>
      <c r="AD46" s="100">
        <v>13.375910746716253</v>
      </c>
      <c r="AE46" s="100">
        <v>16211.603825020098</v>
      </c>
      <c r="AF46" s="100">
        <v>9.9031163617801301</v>
      </c>
      <c r="AG46" s="100">
        <v>12002.577030477518</v>
      </c>
      <c r="AH46" s="100">
        <v>9.9271228384479944</v>
      </c>
      <c r="AI46" s="100">
        <v>12031.672880198968</v>
      </c>
      <c r="AJ46" s="100">
        <v>10.28429755153074</v>
      </c>
      <c r="AK46" s="100">
        <v>12464.568632455257</v>
      </c>
      <c r="AL46" s="100">
        <v>12.810521510600141</v>
      </c>
      <c r="AM46" s="100">
        <v>15526.352070847372</v>
      </c>
      <c r="AN46" s="100">
        <v>8.9101884045710662</v>
      </c>
      <c r="AO46" s="100">
        <v>10799.148346340133</v>
      </c>
      <c r="AP46" s="100">
        <v>10.327450025614977</v>
      </c>
      <c r="AQ46" s="100">
        <v>12516.869431045352</v>
      </c>
      <c r="AR46" s="100">
        <v>11.334253617513259</v>
      </c>
      <c r="AS46" s="100">
        <v>13737.11538442607</v>
      </c>
      <c r="AT46" s="100">
        <v>7.8289735699098841</v>
      </c>
      <c r="AU46" s="100">
        <v>9488.7159667307787</v>
      </c>
      <c r="AV46" s="100">
        <v>14.116533083192145</v>
      </c>
      <c r="AW46" s="100">
        <v>17109.238096828882</v>
      </c>
      <c r="AX46" s="100">
        <v>10.459646238706597</v>
      </c>
      <c r="AY46" s="100">
        <v>12677.091241312395</v>
      </c>
      <c r="AZ46" s="100">
        <v>9.9904786432961483</v>
      </c>
      <c r="BA46" s="100">
        <v>12108.460115674932</v>
      </c>
      <c r="BB46" s="100">
        <v>11.367970333100653</v>
      </c>
      <c r="BC46" s="100">
        <v>13777.980043717991</v>
      </c>
      <c r="BD46" s="100">
        <v>11.526509863151846</v>
      </c>
      <c r="BE46" s="100">
        <v>13970.129954140037</v>
      </c>
      <c r="BF46" s="100">
        <v>14.879728365200164</v>
      </c>
      <c r="BG46" s="100">
        <v>18034.230778622597</v>
      </c>
      <c r="BH46" s="100">
        <v>13.27306467575659</v>
      </c>
      <c r="BI46" s="100">
        <v>16086.954387016987</v>
      </c>
      <c r="BJ46" s="100">
        <v>6.2017113987329306</v>
      </c>
      <c r="BK46" s="100">
        <v>7516.4742152643121</v>
      </c>
      <c r="BL46" s="100">
        <v>17.552732166539972</v>
      </c>
      <c r="BM46" s="100">
        <v>21273.911385846444</v>
      </c>
      <c r="BN46" s="100">
        <v>15.164642022635116</v>
      </c>
      <c r="BO46" s="100">
        <v>18379.546131433759</v>
      </c>
      <c r="BP46" s="100">
        <v>6.8214803523858878</v>
      </c>
      <c r="BQ46" s="100">
        <v>8267.6341870916967</v>
      </c>
      <c r="BR46" s="100">
        <v>12.791078381221414</v>
      </c>
      <c r="BS46" s="100">
        <v>15502.786998040354</v>
      </c>
      <c r="BT46" s="100">
        <v>16.99197222534761</v>
      </c>
      <c r="BU46" s="100">
        <v>20594.270337121303</v>
      </c>
      <c r="BV46" s="100">
        <v>11.601913172217762</v>
      </c>
      <c r="BW46" s="100">
        <v>14061.518764727927</v>
      </c>
      <c r="BX46" s="100">
        <v>8.672845795410888</v>
      </c>
      <c r="BY46" s="100">
        <v>10511.489104037997</v>
      </c>
      <c r="BZ46" s="100">
        <v>9.731324109033638</v>
      </c>
      <c r="CA46" s="100">
        <v>11794.364820148769</v>
      </c>
      <c r="CB46" s="100">
        <v>18.122186445533341</v>
      </c>
      <c r="CC46" s="100">
        <v>21964.08997198641</v>
      </c>
      <c r="CD46" s="100">
        <v>6.716318658641832</v>
      </c>
      <c r="CE46" s="100">
        <v>8140.1782142739003</v>
      </c>
      <c r="CF46" s="100">
        <v>11.223459940123245</v>
      </c>
      <c r="CG46" s="100">
        <v>13602.833447429373</v>
      </c>
      <c r="CH46" s="100">
        <v>8.9587100067757515</v>
      </c>
      <c r="CI46" s="100">
        <v>10857.956528212211</v>
      </c>
      <c r="CJ46" s="100">
        <v>14.674944515558028</v>
      </c>
      <c r="CK46" s="100">
        <v>17786.032752856328</v>
      </c>
      <c r="CL46" s="100">
        <v>4.8632088940233622</v>
      </c>
      <c r="CM46" s="100">
        <v>5894.2091795563147</v>
      </c>
      <c r="CN46" s="100">
        <v>12.847139236392968</v>
      </c>
      <c r="CO46" s="100">
        <v>15570.732754508277</v>
      </c>
      <c r="CP46" s="100">
        <v>9.1206014470293013</v>
      </c>
      <c r="CQ46" s="100">
        <v>11054.168953799513</v>
      </c>
      <c r="CR46" s="100">
        <v>15.074921007227228</v>
      </c>
      <c r="CS46" s="100">
        <v>18270.8042607594</v>
      </c>
      <c r="CT46" s="100">
        <v>5.5579579966818278</v>
      </c>
      <c r="CU46" s="100">
        <v>6736.2450919783751</v>
      </c>
    </row>
    <row r="47" spans="2:99">
      <c r="C47" s="99" t="s">
        <v>213</v>
      </c>
      <c r="D47" s="100">
        <v>8.3286186024239619</v>
      </c>
      <c r="E47" s="100">
        <v>12722.797777062844</v>
      </c>
      <c r="F47" s="100">
        <v>8.180430420832316</v>
      </c>
      <c r="G47" s="100">
        <v>12496.425510863444</v>
      </c>
      <c r="H47" s="100">
        <v>14.575159228048207</v>
      </c>
      <c r="I47" s="100">
        <v>22265.013236766441</v>
      </c>
      <c r="J47" s="100">
        <v>14.943880325090298</v>
      </c>
      <c r="K47" s="100">
        <v>22828.271584607937</v>
      </c>
      <c r="L47" s="100">
        <v>9.9277518922391508</v>
      </c>
      <c r="M47" s="100">
        <v>15165.633790584527</v>
      </c>
      <c r="N47" s="100">
        <v>9.9214241395402247</v>
      </c>
      <c r="O47" s="100">
        <v>15155.967515561646</v>
      </c>
      <c r="P47" s="100">
        <v>10.606072463471142</v>
      </c>
      <c r="Q47" s="100">
        <v>16201.836295198515</v>
      </c>
      <c r="R47" s="100">
        <v>8.0590139192316919</v>
      </c>
      <c r="S47" s="100">
        <v>12310.949663018331</v>
      </c>
      <c r="T47" s="100">
        <v>10.649217210271939</v>
      </c>
      <c r="U47" s="100">
        <v>16267.744210411412</v>
      </c>
      <c r="V47" s="100">
        <v>14</v>
      </c>
      <c r="W47" s="100">
        <v>21386.399999999998</v>
      </c>
      <c r="X47" s="100">
        <v>16</v>
      </c>
      <c r="Y47" s="100">
        <v>24441.599999999999</v>
      </c>
      <c r="Z47" s="100">
        <v>8.3906911675766711</v>
      </c>
      <c r="AA47" s="100">
        <v>12817.619827590122</v>
      </c>
      <c r="AB47" s="100">
        <v>17.352776999990411</v>
      </c>
      <c r="AC47" s="100">
        <v>26508.102145185348</v>
      </c>
      <c r="AD47" s="100">
        <v>12.706069062088284</v>
      </c>
      <c r="AE47" s="100">
        <v>19409.79109924606</v>
      </c>
      <c r="AF47" s="100">
        <v>8.3444784757097139</v>
      </c>
      <c r="AG47" s="100">
        <v>12747.025319494158</v>
      </c>
      <c r="AH47" s="100">
        <v>10.652533103278044</v>
      </c>
      <c r="AI47" s="100">
        <v>16272.80956856754</v>
      </c>
      <c r="AJ47" s="100">
        <v>9.7794808051813593</v>
      </c>
      <c r="AK47" s="100">
        <v>14939.134877995044</v>
      </c>
      <c r="AL47" s="100">
        <v>11.810521510600141</v>
      </c>
      <c r="AM47" s="100">
        <v>18041.752659592774</v>
      </c>
      <c r="AN47" s="100">
        <v>8.9101884045710662</v>
      </c>
      <c r="AO47" s="100">
        <v>13611.203806822759</v>
      </c>
      <c r="AP47" s="100">
        <v>9.4765493907592759</v>
      </c>
      <c r="AQ47" s="100">
        <v>14476.376849323869</v>
      </c>
      <c r="AR47" s="100">
        <v>10.462387954627623</v>
      </c>
      <c r="AS47" s="100">
        <v>15982.343839489156</v>
      </c>
      <c r="AT47" s="100">
        <v>9.3544687474648125</v>
      </c>
      <c r="AU47" s="100">
        <v>14289.886458627247</v>
      </c>
      <c r="AV47" s="100">
        <v>13.135371591379437</v>
      </c>
      <c r="AW47" s="100">
        <v>20065.593642991225</v>
      </c>
      <c r="AX47" s="100">
        <v>8.9654110617485117</v>
      </c>
      <c r="AY47" s="100">
        <v>13695.561937927025</v>
      </c>
      <c r="AZ47" s="100">
        <v>10.588013163365215</v>
      </c>
      <c r="BA47" s="100">
        <v>16174.248908356702</v>
      </c>
      <c r="BB47" s="100">
        <v>10.342831468388196</v>
      </c>
      <c r="BC47" s="100">
        <v>15799.709351109808</v>
      </c>
      <c r="BD47" s="100">
        <v>10.448103043924016</v>
      </c>
      <c r="BE47" s="100">
        <v>15960.522209898327</v>
      </c>
      <c r="BF47" s="100">
        <v>14.238489870646118</v>
      </c>
      <c r="BG47" s="100">
        <v>21750.717126399009</v>
      </c>
      <c r="BH47" s="100">
        <v>13.163344314794706</v>
      </c>
      <c r="BI47" s="100">
        <v>20108.324775280391</v>
      </c>
      <c r="BJ47" s="100">
        <v>6.2017113987329306</v>
      </c>
      <c r="BK47" s="100">
        <v>9473.7343327044237</v>
      </c>
      <c r="BL47" s="100">
        <v>15.607303097808686</v>
      </c>
      <c r="BM47" s="100">
        <v>23841.716212212548</v>
      </c>
      <c r="BN47" s="100">
        <v>15.164642022635116</v>
      </c>
      <c r="BO47" s="100">
        <v>23165.507153777402</v>
      </c>
      <c r="BP47" s="100">
        <v>6.3998528092156164</v>
      </c>
      <c r="BQ47" s="100">
        <v>9776.4151513577744</v>
      </c>
      <c r="BR47" s="100">
        <v>11.563183539695352</v>
      </c>
      <c r="BS47" s="100">
        <v>17663.919175238618</v>
      </c>
      <c r="BT47" s="100">
        <v>15.077155224444432</v>
      </c>
      <c r="BU47" s="100">
        <v>23031.862320861313</v>
      </c>
      <c r="BV47" s="100">
        <v>10.68790076824887</v>
      </c>
      <c r="BW47" s="100">
        <v>16326.837213576973</v>
      </c>
      <c r="BX47" s="100">
        <v>9.3208193729307833</v>
      </c>
      <c r="BY47" s="100">
        <v>14238.483674089064</v>
      </c>
      <c r="BZ47" s="100">
        <v>9.731324109033638</v>
      </c>
      <c r="CA47" s="100">
        <v>14865.570708959784</v>
      </c>
      <c r="CB47" s="100">
        <v>15.618988496529854</v>
      </c>
      <c r="CC47" s="100">
        <v>23859.566827299004</v>
      </c>
      <c r="CD47" s="100">
        <v>6.2799428133420001</v>
      </c>
      <c r="CE47" s="100">
        <v>9593.2406416612394</v>
      </c>
      <c r="CF47" s="100">
        <v>11.398239931569424</v>
      </c>
      <c r="CG47" s="100">
        <v>17411.95131946545</v>
      </c>
      <c r="CH47" s="100">
        <v>9.8545810074533264</v>
      </c>
      <c r="CI47" s="100">
        <v>15053.857946985701</v>
      </c>
      <c r="CJ47" s="100">
        <v>14.674944515558028</v>
      </c>
      <c r="CK47" s="100">
        <v>22417.445241966441</v>
      </c>
      <c r="CL47" s="100">
        <v>4.8664601075293881</v>
      </c>
      <c r="CM47" s="100">
        <v>7434.0044602618927</v>
      </c>
      <c r="CN47" s="100">
        <v>12.995371244846</v>
      </c>
      <c r="CO47" s="100">
        <v>19851.729113626749</v>
      </c>
      <c r="CP47" s="100">
        <v>9.671165765719655</v>
      </c>
      <c r="CQ47" s="100">
        <v>14773.672823713345</v>
      </c>
      <c r="CR47" s="100">
        <v>15.226339697795614</v>
      </c>
      <c r="CS47" s="100">
        <v>23259.756522352578</v>
      </c>
      <c r="CT47" s="100">
        <v>5.529205777505072</v>
      </c>
      <c r="CU47" s="100">
        <v>8446.4147457167473</v>
      </c>
    </row>
    <row r="48" spans="2:99">
      <c r="C48" s="99" t="s">
        <v>214</v>
      </c>
      <c r="D48" s="100">
        <v>9.0130622863095482</v>
      </c>
      <c r="E48" s="100">
        <v>7819.7328396021639</v>
      </c>
      <c r="F48" s="100">
        <v>8.6572657736390646</v>
      </c>
      <c r="G48" s="100">
        <v>7511.0437852092527</v>
      </c>
      <c r="H48" s="100">
        <v>13.960652875718877</v>
      </c>
      <c r="I48" s="100">
        <v>12112.262434973698</v>
      </c>
      <c r="J48" s="100">
        <v>14.943880325090298</v>
      </c>
      <c r="K48" s="100">
        <v>12965.310570048343</v>
      </c>
      <c r="L48" s="100">
        <v>10.764491008854044</v>
      </c>
      <c r="M48" s="100">
        <v>9339.2723992817682</v>
      </c>
      <c r="N48" s="100">
        <v>10.678396279735695</v>
      </c>
      <c r="O48" s="100">
        <v>9264.5766122986897</v>
      </c>
      <c r="P48" s="100">
        <v>12.891766824444215</v>
      </c>
      <c r="Q48" s="100">
        <v>11184.896896887802</v>
      </c>
      <c r="R48" s="100">
        <v>9.2817564841309945</v>
      </c>
      <c r="S48" s="100">
        <v>8052.8519256320515</v>
      </c>
      <c r="T48" s="100">
        <v>12.570975026992787</v>
      </c>
      <c r="U48" s="100">
        <v>10906.577933418943</v>
      </c>
      <c r="V48" s="100">
        <v>15.935584173980475</v>
      </c>
      <c r="W48" s="100">
        <v>13825.712829345461</v>
      </c>
      <c r="X48" s="100">
        <v>15</v>
      </c>
      <c r="Y48" s="100">
        <v>13014</v>
      </c>
      <c r="Z48" s="100">
        <v>7.5574646846910722</v>
      </c>
      <c r="AA48" s="100">
        <v>6556.8563604379742</v>
      </c>
      <c r="AB48" s="100">
        <v>17.352776999990411</v>
      </c>
      <c r="AC48" s="100">
        <v>15055.269325191681</v>
      </c>
      <c r="AD48" s="100">
        <v>16.31902956991069</v>
      </c>
      <c r="AE48" s="100">
        <v>14158.390054854515</v>
      </c>
      <c r="AF48" s="100">
        <v>9.9031163617801301</v>
      </c>
      <c r="AG48" s="100">
        <v>8591.9437554804408</v>
      </c>
      <c r="AH48" s="100">
        <v>11.377943368108092</v>
      </c>
      <c r="AI48" s="100">
        <v>9871.5036661705799</v>
      </c>
      <c r="AJ48" s="100">
        <v>9.3216547149677655</v>
      </c>
      <c r="AK48" s="100">
        <v>8087.4676307060336</v>
      </c>
      <c r="AL48" s="100">
        <v>11.972625812720169</v>
      </c>
      <c r="AM48" s="100">
        <v>10387.450155116019</v>
      </c>
      <c r="AN48" s="100">
        <v>9.405198871491681</v>
      </c>
      <c r="AO48" s="100">
        <v>8159.9505409061831</v>
      </c>
      <c r="AP48" s="100">
        <v>11.178350660470681</v>
      </c>
      <c r="AQ48" s="100">
        <v>9698.3370330243633</v>
      </c>
      <c r="AR48" s="100">
        <v>11.334253617513259</v>
      </c>
      <c r="AS48" s="100">
        <v>9833.5984385545034</v>
      </c>
      <c r="AT48" s="100">
        <v>9.4418706108200414</v>
      </c>
      <c r="AU48" s="100">
        <v>8191.7669419474678</v>
      </c>
      <c r="AV48" s="100">
        <v>13.305550802582804</v>
      </c>
      <c r="AW48" s="100">
        <v>11543.895876320841</v>
      </c>
      <c r="AX48" s="100">
        <v>10.459646238706597</v>
      </c>
      <c r="AY48" s="100">
        <v>9074.7890767018434</v>
      </c>
      <c r="AZ48" s="100">
        <v>11.18554768343428</v>
      </c>
      <c r="BA48" s="100">
        <v>9704.5811701475814</v>
      </c>
      <c r="BB48" s="100">
        <v>11.367970333100653</v>
      </c>
      <c r="BC48" s="100">
        <v>9862.8510609981258</v>
      </c>
      <c r="BD48" s="100">
        <v>13.599332214518936</v>
      </c>
      <c r="BE48" s="100">
        <v>11798.780629316629</v>
      </c>
      <c r="BF48" s="100">
        <v>14.976288550826558</v>
      </c>
      <c r="BG48" s="100">
        <v>12993.427946697122</v>
      </c>
      <c r="BH48" s="100">
        <v>13.905681667223542</v>
      </c>
      <c r="BI48" s="100">
        <v>12064.569414483145</v>
      </c>
      <c r="BJ48" s="100">
        <v>6.2017113987329306</v>
      </c>
      <c r="BK48" s="100">
        <v>5380.6048095406904</v>
      </c>
      <c r="BL48" s="100">
        <v>17.722163013593981</v>
      </c>
      <c r="BM48" s="100">
        <v>15375.748630594138</v>
      </c>
      <c r="BN48" s="100">
        <v>15.962781076458016</v>
      </c>
      <c r="BO48" s="100">
        <v>13849.308861934975</v>
      </c>
      <c r="BP48" s="100">
        <v>7.6647354387264341</v>
      </c>
      <c r="BQ48" s="100">
        <v>6649.9244666390541</v>
      </c>
      <c r="BR48" s="100">
        <v>13.393898372864992</v>
      </c>
      <c r="BS48" s="100">
        <v>11620.546228297668</v>
      </c>
      <c r="BT48" s="100">
        <v>15.077155224444432</v>
      </c>
      <c r="BU48" s="100">
        <v>13080.939872727989</v>
      </c>
      <c r="BV48" s="100">
        <v>11.773888364279978</v>
      </c>
      <c r="BW48" s="100">
        <v>10215.02554484931</v>
      </c>
      <c r="BX48" s="100">
        <v>9.3208193729307833</v>
      </c>
      <c r="BY48" s="100">
        <v>8086.7428879547479</v>
      </c>
      <c r="BZ48" s="100">
        <v>11.196575472194601</v>
      </c>
      <c r="CA48" s="100">
        <v>9714.1488796760368</v>
      </c>
      <c r="CB48" s="100">
        <v>18.235412770705189</v>
      </c>
      <c r="CC48" s="100">
        <v>15821.044119863822</v>
      </c>
      <c r="CD48" s="100">
        <v>7.1716590571799239</v>
      </c>
      <c r="CE48" s="100">
        <v>6222.1313980093018</v>
      </c>
      <c r="CF48" s="100">
        <v>13.398239931569424</v>
      </c>
      <c r="CG48" s="100">
        <v>11624.312964629633</v>
      </c>
      <c r="CH48" s="100">
        <v>9.8545810074533264</v>
      </c>
      <c r="CI48" s="100">
        <v>8549.8344820665061</v>
      </c>
      <c r="CJ48" s="100">
        <v>15.390017581593604</v>
      </c>
      <c r="CK48" s="100">
        <v>13352.37925379061</v>
      </c>
      <c r="CL48" s="100">
        <v>5.8175901004939083</v>
      </c>
      <c r="CM48" s="100">
        <v>5047.3411711885146</v>
      </c>
      <c r="CN48" s="100">
        <v>14.703620842799538</v>
      </c>
      <c r="CO48" s="100">
        <v>12756.86144321288</v>
      </c>
      <c r="CP48" s="100">
        <v>9.6736767225589073</v>
      </c>
      <c r="CQ48" s="100">
        <v>8392.8819244921087</v>
      </c>
      <c r="CR48" s="100">
        <v>15.226339697795614</v>
      </c>
      <c r="CS48" s="100">
        <v>13210.372321807476</v>
      </c>
      <c r="CT48" s="100">
        <v>5.529205777505072</v>
      </c>
      <c r="CU48" s="100">
        <v>4797.1389325634009</v>
      </c>
    </row>
    <row r="49" spans="2:99">
      <c r="B49" s="99" t="s">
        <v>129</v>
      </c>
      <c r="C49" s="99" t="s">
        <v>215</v>
      </c>
      <c r="D49" s="100">
        <v>6.9934226169350575</v>
      </c>
      <c r="E49" s="100">
        <v>6889.919962204418</v>
      </c>
      <c r="F49" s="100">
        <v>8</v>
      </c>
      <c r="G49" s="100">
        <v>7881.5999999999995</v>
      </c>
      <c r="H49" s="100">
        <v>4.2378533478539033</v>
      </c>
      <c r="I49" s="100">
        <v>4175.1331183056654</v>
      </c>
      <c r="J49" s="100">
        <v>7.1988471827988869</v>
      </c>
      <c r="K49" s="100">
        <v>7092.3042444934626</v>
      </c>
      <c r="L49" s="100">
        <v>10.849227403580951</v>
      </c>
      <c r="M49" s="100">
        <v>10688.658838007952</v>
      </c>
      <c r="N49" s="100">
        <v>11</v>
      </c>
      <c r="O49" s="100">
        <v>10837.199999999999</v>
      </c>
      <c r="P49" s="100">
        <v>6.3147232500859571</v>
      </c>
      <c r="Q49" s="100">
        <v>6221.2653459846842</v>
      </c>
      <c r="R49" s="100">
        <v>9.872668710842234</v>
      </c>
      <c r="S49" s="100">
        <v>9726.5532139217685</v>
      </c>
      <c r="T49" s="100">
        <v>4.2819057833951923</v>
      </c>
      <c r="U49" s="100">
        <v>4218.533577800943</v>
      </c>
      <c r="V49" s="100">
        <v>5.783064777690857</v>
      </c>
      <c r="W49" s="100">
        <v>5697.4754189810319</v>
      </c>
      <c r="X49" s="100">
        <v>5.4303222607479551</v>
      </c>
      <c r="Y49" s="100">
        <v>5349.9534912888848</v>
      </c>
      <c r="Z49" s="100">
        <v>5.9390337095628842</v>
      </c>
      <c r="AA49" s="100">
        <v>5851.1360106613529</v>
      </c>
      <c r="AB49" s="100">
        <v>5.5668133426525479</v>
      </c>
      <c r="AC49" s="100">
        <v>5484.4245051812895</v>
      </c>
      <c r="AD49" s="100">
        <v>4.4420092041700947</v>
      </c>
      <c r="AE49" s="100">
        <v>4376.2674679483771</v>
      </c>
      <c r="AF49" s="100">
        <v>5.7025171865345037</v>
      </c>
      <c r="AG49" s="100">
        <v>5618.1199321737922</v>
      </c>
      <c r="AH49" s="100">
        <v>11</v>
      </c>
      <c r="AI49" s="100">
        <v>10837.199999999999</v>
      </c>
      <c r="AJ49" s="100">
        <v>6</v>
      </c>
      <c r="AK49" s="100">
        <v>5911.2</v>
      </c>
      <c r="AL49" s="100">
        <v>6.8387921164411267</v>
      </c>
      <c r="AM49" s="100">
        <v>6737.5779931177976</v>
      </c>
      <c r="AN49" s="100">
        <v>9.2662650562745679</v>
      </c>
      <c r="AO49" s="100">
        <v>9129.1243334417031</v>
      </c>
      <c r="AP49" s="100">
        <v>9.5322318587442254</v>
      </c>
      <c r="AQ49" s="100">
        <v>9391.15482723481</v>
      </c>
      <c r="AR49" s="100">
        <v>6.3444441164682699</v>
      </c>
      <c r="AS49" s="100">
        <v>6250.546343544539</v>
      </c>
      <c r="AT49" s="100">
        <v>8.6615454459610302</v>
      </c>
      <c r="AU49" s="100">
        <v>8533.3545733608062</v>
      </c>
      <c r="AV49" s="100">
        <v>8.9044442378043822</v>
      </c>
      <c r="AW49" s="100">
        <v>8772.6584630848774</v>
      </c>
      <c r="AX49" s="100">
        <v>9</v>
      </c>
      <c r="AY49" s="100">
        <v>8866.7999999999993</v>
      </c>
      <c r="AZ49" s="100">
        <v>7.2582274616067277</v>
      </c>
      <c r="BA49" s="100">
        <v>7150.8056951749477</v>
      </c>
      <c r="BB49" s="100">
        <v>6.9988601731915203</v>
      </c>
      <c r="BC49" s="100">
        <v>6895.277042628285</v>
      </c>
      <c r="BD49" s="100">
        <v>5.0003876056829126</v>
      </c>
      <c r="BE49" s="100">
        <v>4926.3818691188053</v>
      </c>
      <c r="BF49" s="100">
        <v>6.6464988051300598</v>
      </c>
      <c r="BG49" s="100">
        <v>6548.1306228141348</v>
      </c>
      <c r="BH49" s="100">
        <v>8.6504140167112933</v>
      </c>
      <c r="BI49" s="100">
        <v>8522.3878892639659</v>
      </c>
      <c r="BJ49" s="100">
        <v>7.5311796373872415</v>
      </c>
      <c r="BK49" s="100">
        <v>7419.7181787539103</v>
      </c>
      <c r="BL49" s="100">
        <v>6.494375803650926</v>
      </c>
      <c r="BM49" s="100">
        <v>6398.2590417568917</v>
      </c>
      <c r="BN49" s="100">
        <v>6.7262805634654574</v>
      </c>
      <c r="BO49" s="100">
        <v>6626.731611126168</v>
      </c>
      <c r="BP49" s="100">
        <v>10.258865282762992</v>
      </c>
      <c r="BQ49" s="100">
        <v>10107.034076578098</v>
      </c>
      <c r="BR49" s="100">
        <v>5.7103541765171961</v>
      </c>
      <c r="BS49" s="100">
        <v>5625.8409347047409</v>
      </c>
      <c r="BT49" s="100">
        <v>8.7206215410989589</v>
      </c>
      <c r="BU49" s="100">
        <v>8591.5563422906944</v>
      </c>
      <c r="BV49" s="100">
        <v>7.256298985798769</v>
      </c>
      <c r="BW49" s="100">
        <v>7148.905760808947</v>
      </c>
      <c r="BX49" s="100">
        <v>9.0563751888606792</v>
      </c>
      <c r="BY49" s="100">
        <v>8922.3408360655412</v>
      </c>
      <c r="BZ49" s="100">
        <v>4.5174867418717444</v>
      </c>
      <c r="CA49" s="100">
        <v>4450.6279380920423</v>
      </c>
      <c r="CB49" s="100">
        <v>10.654299053550318</v>
      </c>
      <c r="CC49" s="100">
        <v>10496.615427557772</v>
      </c>
      <c r="CD49" s="100">
        <v>7.9141059961041842</v>
      </c>
      <c r="CE49" s="100">
        <v>7796.9772273618419</v>
      </c>
      <c r="CF49" s="100">
        <v>7.7006332061914096</v>
      </c>
      <c r="CG49" s="100">
        <v>7586.6638347397766</v>
      </c>
      <c r="CH49" s="100">
        <v>6.2714389516935229</v>
      </c>
      <c r="CI49" s="100">
        <v>6178.6216552084579</v>
      </c>
      <c r="CJ49" s="100">
        <v>7.1692829191272036</v>
      </c>
      <c r="CK49" s="100">
        <v>7063.1775319241206</v>
      </c>
      <c r="CL49" s="100">
        <v>9.0424550823447571</v>
      </c>
      <c r="CM49" s="100">
        <v>8908.6267471260544</v>
      </c>
      <c r="CN49" s="100">
        <v>6.9815724354782143</v>
      </c>
      <c r="CO49" s="100">
        <v>6878.2451634331364</v>
      </c>
      <c r="CP49" s="100">
        <v>4.7752767826768112</v>
      </c>
      <c r="CQ49" s="100">
        <v>4704.602686293194</v>
      </c>
      <c r="CR49" s="100">
        <v>8.4028195808827757</v>
      </c>
      <c r="CS49" s="100">
        <v>8278.45785108571</v>
      </c>
      <c r="CT49" s="100">
        <v>8.6465080406729022</v>
      </c>
      <c r="CU49" s="100">
        <v>8518.5397216709425</v>
      </c>
    </row>
    <row r="50" spans="2:99">
      <c r="C50" s="99" t="s">
        <v>216</v>
      </c>
      <c r="D50" s="100">
        <v>4.8713105842752267</v>
      </c>
      <c r="E50" s="100">
        <v>1373.709584765614</v>
      </c>
      <c r="F50" s="100">
        <v>4.8178398101458786</v>
      </c>
      <c r="G50" s="100">
        <v>1358.6308264611378</v>
      </c>
      <c r="H50" s="100">
        <v>6.3087927097916987</v>
      </c>
      <c r="I50" s="100">
        <v>1779.079544161259</v>
      </c>
      <c r="J50" s="100">
        <v>5.9440999984534599</v>
      </c>
      <c r="K50" s="100">
        <v>1676.2361995638757</v>
      </c>
      <c r="L50" s="100">
        <v>6.8202480568982873</v>
      </c>
      <c r="M50" s="100">
        <v>1923.309952045317</v>
      </c>
      <c r="N50" s="100">
        <v>8.0520148602798738</v>
      </c>
      <c r="O50" s="100">
        <v>2270.6681905989244</v>
      </c>
      <c r="P50" s="100">
        <v>6.5786295927628178</v>
      </c>
      <c r="Q50" s="100">
        <v>1855.1735451591146</v>
      </c>
      <c r="R50" s="100">
        <v>6.91662933707505</v>
      </c>
      <c r="S50" s="100">
        <v>1950.4894730551641</v>
      </c>
      <c r="T50" s="100">
        <v>5.9278223725969719</v>
      </c>
      <c r="U50" s="100">
        <v>1671.6459090723461</v>
      </c>
      <c r="V50" s="100">
        <v>7.5847401087377966</v>
      </c>
      <c r="W50" s="100">
        <v>2138.8967106640584</v>
      </c>
      <c r="X50" s="100">
        <v>7</v>
      </c>
      <c r="Y50" s="100">
        <v>1974</v>
      </c>
      <c r="Z50" s="100">
        <v>8.3582320905096292</v>
      </c>
      <c r="AA50" s="100">
        <v>2357.0214495237155</v>
      </c>
      <c r="AB50" s="100">
        <v>6.7862133744730766</v>
      </c>
      <c r="AC50" s="100">
        <v>1913.7121716014076</v>
      </c>
      <c r="AD50" s="100">
        <v>6.7670809987628964</v>
      </c>
      <c r="AE50" s="100">
        <v>1908.3168416511369</v>
      </c>
      <c r="AF50" s="100">
        <v>6.8960983987108229</v>
      </c>
      <c r="AG50" s="100">
        <v>1944.699748436452</v>
      </c>
      <c r="AH50" s="100">
        <v>7.9496078022208012</v>
      </c>
      <c r="AI50" s="100">
        <v>2241.789400226266</v>
      </c>
      <c r="AJ50" s="100">
        <v>3.1933677745715268</v>
      </c>
      <c r="AK50" s="100">
        <v>900.52971242917056</v>
      </c>
      <c r="AL50" s="100">
        <v>7.6484172084801134</v>
      </c>
      <c r="AM50" s="100">
        <v>2156.8536527913921</v>
      </c>
      <c r="AN50" s="100">
        <v>4.9501046692061479</v>
      </c>
      <c r="AO50" s="100">
        <v>1395.9295167161338</v>
      </c>
      <c r="AP50" s="100">
        <v>9.4765493907592759</v>
      </c>
      <c r="AQ50" s="100">
        <v>2672.3869281941156</v>
      </c>
      <c r="AR50" s="100">
        <v>7.8467909659707171</v>
      </c>
      <c r="AS50" s="100">
        <v>2212.7950524037424</v>
      </c>
      <c r="AT50" s="100">
        <v>5.2452060119135977</v>
      </c>
      <c r="AU50" s="100">
        <v>1479.1480953596345</v>
      </c>
      <c r="AV50" s="100">
        <v>12.795013168972703</v>
      </c>
      <c r="AW50" s="100">
        <v>3608.1937136503025</v>
      </c>
      <c r="AX50" s="100">
        <v>7.4711758847904273</v>
      </c>
      <c r="AY50" s="100">
        <v>2106.8715995109005</v>
      </c>
      <c r="AZ50" s="100">
        <v>5.7002554222649158</v>
      </c>
      <c r="BA50" s="100">
        <v>1607.4720290787063</v>
      </c>
      <c r="BB50" s="100">
        <v>8.8260943352197536</v>
      </c>
      <c r="BC50" s="100">
        <v>2488.9586025319704</v>
      </c>
      <c r="BD50" s="100">
        <v>6.4704409153669831</v>
      </c>
      <c r="BE50" s="100">
        <v>1824.6643381334893</v>
      </c>
      <c r="BF50" s="100">
        <v>5.8058292558171374</v>
      </c>
      <c r="BG50" s="100">
        <v>1637.2438501404326</v>
      </c>
      <c r="BH50" s="100">
        <v>5.7865859220515574</v>
      </c>
      <c r="BI50" s="100">
        <v>1631.8172300185392</v>
      </c>
      <c r="BJ50" s="100">
        <v>5.6379194533935735</v>
      </c>
      <c r="BK50" s="100">
        <v>1589.8932858569876</v>
      </c>
      <c r="BL50" s="100">
        <v>6.5140105944098821</v>
      </c>
      <c r="BM50" s="100">
        <v>1836.9509876235868</v>
      </c>
      <c r="BN50" s="100">
        <v>6.3851124305832068</v>
      </c>
      <c r="BO50" s="100">
        <v>1800.6017054244644</v>
      </c>
      <c r="BP50" s="100">
        <v>5.1218356776037171</v>
      </c>
      <c r="BQ50" s="100">
        <v>1444.3576610842483</v>
      </c>
      <c r="BR50" s="100">
        <v>4.742943691292103</v>
      </c>
      <c r="BS50" s="100">
        <v>1337.5101209443731</v>
      </c>
      <c r="BT50" s="100">
        <v>9.4759097652690087</v>
      </c>
      <c r="BU50" s="100">
        <v>2672.2065538058605</v>
      </c>
      <c r="BV50" s="100">
        <v>8.5159255761866515</v>
      </c>
      <c r="BW50" s="100">
        <v>2401.4910124846356</v>
      </c>
      <c r="BX50" s="100">
        <v>7.9833406699489506</v>
      </c>
      <c r="BY50" s="100">
        <v>2251.3020689256041</v>
      </c>
      <c r="BZ50" s="100">
        <v>7.2984930817752298</v>
      </c>
      <c r="CA50" s="100">
        <v>2058.1750490606146</v>
      </c>
      <c r="CB50" s="100">
        <v>10.046460972663631</v>
      </c>
      <c r="CC50" s="100">
        <v>2833.1019942911439</v>
      </c>
      <c r="CD50" s="100">
        <v>4.4600689643515867</v>
      </c>
      <c r="CE50" s="100">
        <v>1257.7394479471475</v>
      </c>
      <c r="CF50" s="100">
        <v>11.87389995723089</v>
      </c>
      <c r="CG50" s="100">
        <v>3348.4397879391108</v>
      </c>
      <c r="CH50" s="100">
        <v>8.0628390060981765</v>
      </c>
      <c r="CI50" s="100">
        <v>2273.7205997196857</v>
      </c>
      <c r="CJ50" s="100">
        <v>5.3789946570955536</v>
      </c>
      <c r="CK50" s="100">
        <v>1516.8764933009461</v>
      </c>
      <c r="CL50" s="100">
        <v>4.6510733656259475</v>
      </c>
      <c r="CM50" s="100">
        <v>1311.6026891065171</v>
      </c>
      <c r="CN50" s="100">
        <v>7.5741584340793189</v>
      </c>
      <c r="CO50" s="100">
        <v>2135.9126784103678</v>
      </c>
      <c r="CP50" s="100">
        <v>4.5912068626290923</v>
      </c>
      <c r="CQ50" s="100">
        <v>1294.720335261404</v>
      </c>
      <c r="CR50" s="100">
        <v>10.9640908576256</v>
      </c>
      <c r="CS50" s="100">
        <v>3091.8736218504191</v>
      </c>
      <c r="CT50" s="100">
        <v>4.2271705820514009</v>
      </c>
      <c r="CU50" s="100">
        <v>1192.062104138495</v>
      </c>
    </row>
    <row r="51" spans="2:99">
      <c r="C51" s="99" t="s">
        <v>217</v>
      </c>
      <c r="D51" s="100">
        <v>4.8713105842752267</v>
      </c>
      <c r="E51" s="100">
        <v>4162.0477632047532</v>
      </c>
      <c r="F51" s="100">
        <v>4.34100445733913</v>
      </c>
      <c r="G51" s="100">
        <v>3708.9542083505526</v>
      </c>
      <c r="H51" s="100">
        <v>5.5669489497440061</v>
      </c>
      <c r="I51" s="100">
        <v>4756.4011826612787</v>
      </c>
      <c r="J51" s="100">
        <v>5.9440999984534599</v>
      </c>
      <c r="K51" s="100">
        <v>5078.6390386786361</v>
      </c>
      <c r="L51" s="100">
        <v>6.2724351008977086</v>
      </c>
      <c r="M51" s="100">
        <v>5359.1685502070022</v>
      </c>
      <c r="N51" s="100">
        <v>8.0539395048566345</v>
      </c>
      <c r="O51" s="100">
        <v>6881.2859129495082</v>
      </c>
      <c r="P51" s="100">
        <v>7.3389430433540124</v>
      </c>
      <c r="Q51" s="100">
        <v>6270.3929362416684</v>
      </c>
      <c r="R51" s="100">
        <v>6.218716616626339</v>
      </c>
      <c r="S51" s="100">
        <v>5313.2714772455438</v>
      </c>
      <c r="T51" s="100">
        <v>5.9278223725969719</v>
      </c>
      <c r="U51" s="100">
        <v>5064.7314351468531</v>
      </c>
      <c r="V51" s="100">
        <v>6.7016881304853557</v>
      </c>
      <c r="W51" s="100">
        <v>5725.9223386866879</v>
      </c>
      <c r="X51" s="100">
        <v>7</v>
      </c>
      <c r="Y51" s="100">
        <v>5980.8</v>
      </c>
      <c r="Z51" s="100">
        <v>7.5250056076240304</v>
      </c>
      <c r="AA51" s="100">
        <v>6429.3647911539711</v>
      </c>
      <c r="AB51" s="100">
        <v>6.7862133744730766</v>
      </c>
      <c r="AC51" s="100">
        <v>5798.1407071497961</v>
      </c>
      <c r="AD51" s="100">
        <v>5.3218967956339354</v>
      </c>
      <c r="AE51" s="100">
        <v>4547.028622189634</v>
      </c>
      <c r="AF51" s="100">
        <v>6.116779455675613</v>
      </c>
      <c r="AG51" s="100">
        <v>5226.1763669292432</v>
      </c>
      <c r="AH51" s="100">
        <v>7.9496078022208012</v>
      </c>
      <c r="AI51" s="100">
        <v>6792.1449062174524</v>
      </c>
      <c r="AJ51" s="100">
        <v>3.1933677745715268</v>
      </c>
      <c r="AK51" s="100">
        <v>2728.4134265939124</v>
      </c>
      <c r="AL51" s="100">
        <v>8.6484172084801134</v>
      </c>
      <c r="AM51" s="100">
        <v>7389.2076629254088</v>
      </c>
      <c r="AN51" s="100">
        <v>5.4451151361267627</v>
      </c>
      <c r="AO51" s="100">
        <v>4652.3063723067062</v>
      </c>
      <c r="AP51" s="100">
        <v>9.4765493907592759</v>
      </c>
      <c r="AQ51" s="100">
        <v>8096.7637994647248</v>
      </c>
      <c r="AR51" s="100">
        <v>7.8467909659707171</v>
      </c>
      <c r="AS51" s="100">
        <v>6704.2982013253804</v>
      </c>
      <c r="AT51" s="100">
        <v>5.7510091124789797</v>
      </c>
      <c r="AU51" s="100">
        <v>4913.66218570204</v>
      </c>
      <c r="AV51" s="100">
        <v>11.813851677159995</v>
      </c>
      <c r="AW51" s="100">
        <v>10093.754872965499</v>
      </c>
      <c r="AX51" s="100">
        <v>7.4711758847904273</v>
      </c>
      <c r="AY51" s="100">
        <v>6383.3726759649408</v>
      </c>
      <c r="AZ51" s="100">
        <v>5.1027209021958502</v>
      </c>
      <c r="BA51" s="100">
        <v>4359.7647388361347</v>
      </c>
      <c r="BB51" s="100">
        <v>7.800955470507299</v>
      </c>
      <c r="BC51" s="100">
        <v>6665.1363540014363</v>
      </c>
      <c r="BD51" s="100">
        <v>6.4704409153669831</v>
      </c>
      <c r="BE51" s="100">
        <v>5528.34471808955</v>
      </c>
      <c r="BF51" s="100">
        <v>5.1645907612630921</v>
      </c>
      <c r="BG51" s="100">
        <v>4412.6263464231861</v>
      </c>
      <c r="BH51" s="100">
        <v>5.7883122765270603</v>
      </c>
      <c r="BI51" s="100">
        <v>4945.5340090647205</v>
      </c>
      <c r="BJ51" s="100">
        <v>4.5103355627148582</v>
      </c>
      <c r="BK51" s="100">
        <v>3853.6307047835749</v>
      </c>
      <c r="BL51" s="100">
        <v>6.6834414414638879</v>
      </c>
      <c r="BM51" s="100">
        <v>5710.3323675867459</v>
      </c>
      <c r="BN51" s="100">
        <v>6.3851124305832068</v>
      </c>
      <c r="BO51" s="100">
        <v>5455.4400606902918</v>
      </c>
      <c r="BP51" s="100">
        <v>4.7114718860095453</v>
      </c>
      <c r="BQ51" s="100">
        <v>4025.4815794065553</v>
      </c>
      <c r="BR51" s="100">
        <v>4.8542716277798226</v>
      </c>
      <c r="BS51" s="100">
        <v>4147.4896787750804</v>
      </c>
      <c r="BT51" s="100">
        <v>8.3752957212833046</v>
      </c>
      <c r="BU51" s="100">
        <v>7155.8526642644556</v>
      </c>
      <c r="BV51" s="100">
        <v>8.5159255761866515</v>
      </c>
      <c r="BW51" s="100">
        <v>7276.0068122938746</v>
      </c>
      <c r="BX51" s="100">
        <v>7.3353670924290553</v>
      </c>
      <c r="BY51" s="100">
        <v>6267.337643771385</v>
      </c>
      <c r="BZ51" s="100">
        <v>6.6833443914532324</v>
      </c>
      <c r="CA51" s="100">
        <v>5710.2494480576415</v>
      </c>
      <c r="CB51" s="100">
        <v>10.046460972663631</v>
      </c>
      <c r="CC51" s="100">
        <v>8583.6962550438056</v>
      </c>
      <c r="CD51" s="100">
        <v>4.4598564293284495</v>
      </c>
      <c r="CE51" s="100">
        <v>3810.501333218227</v>
      </c>
      <c r="CF51" s="100">
        <v>10.87389995723089</v>
      </c>
      <c r="CG51" s="100">
        <v>9290.6601234580721</v>
      </c>
      <c r="CH51" s="100">
        <v>7.1669680054206006</v>
      </c>
      <c r="CI51" s="100">
        <v>6123.4574638313607</v>
      </c>
      <c r="CJ51" s="100">
        <v>5.3789946570955536</v>
      </c>
      <c r="CK51" s="100">
        <v>4595.813035022441</v>
      </c>
      <c r="CL51" s="100">
        <v>4.6543245791319725</v>
      </c>
      <c r="CM51" s="100">
        <v>3976.6549204103571</v>
      </c>
      <c r="CN51" s="100">
        <v>7.4259264256262858</v>
      </c>
      <c r="CO51" s="100">
        <v>6344.7115380550986</v>
      </c>
      <c r="CP51" s="100">
        <v>4.6467417487598475</v>
      </c>
      <c r="CQ51" s="100">
        <v>3970.1761501404135</v>
      </c>
      <c r="CR51" s="100">
        <v>10.812672167057213</v>
      </c>
      <c r="CS51" s="100">
        <v>9238.3470995336829</v>
      </c>
      <c r="CT51" s="100">
        <v>4.2271705820514009</v>
      </c>
      <c r="CU51" s="100">
        <v>3611.6945453047169</v>
      </c>
    </row>
    <row r="52" spans="2:99">
      <c r="C52" s="99" t="s">
        <v>218</v>
      </c>
      <c r="D52" s="100">
        <v>4.1768413007551253</v>
      </c>
      <c r="E52" s="100">
        <v>2255.4943024077675</v>
      </c>
      <c r="F52" s="100">
        <v>4.34100445733913</v>
      </c>
      <c r="G52" s="100">
        <v>2344.1424069631303</v>
      </c>
      <c r="H52" s="100">
        <v>5.6916298262140597</v>
      </c>
      <c r="I52" s="100">
        <v>3073.4801061555922</v>
      </c>
      <c r="J52" s="100">
        <v>5.9440999984534599</v>
      </c>
      <c r="K52" s="100">
        <v>3209.8139991648682</v>
      </c>
      <c r="L52" s="100">
        <v>6.8202480568982873</v>
      </c>
      <c r="M52" s="100">
        <v>3682.9339507250752</v>
      </c>
      <c r="N52" s="100">
        <v>8.0520148602798738</v>
      </c>
      <c r="O52" s="100">
        <v>4348.0880245511316</v>
      </c>
      <c r="P52" s="100">
        <v>7.3389430433540124</v>
      </c>
      <c r="Q52" s="100">
        <v>3963.0292434111666</v>
      </c>
      <c r="R52" s="100">
        <v>6.91662933707505</v>
      </c>
      <c r="S52" s="100">
        <v>3734.979842020527</v>
      </c>
      <c r="T52" s="100">
        <v>5.9278223725969719</v>
      </c>
      <c r="U52" s="100">
        <v>3201.0240812023649</v>
      </c>
      <c r="V52" s="100">
        <v>7.5847401087377966</v>
      </c>
      <c r="W52" s="100">
        <v>4095.7596587184103</v>
      </c>
      <c r="X52" s="100">
        <v>7</v>
      </c>
      <c r="Y52" s="100">
        <v>3780</v>
      </c>
      <c r="Z52" s="100">
        <v>7.5250056076240304</v>
      </c>
      <c r="AA52" s="100">
        <v>4063.5030281169766</v>
      </c>
      <c r="AB52" s="100">
        <v>6.7862133744730766</v>
      </c>
      <c r="AC52" s="100">
        <v>3664.5552222154615</v>
      </c>
      <c r="AD52" s="100">
        <v>5.3218967956339354</v>
      </c>
      <c r="AE52" s="100">
        <v>2873.8242696423249</v>
      </c>
      <c r="AF52" s="100">
        <v>6.0065216466040878</v>
      </c>
      <c r="AG52" s="100">
        <v>3243.5216891662076</v>
      </c>
      <c r="AH52" s="100">
        <v>7.9496078022208012</v>
      </c>
      <c r="AI52" s="100">
        <v>4292.7882131992328</v>
      </c>
      <c r="AJ52" s="100">
        <v>3.1933677745715268</v>
      </c>
      <c r="AK52" s="100">
        <v>1724.4185982686245</v>
      </c>
      <c r="AL52" s="100">
        <v>8.6484172084801134</v>
      </c>
      <c r="AM52" s="100">
        <v>4670.145292579261</v>
      </c>
      <c r="AN52" s="100">
        <v>5.4451151361267627</v>
      </c>
      <c r="AO52" s="100">
        <v>2940.3621735084516</v>
      </c>
      <c r="AP52" s="100">
        <v>8.6256487559035744</v>
      </c>
      <c r="AQ52" s="100">
        <v>4657.8503281879302</v>
      </c>
      <c r="AR52" s="100">
        <v>7.8467909659707171</v>
      </c>
      <c r="AS52" s="100">
        <v>4237.267121624187</v>
      </c>
      <c r="AT52" s="100">
        <v>5.2218091361311254</v>
      </c>
      <c r="AU52" s="100">
        <v>2819.7769335108078</v>
      </c>
      <c r="AV52" s="100">
        <v>11.813851677159995</v>
      </c>
      <c r="AW52" s="100">
        <v>6379.4799056663978</v>
      </c>
      <c r="AX52" s="100">
        <v>6.7240582963113846</v>
      </c>
      <c r="AY52" s="100">
        <v>3630.9914800081478</v>
      </c>
      <c r="AZ52" s="100">
        <v>5.7002554222649158</v>
      </c>
      <c r="BA52" s="100">
        <v>3078.1379280230544</v>
      </c>
      <c r="BB52" s="100">
        <v>8.6927091861556374</v>
      </c>
      <c r="BC52" s="100">
        <v>4694.0629605240438</v>
      </c>
      <c r="BD52" s="100">
        <v>6.4704409153669831</v>
      </c>
      <c r="BE52" s="100">
        <v>3494.038094298171</v>
      </c>
      <c r="BF52" s="100">
        <v>5.7092690701907394</v>
      </c>
      <c r="BG52" s="100">
        <v>3083.0052979029992</v>
      </c>
      <c r="BH52" s="100">
        <v>5.7865859220515574</v>
      </c>
      <c r="BI52" s="100">
        <v>3124.7563979078409</v>
      </c>
      <c r="BJ52" s="100">
        <v>4.5103355627148582</v>
      </c>
      <c r="BK52" s="100">
        <v>2435.5812038660233</v>
      </c>
      <c r="BL52" s="100">
        <v>7.4867251287755261</v>
      </c>
      <c r="BM52" s="100">
        <v>4042.8315695387842</v>
      </c>
      <c r="BN52" s="100">
        <v>7.1832514844061075</v>
      </c>
      <c r="BO52" s="100">
        <v>3878.9558015792982</v>
      </c>
      <c r="BP52" s="100">
        <v>4.7002081344334439</v>
      </c>
      <c r="BQ52" s="100">
        <v>2538.1123925940597</v>
      </c>
      <c r="BR52" s="100">
        <v>4.245887921576518</v>
      </c>
      <c r="BS52" s="100">
        <v>2292.7794776513197</v>
      </c>
      <c r="BT52" s="100">
        <v>9.3327042217348932</v>
      </c>
      <c r="BU52" s="100">
        <v>5039.6602797368423</v>
      </c>
      <c r="BV52" s="100">
        <v>8.4299379801555432</v>
      </c>
      <c r="BW52" s="100">
        <v>4552.166509283993</v>
      </c>
      <c r="BX52" s="100">
        <v>7.9833406699489506</v>
      </c>
      <c r="BY52" s="100">
        <v>4311.0039617724333</v>
      </c>
      <c r="BZ52" s="100">
        <v>7.2984930817752298</v>
      </c>
      <c r="CA52" s="100">
        <v>3941.186264158624</v>
      </c>
      <c r="CB52" s="100">
        <v>10.046460972663631</v>
      </c>
      <c r="CC52" s="100">
        <v>5425.0889252383604</v>
      </c>
      <c r="CD52" s="100">
        <v>4.4598564293284495</v>
      </c>
      <c r="CE52" s="100">
        <v>2408.3224718373626</v>
      </c>
      <c r="CF52" s="100">
        <v>12.048679948677067</v>
      </c>
      <c r="CG52" s="100">
        <v>6506.2871722856162</v>
      </c>
      <c r="CH52" s="100">
        <v>8.9587100067757515</v>
      </c>
      <c r="CI52" s="100">
        <v>4837.7034036589057</v>
      </c>
      <c r="CJ52" s="100">
        <v>5.3256399149746212</v>
      </c>
      <c r="CK52" s="100">
        <v>2875.8455540862956</v>
      </c>
      <c r="CL52" s="100">
        <v>5.1592849389194217</v>
      </c>
      <c r="CM52" s="100">
        <v>2786.0138670164879</v>
      </c>
      <c r="CN52" s="100">
        <v>7.5741584340793189</v>
      </c>
      <c r="CO52" s="100">
        <v>4090.0455544028323</v>
      </c>
      <c r="CP52" s="100">
        <v>4.0949219516498694</v>
      </c>
      <c r="CQ52" s="100">
        <v>2211.2578538909293</v>
      </c>
      <c r="CR52" s="100">
        <v>10.812672167057213</v>
      </c>
      <c r="CS52" s="100">
        <v>5838.8429702108951</v>
      </c>
      <c r="CT52" s="100">
        <v>4.6050323528677044</v>
      </c>
      <c r="CU52" s="100">
        <v>2486.7174705485604</v>
      </c>
    </row>
    <row r="53" spans="2:99">
      <c r="C53" s="99" t="s">
        <v>219</v>
      </c>
      <c r="D53" s="100">
        <v>4.8713105842752267</v>
      </c>
      <c r="E53" s="100">
        <v>1981.6491456831623</v>
      </c>
      <c r="F53" s="100">
        <v>4.8203141242497978</v>
      </c>
      <c r="G53" s="100">
        <v>1960.9037857448177</v>
      </c>
      <c r="H53" s="100">
        <v>7.1700042838128271</v>
      </c>
      <c r="I53" s="100">
        <v>2916.7577426550583</v>
      </c>
      <c r="J53" s="100">
        <v>5.8472309554885342</v>
      </c>
      <c r="K53" s="100">
        <v>2378.653552692736</v>
      </c>
      <c r="L53" s="100">
        <v>6.2724351008977086</v>
      </c>
      <c r="M53" s="100">
        <v>2551.626599045188</v>
      </c>
      <c r="N53" s="100">
        <v>7.296967364661163</v>
      </c>
      <c r="O53" s="100">
        <v>2968.4063239441612</v>
      </c>
      <c r="P53" s="100">
        <v>6.5022812736899258</v>
      </c>
      <c r="Q53" s="100">
        <v>2645.1280221370621</v>
      </c>
      <c r="R53" s="100">
        <v>6.218716616626339</v>
      </c>
      <c r="S53" s="100">
        <v>2529.7739196435946</v>
      </c>
      <c r="T53" s="100">
        <v>5.9312728584168566</v>
      </c>
      <c r="U53" s="100">
        <v>2412.8417988039773</v>
      </c>
      <c r="V53" s="100">
        <v>7.5847401087377966</v>
      </c>
      <c r="W53" s="100">
        <v>3085.4722762345359</v>
      </c>
      <c r="X53" s="100">
        <v>6</v>
      </c>
      <c r="Y53" s="100">
        <v>2440.8000000000002</v>
      </c>
      <c r="Z53" s="100">
        <v>7.5250056076240304</v>
      </c>
      <c r="AA53" s="100">
        <v>3061.1722811814557</v>
      </c>
      <c r="AB53" s="100">
        <v>6.7862133744730766</v>
      </c>
      <c r="AC53" s="100">
        <v>2760.6316007356477</v>
      </c>
      <c r="AD53" s="100">
        <v>6.0444888971984163</v>
      </c>
      <c r="AE53" s="100">
        <v>2458.8980833803157</v>
      </c>
      <c r="AF53" s="100">
        <v>6.116779455675613</v>
      </c>
      <c r="AG53" s="100">
        <v>2488.3058825688395</v>
      </c>
      <c r="AH53" s="100">
        <v>9.4004283318808959</v>
      </c>
      <c r="AI53" s="100">
        <v>3824.0942454091487</v>
      </c>
      <c r="AJ53" s="100">
        <v>3.1933677745715268</v>
      </c>
      <c r="AK53" s="100">
        <v>1299.0620106956972</v>
      </c>
      <c r="AL53" s="100">
        <v>8.6484172084801134</v>
      </c>
      <c r="AM53" s="100">
        <v>3518.1761204097102</v>
      </c>
      <c r="AN53" s="100">
        <v>5.4451151361267627</v>
      </c>
      <c r="AO53" s="100">
        <v>2215.0728373763673</v>
      </c>
      <c r="AP53" s="100">
        <v>10.327450025614977</v>
      </c>
      <c r="AQ53" s="100">
        <v>4201.2066704201734</v>
      </c>
      <c r="AR53" s="100">
        <v>7.8467909659707171</v>
      </c>
      <c r="AS53" s="100">
        <v>3192.074564956888</v>
      </c>
      <c r="AT53" s="100">
        <v>6.2334153372618903</v>
      </c>
      <c r="AU53" s="100">
        <v>2535.7533591981369</v>
      </c>
      <c r="AV53" s="100">
        <v>11.643672465956628</v>
      </c>
      <c r="AW53" s="100">
        <v>4736.6459591511566</v>
      </c>
      <c r="AX53" s="100">
        <v>7.4711758847904273</v>
      </c>
      <c r="AY53" s="100">
        <v>3039.2743499327457</v>
      </c>
      <c r="AZ53" s="100">
        <v>5.7002554222649158</v>
      </c>
      <c r="BA53" s="100">
        <v>2318.863905777368</v>
      </c>
      <c r="BB53" s="100">
        <v>8.8260943352197536</v>
      </c>
      <c r="BC53" s="100">
        <v>3590.4551755673961</v>
      </c>
      <c r="BD53" s="100">
        <v>5.9664931928355509</v>
      </c>
      <c r="BE53" s="100">
        <v>2427.1694308455021</v>
      </c>
      <c r="BF53" s="100">
        <v>5.8058292558171374</v>
      </c>
      <c r="BG53" s="100">
        <v>2361.8113412664115</v>
      </c>
      <c r="BH53" s="100">
        <v>5.7848595675760528</v>
      </c>
      <c r="BI53" s="100">
        <v>2353.2808720899384</v>
      </c>
      <c r="BJ53" s="100">
        <v>4.5103355627148582</v>
      </c>
      <c r="BK53" s="100">
        <v>1834.8045069124043</v>
      </c>
      <c r="BL53" s="100">
        <v>6.5140105944098821</v>
      </c>
      <c r="BM53" s="100">
        <v>2649.8995098059399</v>
      </c>
      <c r="BN53" s="100">
        <v>7.1832514844061075</v>
      </c>
      <c r="BO53" s="100">
        <v>2922.1467038564047</v>
      </c>
      <c r="BP53" s="100">
        <v>4.6998339843284471</v>
      </c>
      <c r="BQ53" s="100">
        <v>1911.8924648248124</v>
      </c>
      <c r="BR53" s="100">
        <v>4.742943691292103</v>
      </c>
      <c r="BS53" s="100">
        <v>1929.4294936176275</v>
      </c>
      <c r="BT53" s="100">
        <v>9.4759097652690087</v>
      </c>
      <c r="BU53" s="100">
        <v>3854.8000925114329</v>
      </c>
      <c r="BV53" s="100">
        <v>8.5159255761866515</v>
      </c>
      <c r="BW53" s="100">
        <v>3464.2785243927301</v>
      </c>
      <c r="BX53" s="100">
        <v>7.9833406699489506</v>
      </c>
      <c r="BY53" s="100">
        <v>3247.6229845352332</v>
      </c>
      <c r="BZ53" s="100">
        <v>6.5658674001947492</v>
      </c>
      <c r="CA53" s="100">
        <v>2670.9948583992241</v>
      </c>
      <c r="CB53" s="100">
        <v>10.918602397388742</v>
      </c>
      <c r="CC53" s="100">
        <v>4441.6874552577401</v>
      </c>
      <c r="CD53" s="100">
        <v>4.4411044111133249</v>
      </c>
      <c r="CE53" s="100">
        <v>1806.6412744409006</v>
      </c>
      <c r="CF53" s="100">
        <v>12.048679948677067</v>
      </c>
      <c r="CG53" s="100">
        <v>4901.4030031218308</v>
      </c>
      <c r="CH53" s="100">
        <v>8.9587100067757515</v>
      </c>
      <c r="CI53" s="100">
        <v>3644.4032307563757</v>
      </c>
      <c r="CJ53" s="100">
        <v>6.0940677231311291</v>
      </c>
      <c r="CK53" s="100">
        <v>2479.0667497697432</v>
      </c>
      <c r="CL53" s="100">
        <v>4.7196177327544024</v>
      </c>
      <c r="CM53" s="100">
        <v>1919.940493684491</v>
      </c>
      <c r="CN53" s="100">
        <v>6.5718016266495169</v>
      </c>
      <c r="CO53" s="100">
        <v>2673.4089017210235</v>
      </c>
      <c r="CP53" s="100">
        <v>4.5912068626290923</v>
      </c>
      <c r="CQ53" s="100">
        <v>1867.7029517175147</v>
      </c>
      <c r="CR53" s="100">
        <v>9.8985286475830954</v>
      </c>
      <c r="CS53" s="100">
        <v>4026.7214538368034</v>
      </c>
      <c r="CT53" s="100">
        <v>5.0424302780654049</v>
      </c>
      <c r="CU53" s="100">
        <v>2051.2606371170068</v>
      </c>
    </row>
    <row r="54" spans="2:99">
      <c r="C54" s="99" t="s">
        <v>220</v>
      </c>
      <c r="D54" s="100">
        <v>4.8713105842752267</v>
      </c>
      <c r="E54" s="100">
        <v>1630.9147836153459</v>
      </c>
      <c r="F54" s="100">
        <v>4.34100445733913</v>
      </c>
      <c r="G54" s="100">
        <v>1453.3682923171407</v>
      </c>
      <c r="H54" s="100">
        <v>5.5669489497440061</v>
      </c>
      <c r="I54" s="100">
        <v>1863.8145083742934</v>
      </c>
      <c r="J54" s="100">
        <v>5.9440999984534599</v>
      </c>
      <c r="K54" s="100">
        <v>1990.0846794822185</v>
      </c>
      <c r="L54" s="100">
        <v>5.7520102098850581</v>
      </c>
      <c r="M54" s="100">
        <v>1925.7730182695175</v>
      </c>
      <c r="N54" s="100">
        <v>8.0520148602798738</v>
      </c>
      <c r="O54" s="100">
        <v>2695.8145752217019</v>
      </c>
      <c r="P54" s="100">
        <v>6.5022812736899258</v>
      </c>
      <c r="Q54" s="100">
        <v>2176.9637704313873</v>
      </c>
      <c r="R54" s="100">
        <v>7.3716160613070691</v>
      </c>
      <c r="S54" s="100">
        <v>2468.0170573256069</v>
      </c>
      <c r="T54" s="100">
        <v>5.9278223725969719</v>
      </c>
      <c r="U54" s="100">
        <v>1984.6349303454663</v>
      </c>
      <c r="V54" s="100">
        <v>7.5847401087377966</v>
      </c>
      <c r="W54" s="100">
        <v>2539.3709884054142</v>
      </c>
      <c r="X54" s="100">
        <v>7</v>
      </c>
      <c r="Y54" s="100">
        <v>2343.6</v>
      </c>
      <c r="Z54" s="100">
        <v>8.3517402750962209</v>
      </c>
      <c r="AA54" s="100">
        <v>2796.1626441022149</v>
      </c>
      <c r="AB54" s="100">
        <v>5.9422772640871004</v>
      </c>
      <c r="AC54" s="100">
        <v>1989.4744280163613</v>
      </c>
      <c r="AD54" s="100">
        <v>6.0444888971984163</v>
      </c>
      <c r="AE54" s="100">
        <v>2023.6948827820299</v>
      </c>
      <c r="AF54" s="100">
        <v>6.0065216466040878</v>
      </c>
      <c r="AG54" s="100">
        <v>2010.9834472830487</v>
      </c>
      <c r="AH54" s="100">
        <v>8.6750180670508481</v>
      </c>
      <c r="AI54" s="100">
        <v>2904.3960488486241</v>
      </c>
      <c r="AJ54" s="100">
        <v>3.1698724465036343</v>
      </c>
      <c r="AK54" s="100">
        <v>1061.2732950894167</v>
      </c>
      <c r="AL54" s="100">
        <v>8.6484172084801134</v>
      </c>
      <c r="AM54" s="100">
        <v>2895.4900813991421</v>
      </c>
      <c r="AN54" s="100">
        <v>5.0267332135504574</v>
      </c>
      <c r="AO54" s="100">
        <v>1682.9502798966932</v>
      </c>
      <c r="AP54" s="100">
        <v>9.3383289561589535</v>
      </c>
      <c r="AQ54" s="100">
        <v>3126.4725345220177</v>
      </c>
      <c r="AR54" s="100">
        <v>8.718656628856353</v>
      </c>
      <c r="AS54" s="100">
        <v>2919.0062393411072</v>
      </c>
      <c r="AT54" s="100">
        <v>5.2452060119135977</v>
      </c>
      <c r="AU54" s="100">
        <v>1756.0949727886725</v>
      </c>
      <c r="AV54" s="100">
        <v>10.66251097414392</v>
      </c>
      <c r="AW54" s="100">
        <v>3569.8086741433845</v>
      </c>
      <c r="AX54" s="100">
        <v>8.218293473269469</v>
      </c>
      <c r="AY54" s="100">
        <v>2751.4846548506184</v>
      </c>
      <c r="AZ54" s="100">
        <v>6.2440491520600929</v>
      </c>
      <c r="BA54" s="100">
        <v>2090.5076561097194</v>
      </c>
      <c r="BB54" s="100">
        <v>7.9343406195714152</v>
      </c>
      <c r="BC54" s="100">
        <v>2656.4172394325101</v>
      </c>
      <c r="BD54" s="100">
        <v>5.9664931928355509</v>
      </c>
      <c r="BE54" s="100">
        <v>1997.5819209613426</v>
      </c>
      <c r="BF54" s="100">
        <v>5.1645907612630921</v>
      </c>
      <c r="BG54" s="100">
        <v>1729.1049868708833</v>
      </c>
      <c r="BH54" s="100">
        <v>6.4433718761755587</v>
      </c>
      <c r="BI54" s="100">
        <v>2157.2409041435772</v>
      </c>
      <c r="BJ54" s="100">
        <v>4.5103355627148582</v>
      </c>
      <c r="BK54" s="100">
        <v>1510.0603463969346</v>
      </c>
      <c r="BL54" s="100">
        <v>6.6834414414638879</v>
      </c>
      <c r="BM54" s="100">
        <v>2237.6161946021098</v>
      </c>
      <c r="BN54" s="100">
        <v>5.5869733767603051</v>
      </c>
      <c r="BO54" s="100">
        <v>1870.5186865393503</v>
      </c>
      <c r="BP54" s="100">
        <v>4.7005822845384397</v>
      </c>
      <c r="BQ54" s="100">
        <v>1573.7549488634697</v>
      </c>
      <c r="BR54" s="100">
        <v>4.7373799767323748</v>
      </c>
      <c r="BS54" s="100">
        <v>1586.0748162099992</v>
      </c>
      <c r="BT54" s="100">
        <v>9.3327042217348932</v>
      </c>
      <c r="BU54" s="100">
        <v>3124.5893734368424</v>
      </c>
      <c r="BV54" s="100">
        <v>8.4299379801555432</v>
      </c>
      <c r="BW54" s="100">
        <v>2822.343235756076</v>
      </c>
      <c r="BX54" s="100">
        <v>7.3353670924290553</v>
      </c>
      <c r="BY54" s="100">
        <v>2455.8809025452479</v>
      </c>
      <c r="BZ54" s="100">
        <v>7.2984930817752298</v>
      </c>
      <c r="CA54" s="100">
        <v>2443.535483778347</v>
      </c>
      <c r="CB54" s="100">
        <v>10.046460972663631</v>
      </c>
      <c r="CC54" s="100">
        <v>3363.5551336477838</v>
      </c>
      <c r="CD54" s="100">
        <v>4.8964448096514186</v>
      </c>
      <c r="CE54" s="100">
        <v>1639.3297222712949</v>
      </c>
      <c r="CF54" s="100">
        <v>12.048679948677067</v>
      </c>
      <c r="CG54" s="100">
        <v>4033.8980468170821</v>
      </c>
      <c r="CH54" s="100">
        <v>8.9587100067757515</v>
      </c>
      <c r="CI54" s="100">
        <v>2999.3761102685216</v>
      </c>
      <c r="CJ54" s="100">
        <v>5.3789946570955536</v>
      </c>
      <c r="CK54" s="100">
        <v>1800.8874111955913</v>
      </c>
      <c r="CL54" s="100">
        <v>4.7163665192483766</v>
      </c>
      <c r="CM54" s="100">
        <v>1579.0395106443566</v>
      </c>
      <c r="CN54" s="100">
        <v>7.4259264256262858</v>
      </c>
      <c r="CO54" s="100">
        <v>2486.2001672996807</v>
      </c>
      <c r="CP54" s="100">
        <v>5.1430266597390704</v>
      </c>
      <c r="CQ54" s="100">
        <v>1721.8853256806408</v>
      </c>
      <c r="CR54" s="100">
        <v>10.049947338151485</v>
      </c>
      <c r="CS54" s="100">
        <v>3364.7223688131171</v>
      </c>
      <c r="CT54" s="100">
        <v>4.5703412853394889</v>
      </c>
      <c r="CU54" s="100">
        <v>1530.150262331661</v>
      </c>
    </row>
    <row r="55" spans="2:99">
      <c r="C55" s="99" t="s">
        <v>221</v>
      </c>
      <c r="D55" s="100">
        <v>4.1768413007551253</v>
      </c>
      <c r="E55" s="100">
        <v>2771.7518871811012</v>
      </c>
      <c r="F55" s="100">
        <v>4.34100445733913</v>
      </c>
      <c r="G55" s="100">
        <v>2880.690557890247</v>
      </c>
      <c r="H55" s="100">
        <v>5.5669489497440061</v>
      </c>
      <c r="I55" s="100">
        <v>3694.2273230501228</v>
      </c>
      <c r="J55" s="100">
        <v>5.0811044211079768</v>
      </c>
      <c r="K55" s="100">
        <v>3371.8208938472535</v>
      </c>
      <c r="L55" s="100">
        <v>6.2450470359097814</v>
      </c>
      <c r="M55" s="100">
        <v>4144.2132130297314</v>
      </c>
      <c r="N55" s="100">
        <v>8.8070623558985837</v>
      </c>
      <c r="O55" s="100">
        <v>5844.3665793743003</v>
      </c>
      <c r="P55" s="100">
        <v>7.2610100545479588</v>
      </c>
      <c r="Q55" s="100">
        <v>4818.4062721980254</v>
      </c>
      <c r="R55" s="100">
        <v>7.5520441901117028</v>
      </c>
      <c r="S55" s="100">
        <v>5011.5365245581261</v>
      </c>
      <c r="T55" s="100">
        <v>5.9312728584168566</v>
      </c>
      <c r="U55" s="100">
        <v>3935.9926688454261</v>
      </c>
      <c r="V55" s="100">
        <v>6.5847401087377966</v>
      </c>
      <c r="W55" s="100">
        <v>4369.6335361584015</v>
      </c>
      <c r="X55" s="100">
        <v>7</v>
      </c>
      <c r="Y55" s="100">
        <v>4645.2</v>
      </c>
      <c r="Z55" s="100">
        <v>8.3582320905096292</v>
      </c>
      <c r="AA55" s="100">
        <v>5546.5228152621903</v>
      </c>
      <c r="AB55" s="100">
        <v>5.9422772640871004</v>
      </c>
      <c r="AC55" s="100">
        <v>3943.2951924481999</v>
      </c>
      <c r="AD55" s="100">
        <v>6.0444888971984163</v>
      </c>
      <c r="AE55" s="100">
        <v>4011.1228321808694</v>
      </c>
      <c r="AF55" s="100">
        <v>5.337460512640404</v>
      </c>
      <c r="AG55" s="100">
        <v>3541.9387961881721</v>
      </c>
      <c r="AH55" s="100">
        <v>9.4004283318808959</v>
      </c>
      <c r="AI55" s="100">
        <v>6238.1242410361629</v>
      </c>
      <c r="AJ55" s="100">
        <v>3.1933677745715268</v>
      </c>
      <c r="AK55" s="100">
        <v>2119.1188552056651</v>
      </c>
      <c r="AL55" s="100">
        <v>8.6484172084801134</v>
      </c>
      <c r="AM55" s="100">
        <v>5739.0896595474032</v>
      </c>
      <c r="AN55" s="100">
        <v>4.9501046692061479</v>
      </c>
      <c r="AO55" s="100">
        <v>3284.8894584852001</v>
      </c>
      <c r="AP55" s="100">
        <v>10.189229591014657</v>
      </c>
      <c r="AQ55" s="100">
        <v>6761.5727565973266</v>
      </c>
      <c r="AR55" s="100">
        <v>7.8467909659707171</v>
      </c>
      <c r="AS55" s="100">
        <v>5207.1304850181677</v>
      </c>
      <c r="AT55" s="100">
        <v>5.2218091361311254</v>
      </c>
      <c r="AU55" s="100">
        <v>3465.192542736615</v>
      </c>
      <c r="AV55" s="100">
        <v>11.643672465956628</v>
      </c>
      <c r="AW55" s="100">
        <v>7726.7410484088186</v>
      </c>
      <c r="AX55" s="100">
        <v>6.7240582963113846</v>
      </c>
      <c r="AY55" s="100">
        <v>4462.0850854322352</v>
      </c>
      <c r="AZ55" s="100">
        <v>5.1027209021958502</v>
      </c>
      <c r="BA55" s="100">
        <v>3386.1655906971664</v>
      </c>
      <c r="BB55" s="100">
        <v>8.6927091861556374</v>
      </c>
      <c r="BC55" s="100">
        <v>5768.4818159328815</v>
      </c>
      <c r="BD55" s="100">
        <v>5.9664931928355509</v>
      </c>
      <c r="BE55" s="100">
        <v>3959.3648827656716</v>
      </c>
      <c r="BF55" s="100">
        <v>5.068030575636695</v>
      </c>
      <c r="BG55" s="100">
        <v>3363.1450899925107</v>
      </c>
      <c r="BH55" s="100">
        <v>5.7848595675760528</v>
      </c>
      <c r="BI55" s="100">
        <v>3838.8328090434688</v>
      </c>
      <c r="BJ55" s="100">
        <v>4.5103355627148582</v>
      </c>
      <c r="BK55" s="100">
        <v>2993.0586794175802</v>
      </c>
      <c r="BL55" s="100">
        <v>7.4867251287755261</v>
      </c>
      <c r="BM55" s="100">
        <v>4968.190795455439</v>
      </c>
      <c r="BN55" s="100">
        <v>6.3851124305832068</v>
      </c>
      <c r="BO55" s="100">
        <v>4237.1606089350162</v>
      </c>
      <c r="BP55" s="100">
        <v>5.1218356776037171</v>
      </c>
      <c r="BQ55" s="100">
        <v>3398.8501556578267</v>
      </c>
      <c r="BR55" s="100">
        <v>4.1345599850887984</v>
      </c>
      <c r="BS55" s="100">
        <v>2743.6940061049268</v>
      </c>
      <c r="BT55" s="100">
        <v>9.3327042217348932</v>
      </c>
      <c r="BU55" s="100">
        <v>6193.1825215432755</v>
      </c>
      <c r="BV55" s="100">
        <v>8.5159255761866515</v>
      </c>
      <c r="BW55" s="100">
        <v>5651.1682123574619</v>
      </c>
      <c r="BX55" s="100">
        <v>7.9833406699489506</v>
      </c>
      <c r="BY55" s="100">
        <v>5297.7448685781237</v>
      </c>
      <c r="BZ55" s="100">
        <v>7.4159700730337139</v>
      </c>
      <c r="CA55" s="100">
        <v>4921.2377404651725</v>
      </c>
      <c r="CB55" s="100">
        <v>9.17431954793852</v>
      </c>
      <c r="CC55" s="100">
        <v>6088.0784520120023</v>
      </c>
      <c r="CD55" s="100">
        <v>4.8774802564131567</v>
      </c>
      <c r="CE55" s="100">
        <v>3236.6958981557709</v>
      </c>
      <c r="CF55" s="100">
        <v>12.87389995723089</v>
      </c>
      <c r="CG55" s="100">
        <v>8543.1200116184191</v>
      </c>
      <c r="CH55" s="100">
        <v>8.0628390060981765</v>
      </c>
      <c r="CI55" s="100">
        <v>5350.4999644467498</v>
      </c>
      <c r="CJ55" s="100">
        <v>5.3789946570955536</v>
      </c>
      <c r="CK55" s="100">
        <v>3569.5008544486095</v>
      </c>
      <c r="CL55" s="100">
        <v>4.7196177327544024</v>
      </c>
      <c r="CM55" s="100">
        <v>3131.9383274558218</v>
      </c>
      <c r="CN55" s="100">
        <v>7.4259264256262858</v>
      </c>
      <c r="CO55" s="100">
        <v>4927.8447760456038</v>
      </c>
      <c r="CP55" s="100">
        <v>4.589951384209467</v>
      </c>
      <c r="CQ55" s="100">
        <v>3045.8917385614022</v>
      </c>
      <c r="CR55" s="100">
        <v>10.812672167057213</v>
      </c>
      <c r="CS55" s="100">
        <v>7175.289250059167</v>
      </c>
      <c r="CT55" s="100">
        <v>4.6348004300584034</v>
      </c>
      <c r="CU55" s="100">
        <v>3075.6535653867568</v>
      </c>
    </row>
    <row r="56" spans="2:99">
      <c r="C56" s="99" t="s">
        <v>222</v>
      </c>
      <c r="D56" s="100">
        <v>7</v>
      </c>
      <c r="E56" s="100">
        <v>6871.1999999999989</v>
      </c>
      <c r="F56" s="100">
        <v>8.1829775452387779</v>
      </c>
      <c r="G56" s="100">
        <v>8032.410758406384</v>
      </c>
      <c r="H56" s="100">
        <v>3.2065483684170597</v>
      </c>
      <c r="I56" s="100">
        <v>3147.5478784381853</v>
      </c>
      <c r="J56" s="100">
        <v>7.3182636390650142</v>
      </c>
      <c r="K56" s="100">
        <v>7183.607588106217</v>
      </c>
      <c r="L56" s="100">
        <v>8.4595606781407842</v>
      </c>
      <c r="M56" s="100">
        <v>8303.9047616629923</v>
      </c>
      <c r="N56" s="100">
        <v>6.5537467792465476</v>
      </c>
      <c r="O56" s="100">
        <v>6433.1578385084104</v>
      </c>
      <c r="P56" s="100">
        <v>4.2039984632621206</v>
      </c>
      <c r="Q56" s="100">
        <v>4126.644891538097</v>
      </c>
      <c r="R56" s="100">
        <v>9.0351604321232966</v>
      </c>
      <c r="S56" s="100">
        <v>8868.9134801722266</v>
      </c>
      <c r="T56" s="100">
        <v>5.3416241842274799</v>
      </c>
      <c r="U56" s="100">
        <v>5243.3382992376937</v>
      </c>
      <c r="V56" s="100">
        <v>3.844537218052253</v>
      </c>
      <c r="W56" s="100">
        <v>3773.797733240091</v>
      </c>
      <c r="X56" s="100">
        <v>4.3399182073607392</v>
      </c>
      <c r="Y56" s="100">
        <v>4260.0637123453016</v>
      </c>
      <c r="Z56" s="100">
        <v>6.4805877104892291</v>
      </c>
      <c r="AA56" s="100">
        <v>6361.3448966162268</v>
      </c>
      <c r="AB56" s="100">
        <v>5.3665004839550638</v>
      </c>
      <c r="AC56" s="100">
        <v>5267.7568750502905</v>
      </c>
      <c r="AD56" s="100">
        <v>5.469067900497695</v>
      </c>
      <c r="AE56" s="100">
        <v>5368.437051128537</v>
      </c>
      <c r="AF56" s="100">
        <v>6.3574443736506216</v>
      </c>
      <c r="AG56" s="100">
        <v>6240.4673971754501</v>
      </c>
      <c r="AH56" s="100">
        <v>5.9569520413523751</v>
      </c>
      <c r="AI56" s="100">
        <v>5847.3441237914913</v>
      </c>
      <c r="AJ56" s="100">
        <v>4.8543420350127953</v>
      </c>
      <c r="AK56" s="100">
        <v>4765.0221415685592</v>
      </c>
      <c r="AL56" s="100">
        <v>5.7599241605637816</v>
      </c>
      <c r="AM56" s="100">
        <v>5653.9415560094076</v>
      </c>
      <c r="AN56" s="100">
        <v>7.3011413179615117</v>
      </c>
      <c r="AO56" s="100">
        <v>7166.8003177110195</v>
      </c>
      <c r="AP56" s="100">
        <v>5.8880459202044797</v>
      </c>
      <c r="AQ56" s="100">
        <v>5779.7058752727171</v>
      </c>
      <c r="AR56" s="100">
        <v>7.7872231870387632</v>
      </c>
      <c r="AS56" s="100">
        <v>7643.9382803972494</v>
      </c>
      <c r="AT56" s="100">
        <v>8.5346607129832837</v>
      </c>
      <c r="AU56" s="100">
        <v>8377.62295586439</v>
      </c>
      <c r="AV56" s="100">
        <v>6.2048183745186281</v>
      </c>
      <c r="AW56" s="100">
        <v>6090.6497164274851</v>
      </c>
      <c r="AX56" s="100">
        <v>7.6143524364203552</v>
      </c>
      <c r="AY56" s="100">
        <v>7474.2483515902204</v>
      </c>
      <c r="AZ56" s="100">
        <v>6.297207999696349</v>
      </c>
      <c r="BA56" s="100">
        <v>6181.3393725019359</v>
      </c>
      <c r="BB56" s="100">
        <v>4.5867873569800004</v>
      </c>
      <c r="BC56" s="100">
        <v>4502.3904696115678</v>
      </c>
      <c r="BD56" s="100">
        <v>5.5068288532712</v>
      </c>
      <c r="BE56" s="100">
        <v>5405.5032023710091</v>
      </c>
      <c r="BF56" s="100">
        <v>4.8982699497255284</v>
      </c>
      <c r="BG56" s="100">
        <v>4808.1417826505785</v>
      </c>
      <c r="BH56" s="100">
        <v>6.3039140376074423</v>
      </c>
      <c r="BI56" s="100">
        <v>6187.9220193154651</v>
      </c>
      <c r="BJ56" s="100">
        <v>5.7006394147026169</v>
      </c>
      <c r="BK56" s="100">
        <v>5595.7476494720886</v>
      </c>
      <c r="BL56" s="100">
        <v>5.1883424398683164</v>
      </c>
      <c r="BM56" s="100">
        <v>5092.8769389747386</v>
      </c>
      <c r="BN56" s="100">
        <v>5.1306961333095309</v>
      </c>
      <c r="BO56" s="100">
        <v>5036.2913244566353</v>
      </c>
      <c r="BP56" s="100">
        <v>7.5204416590322136</v>
      </c>
      <c r="BQ56" s="100">
        <v>7382.0655325060206</v>
      </c>
      <c r="BR56" s="100">
        <v>4.6194990211592417</v>
      </c>
      <c r="BS56" s="100">
        <v>4534.5002391699109</v>
      </c>
      <c r="BT56" s="100">
        <v>7.2627991242852676</v>
      </c>
      <c r="BU56" s="100">
        <v>7129.1636203984181</v>
      </c>
      <c r="BV56" s="100">
        <v>5.2334970345389129</v>
      </c>
      <c r="BW56" s="100">
        <v>5137.2006891033961</v>
      </c>
      <c r="BX56" s="100">
        <v>9.7434751207412038</v>
      </c>
      <c r="BY56" s="100">
        <v>9564.1951785195652</v>
      </c>
      <c r="BZ56" s="100">
        <v>5.1707079800717333</v>
      </c>
      <c r="CA56" s="100">
        <v>5075.5669532384127</v>
      </c>
      <c r="CB56" s="100">
        <v>5.2494057671832088</v>
      </c>
      <c r="CC56" s="100">
        <v>5152.8167010670377</v>
      </c>
      <c r="CD56" s="100">
        <v>5.7377542625035982</v>
      </c>
      <c r="CE56" s="100">
        <v>5632.1795840735313</v>
      </c>
      <c r="CF56" s="100">
        <v>6.8051535426073615</v>
      </c>
      <c r="CG56" s="100">
        <v>6679.9387174233852</v>
      </c>
      <c r="CH56" s="100">
        <v>6.9430637785729203</v>
      </c>
      <c r="CI56" s="100">
        <v>6815.3114050471777</v>
      </c>
      <c r="CJ56" s="100">
        <v>4.06560661983956</v>
      </c>
      <c r="CK56" s="100">
        <v>3990.7994580345116</v>
      </c>
      <c r="CL56" s="100">
        <v>5.3210078368550358</v>
      </c>
      <c r="CM56" s="100">
        <v>5223.1012926569028</v>
      </c>
      <c r="CN56" s="100">
        <v>5.2395483576718949</v>
      </c>
      <c r="CO56" s="100">
        <v>5143.1406678907315</v>
      </c>
      <c r="CP56" s="100">
        <v>3.5539870819145243</v>
      </c>
      <c r="CQ56" s="100">
        <v>3488.5937196072969</v>
      </c>
      <c r="CR56" s="100">
        <v>5.722070879528161</v>
      </c>
      <c r="CS56" s="100">
        <v>5616.7847753448423</v>
      </c>
      <c r="CT56" s="100">
        <v>4.8592086806231656</v>
      </c>
      <c r="CU56" s="100">
        <v>4769.7992408996988</v>
      </c>
    </row>
    <row r="57" spans="2:99">
      <c r="C57" s="99" t="s">
        <v>223</v>
      </c>
      <c r="D57" s="100">
        <v>4.8662977844579691</v>
      </c>
      <c r="E57" s="100">
        <v>6867.3194334270866</v>
      </c>
      <c r="F57" s="100">
        <v>3.8616947904284618</v>
      </c>
      <c r="G57" s="100">
        <v>5449.6236882526455</v>
      </c>
      <c r="H57" s="100">
        <v>5.5669489497440061</v>
      </c>
      <c r="I57" s="100">
        <v>7856.0783578787414</v>
      </c>
      <c r="J57" s="100">
        <v>5.1779734640729025</v>
      </c>
      <c r="K57" s="100">
        <v>7307.1561524996805</v>
      </c>
      <c r="L57" s="100">
        <v>5.1494211239086249</v>
      </c>
      <c r="M57" s="100">
        <v>7266.8630900598519</v>
      </c>
      <c r="N57" s="100">
        <v>8.0539395048566345</v>
      </c>
      <c r="O57" s="100">
        <v>11365.719429253682</v>
      </c>
      <c r="P57" s="100">
        <v>6.4991119342236008</v>
      </c>
      <c r="Q57" s="100">
        <v>9171.5467615763464</v>
      </c>
      <c r="R57" s="100">
        <v>6.2499655503323677</v>
      </c>
      <c r="S57" s="100">
        <v>8819.9513846290374</v>
      </c>
      <c r="T57" s="100">
        <v>5.03959171090405</v>
      </c>
      <c r="U57" s="100">
        <v>7111.8718224277955</v>
      </c>
      <c r="V57" s="100">
        <v>6.5847401087377966</v>
      </c>
      <c r="W57" s="100">
        <v>9292.3852414507783</v>
      </c>
      <c r="X57" s="100">
        <v>6</v>
      </c>
      <c r="Y57" s="100">
        <v>8467.2000000000007</v>
      </c>
      <c r="Z57" s="100">
        <v>7.5250056076240304</v>
      </c>
      <c r="AA57" s="100">
        <v>10619.287913479033</v>
      </c>
      <c r="AB57" s="100">
        <v>5.7958338304585588</v>
      </c>
      <c r="AC57" s="100">
        <v>8179.0807015431183</v>
      </c>
      <c r="AD57" s="100">
        <v>5.269146378697422</v>
      </c>
      <c r="AE57" s="100">
        <v>7435.8193696178023</v>
      </c>
      <c r="AF57" s="100">
        <v>5.2272027035688797</v>
      </c>
      <c r="AG57" s="100">
        <v>7376.6284552764037</v>
      </c>
      <c r="AH57" s="100">
        <v>7.2241975373907525</v>
      </c>
      <c r="AI57" s="100">
        <v>10194.787564765831</v>
      </c>
      <c r="AJ57" s="100">
        <v>3.1933677745715268</v>
      </c>
      <c r="AK57" s="100">
        <v>4506.4806034753383</v>
      </c>
      <c r="AL57" s="100">
        <v>7.6484172084801134</v>
      </c>
      <c r="AM57" s="100">
        <v>10793.446364607136</v>
      </c>
      <c r="AN57" s="100">
        <v>4.9501046692061479</v>
      </c>
      <c r="AO57" s="100">
        <v>6985.5877091837165</v>
      </c>
      <c r="AP57" s="100">
        <v>8.6256487559035744</v>
      </c>
      <c r="AQ57" s="100">
        <v>12172.515524331124</v>
      </c>
      <c r="AR57" s="100">
        <v>8.718656628856353</v>
      </c>
      <c r="AS57" s="100">
        <v>12303.768234642086</v>
      </c>
      <c r="AT57" s="100">
        <v>5.2218091361311254</v>
      </c>
      <c r="AU57" s="100">
        <v>7369.0170529082443</v>
      </c>
      <c r="AV57" s="100">
        <v>10.66251097414392</v>
      </c>
      <c r="AW57" s="100">
        <v>15046.9354867119</v>
      </c>
      <c r="AX57" s="100">
        <v>6.7240582963113846</v>
      </c>
      <c r="AY57" s="100">
        <v>9488.9910677546268</v>
      </c>
      <c r="AZ57" s="100">
        <v>5.0489801119219617</v>
      </c>
      <c r="BA57" s="100">
        <v>7125.1207339442726</v>
      </c>
      <c r="BB57" s="100">
        <v>6.9092017548589588</v>
      </c>
      <c r="BC57" s="100">
        <v>9750.2655164569624</v>
      </c>
      <c r="BD57" s="100">
        <v>5.9664931928355509</v>
      </c>
      <c r="BE57" s="100">
        <v>8419.9151937295301</v>
      </c>
      <c r="BF57" s="100">
        <v>5.068030575636695</v>
      </c>
      <c r="BG57" s="100">
        <v>7152.0047483385042</v>
      </c>
      <c r="BH57" s="100">
        <v>5.6993081692712195</v>
      </c>
      <c r="BI57" s="100">
        <v>8042.8636884755451</v>
      </c>
      <c r="BJ57" s="100">
        <v>4.5103355627148582</v>
      </c>
      <c r="BK57" s="100">
        <v>6364.9855461032084</v>
      </c>
      <c r="BL57" s="100">
        <v>6.6834414414638879</v>
      </c>
      <c r="BM57" s="100">
        <v>9431.6725621938385</v>
      </c>
      <c r="BN57" s="100">
        <v>6.3851124305832068</v>
      </c>
      <c r="BO57" s="100">
        <v>9010.6706620390214</v>
      </c>
      <c r="BP57" s="100">
        <v>4.6998339843284471</v>
      </c>
      <c r="BQ57" s="100">
        <v>6632.4057186843047</v>
      </c>
      <c r="BR57" s="100">
        <v>4.7373799767323748</v>
      </c>
      <c r="BS57" s="100">
        <v>6685.3906231647279</v>
      </c>
      <c r="BT57" s="100">
        <v>7.4178872208317141</v>
      </c>
      <c r="BU57" s="100">
        <v>10468.122446037716</v>
      </c>
      <c r="BV57" s="100">
        <v>7.4299379801555432</v>
      </c>
      <c r="BW57" s="100">
        <v>10485.128477595503</v>
      </c>
      <c r="BX57" s="100">
        <v>7.3353670924290553</v>
      </c>
      <c r="BY57" s="100">
        <v>10351.670040835883</v>
      </c>
      <c r="BZ57" s="100">
        <v>6.6833443914532324</v>
      </c>
      <c r="CA57" s="100">
        <v>9431.5356052188017</v>
      </c>
      <c r="CB57" s="100">
        <v>9.17431954793852</v>
      </c>
      <c r="CC57" s="100">
        <v>12946.79974605084</v>
      </c>
      <c r="CD57" s="100">
        <v>4.4408918760901877</v>
      </c>
      <c r="CE57" s="100">
        <v>6266.9866155384734</v>
      </c>
      <c r="CF57" s="100">
        <v>11.87389995723089</v>
      </c>
      <c r="CG57" s="100">
        <v>16756.447619644234</v>
      </c>
      <c r="CH57" s="100">
        <v>7.1669680054206006</v>
      </c>
      <c r="CI57" s="100">
        <v>10114.025249249551</v>
      </c>
      <c r="CJ57" s="100">
        <v>5.3256399149746212</v>
      </c>
      <c r="CK57" s="100">
        <v>7515.5430480121859</v>
      </c>
      <c r="CL57" s="100">
        <v>4.6510733656259475</v>
      </c>
      <c r="CM57" s="100">
        <v>6563.5947335713372</v>
      </c>
      <c r="CN57" s="100">
        <v>6.5718016266495169</v>
      </c>
      <c r="CO57" s="100">
        <v>9274.1264555277994</v>
      </c>
      <c r="CP57" s="100">
        <v>4.0393870655191142</v>
      </c>
      <c r="CQ57" s="100">
        <v>5700.3830268605743</v>
      </c>
      <c r="CR57" s="100">
        <v>8.9843851281089808</v>
      </c>
      <c r="CS57" s="100">
        <v>12678.764292787395</v>
      </c>
      <c r="CT57" s="100">
        <v>4.1627114373324865</v>
      </c>
      <c r="CU57" s="100">
        <v>5874.4183803636051</v>
      </c>
    </row>
    <row r="58" spans="2:99">
      <c r="C58" s="99" t="s">
        <v>224</v>
      </c>
      <c r="D58" s="100">
        <v>6.9934226169350575</v>
      </c>
      <c r="E58" s="100">
        <v>8232.6571046559493</v>
      </c>
      <c r="F58" s="100">
        <v>9</v>
      </c>
      <c r="G58" s="100">
        <v>10594.800000000001</v>
      </c>
      <c r="H58" s="100">
        <v>4.2378533478539033</v>
      </c>
      <c r="I58" s="100">
        <v>4988.8009610936151</v>
      </c>
      <c r="J58" s="100">
        <v>7.1988471827988869</v>
      </c>
      <c r="K58" s="100">
        <v>8474.4829035908497</v>
      </c>
      <c r="L58" s="100">
        <v>9.8629340032554094</v>
      </c>
      <c r="M58" s="100">
        <v>11610.645908632268</v>
      </c>
      <c r="N58" s="100">
        <v>10</v>
      </c>
      <c r="O58" s="100">
        <v>11772</v>
      </c>
      <c r="P58" s="100">
        <v>6.3147232500859571</v>
      </c>
      <c r="Q58" s="100">
        <v>7433.6922100011889</v>
      </c>
      <c r="R58" s="100">
        <v>8.8854018397580106</v>
      </c>
      <c r="S58" s="100">
        <v>10459.895045763131</v>
      </c>
      <c r="T58" s="100">
        <v>3.5682548194959933</v>
      </c>
      <c r="U58" s="100">
        <v>4200.5495735106833</v>
      </c>
      <c r="V58" s="100">
        <v>5.8272076570663023</v>
      </c>
      <c r="W58" s="100">
        <v>6859.7888538984516</v>
      </c>
      <c r="X58" s="100">
        <v>5.4303222607479551</v>
      </c>
      <c r="Y58" s="100">
        <v>6392.5753653524926</v>
      </c>
      <c r="Z58" s="100">
        <v>7.4214078200906863</v>
      </c>
      <c r="AA58" s="100">
        <v>8736.4812858107562</v>
      </c>
      <c r="AB58" s="100">
        <v>4.9131894220817118</v>
      </c>
      <c r="AC58" s="100">
        <v>5783.8065876745914</v>
      </c>
      <c r="AD58" s="100">
        <v>4.4420092041700947</v>
      </c>
      <c r="AE58" s="100">
        <v>5229.1332351490355</v>
      </c>
      <c r="AF58" s="100">
        <v>6.6450770415077631</v>
      </c>
      <c r="AG58" s="100">
        <v>7822.5846932629393</v>
      </c>
      <c r="AH58" s="100">
        <v>11</v>
      </c>
      <c r="AI58" s="100">
        <v>12949.2</v>
      </c>
      <c r="AJ58" s="100">
        <v>6</v>
      </c>
      <c r="AK58" s="100">
        <v>7063.2000000000007</v>
      </c>
      <c r="AL58" s="100">
        <v>5.983943101885985</v>
      </c>
      <c r="AM58" s="100">
        <v>7044.297819540182</v>
      </c>
      <c r="AN58" s="100">
        <v>8.2986690989714269</v>
      </c>
      <c r="AO58" s="100">
        <v>9769.1932633091637</v>
      </c>
      <c r="AP58" s="100">
        <v>9.5322318587442254</v>
      </c>
      <c r="AQ58" s="100">
        <v>11221.343344113702</v>
      </c>
      <c r="AR58" s="100">
        <v>5.6395058813051291</v>
      </c>
      <c r="AS58" s="100">
        <v>6638.8263234723981</v>
      </c>
      <c r="AT58" s="100">
        <v>9.6239393844011438</v>
      </c>
      <c r="AU58" s="100">
        <v>11329.301443317026</v>
      </c>
      <c r="AV58" s="100">
        <v>9.794888661584821</v>
      </c>
      <c r="AW58" s="100">
        <v>11530.542932417651</v>
      </c>
      <c r="AX58" s="100">
        <v>9</v>
      </c>
      <c r="AY58" s="100">
        <v>10594.800000000001</v>
      </c>
      <c r="AZ58" s="100">
        <v>6.6711795778045158</v>
      </c>
      <c r="BA58" s="100">
        <v>7853.3125989914761</v>
      </c>
      <c r="BB58" s="100">
        <v>6.27430362729047</v>
      </c>
      <c r="BC58" s="100">
        <v>7386.1102300463417</v>
      </c>
      <c r="BD58" s="100">
        <v>5.8299106018542961</v>
      </c>
      <c r="BE58" s="100">
        <v>6862.970760502878</v>
      </c>
      <c r="BF58" s="100">
        <v>6.318194195305618</v>
      </c>
      <c r="BG58" s="100">
        <v>7437.7782067137741</v>
      </c>
      <c r="BH58" s="100">
        <v>8.6504140167112933</v>
      </c>
      <c r="BI58" s="100">
        <v>10183.267380472535</v>
      </c>
      <c r="BJ58" s="100">
        <v>7.5311796373872415</v>
      </c>
      <c r="BK58" s="100">
        <v>8865.7046691322612</v>
      </c>
      <c r="BL58" s="100">
        <v>6.4897519767658158</v>
      </c>
      <c r="BM58" s="100">
        <v>7639.7360270487188</v>
      </c>
      <c r="BN58" s="100">
        <v>6.7017487841300953</v>
      </c>
      <c r="BO58" s="100">
        <v>7889.2986686779486</v>
      </c>
      <c r="BP58" s="100">
        <v>9.3744192966415678</v>
      </c>
      <c r="BQ58" s="100">
        <v>11035.566396006454</v>
      </c>
      <c r="BR58" s="100">
        <v>4.870794249465713</v>
      </c>
      <c r="BS58" s="100">
        <v>5733.8989904710379</v>
      </c>
      <c r="BT58" s="100">
        <v>8.723668957354322</v>
      </c>
      <c r="BU58" s="100">
        <v>10269.503096597507</v>
      </c>
      <c r="BV58" s="100">
        <v>6.4043051609668389</v>
      </c>
      <c r="BW58" s="100">
        <v>7539.1480354901632</v>
      </c>
      <c r="BX58" s="100">
        <v>8.3135027416811571</v>
      </c>
      <c r="BY58" s="100">
        <v>9786.6554275070594</v>
      </c>
      <c r="BZ58" s="100">
        <v>4.5365670254141293</v>
      </c>
      <c r="CA58" s="100">
        <v>5340.446702317513</v>
      </c>
      <c r="CB58" s="100">
        <v>9.6520274387031453</v>
      </c>
      <c r="CC58" s="100">
        <v>11362.366700841343</v>
      </c>
      <c r="CD58" s="100">
        <v>8.7708135846941158</v>
      </c>
      <c r="CE58" s="100">
        <v>10325.001751901913</v>
      </c>
      <c r="CF58" s="100">
        <v>7.7006332061914096</v>
      </c>
      <c r="CG58" s="100">
        <v>9065.1854103285277</v>
      </c>
      <c r="CH58" s="100">
        <v>7.8392986896169043</v>
      </c>
      <c r="CI58" s="100">
        <v>9228.4224174170195</v>
      </c>
      <c r="CJ58" s="100">
        <v>6.2290658825214651</v>
      </c>
      <c r="CK58" s="100">
        <v>7332.856356904269</v>
      </c>
      <c r="CL58" s="100">
        <v>8.2365682998890737</v>
      </c>
      <c r="CM58" s="100">
        <v>9696.0882026294184</v>
      </c>
      <c r="CN58" s="100">
        <v>6.886782748555782</v>
      </c>
      <c r="CO58" s="100">
        <v>8107.1206515998665</v>
      </c>
      <c r="CP58" s="100">
        <v>4.7630110180055967</v>
      </c>
      <c r="CQ58" s="100">
        <v>5607.0165703961884</v>
      </c>
      <c r="CR58" s="100">
        <v>8.4028195808827757</v>
      </c>
      <c r="CS58" s="100">
        <v>9891.7992106152033</v>
      </c>
      <c r="CT58" s="100">
        <v>8.6465080406729022</v>
      </c>
      <c r="CU58" s="100">
        <v>10178.669265480141</v>
      </c>
    </row>
    <row r="59" spans="2:99">
      <c r="C59" s="99" t="s">
        <v>225</v>
      </c>
      <c r="D59" s="100">
        <v>4.8713105842752267</v>
      </c>
      <c r="E59" s="100">
        <v>1478.9298933859586</v>
      </c>
      <c r="F59" s="100">
        <v>4.8203141242497978</v>
      </c>
      <c r="G59" s="100">
        <v>1463.4473681222385</v>
      </c>
      <c r="H59" s="100">
        <v>7.1700042838128271</v>
      </c>
      <c r="I59" s="100">
        <v>2176.8133005655741</v>
      </c>
      <c r="J59" s="100">
        <v>6.7102265328340174</v>
      </c>
      <c r="K59" s="100">
        <v>2037.2247753684073</v>
      </c>
      <c r="L59" s="100">
        <v>6.8476361218862136</v>
      </c>
      <c r="M59" s="100">
        <v>2078.9423266046542</v>
      </c>
      <c r="N59" s="100">
        <v>8.8070623558985837</v>
      </c>
      <c r="O59" s="100">
        <v>2673.8241312508098</v>
      </c>
      <c r="P59" s="100">
        <v>6.5786295927628178</v>
      </c>
      <c r="Q59" s="100">
        <v>1997.2719443627911</v>
      </c>
      <c r="R59" s="100">
        <v>6.8853804033690214</v>
      </c>
      <c r="S59" s="100">
        <v>2090.4014904628348</v>
      </c>
      <c r="T59" s="100">
        <v>5.9278223725969719</v>
      </c>
      <c r="U59" s="100">
        <v>1799.6868723204404</v>
      </c>
      <c r="V59" s="100">
        <v>7.5847401087377966</v>
      </c>
      <c r="W59" s="100">
        <v>2302.7270970127947</v>
      </c>
      <c r="X59" s="100">
        <v>7</v>
      </c>
      <c r="Y59" s="100">
        <v>2125.1999999999998</v>
      </c>
      <c r="Z59" s="100">
        <v>7.5250056076240304</v>
      </c>
      <c r="AA59" s="100">
        <v>2284.5917024746554</v>
      </c>
      <c r="AB59" s="100">
        <v>6.7862133744730766</v>
      </c>
      <c r="AC59" s="100">
        <v>2060.294380490026</v>
      </c>
      <c r="AD59" s="100">
        <v>6.0444888971984163</v>
      </c>
      <c r="AE59" s="100">
        <v>1835.1068291894389</v>
      </c>
      <c r="AF59" s="100">
        <v>6.8960983987108229</v>
      </c>
      <c r="AG59" s="100">
        <v>2093.6554738486057</v>
      </c>
      <c r="AH59" s="100">
        <v>8.6750180670508481</v>
      </c>
      <c r="AI59" s="100">
        <v>2633.735485156637</v>
      </c>
      <c r="AJ59" s="100">
        <v>3.1933677745715268</v>
      </c>
      <c r="AK59" s="100">
        <v>969.50645635991543</v>
      </c>
      <c r="AL59" s="100">
        <v>7.6484172084801134</v>
      </c>
      <c r="AM59" s="100">
        <v>2322.0594644945622</v>
      </c>
      <c r="AN59" s="100">
        <v>5.4451151361267627</v>
      </c>
      <c r="AO59" s="100">
        <v>1653.1369553280849</v>
      </c>
      <c r="AP59" s="100">
        <v>10.327450025614977</v>
      </c>
      <c r="AQ59" s="100">
        <v>3135.413827776707</v>
      </c>
      <c r="AR59" s="100">
        <v>8.718656628856353</v>
      </c>
      <c r="AS59" s="100">
        <v>2646.9841525207885</v>
      </c>
      <c r="AT59" s="100">
        <v>5.7510091124789797</v>
      </c>
      <c r="AU59" s="100">
        <v>1746.006366548618</v>
      </c>
      <c r="AV59" s="100">
        <v>12.795013168972703</v>
      </c>
      <c r="AW59" s="100">
        <v>3884.5659981001122</v>
      </c>
      <c r="AX59" s="100">
        <v>7.4711758847904273</v>
      </c>
      <c r="AY59" s="100">
        <v>2268.2489986223736</v>
      </c>
      <c r="AZ59" s="100">
        <v>5.7002554222649158</v>
      </c>
      <c r="BA59" s="100">
        <v>1730.5975461996281</v>
      </c>
      <c r="BB59" s="100">
        <v>8.6927091861556374</v>
      </c>
      <c r="BC59" s="100">
        <v>2639.106508916851</v>
      </c>
      <c r="BD59" s="100">
        <v>6.9609087249748098</v>
      </c>
      <c r="BE59" s="100">
        <v>2113.3318889023521</v>
      </c>
      <c r="BF59" s="100">
        <v>5.7092690701907394</v>
      </c>
      <c r="BG59" s="100">
        <v>1733.3340897099083</v>
      </c>
      <c r="BH59" s="100">
        <v>6.4450982306510616</v>
      </c>
      <c r="BI59" s="100">
        <v>1956.731822825662</v>
      </c>
      <c r="BJ59" s="100">
        <v>4.5103355627148582</v>
      </c>
      <c r="BK59" s="100">
        <v>1369.3378768402308</v>
      </c>
      <c r="BL59" s="100">
        <v>7.656155975829531</v>
      </c>
      <c r="BM59" s="100">
        <v>2324.4089542618453</v>
      </c>
      <c r="BN59" s="100">
        <v>5.5869733767603051</v>
      </c>
      <c r="BO59" s="100">
        <v>1696.2051171844284</v>
      </c>
      <c r="BP59" s="100">
        <v>5.5547269723500916</v>
      </c>
      <c r="BQ59" s="100">
        <v>1686.4151088054875</v>
      </c>
      <c r="BR59" s="100">
        <v>4.7373799767323748</v>
      </c>
      <c r="BS59" s="100">
        <v>1438.2685609359489</v>
      </c>
      <c r="BT59" s="100">
        <v>9.4759097652690087</v>
      </c>
      <c r="BU59" s="100">
        <v>2876.8862047356706</v>
      </c>
      <c r="BV59" s="100">
        <v>8.5159255761866515</v>
      </c>
      <c r="BW59" s="100">
        <v>2585.435004930267</v>
      </c>
      <c r="BX59" s="100">
        <v>7.9833406699489506</v>
      </c>
      <c r="BY59" s="100">
        <v>2423.7422273965012</v>
      </c>
      <c r="BZ59" s="100">
        <v>7.2984930817752298</v>
      </c>
      <c r="CA59" s="100">
        <v>2215.8224996269596</v>
      </c>
      <c r="CB59" s="100">
        <v>10.046460972663631</v>
      </c>
      <c r="CC59" s="100">
        <v>3050.1055513006781</v>
      </c>
      <c r="CD59" s="100">
        <v>4.4600689643515867</v>
      </c>
      <c r="CE59" s="100">
        <v>1354.0769375771415</v>
      </c>
      <c r="CF59" s="100">
        <v>12.048679948677067</v>
      </c>
      <c r="CG59" s="100">
        <v>3657.9792324183572</v>
      </c>
      <c r="CH59" s="100">
        <v>8.9587100067757515</v>
      </c>
      <c r="CI59" s="100">
        <v>2719.8643580571179</v>
      </c>
      <c r="CJ59" s="100">
        <v>4.6105668489390466</v>
      </c>
      <c r="CK59" s="100">
        <v>1399.7680953378945</v>
      </c>
      <c r="CL59" s="100">
        <v>4.6510733656259475</v>
      </c>
      <c r="CM59" s="100">
        <v>1412.0658738040374</v>
      </c>
      <c r="CN59" s="100">
        <v>7.5741584340793189</v>
      </c>
      <c r="CO59" s="100">
        <v>2299.5145005864811</v>
      </c>
      <c r="CP59" s="100">
        <v>4.6479972271794736</v>
      </c>
      <c r="CQ59" s="100">
        <v>1411.131958171688</v>
      </c>
      <c r="CR59" s="100">
        <v>11.878234377099716</v>
      </c>
      <c r="CS59" s="100">
        <v>3606.2319568874732</v>
      </c>
      <c r="CT59" s="100">
        <v>4.6348004300584034</v>
      </c>
      <c r="CU59" s="100">
        <v>1407.125410565731</v>
      </c>
    </row>
    <row r="60" spans="2:99">
      <c r="C60" s="99" t="s">
        <v>226</v>
      </c>
      <c r="D60" s="100">
        <v>4.1818541005723837</v>
      </c>
      <c r="E60" s="100">
        <v>2724.8961319329655</v>
      </c>
      <c r="F60" s="100">
        <v>3.8616947904284618</v>
      </c>
      <c r="G60" s="100">
        <v>2516.2803254431856</v>
      </c>
      <c r="H60" s="100">
        <v>6.3061361785433903</v>
      </c>
      <c r="I60" s="100">
        <v>4109.0783339388736</v>
      </c>
      <c r="J60" s="100">
        <v>5.8472309554885342</v>
      </c>
      <c r="K60" s="100">
        <v>3810.055690596329</v>
      </c>
      <c r="L60" s="100">
        <v>5.7246221448971308</v>
      </c>
      <c r="M60" s="100">
        <v>3730.1637896149705</v>
      </c>
      <c r="N60" s="100">
        <v>8.0520148602798738</v>
      </c>
      <c r="O60" s="100">
        <v>5246.6928829583658</v>
      </c>
      <c r="P60" s="100">
        <v>7.3389430433540124</v>
      </c>
      <c r="Q60" s="100">
        <v>4782.0552870494748</v>
      </c>
      <c r="R60" s="100">
        <v>6.2499655503323677</v>
      </c>
      <c r="S60" s="100">
        <v>4072.4775525965711</v>
      </c>
      <c r="T60" s="100">
        <v>5.9312728584168566</v>
      </c>
      <c r="U60" s="100">
        <v>3864.8173945444237</v>
      </c>
      <c r="V60" s="100">
        <v>6.7016881304853557</v>
      </c>
      <c r="W60" s="100">
        <v>4366.8199858242579</v>
      </c>
      <c r="X60" s="100">
        <v>7</v>
      </c>
      <c r="Y60" s="100">
        <v>4561.2</v>
      </c>
      <c r="Z60" s="100">
        <v>7.5250056076240304</v>
      </c>
      <c r="AA60" s="100">
        <v>4903.293653927818</v>
      </c>
      <c r="AB60" s="100">
        <v>5.9422772640871004</v>
      </c>
      <c r="AC60" s="100">
        <v>3871.9878652791549</v>
      </c>
      <c r="AD60" s="100">
        <v>6.0444888971984163</v>
      </c>
      <c r="AE60" s="100">
        <v>3938.588965414488</v>
      </c>
      <c r="AF60" s="100">
        <v>6.7858405896392959</v>
      </c>
      <c r="AG60" s="100">
        <v>4421.6537282089657</v>
      </c>
      <c r="AH60" s="100">
        <v>7.8502499230893266</v>
      </c>
      <c r="AI60" s="100">
        <v>5115.2228498850054</v>
      </c>
      <c r="AJ60" s="100">
        <v>3.6981845209209063</v>
      </c>
      <c r="AK60" s="100">
        <v>2409.7370338320625</v>
      </c>
      <c r="AL60" s="100">
        <v>8.6484172084801134</v>
      </c>
      <c r="AM60" s="100">
        <v>5635.3086530456421</v>
      </c>
      <c r="AN60" s="100">
        <v>5.5217436804710722</v>
      </c>
      <c r="AO60" s="100">
        <v>3597.9681821949507</v>
      </c>
      <c r="AP60" s="100">
        <v>8.487428321303252</v>
      </c>
      <c r="AQ60" s="100">
        <v>5530.4082941611996</v>
      </c>
      <c r="AR60" s="100">
        <v>7.8467909659707171</v>
      </c>
      <c r="AS60" s="100">
        <v>5112.9689934265198</v>
      </c>
      <c r="AT60" s="100">
        <v>5.7510091124789797</v>
      </c>
      <c r="AU60" s="100">
        <v>3747.3575376913032</v>
      </c>
      <c r="AV60" s="100">
        <v>10.832690185347287</v>
      </c>
      <c r="AW60" s="100">
        <v>7058.5809247722927</v>
      </c>
      <c r="AX60" s="100">
        <v>6.7240582963113846</v>
      </c>
      <c r="AY60" s="100">
        <v>4381.3963858764982</v>
      </c>
      <c r="AZ60" s="100">
        <v>5.6465146319910273</v>
      </c>
      <c r="BA60" s="100">
        <v>3679.2689342053536</v>
      </c>
      <c r="BB60" s="100">
        <v>6.9092017548589588</v>
      </c>
      <c r="BC60" s="100">
        <v>4502.0358634660979</v>
      </c>
      <c r="BD60" s="100">
        <v>5.5600166703162959</v>
      </c>
      <c r="BE60" s="100">
        <v>3622.9068623780986</v>
      </c>
      <c r="BF60" s="100">
        <v>5.068030575636695</v>
      </c>
      <c r="BG60" s="100">
        <v>3302.3287230848705</v>
      </c>
      <c r="BH60" s="100">
        <v>5.7865859220515574</v>
      </c>
      <c r="BI60" s="100">
        <v>3770.5393868087949</v>
      </c>
      <c r="BJ60" s="100">
        <v>5.0741275080542154</v>
      </c>
      <c r="BK60" s="100">
        <v>3306.3014842481271</v>
      </c>
      <c r="BL60" s="100">
        <v>6.6834414414638879</v>
      </c>
      <c r="BM60" s="100">
        <v>4354.9304432578692</v>
      </c>
      <c r="BN60" s="100">
        <v>6.3851124305832068</v>
      </c>
      <c r="BO60" s="100">
        <v>4160.5392597680175</v>
      </c>
      <c r="BP60" s="100">
        <v>5.1214615274987203</v>
      </c>
      <c r="BQ60" s="100">
        <v>3337.1443313181662</v>
      </c>
      <c r="BR60" s="100">
        <v>4.1289962705290701</v>
      </c>
      <c r="BS60" s="100">
        <v>2690.4539698767421</v>
      </c>
      <c r="BT60" s="100">
        <v>9.3327042217348932</v>
      </c>
      <c r="BU60" s="100">
        <v>6081.1900708824569</v>
      </c>
      <c r="BV60" s="100">
        <v>8.5159255761866515</v>
      </c>
      <c r="BW60" s="100">
        <v>5548.9771054432222</v>
      </c>
      <c r="BX60" s="100">
        <v>7.9833406699489506</v>
      </c>
      <c r="BY60" s="100">
        <v>5201.9447805387363</v>
      </c>
      <c r="BZ60" s="100">
        <v>7.4159700730337139</v>
      </c>
      <c r="CA60" s="100">
        <v>4832.2460995887677</v>
      </c>
      <c r="CB60" s="100">
        <v>9.17431954793852</v>
      </c>
      <c r="CC60" s="100">
        <v>5977.9866174367398</v>
      </c>
      <c r="CD60" s="100">
        <v>4.4598564293284495</v>
      </c>
      <c r="CE60" s="100">
        <v>2906.0424493504179</v>
      </c>
      <c r="CF60" s="100">
        <v>10.87389995723089</v>
      </c>
      <c r="CG60" s="100">
        <v>7085.4332121316484</v>
      </c>
      <c r="CH60" s="100">
        <v>8.9587100067757515</v>
      </c>
      <c r="CI60" s="100">
        <v>5837.4954404150794</v>
      </c>
      <c r="CJ60" s="100">
        <v>5.3789946570955536</v>
      </c>
      <c r="CK60" s="100">
        <v>3504.9529185634628</v>
      </c>
      <c r="CL60" s="100">
        <v>4.2734480995773305</v>
      </c>
      <c r="CM60" s="100">
        <v>2784.5787816845886</v>
      </c>
      <c r="CN60" s="100">
        <v>7.5741584340793189</v>
      </c>
      <c r="CO60" s="100">
        <v>4935.3216356460844</v>
      </c>
      <c r="CP60" s="100">
        <v>4.6479972271794736</v>
      </c>
      <c r="CQ60" s="100">
        <v>3028.634993230145</v>
      </c>
      <c r="CR60" s="100">
        <v>10.812672167057213</v>
      </c>
      <c r="CS60" s="100">
        <v>7045.5371840544803</v>
      </c>
      <c r="CT60" s="100">
        <v>4.6060482108816476</v>
      </c>
      <c r="CU60" s="100">
        <v>3001.3010142104818</v>
      </c>
    </row>
    <row r="61" spans="2:99">
      <c r="C61" s="99" t="s">
        <v>227</v>
      </c>
      <c r="D61" s="100">
        <v>4.1768413007551253</v>
      </c>
      <c r="E61" s="100">
        <v>3974.6821817985769</v>
      </c>
      <c r="F61" s="100">
        <v>4.34100445733913</v>
      </c>
      <c r="G61" s="100">
        <v>4130.8998416039158</v>
      </c>
      <c r="H61" s="100">
        <v>6.4308170550134429</v>
      </c>
      <c r="I61" s="100">
        <v>6119.5655095507918</v>
      </c>
      <c r="J61" s="100">
        <v>5.9440999984534599</v>
      </c>
      <c r="K61" s="100">
        <v>5656.4055585283122</v>
      </c>
      <c r="L61" s="100">
        <v>6.2724351008977086</v>
      </c>
      <c r="M61" s="100">
        <v>5968.8492420142593</v>
      </c>
      <c r="N61" s="100">
        <v>7.296967364661163</v>
      </c>
      <c r="O61" s="100">
        <v>6943.7941442115625</v>
      </c>
      <c r="P61" s="100">
        <v>7.3389430433540124</v>
      </c>
      <c r="Q61" s="100">
        <v>6983.7382000556772</v>
      </c>
      <c r="R61" s="100">
        <v>6.91662933707505</v>
      </c>
      <c r="S61" s="100">
        <v>6581.8644771606168</v>
      </c>
      <c r="T61" s="100">
        <v>5.9278223725969719</v>
      </c>
      <c r="U61" s="100">
        <v>5640.9157697632781</v>
      </c>
      <c r="V61" s="100">
        <v>6.5847401087377966</v>
      </c>
      <c r="W61" s="100">
        <v>6266.0386874748865</v>
      </c>
      <c r="X61" s="100">
        <v>7</v>
      </c>
      <c r="Y61" s="100">
        <v>6661.1999999999989</v>
      </c>
      <c r="Z61" s="100">
        <v>7.5250056076240304</v>
      </c>
      <c r="AA61" s="100">
        <v>7160.7953362150265</v>
      </c>
      <c r="AB61" s="100">
        <v>6.639769940844535</v>
      </c>
      <c r="AC61" s="100">
        <v>6318.4050757076593</v>
      </c>
      <c r="AD61" s="100">
        <v>6.0444888971984163</v>
      </c>
      <c r="AE61" s="100">
        <v>5751.9356345740125</v>
      </c>
      <c r="AF61" s="100">
        <v>6.116779455675613</v>
      </c>
      <c r="AG61" s="100">
        <v>5820.7273300209126</v>
      </c>
      <c r="AH61" s="100">
        <v>8.5756601879193752</v>
      </c>
      <c r="AI61" s="100">
        <v>8160.5982348240768</v>
      </c>
      <c r="AJ61" s="100">
        <v>3.1698724465036343</v>
      </c>
      <c r="AK61" s="100">
        <v>3016.4506200928581</v>
      </c>
      <c r="AL61" s="100">
        <v>7.6484172084801134</v>
      </c>
      <c r="AM61" s="100">
        <v>7278.233815589675</v>
      </c>
      <c r="AN61" s="100">
        <v>5.0267332135504574</v>
      </c>
      <c r="AO61" s="100">
        <v>4783.4393260146153</v>
      </c>
      <c r="AP61" s="100">
        <v>9.4765493907592759</v>
      </c>
      <c r="AQ61" s="100">
        <v>9017.8844002465266</v>
      </c>
      <c r="AR61" s="100">
        <v>7.8467909659707171</v>
      </c>
      <c r="AS61" s="100">
        <v>7467.0062832177337</v>
      </c>
      <c r="AT61" s="100">
        <v>5.198412260348654</v>
      </c>
      <c r="AU61" s="100">
        <v>4946.8091069477787</v>
      </c>
      <c r="AV61" s="100">
        <v>10.832690185347287</v>
      </c>
      <c r="AW61" s="100">
        <v>10308.387980376478</v>
      </c>
      <c r="AX61" s="100">
        <v>6.7240582963113846</v>
      </c>
      <c r="AY61" s="100">
        <v>6398.6138747699133</v>
      </c>
      <c r="AZ61" s="100">
        <v>5.0489801119219617</v>
      </c>
      <c r="BA61" s="100">
        <v>4804.6094745049386</v>
      </c>
      <c r="BB61" s="100">
        <v>8.6927091861556374</v>
      </c>
      <c r="BC61" s="100">
        <v>8271.9820615457029</v>
      </c>
      <c r="BD61" s="100">
        <v>5.9664931928355509</v>
      </c>
      <c r="BE61" s="100">
        <v>5677.7149223023098</v>
      </c>
      <c r="BF61" s="100">
        <v>5.8058292558171374</v>
      </c>
      <c r="BG61" s="100">
        <v>5524.8271198355878</v>
      </c>
      <c r="BH61" s="100">
        <v>5.6993081692712195</v>
      </c>
      <c r="BI61" s="100">
        <v>5423.4616538784921</v>
      </c>
      <c r="BJ61" s="100">
        <v>4.5103355627148582</v>
      </c>
      <c r="BK61" s="100">
        <v>4292.0353214794586</v>
      </c>
      <c r="BL61" s="100">
        <v>6.6834414414638879</v>
      </c>
      <c r="BM61" s="100">
        <v>6359.9628756970351</v>
      </c>
      <c r="BN61" s="100">
        <v>6.3851124305832068</v>
      </c>
      <c r="BO61" s="100">
        <v>6076.0729889429786</v>
      </c>
      <c r="BP61" s="100">
        <v>4.7002081344334439</v>
      </c>
      <c r="BQ61" s="100">
        <v>4472.7180607268647</v>
      </c>
      <c r="BR61" s="100">
        <v>4.245887921576518</v>
      </c>
      <c r="BS61" s="100">
        <v>4040.3869461722143</v>
      </c>
      <c r="BT61" s="100">
        <v>9.4759097652690087</v>
      </c>
      <c r="BU61" s="100">
        <v>9017.275732629987</v>
      </c>
      <c r="BV61" s="100">
        <v>7.4299379801555432</v>
      </c>
      <c r="BW61" s="100">
        <v>7070.3289819160145</v>
      </c>
      <c r="BX61" s="100">
        <v>7.2938355444870124</v>
      </c>
      <c r="BY61" s="100">
        <v>6940.81390413384</v>
      </c>
      <c r="BZ61" s="100">
        <v>7.4159700730337139</v>
      </c>
      <c r="CA61" s="100">
        <v>7057.0371214988818</v>
      </c>
      <c r="CB61" s="100">
        <v>10.046460972663631</v>
      </c>
      <c r="CC61" s="100">
        <v>9560.2122615867102</v>
      </c>
      <c r="CD61" s="100">
        <v>4.4600689643515867</v>
      </c>
      <c r="CE61" s="100">
        <v>4244.20162647697</v>
      </c>
      <c r="CF61" s="100">
        <v>11.87389995723089</v>
      </c>
      <c r="CG61" s="100">
        <v>11299.203199300913</v>
      </c>
      <c r="CH61" s="100">
        <v>7.1669680054206006</v>
      </c>
      <c r="CI61" s="100">
        <v>6820.0867539582432</v>
      </c>
      <c r="CJ61" s="100">
        <v>4.6105668489390466</v>
      </c>
      <c r="CK61" s="100">
        <v>4387.415413450396</v>
      </c>
      <c r="CL61" s="100">
        <v>4.6510733656259475</v>
      </c>
      <c r="CM61" s="100">
        <v>4425.9614147296516</v>
      </c>
      <c r="CN61" s="100">
        <v>7.5741584340793189</v>
      </c>
      <c r="CO61" s="100">
        <v>7207.5691658698788</v>
      </c>
      <c r="CP61" s="100">
        <v>4.0949219516498694</v>
      </c>
      <c r="CQ61" s="100">
        <v>3896.7277291900155</v>
      </c>
      <c r="CR61" s="100">
        <v>9.8985286475830954</v>
      </c>
      <c r="CS61" s="100">
        <v>9419.4398610400731</v>
      </c>
      <c r="CT61" s="100">
        <v>4.197402504860702</v>
      </c>
      <c r="CU61" s="100">
        <v>3994.2482236254436</v>
      </c>
    </row>
    <row r="62" spans="2:99">
      <c r="C62" s="99" t="s">
        <v>228</v>
      </c>
      <c r="D62" s="100">
        <v>6</v>
      </c>
      <c r="E62" s="100">
        <v>10015.200000000001</v>
      </c>
      <c r="F62" s="100">
        <v>6.3645380907412719</v>
      </c>
      <c r="G62" s="100">
        <v>10623.686981065332</v>
      </c>
      <c r="H62" s="100">
        <v>3.201243428444875</v>
      </c>
      <c r="I62" s="100">
        <v>5343.5155307601854</v>
      </c>
      <c r="J62" s="100">
        <v>7.1605321369978325</v>
      </c>
      <c r="K62" s="100">
        <v>11952.360243076782</v>
      </c>
      <c r="L62" s="100">
        <v>9.2510767289170506</v>
      </c>
      <c r="M62" s="100">
        <v>15441.897275908341</v>
      </c>
      <c r="N62" s="100">
        <v>5.3205521147266399</v>
      </c>
      <c r="O62" s="100">
        <v>8881.0655899017074</v>
      </c>
      <c r="P62" s="100">
        <v>4.180028190803732</v>
      </c>
      <c r="Q62" s="100">
        <v>6977.3030560895895</v>
      </c>
      <c r="R62" s="100">
        <v>8.0894397929152095</v>
      </c>
      <c r="S62" s="100">
        <v>13502.892902334068</v>
      </c>
      <c r="T62" s="100">
        <v>5.3416241842274799</v>
      </c>
      <c r="U62" s="100">
        <v>8916.2390883125099</v>
      </c>
      <c r="V62" s="100">
        <v>2.8028908332042626</v>
      </c>
      <c r="W62" s="100">
        <v>4678.5853787845554</v>
      </c>
      <c r="X62" s="100">
        <v>5.1143875251003159</v>
      </c>
      <c r="Y62" s="100">
        <v>8536.9356568974472</v>
      </c>
      <c r="Z62" s="100">
        <v>6.5778006327020142</v>
      </c>
      <c r="AA62" s="100">
        <v>10979.664816106202</v>
      </c>
      <c r="AB62" s="100">
        <v>4.6886442268884929</v>
      </c>
      <c r="AC62" s="100">
        <v>7826.2849435222724</v>
      </c>
      <c r="AD62" s="100">
        <v>5.4500052789842339</v>
      </c>
      <c r="AE62" s="100">
        <v>9097.148811680483</v>
      </c>
      <c r="AF62" s="100">
        <v>6.4934490172387616</v>
      </c>
      <c r="AG62" s="100">
        <v>10838.865099574941</v>
      </c>
      <c r="AH62" s="100">
        <v>5.3731556884335996</v>
      </c>
      <c r="AI62" s="100">
        <v>8968.8714751333646</v>
      </c>
      <c r="AJ62" s="100">
        <v>4.8592873353829082</v>
      </c>
      <c r="AK62" s="100">
        <v>8111.1224202211506</v>
      </c>
      <c r="AL62" s="100">
        <v>5.0009775086653487</v>
      </c>
      <c r="AM62" s="100">
        <v>8347.6316574642005</v>
      </c>
      <c r="AN62" s="100">
        <v>7.200343308941231</v>
      </c>
      <c r="AO62" s="100">
        <v>12018.813051284704</v>
      </c>
      <c r="AP62" s="100">
        <v>5.9881323385343475</v>
      </c>
      <c r="AQ62" s="100">
        <v>9995.390499481533</v>
      </c>
      <c r="AR62" s="100">
        <v>6.33408376979407</v>
      </c>
      <c r="AS62" s="100">
        <v>10572.852628540262</v>
      </c>
      <c r="AT62" s="100">
        <v>7.7466254273876931</v>
      </c>
      <c r="AU62" s="100">
        <v>12930.667163395538</v>
      </c>
      <c r="AV62" s="100">
        <v>5.5472924415162783</v>
      </c>
      <c r="AW62" s="100">
        <v>9259.5405433789729</v>
      </c>
      <c r="AX62" s="100">
        <v>6.0914819491362842</v>
      </c>
      <c r="AY62" s="100">
        <v>10167.901669498286</v>
      </c>
      <c r="AZ62" s="100">
        <v>5.5619431305256564</v>
      </c>
      <c r="BA62" s="100">
        <v>9283.9954734734256</v>
      </c>
      <c r="BB62" s="100">
        <v>3.595436354713033</v>
      </c>
      <c r="BC62" s="100">
        <v>6001.5023632869952</v>
      </c>
      <c r="BD62" s="100">
        <v>4.7336027766236581</v>
      </c>
      <c r="BE62" s="100">
        <v>7901.3297547402108</v>
      </c>
      <c r="BF62" s="100">
        <v>4.8962067467941557</v>
      </c>
      <c r="BG62" s="100">
        <v>8172.7483017488048</v>
      </c>
      <c r="BH62" s="100">
        <v>6.1704982047202872</v>
      </c>
      <c r="BI62" s="100">
        <v>10299.795603319104</v>
      </c>
      <c r="BJ62" s="100">
        <v>5.7006394147026169</v>
      </c>
      <c r="BK62" s="100">
        <v>9515.507311021609</v>
      </c>
      <c r="BL62" s="100">
        <v>5.0597502609324367</v>
      </c>
      <c r="BM62" s="100">
        <v>8445.7351355484243</v>
      </c>
      <c r="BN62" s="100">
        <v>5.0807000277523144</v>
      </c>
      <c r="BO62" s="100">
        <v>8480.7044863241626</v>
      </c>
      <c r="BP62" s="100">
        <v>6.2361015751055424</v>
      </c>
      <c r="BQ62" s="100">
        <v>10409.300749166172</v>
      </c>
      <c r="BR62" s="100">
        <v>4.6194990211592417</v>
      </c>
      <c r="BS62" s="100">
        <v>7710.8677661190068</v>
      </c>
      <c r="BT62" s="100">
        <v>6.4436696169443159</v>
      </c>
      <c r="BU62" s="100">
        <v>10755.773324603453</v>
      </c>
      <c r="BV62" s="100">
        <v>5.1369860724276188</v>
      </c>
      <c r="BW62" s="100">
        <v>8574.6571520961825</v>
      </c>
      <c r="BX62" s="100">
        <v>8.8341853697739694</v>
      </c>
      <c r="BY62" s="100">
        <v>14746.02221922671</v>
      </c>
      <c r="BZ62" s="100">
        <v>5.2053408259104677</v>
      </c>
      <c r="CA62" s="100">
        <v>8688.7549066097527</v>
      </c>
      <c r="CB62" s="100">
        <v>4.7615811293192696</v>
      </c>
      <c r="CC62" s="100">
        <v>7948.0312210597249</v>
      </c>
      <c r="CD62" s="100">
        <v>5.2943941619050028</v>
      </c>
      <c r="CE62" s="100">
        <v>8837.4027350518318</v>
      </c>
      <c r="CF62" s="100">
        <v>5.813057316190049</v>
      </c>
      <c r="CG62" s="100">
        <v>9703.1552721844291</v>
      </c>
      <c r="CH62" s="100">
        <v>6.8752611257542675</v>
      </c>
      <c r="CI62" s="100">
        <v>11476.185871109024</v>
      </c>
      <c r="CJ62" s="100">
        <v>3.9679167033193568</v>
      </c>
      <c r="CK62" s="100">
        <v>6623.2465611806701</v>
      </c>
      <c r="CL62" s="100">
        <v>4.8225489020107357</v>
      </c>
      <c r="CM62" s="100">
        <v>8049.7986272363205</v>
      </c>
      <c r="CN62" s="100">
        <v>5.1271625011275752</v>
      </c>
      <c r="CO62" s="100">
        <v>8558.2596468821484</v>
      </c>
      <c r="CP62" s="100">
        <v>3.5539870819145243</v>
      </c>
      <c r="CQ62" s="100">
        <v>5932.3152371317237</v>
      </c>
      <c r="CR62" s="100">
        <v>5.722070879528161</v>
      </c>
      <c r="CS62" s="100">
        <v>9551.2807121084061</v>
      </c>
      <c r="CT62" s="100">
        <v>5.345129548685482</v>
      </c>
      <c r="CU62" s="100">
        <v>8922.0902426658067</v>
      </c>
    </row>
    <row r="63" spans="2:99">
      <c r="C63" s="99" t="s">
        <v>229</v>
      </c>
      <c r="D63" s="100">
        <v>4.8662977844579691</v>
      </c>
      <c r="E63" s="100">
        <v>3871.6265173147603</v>
      </c>
      <c r="F63" s="100">
        <v>4.3385301432352099</v>
      </c>
      <c r="G63" s="100">
        <v>3451.7345819579332</v>
      </c>
      <c r="H63" s="100">
        <v>5.6942863574623681</v>
      </c>
      <c r="I63" s="100">
        <v>4530.3742259970604</v>
      </c>
      <c r="J63" s="100">
        <v>5.9440999984534599</v>
      </c>
      <c r="K63" s="100">
        <v>4729.1259587695731</v>
      </c>
      <c r="L63" s="100">
        <v>5.6972340799092027</v>
      </c>
      <c r="M63" s="100">
        <v>4532.7194339757616</v>
      </c>
      <c r="N63" s="100">
        <v>8.8070623558985837</v>
      </c>
      <c r="O63" s="100">
        <v>7006.8988103529136</v>
      </c>
      <c r="P63" s="100">
        <v>6.5770449230296553</v>
      </c>
      <c r="Q63" s="100">
        <v>5232.6969407623938</v>
      </c>
      <c r="R63" s="100">
        <v>6.8853804033690214</v>
      </c>
      <c r="S63" s="100">
        <v>5478.0086489203932</v>
      </c>
      <c r="T63" s="100">
        <v>5.9312728584168566</v>
      </c>
      <c r="U63" s="100">
        <v>4718.9206861564517</v>
      </c>
      <c r="V63" s="100">
        <v>6.5847401087377966</v>
      </c>
      <c r="W63" s="100">
        <v>5238.8192305117909</v>
      </c>
      <c r="X63" s="100">
        <v>6</v>
      </c>
      <c r="Y63" s="100">
        <v>4773.6000000000004</v>
      </c>
      <c r="Z63" s="100">
        <v>7.5250056076240304</v>
      </c>
      <c r="AA63" s="100">
        <v>5986.8944614256789</v>
      </c>
      <c r="AB63" s="100">
        <v>5.9422772640871004</v>
      </c>
      <c r="AC63" s="100">
        <v>4727.6757913076972</v>
      </c>
      <c r="AD63" s="100">
        <v>6.0444888971984163</v>
      </c>
      <c r="AE63" s="100">
        <v>4808.9953666110605</v>
      </c>
      <c r="AF63" s="100">
        <v>6.116779455675613</v>
      </c>
      <c r="AG63" s="100">
        <v>4866.5097349355183</v>
      </c>
      <c r="AH63" s="100">
        <v>8.5756601879193752</v>
      </c>
      <c r="AI63" s="100">
        <v>6822.7952455086552</v>
      </c>
      <c r="AJ63" s="100">
        <v>3.1933677745715268</v>
      </c>
      <c r="AK63" s="100">
        <v>2540.6434014491069</v>
      </c>
      <c r="AL63" s="100">
        <v>8.6484172084801134</v>
      </c>
      <c r="AM63" s="100">
        <v>6880.6807310667782</v>
      </c>
      <c r="AN63" s="100">
        <v>5.5217436804710722</v>
      </c>
      <c r="AO63" s="100">
        <v>4393.0992721827852</v>
      </c>
      <c r="AP63" s="100">
        <v>8.6256487559035744</v>
      </c>
      <c r="AQ63" s="100">
        <v>6862.5661501968843</v>
      </c>
      <c r="AR63" s="100">
        <v>8.718656628856353</v>
      </c>
      <c r="AS63" s="100">
        <v>6936.5632139181143</v>
      </c>
      <c r="AT63" s="100">
        <v>5.6147856892203318</v>
      </c>
      <c r="AU63" s="100">
        <v>4467.1234943436957</v>
      </c>
      <c r="AV63" s="100">
        <v>10.832690185347287</v>
      </c>
      <c r="AW63" s="100">
        <v>8618.4883114623026</v>
      </c>
      <c r="AX63" s="100">
        <v>7.4711758847904273</v>
      </c>
      <c r="AY63" s="100">
        <v>5944.0675339392637</v>
      </c>
      <c r="AZ63" s="100">
        <v>5.7002554222649158</v>
      </c>
      <c r="BA63" s="100">
        <v>4535.123213953967</v>
      </c>
      <c r="BB63" s="100">
        <v>8.6927091861556374</v>
      </c>
      <c r="BC63" s="100">
        <v>6915.9194285054255</v>
      </c>
      <c r="BD63" s="100">
        <v>5.9664931928355509</v>
      </c>
      <c r="BE63" s="100">
        <v>4746.9419842199641</v>
      </c>
      <c r="BF63" s="100">
        <v>5.068030575636695</v>
      </c>
      <c r="BG63" s="100">
        <v>4032.1251259765545</v>
      </c>
      <c r="BH63" s="100">
        <v>5.7865859220515574</v>
      </c>
      <c r="BI63" s="100">
        <v>4603.8077595842196</v>
      </c>
      <c r="BJ63" s="100">
        <v>4.5103355627148582</v>
      </c>
      <c r="BK63" s="100">
        <v>3588.4229736959414</v>
      </c>
      <c r="BL63" s="100">
        <v>6.5140105944098821</v>
      </c>
      <c r="BM63" s="100">
        <v>5182.546828912502</v>
      </c>
      <c r="BN63" s="100">
        <v>6.3851124305832068</v>
      </c>
      <c r="BO63" s="100">
        <v>5079.9954497719991</v>
      </c>
      <c r="BP63" s="100">
        <v>4.7114718860095453</v>
      </c>
      <c r="BQ63" s="100">
        <v>3748.4470325091943</v>
      </c>
      <c r="BR63" s="100">
        <v>4.1345599850887984</v>
      </c>
      <c r="BS63" s="100">
        <v>3289.4559241366483</v>
      </c>
      <c r="BT63" s="100">
        <v>9.4759097652690087</v>
      </c>
      <c r="BU63" s="100">
        <v>7539.0338092480233</v>
      </c>
      <c r="BV63" s="100">
        <v>8.5159255761866515</v>
      </c>
      <c r="BW63" s="100">
        <v>6775.2703884141001</v>
      </c>
      <c r="BX63" s="100">
        <v>7.3353670924290553</v>
      </c>
      <c r="BY63" s="100">
        <v>5836.0180587365567</v>
      </c>
      <c r="BZ63" s="100">
        <v>6.5658674001947492</v>
      </c>
      <c r="CA63" s="100">
        <v>5223.8041035949427</v>
      </c>
      <c r="CB63" s="100">
        <v>10.046460972663631</v>
      </c>
      <c r="CC63" s="100">
        <v>7992.964349851185</v>
      </c>
      <c r="CD63" s="100">
        <v>4.0236931190517549</v>
      </c>
      <c r="CE63" s="100">
        <v>3201.2502455175763</v>
      </c>
      <c r="CF63" s="100">
        <v>11.87389995723089</v>
      </c>
      <c r="CG63" s="100">
        <v>9446.8748059728969</v>
      </c>
      <c r="CH63" s="100">
        <v>8.0628390060981765</v>
      </c>
      <c r="CI63" s="100">
        <v>6414.7947132517093</v>
      </c>
      <c r="CJ63" s="100">
        <v>5.3789946570955536</v>
      </c>
      <c r="CK63" s="100">
        <v>4279.5281491852229</v>
      </c>
      <c r="CL63" s="100">
        <v>5.0972429988030195</v>
      </c>
      <c r="CM63" s="100">
        <v>4055.3665298476826</v>
      </c>
      <c r="CN63" s="100">
        <v>7.4259264256262858</v>
      </c>
      <c r="CO63" s="100">
        <v>5908.067064228273</v>
      </c>
      <c r="CP63" s="100">
        <v>4.5912068626290923</v>
      </c>
      <c r="CQ63" s="100">
        <v>3652.764179907706</v>
      </c>
      <c r="CR63" s="100">
        <v>8.9843851281089808</v>
      </c>
      <c r="CS63" s="100">
        <v>7147.9768079235055</v>
      </c>
      <c r="CT63" s="100">
        <v>4.197402504860702</v>
      </c>
      <c r="CU63" s="100">
        <v>3339.4534328671748</v>
      </c>
    </row>
    <row r="64" spans="2:99">
      <c r="C64" s="99" t="s">
        <v>230</v>
      </c>
      <c r="D64" s="100">
        <v>4.1768413007551253</v>
      </c>
      <c r="E64" s="100">
        <v>4215.2682407220718</v>
      </c>
      <c r="F64" s="100">
        <v>3.8616947904284618</v>
      </c>
      <c r="G64" s="100">
        <v>3897.222382500403</v>
      </c>
      <c r="H64" s="100">
        <v>5.5642924184956977</v>
      </c>
      <c r="I64" s="100">
        <v>5615.4839087458568</v>
      </c>
      <c r="J64" s="100">
        <v>5.9440999984534599</v>
      </c>
      <c r="K64" s="100">
        <v>5998.7857184392305</v>
      </c>
      <c r="L64" s="100">
        <v>6.2724351008977086</v>
      </c>
      <c r="M64" s="100">
        <v>6330.1415038259665</v>
      </c>
      <c r="N64" s="100">
        <v>7.2950427200844041</v>
      </c>
      <c r="O64" s="100">
        <v>7362.1571131091796</v>
      </c>
      <c r="P64" s="100">
        <v>6.5006966039567633</v>
      </c>
      <c r="Q64" s="100">
        <v>6560.503012713164</v>
      </c>
      <c r="R64" s="100">
        <v>6.91662933707505</v>
      </c>
      <c r="S64" s="100">
        <v>6980.2623269761389</v>
      </c>
      <c r="T64" s="100">
        <v>5.9278223725969719</v>
      </c>
      <c r="U64" s="100">
        <v>5982.3583384248632</v>
      </c>
      <c r="V64" s="100">
        <v>7.5847401087377966</v>
      </c>
      <c r="W64" s="100">
        <v>7654.5197177381833</v>
      </c>
      <c r="X64" s="100">
        <v>6</v>
      </c>
      <c r="Y64" s="100">
        <v>6055.1999999999989</v>
      </c>
      <c r="Z64" s="100">
        <v>7.5250056076240304</v>
      </c>
      <c r="AA64" s="100">
        <v>7594.2356592141705</v>
      </c>
      <c r="AB64" s="100">
        <v>5.7958338304585588</v>
      </c>
      <c r="AC64" s="100">
        <v>5849.1555016987768</v>
      </c>
      <c r="AD64" s="100">
        <v>6.0444888971984163</v>
      </c>
      <c r="AE64" s="100">
        <v>6100.0981950526402</v>
      </c>
      <c r="AF64" s="100">
        <v>6.116779455675613</v>
      </c>
      <c r="AG64" s="100">
        <v>6173.0538266678277</v>
      </c>
      <c r="AH64" s="100">
        <v>7.9496078022208012</v>
      </c>
      <c r="AI64" s="100">
        <v>8022.7441940012313</v>
      </c>
      <c r="AJ64" s="100">
        <v>3.1933677745715268</v>
      </c>
      <c r="AK64" s="100">
        <v>3222.746758097584</v>
      </c>
      <c r="AL64" s="100">
        <v>8.6484172084801134</v>
      </c>
      <c r="AM64" s="100">
        <v>8727.9826467981293</v>
      </c>
      <c r="AN64" s="100">
        <v>4.4550942022855331</v>
      </c>
      <c r="AO64" s="100">
        <v>4496.0810689465588</v>
      </c>
      <c r="AP64" s="100">
        <v>8.6256487559035744</v>
      </c>
      <c r="AQ64" s="100">
        <v>8705.0047244578855</v>
      </c>
      <c r="AR64" s="100">
        <v>6.9749253030850822</v>
      </c>
      <c r="AS64" s="100">
        <v>7039.0946158734632</v>
      </c>
      <c r="AT64" s="100">
        <v>5.1049396507255596</v>
      </c>
      <c r="AU64" s="100">
        <v>5151.9050955122339</v>
      </c>
      <c r="AV64" s="100">
        <v>10.832690185347287</v>
      </c>
      <c r="AW64" s="100">
        <v>10932.35093505248</v>
      </c>
      <c r="AX64" s="100">
        <v>7.4711758847904273</v>
      </c>
      <c r="AY64" s="100">
        <v>7539.9107029304978</v>
      </c>
      <c r="AZ64" s="100">
        <v>5.7002554222649158</v>
      </c>
      <c r="BA64" s="100">
        <v>5752.6977721497524</v>
      </c>
      <c r="BB64" s="100">
        <v>7.800955470507299</v>
      </c>
      <c r="BC64" s="100">
        <v>7872.7242608359647</v>
      </c>
      <c r="BD64" s="100">
        <v>5.9664931928355509</v>
      </c>
      <c r="BE64" s="100">
        <v>6021.3849302096369</v>
      </c>
      <c r="BF64" s="100">
        <v>5.7092690701907394</v>
      </c>
      <c r="BG64" s="100">
        <v>5761.7943456364928</v>
      </c>
      <c r="BH64" s="100">
        <v>5.7848595675760528</v>
      </c>
      <c r="BI64" s="100">
        <v>5838.0802755977511</v>
      </c>
      <c r="BJ64" s="100">
        <v>4.5103355627148582</v>
      </c>
      <c r="BK64" s="100">
        <v>4551.8306498918337</v>
      </c>
      <c r="BL64" s="100">
        <v>6.6834414414638879</v>
      </c>
      <c r="BM64" s="100">
        <v>6744.9291027253548</v>
      </c>
      <c r="BN64" s="100">
        <v>6.3851124305832068</v>
      </c>
      <c r="BO64" s="100">
        <v>6443.8554649445714</v>
      </c>
      <c r="BP64" s="100">
        <v>5.1214615274987203</v>
      </c>
      <c r="BQ64" s="100">
        <v>5168.5789735517073</v>
      </c>
      <c r="BR64" s="100">
        <v>4.1345599850887984</v>
      </c>
      <c r="BS64" s="100">
        <v>4172.5979369516144</v>
      </c>
      <c r="BT64" s="100">
        <v>8.3752957212833046</v>
      </c>
      <c r="BU64" s="100">
        <v>8452.34844191911</v>
      </c>
      <c r="BV64" s="100">
        <v>7.4299379801555432</v>
      </c>
      <c r="BW64" s="100">
        <v>7498.2934095729725</v>
      </c>
      <c r="BX64" s="100">
        <v>7.3353670924290553</v>
      </c>
      <c r="BY64" s="100">
        <v>7402.8524696794011</v>
      </c>
      <c r="BZ64" s="100">
        <v>7.2984930817752298</v>
      </c>
      <c r="CA64" s="100">
        <v>7365.6392181275605</v>
      </c>
      <c r="CB64" s="100">
        <v>9.17431954793852</v>
      </c>
      <c r="CC64" s="100">
        <v>9258.7232877795523</v>
      </c>
      <c r="CD64" s="100">
        <v>4.0234805840286176</v>
      </c>
      <c r="CE64" s="100">
        <v>4060.49660540168</v>
      </c>
      <c r="CF64" s="100">
        <v>12.87389995723089</v>
      </c>
      <c r="CG64" s="100">
        <v>12992.339836837411</v>
      </c>
      <c r="CH64" s="100">
        <v>8.9587100067757515</v>
      </c>
      <c r="CI64" s="100">
        <v>9041.1301388380871</v>
      </c>
      <c r="CJ64" s="100">
        <v>5.0055114622490251</v>
      </c>
      <c r="CK64" s="100">
        <v>5051.5621677017152</v>
      </c>
      <c r="CL64" s="100">
        <v>4.6510733656259475</v>
      </c>
      <c r="CM64" s="100">
        <v>4693.8632405897051</v>
      </c>
      <c r="CN64" s="100">
        <v>7.5741584340793189</v>
      </c>
      <c r="CO64" s="100">
        <v>7643.8406916728472</v>
      </c>
      <c r="CP64" s="100">
        <v>4.0393870655191142</v>
      </c>
      <c r="CQ64" s="100">
        <v>4076.5494265218895</v>
      </c>
      <c r="CR64" s="100">
        <v>9.7471099570147093</v>
      </c>
      <c r="CS64" s="100">
        <v>9836.7833686192425</v>
      </c>
      <c r="CT64" s="100">
        <v>4.1984183628746452</v>
      </c>
      <c r="CU64" s="100">
        <v>4237.0438118130915</v>
      </c>
    </row>
    <row r="65" spans="2:99">
      <c r="C65" s="99" t="s">
        <v>231</v>
      </c>
      <c r="D65" s="100">
        <v>4.1718285009378677</v>
      </c>
      <c r="E65" s="100">
        <v>4280.2960419622523</v>
      </c>
      <c r="F65" s="100">
        <v>3.8616947904284618</v>
      </c>
      <c r="G65" s="100">
        <v>3962.0988549796016</v>
      </c>
      <c r="H65" s="100">
        <v>5.6916298262140597</v>
      </c>
      <c r="I65" s="100">
        <v>5839.6122016956251</v>
      </c>
      <c r="J65" s="100">
        <v>5.1779734640729025</v>
      </c>
      <c r="K65" s="100">
        <v>5312.6007741387975</v>
      </c>
      <c r="L65" s="100">
        <v>5.6972340799092027</v>
      </c>
      <c r="M65" s="100">
        <v>5845.3621659868422</v>
      </c>
      <c r="N65" s="100">
        <v>8.0520148602798738</v>
      </c>
      <c r="O65" s="100">
        <v>8261.3672466471508</v>
      </c>
      <c r="P65" s="100">
        <v>5.8151468027052964</v>
      </c>
      <c r="Q65" s="100">
        <v>5966.3406195756343</v>
      </c>
      <c r="R65" s="100">
        <v>6.7049522745643868</v>
      </c>
      <c r="S65" s="100">
        <v>6879.2810337030605</v>
      </c>
      <c r="T65" s="100">
        <v>5.9278223725969719</v>
      </c>
      <c r="U65" s="100">
        <v>6081.945754284493</v>
      </c>
      <c r="V65" s="100">
        <v>6.5847401087377966</v>
      </c>
      <c r="W65" s="100">
        <v>6755.9433515649789</v>
      </c>
      <c r="X65" s="100">
        <v>7</v>
      </c>
      <c r="Y65" s="100">
        <v>7182</v>
      </c>
      <c r="Z65" s="100">
        <v>6.6917791247384306</v>
      </c>
      <c r="AA65" s="100">
        <v>6865.7653819816296</v>
      </c>
      <c r="AB65" s="100">
        <v>5.7958338304585588</v>
      </c>
      <c r="AC65" s="100">
        <v>5946.525510050481</v>
      </c>
      <c r="AD65" s="100">
        <v>6.0444888971984163</v>
      </c>
      <c r="AE65" s="100">
        <v>6201.645608525575</v>
      </c>
      <c r="AF65" s="100">
        <v>6.0065216466040878</v>
      </c>
      <c r="AG65" s="100">
        <v>6162.6912094157942</v>
      </c>
      <c r="AH65" s="100">
        <v>8.6750180670508481</v>
      </c>
      <c r="AI65" s="100">
        <v>8900.5685367941696</v>
      </c>
      <c r="AJ65" s="100">
        <v>3.1933677745715268</v>
      </c>
      <c r="AK65" s="100">
        <v>3276.3953367103863</v>
      </c>
      <c r="AL65" s="100">
        <v>8.6484172084801134</v>
      </c>
      <c r="AM65" s="100">
        <v>8873.2760559005965</v>
      </c>
      <c r="AN65" s="100">
        <v>4.9501046692061479</v>
      </c>
      <c r="AO65" s="100">
        <v>5078.8073906055079</v>
      </c>
      <c r="AP65" s="100">
        <v>9.3383289561589535</v>
      </c>
      <c r="AQ65" s="100">
        <v>9581.1255090190862</v>
      </c>
      <c r="AR65" s="100">
        <v>7.8467909659707171</v>
      </c>
      <c r="AS65" s="100">
        <v>8050.8075310859558</v>
      </c>
      <c r="AT65" s="100">
        <v>5.2218091361311254</v>
      </c>
      <c r="AU65" s="100">
        <v>5357.5761736705344</v>
      </c>
      <c r="AV65" s="100">
        <v>11.813851677159995</v>
      </c>
      <c r="AW65" s="100">
        <v>12121.011820766154</v>
      </c>
      <c r="AX65" s="100">
        <v>6.7240582963113846</v>
      </c>
      <c r="AY65" s="100">
        <v>6898.8838120154805</v>
      </c>
      <c r="AZ65" s="100">
        <v>5.6465146319910273</v>
      </c>
      <c r="BA65" s="100">
        <v>5793.3240124227941</v>
      </c>
      <c r="BB65" s="100">
        <v>7.800955470507299</v>
      </c>
      <c r="BC65" s="100">
        <v>8003.7803127404886</v>
      </c>
      <c r="BD65" s="100">
        <v>5.9664931928355509</v>
      </c>
      <c r="BE65" s="100">
        <v>6121.6220158492752</v>
      </c>
      <c r="BF65" s="100">
        <v>5.068030575636695</v>
      </c>
      <c r="BG65" s="100">
        <v>5199.7993706032494</v>
      </c>
      <c r="BH65" s="100">
        <v>5.1297999679275552</v>
      </c>
      <c r="BI65" s="100">
        <v>5263.174767093672</v>
      </c>
      <c r="BJ65" s="100">
        <v>5.0741275080542154</v>
      </c>
      <c r="BK65" s="100">
        <v>5206.0548232636247</v>
      </c>
      <c r="BL65" s="100">
        <v>7.4867251287755261</v>
      </c>
      <c r="BM65" s="100">
        <v>7681.3799821236898</v>
      </c>
      <c r="BN65" s="100">
        <v>6.3851124305832068</v>
      </c>
      <c r="BO65" s="100">
        <v>6551.1253537783705</v>
      </c>
      <c r="BP65" s="100">
        <v>5.1330994291798184</v>
      </c>
      <c r="BQ65" s="100">
        <v>5266.5600143384936</v>
      </c>
      <c r="BR65" s="100">
        <v>4.1345599850887984</v>
      </c>
      <c r="BS65" s="100">
        <v>4242.0585447011072</v>
      </c>
      <c r="BT65" s="100">
        <v>9.3327042217348932</v>
      </c>
      <c r="BU65" s="100">
        <v>9575.354531500001</v>
      </c>
      <c r="BV65" s="100">
        <v>7.5159255761866524</v>
      </c>
      <c r="BW65" s="100">
        <v>7711.3396411675058</v>
      </c>
      <c r="BX65" s="100">
        <v>7.3353670924290553</v>
      </c>
      <c r="BY65" s="100">
        <v>7526.0866368322104</v>
      </c>
      <c r="BZ65" s="100">
        <v>6.5658674001947492</v>
      </c>
      <c r="CA65" s="100">
        <v>6736.5799525998127</v>
      </c>
      <c r="CB65" s="100">
        <v>10.046460972663631</v>
      </c>
      <c r="CC65" s="100">
        <v>10307.668957952885</v>
      </c>
      <c r="CD65" s="100">
        <v>4.0234805840286176</v>
      </c>
      <c r="CE65" s="100">
        <v>4128.0910792133618</v>
      </c>
      <c r="CF65" s="100">
        <v>12.048679948677067</v>
      </c>
      <c r="CG65" s="100">
        <v>12361.945627342671</v>
      </c>
      <c r="CH65" s="100">
        <v>7.1669680054206006</v>
      </c>
      <c r="CI65" s="100">
        <v>7353.3091735615362</v>
      </c>
      <c r="CJ65" s="100">
        <v>5.3256399149746212</v>
      </c>
      <c r="CK65" s="100">
        <v>5464.1065527639612</v>
      </c>
      <c r="CL65" s="100">
        <v>4.6510733656259475</v>
      </c>
      <c r="CM65" s="100">
        <v>4772.0012731322222</v>
      </c>
      <c r="CN65" s="100">
        <v>6.5718016266495169</v>
      </c>
      <c r="CO65" s="100">
        <v>6742.6684689424046</v>
      </c>
      <c r="CP65" s="100">
        <v>4.589951384209467</v>
      </c>
      <c r="CQ65" s="100">
        <v>4709.2901201989134</v>
      </c>
      <c r="CR65" s="100">
        <v>8.9843851281089808</v>
      </c>
      <c r="CS65" s="100">
        <v>9217.9791414398151</v>
      </c>
      <c r="CT65" s="100">
        <v>4.1627114373324865</v>
      </c>
      <c r="CU65" s="100">
        <v>4270.9419347031308</v>
      </c>
    </row>
    <row r="66" spans="2:99">
      <c r="C66" s="99" t="s">
        <v>232</v>
      </c>
      <c r="D66" s="100">
        <v>4.1818541005723837</v>
      </c>
      <c r="E66" s="100">
        <v>4978.0791213213652</v>
      </c>
      <c r="F66" s="100">
        <v>4.34100445733913</v>
      </c>
      <c r="G66" s="100">
        <v>5167.5317060164998</v>
      </c>
      <c r="H66" s="100">
        <v>5.5669489497440061</v>
      </c>
      <c r="I66" s="100">
        <v>6626.8960297752637</v>
      </c>
      <c r="J66" s="100">
        <v>5.9440999984534599</v>
      </c>
      <c r="K66" s="100">
        <v>7075.8566381589981</v>
      </c>
      <c r="L66" s="100">
        <v>5.6972340799092027</v>
      </c>
      <c r="M66" s="100">
        <v>6781.987448723914</v>
      </c>
      <c r="N66" s="100">
        <v>8.0520148602798738</v>
      </c>
      <c r="O66" s="100">
        <v>9585.1184896771611</v>
      </c>
      <c r="P66" s="100">
        <v>6.5770449230296553</v>
      </c>
      <c r="Q66" s="100">
        <v>7829.3142763745009</v>
      </c>
      <c r="R66" s="100">
        <v>6.8853804033690214</v>
      </c>
      <c r="S66" s="100">
        <v>8196.3568321704824</v>
      </c>
      <c r="T66" s="100">
        <v>5.03959171090405</v>
      </c>
      <c r="U66" s="100">
        <v>5999.1299726601801</v>
      </c>
      <c r="V66" s="100">
        <v>6.5847401087377966</v>
      </c>
      <c r="W66" s="100">
        <v>7838.4746254414722</v>
      </c>
      <c r="X66" s="100">
        <v>6</v>
      </c>
      <c r="Y66" s="100">
        <v>7142.4</v>
      </c>
      <c r="Z66" s="100">
        <v>7.518513792210622</v>
      </c>
      <c r="AA66" s="100">
        <v>8950.0388182475235</v>
      </c>
      <c r="AB66" s="100">
        <v>5.7958338304585588</v>
      </c>
      <c r="AC66" s="100">
        <v>6899.3605917778677</v>
      </c>
      <c r="AD66" s="100">
        <v>5.3218967956339354</v>
      </c>
      <c r="AE66" s="100">
        <v>6335.1859455226358</v>
      </c>
      <c r="AF66" s="100">
        <v>6.116779455675613</v>
      </c>
      <c r="AG66" s="100">
        <v>7281.4142640362488</v>
      </c>
      <c r="AH66" s="100">
        <v>7.8502499230893266</v>
      </c>
      <c r="AI66" s="100">
        <v>9344.9375084455332</v>
      </c>
      <c r="AJ66" s="100">
        <v>3.1698724465036343</v>
      </c>
      <c r="AK66" s="100">
        <v>3773.4161603179259</v>
      </c>
      <c r="AL66" s="100">
        <v>7.6484172084801134</v>
      </c>
      <c r="AM66" s="100">
        <v>9104.6758449747267</v>
      </c>
      <c r="AN66" s="100">
        <v>5.5217436804710722</v>
      </c>
      <c r="AO66" s="100">
        <v>6573.0836772327639</v>
      </c>
      <c r="AP66" s="100">
        <v>9.4765493907592759</v>
      </c>
      <c r="AQ66" s="100">
        <v>11280.884394759842</v>
      </c>
      <c r="AR66" s="100">
        <v>6.9749253030850822</v>
      </c>
      <c r="AS66" s="100">
        <v>8302.9510807924817</v>
      </c>
      <c r="AT66" s="100">
        <v>5.7510091124789797</v>
      </c>
      <c r="AU66" s="100">
        <v>6846.0012474949763</v>
      </c>
      <c r="AV66" s="100">
        <v>9.6813494823312123</v>
      </c>
      <c r="AW66" s="100">
        <v>11524.678423767074</v>
      </c>
      <c r="AX66" s="100">
        <v>6.7240582963113846</v>
      </c>
      <c r="AY66" s="100">
        <v>8004.3189959290712</v>
      </c>
      <c r="AZ66" s="100">
        <v>5.6465146319910273</v>
      </c>
      <c r="BA66" s="100">
        <v>6721.6110179221178</v>
      </c>
      <c r="BB66" s="100">
        <v>8.6927091861556374</v>
      </c>
      <c r="BC66" s="100">
        <v>10347.80101519967</v>
      </c>
      <c r="BD66" s="100">
        <v>5.9664931928355509</v>
      </c>
      <c r="BE66" s="100">
        <v>7102.5134967514387</v>
      </c>
      <c r="BF66" s="100">
        <v>5.068030575636695</v>
      </c>
      <c r="BG66" s="100">
        <v>6032.9835972379215</v>
      </c>
      <c r="BH66" s="100">
        <v>5.1280736134520515</v>
      </c>
      <c r="BI66" s="100">
        <v>6104.4588294533214</v>
      </c>
      <c r="BJ66" s="100">
        <v>3.9465436173755015</v>
      </c>
      <c r="BK66" s="100">
        <v>4697.9655221237963</v>
      </c>
      <c r="BL66" s="100">
        <v>6.5140105944098821</v>
      </c>
      <c r="BM66" s="100">
        <v>7754.2782115855225</v>
      </c>
      <c r="BN66" s="100">
        <v>5.5869733767603051</v>
      </c>
      <c r="BO66" s="100">
        <v>6650.7331076954661</v>
      </c>
      <c r="BP66" s="100">
        <v>4.6994598342234521</v>
      </c>
      <c r="BQ66" s="100">
        <v>5594.2369866595964</v>
      </c>
      <c r="BR66" s="100">
        <v>4.1345599850887984</v>
      </c>
      <c r="BS66" s="100">
        <v>4921.7802062497049</v>
      </c>
      <c r="BT66" s="100">
        <v>8.5185012648174201</v>
      </c>
      <c r="BU66" s="100">
        <v>10140.423905638656</v>
      </c>
      <c r="BV66" s="100">
        <v>7.4299379801555432</v>
      </c>
      <c r="BW66" s="100">
        <v>8844.5981715771577</v>
      </c>
      <c r="BX66" s="100">
        <v>7.9833406699489506</v>
      </c>
      <c r="BY66" s="100">
        <v>9503.36873350723</v>
      </c>
      <c r="BZ66" s="100">
        <v>5.950718709872751</v>
      </c>
      <c r="CA66" s="100">
        <v>7083.7355522325215</v>
      </c>
      <c r="CB66" s="100">
        <v>10.046460972663631</v>
      </c>
      <c r="CC66" s="100">
        <v>11959.307141858784</v>
      </c>
      <c r="CD66" s="100">
        <v>4.0045160307903558</v>
      </c>
      <c r="CE66" s="100">
        <v>4766.975883052839</v>
      </c>
      <c r="CF66" s="100">
        <v>11.048679948677067</v>
      </c>
      <c r="CG66" s="100">
        <v>13152.348610905179</v>
      </c>
      <c r="CH66" s="100">
        <v>8.0628390060981765</v>
      </c>
      <c r="CI66" s="100">
        <v>9598.0035528592689</v>
      </c>
      <c r="CJ66" s="100">
        <v>5.3256399149746212</v>
      </c>
      <c r="CK66" s="100">
        <v>6339.6417547857882</v>
      </c>
      <c r="CL66" s="100">
        <v>4.6510733656259475</v>
      </c>
      <c r="CM66" s="100">
        <v>5536.6377344411276</v>
      </c>
      <c r="CN66" s="100">
        <v>6.5718016266495169</v>
      </c>
      <c r="CO66" s="100">
        <v>7823.0726563635844</v>
      </c>
      <c r="CP66" s="100">
        <v>4.0949219516498694</v>
      </c>
      <c r="CQ66" s="100">
        <v>4874.5950912440039</v>
      </c>
      <c r="CR66" s="100">
        <v>9.8985286475830954</v>
      </c>
      <c r="CS66" s="100">
        <v>11783.208502082914</v>
      </c>
      <c r="CT66" s="100">
        <v>4.1627114373324865</v>
      </c>
      <c r="CU66" s="100">
        <v>4955.2916950005911</v>
      </c>
    </row>
    <row r="67" spans="2:99">
      <c r="C67" s="99" t="s">
        <v>233</v>
      </c>
      <c r="D67" s="100">
        <v>4.8713105842752267</v>
      </c>
      <c r="E67" s="100">
        <v>5471.4560482579345</v>
      </c>
      <c r="F67" s="100">
        <v>3.8616947904284618</v>
      </c>
      <c r="G67" s="100">
        <v>4337.4555886092485</v>
      </c>
      <c r="H67" s="100">
        <v>6.3061361785433903</v>
      </c>
      <c r="I67" s="100">
        <v>7083.0521557399361</v>
      </c>
      <c r="J67" s="100">
        <v>5.9440999984534599</v>
      </c>
      <c r="K67" s="100">
        <v>6676.4131182629262</v>
      </c>
      <c r="L67" s="100">
        <v>5.7246221448971308</v>
      </c>
      <c r="M67" s="100">
        <v>6429.8955931484579</v>
      </c>
      <c r="N67" s="100">
        <v>8.0520148602798738</v>
      </c>
      <c r="O67" s="100">
        <v>9044.023091066354</v>
      </c>
      <c r="P67" s="100">
        <v>6.5770449230296553</v>
      </c>
      <c r="Q67" s="100">
        <v>7387.3368575469094</v>
      </c>
      <c r="R67" s="100">
        <v>6.218716616626339</v>
      </c>
      <c r="S67" s="100">
        <v>6984.862503794704</v>
      </c>
      <c r="T67" s="100">
        <v>5.9278223725969719</v>
      </c>
      <c r="U67" s="100">
        <v>6658.130088900919</v>
      </c>
      <c r="V67" s="100">
        <v>6.7016881304853557</v>
      </c>
      <c r="W67" s="100">
        <v>7527.336108161152</v>
      </c>
      <c r="X67" s="100">
        <v>7</v>
      </c>
      <c r="Y67" s="100">
        <v>7862.4000000000005</v>
      </c>
      <c r="Z67" s="100">
        <v>8.3582320905096292</v>
      </c>
      <c r="AA67" s="100">
        <v>9387.966284060416</v>
      </c>
      <c r="AB67" s="100">
        <v>6.639769940844535</v>
      </c>
      <c r="AC67" s="100">
        <v>7457.7895975565816</v>
      </c>
      <c r="AD67" s="100">
        <v>5.3218967956339354</v>
      </c>
      <c r="AE67" s="100">
        <v>5977.5544808560362</v>
      </c>
      <c r="AF67" s="100">
        <v>6.0065216466040878</v>
      </c>
      <c r="AG67" s="100">
        <v>6746.5251134657119</v>
      </c>
      <c r="AH67" s="100">
        <v>7.9496078022208012</v>
      </c>
      <c r="AI67" s="100">
        <v>8928.999483454405</v>
      </c>
      <c r="AJ67" s="100">
        <v>3.1698724465036343</v>
      </c>
      <c r="AK67" s="100">
        <v>3560.4007319128823</v>
      </c>
      <c r="AL67" s="100">
        <v>6.6484172084801134</v>
      </c>
      <c r="AM67" s="100">
        <v>7467.5022085648634</v>
      </c>
      <c r="AN67" s="100">
        <v>4.5317227466298426</v>
      </c>
      <c r="AO67" s="100">
        <v>5090.0309890146391</v>
      </c>
      <c r="AP67" s="100">
        <v>9.4765493907592759</v>
      </c>
      <c r="AQ67" s="100">
        <v>10644.06027570082</v>
      </c>
      <c r="AR67" s="100">
        <v>7.8467909659707171</v>
      </c>
      <c r="AS67" s="100">
        <v>8813.5156129783099</v>
      </c>
      <c r="AT67" s="100">
        <v>5.2452060119135977</v>
      </c>
      <c r="AU67" s="100">
        <v>5891.4153925813534</v>
      </c>
      <c r="AV67" s="100">
        <v>10.66251097414392</v>
      </c>
      <c r="AW67" s="100">
        <v>11976.132326158451</v>
      </c>
      <c r="AX67" s="100">
        <v>6.7240582963113846</v>
      </c>
      <c r="AY67" s="100">
        <v>7552.4622784169478</v>
      </c>
      <c r="AZ67" s="100">
        <v>5.6465146319910273</v>
      </c>
      <c r="BA67" s="100">
        <v>6342.1652346523224</v>
      </c>
      <c r="BB67" s="100">
        <v>7.800955470507299</v>
      </c>
      <c r="BC67" s="100">
        <v>8762.0331844737993</v>
      </c>
      <c r="BD67" s="100">
        <v>5.9664931928355509</v>
      </c>
      <c r="BE67" s="100">
        <v>6701.565154192891</v>
      </c>
      <c r="BF67" s="100">
        <v>5.068030575636695</v>
      </c>
      <c r="BG67" s="100">
        <v>5692.4119425551362</v>
      </c>
      <c r="BH67" s="100">
        <v>5.0442485696227219</v>
      </c>
      <c r="BI67" s="100">
        <v>5665.6999934002415</v>
      </c>
      <c r="BJ67" s="100">
        <v>4.5103355627148582</v>
      </c>
      <c r="BK67" s="100">
        <v>5066.0089040413286</v>
      </c>
      <c r="BL67" s="100">
        <v>5.7107269070982438</v>
      </c>
      <c r="BM67" s="100">
        <v>6414.2884620527475</v>
      </c>
      <c r="BN67" s="100">
        <v>5.5869733767603051</v>
      </c>
      <c r="BO67" s="100">
        <v>6275.2884967771752</v>
      </c>
      <c r="BP67" s="100">
        <v>4.2782064411581748</v>
      </c>
      <c r="BQ67" s="100">
        <v>4805.2814747088623</v>
      </c>
      <c r="BR67" s="100">
        <v>4.2403242070167897</v>
      </c>
      <c r="BS67" s="100">
        <v>4762.7321493212585</v>
      </c>
      <c r="BT67" s="100">
        <v>9.3327042217348932</v>
      </c>
      <c r="BU67" s="100">
        <v>10482.493381852633</v>
      </c>
      <c r="BV67" s="100">
        <v>7.5159255761866524</v>
      </c>
      <c r="BW67" s="100">
        <v>8441.8876071728482</v>
      </c>
      <c r="BX67" s="100">
        <v>7.9833406699489506</v>
      </c>
      <c r="BY67" s="100">
        <v>8966.8882404866617</v>
      </c>
      <c r="BZ67" s="100">
        <v>6.6833443914532324</v>
      </c>
      <c r="CA67" s="100">
        <v>7506.7324204802708</v>
      </c>
      <c r="CB67" s="100">
        <v>8.3021781232134071</v>
      </c>
      <c r="CC67" s="100">
        <v>9325.0064679932984</v>
      </c>
      <c r="CD67" s="100">
        <v>4.4598564293284495</v>
      </c>
      <c r="CE67" s="100">
        <v>5009.3107414217147</v>
      </c>
      <c r="CF67" s="100">
        <v>11.87389995723089</v>
      </c>
      <c r="CG67" s="100">
        <v>13336.764431961736</v>
      </c>
      <c r="CH67" s="100">
        <v>7.1669680054206006</v>
      </c>
      <c r="CI67" s="100">
        <v>8049.9384636884188</v>
      </c>
      <c r="CJ67" s="100">
        <v>5.3789946570955536</v>
      </c>
      <c r="CK67" s="100">
        <v>6041.6867988497261</v>
      </c>
      <c r="CL67" s="100">
        <v>4.6510733656259475</v>
      </c>
      <c r="CM67" s="100">
        <v>5224.0856042710648</v>
      </c>
      <c r="CN67" s="100">
        <v>7.4259264256262858</v>
      </c>
      <c r="CO67" s="100">
        <v>8340.8005612634443</v>
      </c>
      <c r="CP67" s="100">
        <v>4.0949219516498694</v>
      </c>
      <c r="CQ67" s="100">
        <v>4599.4163360931334</v>
      </c>
      <c r="CR67" s="100">
        <v>8.9843851281089808</v>
      </c>
      <c r="CS67" s="100">
        <v>10091.261375892007</v>
      </c>
      <c r="CT67" s="100">
        <v>4.2271705820514009</v>
      </c>
      <c r="CU67" s="100">
        <v>4747.9579977601334</v>
      </c>
    </row>
    <row r="68" spans="2:99">
      <c r="C68" s="99" t="s">
        <v>234</v>
      </c>
      <c r="D68" s="100">
        <v>4.1818541005723837</v>
      </c>
      <c r="E68" s="100">
        <v>4320.6916567113867</v>
      </c>
      <c r="F68" s="100">
        <v>4.3385301432352099</v>
      </c>
      <c r="G68" s="100">
        <v>4482.569343990619</v>
      </c>
      <c r="H68" s="100">
        <v>6.3061361785433903</v>
      </c>
      <c r="I68" s="100">
        <v>6515.499899671031</v>
      </c>
      <c r="J68" s="100">
        <v>5.9440999984534599</v>
      </c>
      <c r="K68" s="100">
        <v>6141.4441184021152</v>
      </c>
      <c r="L68" s="100">
        <v>5.6972340799092027</v>
      </c>
      <c r="M68" s="100">
        <v>5886.3822513621881</v>
      </c>
      <c r="N68" s="100">
        <v>7.296967364661163</v>
      </c>
      <c r="O68" s="100">
        <v>7539.2266811679137</v>
      </c>
      <c r="P68" s="100">
        <v>7.3389430433540124</v>
      </c>
      <c r="Q68" s="100">
        <v>7582.5959523933661</v>
      </c>
      <c r="R68" s="100">
        <v>6.7049522745643868</v>
      </c>
      <c r="S68" s="100">
        <v>6927.5566900799249</v>
      </c>
      <c r="T68" s="100">
        <v>5.9278223725969719</v>
      </c>
      <c r="U68" s="100">
        <v>6124.6260753671913</v>
      </c>
      <c r="V68" s="100">
        <v>6.5847401087377966</v>
      </c>
      <c r="W68" s="100">
        <v>6803.3534803478915</v>
      </c>
      <c r="X68" s="100">
        <v>6</v>
      </c>
      <c r="Y68" s="100">
        <v>6199.2000000000007</v>
      </c>
      <c r="Z68" s="100">
        <v>7.518513792210622</v>
      </c>
      <c r="AA68" s="100">
        <v>7768.1284501120153</v>
      </c>
      <c r="AB68" s="100">
        <v>5.7958338304585588</v>
      </c>
      <c r="AC68" s="100">
        <v>5988.2555136297833</v>
      </c>
      <c r="AD68" s="100">
        <v>5.3218967956339354</v>
      </c>
      <c r="AE68" s="100">
        <v>5498.5837692489822</v>
      </c>
      <c r="AF68" s="100">
        <v>5.2272027035688797</v>
      </c>
      <c r="AG68" s="100">
        <v>5400.7458333273671</v>
      </c>
      <c r="AH68" s="100">
        <v>7.9496078022208012</v>
      </c>
      <c r="AI68" s="100">
        <v>8213.5347812545315</v>
      </c>
      <c r="AJ68" s="100">
        <v>3.1933677745715268</v>
      </c>
      <c r="AK68" s="100">
        <v>3299.3875846873016</v>
      </c>
      <c r="AL68" s="100">
        <v>7.6484172084801134</v>
      </c>
      <c r="AM68" s="100">
        <v>7902.3446598016535</v>
      </c>
      <c r="AN68" s="100">
        <v>5.5217436804710722</v>
      </c>
      <c r="AO68" s="100">
        <v>5705.0655706627122</v>
      </c>
      <c r="AP68" s="100">
        <v>8.487428321303252</v>
      </c>
      <c r="AQ68" s="100">
        <v>8769.2109415705199</v>
      </c>
      <c r="AR68" s="100">
        <v>8.718656628856353</v>
      </c>
      <c r="AS68" s="100">
        <v>9008.1160289343843</v>
      </c>
      <c r="AT68" s="100">
        <v>5.7510091124789797</v>
      </c>
      <c r="AU68" s="100">
        <v>5941.9426150132822</v>
      </c>
      <c r="AV68" s="100">
        <v>9.6813494823312123</v>
      </c>
      <c r="AW68" s="100">
        <v>10002.770285144608</v>
      </c>
      <c r="AX68" s="100">
        <v>6.7240582963113846</v>
      </c>
      <c r="AY68" s="100">
        <v>6947.2970317489226</v>
      </c>
      <c r="AZ68" s="100">
        <v>5.7002554222649158</v>
      </c>
      <c r="BA68" s="100">
        <v>5889.5039022841111</v>
      </c>
      <c r="BB68" s="100">
        <v>7.800955470507299</v>
      </c>
      <c r="BC68" s="100">
        <v>8059.947192128142</v>
      </c>
      <c r="BD68" s="100">
        <v>5.4760253832277241</v>
      </c>
      <c r="BE68" s="100">
        <v>5657.8294259508848</v>
      </c>
      <c r="BF68" s="100">
        <v>5.1645907612630921</v>
      </c>
      <c r="BG68" s="100">
        <v>5336.0551745370267</v>
      </c>
      <c r="BH68" s="100">
        <v>5.6993081692712195</v>
      </c>
      <c r="BI68" s="100">
        <v>5888.5252004910244</v>
      </c>
      <c r="BJ68" s="100">
        <v>4.5103355627148582</v>
      </c>
      <c r="BK68" s="100">
        <v>4660.0787033969918</v>
      </c>
      <c r="BL68" s="100">
        <v>6.5140105944098821</v>
      </c>
      <c r="BM68" s="100">
        <v>6730.2757461442907</v>
      </c>
      <c r="BN68" s="100">
        <v>6.3851124305832068</v>
      </c>
      <c r="BO68" s="100">
        <v>6597.0981632785697</v>
      </c>
      <c r="BP68" s="100">
        <v>4.6998339843284471</v>
      </c>
      <c r="BQ68" s="100">
        <v>4855.8684726081519</v>
      </c>
      <c r="BR68" s="100">
        <v>4.1289962705290701</v>
      </c>
      <c r="BS68" s="100">
        <v>4266.0789467106351</v>
      </c>
      <c r="BT68" s="100">
        <v>8.3752957212833046</v>
      </c>
      <c r="BU68" s="100">
        <v>8653.3555392299113</v>
      </c>
      <c r="BV68" s="100">
        <v>6.4299379801555432</v>
      </c>
      <c r="BW68" s="100">
        <v>6643.4119210967074</v>
      </c>
      <c r="BX68" s="100">
        <v>7.9833406699489506</v>
      </c>
      <c r="BY68" s="100">
        <v>8248.3875801912563</v>
      </c>
      <c r="BZ68" s="100">
        <v>6.5658674001947492</v>
      </c>
      <c r="CA68" s="100">
        <v>6783.8541978812154</v>
      </c>
      <c r="CB68" s="100">
        <v>9.17431954793852</v>
      </c>
      <c r="CC68" s="100">
        <v>9478.9069569300791</v>
      </c>
      <c r="CD68" s="100">
        <v>4.0045160307903558</v>
      </c>
      <c r="CE68" s="100">
        <v>4137.4659630125961</v>
      </c>
      <c r="CF68" s="100">
        <v>11.87389995723089</v>
      </c>
      <c r="CG68" s="100">
        <v>12268.113435810956</v>
      </c>
      <c r="CH68" s="100">
        <v>7.1669680054206006</v>
      </c>
      <c r="CI68" s="100">
        <v>7404.9113432005652</v>
      </c>
      <c r="CJ68" s="100">
        <v>5.3256399149746212</v>
      </c>
      <c r="CK68" s="100">
        <v>5502.4511601517788</v>
      </c>
      <c r="CL68" s="100">
        <v>4.2734480995773305</v>
      </c>
      <c r="CM68" s="100">
        <v>4415.3265764832977</v>
      </c>
      <c r="CN68" s="100">
        <v>6.5718016266495169</v>
      </c>
      <c r="CO68" s="100">
        <v>6789.9854406542809</v>
      </c>
      <c r="CP68" s="100">
        <v>4.5912068626290923</v>
      </c>
      <c r="CQ68" s="100">
        <v>4743.6349304683781</v>
      </c>
      <c r="CR68" s="100">
        <v>9.8985286475830954</v>
      </c>
      <c r="CS68" s="100">
        <v>10227.159798682855</v>
      </c>
      <c r="CT68" s="100">
        <v>4.197402504860702</v>
      </c>
      <c r="CU68" s="100">
        <v>4336.7562680220772</v>
      </c>
    </row>
    <row r="69" spans="2:99">
      <c r="C69" s="99" t="s">
        <v>235</v>
      </c>
      <c r="D69" s="100">
        <v>4.1818541005723837</v>
      </c>
      <c r="E69" s="100">
        <v>3171.5181498740958</v>
      </c>
      <c r="F69" s="100">
        <v>4.34100445733913</v>
      </c>
      <c r="G69" s="100">
        <v>3292.2177804459961</v>
      </c>
      <c r="H69" s="100">
        <v>6.3061361785433903</v>
      </c>
      <c r="I69" s="100">
        <v>4782.5736778073069</v>
      </c>
      <c r="J69" s="100">
        <v>5.8472309554885342</v>
      </c>
      <c r="K69" s="100">
        <v>4434.539956642504</v>
      </c>
      <c r="L69" s="100">
        <v>6.2450470359097814</v>
      </c>
      <c r="M69" s="100">
        <v>4736.2436720339783</v>
      </c>
      <c r="N69" s="100">
        <v>8.0539395048566345</v>
      </c>
      <c r="O69" s="100">
        <v>6108.1077204832718</v>
      </c>
      <c r="P69" s="100">
        <v>7.3405277130871758</v>
      </c>
      <c r="Q69" s="100">
        <v>5567.0562176053136</v>
      </c>
      <c r="R69" s="100">
        <v>7.3716160613070691</v>
      </c>
      <c r="S69" s="100">
        <v>5590.6336208952807</v>
      </c>
      <c r="T69" s="100">
        <v>5.9278223725969719</v>
      </c>
      <c r="U69" s="100">
        <v>4495.6604873775432</v>
      </c>
      <c r="V69" s="100">
        <v>6.5847401087377966</v>
      </c>
      <c r="W69" s="100">
        <v>4993.8668984667447</v>
      </c>
      <c r="X69" s="100">
        <v>7</v>
      </c>
      <c r="Y69" s="100">
        <v>5308.8</v>
      </c>
      <c r="Z69" s="100">
        <v>6.6917791247384306</v>
      </c>
      <c r="AA69" s="100">
        <v>5075.0452882016252</v>
      </c>
      <c r="AB69" s="100">
        <v>6.639769940844535</v>
      </c>
      <c r="AC69" s="100">
        <v>5035.6015231364954</v>
      </c>
      <c r="AD69" s="100">
        <v>6.0444888971984163</v>
      </c>
      <c r="AE69" s="100">
        <v>4584.1403796352788</v>
      </c>
      <c r="AF69" s="100">
        <v>6.116779455675613</v>
      </c>
      <c r="AG69" s="100">
        <v>4638.9655391843844</v>
      </c>
      <c r="AH69" s="100">
        <v>7.8502499230893266</v>
      </c>
      <c r="AI69" s="100">
        <v>5953.6295416709454</v>
      </c>
      <c r="AJ69" s="100">
        <v>3.1933677745715268</v>
      </c>
      <c r="AK69" s="100">
        <v>2421.8501202350458</v>
      </c>
      <c r="AL69" s="100">
        <v>7.6484172084801134</v>
      </c>
      <c r="AM69" s="100">
        <v>5800.5596109113176</v>
      </c>
      <c r="AN69" s="100">
        <v>4.9501046692061479</v>
      </c>
      <c r="AO69" s="100">
        <v>3754.1593811259427</v>
      </c>
      <c r="AP69" s="100">
        <v>8.6256487559035744</v>
      </c>
      <c r="AQ69" s="100">
        <v>6541.692016477271</v>
      </c>
      <c r="AR69" s="100">
        <v>8.718656628856353</v>
      </c>
      <c r="AS69" s="100">
        <v>6612.2291873246577</v>
      </c>
      <c r="AT69" s="100">
        <v>5.7276122366965074</v>
      </c>
      <c r="AU69" s="100">
        <v>4343.8211203106312</v>
      </c>
      <c r="AV69" s="100">
        <v>10.832690185347287</v>
      </c>
      <c r="AW69" s="100">
        <v>8215.5122365673815</v>
      </c>
      <c r="AX69" s="100">
        <v>7.4711758847904273</v>
      </c>
      <c r="AY69" s="100">
        <v>5666.1397910250598</v>
      </c>
      <c r="AZ69" s="100">
        <v>5.6465146319910273</v>
      </c>
      <c r="BA69" s="100">
        <v>4282.3166969019949</v>
      </c>
      <c r="BB69" s="100">
        <v>8.6927091861556374</v>
      </c>
      <c r="BC69" s="100">
        <v>6592.5506467804353</v>
      </c>
      <c r="BD69" s="100">
        <v>5.9664931928355509</v>
      </c>
      <c r="BE69" s="100">
        <v>4524.9884374464818</v>
      </c>
      <c r="BF69" s="100">
        <v>5.068030575636695</v>
      </c>
      <c r="BG69" s="100">
        <v>3843.5943885628694</v>
      </c>
      <c r="BH69" s="100">
        <v>5.0442485696227219</v>
      </c>
      <c r="BI69" s="100">
        <v>3825.5581152018722</v>
      </c>
      <c r="BJ69" s="100">
        <v>5.0741275080542154</v>
      </c>
      <c r="BK69" s="100">
        <v>3848.2183021083169</v>
      </c>
      <c r="BL69" s="100">
        <v>7.4867251287755261</v>
      </c>
      <c r="BM69" s="100">
        <v>5677.9323376633592</v>
      </c>
      <c r="BN69" s="100">
        <v>6.3851124305832068</v>
      </c>
      <c r="BO69" s="100">
        <v>4842.4692673543041</v>
      </c>
      <c r="BP69" s="100">
        <v>4.6998339843284471</v>
      </c>
      <c r="BQ69" s="100">
        <v>3564.354093714694</v>
      </c>
      <c r="BR69" s="100">
        <v>4.245887921576518</v>
      </c>
      <c r="BS69" s="100">
        <v>3220.081399723631</v>
      </c>
      <c r="BT69" s="100">
        <v>9.3327042217348932</v>
      </c>
      <c r="BU69" s="100">
        <v>7077.9228817637431</v>
      </c>
      <c r="BV69" s="100">
        <v>8.5159255761866515</v>
      </c>
      <c r="BW69" s="100">
        <v>6458.4779569799566</v>
      </c>
      <c r="BX69" s="100">
        <v>7.9833406699489506</v>
      </c>
      <c r="BY69" s="100">
        <v>6054.5655640892837</v>
      </c>
      <c r="BZ69" s="100">
        <v>6.5658674001947492</v>
      </c>
      <c r="CA69" s="100">
        <v>4979.5538363076976</v>
      </c>
      <c r="CB69" s="100">
        <v>10.046460972663631</v>
      </c>
      <c r="CC69" s="100">
        <v>7619.2360016680977</v>
      </c>
      <c r="CD69" s="100">
        <v>4.4600689643515867</v>
      </c>
      <c r="CE69" s="100">
        <v>3382.5163025642432</v>
      </c>
      <c r="CF69" s="100">
        <v>12.048679948677067</v>
      </c>
      <c r="CG69" s="100">
        <v>9137.7188730766884</v>
      </c>
      <c r="CH69" s="100">
        <v>8.0628390060981765</v>
      </c>
      <c r="CI69" s="100">
        <v>6114.857102224857</v>
      </c>
      <c r="CJ69" s="100">
        <v>5.3789946570955536</v>
      </c>
      <c r="CK69" s="100">
        <v>4079.4295479412676</v>
      </c>
      <c r="CL69" s="100">
        <v>4.6510733656259475</v>
      </c>
      <c r="CM69" s="100">
        <v>3527.3740404907185</v>
      </c>
      <c r="CN69" s="100">
        <v>7.4259264256262858</v>
      </c>
      <c r="CO69" s="100">
        <v>5631.8226011949746</v>
      </c>
      <c r="CP69" s="100">
        <v>4.6467417487598475</v>
      </c>
      <c r="CQ69" s="100">
        <v>3524.0889422594682</v>
      </c>
      <c r="CR69" s="100">
        <v>8.9843851281089808</v>
      </c>
      <c r="CS69" s="100">
        <v>6813.757681157851</v>
      </c>
      <c r="CT69" s="100">
        <v>4.6050323528677044</v>
      </c>
      <c r="CU69" s="100">
        <v>3492.4565364148671</v>
      </c>
    </row>
    <row r="70" spans="2:99">
      <c r="C70" s="99" t="s">
        <v>236</v>
      </c>
      <c r="D70" s="100">
        <v>4.8713105842752267</v>
      </c>
      <c r="E70" s="100">
        <v>2607.1254247041011</v>
      </c>
      <c r="F70" s="100">
        <v>4.34100445733913</v>
      </c>
      <c r="G70" s="100">
        <v>2323.3055855679022</v>
      </c>
      <c r="H70" s="100">
        <v>6.3061361785433903</v>
      </c>
      <c r="I70" s="100">
        <v>3375.0440827564221</v>
      </c>
      <c r="J70" s="100">
        <v>5.8472309554885342</v>
      </c>
      <c r="K70" s="100">
        <v>3129.4380073774632</v>
      </c>
      <c r="L70" s="100">
        <v>5.7246221448971308</v>
      </c>
      <c r="M70" s="100">
        <v>3063.817771948944</v>
      </c>
      <c r="N70" s="100">
        <v>8.0520148602798738</v>
      </c>
      <c r="O70" s="100">
        <v>4309.438353221788</v>
      </c>
      <c r="P70" s="100">
        <v>6.5770449230296553</v>
      </c>
      <c r="Q70" s="100">
        <v>3520.0344428054709</v>
      </c>
      <c r="R70" s="100">
        <v>7.5832931238177315</v>
      </c>
      <c r="S70" s="100">
        <v>4058.5784798672494</v>
      </c>
      <c r="T70" s="100">
        <v>5.9312728584168566</v>
      </c>
      <c r="U70" s="100">
        <v>3174.4172338247013</v>
      </c>
      <c r="V70" s="100">
        <v>7.5847401087377966</v>
      </c>
      <c r="W70" s="100">
        <v>4059.3529061964682</v>
      </c>
      <c r="X70" s="100">
        <v>7</v>
      </c>
      <c r="Y70" s="100">
        <v>3746.3999999999996</v>
      </c>
      <c r="Z70" s="100">
        <v>8.3582320905096292</v>
      </c>
      <c r="AA70" s="100">
        <v>4473.3258148407531</v>
      </c>
      <c r="AB70" s="100">
        <v>5.9422772640871004</v>
      </c>
      <c r="AC70" s="100">
        <v>3180.3067917394155</v>
      </c>
      <c r="AD70" s="100">
        <v>6.0444888971984163</v>
      </c>
      <c r="AE70" s="100">
        <v>3235.0104577805919</v>
      </c>
      <c r="AF70" s="100">
        <v>6.7858405896392959</v>
      </c>
      <c r="AG70" s="100">
        <v>3631.7818835749508</v>
      </c>
      <c r="AH70" s="100">
        <v>8.5756601879193752</v>
      </c>
      <c r="AI70" s="100">
        <v>4589.6933325744494</v>
      </c>
      <c r="AJ70" s="100">
        <v>3.1933677745715268</v>
      </c>
      <c r="AK70" s="100">
        <v>1709.0904329506809</v>
      </c>
      <c r="AL70" s="100">
        <v>8.6484172084801134</v>
      </c>
      <c r="AM70" s="100">
        <v>4628.6328899785558</v>
      </c>
      <c r="AN70" s="100">
        <v>5.4451151361267627</v>
      </c>
      <c r="AO70" s="100">
        <v>2914.225620855043</v>
      </c>
      <c r="AP70" s="100">
        <v>9.3383289561589535</v>
      </c>
      <c r="AQ70" s="100">
        <v>4997.8736573362712</v>
      </c>
      <c r="AR70" s="100">
        <v>8.718656628856353</v>
      </c>
      <c r="AS70" s="100">
        <v>4666.2250277639196</v>
      </c>
      <c r="AT70" s="100">
        <v>5.6147856892203318</v>
      </c>
      <c r="AU70" s="100">
        <v>3005.0333008707212</v>
      </c>
      <c r="AV70" s="100">
        <v>10.832690185347287</v>
      </c>
      <c r="AW70" s="100">
        <v>5797.6557871978675</v>
      </c>
      <c r="AX70" s="100">
        <v>8.218293473269469</v>
      </c>
      <c r="AY70" s="100">
        <v>4398.4306668938189</v>
      </c>
      <c r="AZ70" s="100">
        <v>5.7002554222649158</v>
      </c>
      <c r="BA70" s="100">
        <v>3050.7767019961825</v>
      </c>
      <c r="BB70" s="100">
        <v>7.800955470507299</v>
      </c>
      <c r="BC70" s="100">
        <v>4175.0713678155062</v>
      </c>
      <c r="BD70" s="100">
        <v>6.4704409153669831</v>
      </c>
      <c r="BE70" s="100">
        <v>3462.9799779044088</v>
      </c>
      <c r="BF70" s="100">
        <v>5.8058292558171374</v>
      </c>
      <c r="BG70" s="100">
        <v>3107.2798177133313</v>
      </c>
      <c r="BH70" s="100">
        <v>6.4450982306510616</v>
      </c>
      <c r="BI70" s="100">
        <v>3449.4165730444479</v>
      </c>
      <c r="BJ70" s="100">
        <v>5.0741275080542154</v>
      </c>
      <c r="BK70" s="100">
        <v>2715.6730423106155</v>
      </c>
      <c r="BL70" s="100">
        <v>6.6834414414638879</v>
      </c>
      <c r="BM70" s="100">
        <v>3576.9778594714721</v>
      </c>
      <c r="BN70" s="100">
        <v>6.3851124305832068</v>
      </c>
      <c r="BO70" s="100">
        <v>3417.3121728481319</v>
      </c>
      <c r="BP70" s="100">
        <v>5.1218356776037171</v>
      </c>
      <c r="BQ70" s="100">
        <v>2741.2064546535089</v>
      </c>
      <c r="BR70" s="100">
        <v>4.742943691292103</v>
      </c>
      <c r="BS70" s="100">
        <v>2538.4234635795333</v>
      </c>
      <c r="BT70" s="100">
        <v>9.4759097652690087</v>
      </c>
      <c r="BU70" s="100">
        <v>5071.5069063719729</v>
      </c>
      <c r="BV70" s="100">
        <v>8.5159255761866515</v>
      </c>
      <c r="BW70" s="100">
        <v>4557.7233683750956</v>
      </c>
      <c r="BX70" s="100">
        <v>7.3353670924290553</v>
      </c>
      <c r="BY70" s="100">
        <v>3925.8884678680297</v>
      </c>
      <c r="BZ70" s="100">
        <v>7.2984930817752298</v>
      </c>
      <c r="CA70" s="100">
        <v>3906.1534973661023</v>
      </c>
      <c r="CB70" s="100">
        <v>11.031828722560594</v>
      </c>
      <c r="CC70" s="100">
        <v>5904.2347323144286</v>
      </c>
      <c r="CD70" s="100">
        <v>4.8962322746282814</v>
      </c>
      <c r="CE70" s="100">
        <v>2620.4635133810557</v>
      </c>
      <c r="CF70" s="100">
        <v>12.87389995723089</v>
      </c>
      <c r="CG70" s="100">
        <v>6890.1112571099711</v>
      </c>
      <c r="CH70" s="100">
        <v>8.9587100067757515</v>
      </c>
      <c r="CI70" s="100">
        <v>4794.7015956263813</v>
      </c>
      <c r="CJ70" s="100">
        <v>4.6105668489390466</v>
      </c>
      <c r="CK70" s="100">
        <v>2467.5753775521775</v>
      </c>
      <c r="CL70" s="100">
        <v>5.1625361524254476</v>
      </c>
      <c r="CM70" s="100">
        <v>2762.9893487780992</v>
      </c>
      <c r="CN70" s="100">
        <v>6.5718016266495169</v>
      </c>
      <c r="CO70" s="100">
        <v>3517.2282305828212</v>
      </c>
      <c r="CP70" s="100">
        <v>5.1430266597390704</v>
      </c>
      <c r="CQ70" s="100">
        <v>2752.5478682923499</v>
      </c>
      <c r="CR70" s="100">
        <v>9.8985286475830954</v>
      </c>
      <c r="CS70" s="100">
        <v>5297.6925321864719</v>
      </c>
      <c r="CT70" s="100">
        <v>4.6348004300584034</v>
      </c>
      <c r="CU70" s="100">
        <v>2480.5451901672573</v>
      </c>
    </row>
    <row r="71" spans="2:99">
      <c r="B71" s="99" t="s">
        <v>130</v>
      </c>
      <c r="C71" s="99" t="s">
        <v>237</v>
      </c>
      <c r="D71" s="100">
        <v>5.9350841013751925</v>
      </c>
      <c r="E71" s="100">
        <v>3347.3874331756087</v>
      </c>
      <c r="F71" s="100">
        <v>8</v>
      </c>
      <c r="G71" s="100">
        <v>4512</v>
      </c>
      <c r="H71" s="100">
        <v>3.7734650175692641</v>
      </c>
      <c r="I71" s="100">
        <v>2128.234269909065</v>
      </c>
      <c r="J71" s="100">
        <v>6.1325647885325916</v>
      </c>
      <c r="K71" s="100">
        <v>3458.7665407323816</v>
      </c>
      <c r="L71" s="100">
        <v>4.9314670016277047</v>
      </c>
      <c r="M71" s="100">
        <v>2781.3473889180254</v>
      </c>
      <c r="N71" s="100">
        <v>6</v>
      </c>
      <c r="O71" s="100">
        <v>3384</v>
      </c>
      <c r="P71" s="100">
        <v>5.5253828438252119</v>
      </c>
      <c r="Q71" s="100">
        <v>3116.3159239174197</v>
      </c>
      <c r="R71" s="100">
        <v>6.9108680975895638</v>
      </c>
      <c r="S71" s="100">
        <v>3897.7296070405141</v>
      </c>
      <c r="T71" s="100">
        <v>4.2819057833951923</v>
      </c>
      <c r="U71" s="100">
        <v>2414.9948618348885</v>
      </c>
      <c r="V71" s="100">
        <v>5.1870779762044235</v>
      </c>
      <c r="W71" s="100">
        <v>2925.5119785792949</v>
      </c>
      <c r="X71" s="100">
        <v>6.3353759708726152</v>
      </c>
      <c r="Y71" s="100">
        <v>3573.152047572155</v>
      </c>
      <c r="Z71" s="100">
        <v>5.9438023432887226</v>
      </c>
      <c r="AA71" s="100">
        <v>3352.3045216148394</v>
      </c>
      <c r="AB71" s="100">
        <v>6.3030577547781075</v>
      </c>
      <c r="AC71" s="100">
        <v>3554.9245736948528</v>
      </c>
      <c r="AD71" s="100">
        <v>4.9118775128800758</v>
      </c>
      <c r="AE71" s="100">
        <v>2770.2989172643629</v>
      </c>
      <c r="AF71" s="100">
        <v>7.5782052851420358</v>
      </c>
      <c r="AG71" s="100">
        <v>4274.107780820108</v>
      </c>
      <c r="AH71" s="100">
        <v>5</v>
      </c>
      <c r="AI71" s="100">
        <v>2820</v>
      </c>
      <c r="AJ71" s="100">
        <v>7</v>
      </c>
      <c r="AK71" s="100">
        <v>3948</v>
      </c>
      <c r="AL71" s="100">
        <v>4.2742450727757033</v>
      </c>
      <c r="AM71" s="100">
        <v>2410.6742210454968</v>
      </c>
      <c r="AN71" s="100">
        <v>5.8090683692799985</v>
      </c>
      <c r="AO71" s="100">
        <v>3276.3145602739191</v>
      </c>
      <c r="AP71" s="100">
        <v>7.6257854869953805</v>
      </c>
      <c r="AQ71" s="100">
        <v>4300.9430146653949</v>
      </c>
      <c r="AR71" s="100">
        <v>6.3444441164682699</v>
      </c>
      <c r="AS71" s="100">
        <v>3578.2664816881042</v>
      </c>
      <c r="AT71" s="100">
        <v>5.7743636306406856</v>
      </c>
      <c r="AU71" s="100">
        <v>3256.7410876813465</v>
      </c>
      <c r="AV71" s="100">
        <v>6.2331109664630677</v>
      </c>
      <c r="AW71" s="100">
        <v>3515.47458508517</v>
      </c>
      <c r="AX71" s="100">
        <v>5</v>
      </c>
      <c r="AY71" s="100">
        <v>2820</v>
      </c>
      <c r="AZ71" s="100">
        <v>5.9406556300006867</v>
      </c>
      <c r="BA71" s="100">
        <v>3350.5297753203872</v>
      </c>
      <c r="BB71" s="100">
        <v>7.0617726789668636</v>
      </c>
      <c r="BC71" s="100">
        <v>3982.8397909373111</v>
      </c>
      <c r="BD71" s="100">
        <v>5.7080859411648674</v>
      </c>
      <c r="BE71" s="100">
        <v>3219.3604708169851</v>
      </c>
      <c r="BF71" s="100">
        <v>5.7826973071329002</v>
      </c>
      <c r="BG71" s="100">
        <v>3261.4412812229557</v>
      </c>
      <c r="BH71" s="100">
        <v>5.5046964957608306</v>
      </c>
      <c r="BI71" s="100">
        <v>3104.6488236091086</v>
      </c>
      <c r="BJ71" s="100">
        <v>5.6483847280404316</v>
      </c>
      <c r="BK71" s="100">
        <v>3185.6889866148035</v>
      </c>
      <c r="BL71" s="100">
        <v>5.6722063021997347</v>
      </c>
      <c r="BM71" s="100">
        <v>3199.1243544406502</v>
      </c>
      <c r="BN71" s="100">
        <v>6.6526852254593685</v>
      </c>
      <c r="BO71" s="100">
        <v>3752.1144671590837</v>
      </c>
      <c r="BP71" s="100">
        <v>5.8155938164780849</v>
      </c>
      <c r="BQ71" s="100">
        <v>3279.9949124936397</v>
      </c>
      <c r="BR71" s="100">
        <v>6.5332317753982023</v>
      </c>
      <c r="BS71" s="100">
        <v>3684.742721324586</v>
      </c>
      <c r="BT71" s="100">
        <v>5.8501294006743887</v>
      </c>
      <c r="BU71" s="100">
        <v>3299.4729819803551</v>
      </c>
      <c r="BV71" s="100">
        <v>6.2966099766355672</v>
      </c>
      <c r="BW71" s="100">
        <v>3551.2880268224599</v>
      </c>
      <c r="BX71" s="100">
        <v>5.9769524607370093</v>
      </c>
      <c r="BY71" s="100">
        <v>3371.0011878556734</v>
      </c>
      <c r="BZ71" s="100">
        <v>4.1109451882645862</v>
      </c>
      <c r="CA71" s="100">
        <v>2318.5730861812267</v>
      </c>
      <c r="CB71" s="100">
        <v>5.6338545199257606</v>
      </c>
      <c r="CC71" s="100">
        <v>3177.4939492381291</v>
      </c>
      <c r="CD71" s="100">
        <v>6.8536607087194454</v>
      </c>
      <c r="CE71" s="100">
        <v>3865.4646397177671</v>
      </c>
      <c r="CF71" s="100">
        <v>5.6126850605337397</v>
      </c>
      <c r="CG71" s="100">
        <v>3165.5543741410293</v>
      </c>
      <c r="CH71" s="100">
        <v>4.7035792137701424</v>
      </c>
      <c r="CI71" s="100">
        <v>2652.8186765663604</v>
      </c>
      <c r="CJ71" s="100">
        <v>5.7687384428073347</v>
      </c>
      <c r="CK71" s="100">
        <v>3253.5684817433366</v>
      </c>
      <c r="CL71" s="100">
        <v>6.5977483311636833</v>
      </c>
      <c r="CM71" s="100">
        <v>3721.1300587763176</v>
      </c>
      <c r="CN71" s="100">
        <v>5.920280059670346</v>
      </c>
      <c r="CO71" s="100">
        <v>3339.037953654075</v>
      </c>
      <c r="CP71" s="100">
        <v>3.5037813487083418</v>
      </c>
      <c r="CQ71" s="100">
        <v>1976.1326806715047</v>
      </c>
      <c r="CR71" s="100">
        <v>6.0670652376954166</v>
      </c>
      <c r="CS71" s="100">
        <v>3421.824794060215</v>
      </c>
      <c r="CT71" s="100">
        <v>6.0525556284710316</v>
      </c>
      <c r="CU71" s="100">
        <v>3413.6413744576616</v>
      </c>
    </row>
    <row r="72" spans="2:99">
      <c r="C72" s="99" t="s">
        <v>238</v>
      </c>
      <c r="D72" s="100">
        <v>5.9350841013751925</v>
      </c>
      <c r="E72" s="100">
        <v>441.57025714231429</v>
      </c>
      <c r="F72" s="100">
        <v>9</v>
      </c>
      <c r="G72" s="100">
        <v>669.59999999999991</v>
      </c>
      <c r="H72" s="100">
        <v>4.3125314486505877</v>
      </c>
      <c r="I72" s="100">
        <v>320.85233977960371</v>
      </c>
      <c r="J72" s="100">
        <v>6.1325647885325916</v>
      </c>
      <c r="K72" s="100">
        <v>456.26282026682475</v>
      </c>
      <c r="L72" s="100">
        <v>5.9177604019532462</v>
      </c>
      <c r="M72" s="100">
        <v>440.28137390532146</v>
      </c>
      <c r="N72" s="100">
        <v>6</v>
      </c>
      <c r="O72" s="100">
        <v>446.4</v>
      </c>
      <c r="P72" s="100">
        <v>5.5253828438252119</v>
      </c>
      <c r="Q72" s="100">
        <v>411.08848358059572</v>
      </c>
      <c r="R72" s="100">
        <v>8.8854018397580106</v>
      </c>
      <c r="S72" s="100">
        <v>661.07389687799594</v>
      </c>
      <c r="T72" s="100">
        <v>4.9955567472943905</v>
      </c>
      <c r="U72" s="100">
        <v>371.6694219987026</v>
      </c>
      <c r="V72" s="100">
        <v>4.5249347855727473</v>
      </c>
      <c r="W72" s="100">
        <v>336.65514804661234</v>
      </c>
      <c r="X72" s="100">
        <v>8.1454833911219335</v>
      </c>
      <c r="Y72" s="100">
        <v>606.0239642994718</v>
      </c>
      <c r="Z72" s="100">
        <v>6.6849893985526236</v>
      </c>
      <c r="AA72" s="100">
        <v>497.36321125231512</v>
      </c>
      <c r="AB72" s="100">
        <v>7.1219226584583932</v>
      </c>
      <c r="AC72" s="100">
        <v>529.87104578930439</v>
      </c>
      <c r="AD72" s="100">
        <v>4.9118775128800758</v>
      </c>
      <c r="AE72" s="100">
        <v>365.44368695827762</v>
      </c>
      <c r="AF72" s="100">
        <v>9.4538933837495698</v>
      </c>
      <c r="AG72" s="100">
        <v>703.36966775096789</v>
      </c>
      <c r="AH72" s="100">
        <v>5</v>
      </c>
      <c r="AI72" s="100">
        <v>371.99999999999994</v>
      </c>
      <c r="AJ72" s="100">
        <v>7</v>
      </c>
      <c r="AK72" s="100">
        <v>520.79999999999995</v>
      </c>
      <c r="AL72" s="100">
        <v>5.129094087330845</v>
      </c>
      <c r="AM72" s="100">
        <v>381.60460009741485</v>
      </c>
      <c r="AN72" s="100">
        <v>5.8090683692799985</v>
      </c>
      <c r="AO72" s="100">
        <v>432.19468667443186</v>
      </c>
      <c r="AP72" s="100">
        <v>8.5790086728698025</v>
      </c>
      <c r="AQ72" s="100">
        <v>638.27824526151323</v>
      </c>
      <c r="AR72" s="100">
        <v>5.6395058813051291</v>
      </c>
      <c r="AS72" s="100">
        <v>419.57923756910156</v>
      </c>
      <c r="AT72" s="100">
        <v>6.736757569080801</v>
      </c>
      <c r="AU72" s="100">
        <v>501.21476313961153</v>
      </c>
      <c r="AV72" s="100">
        <v>5.3426665426826299</v>
      </c>
      <c r="AW72" s="100">
        <v>397.49439077558759</v>
      </c>
      <c r="AX72" s="100">
        <v>6</v>
      </c>
      <c r="AY72" s="100">
        <v>446.4</v>
      </c>
      <c r="AZ72" s="100">
        <v>6.654581313200608</v>
      </c>
      <c r="BA72" s="100">
        <v>495.10084970212517</v>
      </c>
      <c r="BB72" s="100">
        <v>6.3408447715370428</v>
      </c>
      <c r="BC72" s="100">
        <v>471.75885100235593</v>
      </c>
      <c r="BD72" s="100">
        <v>5.7080859411648674</v>
      </c>
      <c r="BE72" s="100">
        <v>424.6815940226661</v>
      </c>
      <c r="BF72" s="100">
        <v>6.5546237374223937</v>
      </c>
      <c r="BG72" s="100">
        <v>487.66400606422604</v>
      </c>
      <c r="BH72" s="100">
        <v>6.5046964957608306</v>
      </c>
      <c r="BI72" s="100">
        <v>483.94941928460577</v>
      </c>
      <c r="BJ72" s="100">
        <v>6.5897821827138365</v>
      </c>
      <c r="BK72" s="100">
        <v>490.27979439390936</v>
      </c>
      <c r="BL72" s="100">
        <v>5.7842406858996913</v>
      </c>
      <c r="BM72" s="100">
        <v>430.34750703093698</v>
      </c>
      <c r="BN72" s="100">
        <v>6.6526852254593685</v>
      </c>
      <c r="BO72" s="100">
        <v>494.95978077417698</v>
      </c>
      <c r="BP72" s="100">
        <v>5.9224273649906625</v>
      </c>
      <c r="BQ72" s="100">
        <v>440.62859595530523</v>
      </c>
      <c r="BR72" s="100">
        <v>6.5332317753982023</v>
      </c>
      <c r="BS72" s="100">
        <v>486.07244408962617</v>
      </c>
      <c r="BT72" s="100">
        <v>5.9290812906299184</v>
      </c>
      <c r="BU72" s="100">
        <v>441.12364802286589</v>
      </c>
      <c r="BV72" s="100">
        <v>6.2966099766355672</v>
      </c>
      <c r="BW72" s="100">
        <v>468.46778226168612</v>
      </c>
      <c r="BX72" s="100">
        <v>6.0945449980411261</v>
      </c>
      <c r="BY72" s="100">
        <v>453.43414785425972</v>
      </c>
      <c r="BZ72" s="100">
        <v>4.6128881595836679</v>
      </c>
      <c r="CA72" s="100">
        <v>343.19887907302484</v>
      </c>
      <c r="CB72" s="100">
        <v>5.7923181499072012</v>
      </c>
      <c r="CC72" s="100">
        <v>430.94847035309573</v>
      </c>
      <c r="CD72" s="100">
        <v>5.9969531201295148</v>
      </c>
      <c r="CE72" s="100">
        <v>446.17331213763583</v>
      </c>
      <c r="CF72" s="100">
        <v>5.6126850605337397</v>
      </c>
      <c r="CG72" s="100">
        <v>417.58376850371019</v>
      </c>
      <c r="CH72" s="100">
        <v>5.4875090827318331</v>
      </c>
      <c r="CI72" s="100">
        <v>408.27067575524836</v>
      </c>
      <c r="CJ72" s="100">
        <v>5.7687384428073347</v>
      </c>
      <c r="CK72" s="100">
        <v>429.19414014486563</v>
      </c>
      <c r="CL72" s="100">
        <v>6.5977483311636833</v>
      </c>
      <c r="CM72" s="100">
        <v>490.872475838578</v>
      </c>
      <c r="CN72" s="100">
        <v>5.9785829351151909</v>
      </c>
      <c r="CO72" s="100">
        <v>444.80657037257015</v>
      </c>
      <c r="CP72" s="100">
        <v>4.1701934773706109</v>
      </c>
      <c r="CQ72" s="100">
        <v>310.26239471637342</v>
      </c>
      <c r="CR72" s="100">
        <v>6.8425963159184162</v>
      </c>
      <c r="CS72" s="100">
        <v>509.08916590433012</v>
      </c>
      <c r="CT72" s="100">
        <v>6.0525556284710316</v>
      </c>
      <c r="CU72" s="100">
        <v>450.3101387582447</v>
      </c>
    </row>
    <row r="73" spans="2:99">
      <c r="C73" s="99" t="s">
        <v>239</v>
      </c>
      <c r="D73" s="100">
        <v>5.9350841013751925</v>
      </c>
      <c r="E73" s="100">
        <v>3318.8990294890073</v>
      </c>
      <c r="F73" s="100">
        <v>8</v>
      </c>
      <c r="G73" s="100">
        <v>4473.5999999999995</v>
      </c>
      <c r="H73" s="100">
        <v>4.2876387483850253</v>
      </c>
      <c r="I73" s="100">
        <v>2397.647588096906</v>
      </c>
      <c r="J73" s="100">
        <v>7.1325647885325916</v>
      </c>
      <c r="K73" s="100">
        <v>3988.5302297474245</v>
      </c>
      <c r="L73" s="100">
        <v>5.9177604019532462</v>
      </c>
      <c r="M73" s="100">
        <v>3309.2116167722547</v>
      </c>
      <c r="N73" s="100">
        <v>5</v>
      </c>
      <c r="O73" s="100">
        <v>2795.9999999999995</v>
      </c>
      <c r="P73" s="100">
        <v>4.7360424375644676</v>
      </c>
      <c r="Q73" s="100">
        <v>2648.3949310860498</v>
      </c>
      <c r="R73" s="100">
        <v>7.8981349686737872</v>
      </c>
      <c r="S73" s="100">
        <v>4416.6370744823816</v>
      </c>
      <c r="T73" s="100">
        <v>4.2819057833951923</v>
      </c>
      <c r="U73" s="100">
        <v>2394.4417140745913</v>
      </c>
      <c r="V73" s="100">
        <v>4.5249347855727473</v>
      </c>
      <c r="W73" s="100">
        <v>2530.3435320922799</v>
      </c>
      <c r="X73" s="100">
        <v>6.3353759708726152</v>
      </c>
      <c r="Y73" s="100">
        <v>3542.7422429119661</v>
      </c>
      <c r="Z73" s="100">
        <v>5.9414180264258034</v>
      </c>
      <c r="AA73" s="100">
        <v>3322.4409603773088</v>
      </c>
      <c r="AB73" s="100">
        <v>6.3030577547781075</v>
      </c>
      <c r="AC73" s="100">
        <v>3524.6698964719171</v>
      </c>
      <c r="AD73" s="100">
        <v>4.3661133447822893</v>
      </c>
      <c r="AE73" s="100">
        <v>2441.5305824022557</v>
      </c>
      <c r="AF73" s="100">
        <v>7.5782052851420358</v>
      </c>
      <c r="AG73" s="100">
        <v>4237.7323954514259</v>
      </c>
      <c r="AH73" s="100">
        <v>4</v>
      </c>
      <c r="AI73" s="100">
        <v>2236.7999999999997</v>
      </c>
      <c r="AJ73" s="100">
        <v>7</v>
      </c>
      <c r="AK73" s="100">
        <v>3914.3999999999996</v>
      </c>
      <c r="AL73" s="100">
        <v>5.129094087330845</v>
      </c>
      <c r="AM73" s="100">
        <v>2868.1894136354081</v>
      </c>
      <c r="AN73" s="100">
        <v>5.8090683692799985</v>
      </c>
      <c r="AO73" s="100">
        <v>3248.431032101375</v>
      </c>
      <c r="AP73" s="100">
        <v>6.6725623011209576</v>
      </c>
      <c r="AQ73" s="100">
        <v>3731.2968387868391</v>
      </c>
      <c r="AR73" s="100">
        <v>6.3444441164682699</v>
      </c>
      <c r="AS73" s="100">
        <v>3547.8131499290562</v>
      </c>
      <c r="AT73" s="100">
        <v>5.7743636306406856</v>
      </c>
      <c r="AU73" s="100">
        <v>3229.0241422542708</v>
      </c>
      <c r="AV73" s="100">
        <v>5.3426665426826299</v>
      </c>
      <c r="AW73" s="100">
        <v>2987.6191306681262</v>
      </c>
      <c r="AX73" s="100">
        <v>5</v>
      </c>
      <c r="AY73" s="100">
        <v>2795.9999999999995</v>
      </c>
      <c r="AZ73" s="100">
        <v>6.7271333014776262</v>
      </c>
      <c r="BA73" s="100">
        <v>3761.8129421862882</v>
      </c>
      <c r="BB73" s="100">
        <v>6.2452745195206276</v>
      </c>
      <c r="BC73" s="100">
        <v>3492.3575113159345</v>
      </c>
      <c r="BD73" s="100">
        <v>6.5376089373362491</v>
      </c>
      <c r="BE73" s="100">
        <v>3655.8309177584301</v>
      </c>
      <c r="BF73" s="100">
        <v>6.4787812784011045</v>
      </c>
      <c r="BG73" s="100">
        <v>3622.9344908818971</v>
      </c>
      <c r="BH73" s="100">
        <v>5.5046964957608306</v>
      </c>
      <c r="BI73" s="100">
        <v>3078.226280429456</v>
      </c>
      <c r="BJ73" s="100">
        <v>5.6483847280404316</v>
      </c>
      <c r="BK73" s="100">
        <v>3158.5767399202091</v>
      </c>
      <c r="BL73" s="100">
        <v>5.6722063021997347</v>
      </c>
      <c r="BM73" s="100">
        <v>3171.897764190091</v>
      </c>
      <c r="BN73" s="100">
        <v>6.6526852254593685</v>
      </c>
      <c r="BO73" s="100">
        <v>3720.1815780768784</v>
      </c>
      <c r="BP73" s="100">
        <v>5.9224273649906625</v>
      </c>
      <c r="BQ73" s="100">
        <v>3311.8213825027779</v>
      </c>
      <c r="BR73" s="100">
        <v>5.7953050657558363</v>
      </c>
      <c r="BS73" s="100">
        <v>3240.7345927706633</v>
      </c>
      <c r="BT73" s="100">
        <v>5.0066943171545395</v>
      </c>
      <c r="BU73" s="100">
        <v>2799.7434621528182</v>
      </c>
      <c r="BV73" s="100">
        <v>5.3369209674723663</v>
      </c>
      <c r="BW73" s="100">
        <v>2984.4062050105467</v>
      </c>
      <c r="BX73" s="100">
        <v>6.0945449980411261</v>
      </c>
      <c r="BY73" s="100">
        <v>3408.0695629045972</v>
      </c>
      <c r="BZ73" s="100">
        <v>4.5938078760412839</v>
      </c>
      <c r="CA73" s="100">
        <v>2568.8573642822857</v>
      </c>
      <c r="CB73" s="100">
        <v>5.7923181499072012</v>
      </c>
      <c r="CC73" s="100">
        <v>3239.0643094281063</v>
      </c>
      <c r="CD73" s="100">
        <v>5.9969531201295148</v>
      </c>
      <c r="CE73" s="100">
        <v>3353.4961847764243</v>
      </c>
      <c r="CF73" s="100">
        <v>5.6504620012982114</v>
      </c>
      <c r="CG73" s="100">
        <v>3159.7383511259595</v>
      </c>
      <c r="CH73" s="100">
        <v>5.4875090827318331</v>
      </c>
      <c r="CI73" s="100">
        <v>3068.6150790636407</v>
      </c>
      <c r="CJ73" s="100">
        <v>5.7687384428073347</v>
      </c>
      <c r="CK73" s="100">
        <v>3225.8785372178613</v>
      </c>
      <c r="CL73" s="100">
        <v>5.7791820497227082</v>
      </c>
      <c r="CM73" s="100">
        <v>3231.7186022049382</v>
      </c>
      <c r="CN73" s="100">
        <v>5.0307381754666975</v>
      </c>
      <c r="CO73" s="100">
        <v>2813.188787720977</v>
      </c>
      <c r="CP73" s="100">
        <v>4.1456619480281836</v>
      </c>
      <c r="CQ73" s="100">
        <v>2318.2541613373601</v>
      </c>
      <c r="CR73" s="100">
        <v>6.8425963159184162</v>
      </c>
      <c r="CS73" s="100">
        <v>3826.3798598615781</v>
      </c>
      <c r="CT73" s="100">
        <v>6.0525556284710316</v>
      </c>
      <c r="CU73" s="100">
        <v>3384.5891074410006</v>
      </c>
    </row>
    <row r="74" spans="2:99">
      <c r="C74" s="99" t="s">
        <v>240</v>
      </c>
      <c r="D74" s="100">
        <v>5.9350841013751925</v>
      </c>
      <c r="E74" s="100">
        <v>2393.0259096744776</v>
      </c>
      <c r="F74" s="100">
        <v>7</v>
      </c>
      <c r="G74" s="100">
        <v>2822.4</v>
      </c>
      <c r="H74" s="100">
        <v>3.7817625843244511</v>
      </c>
      <c r="I74" s="100">
        <v>1524.8066739996186</v>
      </c>
      <c r="J74" s="100">
        <v>7.1657059856657392</v>
      </c>
      <c r="K74" s="100">
        <v>2889.2126534204258</v>
      </c>
      <c r="L74" s="100">
        <v>4.9314670016277047</v>
      </c>
      <c r="M74" s="100">
        <v>1988.3674950562904</v>
      </c>
      <c r="N74" s="100">
        <v>6</v>
      </c>
      <c r="O74" s="100">
        <v>2419.1999999999998</v>
      </c>
      <c r="P74" s="100">
        <v>4.7360424375644676</v>
      </c>
      <c r="Q74" s="100">
        <v>1909.5723108259933</v>
      </c>
      <c r="R74" s="100">
        <v>6.9108680975895638</v>
      </c>
      <c r="S74" s="100">
        <v>2786.4620169481123</v>
      </c>
      <c r="T74" s="100">
        <v>4.2819057833951923</v>
      </c>
      <c r="U74" s="100">
        <v>1726.4644118649414</v>
      </c>
      <c r="V74" s="100">
        <v>5.1870779762044235</v>
      </c>
      <c r="W74" s="100">
        <v>2091.4298400056236</v>
      </c>
      <c r="X74" s="100">
        <v>8.1454833911219335</v>
      </c>
      <c r="Y74" s="100">
        <v>3284.2589033003637</v>
      </c>
      <c r="Z74" s="100">
        <v>5.9438023432887226</v>
      </c>
      <c r="AA74" s="100">
        <v>2396.5411048140127</v>
      </c>
      <c r="AB74" s="100">
        <v>6.3030577547781075</v>
      </c>
      <c r="AC74" s="100">
        <v>2541.3928867265327</v>
      </c>
      <c r="AD74" s="100">
        <v>4.3661133447822893</v>
      </c>
      <c r="AE74" s="100">
        <v>1760.416900616219</v>
      </c>
      <c r="AF74" s="100">
        <v>7.5687736738030482</v>
      </c>
      <c r="AG74" s="100">
        <v>3051.7295452773888</v>
      </c>
      <c r="AH74" s="100">
        <v>4</v>
      </c>
      <c r="AI74" s="100">
        <v>1612.8</v>
      </c>
      <c r="AJ74" s="100">
        <v>6</v>
      </c>
      <c r="AK74" s="100">
        <v>2419.1999999999998</v>
      </c>
      <c r="AL74" s="100">
        <v>4.2742450727757033</v>
      </c>
      <c r="AM74" s="100">
        <v>1723.3756133431634</v>
      </c>
      <c r="AN74" s="100">
        <v>5.8090683692799985</v>
      </c>
      <c r="AO74" s="100">
        <v>2342.2163664936952</v>
      </c>
      <c r="AP74" s="100">
        <v>7.6257854869953805</v>
      </c>
      <c r="AQ74" s="100">
        <v>3074.7167083565373</v>
      </c>
      <c r="AR74" s="100">
        <v>7.0493823516314107</v>
      </c>
      <c r="AS74" s="100">
        <v>2842.3109641777846</v>
      </c>
      <c r="AT74" s="100">
        <v>5.7743636306406856</v>
      </c>
      <c r="AU74" s="100">
        <v>2328.2234158743245</v>
      </c>
      <c r="AV74" s="100">
        <v>6.2331109664630677</v>
      </c>
      <c r="AW74" s="100">
        <v>2513.1903416779087</v>
      </c>
      <c r="AX74" s="100">
        <v>5</v>
      </c>
      <c r="AY74" s="100">
        <v>2016</v>
      </c>
      <c r="AZ74" s="100">
        <v>7.5136109729545657</v>
      </c>
      <c r="BA74" s="100">
        <v>3029.4879442952806</v>
      </c>
      <c r="BB74" s="100">
        <v>6.3408447715370428</v>
      </c>
      <c r="BC74" s="100">
        <v>2556.6286118837356</v>
      </c>
      <c r="BD74" s="100">
        <v>6.5376089373362491</v>
      </c>
      <c r="BE74" s="100">
        <v>2635.9639235339755</v>
      </c>
      <c r="BF74" s="100">
        <v>6.4787812784011045</v>
      </c>
      <c r="BG74" s="100">
        <v>2612.2446114513255</v>
      </c>
      <c r="BH74" s="100">
        <v>5.4037571966086642</v>
      </c>
      <c r="BI74" s="100">
        <v>2178.7949016726134</v>
      </c>
      <c r="BJ74" s="100">
        <v>6.5897821827138365</v>
      </c>
      <c r="BK74" s="100">
        <v>2657.0001760702189</v>
      </c>
      <c r="BL74" s="100">
        <v>5.6722063021997347</v>
      </c>
      <c r="BM74" s="100">
        <v>2287.0335810469328</v>
      </c>
      <c r="BN74" s="100">
        <v>5.8333654619446289</v>
      </c>
      <c r="BO74" s="100">
        <v>2352.0129542560744</v>
      </c>
      <c r="BP74" s="100">
        <v>5.8155938164780849</v>
      </c>
      <c r="BQ74" s="100">
        <v>2344.8474268039636</v>
      </c>
      <c r="BR74" s="100">
        <v>6.5332317753982023</v>
      </c>
      <c r="BS74" s="100">
        <v>2634.1990518405551</v>
      </c>
      <c r="BT74" s="100">
        <v>5.9290812906299184</v>
      </c>
      <c r="BU74" s="100">
        <v>2390.6055763819832</v>
      </c>
      <c r="BV74" s="100">
        <v>6.2966099766355672</v>
      </c>
      <c r="BW74" s="100">
        <v>2538.7931425794604</v>
      </c>
      <c r="BX74" s="100">
        <v>6.2121375353452448</v>
      </c>
      <c r="BY74" s="100">
        <v>2504.7338542512025</v>
      </c>
      <c r="BZ74" s="100">
        <v>5.0766705638179817</v>
      </c>
      <c r="CA74" s="100">
        <v>2046.9135713314101</v>
      </c>
      <c r="CB74" s="100">
        <v>5.6338545199257606</v>
      </c>
      <c r="CC74" s="100">
        <v>2271.5701424340664</v>
      </c>
      <c r="CD74" s="100">
        <v>6.8536607087194454</v>
      </c>
      <c r="CE74" s="100">
        <v>2763.3959977556801</v>
      </c>
      <c r="CF74" s="100">
        <v>4.9724869567092886</v>
      </c>
      <c r="CG74" s="100">
        <v>2004.9067409451852</v>
      </c>
      <c r="CH74" s="100">
        <v>5.4875090827318331</v>
      </c>
      <c r="CI74" s="100">
        <v>2212.5636621574749</v>
      </c>
      <c r="CJ74" s="100">
        <v>5.7687384428073347</v>
      </c>
      <c r="CK74" s="100">
        <v>2325.9553401399171</v>
      </c>
      <c r="CL74" s="100">
        <v>5.7791820497227082</v>
      </c>
      <c r="CM74" s="100">
        <v>2330.1662024481957</v>
      </c>
      <c r="CN74" s="100">
        <v>5.0307381754666975</v>
      </c>
      <c r="CO74" s="100">
        <v>2028.3936323481723</v>
      </c>
      <c r="CP74" s="100">
        <v>4.1579277126993972</v>
      </c>
      <c r="CQ74" s="100">
        <v>1676.4764537603969</v>
      </c>
      <c r="CR74" s="100">
        <v>6.8425963159184162</v>
      </c>
      <c r="CS74" s="100">
        <v>2758.9348345783055</v>
      </c>
      <c r="CT74" s="100">
        <v>6.0525556284710316</v>
      </c>
      <c r="CU74" s="100">
        <v>2440.3904293995197</v>
      </c>
    </row>
    <row r="75" spans="2:99">
      <c r="C75" s="99" t="s">
        <v>241</v>
      </c>
      <c r="D75" s="100">
        <v>5.9350841013751925</v>
      </c>
      <c r="E75" s="100">
        <v>3817.4460940045233</v>
      </c>
      <c r="F75" s="100">
        <v>8</v>
      </c>
      <c r="G75" s="100">
        <v>5145.5999999999995</v>
      </c>
      <c r="H75" s="100">
        <v>4.2959363151402128</v>
      </c>
      <c r="I75" s="100">
        <v>2763.1462378981846</v>
      </c>
      <c r="J75" s="100">
        <v>6.1325647885325916</v>
      </c>
      <c r="K75" s="100">
        <v>3944.4656719841623</v>
      </c>
      <c r="L75" s="100">
        <v>4.9314670016277047</v>
      </c>
      <c r="M75" s="100">
        <v>3171.9195754469392</v>
      </c>
      <c r="N75" s="100">
        <v>6</v>
      </c>
      <c r="O75" s="100">
        <v>3859.2</v>
      </c>
      <c r="P75" s="100">
        <v>5.5253828438252119</v>
      </c>
      <c r="Q75" s="100">
        <v>3553.926245148376</v>
      </c>
      <c r="R75" s="100">
        <v>7.8981349686737872</v>
      </c>
      <c r="S75" s="100">
        <v>5080.0804118509795</v>
      </c>
      <c r="T75" s="100">
        <v>4.9955567472943905</v>
      </c>
      <c r="U75" s="100">
        <v>3213.1420998597514</v>
      </c>
      <c r="V75" s="100">
        <v>5.0987922174535338</v>
      </c>
      <c r="W75" s="100">
        <v>3279.5431542661127</v>
      </c>
      <c r="X75" s="100">
        <v>7.2404296809972744</v>
      </c>
      <c r="Y75" s="100">
        <v>4657.0443708174462</v>
      </c>
      <c r="Z75" s="100">
        <v>6.6826050816897045</v>
      </c>
      <c r="AA75" s="100">
        <v>4298.2515885428174</v>
      </c>
      <c r="AB75" s="100">
        <v>5.5668133426525479</v>
      </c>
      <c r="AC75" s="100">
        <v>3580.5743419941186</v>
      </c>
      <c r="AD75" s="100">
        <v>4.3661133447822893</v>
      </c>
      <c r="AE75" s="100">
        <v>2808.2841033639684</v>
      </c>
      <c r="AF75" s="100">
        <v>8.5113335287763086</v>
      </c>
      <c r="AG75" s="100">
        <v>5474.4897257089215</v>
      </c>
      <c r="AH75" s="100">
        <v>5</v>
      </c>
      <c r="AI75" s="100">
        <v>3215.9999999999995</v>
      </c>
      <c r="AJ75" s="100">
        <v>6</v>
      </c>
      <c r="AK75" s="100">
        <v>3859.2</v>
      </c>
      <c r="AL75" s="100">
        <v>4.2742450727757033</v>
      </c>
      <c r="AM75" s="100">
        <v>2749.1944308093321</v>
      </c>
      <c r="AN75" s="100">
        <v>5.8090683692799985</v>
      </c>
      <c r="AO75" s="100">
        <v>3736.3927751208948</v>
      </c>
      <c r="AP75" s="100">
        <v>7.6257854869953805</v>
      </c>
      <c r="AQ75" s="100">
        <v>4904.9052252354286</v>
      </c>
      <c r="AR75" s="100">
        <v>5.6395058813051291</v>
      </c>
      <c r="AS75" s="100">
        <v>3627.3301828554586</v>
      </c>
      <c r="AT75" s="100">
        <v>4.8119696922005719</v>
      </c>
      <c r="AU75" s="100">
        <v>3095.0589060234074</v>
      </c>
      <c r="AV75" s="100">
        <v>5.3426665426826299</v>
      </c>
      <c r="AW75" s="100">
        <v>3436.403120253467</v>
      </c>
      <c r="AX75" s="100">
        <v>5</v>
      </c>
      <c r="AY75" s="100">
        <v>3215.9999999999995</v>
      </c>
      <c r="AZ75" s="100">
        <v>6.654581313200608</v>
      </c>
      <c r="BA75" s="100">
        <v>4280.2267006506308</v>
      </c>
      <c r="BB75" s="100">
        <v>5.619916864107223</v>
      </c>
      <c r="BC75" s="100">
        <v>3614.7305269937656</v>
      </c>
      <c r="BD75" s="100">
        <v>5.7080859411648674</v>
      </c>
      <c r="BE75" s="100">
        <v>3671.4408773572422</v>
      </c>
      <c r="BF75" s="100">
        <v>5.706854848111611</v>
      </c>
      <c r="BG75" s="100">
        <v>3670.6490383053879</v>
      </c>
      <c r="BH75" s="100">
        <v>5.4037571966086642</v>
      </c>
      <c r="BI75" s="100">
        <v>3475.6966288586923</v>
      </c>
      <c r="BJ75" s="100">
        <v>6.5897821827138365</v>
      </c>
      <c r="BK75" s="100">
        <v>4238.5478999215393</v>
      </c>
      <c r="BL75" s="100">
        <v>5.5601719184997789</v>
      </c>
      <c r="BM75" s="100">
        <v>3576.3025779790573</v>
      </c>
      <c r="BN75" s="100">
        <v>5.8333654619446289</v>
      </c>
      <c r="BO75" s="100">
        <v>3752.020665122785</v>
      </c>
      <c r="BP75" s="100">
        <v>5.8155938164780849</v>
      </c>
      <c r="BQ75" s="100">
        <v>3740.5899427587037</v>
      </c>
      <c r="BR75" s="100">
        <v>5.7953050657558363</v>
      </c>
      <c r="BS75" s="100">
        <v>3727.5402182941534</v>
      </c>
      <c r="BT75" s="100">
        <v>5.8501294006743887</v>
      </c>
      <c r="BU75" s="100">
        <v>3762.8032305137663</v>
      </c>
      <c r="BV75" s="100">
        <v>6.2966099766355672</v>
      </c>
      <c r="BW75" s="100">
        <v>4049.9795369719964</v>
      </c>
      <c r="BX75" s="100">
        <v>6.0945449980411261</v>
      </c>
      <c r="BY75" s="100">
        <v>3920.011342740052</v>
      </c>
      <c r="BZ75" s="100">
        <v>5.0957508473603665</v>
      </c>
      <c r="CA75" s="100">
        <v>3277.5869450221876</v>
      </c>
      <c r="CB75" s="100">
        <v>5.7923181499072012</v>
      </c>
      <c r="CC75" s="100">
        <v>3725.6190340203116</v>
      </c>
      <c r="CD75" s="100">
        <v>5.9969531201295148</v>
      </c>
      <c r="CE75" s="100">
        <v>3857.2402468673035</v>
      </c>
      <c r="CF75" s="100">
        <v>5.6126850605337397</v>
      </c>
      <c r="CG75" s="100">
        <v>3610.079030935301</v>
      </c>
      <c r="CH75" s="100">
        <v>5.4875090827318331</v>
      </c>
      <c r="CI75" s="100">
        <v>3529.5658420131149</v>
      </c>
      <c r="CJ75" s="100">
        <v>5.6284733907216014</v>
      </c>
      <c r="CK75" s="100">
        <v>3620.2340849121338</v>
      </c>
      <c r="CL75" s="100">
        <v>5.7791820497227082</v>
      </c>
      <c r="CM75" s="100">
        <v>3717.1698943816455</v>
      </c>
      <c r="CN75" s="100">
        <v>5.9785829351151909</v>
      </c>
      <c r="CO75" s="100">
        <v>3845.4245438660905</v>
      </c>
      <c r="CP75" s="100">
        <v>3.479249819365914</v>
      </c>
      <c r="CQ75" s="100">
        <v>2237.8534838161559</v>
      </c>
      <c r="CR75" s="100">
        <v>6.0670652376954166</v>
      </c>
      <c r="CS75" s="100">
        <v>3902.3363608856916</v>
      </c>
      <c r="CT75" s="100">
        <v>6.0525556284710316</v>
      </c>
      <c r="CU75" s="100">
        <v>3893.0037802325669</v>
      </c>
    </row>
    <row r="76" spans="2:99">
      <c r="C76" s="99" t="s">
        <v>242</v>
      </c>
      <c r="D76" s="100">
        <v>4.9350841013751925</v>
      </c>
      <c r="E76" s="100">
        <v>3843.4434981509999</v>
      </c>
      <c r="F76" s="100">
        <v>8</v>
      </c>
      <c r="G76" s="100">
        <v>6230.4</v>
      </c>
      <c r="H76" s="100">
        <v>4.2876387483850253</v>
      </c>
      <c r="I76" s="100">
        <v>3339.2130572422575</v>
      </c>
      <c r="J76" s="100">
        <v>6.1657059856657392</v>
      </c>
      <c r="K76" s="100">
        <v>4801.8518216364773</v>
      </c>
      <c r="L76" s="100">
        <v>4.9314670016277047</v>
      </c>
      <c r="M76" s="100">
        <v>3840.626500867656</v>
      </c>
      <c r="N76" s="100">
        <v>6</v>
      </c>
      <c r="O76" s="100">
        <v>4672.7999999999993</v>
      </c>
      <c r="P76" s="100">
        <v>4.7360424375644676</v>
      </c>
      <c r="Q76" s="100">
        <v>3688.429850375207</v>
      </c>
      <c r="R76" s="100">
        <v>6.9108680975895638</v>
      </c>
      <c r="S76" s="100">
        <v>5382.1840744027522</v>
      </c>
      <c r="T76" s="100">
        <v>4.2819057833951923</v>
      </c>
      <c r="U76" s="100">
        <v>3334.7482241081757</v>
      </c>
      <c r="V76" s="100">
        <v>5.1429350968289791</v>
      </c>
      <c r="W76" s="100">
        <v>4005.3178534104086</v>
      </c>
      <c r="X76" s="100">
        <v>7.2404296809972744</v>
      </c>
      <c r="Y76" s="100">
        <v>5638.846635560677</v>
      </c>
      <c r="Z76" s="100">
        <v>5.2026152880248207</v>
      </c>
      <c r="AA76" s="100">
        <v>4051.7967863137301</v>
      </c>
      <c r="AB76" s="100">
        <v>7.0393021669036679</v>
      </c>
      <c r="AC76" s="100">
        <v>5482.2085275845766</v>
      </c>
      <c r="AD76" s="100">
        <v>4.391411964578225</v>
      </c>
      <c r="AE76" s="100">
        <v>3420.0316380135214</v>
      </c>
      <c r="AF76" s="100">
        <v>8.520765140115298</v>
      </c>
      <c r="AG76" s="100">
        <v>6635.9718911217933</v>
      </c>
      <c r="AH76" s="100">
        <v>4</v>
      </c>
      <c r="AI76" s="100">
        <v>3115.2</v>
      </c>
      <c r="AJ76" s="100">
        <v>6</v>
      </c>
      <c r="AK76" s="100">
        <v>4672.7999999999993</v>
      </c>
      <c r="AL76" s="100">
        <v>4.2742450727757033</v>
      </c>
      <c r="AM76" s="100">
        <v>3328.7820626777175</v>
      </c>
      <c r="AN76" s="100">
        <v>5.8090683692799985</v>
      </c>
      <c r="AO76" s="100">
        <v>4524.1024459952623</v>
      </c>
      <c r="AP76" s="100">
        <v>7.6257854869953805</v>
      </c>
      <c r="AQ76" s="100">
        <v>5938.9617372720022</v>
      </c>
      <c r="AR76" s="100">
        <v>6.3444441164682699</v>
      </c>
      <c r="AS76" s="100">
        <v>4941.053077905488</v>
      </c>
      <c r="AT76" s="100">
        <v>6.736757569080801</v>
      </c>
      <c r="AU76" s="100">
        <v>5246.5867948001278</v>
      </c>
      <c r="AV76" s="100">
        <v>6.2331109664630677</v>
      </c>
      <c r="AW76" s="100">
        <v>4854.3468206814368</v>
      </c>
      <c r="AX76" s="100">
        <v>5</v>
      </c>
      <c r="AY76" s="100">
        <v>3894</v>
      </c>
      <c r="AZ76" s="100">
        <v>6.7271333014776262</v>
      </c>
      <c r="BA76" s="100">
        <v>5239.0914151907746</v>
      </c>
      <c r="BB76" s="100">
        <v>5.5243466120908087</v>
      </c>
      <c r="BC76" s="100">
        <v>4302.3611414963216</v>
      </c>
      <c r="BD76" s="100">
        <v>6.4157842766468223</v>
      </c>
      <c r="BE76" s="100">
        <v>4996.6127946525448</v>
      </c>
      <c r="BF76" s="100">
        <v>5.7826973071329002</v>
      </c>
      <c r="BG76" s="100">
        <v>4503.5646627951028</v>
      </c>
      <c r="BH76" s="100">
        <v>5.5046964957608306</v>
      </c>
      <c r="BI76" s="100">
        <v>4287.0576308985346</v>
      </c>
      <c r="BJ76" s="100">
        <v>6.5897821827138365</v>
      </c>
      <c r="BK76" s="100">
        <v>5132.1223638975353</v>
      </c>
      <c r="BL76" s="100">
        <v>5.5601719184997789</v>
      </c>
      <c r="BM76" s="100">
        <v>4330.2618901276273</v>
      </c>
      <c r="BN76" s="100">
        <v>5.8333654619446289</v>
      </c>
      <c r="BO76" s="100">
        <v>4543.0250217624771</v>
      </c>
      <c r="BP76" s="100">
        <v>5.9224273649906625</v>
      </c>
      <c r="BQ76" s="100">
        <v>4612.3864318547276</v>
      </c>
      <c r="BR76" s="100">
        <v>6.5332317753982023</v>
      </c>
      <c r="BS76" s="100">
        <v>5088.0809066801194</v>
      </c>
      <c r="BT76" s="100">
        <v>5.9290812906299184</v>
      </c>
      <c r="BU76" s="100">
        <v>4617.5685091425803</v>
      </c>
      <c r="BV76" s="100">
        <v>6.2966099766355672</v>
      </c>
      <c r="BW76" s="100">
        <v>4903.7998498037796</v>
      </c>
      <c r="BX76" s="100">
        <v>5.3246893160102093</v>
      </c>
      <c r="BY76" s="100">
        <v>4146.8680393087507</v>
      </c>
      <c r="BZ76" s="100">
        <v>4.6128881595836679</v>
      </c>
      <c r="CA76" s="100">
        <v>3592.5172986837606</v>
      </c>
      <c r="CB76" s="100">
        <v>5.7923181499072012</v>
      </c>
      <c r="CC76" s="100">
        <v>4511.0573751477277</v>
      </c>
      <c r="CD76" s="100">
        <v>5.9969531201295148</v>
      </c>
      <c r="CE76" s="100">
        <v>4670.4270899568655</v>
      </c>
      <c r="CF76" s="100">
        <v>4.934710015944817</v>
      </c>
      <c r="CG76" s="100">
        <v>3843.1521604178233</v>
      </c>
      <c r="CH76" s="100">
        <v>5.4875090827318331</v>
      </c>
      <c r="CI76" s="100">
        <v>4273.672073631551</v>
      </c>
      <c r="CJ76" s="100">
        <v>5.7687384428073347</v>
      </c>
      <c r="CK76" s="100">
        <v>4492.6934992583519</v>
      </c>
      <c r="CL76" s="100">
        <v>5.7791820497227082</v>
      </c>
      <c r="CM76" s="100">
        <v>4500.8269803240446</v>
      </c>
      <c r="CN76" s="100">
        <v>4.9724353000218517</v>
      </c>
      <c r="CO76" s="100">
        <v>3872.5326116570177</v>
      </c>
      <c r="CP76" s="100">
        <v>4.1456619480281836</v>
      </c>
      <c r="CQ76" s="100">
        <v>3228.6415251243493</v>
      </c>
      <c r="CR76" s="100">
        <v>6.7149267778915327</v>
      </c>
      <c r="CS76" s="100">
        <v>5229.5849746219255</v>
      </c>
      <c r="CT76" s="100">
        <v>6.0525556284710316</v>
      </c>
      <c r="CU76" s="100">
        <v>4713.7303234532392</v>
      </c>
    </row>
    <row r="77" spans="2:99">
      <c r="C77" s="99" t="s">
        <v>243</v>
      </c>
      <c r="D77" s="100">
        <v>5.9350841013751925</v>
      </c>
      <c r="E77" s="100">
        <v>1652.3274138228535</v>
      </c>
      <c r="F77" s="100">
        <v>8</v>
      </c>
      <c r="G77" s="100">
        <v>2227.1999999999998</v>
      </c>
      <c r="H77" s="100">
        <v>4.3042338818954002</v>
      </c>
      <c r="I77" s="100">
        <v>1198.2987127196793</v>
      </c>
      <c r="J77" s="100">
        <v>6.1325647885325916</v>
      </c>
      <c r="K77" s="100">
        <v>1707.3060371274732</v>
      </c>
      <c r="L77" s="100">
        <v>4.9314670016277047</v>
      </c>
      <c r="M77" s="100">
        <v>1372.9204132531529</v>
      </c>
      <c r="N77" s="100">
        <v>6</v>
      </c>
      <c r="O77" s="100">
        <v>1670.3999999999999</v>
      </c>
      <c r="P77" s="100">
        <v>5.5253828438252119</v>
      </c>
      <c r="Q77" s="100">
        <v>1538.2665837209388</v>
      </c>
      <c r="R77" s="100">
        <v>7.8981349686737872</v>
      </c>
      <c r="S77" s="100">
        <v>2198.8407752787821</v>
      </c>
      <c r="T77" s="100">
        <v>4.2819057833951923</v>
      </c>
      <c r="U77" s="100">
        <v>1192.0825700972214</v>
      </c>
      <c r="V77" s="100">
        <v>4.5249347855727473</v>
      </c>
      <c r="W77" s="100">
        <v>1259.7418443034528</v>
      </c>
      <c r="X77" s="100">
        <v>7.2404296809972744</v>
      </c>
      <c r="Y77" s="100">
        <v>2015.735623189641</v>
      </c>
      <c r="Z77" s="100">
        <v>5.9461866601516409</v>
      </c>
      <c r="AA77" s="100">
        <v>1655.4183661862166</v>
      </c>
      <c r="AB77" s="100">
        <v>7.0393021669036679</v>
      </c>
      <c r="AC77" s="100">
        <v>1959.7417232659809</v>
      </c>
      <c r="AD77" s="100">
        <v>4.9118775128800758</v>
      </c>
      <c r="AE77" s="100">
        <v>1367.4666995858129</v>
      </c>
      <c r="AF77" s="100">
        <v>8.5113335287763086</v>
      </c>
      <c r="AG77" s="100">
        <v>2369.5552544113243</v>
      </c>
      <c r="AH77" s="100">
        <v>5</v>
      </c>
      <c r="AI77" s="100">
        <v>1392</v>
      </c>
      <c r="AJ77" s="100">
        <v>7</v>
      </c>
      <c r="AK77" s="100">
        <v>1948.7999999999997</v>
      </c>
      <c r="AL77" s="100">
        <v>5.129094087330845</v>
      </c>
      <c r="AM77" s="100">
        <v>1427.9397939129071</v>
      </c>
      <c r="AN77" s="100">
        <v>6.6389352791771401</v>
      </c>
      <c r="AO77" s="100">
        <v>1848.2795817229157</v>
      </c>
      <c r="AP77" s="100">
        <v>6.6725623011209576</v>
      </c>
      <c r="AQ77" s="100">
        <v>1857.6413446320744</v>
      </c>
      <c r="AR77" s="100">
        <v>6.3444441164682699</v>
      </c>
      <c r="AS77" s="100">
        <v>1766.2932420247662</v>
      </c>
      <c r="AT77" s="100">
        <v>5.7743636306406856</v>
      </c>
      <c r="AU77" s="100">
        <v>1607.5828347703668</v>
      </c>
      <c r="AV77" s="100">
        <v>5.3426665426826299</v>
      </c>
      <c r="AW77" s="100">
        <v>1487.3983654828439</v>
      </c>
      <c r="AX77" s="100">
        <v>5</v>
      </c>
      <c r="AY77" s="100">
        <v>1392</v>
      </c>
      <c r="AZ77" s="100">
        <v>5.8681036417236676</v>
      </c>
      <c r="BA77" s="100">
        <v>1633.6800538558689</v>
      </c>
      <c r="BB77" s="100">
        <v>6.3408447715370428</v>
      </c>
      <c r="BC77" s="100">
        <v>1765.2911843959125</v>
      </c>
      <c r="BD77" s="100">
        <v>6.5376089373362491</v>
      </c>
      <c r="BE77" s="100">
        <v>1820.0703281544115</v>
      </c>
      <c r="BF77" s="100">
        <v>5.7826973071329002</v>
      </c>
      <c r="BG77" s="100">
        <v>1609.9029303057994</v>
      </c>
      <c r="BH77" s="100">
        <v>5.5046964957608306</v>
      </c>
      <c r="BI77" s="100">
        <v>1532.5075044198152</v>
      </c>
      <c r="BJ77" s="100">
        <v>6.5897821827138365</v>
      </c>
      <c r="BK77" s="100">
        <v>1834.595359667532</v>
      </c>
      <c r="BL77" s="100">
        <v>5.5601719184997789</v>
      </c>
      <c r="BM77" s="100">
        <v>1547.9518621103384</v>
      </c>
      <c r="BN77" s="100">
        <v>6.6526852254593685</v>
      </c>
      <c r="BO77" s="100">
        <v>1852.1075667678881</v>
      </c>
      <c r="BP77" s="100">
        <v>5.9224273649906625</v>
      </c>
      <c r="BQ77" s="100">
        <v>1648.8037784134003</v>
      </c>
      <c r="BR77" s="100">
        <v>6.5332317753982023</v>
      </c>
      <c r="BS77" s="100">
        <v>1818.8517262708594</v>
      </c>
      <c r="BT77" s="100">
        <v>5.9290812906299184</v>
      </c>
      <c r="BU77" s="100">
        <v>1650.6562313113691</v>
      </c>
      <c r="BV77" s="100">
        <v>6.4043051609668389</v>
      </c>
      <c r="BW77" s="100">
        <v>1782.9585568131679</v>
      </c>
      <c r="BX77" s="100">
        <v>6.2121375353452448</v>
      </c>
      <c r="BY77" s="100">
        <v>1729.4590898401161</v>
      </c>
      <c r="BZ77" s="100">
        <v>4.6128881595836679</v>
      </c>
      <c r="CA77" s="100">
        <v>1284.228063628093</v>
      </c>
      <c r="CB77" s="100">
        <v>5.7923181499072012</v>
      </c>
      <c r="CC77" s="100">
        <v>1612.5813729341646</v>
      </c>
      <c r="CD77" s="100">
        <v>5.9969531201295148</v>
      </c>
      <c r="CE77" s="100">
        <v>1669.5517486440567</v>
      </c>
      <c r="CF77" s="100">
        <v>5.6126850605337397</v>
      </c>
      <c r="CG77" s="100">
        <v>1562.571520852593</v>
      </c>
      <c r="CH77" s="100">
        <v>5.4875090827318331</v>
      </c>
      <c r="CI77" s="100">
        <v>1527.7225286325422</v>
      </c>
      <c r="CJ77" s="100">
        <v>5.7687384428073347</v>
      </c>
      <c r="CK77" s="100">
        <v>1606.0167824775619</v>
      </c>
      <c r="CL77" s="100">
        <v>5.7791820497227082</v>
      </c>
      <c r="CM77" s="100">
        <v>1608.9242826428019</v>
      </c>
      <c r="CN77" s="100">
        <v>5.9785829351151909</v>
      </c>
      <c r="CO77" s="100">
        <v>1664.437489136069</v>
      </c>
      <c r="CP77" s="100">
        <v>4.1701934773706109</v>
      </c>
      <c r="CQ77" s="100">
        <v>1160.9818640999779</v>
      </c>
      <c r="CR77" s="100">
        <v>6.8425963159184162</v>
      </c>
      <c r="CS77" s="100">
        <v>1904.9788143516869</v>
      </c>
      <c r="CT77" s="100">
        <v>6.0525556284710316</v>
      </c>
      <c r="CU77" s="100">
        <v>1685.031486966335</v>
      </c>
    </row>
    <row r="78" spans="2:99">
      <c r="C78" s="99" t="s">
        <v>244</v>
      </c>
      <c r="D78" s="100">
        <v>5.7792367511459934</v>
      </c>
      <c r="E78" s="100">
        <v>3190.1386866325884</v>
      </c>
      <c r="F78" s="100">
        <v>8</v>
      </c>
      <c r="G78" s="100">
        <v>4416</v>
      </c>
      <c r="H78" s="100">
        <v>4.2959363151402128</v>
      </c>
      <c r="I78" s="100">
        <v>2371.3568459573976</v>
      </c>
      <c r="J78" s="100">
        <v>6.1657059856657392</v>
      </c>
      <c r="K78" s="100">
        <v>3403.469704087488</v>
      </c>
      <c r="L78" s="100">
        <v>4.9314670016277047</v>
      </c>
      <c r="M78" s="100">
        <v>2722.1697848984932</v>
      </c>
      <c r="N78" s="100">
        <v>6</v>
      </c>
      <c r="O78" s="100">
        <v>3312</v>
      </c>
      <c r="P78" s="100">
        <v>5.5253828438252119</v>
      </c>
      <c r="Q78" s="100">
        <v>3050.0113297915168</v>
      </c>
      <c r="R78" s="100">
        <v>6.9108680975895638</v>
      </c>
      <c r="S78" s="100">
        <v>3814.799189869439</v>
      </c>
      <c r="T78" s="100">
        <v>4.9955567472943905</v>
      </c>
      <c r="U78" s="100">
        <v>2757.5473245065036</v>
      </c>
      <c r="V78" s="100">
        <v>4.5249347855727473</v>
      </c>
      <c r="W78" s="100">
        <v>2497.7640016361565</v>
      </c>
      <c r="X78" s="100">
        <v>6.3353759708726152</v>
      </c>
      <c r="Y78" s="100">
        <v>3497.1275359216834</v>
      </c>
      <c r="Z78" s="100">
        <v>6.6849893985526236</v>
      </c>
      <c r="AA78" s="100">
        <v>3690.1141480010483</v>
      </c>
      <c r="AB78" s="100">
        <v>6.3856782463328328</v>
      </c>
      <c r="AC78" s="100">
        <v>3524.8943919757235</v>
      </c>
      <c r="AD78" s="100">
        <v>4.8865788930841401</v>
      </c>
      <c r="AE78" s="100">
        <v>2697.3915489824453</v>
      </c>
      <c r="AF78" s="100">
        <v>8.5113335287763086</v>
      </c>
      <c r="AG78" s="100">
        <v>4698.256107884522</v>
      </c>
      <c r="AH78" s="100">
        <v>5</v>
      </c>
      <c r="AI78" s="100">
        <v>2760</v>
      </c>
      <c r="AJ78" s="100">
        <v>7</v>
      </c>
      <c r="AK78" s="100">
        <v>3864</v>
      </c>
      <c r="AL78" s="100">
        <v>4.2742450727757033</v>
      </c>
      <c r="AM78" s="100">
        <v>2359.3832801721883</v>
      </c>
      <c r="AN78" s="100">
        <v>5.8090683692799985</v>
      </c>
      <c r="AO78" s="100">
        <v>3206.6057398425592</v>
      </c>
      <c r="AP78" s="100">
        <v>7.6257854869953805</v>
      </c>
      <c r="AQ78" s="100">
        <v>4209.43358882145</v>
      </c>
      <c r="AR78" s="100">
        <v>5.6395058813051291</v>
      </c>
      <c r="AS78" s="100">
        <v>3113.0072464804311</v>
      </c>
      <c r="AT78" s="100">
        <v>5.7743636306406856</v>
      </c>
      <c r="AU78" s="100">
        <v>3187.4487241136585</v>
      </c>
      <c r="AV78" s="100">
        <v>5.3426665426826299</v>
      </c>
      <c r="AW78" s="100">
        <v>2949.1519315608116</v>
      </c>
      <c r="AX78" s="100">
        <v>5</v>
      </c>
      <c r="AY78" s="100">
        <v>2760</v>
      </c>
      <c r="AZ78" s="100">
        <v>6.7271333014776262</v>
      </c>
      <c r="BA78" s="100">
        <v>3713.3775824156496</v>
      </c>
      <c r="BB78" s="100">
        <v>5.619916864107223</v>
      </c>
      <c r="BC78" s="100">
        <v>3102.1941089871871</v>
      </c>
      <c r="BD78" s="100">
        <v>6.5376089373362491</v>
      </c>
      <c r="BE78" s="100">
        <v>3608.7601334096094</v>
      </c>
      <c r="BF78" s="100">
        <v>6.5546237374223937</v>
      </c>
      <c r="BG78" s="100">
        <v>3618.1523030571611</v>
      </c>
      <c r="BH78" s="100">
        <v>5.5046964957608306</v>
      </c>
      <c r="BI78" s="100">
        <v>3038.5924656599786</v>
      </c>
      <c r="BJ78" s="100">
        <v>5.6483847280404316</v>
      </c>
      <c r="BK78" s="100">
        <v>3117.9083698783184</v>
      </c>
      <c r="BL78" s="100">
        <v>5.6722063021997347</v>
      </c>
      <c r="BM78" s="100">
        <v>3131.0578788142534</v>
      </c>
      <c r="BN78" s="100">
        <v>6.6526852254593685</v>
      </c>
      <c r="BO78" s="100">
        <v>3672.2822444535714</v>
      </c>
      <c r="BP78" s="100">
        <v>5.9224273649906625</v>
      </c>
      <c r="BQ78" s="100">
        <v>3269.1799054748458</v>
      </c>
      <c r="BR78" s="100">
        <v>6.5332317753982023</v>
      </c>
      <c r="BS78" s="100">
        <v>3606.3439400198076</v>
      </c>
      <c r="BT78" s="100">
        <v>5.9290812906299184</v>
      </c>
      <c r="BU78" s="100">
        <v>3272.8528724277148</v>
      </c>
      <c r="BV78" s="100">
        <v>5.3369209674723663</v>
      </c>
      <c r="BW78" s="100">
        <v>2945.980374044746</v>
      </c>
      <c r="BX78" s="100">
        <v>5.3246893160102093</v>
      </c>
      <c r="BY78" s="100">
        <v>2939.2285024376356</v>
      </c>
      <c r="BZ78" s="100">
        <v>4.1300254718069702</v>
      </c>
      <c r="CA78" s="100">
        <v>2279.7740604374476</v>
      </c>
      <c r="CB78" s="100">
        <v>5.7923181499072012</v>
      </c>
      <c r="CC78" s="100">
        <v>3197.3596187487751</v>
      </c>
      <c r="CD78" s="100">
        <v>5.1402455315395841</v>
      </c>
      <c r="CE78" s="100">
        <v>2837.4155334098505</v>
      </c>
      <c r="CF78" s="100">
        <v>4.934710015944817</v>
      </c>
      <c r="CG78" s="100">
        <v>2723.9599288015388</v>
      </c>
      <c r="CH78" s="100">
        <v>4.7035792137701424</v>
      </c>
      <c r="CI78" s="100">
        <v>2596.3757260011184</v>
      </c>
      <c r="CJ78" s="100">
        <v>5.6284733907216014</v>
      </c>
      <c r="CK78" s="100">
        <v>3106.917311678324</v>
      </c>
      <c r="CL78" s="100">
        <v>5.7791820497227082</v>
      </c>
      <c r="CM78" s="100">
        <v>3190.1084914469347</v>
      </c>
      <c r="CN78" s="100">
        <v>5.9785829351151909</v>
      </c>
      <c r="CO78" s="100">
        <v>3300.1777801835856</v>
      </c>
      <c r="CP78" s="100">
        <v>3.479249819365914</v>
      </c>
      <c r="CQ78" s="100">
        <v>1920.5459002899845</v>
      </c>
      <c r="CR78" s="100">
        <v>6.8425963159184162</v>
      </c>
      <c r="CS78" s="100">
        <v>3777.1131663869655</v>
      </c>
      <c r="CT78" s="100">
        <v>6.0525556284710316</v>
      </c>
      <c r="CU78" s="100">
        <v>3341.0107069160094</v>
      </c>
    </row>
    <row r="79" spans="2:99">
      <c r="C79" s="99" t="s">
        <v>245</v>
      </c>
      <c r="D79" s="100">
        <v>5.7792367511459934</v>
      </c>
      <c r="E79" s="100">
        <v>4376.0380679677455</v>
      </c>
      <c r="F79" s="100">
        <v>8</v>
      </c>
      <c r="G79" s="100">
        <v>6057.5999999999995</v>
      </c>
      <c r="H79" s="100">
        <v>3.7817625843244511</v>
      </c>
      <c r="I79" s="100">
        <v>2863.5506288504739</v>
      </c>
      <c r="J79" s="100">
        <v>6.1657059856657392</v>
      </c>
      <c r="K79" s="100">
        <v>4668.6725723460977</v>
      </c>
      <c r="L79" s="100">
        <v>4.9314670016277047</v>
      </c>
      <c r="M79" s="100">
        <v>3734.1068136324975</v>
      </c>
      <c r="N79" s="100">
        <v>6</v>
      </c>
      <c r="O79" s="100">
        <v>4543.2</v>
      </c>
      <c r="P79" s="100">
        <v>5.5253828438252119</v>
      </c>
      <c r="Q79" s="100">
        <v>4183.8198893444505</v>
      </c>
      <c r="R79" s="100">
        <v>6.9108680975895638</v>
      </c>
      <c r="S79" s="100">
        <v>5232.9093234948168</v>
      </c>
      <c r="T79" s="100">
        <v>4.2819057833951923</v>
      </c>
      <c r="U79" s="100">
        <v>3242.2590591868393</v>
      </c>
      <c r="V79" s="100">
        <v>4.5249347855727473</v>
      </c>
      <c r="W79" s="100">
        <v>3426.2806196356842</v>
      </c>
      <c r="X79" s="100">
        <v>7.2404296809972744</v>
      </c>
      <c r="Y79" s="100">
        <v>5482.453354451136</v>
      </c>
      <c r="Z79" s="100">
        <v>6.6849893985526236</v>
      </c>
      <c r="AA79" s="100">
        <v>5061.873972584046</v>
      </c>
      <c r="AB79" s="100">
        <v>5.5668133426525479</v>
      </c>
      <c r="AC79" s="100">
        <v>4215.1910630565089</v>
      </c>
      <c r="AD79" s="100">
        <v>4.3661133447822893</v>
      </c>
      <c r="AE79" s="100">
        <v>3306.021024669149</v>
      </c>
      <c r="AF79" s="100">
        <v>7.5782052851420358</v>
      </c>
      <c r="AG79" s="100">
        <v>5738.2170419095492</v>
      </c>
      <c r="AH79" s="100">
        <v>4</v>
      </c>
      <c r="AI79" s="100">
        <v>3028.7999999999997</v>
      </c>
      <c r="AJ79" s="100">
        <v>6</v>
      </c>
      <c r="AK79" s="100">
        <v>4543.2</v>
      </c>
      <c r="AL79" s="100">
        <v>4.2742450727757033</v>
      </c>
      <c r="AM79" s="100">
        <v>3236.4583691057624</v>
      </c>
      <c r="AN79" s="100">
        <v>5.8090683692799985</v>
      </c>
      <c r="AO79" s="100">
        <v>4398.6265692188144</v>
      </c>
      <c r="AP79" s="100">
        <v>7.6257854869953805</v>
      </c>
      <c r="AQ79" s="100">
        <v>5774.2447707529018</v>
      </c>
      <c r="AR79" s="100">
        <v>6.3444441164682699</v>
      </c>
      <c r="AS79" s="100">
        <v>4804.0130849897732</v>
      </c>
      <c r="AT79" s="100">
        <v>5.7743636306406856</v>
      </c>
      <c r="AU79" s="100">
        <v>4372.3481411211269</v>
      </c>
      <c r="AV79" s="100">
        <v>6.2331109664630677</v>
      </c>
      <c r="AW79" s="100">
        <v>4719.7116238058343</v>
      </c>
      <c r="AX79" s="100">
        <v>5</v>
      </c>
      <c r="AY79" s="100">
        <v>3785.9999999999995</v>
      </c>
      <c r="AZ79" s="100">
        <v>6.654581313200608</v>
      </c>
      <c r="BA79" s="100">
        <v>5038.8489703554997</v>
      </c>
      <c r="BB79" s="100">
        <v>6.3408447715370428</v>
      </c>
      <c r="BC79" s="100">
        <v>4801.2876610078483</v>
      </c>
      <c r="BD79" s="100">
        <v>6.5376089373362491</v>
      </c>
      <c r="BE79" s="100">
        <v>4950.277487351007</v>
      </c>
      <c r="BF79" s="100">
        <v>6.4787812784011045</v>
      </c>
      <c r="BG79" s="100">
        <v>4905.7331840053157</v>
      </c>
      <c r="BH79" s="100">
        <v>5.4037571966086642</v>
      </c>
      <c r="BI79" s="100">
        <v>4091.7249492720803</v>
      </c>
      <c r="BJ79" s="100">
        <v>5.6483847280404316</v>
      </c>
      <c r="BK79" s="100">
        <v>4276.956916072214</v>
      </c>
      <c r="BL79" s="100">
        <v>5.6722063021997347</v>
      </c>
      <c r="BM79" s="100">
        <v>4294.9946120256391</v>
      </c>
      <c r="BN79" s="100">
        <v>5.8333654619446289</v>
      </c>
      <c r="BO79" s="100">
        <v>4417.0243277844729</v>
      </c>
      <c r="BP79" s="100">
        <v>4.9353561374922172</v>
      </c>
      <c r="BQ79" s="100">
        <v>3737.0516673091065</v>
      </c>
      <c r="BR79" s="100">
        <v>6.5332317753982023</v>
      </c>
      <c r="BS79" s="100">
        <v>4946.963100331518</v>
      </c>
      <c r="BT79" s="100">
        <v>5.9290812906299184</v>
      </c>
      <c r="BU79" s="100">
        <v>4489.5003532649735</v>
      </c>
      <c r="BV79" s="100">
        <v>5.3369209674723663</v>
      </c>
      <c r="BW79" s="100">
        <v>4041.1165565700753</v>
      </c>
      <c r="BX79" s="100">
        <v>5.3246893160102093</v>
      </c>
      <c r="BY79" s="100">
        <v>4031.85475008293</v>
      </c>
      <c r="BZ79" s="100">
        <v>4.1109451882645862</v>
      </c>
      <c r="CA79" s="100">
        <v>3112.8076965539444</v>
      </c>
      <c r="CB79" s="100">
        <v>5.6338545199257606</v>
      </c>
      <c r="CC79" s="100">
        <v>4265.9546424877853</v>
      </c>
      <c r="CD79" s="100">
        <v>5.1402455315395841</v>
      </c>
      <c r="CE79" s="100">
        <v>3892.1939164817727</v>
      </c>
      <c r="CF79" s="100">
        <v>4.9724869567092886</v>
      </c>
      <c r="CG79" s="100">
        <v>3765.1671236202728</v>
      </c>
      <c r="CH79" s="100">
        <v>5.4875090827318331</v>
      </c>
      <c r="CI79" s="100">
        <v>4155.1418774445438</v>
      </c>
      <c r="CJ79" s="100">
        <v>5.6284733907216014</v>
      </c>
      <c r="CK79" s="100">
        <v>4261.8800514543964</v>
      </c>
      <c r="CL79" s="100">
        <v>6.5977483311636833</v>
      </c>
      <c r="CM79" s="100">
        <v>4995.8150363571403</v>
      </c>
      <c r="CN79" s="100">
        <v>4.9724353000218517</v>
      </c>
      <c r="CO79" s="100">
        <v>3765.1280091765457</v>
      </c>
      <c r="CP79" s="100">
        <v>4.1456619480281836</v>
      </c>
      <c r="CQ79" s="100">
        <v>3139.0952270469402</v>
      </c>
      <c r="CR79" s="100">
        <v>6.0670652376954166</v>
      </c>
      <c r="CS79" s="100">
        <v>4593.9817979829686</v>
      </c>
      <c r="CT79" s="100">
        <v>6.0525556284710316</v>
      </c>
      <c r="CU79" s="100">
        <v>4582.9951218782644</v>
      </c>
    </row>
    <row r="80" spans="2:99">
      <c r="C80" s="99" t="s">
        <v>246</v>
      </c>
      <c r="D80" s="100">
        <v>5.9350841013751925</v>
      </c>
      <c r="E80" s="100">
        <v>4778.9297184273046</v>
      </c>
      <c r="F80" s="100">
        <v>7</v>
      </c>
      <c r="G80" s="100">
        <v>5636.4</v>
      </c>
      <c r="H80" s="100">
        <v>3.7734650175692641</v>
      </c>
      <c r="I80" s="100">
        <v>3038.3940321467712</v>
      </c>
      <c r="J80" s="100">
        <v>6.1325647885325916</v>
      </c>
      <c r="K80" s="100">
        <v>4937.9411677264425</v>
      </c>
      <c r="L80" s="100">
        <v>4.9314670016277047</v>
      </c>
      <c r="M80" s="100">
        <v>3970.8172297106275</v>
      </c>
      <c r="N80" s="100">
        <v>6</v>
      </c>
      <c r="O80" s="100">
        <v>4831.2</v>
      </c>
      <c r="P80" s="100">
        <v>5.5253828438252119</v>
      </c>
      <c r="Q80" s="100">
        <v>4449.0382658480603</v>
      </c>
      <c r="R80" s="100">
        <v>6.9108680975895638</v>
      </c>
      <c r="S80" s="100">
        <v>5564.6309921791162</v>
      </c>
      <c r="T80" s="100">
        <v>4.2819057833951923</v>
      </c>
      <c r="U80" s="100">
        <v>3447.7905367898084</v>
      </c>
      <c r="V80" s="100">
        <v>4.5249347855727473</v>
      </c>
      <c r="W80" s="100">
        <v>3643.4774893431759</v>
      </c>
      <c r="X80" s="100">
        <v>7.2404296809972744</v>
      </c>
      <c r="Y80" s="100">
        <v>5829.9939791390052</v>
      </c>
      <c r="Z80" s="100">
        <v>5.2002309711619024</v>
      </c>
      <c r="AA80" s="100">
        <v>4187.2259779795631</v>
      </c>
      <c r="AB80" s="100">
        <v>6.3030577547781075</v>
      </c>
      <c r="AC80" s="100">
        <v>5075.2221041473313</v>
      </c>
      <c r="AD80" s="100">
        <v>4.8865788930841401</v>
      </c>
      <c r="AE80" s="100">
        <v>3934.6733247113493</v>
      </c>
      <c r="AF80" s="100">
        <v>7.5687736738030482</v>
      </c>
      <c r="AG80" s="100">
        <v>6094.3765621462135</v>
      </c>
      <c r="AH80" s="100">
        <v>5</v>
      </c>
      <c r="AI80" s="100">
        <v>4025.9999999999995</v>
      </c>
      <c r="AJ80" s="100">
        <v>6</v>
      </c>
      <c r="AK80" s="100">
        <v>4831.2</v>
      </c>
      <c r="AL80" s="100">
        <v>4.2742450727757033</v>
      </c>
      <c r="AM80" s="100">
        <v>3441.6221325989959</v>
      </c>
      <c r="AN80" s="100">
        <v>4.9792014593828551</v>
      </c>
      <c r="AO80" s="100">
        <v>4009.2530150950747</v>
      </c>
      <c r="AP80" s="100">
        <v>6.6725623011209576</v>
      </c>
      <c r="AQ80" s="100">
        <v>5372.7471648625942</v>
      </c>
      <c r="AR80" s="100">
        <v>6.3444441164682699</v>
      </c>
      <c r="AS80" s="100">
        <v>5108.5464025802503</v>
      </c>
      <c r="AT80" s="100">
        <v>5.7743636306406856</v>
      </c>
      <c r="AU80" s="100">
        <v>4649.5175953918797</v>
      </c>
      <c r="AV80" s="100">
        <v>5.3426665426826299</v>
      </c>
      <c r="AW80" s="100">
        <v>4301.915100168053</v>
      </c>
      <c r="AX80" s="100">
        <v>5</v>
      </c>
      <c r="AY80" s="100">
        <v>4025.9999999999995</v>
      </c>
      <c r="AZ80" s="100">
        <v>6.654581313200608</v>
      </c>
      <c r="BA80" s="100">
        <v>5358.2688733891291</v>
      </c>
      <c r="BB80" s="100">
        <v>6.3408447715370428</v>
      </c>
      <c r="BC80" s="100">
        <v>5105.648210041626</v>
      </c>
      <c r="BD80" s="100">
        <v>6.4157842766468223</v>
      </c>
      <c r="BE80" s="100">
        <v>5165.9894995560207</v>
      </c>
      <c r="BF80" s="100">
        <v>5.7826973071329002</v>
      </c>
      <c r="BG80" s="100">
        <v>4656.2278717034105</v>
      </c>
      <c r="BH80" s="100">
        <v>5.4037571966086642</v>
      </c>
      <c r="BI80" s="100">
        <v>4351.1052947092958</v>
      </c>
      <c r="BJ80" s="100">
        <v>5.6483847280404316</v>
      </c>
      <c r="BK80" s="100">
        <v>4548.0793830181556</v>
      </c>
      <c r="BL80" s="100">
        <v>4.6722063021997347</v>
      </c>
      <c r="BM80" s="100">
        <v>3762.0605145312261</v>
      </c>
      <c r="BN80" s="100">
        <v>6.6526852254593685</v>
      </c>
      <c r="BO80" s="100">
        <v>5356.7421435398828</v>
      </c>
      <c r="BP80" s="100">
        <v>4.9353561374922172</v>
      </c>
      <c r="BQ80" s="100">
        <v>3973.9487619087331</v>
      </c>
      <c r="BR80" s="100">
        <v>5.6903353827126253</v>
      </c>
      <c r="BS80" s="100">
        <v>4581.8580501602055</v>
      </c>
      <c r="BT80" s="100">
        <v>5.9290812906299184</v>
      </c>
      <c r="BU80" s="100">
        <v>4774.0962552152096</v>
      </c>
      <c r="BV80" s="100">
        <v>5.3369209674723663</v>
      </c>
      <c r="BW80" s="100">
        <v>4297.2887630087489</v>
      </c>
      <c r="BX80" s="100">
        <v>6.0945449980411261</v>
      </c>
      <c r="BY80" s="100">
        <v>4907.3276324227145</v>
      </c>
      <c r="BZ80" s="100">
        <v>5.0766705638179817</v>
      </c>
      <c r="CA80" s="100">
        <v>4087.7351379862384</v>
      </c>
      <c r="CB80" s="100">
        <v>4.7923181499072012</v>
      </c>
      <c r="CC80" s="100">
        <v>3858.7745743052778</v>
      </c>
      <c r="CD80" s="100">
        <v>5.9969531201295148</v>
      </c>
      <c r="CE80" s="100">
        <v>4828.7466523282847</v>
      </c>
      <c r="CF80" s="100">
        <v>4.9724869567092886</v>
      </c>
      <c r="CG80" s="100">
        <v>4003.846497542319</v>
      </c>
      <c r="CH80" s="100">
        <v>5.4875090827318331</v>
      </c>
      <c r="CI80" s="100">
        <v>4418.5423134156717</v>
      </c>
      <c r="CJ80" s="100">
        <v>5.7687384428073347</v>
      </c>
      <c r="CK80" s="100">
        <v>4644.9881941484655</v>
      </c>
      <c r="CL80" s="100">
        <v>5.7791820497227082</v>
      </c>
      <c r="CM80" s="100">
        <v>4653.3973864367244</v>
      </c>
      <c r="CN80" s="100">
        <v>5.0307381754666975</v>
      </c>
      <c r="CO80" s="100">
        <v>4050.7503788857844</v>
      </c>
      <c r="CP80" s="100">
        <v>4.1456619480281836</v>
      </c>
      <c r="CQ80" s="100">
        <v>3338.0870005522929</v>
      </c>
      <c r="CR80" s="100">
        <v>6.8425963159184162</v>
      </c>
      <c r="CS80" s="100">
        <v>5509.6585535775084</v>
      </c>
      <c r="CT80" s="100">
        <v>5.1879048244037413</v>
      </c>
      <c r="CU80" s="100">
        <v>4177.3009646098926</v>
      </c>
    </row>
    <row r="81" spans="2:99">
      <c r="C81" s="99" t="s">
        <v>247</v>
      </c>
      <c r="D81" s="100">
        <v>5.9350841013751925</v>
      </c>
      <c r="E81" s="100">
        <v>4472.6793787963452</v>
      </c>
      <c r="F81" s="100">
        <v>8</v>
      </c>
      <c r="G81" s="100">
        <v>6028.8</v>
      </c>
      <c r="H81" s="100">
        <v>4.2959363151402128</v>
      </c>
      <c r="I81" s="100">
        <v>3237.4176070896647</v>
      </c>
      <c r="J81" s="100">
        <v>6.1325647885325916</v>
      </c>
      <c r="K81" s="100">
        <v>4621.5008246381612</v>
      </c>
      <c r="L81" s="100">
        <v>4.9314670016277047</v>
      </c>
      <c r="M81" s="100">
        <v>3716.3535324266381</v>
      </c>
      <c r="N81" s="100">
        <v>6</v>
      </c>
      <c r="O81" s="100">
        <v>4521.6000000000004</v>
      </c>
      <c r="P81" s="100">
        <v>5.5253828438252119</v>
      </c>
      <c r="Q81" s="100">
        <v>4163.9285111066802</v>
      </c>
      <c r="R81" s="100">
        <v>7.8981349686737872</v>
      </c>
      <c r="S81" s="100">
        <v>5952.0345123925663</v>
      </c>
      <c r="T81" s="100">
        <v>4.2819057833951923</v>
      </c>
      <c r="U81" s="100">
        <v>3226.8441983666171</v>
      </c>
      <c r="V81" s="100">
        <v>5.1870779762044235</v>
      </c>
      <c r="W81" s="100">
        <v>3908.9819628676537</v>
      </c>
      <c r="X81" s="100">
        <v>7.2404296809972744</v>
      </c>
      <c r="Y81" s="100">
        <v>5456.3878075995462</v>
      </c>
      <c r="Z81" s="100">
        <v>5.2026152880248207</v>
      </c>
      <c r="AA81" s="100">
        <v>3920.6908810555051</v>
      </c>
      <c r="AB81" s="100">
        <v>5.5668133426525479</v>
      </c>
      <c r="AC81" s="100">
        <v>4195.15053502296</v>
      </c>
      <c r="AD81" s="100">
        <v>4.9118775128800758</v>
      </c>
      <c r="AE81" s="100">
        <v>3701.590893706425</v>
      </c>
      <c r="AF81" s="100">
        <v>7.5687736738030482</v>
      </c>
      <c r="AG81" s="100">
        <v>5703.8278405779774</v>
      </c>
      <c r="AH81" s="100">
        <v>5</v>
      </c>
      <c r="AI81" s="100">
        <v>3768</v>
      </c>
      <c r="AJ81" s="100">
        <v>6</v>
      </c>
      <c r="AK81" s="100">
        <v>4521.6000000000004</v>
      </c>
      <c r="AL81" s="100">
        <v>4.2742450727757033</v>
      </c>
      <c r="AM81" s="100">
        <v>3221.07108684377</v>
      </c>
      <c r="AN81" s="100">
        <v>6.6389352791771401</v>
      </c>
      <c r="AO81" s="100">
        <v>5003.1016263878928</v>
      </c>
      <c r="AP81" s="100">
        <v>7.6257854869953805</v>
      </c>
      <c r="AQ81" s="100">
        <v>5746.7919429997191</v>
      </c>
      <c r="AR81" s="100">
        <v>6.3444441164682699</v>
      </c>
      <c r="AS81" s="100">
        <v>4781.1730861704882</v>
      </c>
      <c r="AT81" s="100">
        <v>5.7743636306406856</v>
      </c>
      <c r="AU81" s="100">
        <v>4351.560432050821</v>
      </c>
      <c r="AV81" s="100">
        <v>5.3426665426826299</v>
      </c>
      <c r="AW81" s="100">
        <v>4026.2335065656298</v>
      </c>
      <c r="AX81" s="100">
        <v>5</v>
      </c>
      <c r="AY81" s="100">
        <v>3768</v>
      </c>
      <c r="AZ81" s="100">
        <v>6.7271333014776262</v>
      </c>
      <c r="BA81" s="100">
        <v>5069.5676559935391</v>
      </c>
      <c r="BB81" s="100">
        <v>6.3408447715370428</v>
      </c>
      <c r="BC81" s="100">
        <v>4778.4606198303154</v>
      </c>
      <c r="BD81" s="100">
        <v>6.4157842766468223</v>
      </c>
      <c r="BE81" s="100">
        <v>4834.9350308810453</v>
      </c>
      <c r="BF81" s="100">
        <v>5.706854848111611</v>
      </c>
      <c r="BG81" s="100">
        <v>4300.6858135369102</v>
      </c>
      <c r="BH81" s="100">
        <v>5.5046964957608306</v>
      </c>
      <c r="BI81" s="100">
        <v>4148.3392792053619</v>
      </c>
      <c r="BJ81" s="100">
        <v>6.5897821827138365</v>
      </c>
      <c r="BK81" s="100">
        <v>4966.0598528931478</v>
      </c>
      <c r="BL81" s="100">
        <v>5.6722063021997347</v>
      </c>
      <c r="BM81" s="100">
        <v>4274.5746693377205</v>
      </c>
      <c r="BN81" s="100">
        <v>5.8333654619446289</v>
      </c>
      <c r="BO81" s="100">
        <v>4396.0242121214724</v>
      </c>
      <c r="BP81" s="100">
        <v>5.9224273649906625</v>
      </c>
      <c r="BQ81" s="100">
        <v>4463.1412622569633</v>
      </c>
      <c r="BR81" s="100">
        <v>6.5332317753982023</v>
      </c>
      <c r="BS81" s="100">
        <v>4923.4434659400858</v>
      </c>
      <c r="BT81" s="100">
        <v>5.8501294006743887</v>
      </c>
      <c r="BU81" s="100">
        <v>4408.6575163482194</v>
      </c>
      <c r="BV81" s="100">
        <v>6.2966099766355672</v>
      </c>
      <c r="BW81" s="100">
        <v>4745.1252783925638</v>
      </c>
      <c r="BX81" s="100">
        <v>5.9769524607370093</v>
      </c>
      <c r="BY81" s="100">
        <v>4504.2313744114099</v>
      </c>
      <c r="BZ81" s="100">
        <v>5.0575902802755968</v>
      </c>
      <c r="CA81" s="100">
        <v>3811.40003521569</v>
      </c>
      <c r="CB81" s="100">
        <v>5.7923181499072012</v>
      </c>
      <c r="CC81" s="100">
        <v>4365.0909577700668</v>
      </c>
      <c r="CD81" s="100">
        <v>5.9969531201295148</v>
      </c>
      <c r="CE81" s="100">
        <v>4519.3038713296028</v>
      </c>
      <c r="CF81" s="100">
        <v>4.934710015944817</v>
      </c>
      <c r="CG81" s="100">
        <v>3718.7974680160141</v>
      </c>
      <c r="CH81" s="100">
        <v>4.7035792137701424</v>
      </c>
      <c r="CI81" s="100">
        <v>3544.6172954971794</v>
      </c>
      <c r="CJ81" s="100">
        <v>5.6284733907216014</v>
      </c>
      <c r="CK81" s="100">
        <v>4241.6175472477989</v>
      </c>
      <c r="CL81" s="100">
        <v>5.7791820497227082</v>
      </c>
      <c r="CM81" s="100">
        <v>4355.1915926710326</v>
      </c>
      <c r="CN81" s="100">
        <v>5.9785829351151909</v>
      </c>
      <c r="CO81" s="100">
        <v>4505.460099902808</v>
      </c>
      <c r="CP81" s="100">
        <v>4.1579277126993972</v>
      </c>
      <c r="CQ81" s="100">
        <v>3133.414324290266</v>
      </c>
      <c r="CR81" s="100">
        <v>6.0670652376954166</v>
      </c>
      <c r="CS81" s="100">
        <v>4572.140363127266</v>
      </c>
      <c r="CT81" s="100">
        <v>5.1879048244037413</v>
      </c>
      <c r="CU81" s="100">
        <v>3909.6050756706595</v>
      </c>
    </row>
    <row r="82" spans="2:99">
      <c r="C82" s="99" t="s">
        <v>248</v>
      </c>
      <c r="D82" s="100">
        <v>5.7792367511459934</v>
      </c>
      <c r="E82" s="100">
        <v>2940.4756589830808</v>
      </c>
      <c r="F82" s="100">
        <v>7</v>
      </c>
      <c r="G82" s="100">
        <v>3561.5999999999995</v>
      </c>
      <c r="H82" s="100">
        <v>4.2959363151402128</v>
      </c>
      <c r="I82" s="100">
        <v>2185.7723971433397</v>
      </c>
      <c r="J82" s="100">
        <v>6.1325647885325916</v>
      </c>
      <c r="K82" s="100">
        <v>3120.2489644053821</v>
      </c>
      <c r="L82" s="100">
        <v>4.9314670016277047</v>
      </c>
      <c r="M82" s="100">
        <v>2509.1304104281758</v>
      </c>
      <c r="N82" s="100">
        <v>6</v>
      </c>
      <c r="O82" s="100">
        <v>3052.7999999999993</v>
      </c>
      <c r="P82" s="100">
        <v>4.7360424375644676</v>
      </c>
      <c r="Q82" s="100">
        <v>2409.6983922328009</v>
      </c>
      <c r="R82" s="100">
        <v>7.8981349686737872</v>
      </c>
      <c r="S82" s="100">
        <v>4018.5710720612219</v>
      </c>
      <c r="T82" s="100">
        <v>4.2819057833951923</v>
      </c>
      <c r="U82" s="100">
        <v>2178.6336625914732</v>
      </c>
      <c r="V82" s="100">
        <v>5.0987922174535338</v>
      </c>
      <c r="W82" s="100">
        <v>2594.2654802403576</v>
      </c>
      <c r="X82" s="100">
        <v>6.3353759708726152</v>
      </c>
      <c r="Y82" s="100">
        <v>3223.4392939799859</v>
      </c>
      <c r="Z82" s="100">
        <v>6.6826050816897045</v>
      </c>
      <c r="AA82" s="100">
        <v>3400.1094655637207</v>
      </c>
      <c r="AB82" s="100">
        <v>6.3030577547781075</v>
      </c>
      <c r="AC82" s="100">
        <v>3206.9957856311003</v>
      </c>
      <c r="AD82" s="100">
        <v>4.391411964578225</v>
      </c>
      <c r="AE82" s="100">
        <v>2234.3504075774003</v>
      </c>
      <c r="AF82" s="100">
        <v>7.5687736738030482</v>
      </c>
      <c r="AG82" s="100">
        <v>3850.9920452309902</v>
      </c>
      <c r="AH82" s="100">
        <v>5</v>
      </c>
      <c r="AI82" s="100">
        <v>2543.9999999999995</v>
      </c>
      <c r="AJ82" s="100">
        <v>7</v>
      </c>
      <c r="AK82" s="100">
        <v>3561.5999999999995</v>
      </c>
      <c r="AL82" s="100">
        <v>4.2742450727757033</v>
      </c>
      <c r="AM82" s="100">
        <v>2174.7358930282776</v>
      </c>
      <c r="AN82" s="100">
        <v>5.8090683692799985</v>
      </c>
      <c r="AO82" s="100">
        <v>2955.6539862896625</v>
      </c>
      <c r="AP82" s="100">
        <v>6.6725623011209576</v>
      </c>
      <c r="AQ82" s="100">
        <v>3394.9996988103426</v>
      </c>
      <c r="AR82" s="100">
        <v>6.3444441164682699</v>
      </c>
      <c r="AS82" s="100">
        <v>3228.0531664590549</v>
      </c>
      <c r="AT82" s="100">
        <v>5.7743636306406856</v>
      </c>
      <c r="AU82" s="100">
        <v>2937.9962152699804</v>
      </c>
      <c r="AV82" s="100">
        <v>5.3426665426826299</v>
      </c>
      <c r="AW82" s="100">
        <v>2718.3487369169216</v>
      </c>
      <c r="AX82" s="100">
        <v>5</v>
      </c>
      <c r="AY82" s="100">
        <v>2543.9999999999995</v>
      </c>
      <c r="AZ82" s="100">
        <v>6.654581313200608</v>
      </c>
      <c r="BA82" s="100">
        <v>3385.8509721564687</v>
      </c>
      <c r="BB82" s="100">
        <v>5.7154871161236374</v>
      </c>
      <c r="BC82" s="100">
        <v>2908.0398446837062</v>
      </c>
      <c r="BD82" s="100">
        <v>6.4157842766468223</v>
      </c>
      <c r="BE82" s="100">
        <v>3264.3510399579027</v>
      </c>
      <c r="BF82" s="100">
        <v>6.5546237374223937</v>
      </c>
      <c r="BG82" s="100">
        <v>3334.992557600513</v>
      </c>
      <c r="BH82" s="100">
        <v>5.5046964957608306</v>
      </c>
      <c r="BI82" s="100">
        <v>2800.7895770431101</v>
      </c>
      <c r="BJ82" s="100">
        <v>5.6483847280404316</v>
      </c>
      <c r="BK82" s="100">
        <v>2873.8981496269712</v>
      </c>
      <c r="BL82" s="100">
        <v>5.6722063021997347</v>
      </c>
      <c r="BM82" s="100">
        <v>2886.0185665592244</v>
      </c>
      <c r="BN82" s="100">
        <v>6.6526852254593685</v>
      </c>
      <c r="BO82" s="100">
        <v>3384.886242713726</v>
      </c>
      <c r="BP82" s="100">
        <v>4.9353561374922172</v>
      </c>
      <c r="BQ82" s="100">
        <v>2511.1092027560398</v>
      </c>
      <c r="BR82" s="100">
        <v>5.7953050657558363</v>
      </c>
      <c r="BS82" s="100">
        <v>2948.6512174565687</v>
      </c>
      <c r="BT82" s="100">
        <v>5.0066943171545395</v>
      </c>
      <c r="BU82" s="100">
        <v>2547.4060685682293</v>
      </c>
      <c r="BV82" s="100">
        <v>5.3369209674723663</v>
      </c>
      <c r="BW82" s="100">
        <v>2715.4253882499393</v>
      </c>
      <c r="BX82" s="100">
        <v>5.4422818533143271</v>
      </c>
      <c r="BY82" s="100">
        <v>2769.0330069663291</v>
      </c>
      <c r="BZ82" s="100">
        <v>4.6128881595836679</v>
      </c>
      <c r="CA82" s="100">
        <v>2347.0374955961697</v>
      </c>
      <c r="CB82" s="100">
        <v>5.7923181499072012</v>
      </c>
      <c r="CC82" s="100">
        <v>2947.1314746727835</v>
      </c>
      <c r="CD82" s="100">
        <v>5.9969531201295148</v>
      </c>
      <c r="CE82" s="100">
        <v>3051.2497475218966</v>
      </c>
      <c r="CF82" s="100">
        <v>6.3284370458871342</v>
      </c>
      <c r="CG82" s="100">
        <v>3219.9087689473731</v>
      </c>
      <c r="CH82" s="100">
        <v>5.4875090827318331</v>
      </c>
      <c r="CI82" s="100">
        <v>2792.044621293956</v>
      </c>
      <c r="CJ82" s="100">
        <v>5.6284733907216014</v>
      </c>
      <c r="CK82" s="100">
        <v>2863.7672611991502</v>
      </c>
      <c r="CL82" s="100">
        <v>6.5977483311636833</v>
      </c>
      <c r="CM82" s="100">
        <v>3356.9343508960815</v>
      </c>
      <c r="CN82" s="100">
        <v>5.9785829351151909</v>
      </c>
      <c r="CO82" s="100">
        <v>3041.9029973866086</v>
      </c>
      <c r="CP82" s="100">
        <v>4.1456619480281836</v>
      </c>
      <c r="CQ82" s="100">
        <v>2109.3127991567394</v>
      </c>
      <c r="CR82" s="100">
        <v>6.8425963159184162</v>
      </c>
      <c r="CS82" s="100">
        <v>3481.5130055392897</v>
      </c>
      <c r="CT82" s="100">
        <v>5.1879048244037413</v>
      </c>
      <c r="CU82" s="100">
        <v>2639.6059746566229</v>
      </c>
    </row>
    <row r="83" spans="2:99">
      <c r="C83" s="99" t="s">
        <v>249</v>
      </c>
      <c r="D83" s="100">
        <v>5.9350841013751925</v>
      </c>
      <c r="E83" s="100">
        <v>5106.5463608232158</v>
      </c>
      <c r="F83" s="100">
        <v>7</v>
      </c>
      <c r="G83" s="100">
        <v>6022.8</v>
      </c>
      <c r="H83" s="100">
        <v>3.7734650175692641</v>
      </c>
      <c r="I83" s="100">
        <v>3246.6893011165948</v>
      </c>
      <c r="J83" s="100">
        <v>7.1657059856657392</v>
      </c>
      <c r="K83" s="100">
        <v>6165.373430066802</v>
      </c>
      <c r="L83" s="100">
        <v>4.9314670016277047</v>
      </c>
      <c r="M83" s="100">
        <v>4243.0342082004772</v>
      </c>
      <c r="N83" s="100">
        <v>6</v>
      </c>
      <c r="O83" s="100">
        <v>5162.3999999999996</v>
      </c>
      <c r="P83" s="100">
        <v>4.7360424375644676</v>
      </c>
      <c r="Q83" s="100">
        <v>4074.8909132804679</v>
      </c>
      <c r="R83" s="100">
        <v>6.9108680975895638</v>
      </c>
      <c r="S83" s="100">
        <v>5946.1109111660608</v>
      </c>
      <c r="T83" s="100">
        <v>4.2819057833951923</v>
      </c>
      <c r="U83" s="100">
        <v>3684.1517360332232</v>
      </c>
      <c r="V83" s="100">
        <v>5.1429350968289791</v>
      </c>
      <c r="W83" s="100">
        <v>4424.9813573116535</v>
      </c>
      <c r="X83" s="100">
        <v>6.3353759708726152</v>
      </c>
      <c r="Y83" s="100">
        <v>5450.9574853387976</v>
      </c>
      <c r="Z83" s="100">
        <v>5.9414180264258034</v>
      </c>
      <c r="AA83" s="100">
        <v>5111.9960699367612</v>
      </c>
      <c r="AB83" s="100">
        <v>6.2204372632233831</v>
      </c>
      <c r="AC83" s="100">
        <v>5352.0642212773982</v>
      </c>
      <c r="AD83" s="100">
        <v>4.391411964578225</v>
      </c>
      <c r="AE83" s="100">
        <v>3778.3708543231046</v>
      </c>
      <c r="AF83" s="100">
        <v>6.6356454301687764</v>
      </c>
      <c r="AG83" s="100">
        <v>5709.309328117215</v>
      </c>
      <c r="AH83" s="100">
        <v>4</v>
      </c>
      <c r="AI83" s="100">
        <v>3441.6</v>
      </c>
      <c r="AJ83" s="100">
        <v>6</v>
      </c>
      <c r="AK83" s="100">
        <v>5162.3999999999996</v>
      </c>
      <c r="AL83" s="100">
        <v>4.2742450727757033</v>
      </c>
      <c r="AM83" s="100">
        <v>3677.5604606162151</v>
      </c>
      <c r="AN83" s="100">
        <v>5.8090683692799985</v>
      </c>
      <c r="AO83" s="100">
        <v>4998.1224249285106</v>
      </c>
      <c r="AP83" s="100">
        <v>6.6725623011209576</v>
      </c>
      <c r="AQ83" s="100">
        <v>5741.0726038844714</v>
      </c>
      <c r="AR83" s="100">
        <v>5.6395058813051291</v>
      </c>
      <c r="AS83" s="100">
        <v>4852.2308602749326</v>
      </c>
      <c r="AT83" s="100">
        <v>5.7743636306406856</v>
      </c>
      <c r="AU83" s="100">
        <v>4968.2624678032462</v>
      </c>
      <c r="AV83" s="100">
        <v>6.2331109664630677</v>
      </c>
      <c r="AW83" s="100">
        <v>5362.9686755448238</v>
      </c>
      <c r="AX83" s="100">
        <v>4</v>
      </c>
      <c r="AY83" s="100">
        <v>3441.6</v>
      </c>
      <c r="AZ83" s="100">
        <v>5.8681036417236676</v>
      </c>
      <c r="BA83" s="100">
        <v>5048.9163733390433</v>
      </c>
      <c r="BB83" s="100">
        <v>5.5243466120908087</v>
      </c>
      <c r="BC83" s="100">
        <v>4753.1478250429318</v>
      </c>
      <c r="BD83" s="100">
        <v>5.7080859411648674</v>
      </c>
      <c r="BE83" s="100">
        <v>4911.2371437782522</v>
      </c>
      <c r="BF83" s="100">
        <v>6.5546237374223937</v>
      </c>
      <c r="BG83" s="100">
        <v>5639.5982636782273</v>
      </c>
      <c r="BH83" s="100">
        <v>5.5046964957608306</v>
      </c>
      <c r="BI83" s="100">
        <v>4736.2408649526187</v>
      </c>
      <c r="BJ83" s="100">
        <v>5.6483847280404316</v>
      </c>
      <c r="BK83" s="100">
        <v>4859.870220005987</v>
      </c>
      <c r="BL83" s="100">
        <v>4.5601719184997789</v>
      </c>
      <c r="BM83" s="100">
        <v>3923.5719186772099</v>
      </c>
      <c r="BN83" s="100">
        <v>6.6526852254593685</v>
      </c>
      <c r="BO83" s="100">
        <v>5723.97036798524</v>
      </c>
      <c r="BP83" s="100">
        <v>4.9353561374922172</v>
      </c>
      <c r="BQ83" s="100">
        <v>4246.3804206983032</v>
      </c>
      <c r="BR83" s="100">
        <v>5.6903353827126253</v>
      </c>
      <c r="BS83" s="100">
        <v>4895.9645632859429</v>
      </c>
      <c r="BT83" s="100">
        <v>5.9290812906299184</v>
      </c>
      <c r="BU83" s="100">
        <v>5101.3815424579816</v>
      </c>
      <c r="BV83" s="100">
        <v>6.2966099766355672</v>
      </c>
      <c r="BW83" s="100">
        <v>5417.6032238972421</v>
      </c>
      <c r="BX83" s="100">
        <v>6.0945449980411261</v>
      </c>
      <c r="BY83" s="100">
        <v>5243.7465163145844</v>
      </c>
      <c r="BZ83" s="100">
        <v>4.0918649047222004</v>
      </c>
      <c r="CA83" s="100">
        <v>3520.6405640229814</v>
      </c>
      <c r="CB83" s="100">
        <v>5.7923181499072012</v>
      </c>
      <c r="CC83" s="100">
        <v>4983.7105361801559</v>
      </c>
      <c r="CD83" s="100">
        <v>5.9969531201295148</v>
      </c>
      <c r="CE83" s="100">
        <v>5159.7784645594347</v>
      </c>
      <c r="CF83" s="100">
        <v>5.6126850605337397</v>
      </c>
      <c r="CG83" s="100">
        <v>4829.1542260832293</v>
      </c>
      <c r="CH83" s="100">
        <v>5.4875090827318331</v>
      </c>
      <c r="CI83" s="100">
        <v>4721.4528147824694</v>
      </c>
      <c r="CJ83" s="100">
        <v>5.6284733907216014</v>
      </c>
      <c r="CK83" s="100">
        <v>4842.7385053768658</v>
      </c>
      <c r="CL83" s="100">
        <v>6.5977483311636833</v>
      </c>
      <c r="CM83" s="100">
        <v>5676.7026641332332</v>
      </c>
      <c r="CN83" s="100">
        <v>5.9785829351151909</v>
      </c>
      <c r="CO83" s="100">
        <v>5143.9727573731097</v>
      </c>
      <c r="CP83" s="100">
        <v>4.1456619480281836</v>
      </c>
      <c r="CQ83" s="100">
        <v>3566.927540083449</v>
      </c>
      <c r="CR83" s="100">
        <v>6.8425963159184162</v>
      </c>
      <c r="CS83" s="100">
        <v>5887.3698702162055</v>
      </c>
      <c r="CT83" s="100">
        <v>5.1879048244037413</v>
      </c>
      <c r="CU83" s="100">
        <v>4463.6733109169791</v>
      </c>
    </row>
    <row r="84" spans="2:99">
      <c r="C84" s="99" t="s">
        <v>250</v>
      </c>
      <c r="D84" s="100">
        <v>5.9350841013751925</v>
      </c>
      <c r="E84" s="100">
        <v>4636.4876999942999</v>
      </c>
      <c r="F84" s="100">
        <v>8</v>
      </c>
      <c r="G84" s="100">
        <v>6249.5999999999995</v>
      </c>
      <c r="H84" s="100">
        <v>4.2959363151402128</v>
      </c>
      <c r="I84" s="100">
        <v>3355.9854493875341</v>
      </c>
      <c r="J84" s="100">
        <v>6.1325647885325916</v>
      </c>
      <c r="K84" s="100">
        <v>4790.7596128016603</v>
      </c>
      <c r="L84" s="100">
        <v>4.9314670016277047</v>
      </c>
      <c r="M84" s="100">
        <v>3852.4620216715625</v>
      </c>
      <c r="N84" s="100">
        <v>6</v>
      </c>
      <c r="O84" s="100">
        <v>4687.2</v>
      </c>
      <c r="P84" s="100">
        <v>4.7360424375644676</v>
      </c>
      <c r="Q84" s="100">
        <v>3699.7963522253617</v>
      </c>
      <c r="R84" s="100">
        <v>7.8981349686737872</v>
      </c>
      <c r="S84" s="100">
        <v>6170.0230375279616</v>
      </c>
      <c r="T84" s="100">
        <v>4.2819057833951923</v>
      </c>
      <c r="U84" s="100">
        <v>3345.0247979883238</v>
      </c>
      <c r="V84" s="100">
        <v>5.1870779762044235</v>
      </c>
      <c r="W84" s="100">
        <v>4052.145315010895</v>
      </c>
      <c r="X84" s="100">
        <v>6.3353759708726152</v>
      </c>
      <c r="Y84" s="100">
        <v>4949.1957084456863</v>
      </c>
      <c r="Z84" s="100">
        <v>5.2026152880248207</v>
      </c>
      <c r="AA84" s="100">
        <v>4064.2830630049893</v>
      </c>
      <c r="AB84" s="100">
        <v>5.5668133426525479</v>
      </c>
      <c r="AC84" s="100">
        <v>4348.7945832801697</v>
      </c>
      <c r="AD84" s="100">
        <v>4.3661133447822893</v>
      </c>
      <c r="AE84" s="100">
        <v>3410.8077449439243</v>
      </c>
      <c r="AF84" s="100">
        <v>7.5687736738030482</v>
      </c>
      <c r="AG84" s="100">
        <v>5912.725993974941</v>
      </c>
      <c r="AH84" s="100">
        <v>4</v>
      </c>
      <c r="AI84" s="100">
        <v>3124.7999999999997</v>
      </c>
      <c r="AJ84" s="100">
        <v>7</v>
      </c>
      <c r="AK84" s="100">
        <v>5468.4</v>
      </c>
      <c r="AL84" s="100">
        <v>5.129094087330845</v>
      </c>
      <c r="AM84" s="100">
        <v>4006.8483010228556</v>
      </c>
      <c r="AN84" s="100">
        <v>4.9792014593828551</v>
      </c>
      <c r="AO84" s="100">
        <v>3889.752180069886</v>
      </c>
      <c r="AP84" s="100">
        <v>7.6257854869953805</v>
      </c>
      <c r="AQ84" s="100">
        <v>5957.2636224407906</v>
      </c>
      <c r="AR84" s="100">
        <v>6.3444441164682699</v>
      </c>
      <c r="AS84" s="100">
        <v>4956.2797437850122</v>
      </c>
      <c r="AT84" s="100">
        <v>4.8119696922005719</v>
      </c>
      <c r="AU84" s="100">
        <v>3759.1107235470863</v>
      </c>
      <c r="AV84" s="100">
        <v>6.2331109664630677</v>
      </c>
      <c r="AW84" s="100">
        <v>4869.306287000948</v>
      </c>
      <c r="AX84" s="100">
        <v>5</v>
      </c>
      <c r="AY84" s="100">
        <v>3905.9999999999995</v>
      </c>
      <c r="AZ84" s="100">
        <v>5.8681036417236676</v>
      </c>
      <c r="BA84" s="100">
        <v>4584.162564914529</v>
      </c>
      <c r="BB84" s="100">
        <v>6.3408447715370428</v>
      </c>
      <c r="BC84" s="100">
        <v>4953.4679355247372</v>
      </c>
      <c r="BD84" s="100">
        <v>5.5862612804754397</v>
      </c>
      <c r="BE84" s="100">
        <v>4363.987312307413</v>
      </c>
      <c r="BF84" s="100">
        <v>5.7826973071329002</v>
      </c>
      <c r="BG84" s="100">
        <v>4517.443136332221</v>
      </c>
      <c r="BH84" s="100">
        <v>5.5046964957608306</v>
      </c>
      <c r="BI84" s="100">
        <v>4300.2689024883603</v>
      </c>
      <c r="BJ84" s="100">
        <v>6.5897821827138365</v>
      </c>
      <c r="BK84" s="100">
        <v>5147.9378411360485</v>
      </c>
      <c r="BL84" s="100">
        <v>5.6722063021997347</v>
      </c>
      <c r="BM84" s="100">
        <v>4431.1275632784327</v>
      </c>
      <c r="BN84" s="100">
        <v>6.6526852254593685</v>
      </c>
      <c r="BO84" s="100">
        <v>5197.0776981288582</v>
      </c>
      <c r="BP84" s="100">
        <v>5.9224273649906625</v>
      </c>
      <c r="BQ84" s="100">
        <v>4626.6002575307048</v>
      </c>
      <c r="BR84" s="100">
        <v>6.4282620923549922</v>
      </c>
      <c r="BS84" s="100">
        <v>5021.7583465477192</v>
      </c>
      <c r="BT84" s="100">
        <v>5.8501294006743887</v>
      </c>
      <c r="BU84" s="100">
        <v>4570.1210878068323</v>
      </c>
      <c r="BV84" s="100">
        <v>6.2966099766355672</v>
      </c>
      <c r="BW84" s="100">
        <v>4918.9117137477051</v>
      </c>
      <c r="BX84" s="100">
        <v>5.4422818533143271</v>
      </c>
      <c r="BY84" s="100">
        <v>4251.5105838091522</v>
      </c>
      <c r="BZ84" s="100">
        <v>4.6128881595836679</v>
      </c>
      <c r="CA84" s="100">
        <v>3603.588230266761</v>
      </c>
      <c r="CB84" s="100">
        <v>5.7923181499072012</v>
      </c>
      <c r="CC84" s="100">
        <v>4524.9589387075048</v>
      </c>
      <c r="CD84" s="100">
        <v>5.9969531201295148</v>
      </c>
      <c r="CE84" s="100">
        <v>4684.8197774451764</v>
      </c>
      <c r="CF84" s="100">
        <v>4.934710015944817</v>
      </c>
      <c r="CG84" s="100">
        <v>3854.9954644560908</v>
      </c>
      <c r="CH84" s="100">
        <v>5.4875090827318331</v>
      </c>
      <c r="CI84" s="100">
        <v>4286.8420954301073</v>
      </c>
      <c r="CJ84" s="100">
        <v>4.7833088167487476</v>
      </c>
      <c r="CK84" s="100">
        <v>3736.7208476441215</v>
      </c>
      <c r="CL84" s="100">
        <v>6.5977483311636833</v>
      </c>
      <c r="CM84" s="100">
        <v>5154.1609963050687</v>
      </c>
      <c r="CN84" s="100">
        <v>5.920280059670346</v>
      </c>
      <c r="CO84" s="100">
        <v>4624.9227826144743</v>
      </c>
      <c r="CP84" s="100">
        <v>3.4915155840371286</v>
      </c>
      <c r="CQ84" s="100">
        <v>2727.5719742498045</v>
      </c>
      <c r="CR84" s="100">
        <v>6.0670652376954166</v>
      </c>
      <c r="CS84" s="100">
        <v>4739.5913636876594</v>
      </c>
      <c r="CT84" s="100">
        <v>6.0525556284710316</v>
      </c>
      <c r="CU84" s="100">
        <v>4728.2564569615697</v>
      </c>
    </row>
    <row r="85" spans="2:99">
      <c r="C85" s="99" t="s">
        <v>251</v>
      </c>
      <c r="D85" s="100">
        <v>5.9350841013751925</v>
      </c>
      <c r="E85" s="100">
        <v>890.26261520627884</v>
      </c>
      <c r="F85" s="100">
        <v>8</v>
      </c>
      <c r="G85" s="100">
        <v>1200</v>
      </c>
      <c r="H85" s="100">
        <v>3.7734650175692641</v>
      </c>
      <c r="I85" s="100">
        <v>566.01975263538964</v>
      </c>
      <c r="J85" s="100">
        <v>7.1325647885325916</v>
      </c>
      <c r="K85" s="100">
        <v>1069.8847182798888</v>
      </c>
      <c r="L85" s="100">
        <v>4.9314670016277047</v>
      </c>
      <c r="M85" s="100">
        <v>739.72005024415569</v>
      </c>
      <c r="N85" s="100">
        <v>6</v>
      </c>
      <c r="O85" s="100">
        <v>900</v>
      </c>
      <c r="P85" s="100">
        <v>5.5253828438252119</v>
      </c>
      <c r="Q85" s="100">
        <v>828.80742657378175</v>
      </c>
      <c r="R85" s="100">
        <v>7.8981349686737872</v>
      </c>
      <c r="S85" s="100">
        <v>1184.7202453010682</v>
      </c>
      <c r="T85" s="100">
        <v>4.2819057833951923</v>
      </c>
      <c r="U85" s="100">
        <v>642.28586750927889</v>
      </c>
      <c r="V85" s="100">
        <v>5.1429350968289791</v>
      </c>
      <c r="W85" s="100">
        <v>771.44026452434684</v>
      </c>
      <c r="X85" s="100">
        <v>6.3353759708726152</v>
      </c>
      <c r="Y85" s="100">
        <v>950.30639563089233</v>
      </c>
      <c r="Z85" s="100">
        <v>6.6849893985526236</v>
      </c>
      <c r="AA85" s="100">
        <v>1002.7484097828935</v>
      </c>
      <c r="AB85" s="100">
        <v>6.3030577547781075</v>
      </c>
      <c r="AC85" s="100">
        <v>945.4586632167161</v>
      </c>
      <c r="AD85" s="100">
        <v>5.4323430611819266</v>
      </c>
      <c r="AE85" s="100">
        <v>814.85145917728903</v>
      </c>
      <c r="AF85" s="100">
        <v>7.5687736738030482</v>
      </c>
      <c r="AG85" s="100">
        <v>1135.3160510704572</v>
      </c>
      <c r="AH85" s="100">
        <v>5</v>
      </c>
      <c r="AI85" s="100">
        <v>750</v>
      </c>
      <c r="AJ85" s="100">
        <v>7</v>
      </c>
      <c r="AK85" s="100">
        <v>1050</v>
      </c>
      <c r="AL85" s="100">
        <v>4.2742450727757033</v>
      </c>
      <c r="AM85" s="100">
        <v>641.13676091635546</v>
      </c>
      <c r="AN85" s="100">
        <v>5.8090683692799985</v>
      </c>
      <c r="AO85" s="100">
        <v>871.36025539199977</v>
      </c>
      <c r="AP85" s="100">
        <v>7.6257854869953805</v>
      </c>
      <c r="AQ85" s="100">
        <v>1143.8678230493072</v>
      </c>
      <c r="AR85" s="100">
        <v>5.6395058813051291</v>
      </c>
      <c r="AS85" s="100">
        <v>845.92588219576942</v>
      </c>
      <c r="AT85" s="100">
        <v>5.7743636306406856</v>
      </c>
      <c r="AU85" s="100">
        <v>866.15454459610282</v>
      </c>
      <c r="AV85" s="100">
        <v>6.2331109664630677</v>
      </c>
      <c r="AW85" s="100">
        <v>934.96664496946016</v>
      </c>
      <c r="AX85" s="100">
        <v>5</v>
      </c>
      <c r="AY85" s="100">
        <v>750</v>
      </c>
      <c r="AZ85" s="100">
        <v>5.8681036417236676</v>
      </c>
      <c r="BA85" s="100">
        <v>880.21554625855015</v>
      </c>
      <c r="BB85" s="100">
        <v>5.619916864107223</v>
      </c>
      <c r="BC85" s="100">
        <v>842.98752961608341</v>
      </c>
      <c r="BD85" s="100">
        <v>6.5376089373362491</v>
      </c>
      <c r="BE85" s="100">
        <v>980.64134060043739</v>
      </c>
      <c r="BF85" s="100">
        <v>5.7826973071329002</v>
      </c>
      <c r="BG85" s="100">
        <v>867.404596069935</v>
      </c>
      <c r="BH85" s="100">
        <v>5.5046964957608306</v>
      </c>
      <c r="BI85" s="100">
        <v>825.70447436412462</v>
      </c>
      <c r="BJ85" s="100">
        <v>6.5897821827138365</v>
      </c>
      <c r="BK85" s="100">
        <v>988.46732740707546</v>
      </c>
      <c r="BL85" s="100">
        <v>5.6722063021997347</v>
      </c>
      <c r="BM85" s="100">
        <v>850.83094532996017</v>
      </c>
      <c r="BN85" s="100">
        <v>6.6526852254593685</v>
      </c>
      <c r="BO85" s="100">
        <v>997.90278381890528</v>
      </c>
      <c r="BP85" s="100">
        <v>5.9224273649906625</v>
      </c>
      <c r="BQ85" s="100">
        <v>888.3641047485994</v>
      </c>
      <c r="BR85" s="100">
        <v>6.5332317753982023</v>
      </c>
      <c r="BS85" s="100">
        <v>979.98476630973039</v>
      </c>
      <c r="BT85" s="100">
        <v>5.9290812906299184</v>
      </c>
      <c r="BU85" s="100">
        <v>889.36219359448774</v>
      </c>
      <c r="BV85" s="100">
        <v>7.256298985798769</v>
      </c>
      <c r="BW85" s="100">
        <v>1088.4448478698152</v>
      </c>
      <c r="BX85" s="100">
        <v>6.2121375353452448</v>
      </c>
      <c r="BY85" s="100">
        <v>931.82063030178676</v>
      </c>
      <c r="BZ85" s="100">
        <v>4.5938078760412839</v>
      </c>
      <c r="CA85" s="100">
        <v>689.07118140619264</v>
      </c>
      <c r="CB85" s="100">
        <v>5.6338545199257606</v>
      </c>
      <c r="CC85" s="100">
        <v>845.07817798886413</v>
      </c>
      <c r="CD85" s="100">
        <v>5.9969531201295148</v>
      </c>
      <c r="CE85" s="100">
        <v>899.54296801942724</v>
      </c>
      <c r="CF85" s="100">
        <v>5.6126850605337397</v>
      </c>
      <c r="CG85" s="100">
        <v>841.90275908006095</v>
      </c>
      <c r="CH85" s="100">
        <v>6.2714389516935229</v>
      </c>
      <c r="CI85" s="100">
        <v>940.71584275402847</v>
      </c>
      <c r="CJ85" s="100">
        <v>6.7541680688659227</v>
      </c>
      <c r="CK85" s="100">
        <v>1013.1252103298884</v>
      </c>
      <c r="CL85" s="100">
        <v>6.5977483311636833</v>
      </c>
      <c r="CM85" s="100">
        <v>989.66224967455253</v>
      </c>
      <c r="CN85" s="100">
        <v>5.9785829351151909</v>
      </c>
      <c r="CO85" s="100">
        <v>896.78744026727861</v>
      </c>
      <c r="CP85" s="100">
        <v>4.1456619480281836</v>
      </c>
      <c r="CQ85" s="100">
        <v>621.84929220422748</v>
      </c>
      <c r="CR85" s="100">
        <v>6.7149267778915327</v>
      </c>
      <c r="CS85" s="100">
        <v>1007.2390166837299</v>
      </c>
      <c r="CT85" s="100">
        <v>6.0525556284710316</v>
      </c>
      <c r="CU85" s="100">
        <v>907.88334427065479</v>
      </c>
    </row>
    <row r="86" spans="2:99">
      <c r="C86" s="99" t="s">
        <v>252</v>
      </c>
      <c r="D86" s="100">
        <v>5.7792367511459934</v>
      </c>
      <c r="E86" s="100">
        <v>3120.7878456188364</v>
      </c>
      <c r="F86" s="100">
        <v>8</v>
      </c>
      <c r="G86" s="100">
        <v>4320</v>
      </c>
      <c r="H86" s="100">
        <v>3.7734650175692641</v>
      </c>
      <c r="I86" s="100">
        <v>2037.6711094874026</v>
      </c>
      <c r="J86" s="100">
        <v>6.1657059856657392</v>
      </c>
      <c r="K86" s="100">
        <v>3329.4812322594994</v>
      </c>
      <c r="L86" s="100">
        <v>5.9177604019532462</v>
      </c>
      <c r="M86" s="100">
        <v>3195.5906170547528</v>
      </c>
      <c r="N86" s="100">
        <v>6</v>
      </c>
      <c r="O86" s="100">
        <v>3240</v>
      </c>
      <c r="P86" s="100">
        <v>5.5253828438252119</v>
      </c>
      <c r="Q86" s="100">
        <v>2983.7067356656144</v>
      </c>
      <c r="R86" s="100">
        <v>6.9108680975895638</v>
      </c>
      <c r="S86" s="100">
        <v>3731.8687726983644</v>
      </c>
      <c r="T86" s="100">
        <v>4.9955567472943905</v>
      </c>
      <c r="U86" s="100">
        <v>2697.6006435389709</v>
      </c>
      <c r="V86" s="100">
        <v>5.1429350968289791</v>
      </c>
      <c r="W86" s="100">
        <v>2777.1849522876487</v>
      </c>
      <c r="X86" s="100">
        <v>6.3353759708726152</v>
      </c>
      <c r="Y86" s="100">
        <v>3421.1030242712122</v>
      </c>
      <c r="Z86" s="100">
        <v>6.6849893985526236</v>
      </c>
      <c r="AA86" s="100">
        <v>3609.8942752184166</v>
      </c>
      <c r="AB86" s="100">
        <v>6.3030577547781075</v>
      </c>
      <c r="AC86" s="100">
        <v>3403.651187580178</v>
      </c>
      <c r="AD86" s="100">
        <v>4.391411964578225</v>
      </c>
      <c r="AE86" s="100">
        <v>2371.3624608722416</v>
      </c>
      <c r="AF86" s="100">
        <v>7.5782052851420358</v>
      </c>
      <c r="AG86" s="100">
        <v>4092.2308539766996</v>
      </c>
      <c r="AH86" s="100">
        <v>5</v>
      </c>
      <c r="AI86" s="100">
        <v>2700</v>
      </c>
      <c r="AJ86" s="100">
        <v>7</v>
      </c>
      <c r="AK86" s="100">
        <v>3780</v>
      </c>
      <c r="AL86" s="100">
        <v>4.2742450727757033</v>
      </c>
      <c r="AM86" s="100">
        <v>2308.0923392988798</v>
      </c>
      <c r="AN86" s="100">
        <v>5.8090683692799985</v>
      </c>
      <c r="AO86" s="100">
        <v>3136.8969194111992</v>
      </c>
      <c r="AP86" s="100">
        <v>8.5790086728698025</v>
      </c>
      <c r="AQ86" s="100">
        <v>4632.6646833496934</v>
      </c>
      <c r="AR86" s="100">
        <v>6.3444441164682699</v>
      </c>
      <c r="AS86" s="100">
        <v>3425.9998228928657</v>
      </c>
      <c r="AT86" s="100">
        <v>5.7743636306406856</v>
      </c>
      <c r="AU86" s="100">
        <v>3118.1563605459701</v>
      </c>
      <c r="AV86" s="100">
        <v>5.3426665426826299</v>
      </c>
      <c r="AW86" s="100">
        <v>2885.0399330486202</v>
      </c>
      <c r="AX86" s="100">
        <v>5</v>
      </c>
      <c r="AY86" s="100">
        <v>2700</v>
      </c>
      <c r="AZ86" s="100">
        <v>6.654581313200608</v>
      </c>
      <c r="BA86" s="100">
        <v>3593.4739091283282</v>
      </c>
      <c r="BB86" s="100">
        <v>5.619916864107223</v>
      </c>
      <c r="BC86" s="100">
        <v>3034.7551066179003</v>
      </c>
      <c r="BD86" s="100">
        <v>6.5376089373362491</v>
      </c>
      <c r="BE86" s="100">
        <v>3530.3088261615744</v>
      </c>
      <c r="BF86" s="100">
        <v>5.7826973071329002</v>
      </c>
      <c r="BG86" s="100">
        <v>3122.6565458517662</v>
      </c>
      <c r="BH86" s="100">
        <v>5.5046964957608306</v>
      </c>
      <c r="BI86" s="100">
        <v>2972.5361077108487</v>
      </c>
      <c r="BJ86" s="100">
        <v>5.6483847280404316</v>
      </c>
      <c r="BK86" s="100">
        <v>3050.1277531418332</v>
      </c>
      <c r="BL86" s="100">
        <v>5.6722063021997347</v>
      </c>
      <c r="BM86" s="100">
        <v>3062.9914031878566</v>
      </c>
      <c r="BN86" s="100">
        <v>6.6526852254593685</v>
      </c>
      <c r="BO86" s="100">
        <v>3592.450021748059</v>
      </c>
      <c r="BP86" s="100">
        <v>5.8155938164780849</v>
      </c>
      <c r="BQ86" s="100">
        <v>3140.4206608981658</v>
      </c>
      <c r="BR86" s="100">
        <v>5.7953050657558363</v>
      </c>
      <c r="BS86" s="100">
        <v>3129.4647355081515</v>
      </c>
      <c r="BT86" s="100">
        <v>5.8501294006743887</v>
      </c>
      <c r="BU86" s="100">
        <v>3159.0698763641699</v>
      </c>
      <c r="BV86" s="100">
        <v>6.2966099766355672</v>
      </c>
      <c r="BW86" s="100">
        <v>3400.1693873832064</v>
      </c>
      <c r="BX86" s="100">
        <v>5.2070967787060924</v>
      </c>
      <c r="BY86" s="100">
        <v>2811.83226050129</v>
      </c>
      <c r="BZ86" s="100">
        <v>5.0766705638179817</v>
      </c>
      <c r="CA86" s="100">
        <v>2741.4021044617102</v>
      </c>
      <c r="CB86" s="100">
        <v>5.7923181499072012</v>
      </c>
      <c r="CC86" s="100">
        <v>3127.8518009498885</v>
      </c>
      <c r="CD86" s="100">
        <v>5.9969531201295148</v>
      </c>
      <c r="CE86" s="100">
        <v>3238.354684869938</v>
      </c>
      <c r="CF86" s="100">
        <v>5.6126850605337397</v>
      </c>
      <c r="CG86" s="100">
        <v>3030.8499326882193</v>
      </c>
      <c r="CH86" s="100">
        <v>4.7035792137701424</v>
      </c>
      <c r="CI86" s="100">
        <v>2539.9327754358769</v>
      </c>
      <c r="CJ86" s="100">
        <v>5.7687384428073347</v>
      </c>
      <c r="CK86" s="100">
        <v>3115.1187591159605</v>
      </c>
      <c r="CL86" s="100">
        <v>6.5977483311636833</v>
      </c>
      <c r="CM86" s="100">
        <v>3562.7840988283888</v>
      </c>
      <c r="CN86" s="100">
        <v>5.9785829351151909</v>
      </c>
      <c r="CO86" s="100">
        <v>3228.4347849622031</v>
      </c>
      <c r="CP86" s="100">
        <v>3.4915155840371286</v>
      </c>
      <c r="CQ86" s="100">
        <v>1885.4184153800495</v>
      </c>
      <c r="CR86" s="100">
        <v>6.0670652376954166</v>
      </c>
      <c r="CS86" s="100">
        <v>3276.2152283555251</v>
      </c>
      <c r="CT86" s="100">
        <v>6.0525556284710316</v>
      </c>
      <c r="CU86" s="100">
        <v>3268.3800393743572</v>
      </c>
    </row>
    <row r="87" spans="2:99">
      <c r="B87" s="99" t="s">
        <v>131</v>
      </c>
      <c r="C87" s="99" t="s">
        <v>253</v>
      </c>
      <c r="D87" s="100">
        <v>6</v>
      </c>
      <c r="E87" s="100">
        <v>6444</v>
      </c>
      <c r="F87" s="100">
        <v>4.546098636243765</v>
      </c>
      <c r="G87" s="100">
        <v>4882.5099353258038</v>
      </c>
      <c r="H87" s="100">
        <v>2.7572616736249138</v>
      </c>
      <c r="I87" s="100">
        <v>2961.2990374731576</v>
      </c>
      <c r="J87" s="100">
        <v>6.2502643331889871</v>
      </c>
      <c r="K87" s="100">
        <v>6712.7838938449722</v>
      </c>
      <c r="L87" s="100">
        <v>5.1333787778656825</v>
      </c>
      <c r="M87" s="100">
        <v>5513.2488074277435</v>
      </c>
      <c r="N87" s="100">
        <v>4.7039547824666874</v>
      </c>
      <c r="O87" s="100">
        <v>5052.0474363692219</v>
      </c>
      <c r="P87" s="100">
        <v>2.6125176192523325</v>
      </c>
      <c r="Q87" s="100">
        <v>2805.843923077005</v>
      </c>
      <c r="R87" s="100">
        <v>7.2844011403596447</v>
      </c>
      <c r="S87" s="100">
        <v>7823.4468247462582</v>
      </c>
      <c r="T87" s="100">
        <v>5.4402225418876071</v>
      </c>
      <c r="U87" s="100">
        <v>5842.7990099872904</v>
      </c>
      <c r="V87" s="100">
        <v>3.8963915322481535</v>
      </c>
      <c r="W87" s="100">
        <v>4184.7245056345173</v>
      </c>
      <c r="X87" s="100">
        <v>4.646815906437463</v>
      </c>
      <c r="Y87" s="100">
        <v>4990.6802835138351</v>
      </c>
      <c r="Z87" s="100">
        <v>3.9486527639040507</v>
      </c>
      <c r="AA87" s="100">
        <v>4240.8530684329507</v>
      </c>
      <c r="AB87" s="100">
        <v>5.4792488006382447</v>
      </c>
      <c r="AC87" s="100">
        <v>5884.7132118854752</v>
      </c>
      <c r="AD87" s="100">
        <v>5.3889156544495123</v>
      </c>
      <c r="AE87" s="100">
        <v>5787.6954128787766</v>
      </c>
      <c r="AF87" s="100">
        <v>3.9541125920771978</v>
      </c>
      <c r="AG87" s="100">
        <v>4246.71692389091</v>
      </c>
      <c r="AH87" s="100">
        <v>5.2699548461324355</v>
      </c>
      <c r="AI87" s="100">
        <v>5659.931504746236</v>
      </c>
      <c r="AJ87" s="100">
        <v>6.2241545561528344</v>
      </c>
      <c r="AK87" s="100">
        <v>6684.7419933081437</v>
      </c>
      <c r="AL87" s="100">
        <v>5.0106746531221589</v>
      </c>
      <c r="AM87" s="100">
        <v>5381.4645774531982</v>
      </c>
      <c r="AN87" s="100">
        <v>4.5609506784811256</v>
      </c>
      <c r="AO87" s="100">
        <v>4898.4610286887291</v>
      </c>
      <c r="AP87" s="100">
        <v>4.6088283116892281</v>
      </c>
      <c r="AQ87" s="100">
        <v>4949.8816067542311</v>
      </c>
      <c r="AR87" s="100">
        <v>3.65967639737487</v>
      </c>
      <c r="AS87" s="100">
        <v>3930.4924507806104</v>
      </c>
      <c r="AT87" s="100">
        <v>4.1955054074594686</v>
      </c>
      <c r="AU87" s="100">
        <v>4505.9728076114698</v>
      </c>
      <c r="AV87" s="100">
        <v>4.8975152955065866</v>
      </c>
      <c r="AW87" s="100">
        <v>5259.9314273740738</v>
      </c>
      <c r="AX87" s="100">
        <v>6.2980047435447686</v>
      </c>
      <c r="AY87" s="100">
        <v>6764.0570945670815</v>
      </c>
      <c r="AZ87" s="100">
        <v>3.8964885978490069</v>
      </c>
      <c r="BA87" s="100">
        <v>4184.8287540898336</v>
      </c>
      <c r="BB87" s="100">
        <v>3.6425767972550265</v>
      </c>
      <c r="BC87" s="100">
        <v>3912.1274802518983</v>
      </c>
      <c r="BD87" s="100">
        <v>7.0782173239647905</v>
      </c>
      <c r="BE87" s="100">
        <v>7602.0054059381846</v>
      </c>
      <c r="BF87" s="100">
        <v>4.7986288600917266</v>
      </c>
      <c r="BG87" s="100">
        <v>5153.7273957385141</v>
      </c>
      <c r="BH87" s="100">
        <v>7.742903644801574</v>
      </c>
      <c r="BI87" s="100">
        <v>8315.8785145168913</v>
      </c>
      <c r="BJ87" s="100">
        <v>4.2754795610269625</v>
      </c>
      <c r="BK87" s="100">
        <v>4591.865048542958</v>
      </c>
      <c r="BL87" s="100">
        <v>5.9459060307331351</v>
      </c>
      <c r="BM87" s="100">
        <v>6385.9030770073869</v>
      </c>
      <c r="BN87" s="100">
        <v>4.3331212867795381</v>
      </c>
      <c r="BO87" s="100">
        <v>4653.7722620012237</v>
      </c>
      <c r="BP87" s="100">
        <v>4.9509077317983889</v>
      </c>
      <c r="BQ87" s="100">
        <v>5317.2749039514702</v>
      </c>
      <c r="BR87" s="100">
        <v>3.1333622449021825</v>
      </c>
      <c r="BS87" s="100">
        <v>3365.231051024944</v>
      </c>
      <c r="BT87" s="100">
        <v>6.4436696169443159</v>
      </c>
      <c r="BU87" s="100">
        <v>6920.5011685981954</v>
      </c>
      <c r="BV87" s="100">
        <v>6.0914377104573791</v>
      </c>
      <c r="BW87" s="100">
        <v>6542.204101031225</v>
      </c>
      <c r="BX87" s="100">
        <v>6.0647325307991702</v>
      </c>
      <c r="BY87" s="100">
        <v>6513.522738078309</v>
      </c>
      <c r="BZ87" s="100">
        <v>4.0605516080090922</v>
      </c>
      <c r="CA87" s="100">
        <v>4361.0324270017654</v>
      </c>
      <c r="CB87" s="100">
        <v>3.8679930442560804</v>
      </c>
      <c r="CC87" s="100">
        <v>4154.2245295310304</v>
      </c>
      <c r="CD87" s="100">
        <v>3.1683202514736948</v>
      </c>
      <c r="CE87" s="100">
        <v>3402.7759500827483</v>
      </c>
      <c r="CF87" s="100">
        <v>5.3124267396848257</v>
      </c>
      <c r="CG87" s="100">
        <v>5705.5463184215032</v>
      </c>
      <c r="CH87" s="100">
        <v>5.1103297476478193</v>
      </c>
      <c r="CI87" s="100">
        <v>5488.4941489737575</v>
      </c>
      <c r="CJ87" s="100">
        <v>5.1860489390521511</v>
      </c>
      <c r="CK87" s="100">
        <v>5569.8165605420099</v>
      </c>
      <c r="CL87" s="100">
        <v>4.4163849844497962</v>
      </c>
      <c r="CM87" s="100">
        <v>4743.1974732990811</v>
      </c>
      <c r="CN87" s="100">
        <v>5.2395483576718949</v>
      </c>
      <c r="CO87" s="100">
        <v>5627.2749361396154</v>
      </c>
      <c r="CP87" s="100">
        <v>2.2379876091300042</v>
      </c>
      <c r="CQ87" s="100">
        <v>2403.5986922056245</v>
      </c>
      <c r="CR87" s="100">
        <v>5.3053734679472679</v>
      </c>
      <c r="CS87" s="100">
        <v>5697.9711045753656</v>
      </c>
      <c r="CT87" s="100">
        <v>3.4014460764362164</v>
      </c>
      <c r="CU87" s="100">
        <v>3653.1530860924963</v>
      </c>
    </row>
    <row r="88" spans="2:99">
      <c r="C88" s="99" t="s">
        <v>254</v>
      </c>
      <c r="D88" s="100">
        <v>7</v>
      </c>
      <c r="E88" s="100">
        <v>6946.8</v>
      </c>
      <c r="F88" s="100">
        <v>4.546098636243765</v>
      </c>
      <c r="G88" s="100">
        <v>4511.5482866083121</v>
      </c>
      <c r="H88" s="100">
        <v>2.8069019412350338</v>
      </c>
      <c r="I88" s="100">
        <v>2785.5694864816473</v>
      </c>
      <c r="J88" s="100">
        <v>6.2502643331889871</v>
      </c>
      <c r="K88" s="100">
        <v>6202.7623242567506</v>
      </c>
      <c r="L88" s="100">
        <v>5.9569183680759563</v>
      </c>
      <c r="M88" s="100">
        <v>5911.6457884785787</v>
      </c>
      <c r="N88" s="100">
        <v>4.7039547824666874</v>
      </c>
      <c r="O88" s="100">
        <v>4668.2047261199405</v>
      </c>
      <c r="P88" s="100">
        <v>2.1379546403186436</v>
      </c>
      <c r="Q88" s="100">
        <v>2121.7061850522218</v>
      </c>
      <c r="R88" s="100">
        <v>6.4793624878040799</v>
      </c>
      <c r="S88" s="100">
        <v>6430.1193328967684</v>
      </c>
      <c r="T88" s="100">
        <v>5.4402225418876071</v>
      </c>
      <c r="U88" s="100">
        <v>5398.8768505692615</v>
      </c>
      <c r="V88" s="100">
        <v>3.8791067608495204</v>
      </c>
      <c r="W88" s="100">
        <v>3849.625549467064</v>
      </c>
      <c r="X88" s="100">
        <v>5.3189859911514654</v>
      </c>
      <c r="Y88" s="100">
        <v>5278.5616976187139</v>
      </c>
      <c r="Z88" s="100">
        <v>4.7360828045132104</v>
      </c>
      <c r="AA88" s="100">
        <v>4700.0885751989099</v>
      </c>
      <c r="AB88" s="100">
        <v>4.9218428737312756</v>
      </c>
      <c r="AC88" s="100">
        <v>4884.4368678909177</v>
      </c>
      <c r="AD88" s="100">
        <v>5.3889156544495123</v>
      </c>
      <c r="AE88" s="100">
        <v>5347.9598954756957</v>
      </c>
      <c r="AF88" s="100">
        <v>4.8952076580205892</v>
      </c>
      <c r="AG88" s="100">
        <v>4858.0040798196324</v>
      </c>
      <c r="AH88" s="100">
        <v>5.2971118087470872</v>
      </c>
      <c r="AI88" s="100">
        <v>5256.853759000609</v>
      </c>
      <c r="AJ88" s="100">
        <v>6.91153346690791</v>
      </c>
      <c r="AK88" s="100">
        <v>6859.0058125594096</v>
      </c>
      <c r="AL88" s="100">
        <v>5.0106746531221589</v>
      </c>
      <c r="AM88" s="100">
        <v>4972.5935257584306</v>
      </c>
      <c r="AN88" s="100">
        <v>4.6655465021557614</v>
      </c>
      <c r="AO88" s="100">
        <v>4630.0883487393776</v>
      </c>
      <c r="AP88" s="100">
        <v>4.6088283116892281</v>
      </c>
      <c r="AQ88" s="100">
        <v>4573.80121652039</v>
      </c>
      <c r="AR88" s="100">
        <v>3.7800569881541879</v>
      </c>
      <c r="AS88" s="100">
        <v>3751.328555044216</v>
      </c>
      <c r="AT88" s="100">
        <v>4.2484668147618789</v>
      </c>
      <c r="AU88" s="100">
        <v>4216.178466969689</v>
      </c>
      <c r="AV88" s="100">
        <v>4.8936409020102571</v>
      </c>
      <c r="AW88" s="100">
        <v>4856.4492311549793</v>
      </c>
      <c r="AX88" s="100">
        <v>6.4012661407490121</v>
      </c>
      <c r="AY88" s="100">
        <v>6352.6165180793196</v>
      </c>
      <c r="AZ88" s="100">
        <v>3.2713058546760858</v>
      </c>
      <c r="BA88" s="100">
        <v>3246.4439301805473</v>
      </c>
      <c r="BB88" s="100">
        <v>3.6425767972550265</v>
      </c>
      <c r="BC88" s="100">
        <v>3614.893213595888</v>
      </c>
      <c r="BD88" s="100">
        <v>7.222796056195782</v>
      </c>
      <c r="BE88" s="100">
        <v>7167.902806168694</v>
      </c>
      <c r="BF88" s="100">
        <v>4.7975972586260403</v>
      </c>
      <c r="BG88" s="100">
        <v>4761.1355194604821</v>
      </c>
      <c r="BH88" s="100">
        <v>6.9567009247609297</v>
      </c>
      <c r="BI88" s="100">
        <v>6903.8299977327461</v>
      </c>
      <c r="BJ88" s="100">
        <v>4.2754795610269625</v>
      </c>
      <c r="BK88" s="100">
        <v>4242.9859163631572</v>
      </c>
      <c r="BL88" s="100">
        <v>5.8173138517972554</v>
      </c>
      <c r="BM88" s="100">
        <v>5773.102266523596</v>
      </c>
      <c r="BN88" s="100">
        <v>4.9807078166378806</v>
      </c>
      <c r="BO88" s="100">
        <v>4942.8544372314327</v>
      </c>
      <c r="BP88" s="100">
        <v>4.9526152505593517</v>
      </c>
      <c r="BQ88" s="100">
        <v>4914.9753746551005</v>
      </c>
      <c r="BR88" s="100">
        <v>3.1333622449021825</v>
      </c>
      <c r="BS88" s="100">
        <v>3109.548691840926</v>
      </c>
      <c r="BT88" s="100">
        <v>5.7664927227148937</v>
      </c>
      <c r="BU88" s="100">
        <v>5722.66737802226</v>
      </c>
      <c r="BV88" s="100">
        <v>5.3300079966502061</v>
      </c>
      <c r="BW88" s="100">
        <v>5289.4999358756641</v>
      </c>
      <c r="BX88" s="100">
        <v>5.918283330393411</v>
      </c>
      <c r="BY88" s="100">
        <v>5873.3043770824206</v>
      </c>
      <c r="BZ88" s="100">
        <v>3.5912382934485381</v>
      </c>
      <c r="CA88" s="100">
        <v>3563.9448824183291</v>
      </c>
      <c r="CB88" s="100">
        <v>3.8679930442560804</v>
      </c>
      <c r="CC88" s="100">
        <v>3838.5962971197341</v>
      </c>
      <c r="CD88" s="100">
        <v>3.7028359852981674</v>
      </c>
      <c r="CE88" s="100">
        <v>3674.6944318099013</v>
      </c>
      <c r="CF88" s="100">
        <v>5.3088124993406955</v>
      </c>
      <c r="CG88" s="100">
        <v>5268.4655243457064</v>
      </c>
      <c r="CH88" s="100">
        <v>5.2371979899719889</v>
      </c>
      <c r="CI88" s="100">
        <v>5197.3952852482016</v>
      </c>
      <c r="CJ88" s="100">
        <v>5.0854375587376106</v>
      </c>
      <c r="CK88" s="100">
        <v>5046.788233291205</v>
      </c>
      <c r="CL88" s="100">
        <v>4.4163849844497962</v>
      </c>
      <c r="CM88" s="100">
        <v>4382.8204585679778</v>
      </c>
      <c r="CN88" s="100">
        <v>5.3519342142162145</v>
      </c>
      <c r="CO88" s="100">
        <v>5311.2595141881711</v>
      </c>
      <c r="CP88" s="100">
        <v>2.2379876091300042</v>
      </c>
      <c r="CQ88" s="100">
        <v>2220.9789033006159</v>
      </c>
      <c r="CR88" s="100">
        <v>5.8889890347583709</v>
      </c>
      <c r="CS88" s="100">
        <v>5844.2327180942075</v>
      </c>
      <c r="CT88" s="100">
        <v>2.9155252083738996</v>
      </c>
      <c r="CU88" s="100">
        <v>2893.3672167902578</v>
      </c>
    </row>
    <row r="89" spans="2:99">
      <c r="C89" s="99" t="s">
        <v>255</v>
      </c>
      <c r="D89" s="100">
        <v>7</v>
      </c>
      <c r="E89" s="100">
        <v>7434</v>
      </c>
      <c r="F89" s="100">
        <v>3.636878908995012</v>
      </c>
      <c r="G89" s="100">
        <v>3862.3654013527025</v>
      </c>
      <c r="H89" s="100">
        <v>3.2121189054874115</v>
      </c>
      <c r="I89" s="100">
        <v>3411.270277627631</v>
      </c>
      <c r="J89" s="100">
        <v>6.0925328311218045</v>
      </c>
      <c r="K89" s="100">
        <v>6470.2698666513561</v>
      </c>
      <c r="L89" s="100">
        <v>5.9569183680759563</v>
      </c>
      <c r="M89" s="100">
        <v>6326.2473068966656</v>
      </c>
      <c r="N89" s="100">
        <v>4.7039547824666874</v>
      </c>
      <c r="O89" s="100">
        <v>4995.5999789796224</v>
      </c>
      <c r="P89" s="100">
        <v>2.6364878917107215</v>
      </c>
      <c r="Q89" s="100">
        <v>2799.9501409967861</v>
      </c>
      <c r="R89" s="100">
        <v>6.4793624878040799</v>
      </c>
      <c r="S89" s="100">
        <v>6881.0829620479326</v>
      </c>
      <c r="T89" s="100">
        <v>5.4402225418876071</v>
      </c>
      <c r="U89" s="100">
        <v>5777.5163394846386</v>
      </c>
      <c r="V89" s="100">
        <v>3.8791067608495204</v>
      </c>
      <c r="W89" s="100">
        <v>4119.611380022191</v>
      </c>
      <c r="X89" s="100">
        <v>4.646815906437463</v>
      </c>
      <c r="Y89" s="100">
        <v>4934.9184926365861</v>
      </c>
      <c r="Z89" s="100">
        <v>4.6359942420858626</v>
      </c>
      <c r="AA89" s="100">
        <v>4923.4258850951865</v>
      </c>
      <c r="AB89" s="100">
        <v>4.9179918669930647</v>
      </c>
      <c r="AC89" s="100">
        <v>5222.907362746635</v>
      </c>
      <c r="AD89" s="100">
        <v>5.4614428518923104</v>
      </c>
      <c r="AE89" s="100">
        <v>5800.0523087096335</v>
      </c>
      <c r="AF89" s="100">
        <v>4.8414799733050975</v>
      </c>
      <c r="AG89" s="100">
        <v>5141.651731650014</v>
      </c>
      <c r="AH89" s="100">
        <v>5.2971118087470872</v>
      </c>
      <c r="AI89" s="100">
        <v>5625.5327408894063</v>
      </c>
      <c r="AJ89" s="100">
        <v>6.3458326512332235</v>
      </c>
      <c r="AK89" s="100">
        <v>6739.2742756096832</v>
      </c>
      <c r="AL89" s="100">
        <v>5.0106746531221589</v>
      </c>
      <c r="AM89" s="100">
        <v>5321.3364816157327</v>
      </c>
      <c r="AN89" s="100">
        <v>4.5609506784811256</v>
      </c>
      <c r="AO89" s="100">
        <v>4843.7296205469556</v>
      </c>
      <c r="AP89" s="100">
        <v>4.1255367834627217</v>
      </c>
      <c r="AQ89" s="100">
        <v>4381.3200640374107</v>
      </c>
      <c r="AR89" s="100">
        <v>3.65967639737487</v>
      </c>
      <c r="AS89" s="100">
        <v>3886.5763340121121</v>
      </c>
      <c r="AT89" s="100">
        <v>4.1955054074594686</v>
      </c>
      <c r="AU89" s="100">
        <v>4455.6267427219555</v>
      </c>
      <c r="AV89" s="100">
        <v>4.2399893625042369</v>
      </c>
      <c r="AW89" s="100">
        <v>4502.8687029794992</v>
      </c>
      <c r="AX89" s="100">
        <v>6.2980047435447686</v>
      </c>
      <c r="AY89" s="100">
        <v>6688.4810376445439</v>
      </c>
      <c r="AZ89" s="100">
        <v>3.8964885978490069</v>
      </c>
      <c r="BA89" s="100">
        <v>4138.0708909156456</v>
      </c>
      <c r="BB89" s="100">
        <v>3.6268633164076953</v>
      </c>
      <c r="BC89" s="100">
        <v>3851.7288420249724</v>
      </c>
      <c r="BD89" s="100">
        <v>6.3049912473172487</v>
      </c>
      <c r="BE89" s="100">
        <v>6695.9007046509178</v>
      </c>
      <c r="BF89" s="100">
        <v>4.8972383482598412</v>
      </c>
      <c r="BG89" s="100">
        <v>5200.8671258519516</v>
      </c>
      <c r="BH89" s="100">
        <v>6.9567009247609297</v>
      </c>
      <c r="BI89" s="100">
        <v>7388.016382096107</v>
      </c>
      <c r="BJ89" s="100">
        <v>4.2754795610269625</v>
      </c>
      <c r="BK89" s="100">
        <v>4540.5592938106338</v>
      </c>
      <c r="BL89" s="100">
        <v>5.9459060307331351</v>
      </c>
      <c r="BM89" s="100">
        <v>6314.5522046385895</v>
      </c>
      <c r="BN89" s="100">
        <v>4.3831173923367546</v>
      </c>
      <c r="BO89" s="100">
        <v>4654.8706706616331</v>
      </c>
      <c r="BP89" s="100">
        <v>4.9517614911788703</v>
      </c>
      <c r="BQ89" s="100">
        <v>5258.7707036319607</v>
      </c>
      <c r="BR89" s="100">
        <v>3.1333622449021825</v>
      </c>
      <c r="BS89" s="100">
        <v>3327.6307040861179</v>
      </c>
      <c r="BT89" s="100">
        <v>5.6245401096033634</v>
      </c>
      <c r="BU89" s="100">
        <v>5973.2615963987719</v>
      </c>
      <c r="BV89" s="100">
        <v>5.9949267483460851</v>
      </c>
      <c r="BW89" s="100">
        <v>6366.6122067435426</v>
      </c>
      <c r="BX89" s="100">
        <v>5.9439244179876978</v>
      </c>
      <c r="BY89" s="100">
        <v>6312.4477319029347</v>
      </c>
      <c r="BZ89" s="100">
        <v>3.4862329520673638</v>
      </c>
      <c r="CA89" s="100">
        <v>3702.3793950955405</v>
      </c>
      <c r="CB89" s="100">
        <v>3.8644168254323246</v>
      </c>
      <c r="CC89" s="100">
        <v>4104.0106686091285</v>
      </c>
      <c r="CD89" s="100">
        <v>3.6076840104500958</v>
      </c>
      <c r="CE89" s="100">
        <v>3831.3604190980018</v>
      </c>
      <c r="CF89" s="100">
        <v>5.3088124993406955</v>
      </c>
      <c r="CG89" s="100">
        <v>5637.9588742998185</v>
      </c>
      <c r="CH89" s="100">
        <v>5.8099291711916123</v>
      </c>
      <c r="CI89" s="100">
        <v>6170.1447798054924</v>
      </c>
      <c r="CJ89" s="100">
        <v>5.0883590225319475</v>
      </c>
      <c r="CK89" s="100">
        <v>5403.837281928928</v>
      </c>
      <c r="CL89" s="100">
        <v>4.9148439192940963</v>
      </c>
      <c r="CM89" s="100">
        <v>5219.5642422903302</v>
      </c>
      <c r="CN89" s="100">
        <v>5.3519342142162145</v>
      </c>
      <c r="CO89" s="100">
        <v>5683.7541354976202</v>
      </c>
      <c r="CP89" s="100">
        <v>2.2379876091300042</v>
      </c>
      <c r="CQ89" s="100">
        <v>2376.7428408960645</v>
      </c>
      <c r="CR89" s="100">
        <v>5.396294744155619</v>
      </c>
      <c r="CS89" s="100">
        <v>5730.865018293267</v>
      </c>
      <c r="CT89" s="100">
        <v>2.9155252083738996</v>
      </c>
      <c r="CU89" s="100">
        <v>3096.2877712930813</v>
      </c>
    </row>
    <row r="90" spans="2:99">
      <c r="C90" s="99" t="s">
        <v>256</v>
      </c>
      <c r="D90" s="100">
        <v>6</v>
      </c>
      <c r="E90" s="100">
        <v>6652.7999999999993</v>
      </c>
      <c r="F90" s="100">
        <v>4.546098636243765</v>
      </c>
      <c r="G90" s="100">
        <v>5040.714167867086</v>
      </c>
      <c r="H90" s="100">
        <v>2.7572616736249138</v>
      </c>
      <c r="I90" s="100">
        <v>3057.2517437153042</v>
      </c>
      <c r="J90" s="100">
        <v>6.2502643331889871</v>
      </c>
      <c r="K90" s="100">
        <v>6930.2930926399486</v>
      </c>
      <c r="L90" s="100">
        <v>6.8124814977202375</v>
      </c>
      <c r="M90" s="100">
        <v>7553.6794846721987</v>
      </c>
      <c r="N90" s="100">
        <v>4.7039547824666874</v>
      </c>
      <c r="O90" s="100">
        <v>5215.7450627990629</v>
      </c>
      <c r="P90" s="100">
        <v>2.6364878917107215</v>
      </c>
      <c r="Q90" s="100">
        <v>2923.3377743288479</v>
      </c>
      <c r="R90" s="100">
        <v>6.4793624878040799</v>
      </c>
      <c r="S90" s="100">
        <v>7184.3171264771636</v>
      </c>
      <c r="T90" s="100">
        <v>5.3416241842274799</v>
      </c>
      <c r="U90" s="100">
        <v>5922.7928954714298</v>
      </c>
      <c r="V90" s="100">
        <v>3.8963915322481535</v>
      </c>
      <c r="W90" s="100">
        <v>4320.3189309567524</v>
      </c>
      <c r="X90" s="100">
        <v>4.646815906437463</v>
      </c>
      <c r="Y90" s="100">
        <v>5152.389477057859</v>
      </c>
      <c r="Z90" s="100">
        <v>4.7332071642986477</v>
      </c>
      <c r="AA90" s="100">
        <v>5248.1801037743408</v>
      </c>
      <c r="AB90" s="100">
        <v>5.5919971173214247</v>
      </c>
      <c r="AC90" s="100">
        <v>6200.4064036859954</v>
      </c>
      <c r="AD90" s="100">
        <v>5.4614428518923104</v>
      </c>
      <c r="AE90" s="100">
        <v>6055.6478341781931</v>
      </c>
      <c r="AF90" s="100">
        <v>4.8952076580205892</v>
      </c>
      <c r="AG90" s="100">
        <v>5427.8062512132292</v>
      </c>
      <c r="AH90" s="100">
        <v>4.7099208355014799</v>
      </c>
      <c r="AI90" s="100">
        <v>5222.3602224040405</v>
      </c>
      <c r="AJ90" s="100">
        <v>6.2241545561528344</v>
      </c>
      <c r="AK90" s="100">
        <v>6901.342571862263</v>
      </c>
      <c r="AL90" s="100">
        <v>5.0106746531221589</v>
      </c>
      <c r="AM90" s="100">
        <v>5555.8360553818493</v>
      </c>
      <c r="AN90" s="100">
        <v>4.5647484931354798</v>
      </c>
      <c r="AO90" s="100">
        <v>5061.3931291886202</v>
      </c>
      <c r="AP90" s="100">
        <v>3.6204883765239164</v>
      </c>
      <c r="AQ90" s="100">
        <v>4014.3975118897183</v>
      </c>
      <c r="AR90" s="100">
        <v>3.65967639737487</v>
      </c>
      <c r="AS90" s="100">
        <v>4057.8491894092558</v>
      </c>
      <c r="AT90" s="100">
        <v>4.2863824892386644</v>
      </c>
      <c r="AU90" s="100">
        <v>4752.7409040678313</v>
      </c>
      <c r="AV90" s="100">
        <v>4.8019992615081222</v>
      </c>
      <c r="AW90" s="100">
        <v>5324.4567811602055</v>
      </c>
      <c r="AX90" s="100">
        <v>5.6914615957090975</v>
      </c>
      <c r="AY90" s="100">
        <v>6310.6926173222473</v>
      </c>
      <c r="AZ90" s="100">
        <v>3.8964885978490069</v>
      </c>
      <c r="BA90" s="100">
        <v>4320.4265572949789</v>
      </c>
      <c r="BB90" s="100">
        <v>3.1469012961215435</v>
      </c>
      <c r="BC90" s="100">
        <v>3489.284157139567</v>
      </c>
      <c r="BD90" s="100">
        <v>6.4433359001986128</v>
      </c>
      <c r="BE90" s="100">
        <v>7144.3708461402211</v>
      </c>
      <c r="BF90" s="100">
        <v>4.7975972586260403</v>
      </c>
      <c r="BG90" s="100">
        <v>5319.5758403645532</v>
      </c>
      <c r="BH90" s="100">
        <v>7.742903644801574</v>
      </c>
      <c r="BI90" s="100">
        <v>8585.3315613559844</v>
      </c>
      <c r="BJ90" s="100">
        <v>4.2754795610269625</v>
      </c>
      <c r="BK90" s="100">
        <v>4740.6517372666958</v>
      </c>
      <c r="BL90" s="100">
        <v>5.8173138517972554</v>
      </c>
      <c r="BM90" s="100">
        <v>6450.2375988727963</v>
      </c>
      <c r="BN90" s="100">
        <v>4.3831173923367546</v>
      </c>
      <c r="BO90" s="100">
        <v>4860.0005646229929</v>
      </c>
      <c r="BP90" s="100">
        <v>4.9423701379935681</v>
      </c>
      <c r="BQ90" s="100">
        <v>5480.1000090072685</v>
      </c>
      <c r="BR90" s="100">
        <v>3.8534179626895604</v>
      </c>
      <c r="BS90" s="100">
        <v>4272.6698370301847</v>
      </c>
      <c r="BT90" s="100">
        <v>6.4436696169443159</v>
      </c>
      <c r="BU90" s="100">
        <v>7144.7408712678571</v>
      </c>
      <c r="BV90" s="100">
        <v>5.9949267483460851</v>
      </c>
      <c r="BW90" s="100">
        <v>6647.1747785661391</v>
      </c>
      <c r="BX90" s="100">
        <v>5.3092180052646318</v>
      </c>
      <c r="BY90" s="100">
        <v>5886.8609242374232</v>
      </c>
      <c r="BZ90" s="100">
        <v>3.4862329520673638</v>
      </c>
      <c r="CA90" s="100">
        <v>3865.5350972522929</v>
      </c>
      <c r="CB90" s="100">
        <v>3.8679930442560804</v>
      </c>
      <c r="CC90" s="100">
        <v>4288.8306874711416</v>
      </c>
      <c r="CD90" s="100">
        <v>3.7028359852981674</v>
      </c>
      <c r="CE90" s="100">
        <v>4105.7045404986075</v>
      </c>
      <c r="CF90" s="100">
        <v>5.2201342851767052</v>
      </c>
      <c r="CG90" s="100">
        <v>5788.0848954039302</v>
      </c>
      <c r="CH90" s="100">
        <v>5.1164936251767879</v>
      </c>
      <c r="CI90" s="100">
        <v>5673.1681315960222</v>
      </c>
      <c r="CJ90" s="100">
        <v>5.1831274752578143</v>
      </c>
      <c r="CK90" s="100">
        <v>5747.0517445658643</v>
      </c>
      <c r="CL90" s="100">
        <v>4.4121325961239428</v>
      </c>
      <c r="CM90" s="100">
        <v>4892.1726225822276</v>
      </c>
      <c r="CN90" s="100">
        <v>5.2395483576718949</v>
      </c>
      <c r="CO90" s="100">
        <v>5809.6112189865971</v>
      </c>
      <c r="CP90" s="100">
        <v>2.2547332920634302</v>
      </c>
      <c r="CQ90" s="100">
        <v>2500.0482742399313</v>
      </c>
      <c r="CR90" s="100">
        <v>5.8889890347583709</v>
      </c>
      <c r="CS90" s="100">
        <v>6529.7110417400818</v>
      </c>
      <c r="CT90" s="100">
        <v>2.9155252083738996</v>
      </c>
      <c r="CU90" s="100">
        <v>3232.7343510449796</v>
      </c>
    </row>
    <row r="91" spans="2:99">
      <c r="C91" s="99" t="s">
        <v>257</v>
      </c>
      <c r="D91" s="100">
        <v>7</v>
      </c>
      <c r="E91" s="100">
        <v>7954.7999999999993</v>
      </c>
      <c r="F91" s="100">
        <v>3.636878908995012</v>
      </c>
      <c r="G91" s="100">
        <v>4132.9491921819308</v>
      </c>
      <c r="H91" s="100">
        <v>2.7572616736249138</v>
      </c>
      <c r="I91" s="100">
        <v>3133.3521659073517</v>
      </c>
      <c r="J91" s="100">
        <v>6.2502643331889871</v>
      </c>
      <c r="K91" s="100">
        <v>7102.8003882359644</v>
      </c>
      <c r="L91" s="100">
        <v>6.8124814977202375</v>
      </c>
      <c r="M91" s="100">
        <v>7741.7039740092769</v>
      </c>
      <c r="N91" s="100">
        <v>5.3205521147266399</v>
      </c>
      <c r="O91" s="100">
        <v>6046.2754231753524</v>
      </c>
      <c r="P91" s="100">
        <v>2.6125176192523325</v>
      </c>
      <c r="Q91" s="100">
        <v>2968.8650225183501</v>
      </c>
      <c r="R91" s="100">
        <v>6.4793624878040799</v>
      </c>
      <c r="S91" s="100">
        <v>7363.1475311405557</v>
      </c>
      <c r="T91" s="100">
        <v>5.3416241842274799</v>
      </c>
      <c r="U91" s="100">
        <v>6070.2217229561074</v>
      </c>
      <c r="V91" s="100">
        <v>3.3669259541248415</v>
      </c>
      <c r="W91" s="100">
        <v>3826.1746542674696</v>
      </c>
      <c r="X91" s="100">
        <v>4.7491151394630373</v>
      </c>
      <c r="Y91" s="100">
        <v>5396.8944444857952</v>
      </c>
      <c r="Z91" s="100">
        <v>4.6359942420858626</v>
      </c>
      <c r="AA91" s="100">
        <v>5268.343856706374</v>
      </c>
      <c r="AB91" s="100">
        <v>5.5958481240596356</v>
      </c>
      <c r="AC91" s="100">
        <v>6359.1218081813695</v>
      </c>
      <c r="AD91" s="100">
        <v>4.6621486127680489</v>
      </c>
      <c r="AE91" s="100">
        <v>5298.0656835496102</v>
      </c>
      <c r="AF91" s="100">
        <v>4.8892379152744239</v>
      </c>
      <c r="AG91" s="100">
        <v>5556.1299669178543</v>
      </c>
      <c r="AH91" s="100">
        <v>5.2971118087470872</v>
      </c>
      <c r="AI91" s="100">
        <v>6019.6378594601892</v>
      </c>
      <c r="AJ91" s="100">
        <v>6.91153346690791</v>
      </c>
      <c r="AK91" s="100">
        <v>7854.2666317941485</v>
      </c>
      <c r="AL91" s="100">
        <v>5.0106746531221589</v>
      </c>
      <c r="AM91" s="100">
        <v>5694.1306758080209</v>
      </c>
      <c r="AN91" s="100">
        <v>3.8768524722746176</v>
      </c>
      <c r="AO91" s="100">
        <v>4405.6551494928754</v>
      </c>
      <c r="AP91" s="100">
        <v>4.7089147300190959</v>
      </c>
      <c r="AQ91" s="100">
        <v>5351.2106991936998</v>
      </c>
      <c r="AR91" s="100">
        <v>3.7800569881541879</v>
      </c>
      <c r="AS91" s="100">
        <v>4295.6567613384186</v>
      </c>
      <c r="AT91" s="100">
        <v>4.2484668147618789</v>
      </c>
      <c r="AU91" s="100">
        <v>4827.9576882953988</v>
      </c>
      <c r="AV91" s="100">
        <v>4.8975152955065866</v>
      </c>
      <c r="AW91" s="100">
        <v>5565.5363818136848</v>
      </c>
      <c r="AX91" s="100">
        <v>5.5882001985048557</v>
      </c>
      <c r="AY91" s="100">
        <v>6350.4307055809177</v>
      </c>
      <c r="AZ91" s="100">
        <v>3.8964885978490069</v>
      </c>
      <c r="BA91" s="100">
        <v>4427.9696425956108</v>
      </c>
      <c r="BB91" s="100">
        <v>3.6268633164076953</v>
      </c>
      <c r="BC91" s="100">
        <v>4121.5674727657042</v>
      </c>
      <c r="BD91" s="100">
        <v>7.0844514033144161</v>
      </c>
      <c r="BE91" s="100">
        <v>8050.7705747265018</v>
      </c>
      <c r="BF91" s="100">
        <v>5.3985932487807586</v>
      </c>
      <c r="BG91" s="100">
        <v>6134.9613679144531</v>
      </c>
      <c r="BH91" s="100">
        <v>7.742903644801574</v>
      </c>
      <c r="BI91" s="100">
        <v>8799.0357019525072</v>
      </c>
      <c r="BJ91" s="100">
        <v>4.2754795610269625</v>
      </c>
      <c r="BK91" s="100">
        <v>4858.6549731510395</v>
      </c>
      <c r="BL91" s="100">
        <v>6.7034696215979546</v>
      </c>
      <c r="BM91" s="100">
        <v>7617.8228779839146</v>
      </c>
      <c r="BN91" s="100">
        <v>5.5283021353817912</v>
      </c>
      <c r="BO91" s="100">
        <v>6282.362546647867</v>
      </c>
      <c r="BP91" s="100">
        <v>4.9517614911788703</v>
      </c>
      <c r="BQ91" s="100">
        <v>5627.1817585756671</v>
      </c>
      <c r="BR91" s="100">
        <v>3.1103495745610306</v>
      </c>
      <c r="BS91" s="100">
        <v>3534.6012565311548</v>
      </c>
      <c r="BT91" s="100">
        <v>5.6245401096033634</v>
      </c>
      <c r="BU91" s="100">
        <v>6391.7273805532614</v>
      </c>
      <c r="BV91" s="100">
        <v>5.9949267483460851</v>
      </c>
      <c r="BW91" s="100">
        <v>6812.6347568204901</v>
      </c>
      <c r="BX91" s="100">
        <v>6.06839554331264</v>
      </c>
      <c r="BY91" s="100">
        <v>6896.1246954204835</v>
      </c>
      <c r="BZ91" s="100">
        <v>3.5873901994664568</v>
      </c>
      <c r="CA91" s="100">
        <v>4076.7102226736811</v>
      </c>
      <c r="CB91" s="100">
        <v>3.8644168254323246</v>
      </c>
      <c r="CC91" s="100">
        <v>4391.5232804212928</v>
      </c>
      <c r="CD91" s="100">
        <v>3.7028359852981674</v>
      </c>
      <c r="CE91" s="100">
        <v>4207.9028136928373</v>
      </c>
      <c r="CF91" s="100">
        <v>5.2201342851767052</v>
      </c>
      <c r="CG91" s="100">
        <v>5932.1606016748074</v>
      </c>
      <c r="CH91" s="100">
        <v>5.9367974135157819</v>
      </c>
      <c r="CI91" s="100">
        <v>6746.5765807193338</v>
      </c>
      <c r="CJ91" s="100">
        <v>4.6258277794458555</v>
      </c>
      <c r="CK91" s="100">
        <v>5256.7906885622697</v>
      </c>
      <c r="CL91" s="100">
        <v>4.4121325961239428</v>
      </c>
      <c r="CM91" s="100">
        <v>5013.9474822352477</v>
      </c>
      <c r="CN91" s="100">
        <v>5.2395483576718949</v>
      </c>
      <c r="CO91" s="100">
        <v>5954.2227536583405</v>
      </c>
      <c r="CP91" s="100">
        <v>2.2379876091300042</v>
      </c>
      <c r="CQ91" s="100">
        <v>2543.2491190153364</v>
      </c>
      <c r="CR91" s="100">
        <v>5.7980677585500215</v>
      </c>
      <c r="CS91" s="100">
        <v>6588.9242008162437</v>
      </c>
      <c r="CT91" s="100">
        <v>2.9155252083738996</v>
      </c>
      <c r="CU91" s="100">
        <v>3313.202846796099</v>
      </c>
    </row>
    <row r="92" spans="2:99">
      <c r="C92" s="99" t="s">
        <v>258</v>
      </c>
      <c r="D92" s="100">
        <v>7</v>
      </c>
      <c r="E92" s="100">
        <v>5493.5999999999995</v>
      </c>
      <c r="F92" s="100">
        <v>4.546098636243765</v>
      </c>
      <c r="G92" s="100">
        <v>3567.7782097241065</v>
      </c>
      <c r="H92" s="100">
        <v>3.2121189054874115</v>
      </c>
      <c r="I92" s="100">
        <v>2520.8709170265206</v>
      </c>
      <c r="J92" s="100">
        <v>6.2502643331889871</v>
      </c>
      <c r="K92" s="100">
        <v>4905.2074486867168</v>
      </c>
      <c r="L92" s="100">
        <v>5.1333787778656825</v>
      </c>
      <c r="M92" s="100">
        <v>4028.6756648689875</v>
      </c>
      <c r="N92" s="100">
        <v>5.3205521147266399</v>
      </c>
      <c r="O92" s="100">
        <v>4175.5692996374664</v>
      </c>
      <c r="P92" s="100">
        <v>2.6364878917107215</v>
      </c>
      <c r="Q92" s="100">
        <v>2069.1156974145742</v>
      </c>
      <c r="R92" s="100">
        <v>6.6200444744566029</v>
      </c>
      <c r="S92" s="100">
        <v>5195.4109035535421</v>
      </c>
      <c r="T92" s="100">
        <v>5.3416241842274799</v>
      </c>
      <c r="U92" s="100">
        <v>4192.1066597817262</v>
      </c>
      <c r="V92" s="100">
        <v>3.3669259541248415</v>
      </c>
      <c r="W92" s="100">
        <v>2642.3634887971753</v>
      </c>
      <c r="X92" s="100">
        <v>5.3189859911514654</v>
      </c>
      <c r="Y92" s="100">
        <v>4174.3402058556694</v>
      </c>
      <c r="Z92" s="100">
        <v>4.7360828045132104</v>
      </c>
      <c r="AA92" s="100">
        <v>3716.8777849819671</v>
      </c>
      <c r="AB92" s="100">
        <v>5.5958481240596356</v>
      </c>
      <c r="AC92" s="100">
        <v>4391.621607762002</v>
      </c>
      <c r="AD92" s="100">
        <v>5.4614428518923104</v>
      </c>
      <c r="AE92" s="100">
        <v>4286.1403501650848</v>
      </c>
      <c r="AF92" s="100">
        <v>4.7592030144324493</v>
      </c>
      <c r="AG92" s="100">
        <v>3735.0225257265861</v>
      </c>
      <c r="AH92" s="100">
        <v>4.8166407466188472</v>
      </c>
      <c r="AI92" s="100">
        <v>3780.0996579464709</v>
      </c>
      <c r="AJ92" s="100">
        <v>6.91153346690791</v>
      </c>
      <c r="AK92" s="100">
        <v>5424.1714648293273</v>
      </c>
      <c r="AL92" s="100">
        <v>5.0122908438649612</v>
      </c>
      <c r="AM92" s="100">
        <v>3933.6458542652213</v>
      </c>
      <c r="AN92" s="100">
        <v>4.5609506784811256</v>
      </c>
      <c r="AO92" s="100">
        <v>3579.4340924719872</v>
      </c>
      <c r="AP92" s="100">
        <v>4.7089147300190959</v>
      </c>
      <c r="AQ92" s="100">
        <v>3695.5562801189863</v>
      </c>
      <c r="AR92" s="100">
        <v>3.7800569881541879</v>
      </c>
      <c r="AS92" s="100">
        <v>2966.5887243034067</v>
      </c>
      <c r="AT92" s="100">
        <v>4.1955054074594686</v>
      </c>
      <c r="AU92" s="100">
        <v>3292.6326437741909</v>
      </c>
      <c r="AV92" s="100">
        <v>4.8975152955065866</v>
      </c>
      <c r="AW92" s="100">
        <v>3843.5700039135691</v>
      </c>
      <c r="AX92" s="100">
        <v>7.0078092885846832</v>
      </c>
      <c r="AY92" s="100">
        <v>5499.7287296812592</v>
      </c>
      <c r="AZ92" s="100">
        <v>3.8964885978490069</v>
      </c>
      <c r="BA92" s="100">
        <v>3057.9642515919004</v>
      </c>
      <c r="BB92" s="100">
        <v>3.6582902781023581</v>
      </c>
      <c r="BC92" s="100">
        <v>2871.0262102547304</v>
      </c>
      <c r="BD92" s="100">
        <v>7.222796056195782</v>
      </c>
      <c r="BE92" s="100">
        <v>5668.4503449024496</v>
      </c>
      <c r="BF92" s="100">
        <v>5.3985932487807586</v>
      </c>
      <c r="BG92" s="100">
        <v>4236.8159816431389</v>
      </c>
      <c r="BH92" s="100">
        <v>6.9567009247609297</v>
      </c>
      <c r="BI92" s="100">
        <v>5459.6188857523775</v>
      </c>
      <c r="BJ92" s="100">
        <v>4.2754795610269625</v>
      </c>
      <c r="BK92" s="100">
        <v>3355.3963594939601</v>
      </c>
      <c r="BL92" s="100">
        <v>5.9459060307331351</v>
      </c>
      <c r="BM92" s="100">
        <v>4666.3470529193637</v>
      </c>
      <c r="BN92" s="100">
        <v>4.9307117110806642</v>
      </c>
      <c r="BO92" s="100">
        <v>3869.6225508561051</v>
      </c>
      <c r="BP92" s="100">
        <v>5.68336750199225</v>
      </c>
      <c r="BQ92" s="100">
        <v>4460.3068155635174</v>
      </c>
      <c r="BR92" s="100">
        <v>3.8764306330307123</v>
      </c>
      <c r="BS92" s="100">
        <v>3042.2227608025028</v>
      </c>
      <c r="BT92" s="100">
        <v>5.7664927227148937</v>
      </c>
      <c r="BU92" s="100">
        <v>4525.5434887866486</v>
      </c>
      <c r="BV92" s="100">
        <v>5.9949267483460851</v>
      </c>
      <c r="BW92" s="100">
        <v>4704.8185121020069</v>
      </c>
      <c r="BX92" s="100">
        <v>5.305554992751162</v>
      </c>
      <c r="BY92" s="100">
        <v>4163.7995583111115</v>
      </c>
      <c r="BZ92" s="100">
        <v>4.1617088554081851</v>
      </c>
      <c r="CA92" s="100">
        <v>3266.1091097243434</v>
      </c>
      <c r="CB92" s="100">
        <v>3.9572066725682804</v>
      </c>
      <c r="CC92" s="100">
        <v>3105.6157966315864</v>
      </c>
      <c r="CD92" s="100">
        <v>3.6988396436759734</v>
      </c>
      <c r="CE92" s="100">
        <v>2902.8493523569036</v>
      </c>
      <c r="CF92" s="100">
        <v>5.3088124993406955</v>
      </c>
      <c r="CG92" s="100">
        <v>4166.3560494825779</v>
      </c>
      <c r="CH92" s="100">
        <v>5.1226575027057564</v>
      </c>
      <c r="CI92" s="100">
        <v>4020.2616081234773</v>
      </c>
      <c r="CJ92" s="100">
        <v>4.525216399131315</v>
      </c>
      <c r="CK92" s="100">
        <v>3551.3898300382557</v>
      </c>
      <c r="CL92" s="100">
        <v>4.9190963076199496</v>
      </c>
      <c r="CM92" s="100">
        <v>3860.5067822201363</v>
      </c>
      <c r="CN92" s="100">
        <v>5.2395483576718949</v>
      </c>
      <c r="CO92" s="100">
        <v>4111.9975511009025</v>
      </c>
      <c r="CP92" s="100">
        <v>2.2547332920634302</v>
      </c>
      <c r="CQ92" s="100">
        <v>1769.5146876113799</v>
      </c>
      <c r="CR92" s="100">
        <v>5.3053734679472679</v>
      </c>
      <c r="CS92" s="100">
        <v>4163.6570976450157</v>
      </c>
      <c r="CT92" s="100">
        <v>2.9155252083738996</v>
      </c>
      <c r="CU92" s="100">
        <v>2288.1041835318365</v>
      </c>
    </row>
    <row r="93" spans="2:99">
      <c r="C93" s="99" t="s">
        <v>259</v>
      </c>
      <c r="D93" s="100">
        <v>6</v>
      </c>
      <c r="E93" s="100">
        <v>4161.6000000000004</v>
      </c>
      <c r="F93" s="100">
        <v>4.546098636243765</v>
      </c>
      <c r="G93" s="100">
        <v>3153.1740140986753</v>
      </c>
      <c r="H93" s="100">
        <v>3.2121189054874115</v>
      </c>
      <c r="I93" s="100">
        <v>2227.9256728460687</v>
      </c>
      <c r="J93" s="100">
        <v>6.2502643331889871</v>
      </c>
      <c r="K93" s="100">
        <v>4335.1833414998819</v>
      </c>
      <c r="L93" s="100">
        <v>5.9889419075099628</v>
      </c>
      <c r="M93" s="100">
        <v>4153.93010704891</v>
      </c>
      <c r="N93" s="100">
        <v>5.3205521147266399</v>
      </c>
      <c r="O93" s="100">
        <v>3690.3349467743974</v>
      </c>
      <c r="P93" s="100">
        <v>2.6364878917107215</v>
      </c>
      <c r="Q93" s="100">
        <v>1828.6680016905566</v>
      </c>
      <c r="R93" s="100">
        <v>7.2844011403596447</v>
      </c>
      <c r="S93" s="100">
        <v>5052.4606309534502</v>
      </c>
      <c r="T93" s="100">
        <v>6.1661626431586409</v>
      </c>
      <c r="U93" s="100">
        <v>4276.8504092948333</v>
      </c>
      <c r="V93" s="100">
        <v>3.8791067608495204</v>
      </c>
      <c r="W93" s="100">
        <v>2690.5484493252275</v>
      </c>
      <c r="X93" s="100">
        <v>5.4212852241770397</v>
      </c>
      <c r="Y93" s="100">
        <v>3760.2034314891948</v>
      </c>
      <c r="Z93" s="100">
        <v>4.6388698823004262</v>
      </c>
      <c r="AA93" s="100">
        <v>3217.5201503635758</v>
      </c>
      <c r="AB93" s="100">
        <v>4.9141408602548537</v>
      </c>
      <c r="AC93" s="100">
        <v>3408.4481006727665</v>
      </c>
      <c r="AD93" s="100">
        <v>5.4614428518923104</v>
      </c>
      <c r="AE93" s="100">
        <v>3788.0567620725064</v>
      </c>
      <c r="AF93" s="100">
        <v>4.8952076580205892</v>
      </c>
      <c r="AG93" s="100">
        <v>3395.3160316030808</v>
      </c>
      <c r="AH93" s="100">
        <v>5.3970424792107918</v>
      </c>
      <c r="AI93" s="100">
        <v>3743.3886635806052</v>
      </c>
      <c r="AJ93" s="100">
        <v>6.2241545561528344</v>
      </c>
      <c r="AK93" s="100">
        <v>4317.0736001476062</v>
      </c>
      <c r="AL93" s="100">
        <v>5.0106746531221589</v>
      </c>
      <c r="AM93" s="100">
        <v>3475.4039394055294</v>
      </c>
      <c r="AN93" s="100">
        <v>3.8768524722746176</v>
      </c>
      <c r="AO93" s="100">
        <v>2688.9848747696747</v>
      </c>
      <c r="AP93" s="100">
        <v>4.7089147300190959</v>
      </c>
      <c r="AQ93" s="100">
        <v>3266.1032567412449</v>
      </c>
      <c r="AR93" s="100">
        <v>3.6552315376306459</v>
      </c>
      <c r="AS93" s="100">
        <v>2535.268594500616</v>
      </c>
      <c r="AT93" s="100">
        <v>4.2484668147618789</v>
      </c>
      <c r="AU93" s="100">
        <v>2946.7365827188391</v>
      </c>
      <c r="AV93" s="100">
        <v>4.8975152955065866</v>
      </c>
      <c r="AW93" s="100">
        <v>3396.9166089633686</v>
      </c>
      <c r="AX93" s="100">
        <v>6.4012661407490121</v>
      </c>
      <c r="AY93" s="100">
        <v>4439.9181952235149</v>
      </c>
      <c r="AZ93" s="100">
        <v>3.8964885978490069</v>
      </c>
      <c r="BA93" s="100">
        <v>2702.6044914680715</v>
      </c>
      <c r="BB93" s="100">
        <v>3.6425767972550265</v>
      </c>
      <c r="BC93" s="100">
        <v>2526.4912665760867</v>
      </c>
      <c r="BD93" s="100">
        <v>7.222796056195782</v>
      </c>
      <c r="BE93" s="100">
        <v>5009.7313445773943</v>
      </c>
      <c r="BF93" s="100">
        <v>4.7986288600917266</v>
      </c>
      <c r="BG93" s="100">
        <v>3328.3289773596216</v>
      </c>
      <c r="BH93" s="100">
        <v>7.742903644801574</v>
      </c>
      <c r="BI93" s="100">
        <v>5370.4779680343718</v>
      </c>
      <c r="BJ93" s="100">
        <v>4.9612657846901049</v>
      </c>
      <c r="BK93" s="100">
        <v>3441.133948261057</v>
      </c>
      <c r="BL93" s="100">
        <v>6.7034696215979546</v>
      </c>
      <c r="BM93" s="100">
        <v>4649.5265295403415</v>
      </c>
      <c r="BN93" s="100">
        <v>5.5782982409390076</v>
      </c>
      <c r="BO93" s="100">
        <v>3869.1076599152957</v>
      </c>
      <c r="BP93" s="100">
        <v>4.9517614911788703</v>
      </c>
      <c r="BQ93" s="100">
        <v>3434.5417702816644</v>
      </c>
      <c r="BR93" s="100">
        <v>3.1333622449021825</v>
      </c>
      <c r="BS93" s="100">
        <v>2173.3000530641539</v>
      </c>
      <c r="BT93" s="100">
        <v>5.7664927227148937</v>
      </c>
      <c r="BU93" s="100">
        <v>3999.6393524750506</v>
      </c>
      <c r="BV93" s="100">
        <v>5.3300079966502061</v>
      </c>
      <c r="BW93" s="100">
        <v>3696.8935464765832</v>
      </c>
      <c r="BX93" s="100">
        <v>6.06839554331264</v>
      </c>
      <c r="BY93" s="100">
        <v>4209.0391488416471</v>
      </c>
      <c r="BZ93" s="100">
        <v>4.1578607614261038</v>
      </c>
      <c r="CA93" s="100">
        <v>2883.8922241251457</v>
      </c>
      <c r="CB93" s="100">
        <v>4.3558176821200192</v>
      </c>
      <c r="CC93" s="100">
        <v>3021.1951443184453</v>
      </c>
      <c r="CD93" s="100">
        <v>3.7028359852981674</v>
      </c>
      <c r="CE93" s="100">
        <v>2568.2870394028091</v>
      </c>
      <c r="CF93" s="100">
        <v>5.8383569985989583</v>
      </c>
      <c r="CG93" s="100">
        <v>4049.4844142282377</v>
      </c>
      <c r="CH93" s="100">
        <v>5.8037652936626438</v>
      </c>
      <c r="CI93" s="100">
        <v>4025.4916076844097</v>
      </c>
      <c r="CJ93" s="100">
        <v>4.6229063156515187</v>
      </c>
      <c r="CK93" s="100">
        <v>3206.4478205358932</v>
      </c>
      <c r="CL93" s="100">
        <v>4.9190963076199496</v>
      </c>
      <c r="CM93" s="100">
        <v>3411.8851989651971</v>
      </c>
      <c r="CN93" s="100">
        <v>5.2395483576718949</v>
      </c>
      <c r="CO93" s="100">
        <v>3634.1507408812263</v>
      </c>
      <c r="CP93" s="100">
        <v>2.2547332920634302</v>
      </c>
      <c r="CQ93" s="100">
        <v>1563.8830113751953</v>
      </c>
      <c r="CR93" s="100">
        <v>5.7980677585500215</v>
      </c>
      <c r="CS93" s="100">
        <v>4021.5397973302952</v>
      </c>
      <c r="CT93" s="100">
        <v>3.4014460764362164</v>
      </c>
      <c r="CU93" s="100">
        <v>2359.2429986161596</v>
      </c>
    </row>
    <row r="94" spans="2:99">
      <c r="C94" s="99" t="s">
        <v>260</v>
      </c>
      <c r="D94" s="100">
        <v>6</v>
      </c>
      <c r="E94" s="100">
        <v>7156.7999999999993</v>
      </c>
      <c r="F94" s="100">
        <v>4.546098636243765</v>
      </c>
      <c r="G94" s="100">
        <v>5422.5864533115628</v>
      </c>
      <c r="H94" s="100">
        <v>2.7572616736249138</v>
      </c>
      <c r="I94" s="100">
        <v>3288.8617242997971</v>
      </c>
      <c r="J94" s="100">
        <v>7.1605321369978325</v>
      </c>
      <c r="K94" s="100">
        <v>8541.0827330110151</v>
      </c>
      <c r="L94" s="100">
        <v>5.1333787778656825</v>
      </c>
      <c r="M94" s="100">
        <v>6123.0942062381855</v>
      </c>
      <c r="N94" s="100">
        <v>5.3205521147266399</v>
      </c>
      <c r="O94" s="100">
        <v>6346.3545624459357</v>
      </c>
      <c r="P94" s="100">
        <v>2.6364878917107215</v>
      </c>
      <c r="Q94" s="100">
        <v>3144.8027572325486</v>
      </c>
      <c r="R94" s="100">
        <v>6.6200444744566029</v>
      </c>
      <c r="S94" s="100">
        <v>7896.3890491318352</v>
      </c>
      <c r="T94" s="100">
        <v>5.4402225418876071</v>
      </c>
      <c r="U94" s="100">
        <v>6489.0974479635379</v>
      </c>
      <c r="V94" s="100">
        <v>3.3669259541248415</v>
      </c>
      <c r="W94" s="100">
        <v>4016.069278080111</v>
      </c>
      <c r="X94" s="100">
        <v>5.3189859911514654</v>
      </c>
      <c r="Y94" s="100">
        <v>6344.4864902454674</v>
      </c>
      <c r="Z94" s="100">
        <v>4.7332071642986477</v>
      </c>
      <c r="AA94" s="100">
        <v>5645.7695055754266</v>
      </c>
      <c r="AB94" s="100">
        <v>5.4753977939000329</v>
      </c>
      <c r="AC94" s="100">
        <v>6531.0544885639592</v>
      </c>
      <c r="AD94" s="100">
        <v>5.3889156544495123</v>
      </c>
      <c r="AE94" s="100">
        <v>6427.8985926273781</v>
      </c>
      <c r="AF94" s="100">
        <v>4.753233271686284</v>
      </c>
      <c r="AG94" s="100">
        <v>5669.6566464673997</v>
      </c>
      <c r="AH94" s="100">
        <v>5.2971118087470872</v>
      </c>
      <c r="AI94" s="100">
        <v>6318.3949654735252</v>
      </c>
      <c r="AJ94" s="100">
        <v>6.2241545561528344</v>
      </c>
      <c r="AK94" s="100">
        <v>7424.1715545791003</v>
      </c>
      <c r="AL94" s="100">
        <v>5.0090584623793575</v>
      </c>
      <c r="AM94" s="100">
        <v>5974.804933926097</v>
      </c>
      <c r="AN94" s="100">
        <v>4.5609506784811256</v>
      </c>
      <c r="AO94" s="100">
        <v>5440.3019692922862</v>
      </c>
      <c r="AP94" s="100">
        <v>4.6088283116892281</v>
      </c>
      <c r="AQ94" s="100">
        <v>5497.4104101829107</v>
      </c>
      <c r="AR94" s="100">
        <v>3.65967639737487</v>
      </c>
      <c r="AS94" s="100">
        <v>4365.2620067887447</v>
      </c>
      <c r="AT94" s="100">
        <v>4.2948081946779499</v>
      </c>
      <c r="AU94" s="100">
        <v>5122.8472146118584</v>
      </c>
      <c r="AV94" s="100">
        <v>4.8019992615081222</v>
      </c>
      <c r="AW94" s="100">
        <v>5727.8247191268883</v>
      </c>
      <c r="AX94" s="100">
        <v>6.2980047435447686</v>
      </c>
      <c r="AY94" s="100">
        <v>7512.2600581001998</v>
      </c>
      <c r="AZ94" s="100">
        <v>3.8964885978490069</v>
      </c>
      <c r="BA94" s="100">
        <v>4647.7315995142953</v>
      </c>
      <c r="BB94" s="100">
        <v>3.1311878152742123</v>
      </c>
      <c r="BC94" s="100">
        <v>3734.8808260590804</v>
      </c>
      <c r="BD94" s="100">
        <v>6.4433359001986128</v>
      </c>
      <c r="BE94" s="100">
        <v>7685.6110617569047</v>
      </c>
      <c r="BF94" s="100">
        <v>4.1000549832345792</v>
      </c>
      <c r="BG94" s="100">
        <v>4890.5455840022059</v>
      </c>
      <c r="BH94" s="100">
        <v>6.9567009247609297</v>
      </c>
      <c r="BI94" s="100">
        <v>8297.9528630548375</v>
      </c>
      <c r="BJ94" s="100">
        <v>4.2754795610269625</v>
      </c>
      <c r="BK94" s="100">
        <v>5099.7920203929607</v>
      </c>
      <c r="BL94" s="100">
        <v>5.9459060307331351</v>
      </c>
      <c r="BM94" s="100">
        <v>7092.2767134584828</v>
      </c>
      <c r="BN94" s="100">
        <v>4.3331212867795381</v>
      </c>
      <c r="BO94" s="100">
        <v>5168.5470708706325</v>
      </c>
      <c r="BP94" s="100">
        <v>5.0318061068436126</v>
      </c>
      <c r="BQ94" s="100">
        <v>6001.9383242430613</v>
      </c>
      <c r="BR94" s="100">
        <v>3.1333622449021825</v>
      </c>
      <c r="BS94" s="100">
        <v>3737.4744857193232</v>
      </c>
      <c r="BT94" s="100">
        <v>6.4436696169443159</v>
      </c>
      <c r="BU94" s="100">
        <v>7686.0091190911799</v>
      </c>
      <c r="BV94" s="100">
        <v>5.3300079966502061</v>
      </c>
      <c r="BW94" s="100">
        <v>6357.6335384043659</v>
      </c>
      <c r="BX94" s="100">
        <v>6.0647325307991702</v>
      </c>
      <c r="BY94" s="100">
        <v>7234.0129627372498</v>
      </c>
      <c r="BZ94" s="100">
        <v>4.1617088554081851</v>
      </c>
      <c r="CA94" s="100">
        <v>4964.0863227308828</v>
      </c>
      <c r="CB94" s="100">
        <v>3.8679930442560804</v>
      </c>
      <c r="CC94" s="100">
        <v>4613.7421031886524</v>
      </c>
      <c r="CD94" s="100">
        <v>3.7068323269203622</v>
      </c>
      <c r="CE94" s="100">
        <v>4421.5095995506081</v>
      </c>
      <c r="CF94" s="100">
        <v>4.7864964807706949</v>
      </c>
      <c r="CG94" s="100">
        <v>5709.3330022632845</v>
      </c>
      <c r="CH94" s="100">
        <v>5.1103297476478193</v>
      </c>
      <c r="CI94" s="100">
        <v>6095.6013229943183</v>
      </c>
      <c r="CJ94" s="100">
        <v>4.5281378629256519</v>
      </c>
      <c r="CK94" s="100">
        <v>5401.1628428977174</v>
      </c>
      <c r="CL94" s="100">
        <v>4.9148439192940963</v>
      </c>
      <c r="CM94" s="100">
        <v>5862.425826933998</v>
      </c>
      <c r="CN94" s="100">
        <v>5.3519342142162145</v>
      </c>
      <c r="CO94" s="100">
        <v>6383.7871307171008</v>
      </c>
      <c r="CP94" s="100">
        <v>1.8104849068241147</v>
      </c>
      <c r="CQ94" s="100">
        <v>2159.5463968598037</v>
      </c>
      <c r="CR94" s="100">
        <v>5.2144521917389195</v>
      </c>
      <c r="CS94" s="100">
        <v>6219.7985743061827</v>
      </c>
      <c r="CT94" s="100">
        <v>2.9155252083738996</v>
      </c>
      <c r="CU94" s="100">
        <v>3477.6384685483872</v>
      </c>
    </row>
    <row r="95" spans="2:99">
      <c r="B95" s="99" t="s">
        <v>132</v>
      </c>
      <c r="C95" s="99" t="s">
        <v>261</v>
      </c>
      <c r="D95" s="100">
        <v>11</v>
      </c>
      <c r="E95" s="100">
        <v>3616.8</v>
      </c>
      <c r="F95" s="100">
        <v>10.910636726985036</v>
      </c>
      <c r="G95" s="100">
        <v>3587.4173558326797</v>
      </c>
      <c r="H95" s="100">
        <v>4.6263308686850255</v>
      </c>
      <c r="I95" s="100">
        <v>1521.1375896236364</v>
      </c>
      <c r="J95" s="100">
        <v>12.027334160176427</v>
      </c>
      <c r="K95" s="100">
        <v>3954.5874718660093</v>
      </c>
      <c r="L95" s="100">
        <v>5.9889419075099628</v>
      </c>
      <c r="M95" s="100">
        <v>1969.1640991892759</v>
      </c>
      <c r="N95" s="100">
        <v>7.038463600055314</v>
      </c>
      <c r="O95" s="100">
        <v>2314.2468316981872</v>
      </c>
      <c r="P95" s="100">
        <v>6.174161196372042</v>
      </c>
      <c r="Q95" s="100">
        <v>2030.0642013671275</v>
      </c>
      <c r="R95" s="100">
        <v>9.6995170980263392</v>
      </c>
      <c r="S95" s="100">
        <v>3189.2012218310606</v>
      </c>
      <c r="T95" s="100">
        <v>6.7577527891194062</v>
      </c>
      <c r="U95" s="100">
        <v>2221.949117062461</v>
      </c>
      <c r="V95" s="100">
        <v>3.8791067608495204</v>
      </c>
      <c r="W95" s="100">
        <v>1275.4503029673224</v>
      </c>
      <c r="X95" s="100">
        <v>9.1913325798493517</v>
      </c>
      <c r="Y95" s="100">
        <v>3022.1101522544668</v>
      </c>
      <c r="Z95" s="100">
        <v>7.6741232812369038</v>
      </c>
      <c r="AA95" s="100">
        <v>2523.2517348706942</v>
      </c>
      <c r="AB95" s="100">
        <v>6.9554116449309884</v>
      </c>
      <c r="AC95" s="100">
        <v>2286.9393488533092</v>
      </c>
      <c r="AD95" s="100">
        <v>6.9760665597899587</v>
      </c>
      <c r="AE95" s="100">
        <v>2293.7306848589387</v>
      </c>
      <c r="AF95" s="100">
        <v>7.464392796912982</v>
      </c>
      <c r="AG95" s="100">
        <v>2454.2923516249884</v>
      </c>
      <c r="AH95" s="100">
        <v>6.6747497164925429</v>
      </c>
      <c r="AI95" s="100">
        <v>2194.6577067827484</v>
      </c>
      <c r="AJ95" s="100">
        <v>6.9196060240443744</v>
      </c>
      <c r="AK95" s="100">
        <v>2275.1664607057905</v>
      </c>
      <c r="AL95" s="100">
        <v>7.7251150616353979</v>
      </c>
      <c r="AM95" s="100">
        <v>2540.0178322657189</v>
      </c>
      <c r="AN95" s="100">
        <v>6.8966502508897243</v>
      </c>
      <c r="AO95" s="100">
        <v>2267.6186024925414</v>
      </c>
      <c r="AP95" s="100">
        <v>7.8012267053154245</v>
      </c>
      <c r="AQ95" s="100">
        <v>2565.0433407077116</v>
      </c>
      <c r="AR95" s="100">
        <v>8.1083612216786989</v>
      </c>
      <c r="AS95" s="100">
        <v>2666.0291696879563</v>
      </c>
      <c r="AT95" s="100">
        <v>7.3619704630748677</v>
      </c>
      <c r="AU95" s="100">
        <v>2420.6158882590166</v>
      </c>
      <c r="AV95" s="100">
        <v>7.0068836535619603</v>
      </c>
      <c r="AW95" s="100">
        <v>2303.8633452911727</v>
      </c>
      <c r="AX95" s="100">
        <v>6.2980047435447686</v>
      </c>
      <c r="AY95" s="100">
        <v>2070.7839596775198</v>
      </c>
      <c r="AZ95" s="100">
        <v>8.6164415849240097</v>
      </c>
      <c r="BA95" s="100">
        <v>2833.0859931230143</v>
      </c>
      <c r="BB95" s="100">
        <v>5.0824628581134839</v>
      </c>
      <c r="BC95" s="100">
        <v>1671.1137877477136</v>
      </c>
      <c r="BD95" s="100">
        <v>5.469424377173441</v>
      </c>
      <c r="BE95" s="100">
        <v>1798.3467352146274</v>
      </c>
      <c r="BF95" s="100">
        <v>8.5884129583023423</v>
      </c>
      <c r="BG95" s="100">
        <v>2823.8701806898102</v>
      </c>
      <c r="BH95" s="100">
        <v>9.9823882493186424</v>
      </c>
      <c r="BI95" s="100">
        <v>3282.2092563759697</v>
      </c>
      <c r="BJ95" s="100">
        <v>4.114717341978853</v>
      </c>
      <c r="BK95" s="100">
        <v>1352.9190620426468</v>
      </c>
      <c r="BL95" s="100">
        <v>10.505277058672513</v>
      </c>
      <c r="BM95" s="100">
        <v>3454.1350968915226</v>
      </c>
      <c r="BN95" s="100">
        <v>8.2186404659295977</v>
      </c>
      <c r="BO95" s="100">
        <v>2702.288985197652</v>
      </c>
      <c r="BP95" s="100">
        <v>7.6004862746969559</v>
      </c>
      <c r="BQ95" s="100">
        <v>2499.0398871203593</v>
      </c>
      <c r="BR95" s="100">
        <v>5.4776307609935309</v>
      </c>
      <c r="BS95" s="100">
        <v>1801.0449942146729</v>
      </c>
      <c r="BT95" s="100">
        <v>10.287998098754246</v>
      </c>
      <c r="BU95" s="100">
        <v>3382.6937748703963</v>
      </c>
      <c r="BV95" s="100">
        <v>6.8528674242645513</v>
      </c>
      <c r="BW95" s="100">
        <v>2253.2228090981844</v>
      </c>
      <c r="BX95" s="100">
        <v>6.159899556016355</v>
      </c>
      <c r="BY95" s="100">
        <v>2025.3749740181777</v>
      </c>
      <c r="BZ95" s="100">
        <v>7.958376464905788</v>
      </c>
      <c r="CA95" s="100">
        <v>2616.7141816610233</v>
      </c>
      <c r="CB95" s="100">
        <v>7.1446429470409978</v>
      </c>
      <c r="CC95" s="100">
        <v>2349.1586009870803</v>
      </c>
      <c r="CD95" s="100">
        <v>7.6227610468990381</v>
      </c>
      <c r="CE95" s="100">
        <v>2506.3638322204038</v>
      </c>
      <c r="CF95" s="100">
        <v>6.0265561479593304</v>
      </c>
      <c r="CG95" s="100">
        <v>1981.531661449028</v>
      </c>
      <c r="CH95" s="100">
        <v>4.9772976277946803</v>
      </c>
      <c r="CI95" s="100">
        <v>1636.5354600188909</v>
      </c>
      <c r="CJ95" s="100">
        <v>7.7972429969977846</v>
      </c>
      <c r="CK95" s="100">
        <v>2563.7334974128717</v>
      </c>
      <c r="CL95" s="100">
        <v>5.2213576596324618</v>
      </c>
      <c r="CM95" s="100">
        <v>1716.7823984871534</v>
      </c>
      <c r="CN95" s="100">
        <v>9.4737078492893581</v>
      </c>
      <c r="CO95" s="100">
        <v>3114.9551408463412</v>
      </c>
      <c r="CP95" s="100">
        <v>5.6915005934439709</v>
      </c>
      <c r="CQ95" s="100">
        <v>1871.3653951243778</v>
      </c>
      <c r="CR95" s="100">
        <v>8.0248414074343497</v>
      </c>
      <c r="CS95" s="100">
        <v>2638.5678547644143</v>
      </c>
      <c r="CT95" s="100">
        <v>4.3732878125608492</v>
      </c>
      <c r="CU95" s="100">
        <v>1437.9370327700074</v>
      </c>
    </row>
    <row r="96" spans="2:99">
      <c r="C96" s="99" t="s">
        <v>262</v>
      </c>
      <c r="D96" s="100">
        <v>12</v>
      </c>
      <c r="E96" s="100">
        <v>8337.5999999999985</v>
      </c>
      <c r="F96" s="100">
        <v>9.09219727248753</v>
      </c>
      <c r="G96" s="100">
        <v>6317.2586649243358</v>
      </c>
      <c r="H96" s="100">
        <v>4.093715086762483</v>
      </c>
      <c r="I96" s="100">
        <v>2844.3132422825729</v>
      </c>
      <c r="J96" s="100">
        <v>10.206798552558736</v>
      </c>
      <c r="K96" s="100">
        <v>7091.6836343178093</v>
      </c>
      <c r="L96" s="100">
        <v>5.9889419075099628</v>
      </c>
      <c r="M96" s="100">
        <v>4161.1168373379223</v>
      </c>
      <c r="N96" s="100">
        <v>7.1354069642170677</v>
      </c>
      <c r="O96" s="100">
        <v>4957.6807587380181</v>
      </c>
      <c r="P96" s="100">
        <v>5.6756279449799649</v>
      </c>
      <c r="Q96" s="100">
        <v>3943.4262961720792</v>
      </c>
      <c r="R96" s="100">
        <v>8.2301217795677317</v>
      </c>
      <c r="S96" s="100">
        <v>5718.28861244366</v>
      </c>
      <c r="T96" s="100">
        <v>7.5822912480505682</v>
      </c>
      <c r="U96" s="100">
        <v>5268.1759591455348</v>
      </c>
      <c r="V96" s="100">
        <v>3.8791067608495204</v>
      </c>
      <c r="W96" s="100">
        <v>2695.2033774382467</v>
      </c>
      <c r="X96" s="100">
        <v>8.4168632621097732</v>
      </c>
      <c r="Y96" s="100">
        <v>5848.0365945138701</v>
      </c>
      <c r="Z96" s="100">
        <v>7.5740347188095569</v>
      </c>
      <c r="AA96" s="100">
        <v>5262.4393226288794</v>
      </c>
      <c r="AB96" s="100">
        <v>7.5128175718379575</v>
      </c>
      <c r="AC96" s="100">
        <v>5219.9056489130126</v>
      </c>
      <c r="AD96" s="100">
        <v>6.9760665597899587</v>
      </c>
      <c r="AE96" s="100">
        <v>4846.9710457420633</v>
      </c>
      <c r="AF96" s="100">
        <v>7.3927558839589924</v>
      </c>
      <c r="AG96" s="100">
        <v>5136.4867881747077</v>
      </c>
      <c r="AH96" s="100">
        <v>7.1586153989476138</v>
      </c>
      <c r="AI96" s="100">
        <v>4973.8059791888018</v>
      </c>
      <c r="AJ96" s="100">
        <v>5.9938162234986336</v>
      </c>
      <c r="AK96" s="100">
        <v>4164.5035120868506</v>
      </c>
      <c r="AL96" s="100">
        <v>7.7251150616353979</v>
      </c>
      <c r="AM96" s="100">
        <v>5367.4099448242741</v>
      </c>
      <c r="AN96" s="100">
        <v>7.6263222329484783</v>
      </c>
      <c r="AO96" s="100">
        <v>5298.7686874526025</v>
      </c>
      <c r="AP96" s="100">
        <v>7.9013131236452931</v>
      </c>
      <c r="AQ96" s="100">
        <v>5489.8323583087495</v>
      </c>
      <c r="AR96" s="100">
        <v>7.3817915130563518</v>
      </c>
      <c r="AS96" s="100">
        <v>5128.8687432715533</v>
      </c>
      <c r="AT96" s="100">
        <v>7.2668805285760287</v>
      </c>
      <c r="AU96" s="100">
        <v>5049.0285912546242</v>
      </c>
      <c r="AV96" s="100">
        <v>7.5688935525658465</v>
      </c>
      <c r="AW96" s="100">
        <v>5258.8672403227501</v>
      </c>
      <c r="AX96" s="100">
        <v>6.2980047435447686</v>
      </c>
      <c r="AY96" s="100">
        <v>4375.8536958149052</v>
      </c>
      <c r="AZ96" s="100">
        <v>7.8677493088820762</v>
      </c>
      <c r="BA96" s="100">
        <v>5466.5122198112658</v>
      </c>
      <c r="BB96" s="100">
        <v>5.0824628581134839</v>
      </c>
      <c r="BC96" s="100">
        <v>3531.2951938172482</v>
      </c>
      <c r="BD96" s="100">
        <v>5.469424377173441</v>
      </c>
      <c r="BE96" s="100">
        <v>3800.1560572601065</v>
      </c>
      <c r="BF96" s="100">
        <v>7.3884841809242774</v>
      </c>
      <c r="BG96" s="100">
        <v>5133.5188089061876</v>
      </c>
      <c r="BH96" s="100">
        <v>9.196185529277999</v>
      </c>
      <c r="BI96" s="100">
        <v>6389.5097057423536</v>
      </c>
      <c r="BJ96" s="100">
        <v>4.114717341978853</v>
      </c>
      <c r="BK96" s="100">
        <v>2858.9056092069068</v>
      </c>
      <c r="BL96" s="100">
        <v>11.005656291665572</v>
      </c>
      <c r="BM96" s="100">
        <v>7646.7299914492387</v>
      </c>
      <c r="BN96" s="100">
        <v>8.2186404659295977</v>
      </c>
      <c r="BO96" s="100">
        <v>5710.3113957278838</v>
      </c>
      <c r="BP96" s="100">
        <v>7.0477522015836636</v>
      </c>
      <c r="BQ96" s="100">
        <v>4896.7782296603291</v>
      </c>
      <c r="BR96" s="100">
        <v>5.4776307609935309</v>
      </c>
      <c r="BS96" s="100">
        <v>3805.8578527383052</v>
      </c>
      <c r="BT96" s="100">
        <v>11.107127606095196</v>
      </c>
      <c r="BU96" s="100">
        <v>7717.2322607149417</v>
      </c>
      <c r="BV96" s="100">
        <v>6.2844596346799673</v>
      </c>
      <c r="BW96" s="100">
        <v>4366.4425541756409</v>
      </c>
      <c r="BX96" s="100">
        <v>6.2807076688278274</v>
      </c>
      <c r="BY96" s="100">
        <v>4363.835688301574</v>
      </c>
      <c r="BZ96" s="100">
        <v>7.3879059029461409</v>
      </c>
      <c r="CA96" s="100">
        <v>5133.1170213669784</v>
      </c>
      <c r="CB96" s="100">
        <v>7.148219165864754</v>
      </c>
      <c r="CC96" s="100">
        <v>4966.5826764428311</v>
      </c>
      <c r="CD96" s="100">
        <v>7.5276090720509661</v>
      </c>
      <c r="CE96" s="100">
        <v>5230.1827832610106</v>
      </c>
      <c r="CF96" s="100">
        <v>5.4083334345370773</v>
      </c>
      <c r="CG96" s="100">
        <v>3757.710070316361</v>
      </c>
      <c r="CH96" s="100">
        <v>5.6768970513384733</v>
      </c>
      <c r="CI96" s="100">
        <v>3944.3080712699712</v>
      </c>
      <c r="CJ96" s="100">
        <v>7.6995530804775809</v>
      </c>
      <c r="CK96" s="100">
        <v>5349.649480315823</v>
      </c>
      <c r="CL96" s="100">
        <v>5.2456382131238266</v>
      </c>
      <c r="CM96" s="100">
        <v>3644.6694304784346</v>
      </c>
      <c r="CN96" s="100">
        <v>9.4737078492893581</v>
      </c>
      <c r="CO96" s="100">
        <v>6582.3322136862453</v>
      </c>
      <c r="CP96" s="100">
        <v>5.6915005934439709</v>
      </c>
      <c r="CQ96" s="100">
        <v>3954.4546123248706</v>
      </c>
      <c r="CR96" s="100">
        <v>7.419905273213975</v>
      </c>
      <c r="CS96" s="100">
        <v>5155.3501838290695</v>
      </c>
      <c r="CT96" s="100">
        <v>4.3732878125608492</v>
      </c>
      <c r="CU96" s="100">
        <v>3038.5603721672778</v>
      </c>
    </row>
    <row r="97" spans="2:99">
      <c r="C97" s="99" t="s">
        <v>263</v>
      </c>
      <c r="D97" s="100">
        <v>10</v>
      </c>
      <c r="E97" s="100">
        <v>3924</v>
      </c>
      <c r="F97" s="100">
        <v>10.001416999736284</v>
      </c>
      <c r="G97" s="100">
        <v>3924.5560306965176</v>
      </c>
      <c r="H97" s="100">
        <v>4.6263308686850255</v>
      </c>
      <c r="I97" s="100">
        <v>1815.3722328720039</v>
      </c>
      <c r="J97" s="100">
        <v>11.117066356367582</v>
      </c>
      <c r="K97" s="100">
        <v>4362.3368382386388</v>
      </c>
      <c r="L97" s="100">
        <v>5.9569183680759563</v>
      </c>
      <c r="M97" s="100">
        <v>2337.4947676330053</v>
      </c>
      <c r="N97" s="100">
        <v>7.038463600055314</v>
      </c>
      <c r="O97" s="100">
        <v>2761.8931166617049</v>
      </c>
      <c r="P97" s="100">
        <v>6.174161196372042</v>
      </c>
      <c r="Q97" s="100">
        <v>2422.7408534563892</v>
      </c>
      <c r="R97" s="100">
        <v>9.8401990846788614</v>
      </c>
      <c r="S97" s="100">
        <v>3861.2941208279849</v>
      </c>
      <c r="T97" s="100">
        <v>7.5822912480505682</v>
      </c>
      <c r="U97" s="100">
        <v>2975.291085735043</v>
      </c>
      <c r="V97" s="100">
        <v>3.8618219894508865</v>
      </c>
      <c r="W97" s="100">
        <v>1515.3789486605278</v>
      </c>
      <c r="X97" s="100">
        <v>9.761203431537778</v>
      </c>
      <c r="Y97" s="100">
        <v>3830.296226535424</v>
      </c>
      <c r="Z97" s="100">
        <v>6.9867818030550906</v>
      </c>
      <c r="AA97" s="100">
        <v>2741.6131795188176</v>
      </c>
      <c r="AB97" s="100">
        <v>6.8388123215095975</v>
      </c>
      <c r="AC97" s="100">
        <v>2683.549954960366</v>
      </c>
      <c r="AD97" s="100">
        <v>6.9035393623471606</v>
      </c>
      <c r="AE97" s="100">
        <v>2708.9488457850257</v>
      </c>
      <c r="AF97" s="100">
        <v>7.5287605275471332</v>
      </c>
      <c r="AG97" s="100">
        <v>2954.2856310094949</v>
      </c>
      <c r="AH97" s="100">
        <v>6.5714244257020074</v>
      </c>
      <c r="AI97" s="100">
        <v>2578.6269446454676</v>
      </c>
      <c r="AJ97" s="100">
        <v>6.2371724136594118</v>
      </c>
      <c r="AK97" s="100">
        <v>2447.466455119953</v>
      </c>
      <c r="AL97" s="100">
        <v>6.9661684097369649</v>
      </c>
      <c r="AM97" s="100">
        <v>2733.5244839807847</v>
      </c>
      <c r="AN97" s="100">
        <v>7.0392242211078964</v>
      </c>
      <c r="AO97" s="100">
        <v>2762.1915843627385</v>
      </c>
      <c r="AP97" s="100">
        <v>7.9013131236452931</v>
      </c>
      <c r="AQ97" s="100">
        <v>3100.4752697184131</v>
      </c>
      <c r="AR97" s="100">
        <v>8.2287418124580185</v>
      </c>
      <c r="AS97" s="100">
        <v>3228.9582872085261</v>
      </c>
      <c r="AT97" s="100">
        <v>7.3619704630748677</v>
      </c>
      <c r="AU97" s="100">
        <v>2888.837209710578</v>
      </c>
      <c r="AV97" s="100">
        <v>8.0392618110675969</v>
      </c>
      <c r="AW97" s="100">
        <v>3154.6063346629248</v>
      </c>
      <c r="AX97" s="100">
        <v>6.2980047435447686</v>
      </c>
      <c r="AY97" s="100">
        <v>2471.3370613669672</v>
      </c>
      <c r="AZ97" s="100">
        <v>7.9912588417510877</v>
      </c>
      <c r="BA97" s="100">
        <v>3135.7699695031265</v>
      </c>
      <c r="BB97" s="100">
        <v>5.5938518400942971</v>
      </c>
      <c r="BC97" s="100">
        <v>2195.0274620530022</v>
      </c>
      <c r="BD97" s="100">
        <v>5.6077690300548078</v>
      </c>
      <c r="BE97" s="100">
        <v>2200.4885673935064</v>
      </c>
      <c r="BF97" s="100">
        <v>7.2898746927561628</v>
      </c>
      <c r="BG97" s="100">
        <v>2860.5468294375182</v>
      </c>
      <c r="BH97" s="100">
        <v>9.0627696963908431</v>
      </c>
      <c r="BI97" s="100">
        <v>3556.2308288637664</v>
      </c>
      <c r="BJ97" s="100">
        <v>4.8005035656419945</v>
      </c>
      <c r="BK97" s="100">
        <v>1883.7175991579186</v>
      </c>
      <c r="BL97" s="100">
        <v>11.134248470601451</v>
      </c>
      <c r="BM97" s="100">
        <v>4369.0790998640086</v>
      </c>
      <c r="BN97" s="100">
        <v>8.2186404659295977</v>
      </c>
      <c r="BO97" s="100">
        <v>3224.9945188307738</v>
      </c>
      <c r="BP97" s="100">
        <v>7.6899222435469987</v>
      </c>
      <c r="BQ97" s="100">
        <v>3017.5254883678422</v>
      </c>
      <c r="BR97" s="100">
        <v>5.4776307609935309</v>
      </c>
      <c r="BS97" s="100">
        <v>2149.4223106138616</v>
      </c>
      <c r="BT97" s="100">
        <v>11.107127606095196</v>
      </c>
      <c r="BU97" s="100">
        <v>4358.4368726317543</v>
      </c>
      <c r="BV97" s="100">
        <v>6.8528674242645513</v>
      </c>
      <c r="BW97" s="100">
        <v>2689.0651772814099</v>
      </c>
      <c r="BX97" s="100">
        <v>5.4007220179683477</v>
      </c>
      <c r="BY97" s="100">
        <v>2119.2433198507797</v>
      </c>
      <c r="BZ97" s="100">
        <v>8.05953371230488</v>
      </c>
      <c r="CA97" s="100">
        <v>3162.5610287084346</v>
      </c>
      <c r="CB97" s="100">
        <v>7.55040639424025</v>
      </c>
      <c r="CC97" s="100">
        <v>2962.7794690998739</v>
      </c>
      <c r="CD97" s="100">
        <v>7.0842489714523715</v>
      </c>
      <c r="CE97" s="100">
        <v>2779.8592963979104</v>
      </c>
      <c r="CF97" s="100">
        <v>5.9499993716111979</v>
      </c>
      <c r="CG97" s="100">
        <v>2334.7797534202341</v>
      </c>
      <c r="CH97" s="100">
        <v>5.6768970513384733</v>
      </c>
      <c r="CI97" s="100">
        <v>2227.6144029452166</v>
      </c>
      <c r="CJ97" s="100">
        <v>7.3347117539116917</v>
      </c>
      <c r="CK97" s="100">
        <v>2878.1408922349478</v>
      </c>
      <c r="CL97" s="100">
        <v>5.2213576596324618</v>
      </c>
      <c r="CM97" s="100">
        <v>2048.8607456397781</v>
      </c>
      <c r="CN97" s="100">
        <v>10.029553289166509</v>
      </c>
      <c r="CO97" s="100">
        <v>3935.5967106689382</v>
      </c>
      <c r="CP97" s="100">
        <v>5.2639978911380814</v>
      </c>
      <c r="CQ97" s="100">
        <v>2065.5927724825829</v>
      </c>
      <c r="CR97" s="100">
        <v>8.0035208400250788</v>
      </c>
      <c r="CS97" s="100">
        <v>3140.581577625841</v>
      </c>
      <c r="CT97" s="100">
        <v>3.8873669444985328</v>
      </c>
      <c r="CU97" s="100">
        <v>1525.4027890212242</v>
      </c>
    </row>
    <row r="98" spans="2:99">
      <c r="C98" s="99" t="s">
        <v>264</v>
      </c>
      <c r="D98" s="100">
        <v>11</v>
      </c>
      <c r="E98" s="100">
        <v>5781.6</v>
      </c>
      <c r="F98" s="100">
        <v>10.001416999736284</v>
      </c>
      <c r="G98" s="100">
        <v>5256.744775061391</v>
      </c>
      <c r="H98" s="100">
        <v>4.5485723186249816</v>
      </c>
      <c r="I98" s="100">
        <v>2390.7296106692902</v>
      </c>
      <c r="J98" s="100">
        <v>11.117066356367582</v>
      </c>
      <c r="K98" s="100">
        <v>5843.1300769068012</v>
      </c>
      <c r="L98" s="100">
        <v>5.9889419075099628</v>
      </c>
      <c r="M98" s="100">
        <v>3147.7878665872367</v>
      </c>
      <c r="N98" s="100">
        <v>8.2716582645752208</v>
      </c>
      <c r="O98" s="100">
        <v>4347.5835838607363</v>
      </c>
      <c r="P98" s="100">
        <v>5.6995982174383535</v>
      </c>
      <c r="Q98" s="100">
        <v>2995.7088230855989</v>
      </c>
      <c r="R98" s="100">
        <v>9.6995170980263392</v>
      </c>
      <c r="S98" s="100">
        <v>5098.0661867226445</v>
      </c>
      <c r="T98" s="100">
        <v>7.5822912480505682</v>
      </c>
      <c r="U98" s="100">
        <v>3985.2522799753788</v>
      </c>
      <c r="V98" s="100">
        <v>3.8618219894508865</v>
      </c>
      <c r="W98" s="100">
        <v>2029.773637655386</v>
      </c>
      <c r="X98" s="100">
        <v>9.0890333468237774</v>
      </c>
      <c r="Y98" s="100">
        <v>4777.1959270905772</v>
      </c>
      <c r="Z98" s="100">
        <v>6.9609010411240257</v>
      </c>
      <c r="AA98" s="100">
        <v>3658.649587214788</v>
      </c>
      <c r="AB98" s="100">
        <v>7.0681599616141684</v>
      </c>
      <c r="AC98" s="100">
        <v>3715.024875824407</v>
      </c>
      <c r="AD98" s="100">
        <v>7.702833601471422</v>
      </c>
      <c r="AE98" s="100">
        <v>4048.6093409333798</v>
      </c>
      <c r="AF98" s="100">
        <v>7.5287605275471332</v>
      </c>
      <c r="AG98" s="100">
        <v>3957.1165332787732</v>
      </c>
      <c r="AH98" s="100">
        <v>7.7390171315395584</v>
      </c>
      <c r="AI98" s="100">
        <v>4067.6274043371923</v>
      </c>
      <c r="AJ98" s="100">
        <v>6.6762498338835963</v>
      </c>
      <c r="AK98" s="100">
        <v>3509.0369126892183</v>
      </c>
      <c r="AL98" s="100">
        <v>7.7251150616353979</v>
      </c>
      <c r="AM98" s="100">
        <v>4060.3204763955655</v>
      </c>
      <c r="AN98" s="100">
        <v>6.942224026741969</v>
      </c>
      <c r="AO98" s="100">
        <v>3648.8329484555793</v>
      </c>
      <c r="AP98" s="100">
        <v>7.2178487587590512</v>
      </c>
      <c r="AQ98" s="100">
        <v>3793.7013076037574</v>
      </c>
      <c r="AR98" s="100">
        <v>7.3817915130563518</v>
      </c>
      <c r="AS98" s="100">
        <v>3879.8696192624188</v>
      </c>
      <c r="AT98" s="100">
        <v>8.1165738915284056</v>
      </c>
      <c r="AU98" s="100">
        <v>4266.0712373873303</v>
      </c>
      <c r="AV98" s="100">
        <v>8.2225450920718686</v>
      </c>
      <c r="AW98" s="100">
        <v>4321.7697003929743</v>
      </c>
      <c r="AX98" s="100">
        <v>6.2980047435447686</v>
      </c>
      <c r="AY98" s="100">
        <v>3310.2312932071304</v>
      </c>
      <c r="AZ98" s="100">
        <v>8.7248452850628748</v>
      </c>
      <c r="BA98" s="100">
        <v>4585.7786818290469</v>
      </c>
      <c r="BB98" s="100">
        <v>5.0824628581134839</v>
      </c>
      <c r="BC98" s="100">
        <v>2671.3424782244474</v>
      </c>
      <c r="BD98" s="100">
        <v>6.3809951067023496</v>
      </c>
      <c r="BE98" s="100">
        <v>3353.851028082755</v>
      </c>
      <c r="BF98" s="100">
        <v>7.9884485696133094</v>
      </c>
      <c r="BG98" s="100">
        <v>4198.7285681887552</v>
      </c>
      <c r="BH98" s="100">
        <v>9.9823882493186424</v>
      </c>
      <c r="BI98" s="100">
        <v>5246.7432638418786</v>
      </c>
      <c r="BJ98" s="100">
        <v>4.8005035656419945</v>
      </c>
      <c r="BK98" s="100">
        <v>2523.1446741014324</v>
      </c>
      <c r="BL98" s="100">
        <v>9.6191212888718116</v>
      </c>
      <c r="BM98" s="100">
        <v>5055.810149431024</v>
      </c>
      <c r="BN98" s="100">
        <v>7.5710539360712543</v>
      </c>
      <c r="BO98" s="100">
        <v>3979.3459487990513</v>
      </c>
      <c r="BP98" s="100">
        <v>6.4055821596203275</v>
      </c>
      <c r="BQ98" s="100">
        <v>3366.7739830964442</v>
      </c>
      <c r="BR98" s="100">
        <v>5.5006434313346837</v>
      </c>
      <c r="BS98" s="100">
        <v>2891.1381875095099</v>
      </c>
      <c r="BT98" s="100">
        <v>10.146045485642714</v>
      </c>
      <c r="BU98" s="100">
        <v>5332.761507253811</v>
      </c>
      <c r="BV98" s="100">
        <v>7.5177861759604303</v>
      </c>
      <c r="BW98" s="100">
        <v>3951.3484140848022</v>
      </c>
      <c r="BX98" s="100">
        <v>5.4007220179683477</v>
      </c>
      <c r="BY98" s="100">
        <v>2838.6194926441635</v>
      </c>
      <c r="BZ98" s="100">
        <v>8.5288470268654351</v>
      </c>
      <c r="CA98" s="100">
        <v>4482.7619973204728</v>
      </c>
      <c r="CB98" s="100">
        <v>6.5676046808648607</v>
      </c>
      <c r="CC98" s="100">
        <v>3451.9330202625711</v>
      </c>
      <c r="CD98" s="100">
        <v>7.0842489714523715</v>
      </c>
      <c r="CE98" s="100">
        <v>3723.4812593953666</v>
      </c>
      <c r="CF98" s="100">
        <v>5.99764222520629</v>
      </c>
      <c r="CG98" s="100">
        <v>3152.3607535684259</v>
      </c>
      <c r="CH98" s="100">
        <v>4.9711337502657127</v>
      </c>
      <c r="CI98" s="100">
        <v>2612.8278991396587</v>
      </c>
      <c r="CJ98" s="100">
        <v>7.237021837391489</v>
      </c>
      <c r="CK98" s="100">
        <v>3803.7786777329666</v>
      </c>
      <c r="CL98" s="100">
        <v>5.2456382131238266</v>
      </c>
      <c r="CM98" s="100">
        <v>2757.1074448178833</v>
      </c>
      <c r="CN98" s="100">
        <v>9.3613219927450384</v>
      </c>
      <c r="CO98" s="100">
        <v>4920.3108393867924</v>
      </c>
      <c r="CP98" s="100">
        <v>6.1190032957498612</v>
      </c>
      <c r="CQ98" s="100">
        <v>3216.1481322461273</v>
      </c>
      <c r="CR98" s="100">
        <v>7.9339201312259977</v>
      </c>
      <c r="CS98" s="100">
        <v>4170.068420972385</v>
      </c>
      <c r="CT98" s="100">
        <v>4.3732878125608492</v>
      </c>
      <c r="CU98" s="100">
        <v>2298.6000742819824</v>
      </c>
    </row>
    <row r="99" spans="2:99">
      <c r="C99" s="99" t="s">
        <v>265</v>
      </c>
      <c r="D99" s="100">
        <v>8</v>
      </c>
      <c r="E99" s="100">
        <v>33667.199999999997</v>
      </c>
      <c r="F99" s="100">
        <v>7.273757817990024</v>
      </c>
      <c r="G99" s="100">
        <v>30610.882401229213</v>
      </c>
      <c r="H99" s="100">
        <v>3.6388578548999853</v>
      </c>
      <c r="I99" s="100">
        <v>15313.769396561096</v>
      </c>
      <c r="J99" s="100">
        <v>8.2285314428738605</v>
      </c>
      <c r="K99" s="100">
        <v>34628.951724190352</v>
      </c>
      <c r="L99" s="100">
        <v>4.2778156482214023</v>
      </c>
      <c r="M99" s="100">
        <v>18002.759373974946</v>
      </c>
      <c r="N99" s="100">
        <v>5.7083255713736536</v>
      </c>
      <c r="O99" s="100">
        <v>24022.917334568883</v>
      </c>
      <c r="P99" s="100">
        <v>3.9882660111366199</v>
      </c>
      <c r="Q99" s="100">
        <v>16784.21868126735</v>
      </c>
      <c r="R99" s="100">
        <v>6.3386805011515595</v>
      </c>
      <c r="S99" s="100">
        <v>26675.703021046222</v>
      </c>
      <c r="T99" s="100">
        <v>5.7360176148679898</v>
      </c>
      <c r="U99" s="100">
        <v>24139.456530410447</v>
      </c>
      <c r="V99" s="100">
        <v>3.315071639928941</v>
      </c>
      <c r="W99" s="100">
        <v>13951.147489476954</v>
      </c>
      <c r="X99" s="100">
        <v>6.1957545419166173</v>
      </c>
      <c r="Y99" s="100">
        <v>26074.213414201891</v>
      </c>
      <c r="Z99" s="100">
        <v>4.7303315240840842</v>
      </c>
      <c r="AA99" s="100">
        <v>19907.127185955458</v>
      </c>
      <c r="AB99" s="100">
        <v>4.7936905300952519</v>
      </c>
      <c r="AC99" s="100">
        <v>20173.767226852855</v>
      </c>
      <c r="AD99" s="100">
        <v>5.4500052789842339</v>
      </c>
      <c r="AE99" s="100">
        <v>22935.802216077249</v>
      </c>
      <c r="AF99" s="100">
        <v>5.7825750392484885</v>
      </c>
      <c r="AG99" s="100">
        <v>24335.388795173338</v>
      </c>
      <c r="AH99" s="100">
        <v>4.616779405691438</v>
      </c>
      <c r="AI99" s="100">
        <v>19429.254450911845</v>
      </c>
      <c r="AJ99" s="100">
        <v>4.3855928125679284</v>
      </c>
      <c r="AK99" s="100">
        <v>18456.32879241087</v>
      </c>
      <c r="AL99" s="100">
        <v>5.3364507066214113</v>
      </c>
      <c r="AM99" s="100">
        <v>22457.919153745544</v>
      </c>
      <c r="AN99" s="100">
        <v>5.4542405320369038</v>
      </c>
      <c r="AO99" s="100">
        <v>22953.625855024104</v>
      </c>
      <c r="AP99" s="100">
        <v>5.3676285007600626</v>
      </c>
      <c r="AQ99" s="100">
        <v>22589.127782598647</v>
      </c>
      <c r="AR99" s="100">
        <v>6.6552218044340048</v>
      </c>
      <c r="AS99" s="100">
        <v>28007.835441780062</v>
      </c>
      <c r="AT99" s="100">
        <v>5.0030702432154168</v>
      </c>
      <c r="AU99" s="100">
        <v>21054.92081154776</v>
      </c>
      <c r="AV99" s="100">
        <v>5.1375706755460318</v>
      </c>
      <c r="AW99" s="100">
        <v>21620.952430967918</v>
      </c>
      <c r="AX99" s="100">
        <v>4.7751342562606984</v>
      </c>
      <c r="AY99" s="100">
        <v>20095.67500404752</v>
      </c>
      <c r="AZ99" s="100">
        <v>5.0491228564155479</v>
      </c>
      <c r="BA99" s="100">
        <v>21248.728628939189</v>
      </c>
      <c r="BB99" s="100">
        <v>3.5797228738657023</v>
      </c>
      <c r="BC99" s="100">
        <v>15064.905742376421</v>
      </c>
      <c r="BD99" s="100">
        <v>3.7846275709969928</v>
      </c>
      <c r="BE99" s="100">
        <v>15927.226669783742</v>
      </c>
      <c r="BF99" s="100">
        <v>5.3913720385209505</v>
      </c>
      <c r="BG99" s="100">
        <v>22689.050086911568</v>
      </c>
      <c r="BH99" s="100">
        <v>6.5707457033817551</v>
      </c>
      <c r="BI99" s="100">
        <v>27652.326218111775</v>
      </c>
      <c r="BJ99" s="100">
        <v>2.7431448946525685</v>
      </c>
      <c r="BK99" s="100">
        <v>11544.250974655868</v>
      </c>
      <c r="BL99" s="100">
        <v>7.0892461584055946</v>
      </c>
      <c r="BM99" s="100">
        <v>29834.383533034103</v>
      </c>
      <c r="BN99" s="100">
        <v>5.1806922388667473</v>
      </c>
      <c r="BO99" s="100">
        <v>21802.425218046817</v>
      </c>
      <c r="BP99" s="100">
        <v>5.5845401799569041</v>
      </c>
      <c r="BQ99" s="100">
        <v>23501.978893330634</v>
      </c>
      <c r="BR99" s="100">
        <v>3.9224559737130158</v>
      </c>
      <c r="BS99" s="100">
        <v>16507.263719773855</v>
      </c>
      <c r="BT99" s="100">
        <v>7.5467043505083273</v>
      </c>
      <c r="BU99" s="100">
        <v>31759.550588679242</v>
      </c>
      <c r="BV99" s="100">
        <v>5.3300079966502061</v>
      </c>
      <c r="BW99" s="100">
        <v>22430.805653102725</v>
      </c>
      <c r="BX99" s="100">
        <v>4.5207363671088689</v>
      </c>
      <c r="BY99" s="100">
        <v>19025.066927340962</v>
      </c>
      <c r="BZ99" s="100">
        <v>6.1458075316277538</v>
      </c>
      <c r="CA99" s="100">
        <v>25864.016416102237</v>
      </c>
      <c r="CB99" s="100">
        <v>5.0184933577846005</v>
      </c>
      <c r="CC99" s="100">
        <v>21119.827446900712</v>
      </c>
      <c r="CD99" s="100">
        <v>4.9512433905659776</v>
      </c>
      <c r="CE99" s="100">
        <v>20836.812684857858</v>
      </c>
      <c r="CF99" s="100">
        <v>4.2352665394476521</v>
      </c>
      <c r="CG99" s="100">
        <v>17823.695704611499</v>
      </c>
      <c r="CH99" s="100">
        <v>4.1508299619267177</v>
      </c>
      <c r="CI99" s="100">
        <v>17468.352811772398</v>
      </c>
      <c r="CJ99" s="100">
        <v>6.0188896016586941</v>
      </c>
      <c r="CK99" s="100">
        <v>25329.894999620446</v>
      </c>
      <c r="CL99" s="100">
        <v>3.6889431366306336</v>
      </c>
      <c r="CM99" s="100">
        <v>15524.548296196357</v>
      </c>
      <c r="CN99" s="100">
        <v>6.5760109505148359</v>
      </c>
      <c r="CO99" s="100">
        <v>27674.484484146633</v>
      </c>
      <c r="CP99" s="100">
        <v>4.3755011206594512</v>
      </c>
      <c r="CQ99" s="100">
        <v>18413.858916183231</v>
      </c>
      <c r="CR99" s="100">
        <v>5.979910310966722</v>
      </c>
      <c r="CS99" s="100">
        <v>25165.85455267235</v>
      </c>
      <c r="CT99" s="100">
        <v>3.4014460764362164</v>
      </c>
      <c r="CU99" s="100">
        <v>14314.645668074172</v>
      </c>
    </row>
    <row r="100" spans="2:99">
      <c r="C100" s="99" t="s">
        <v>266</v>
      </c>
      <c r="D100" s="100">
        <v>11</v>
      </c>
      <c r="E100" s="100">
        <v>3564</v>
      </c>
      <c r="F100" s="100">
        <v>10.910636726985036</v>
      </c>
      <c r="G100" s="100">
        <v>3535.0462995431517</v>
      </c>
      <c r="H100" s="100">
        <v>4.5485723186249816</v>
      </c>
      <c r="I100" s="100">
        <v>1473.7374312344941</v>
      </c>
      <c r="J100" s="100">
        <v>11.117066356367582</v>
      </c>
      <c r="K100" s="100">
        <v>3601.9294994630964</v>
      </c>
      <c r="L100" s="100">
        <v>6.780457958286231</v>
      </c>
      <c r="M100" s="100">
        <v>2196.868378484739</v>
      </c>
      <c r="N100" s="100">
        <v>7.6550609323152665</v>
      </c>
      <c r="O100" s="100">
        <v>2480.2397420701463</v>
      </c>
      <c r="P100" s="100">
        <v>6.174161196372042</v>
      </c>
      <c r="Q100" s="100">
        <v>2000.4282276245417</v>
      </c>
      <c r="R100" s="100">
        <v>9.0351604321232966</v>
      </c>
      <c r="S100" s="100">
        <v>2927.391980007948</v>
      </c>
      <c r="T100" s="100">
        <v>7.5822912480505682</v>
      </c>
      <c r="U100" s="100">
        <v>2456.6623643683843</v>
      </c>
      <c r="V100" s="100">
        <v>3.8791067608495204</v>
      </c>
      <c r="W100" s="100">
        <v>1256.8305905152447</v>
      </c>
      <c r="X100" s="100">
        <v>9.0890333468237774</v>
      </c>
      <c r="Y100" s="100">
        <v>2944.846804370904</v>
      </c>
      <c r="Z100" s="100">
        <v>6.892444521056869</v>
      </c>
      <c r="AA100" s="100">
        <v>2233.1520248224256</v>
      </c>
      <c r="AB100" s="100">
        <v>6.9554116449309884</v>
      </c>
      <c r="AC100" s="100">
        <v>2253.55337295764</v>
      </c>
      <c r="AD100" s="100">
        <v>6.9760665597899587</v>
      </c>
      <c r="AE100" s="100">
        <v>2260.2455653719467</v>
      </c>
      <c r="AF100" s="100">
        <v>6.5876654616037413</v>
      </c>
      <c r="AG100" s="100">
        <v>2134.4036095596121</v>
      </c>
      <c r="AH100" s="100">
        <v>7.2585460694113184</v>
      </c>
      <c r="AI100" s="100">
        <v>2351.768926489267</v>
      </c>
      <c r="AJ100" s="100">
        <v>6.1154943185790227</v>
      </c>
      <c r="AK100" s="100">
        <v>1981.4201592196034</v>
      </c>
      <c r="AL100" s="100">
        <v>7.077992809055651</v>
      </c>
      <c r="AM100" s="100">
        <v>2293.269670134031</v>
      </c>
      <c r="AN100" s="100">
        <v>6.9384262120876157</v>
      </c>
      <c r="AO100" s="100">
        <v>2248.0500927163876</v>
      </c>
      <c r="AP100" s="100">
        <v>7.9013131236452931</v>
      </c>
      <c r="AQ100" s="100">
        <v>2560.0254520610752</v>
      </c>
      <c r="AR100" s="100">
        <v>8.2287418124580185</v>
      </c>
      <c r="AS100" s="100">
        <v>2666.1123472363979</v>
      </c>
      <c r="AT100" s="100">
        <v>8.1165738915284056</v>
      </c>
      <c r="AU100" s="100">
        <v>2629.7699408552035</v>
      </c>
      <c r="AV100" s="100">
        <v>7.0985252940640953</v>
      </c>
      <c r="AW100" s="100">
        <v>2299.9221952767671</v>
      </c>
      <c r="AX100" s="100">
        <v>7.1110706857889259</v>
      </c>
      <c r="AY100" s="100">
        <v>2303.9869021956119</v>
      </c>
      <c r="AZ100" s="100">
        <v>7.8811767157533161</v>
      </c>
      <c r="BA100" s="100">
        <v>2553.5012559040742</v>
      </c>
      <c r="BB100" s="100">
        <v>5.0824628581134839</v>
      </c>
      <c r="BC100" s="100">
        <v>1646.7179660287688</v>
      </c>
      <c r="BD100" s="100">
        <v>6.3809951067023496</v>
      </c>
      <c r="BE100" s="100">
        <v>2067.4424145715611</v>
      </c>
      <c r="BF100" s="100">
        <v>7.8980918931706912</v>
      </c>
      <c r="BG100" s="100">
        <v>2558.9817733873037</v>
      </c>
      <c r="BH100" s="100">
        <v>9.9823882493186424</v>
      </c>
      <c r="BI100" s="100">
        <v>3234.29379277924</v>
      </c>
      <c r="BJ100" s="100">
        <v>4.114717341978853</v>
      </c>
      <c r="BK100" s="100">
        <v>1333.1684188011484</v>
      </c>
      <c r="BL100" s="100">
        <v>11.262840649537333</v>
      </c>
      <c r="BM100" s="100">
        <v>3649.1603704500958</v>
      </c>
      <c r="BN100" s="100">
        <v>7.6210500416284717</v>
      </c>
      <c r="BO100" s="100">
        <v>2469.2202134876247</v>
      </c>
      <c r="BP100" s="100">
        <v>6.4055821596203275</v>
      </c>
      <c r="BQ100" s="100">
        <v>2075.4086197169863</v>
      </c>
      <c r="BR100" s="100">
        <v>4.7345623728650015</v>
      </c>
      <c r="BS100" s="100">
        <v>1533.9982088082604</v>
      </c>
      <c r="BT100" s="100">
        <v>9.4688685914132922</v>
      </c>
      <c r="BU100" s="100">
        <v>3067.9134236179066</v>
      </c>
      <c r="BV100" s="100">
        <v>6.9493783863758454</v>
      </c>
      <c r="BW100" s="100">
        <v>2251.598597185774</v>
      </c>
      <c r="BX100" s="100">
        <v>6.2807076688278274</v>
      </c>
      <c r="BY100" s="100">
        <v>2034.9492847002161</v>
      </c>
      <c r="BZ100" s="100">
        <v>8.6300042742645271</v>
      </c>
      <c r="CA100" s="100">
        <v>2796.1213848617067</v>
      </c>
      <c r="CB100" s="100">
        <v>7.1446429470409978</v>
      </c>
      <c r="CC100" s="100">
        <v>2314.8643148412834</v>
      </c>
      <c r="CD100" s="100">
        <v>6.9890969966042986</v>
      </c>
      <c r="CE100" s="100">
        <v>2264.4674268997928</v>
      </c>
      <c r="CF100" s="100">
        <v>5.99764222520629</v>
      </c>
      <c r="CG100" s="100">
        <v>1943.236080966838</v>
      </c>
      <c r="CH100" s="100">
        <v>5.1041658701188499</v>
      </c>
      <c r="CI100" s="100">
        <v>1653.7497419185074</v>
      </c>
      <c r="CJ100" s="100">
        <v>7.3347117539116917</v>
      </c>
      <c r="CK100" s="100">
        <v>2376.446608267388</v>
      </c>
      <c r="CL100" s="100">
        <v>5.7240689828026152</v>
      </c>
      <c r="CM100" s="100">
        <v>1854.5983504280473</v>
      </c>
      <c r="CN100" s="100">
        <v>9.4737078492893581</v>
      </c>
      <c r="CO100" s="100">
        <v>3069.4813431697521</v>
      </c>
      <c r="CP100" s="100">
        <v>5.6915005934439709</v>
      </c>
      <c r="CQ100" s="100">
        <v>1844.0461922758466</v>
      </c>
      <c r="CR100" s="100">
        <v>8.4962151306278315</v>
      </c>
      <c r="CS100" s="100">
        <v>2752.7737023234176</v>
      </c>
      <c r="CT100" s="100">
        <v>3.8873669444985328</v>
      </c>
      <c r="CU100" s="100">
        <v>1259.5068900175247</v>
      </c>
    </row>
    <row r="101" spans="2:99">
      <c r="C101" s="99" t="s">
        <v>267</v>
      </c>
      <c r="D101" s="100">
        <v>10</v>
      </c>
      <c r="E101" s="100">
        <v>7236</v>
      </c>
      <c r="F101" s="100">
        <v>10.001416999736284</v>
      </c>
      <c r="G101" s="100">
        <v>7237.0253410091755</v>
      </c>
      <c r="H101" s="100">
        <v>4.6263308686850255</v>
      </c>
      <c r="I101" s="100">
        <v>3347.6130165804848</v>
      </c>
      <c r="J101" s="100">
        <v>10.959334854300398</v>
      </c>
      <c r="K101" s="100">
        <v>7930.174700571768</v>
      </c>
      <c r="L101" s="100">
        <v>6.8124814977202375</v>
      </c>
      <c r="M101" s="100">
        <v>4929.511611750364</v>
      </c>
      <c r="N101" s="100">
        <v>7.6550609323152665</v>
      </c>
      <c r="O101" s="100">
        <v>5539.2020906233274</v>
      </c>
      <c r="P101" s="100">
        <v>6.1981314688304305</v>
      </c>
      <c r="Q101" s="100">
        <v>4484.9679308456998</v>
      </c>
      <c r="R101" s="100">
        <v>9.6995170980263392</v>
      </c>
      <c r="S101" s="100">
        <v>7018.5705721318591</v>
      </c>
      <c r="T101" s="100">
        <v>6.659154431459279</v>
      </c>
      <c r="U101" s="100">
        <v>4818.5641466039342</v>
      </c>
      <c r="V101" s="100">
        <v>4.3912875675741985</v>
      </c>
      <c r="W101" s="100">
        <v>3177.53568389669</v>
      </c>
      <c r="X101" s="100">
        <v>9.1913325798493517</v>
      </c>
      <c r="Y101" s="100">
        <v>6650.8482547789908</v>
      </c>
      <c r="Z101" s="100">
        <v>7.5740347188095569</v>
      </c>
      <c r="AA101" s="100">
        <v>5480.5715225305958</v>
      </c>
      <c r="AB101" s="100">
        <v>6.9515606381927775</v>
      </c>
      <c r="AC101" s="100">
        <v>5030.149277796294</v>
      </c>
      <c r="AD101" s="100">
        <v>6.2492995181084954</v>
      </c>
      <c r="AE101" s="100">
        <v>4521.9931313033076</v>
      </c>
      <c r="AF101" s="100">
        <v>6.7236701051918804</v>
      </c>
      <c r="AG101" s="100">
        <v>4865.247688116845</v>
      </c>
      <c r="AH101" s="100">
        <v>6.4748883755651336</v>
      </c>
      <c r="AI101" s="100">
        <v>4685.229228558931</v>
      </c>
      <c r="AJ101" s="100">
        <v>6.0482145275698826</v>
      </c>
      <c r="AK101" s="100">
        <v>4376.4880321495675</v>
      </c>
      <c r="AL101" s="100">
        <v>7.7251150616353979</v>
      </c>
      <c r="AM101" s="100">
        <v>5589.8932585993743</v>
      </c>
      <c r="AN101" s="100">
        <v>7.7309180566231133</v>
      </c>
      <c r="AO101" s="100">
        <v>5594.0923057724849</v>
      </c>
      <c r="AP101" s="100">
        <v>7.2178487587590512</v>
      </c>
      <c r="AQ101" s="100">
        <v>5222.8353618380497</v>
      </c>
      <c r="AR101" s="100">
        <v>7.5021721038356715</v>
      </c>
      <c r="AS101" s="100">
        <v>5428.5717343354918</v>
      </c>
      <c r="AT101" s="100">
        <v>7.3619704630748677</v>
      </c>
      <c r="AU101" s="100">
        <v>5327.1218270809741</v>
      </c>
      <c r="AV101" s="100">
        <v>7.5688935525658465</v>
      </c>
      <c r="AW101" s="100">
        <v>5476.8513746366471</v>
      </c>
      <c r="AX101" s="100">
        <v>6.4012661407490121</v>
      </c>
      <c r="AY101" s="100">
        <v>4631.9561794459851</v>
      </c>
      <c r="AZ101" s="100">
        <v>9.241624328096929</v>
      </c>
      <c r="BA101" s="100">
        <v>6687.2393638109379</v>
      </c>
      <c r="BB101" s="100">
        <v>5.5781383592469664</v>
      </c>
      <c r="BC101" s="100">
        <v>4036.3409167511049</v>
      </c>
      <c r="BD101" s="100">
        <v>5.6077690300548078</v>
      </c>
      <c r="BE101" s="100">
        <v>4057.781670147659</v>
      </c>
      <c r="BF101" s="100">
        <v>7.8898390814451957</v>
      </c>
      <c r="BG101" s="100">
        <v>5709.0875593337441</v>
      </c>
      <c r="BH101" s="100">
        <v>9.0627696963908431</v>
      </c>
      <c r="BI101" s="100">
        <v>6557.8201523084144</v>
      </c>
      <c r="BJ101" s="100">
        <v>4.114717341978853</v>
      </c>
      <c r="BK101" s="100">
        <v>2977.4094686558983</v>
      </c>
      <c r="BL101" s="100">
        <v>9.6191212888718116</v>
      </c>
      <c r="BM101" s="100">
        <v>6960.396164627643</v>
      </c>
      <c r="BN101" s="100">
        <v>7.5710539360712543</v>
      </c>
      <c r="BO101" s="100">
        <v>5478.4146281411595</v>
      </c>
      <c r="BP101" s="100">
        <v>6.3161461907702838</v>
      </c>
      <c r="BQ101" s="100">
        <v>4570.3633836413774</v>
      </c>
      <c r="BR101" s="100">
        <v>4.7345623728650015</v>
      </c>
      <c r="BS101" s="100">
        <v>3425.929333005115</v>
      </c>
      <c r="BT101" s="100">
        <v>10.146045485642714</v>
      </c>
      <c r="BU101" s="100">
        <v>7341.6785134110687</v>
      </c>
      <c r="BV101" s="100">
        <v>7.4212752138491362</v>
      </c>
      <c r="BW101" s="100">
        <v>5370.034744741235</v>
      </c>
      <c r="BX101" s="100">
        <v>5.4007220179683477</v>
      </c>
      <c r="BY101" s="100">
        <v>3907.9624522018967</v>
      </c>
      <c r="BZ101" s="100">
        <v>8.5288470268654351</v>
      </c>
      <c r="CA101" s="100">
        <v>6171.4737086398291</v>
      </c>
      <c r="CB101" s="100">
        <v>7.1446429470409978</v>
      </c>
      <c r="CC101" s="100">
        <v>5169.8636364788663</v>
      </c>
      <c r="CD101" s="100">
        <v>6.5497332376278985</v>
      </c>
      <c r="CE101" s="100">
        <v>4739.3869707475478</v>
      </c>
      <c r="CF101" s="100">
        <v>5.99764222520629</v>
      </c>
      <c r="CG101" s="100">
        <v>4339.8939141592718</v>
      </c>
      <c r="CH101" s="100">
        <v>4.9711337502657127</v>
      </c>
      <c r="CI101" s="100">
        <v>3597.11238169227</v>
      </c>
      <c r="CJ101" s="100">
        <v>7.7972429969977846</v>
      </c>
      <c r="CK101" s="100">
        <v>5642.0850326275968</v>
      </c>
      <c r="CL101" s="100">
        <v>4.7429268899536723</v>
      </c>
      <c r="CM101" s="100">
        <v>3431.9818975704775</v>
      </c>
      <c r="CN101" s="100">
        <v>9.4737078492893581</v>
      </c>
      <c r="CO101" s="100">
        <v>6855.17499974578</v>
      </c>
      <c r="CP101" s="100">
        <v>5.7082462763773973</v>
      </c>
      <c r="CQ101" s="100">
        <v>4130.487005586685</v>
      </c>
      <c r="CR101" s="100">
        <v>8.58713640683618</v>
      </c>
      <c r="CS101" s="100">
        <v>6213.6519039866598</v>
      </c>
      <c r="CT101" s="100">
        <v>4.3732878125608492</v>
      </c>
      <c r="CU101" s="100">
        <v>3164.5110611690307</v>
      </c>
    </row>
    <row r="102" spans="2:99">
      <c r="C102" s="99" t="s">
        <v>268</v>
      </c>
      <c r="D102" s="100">
        <v>12</v>
      </c>
      <c r="E102" s="100">
        <v>6379.2000000000007</v>
      </c>
      <c r="F102" s="100">
        <v>10.001416999736284</v>
      </c>
      <c r="G102" s="100">
        <v>5316.7532770598091</v>
      </c>
      <c r="H102" s="100">
        <v>4.5811987497525921</v>
      </c>
      <c r="I102" s="100">
        <v>2435.3652553684778</v>
      </c>
      <c r="J102" s="100">
        <v>10.206798552558736</v>
      </c>
      <c r="K102" s="100">
        <v>5425.9341105402245</v>
      </c>
      <c r="L102" s="100">
        <v>5.9569183680759563</v>
      </c>
      <c r="M102" s="100">
        <v>3166.6978044691787</v>
      </c>
      <c r="N102" s="100">
        <v>7.6550609323152665</v>
      </c>
      <c r="O102" s="100">
        <v>4069.430391618796</v>
      </c>
      <c r="P102" s="100">
        <v>6.174161196372042</v>
      </c>
      <c r="Q102" s="100">
        <v>3282.1840919913775</v>
      </c>
      <c r="R102" s="100">
        <v>9.0351604321232966</v>
      </c>
      <c r="S102" s="100">
        <v>4803.091285716745</v>
      </c>
      <c r="T102" s="100">
        <v>6.8563511467795344</v>
      </c>
      <c r="U102" s="100">
        <v>3644.8362696280005</v>
      </c>
      <c r="V102" s="100">
        <v>4.3912875675741985</v>
      </c>
      <c r="W102" s="100">
        <v>2334.4084709224439</v>
      </c>
      <c r="X102" s="100">
        <v>8.5191624951353475</v>
      </c>
      <c r="Y102" s="100">
        <v>4528.7867824139512</v>
      </c>
      <c r="Z102" s="100">
        <v>7.6741232812369038</v>
      </c>
      <c r="AA102" s="100">
        <v>4079.5639363055384</v>
      </c>
      <c r="AB102" s="100">
        <v>6.3903037045475974</v>
      </c>
      <c r="AC102" s="100">
        <v>3397.0854493375027</v>
      </c>
      <c r="AD102" s="100">
        <v>7.702833601471422</v>
      </c>
      <c r="AE102" s="100">
        <v>4094.8263425422083</v>
      </c>
      <c r="AF102" s="100">
        <v>6.7236701051918804</v>
      </c>
      <c r="AG102" s="100">
        <v>3574.3030279200038</v>
      </c>
      <c r="AH102" s="100">
        <v>7.1586153989476138</v>
      </c>
      <c r="AI102" s="100">
        <v>3805.5199460805516</v>
      </c>
      <c r="AJ102" s="100">
        <v>5.9938162234986336</v>
      </c>
      <c r="AK102" s="100">
        <v>3186.3127044118737</v>
      </c>
      <c r="AL102" s="100">
        <v>7.7251150616353979</v>
      </c>
      <c r="AM102" s="100">
        <v>4106.6711667653781</v>
      </c>
      <c r="AN102" s="100">
        <v>7.0392242211078964</v>
      </c>
      <c r="AO102" s="100">
        <v>3742.0515959409577</v>
      </c>
      <c r="AP102" s="100">
        <v>7.3179351770889189</v>
      </c>
      <c r="AQ102" s="100">
        <v>3890.2143401404696</v>
      </c>
      <c r="AR102" s="100">
        <v>8.9553115210803647</v>
      </c>
      <c r="AS102" s="100">
        <v>4760.6436046063218</v>
      </c>
      <c r="AT102" s="100">
        <v>7.3619704630748677</v>
      </c>
      <c r="AU102" s="100">
        <v>3913.6234981705998</v>
      </c>
      <c r="AV102" s="100">
        <v>7.0068836535619603</v>
      </c>
      <c r="AW102" s="100">
        <v>3724.8593502335384</v>
      </c>
      <c r="AX102" s="100">
        <v>5.6914615957090975</v>
      </c>
      <c r="AY102" s="100">
        <v>3025.5809842789563</v>
      </c>
      <c r="AZ102" s="100">
        <v>7.8811767157533161</v>
      </c>
      <c r="BA102" s="100">
        <v>4189.6335420944633</v>
      </c>
      <c r="BB102" s="100">
        <v>4.5867873569800004</v>
      </c>
      <c r="BC102" s="100">
        <v>2438.3361589705682</v>
      </c>
      <c r="BD102" s="100">
        <v>6.3809951067023496</v>
      </c>
      <c r="BE102" s="100">
        <v>3392.1369987229691</v>
      </c>
      <c r="BF102" s="100">
        <v>7.3884841809242774</v>
      </c>
      <c r="BG102" s="100">
        <v>3927.7181905793459</v>
      </c>
      <c r="BH102" s="100">
        <v>9.0627696963908431</v>
      </c>
      <c r="BI102" s="100">
        <v>4817.7683706013722</v>
      </c>
      <c r="BJ102" s="100">
        <v>4.114717341978853</v>
      </c>
      <c r="BK102" s="100">
        <v>2187.3837389959585</v>
      </c>
      <c r="BL102" s="100">
        <v>9.6191212888718116</v>
      </c>
      <c r="BM102" s="100">
        <v>5113.5248771642555</v>
      </c>
      <c r="BN102" s="100">
        <v>7.0734557228845611</v>
      </c>
      <c r="BO102" s="100">
        <v>3760.249062285433</v>
      </c>
      <c r="BP102" s="100">
        <v>7.6899222435469987</v>
      </c>
      <c r="BQ102" s="100">
        <v>4087.9626646695847</v>
      </c>
      <c r="BR102" s="100">
        <v>5.4776307609935309</v>
      </c>
      <c r="BS102" s="100">
        <v>2911.9085125441611</v>
      </c>
      <c r="BT102" s="100">
        <v>10.004092872531183</v>
      </c>
      <c r="BU102" s="100">
        <v>5318.1757710375769</v>
      </c>
      <c r="BV102" s="100">
        <v>6.9493783863758454</v>
      </c>
      <c r="BW102" s="100">
        <v>3694.2895501973994</v>
      </c>
      <c r="BX102" s="100">
        <v>6.2807076688278274</v>
      </c>
      <c r="BY102" s="100">
        <v>3338.824196748873</v>
      </c>
      <c r="BZ102" s="100">
        <v>8.9981603414259883</v>
      </c>
      <c r="CA102" s="100">
        <v>4783.4220375020559</v>
      </c>
      <c r="CB102" s="100">
        <v>7.0625817563763107</v>
      </c>
      <c r="CC102" s="100">
        <v>3754.468461689647</v>
      </c>
      <c r="CD102" s="100">
        <v>7.0842489714523715</v>
      </c>
      <c r="CE102" s="100">
        <v>3765.986753224081</v>
      </c>
      <c r="CF102" s="100">
        <v>6.552486406873463</v>
      </c>
      <c r="CG102" s="100">
        <v>3483.3017738939329</v>
      </c>
      <c r="CH102" s="100">
        <v>5.6768970513384733</v>
      </c>
      <c r="CI102" s="100">
        <v>3017.8384724915327</v>
      </c>
      <c r="CJ102" s="100">
        <v>7.8949329135179873</v>
      </c>
      <c r="CK102" s="100">
        <v>4196.9463368261622</v>
      </c>
      <c r="CL102" s="100">
        <v>5.2699187666151914</v>
      </c>
      <c r="CM102" s="100">
        <v>2801.4888163326359</v>
      </c>
      <c r="CN102" s="100">
        <v>8.8054765528678889</v>
      </c>
      <c r="CO102" s="100">
        <v>4680.9913355045701</v>
      </c>
      <c r="CP102" s="100">
        <v>6.1190032957498612</v>
      </c>
      <c r="CQ102" s="100">
        <v>3252.8621520206266</v>
      </c>
      <c r="CR102" s="100">
        <v>8.0035208400250788</v>
      </c>
      <c r="CS102" s="100">
        <v>4254.6716785573317</v>
      </c>
      <c r="CT102" s="100">
        <v>3.8873669444985328</v>
      </c>
      <c r="CU102" s="100">
        <v>2066.5242676954203</v>
      </c>
    </row>
    <row r="103" spans="2:99">
      <c r="C103" s="99" t="s">
        <v>269</v>
      </c>
      <c r="D103" s="100">
        <v>10</v>
      </c>
      <c r="E103" s="100">
        <v>5891.9999999999991</v>
      </c>
      <c r="F103" s="100">
        <v>10.001416999736284</v>
      </c>
      <c r="G103" s="100">
        <v>5892.834896244618</v>
      </c>
      <c r="H103" s="100">
        <v>4.1714736368225278</v>
      </c>
      <c r="I103" s="100">
        <v>2457.832266815833</v>
      </c>
      <c r="J103" s="100">
        <v>10.959334854300398</v>
      </c>
      <c r="K103" s="100">
        <v>6457.2400961537933</v>
      </c>
      <c r="L103" s="100">
        <v>6.8124814977202375</v>
      </c>
      <c r="M103" s="100">
        <v>4013.9140984567634</v>
      </c>
      <c r="N103" s="100">
        <v>7.038463600055314</v>
      </c>
      <c r="O103" s="100">
        <v>4147.0627531525906</v>
      </c>
      <c r="P103" s="100">
        <v>5.6756279449799649</v>
      </c>
      <c r="Q103" s="100">
        <v>3344.0799851821948</v>
      </c>
      <c r="R103" s="100">
        <v>8.8944784454707744</v>
      </c>
      <c r="S103" s="100">
        <v>5240.6267000713797</v>
      </c>
      <c r="T103" s="100">
        <v>6.659154431459279</v>
      </c>
      <c r="U103" s="100">
        <v>3923.5737910158068</v>
      </c>
      <c r="V103" s="100">
        <v>3.844537218052253</v>
      </c>
      <c r="W103" s="100">
        <v>2265.2013288763874</v>
      </c>
      <c r="X103" s="100">
        <v>8.6214617281609236</v>
      </c>
      <c r="Y103" s="100">
        <v>5079.7652502324154</v>
      </c>
      <c r="Z103" s="100">
        <v>7.6741232812369038</v>
      </c>
      <c r="AA103" s="100">
        <v>4521.593437304783</v>
      </c>
      <c r="AB103" s="100">
        <v>6.2698533743879956</v>
      </c>
      <c r="AC103" s="100">
        <v>3694.1976081894068</v>
      </c>
      <c r="AD103" s="100">
        <v>6.9760665597899587</v>
      </c>
      <c r="AE103" s="100">
        <v>4110.2984170282434</v>
      </c>
      <c r="AF103" s="100">
        <v>6.7953070181458699</v>
      </c>
      <c r="AG103" s="100">
        <v>4003.7948950915461</v>
      </c>
      <c r="AH103" s="100">
        <v>6.4714937552383018</v>
      </c>
      <c r="AI103" s="100">
        <v>3813.0041205864072</v>
      </c>
      <c r="AJ103" s="100">
        <v>5.9938162234986336</v>
      </c>
      <c r="AK103" s="100">
        <v>3531.5565188853943</v>
      </c>
      <c r="AL103" s="100">
        <v>7.8369394609540848</v>
      </c>
      <c r="AM103" s="100">
        <v>4617.524730394146</v>
      </c>
      <c r="AN103" s="100">
        <v>7.5845462717505869</v>
      </c>
      <c r="AO103" s="100">
        <v>4468.8146633154456</v>
      </c>
      <c r="AP103" s="100">
        <v>7.9013131236452931</v>
      </c>
      <c r="AQ103" s="100">
        <v>4655.4536924518061</v>
      </c>
      <c r="AR103" s="100">
        <v>7.5021721038356715</v>
      </c>
      <c r="AS103" s="100">
        <v>4420.2798035799769</v>
      </c>
      <c r="AT103" s="100">
        <v>8.1165738915284056</v>
      </c>
      <c r="AU103" s="100">
        <v>4782.2853368885362</v>
      </c>
      <c r="AV103" s="100">
        <v>6.9152420130598253</v>
      </c>
      <c r="AW103" s="100">
        <v>4074.4605940948486</v>
      </c>
      <c r="AX103" s="100">
        <v>6.4012661407490121</v>
      </c>
      <c r="AY103" s="100">
        <v>3771.6260101293174</v>
      </c>
      <c r="AZ103" s="100">
        <v>7.989580415892183</v>
      </c>
      <c r="BA103" s="100">
        <v>4707.4607810436737</v>
      </c>
      <c r="BB103" s="100">
        <v>5.5938518400942971</v>
      </c>
      <c r="BC103" s="100">
        <v>3295.8975041835597</v>
      </c>
      <c r="BD103" s="100">
        <v>5.469424377173441</v>
      </c>
      <c r="BE103" s="100">
        <v>3222.5848430305909</v>
      </c>
      <c r="BF103" s="100">
        <v>7.3884841809242774</v>
      </c>
      <c r="BG103" s="100">
        <v>4353.2948794005833</v>
      </c>
      <c r="BH103" s="100">
        <v>9.196185529277999</v>
      </c>
      <c r="BI103" s="100">
        <v>5418.3925138505965</v>
      </c>
      <c r="BJ103" s="100">
        <v>4.8005035656419945</v>
      </c>
      <c r="BK103" s="100">
        <v>2828.4567008762629</v>
      </c>
      <c r="BL103" s="100">
        <v>10.376684879736633</v>
      </c>
      <c r="BM103" s="100">
        <v>6113.9427311408235</v>
      </c>
      <c r="BN103" s="100">
        <v>7.6210500416284717</v>
      </c>
      <c r="BO103" s="100">
        <v>4490.3226845274949</v>
      </c>
      <c r="BP103" s="100">
        <v>7.0477522015836636</v>
      </c>
      <c r="BQ103" s="100">
        <v>4152.5355971730942</v>
      </c>
      <c r="BR103" s="100">
        <v>4.7115497025238495</v>
      </c>
      <c r="BS103" s="100">
        <v>2776.0450847270517</v>
      </c>
      <c r="BT103" s="100">
        <v>9.1849633651902316</v>
      </c>
      <c r="BU103" s="100">
        <v>5411.7804147700836</v>
      </c>
      <c r="BV103" s="100">
        <v>6.8528674242645513</v>
      </c>
      <c r="BW103" s="100">
        <v>4037.7094863766733</v>
      </c>
      <c r="BX103" s="100">
        <v>6.2807076688278274</v>
      </c>
      <c r="BY103" s="100">
        <v>3700.5929584733553</v>
      </c>
      <c r="BZ103" s="100">
        <v>8.5288470268654351</v>
      </c>
      <c r="CA103" s="100">
        <v>5025.196668229114</v>
      </c>
      <c r="CB103" s="100">
        <v>7.1446429470409978</v>
      </c>
      <c r="CC103" s="100">
        <v>4209.623624396555</v>
      </c>
      <c r="CD103" s="100">
        <v>7.0842489714523715</v>
      </c>
      <c r="CE103" s="100">
        <v>4174.039493979737</v>
      </c>
      <c r="CF103" s="100">
        <v>5.99764222520629</v>
      </c>
      <c r="CG103" s="100">
        <v>3533.8107990915455</v>
      </c>
      <c r="CH103" s="100">
        <v>5.1041658701188499</v>
      </c>
      <c r="CI103" s="100">
        <v>3007.3745306740261</v>
      </c>
      <c r="CJ103" s="100">
        <v>7.7972429969977846</v>
      </c>
      <c r="CK103" s="100">
        <v>4594.135573831094</v>
      </c>
      <c r="CL103" s="100">
        <v>5.2456382131238266</v>
      </c>
      <c r="CM103" s="100">
        <v>3090.7300351725585</v>
      </c>
      <c r="CN103" s="100">
        <v>9.3613219927450384</v>
      </c>
      <c r="CO103" s="100">
        <v>5515.6909181253759</v>
      </c>
      <c r="CP103" s="100">
        <v>4.8532408717656192</v>
      </c>
      <c r="CQ103" s="100">
        <v>2859.5295216443023</v>
      </c>
      <c r="CR103" s="100">
        <v>7.9360521879669266</v>
      </c>
      <c r="CS103" s="100">
        <v>4675.9219491501126</v>
      </c>
      <c r="CT103" s="100">
        <v>3.8873669444985328</v>
      </c>
      <c r="CU103" s="100">
        <v>2290.4366036985352</v>
      </c>
    </row>
    <row r="104" spans="2:99">
      <c r="C104" s="99" t="s">
        <v>270</v>
      </c>
      <c r="D104" s="100">
        <v>11</v>
      </c>
      <c r="E104" s="100">
        <v>6956.4</v>
      </c>
      <c r="F104" s="100">
        <v>9.09219727248753</v>
      </c>
      <c r="G104" s="100">
        <v>5749.905555121114</v>
      </c>
      <c r="H104" s="100">
        <v>4.6263308686850255</v>
      </c>
      <c r="I104" s="100">
        <v>2925.6916413564099</v>
      </c>
      <c r="J104" s="100">
        <v>11.869602658109242</v>
      </c>
      <c r="K104" s="100">
        <v>7506.3367209882845</v>
      </c>
      <c r="L104" s="100">
        <v>5.9889419075099628</v>
      </c>
      <c r="M104" s="100">
        <v>3787.4068623093003</v>
      </c>
      <c r="N104" s="100">
        <v>6.9415202358935604</v>
      </c>
      <c r="O104" s="100">
        <v>4389.8173971790875</v>
      </c>
      <c r="P104" s="100">
        <v>5.6995982174383535</v>
      </c>
      <c r="Q104" s="100">
        <v>3604.4259127080145</v>
      </c>
      <c r="R104" s="100">
        <v>9.6995170980263392</v>
      </c>
      <c r="S104" s="100">
        <v>6133.974612791857</v>
      </c>
      <c r="T104" s="100">
        <v>6.7577527891194062</v>
      </c>
      <c r="U104" s="100">
        <v>4273.6028638391126</v>
      </c>
      <c r="V104" s="100">
        <v>3.8618219894508865</v>
      </c>
      <c r="W104" s="100">
        <v>2442.2162261287403</v>
      </c>
      <c r="X104" s="100">
        <v>8.5191624951353475</v>
      </c>
      <c r="Y104" s="100">
        <v>5387.5183619235931</v>
      </c>
      <c r="Z104" s="100">
        <v>6.9867818030550906</v>
      </c>
      <c r="AA104" s="100">
        <v>4418.440812252039</v>
      </c>
      <c r="AB104" s="100">
        <v>6.9554116449309884</v>
      </c>
      <c r="AC104" s="100">
        <v>4398.602324254357</v>
      </c>
      <c r="AD104" s="100">
        <v>6.9035393623471606</v>
      </c>
      <c r="AE104" s="100">
        <v>4365.7982927483445</v>
      </c>
      <c r="AF104" s="100">
        <v>6.8596747487800211</v>
      </c>
      <c r="AG104" s="100">
        <v>4338.058311128485</v>
      </c>
      <c r="AH104" s="100">
        <v>7.1586153989476138</v>
      </c>
      <c r="AI104" s="100">
        <v>4527.1083782944706</v>
      </c>
      <c r="AJ104" s="100">
        <v>6.6762498338835963</v>
      </c>
      <c r="AK104" s="100">
        <v>4222.0603949479864</v>
      </c>
      <c r="AL104" s="100">
        <v>6.9661684097369649</v>
      </c>
      <c r="AM104" s="100">
        <v>4405.4049023176567</v>
      </c>
      <c r="AN104" s="100">
        <v>6.942224026741969</v>
      </c>
      <c r="AO104" s="100">
        <v>4390.2624745116209</v>
      </c>
      <c r="AP104" s="100">
        <v>7.8012267053154245</v>
      </c>
      <c r="AQ104" s="100">
        <v>4933.495768441474</v>
      </c>
      <c r="AR104" s="100">
        <v>8.1083612216786989</v>
      </c>
      <c r="AS104" s="100">
        <v>5127.7276365896087</v>
      </c>
      <c r="AT104" s="100">
        <v>6.6073670346213298</v>
      </c>
      <c r="AU104" s="100">
        <v>4178.4989126945284</v>
      </c>
      <c r="AV104" s="100">
        <v>6.9152420130598253</v>
      </c>
      <c r="AW104" s="100">
        <v>4373.1990490590333</v>
      </c>
      <c r="AX104" s="100">
        <v>6.2980047435447686</v>
      </c>
      <c r="AY104" s="100">
        <v>3982.8581998177115</v>
      </c>
      <c r="AZ104" s="100">
        <v>7.9912588417510877</v>
      </c>
      <c r="BA104" s="100">
        <v>5053.6720915233873</v>
      </c>
      <c r="BB104" s="100">
        <v>5.5781383592469664</v>
      </c>
      <c r="BC104" s="100">
        <v>3527.6146983877816</v>
      </c>
      <c r="BD104" s="100">
        <v>5.6077690300548078</v>
      </c>
      <c r="BE104" s="100">
        <v>3546.3531346066602</v>
      </c>
      <c r="BF104" s="100">
        <v>7.2898746927561628</v>
      </c>
      <c r="BG104" s="100">
        <v>4610.1167556989976</v>
      </c>
      <c r="BH104" s="100">
        <v>8.4099828092373539</v>
      </c>
      <c r="BI104" s="100">
        <v>5318.4731285617027</v>
      </c>
      <c r="BJ104" s="100">
        <v>4.114717341978853</v>
      </c>
      <c r="BK104" s="100">
        <v>2602.1472470674266</v>
      </c>
      <c r="BL104" s="100">
        <v>10.376684879736633</v>
      </c>
      <c r="BM104" s="100">
        <v>6562.2155179454467</v>
      </c>
      <c r="BN104" s="100">
        <v>6.9734635117701282</v>
      </c>
      <c r="BO104" s="100">
        <v>4410.0183248434287</v>
      </c>
      <c r="BP104" s="100">
        <v>6.9583162327336199</v>
      </c>
      <c r="BQ104" s="100">
        <v>4400.4391855807407</v>
      </c>
      <c r="BR104" s="100">
        <v>5.5006434313346837</v>
      </c>
      <c r="BS104" s="100">
        <v>3478.6069059760539</v>
      </c>
      <c r="BT104" s="100">
        <v>10.146045485642714</v>
      </c>
      <c r="BU104" s="100">
        <v>6416.3591651204524</v>
      </c>
      <c r="BV104" s="100">
        <v>6.1879486725686732</v>
      </c>
      <c r="BW104" s="100">
        <v>3913.2587405324289</v>
      </c>
      <c r="BX104" s="100">
        <v>6.159899556016355</v>
      </c>
      <c r="BY104" s="100">
        <v>3895.5204792247428</v>
      </c>
      <c r="BZ104" s="100">
        <v>8.4276897794663412</v>
      </c>
      <c r="CA104" s="100">
        <v>5329.6710165345139</v>
      </c>
      <c r="CB104" s="100">
        <v>6.1725698901368773</v>
      </c>
      <c r="CC104" s="100">
        <v>3903.5331985225612</v>
      </c>
      <c r="CD104" s="100">
        <v>7.6187647052768446</v>
      </c>
      <c r="CE104" s="100">
        <v>4818.1067996170759</v>
      </c>
      <c r="CF104" s="100">
        <v>5.9053497706981695</v>
      </c>
      <c r="CG104" s="100">
        <v>3734.5431949895224</v>
      </c>
      <c r="CH104" s="100">
        <v>5.6768970513384733</v>
      </c>
      <c r="CI104" s="100">
        <v>3590.0696952664503</v>
      </c>
      <c r="CJ104" s="100">
        <v>8.3574641566040793</v>
      </c>
      <c r="CK104" s="100">
        <v>5285.2603326364197</v>
      </c>
      <c r="CL104" s="100">
        <v>5.2456382131238266</v>
      </c>
      <c r="CM104" s="100">
        <v>3317.3416059795077</v>
      </c>
      <c r="CN104" s="100">
        <v>8.0248593999020983</v>
      </c>
      <c r="CO104" s="100">
        <v>5074.9210844980871</v>
      </c>
      <c r="CP104" s="100">
        <v>5.6915005934439709</v>
      </c>
      <c r="CQ104" s="100">
        <v>3599.3049752939669</v>
      </c>
      <c r="CR104" s="100">
        <v>8.0269734641752759</v>
      </c>
      <c r="CS104" s="100">
        <v>5076.2580187444446</v>
      </c>
      <c r="CT104" s="100">
        <v>3.8873669444985328</v>
      </c>
      <c r="CU104" s="100">
        <v>2458.3708557008722</v>
      </c>
    </row>
    <row r="105" spans="2:99">
      <c r="C105" s="99" t="s">
        <v>271</v>
      </c>
      <c r="D105" s="100">
        <v>11</v>
      </c>
      <c r="E105" s="100">
        <v>6124.7999999999993</v>
      </c>
      <c r="F105" s="100">
        <v>10.001416999736284</v>
      </c>
      <c r="G105" s="100">
        <v>5568.7889854531622</v>
      </c>
      <c r="H105" s="100">
        <v>4.5485723186249816</v>
      </c>
      <c r="I105" s="100">
        <v>2532.6450670103895</v>
      </c>
      <c r="J105" s="100">
        <v>10.049067050491551</v>
      </c>
      <c r="K105" s="100">
        <v>5595.3205337136951</v>
      </c>
      <c r="L105" s="100">
        <v>5.9569183680759563</v>
      </c>
      <c r="M105" s="100">
        <v>3316.8121473446922</v>
      </c>
      <c r="N105" s="100">
        <v>7.038463600055314</v>
      </c>
      <c r="O105" s="100">
        <v>3919.0165325107987</v>
      </c>
      <c r="P105" s="100">
        <v>5.6756279449799649</v>
      </c>
      <c r="Q105" s="100">
        <v>3160.1896397648443</v>
      </c>
      <c r="R105" s="100">
        <v>9.0351604321232966</v>
      </c>
      <c r="S105" s="100">
        <v>5030.7773286062511</v>
      </c>
      <c r="T105" s="100">
        <v>6.7577527891194062</v>
      </c>
      <c r="U105" s="100">
        <v>3762.7167529816852</v>
      </c>
      <c r="V105" s="100">
        <v>3.8618219894508865</v>
      </c>
      <c r="W105" s="100">
        <v>2150.2624837262533</v>
      </c>
      <c r="X105" s="100">
        <v>7.8469924104213451</v>
      </c>
      <c r="Y105" s="100">
        <v>4369.2053741226046</v>
      </c>
      <c r="Z105" s="100">
        <v>6.8866932406277446</v>
      </c>
      <c r="AA105" s="100">
        <v>3834.5107963815281</v>
      </c>
      <c r="AB105" s="100">
        <v>7.6332679019975593</v>
      </c>
      <c r="AC105" s="100">
        <v>4250.2035678322409</v>
      </c>
      <c r="AD105" s="100">
        <v>7.6303064040286239</v>
      </c>
      <c r="AE105" s="100">
        <v>4248.5546057631373</v>
      </c>
      <c r="AF105" s="100">
        <v>7.5287605275471332</v>
      </c>
      <c r="AG105" s="100">
        <v>4192.0138617382436</v>
      </c>
      <c r="AH105" s="100">
        <v>7.7424117518663902</v>
      </c>
      <c r="AI105" s="100">
        <v>4310.9748634392054</v>
      </c>
      <c r="AJ105" s="100">
        <v>6.1154943185790227</v>
      </c>
      <c r="AK105" s="100">
        <v>3405.1072365847995</v>
      </c>
      <c r="AL105" s="100">
        <v>6.9661684097369649</v>
      </c>
      <c r="AM105" s="100">
        <v>3878.7625705415417</v>
      </c>
      <c r="AN105" s="100">
        <v>6.8966502508897243</v>
      </c>
      <c r="AO105" s="100">
        <v>3840.0548596953981</v>
      </c>
      <c r="AP105" s="100">
        <v>7.8012267053154245</v>
      </c>
      <c r="AQ105" s="100">
        <v>4343.7230295196277</v>
      </c>
      <c r="AR105" s="100">
        <v>7.3817915130563518</v>
      </c>
      <c r="AS105" s="100">
        <v>4110.1815144697766</v>
      </c>
      <c r="AT105" s="100">
        <v>6.6073670346213298</v>
      </c>
      <c r="AU105" s="100">
        <v>3678.9819648771563</v>
      </c>
      <c r="AV105" s="100">
        <v>7.5688935525658465</v>
      </c>
      <c r="AW105" s="100">
        <v>4214.3599300686628</v>
      </c>
      <c r="AX105" s="100">
        <v>5.5882001985048557</v>
      </c>
      <c r="AY105" s="100">
        <v>3111.5098705275036</v>
      </c>
      <c r="AZ105" s="100">
        <v>8.7265237109217804</v>
      </c>
      <c r="BA105" s="100">
        <v>4858.9284022412467</v>
      </c>
      <c r="BB105" s="100">
        <v>5.0981763389608146</v>
      </c>
      <c r="BC105" s="100">
        <v>2838.6645855333813</v>
      </c>
      <c r="BD105" s="100">
        <v>6.3809951067023496</v>
      </c>
      <c r="BE105" s="100">
        <v>3552.9380754118679</v>
      </c>
      <c r="BF105" s="100">
        <v>7.3884841809242774</v>
      </c>
      <c r="BG105" s="100">
        <v>4113.9079919386377</v>
      </c>
      <c r="BH105" s="100">
        <v>8.2765669763501979</v>
      </c>
      <c r="BI105" s="100">
        <v>4608.3924924317898</v>
      </c>
      <c r="BJ105" s="100">
        <v>4.114717341978853</v>
      </c>
      <c r="BK105" s="100">
        <v>2291.0746160138251</v>
      </c>
      <c r="BL105" s="100">
        <v>10.376684879736633</v>
      </c>
      <c r="BM105" s="100">
        <v>5777.7381410373564</v>
      </c>
      <c r="BN105" s="100">
        <v>8.2186404659295977</v>
      </c>
      <c r="BO105" s="100">
        <v>4576.1390114296</v>
      </c>
      <c r="BP105" s="100">
        <v>7.6899222435469987</v>
      </c>
      <c r="BQ105" s="100">
        <v>4281.7487052069682</v>
      </c>
      <c r="BR105" s="100">
        <v>5.4776307609935309</v>
      </c>
      <c r="BS105" s="100">
        <v>3049.9448077211978</v>
      </c>
      <c r="BT105" s="100">
        <v>9.3269159783017628</v>
      </c>
      <c r="BU105" s="100">
        <v>5193.2268167184211</v>
      </c>
      <c r="BV105" s="100">
        <v>7.5177861759604303</v>
      </c>
      <c r="BW105" s="100">
        <v>4185.9033427747672</v>
      </c>
      <c r="BX105" s="100">
        <v>6.2807076688278274</v>
      </c>
      <c r="BY105" s="100">
        <v>3497.0980300033339</v>
      </c>
      <c r="BZ105" s="100">
        <v>7.3879059029461409</v>
      </c>
      <c r="CA105" s="100">
        <v>4113.5860067604108</v>
      </c>
      <c r="CB105" s="100">
        <v>7.6324675849049362</v>
      </c>
      <c r="CC105" s="100">
        <v>4249.7579512750681</v>
      </c>
      <c r="CD105" s="100">
        <v>7.0842489714523715</v>
      </c>
      <c r="CE105" s="100">
        <v>3944.5098273046801</v>
      </c>
      <c r="CF105" s="100">
        <v>5.99764222520629</v>
      </c>
      <c r="CG105" s="100">
        <v>3339.487190994862</v>
      </c>
      <c r="CH105" s="100">
        <v>5.1041658701188499</v>
      </c>
      <c r="CI105" s="100">
        <v>2841.9995564821752</v>
      </c>
      <c r="CJ105" s="100">
        <v>7.8949329135179873</v>
      </c>
      <c r="CK105" s="100">
        <v>4395.8986462468147</v>
      </c>
      <c r="CL105" s="100">
        <v>4.7429268899536723</v>
      </c>
      <c r="CM105" s="100">
        <v>2640.8616923262043</v>
      </c>
      <c r="CN105" s="100">
        <v>8.0248593999020983</v>
      </c>
      <c r="CO105" s="100">
        <v>4468.2417138654882</v>
      </c>
      <c r="CP105" s="100">
        <v>5.6915005934439709</v>
      </c>
      <c r="CQ105" s="100">
        <v>3169.0275304296028</v>
      </c>
      <c r="CR105" s="100">
        <v>8.6084569742454509</v>
      </c>
      <c r="CS105" s="100">
        <v>4793.1888432598671</v>
      </c>
      <c r="CT105" s="100">
        <v>4.3732878125608492</v>
      </c>
      <c r="CU105" s="100">
        <v>2435.0466540338807</v>
      </c>
    </row>
    <row r="107" spans="2:99">
      <c r="B107" s="104" t="s">
        <v>276</v>
      </c>
    </row>
    <row r="108" spans="2:99">
      <c r="C108" s="99" t="s">
        <v>277</v>
      </c>
      <c r="D108" s="99" t="s">
        <v>92</v>
      </c>
      <c r="E108" s="99" t="s">
        <v>93</v>
      </c>
      <c r="F108" s="99" t="s">
        <v>94</v>
      </c>
      <c r="G108" s="99" t="s">
        <v>95</v>
      </c>
      <c r="H108" s="99" t="s">
        <v>96</v>
      </c>
      <c r="I108" s="99" t="s">
        <v>97</v>
      </c>
      <c r="J108" s="99" t="s">
        <v>98</v>
      </c>
      <c r="K108" s="99" t="s">
        <v>99</v>
      </c>
      <c r="L108" s="99" t="s">
        <v>100</v>
      </c>
      <c r="M108" s="99" t="s">
        <v>101</v>
      </c>
      <c r="N108" s="99" t="s">
        <v>102</v>
      </c>
      <c r="O108" s="99" t="s">
        <v>103</v>
      </c>
    </row>
    <row r="109" spans="2:99">
      <c r="C109" s="99" t="s">
        <v>126</v>
      </c>
      <c r="D109" s="100">
        <f>SUM(D$6:D$19)+SUM(F$6:F$19)+SUM(H$6:H$19)+SUM(J$6:J$19)</f>
        <v>218.21075541938797</v>
      </c>
      <c r="E109" s="100">
        <f>SUM(L$6:L$19)+SUM(N$6:N$19)+SUM(P$6:P$19)+SUM(R$6:R$19)</f>
        <v>231.51589260859748</v>
      </c>
      <c r="F109" s="100">
        <f>SUM(T$6:T$19)+SUM(V$6:V$19)+SUM(X$6:X$19)+SUM(Z$6:Z$19)</f>
        <v>362.91685409403613</v>
      </c>
      <c r="G109" s="100">
        <f>SUM(AB$6:AB$19)+SUM(AD$6:AD$19)+SUM(AF$6:AF$19)+SUM(AH$6:AH$19)</f>
        <v>373.4930510599296</v>
      </c>
      <c r="H109" s="100">
        <f>SUM(AJ$6:AJ$19)+SUM(AL$6:AL$19)+SUM(AN$6:AN$19)+SUM(AP$6:AP$19)</f>
        <v>321.73515989790815</v>
      </c>
      <c r="I109" s="100">
        <f>SUM(AR$6:AR$19)+SUM(AT$6:AT$19)+SUM(AV$6:AV$19)+SUM(AX$6:AX$19)</f>
        <v>365.54805979573439</v>
      </c>
      <c r="J109" s="100">
        <f>SUM(AZ$6:AZ$19)+SUM(BB$6:BB$19)+SUM(BD$6:BD$19)+SUM(BF$6:BF$19)</f>
        <v>369.90379078841886</v>
      </c>
      <c r="K109" s="100">
        <f>SUM(BH$6:BH$19)+SUM(BJ$6:BJ$19)+SUM(BL$6:BL$19)+SUM(BN$6:BN$19)</f>
        <v>371.46074370567027</v>
      </c>
      <c r="L109" s="100">
        <f>SUM(BP$6:BP$19)+SUM(BR$6:BR$19)+SUM(BT$6:BT$19)+SUM(BV$6:BV$19)</f>
        <v>285.52329609542664</v>
      </c>
      <c r="M109" s="100">
        <f>SUM(BX$6:BX$19)+SUM(BZ$6:BZ$19)+SUM(CB$6:CB$19)+SUM(CD$6:CD$19)</f>
        <v>345.46457133055736</v>
      </c>
      <c r="N109" s="100">
        <f>SUM(CF$6:CF$19)+SUM(CH$6:CH$19)+SUM(CJ$6:CJ$19)+SUM(CL$6:CL$19)</f>
        <v>346.12880394273333</v>
      </c>
      <c r="O109" s="100">
        <f>SUM(CN$6:CN$19)+SUM(CP$6:CP$19)+SUM(CR$6:CR$19)+SUM(CT$6:CT$19)</f>
        <v>340.45944106563348</v>
      </c>
    </row>
    <row r="110" spans="2:99">
      <c r="C110" s="99" t="s">
        <v>127</v>
      </c>
      <c r="D110" s="100">
        <f>SUM(D$20:D$36)+SUM(F$20:F$36)+SUM(H$20:H$36)+SUM(J$20:J$36)</f>
        <v>376.9125371581639</v>
      </c>
      <c r="E110" s="100">
        <f>SUM(L$20:L$36)+SUM(N$20:N$36)+SUM(P$20:P$36)+SUM(R$20:R$36)</f>
        <v>458.0554590526238</v>
      </c>
      <c r="F110" s="100">
        <f>SUM(T$20:T$36)+SUM(V$20:V$36)+SUM(X$20:X$36)+SUM(Z$20:Z$36)</f>
        <v>447.84970320749306</v>
      </c>
      <c r="G110" s="100">
        <f>SUM(AB$20:AB$36)+SUM(AD$20:AD$36)+SUM(AF$20:AF$36)+SUM(AH$20:AH$36)</f>
        <v>533.09096589799969</v>
      </c>
      <c r="H110" s="100">
        <f>SUM(AJ$20:AJ$36)+SUM(AL$20:AL$36)+SUM(AN$20:AN$36)+SUM(AP$20:AP$36)</f>
        <v>489.71918522627755</v>
      </c>
      <c r="I110" s="100">
        <f>SUM(AR$20:AR$36)+SUM(AT$20:AT$36)+SUM(AV$20:AV$36)+SUM(AX$20:AX$36)</f>
        <v>505.71818469009321</v>
      </c>
      <c r="J110" s="100">
        <f>SUM(AZ$20:AZ$36)+SUM(BB$20:BB$36)+SUM(BD$20:BD$36)+SUM(BF$20:BF$36)</f>
        <v>491.75400372163932</v>
      </c>
      <c r="K110" s="100">
        <f>SUM(BH$20:BH$36)+SUM(BJ$20:BJ$36)+SUM(BL$20:BL$36)+SUM(BN$20:BN$36)</f>
        <v>535.9581747787804</v>
      </c>
      <c r="L110" s="100">
        <f>SUM(BP$20:BP$36)+SUM(BR$20:BR$36)+SUM(BT$20:BT$36)+SUM(BV$20:BV$36)</f>
        <v>456.92305494722018</v>
      </c>
      <c r="M110" s="100">
        <f>SUM(BX$20:BX$36)+SUM(BZ$20:BZ$36)+SUM(CB$20:CB$36)+SUM(CD$20:CD$36)</f>
        <v>458.46791184018252</v>
      </c>
      <c r="N110" s="100">
        <f>SUM(CF$20:CF$36)+SUM(CH$20:CH$36)+SUM(CJ$20:CJ$36)+SUM(CL$20:CL$36)</f>
        <v>499.52410905460903</v>
      </c>
      <c r="O110" s="100">
        <f>SUM(CN$20:CN$36)+SUM(CP$20:CP$36)+SUM(CR$20:CR$36)+SUM(CT$20:CT$36)</f>
        <v>535.76729187445744</v>
      </c>
    </row>
    <row r="111" spans="2:99">
      <c r="C111" s="99" t="s">
        <v>128</v>
      </c>
      <c r="D111" s="100">
        <f>SUM(D$37:D$48)+SUM(F$37:F$48)+SUM(H$37:H$48)+SUM(J$37:J$48)</f>
        <v>564.61158587174646</v>
      </c>
      <c r="E111" s="100">
        <f>SUM(L$37:L$48)+SUM(N$37:N$48)+SUM(P$37:P$48)+SUM(R$37:R$48)</f>
        <v>507.09221525531518</v>
      </c>
      <c r="F111" s="100">
        <f>SUM(T$37:T$48)+SUM(V$37:V$48)+SUM(X$37:X$48)+SUM(Z$37:Z$48)</f>
        <v>620.57352346280311</v>
      </c>
      <c r="G111" s="100">
        <f>SUM(AB$37:AB$48)+SUM(AD$37:AD$48)+SUM(AF$37:AF$48)+SUM(AH$37:AH$48)</f>
        <v>615.98800652558691</v>
      </c>
      <c r="H111" s="100">
        <f>SUM(AJ$37:AJ$48)+SUM(AL$37:AL$48)+SUM(AN$37:AN$48)+SUM(AP$37:AP$48)</f>
        <v>503.75345461209366</v>
      </c>
      <c r="I111" s="100">
        <f>SUM(AR$37:AR$48)+SUM(AT$37:AT$48)+SUM(AV$37:AV$48)+SUM(AX$37:AX$48)</f>
        <v>540.88861337031813</v>
      </c>
      <c r="J111" s="100">
        <f>SUM(AZ$37:AZ$48)+SUM(BB$37:BB$48)+SUM(BD$37:BD$48)+SUM(BF$37:BF$48)</f>
        <v>585.66837225249287</v>
      </c>
      <c r="K111" s="100">
        <f>SUM(BH$37:BH$48)+SUM(BJ$37:BJ$48)+SUM(BL$37:BL$48)+SUM(BN$37:BN$48)</f>
        <v>634.26615853412375</v>
      </c>
      <c r="L111" s="100">
        <f>SUM(BP$37:BP$48)+SUM(BR$37:BR$48)+SUM(BT$37:BT$48)+SUM(BV$37:BV$48)</f>
        <v>562.00278151167493</v>
      </c>
      <c r="M111" s="100">
        <f>SUM(BX$37:BX$48)+SUM(BZ$37:BZ$48)+SUM(CB$37:CB$48)+SUM(CD$37:CD$48)</f>
        <v>526.27695499388938</v>
      </c>
      <c r="N111" s="100">
        <f>SUM(CF$37:CF$48)+SUM(CH$37:CH$48)+SUM(CJ$37:CJ$48)+SUM(CL$37:CL$48)</f>
        <v>496.14797278503147</v>
      </c>
      <c r="O111" s="100">
        <f>SUM(CN$37:CN$48)+SUM(CP$37:CP$48)+SUM(CR$37:CR$48)+SUM(CT$37:CT$48)</f>
        <v>546.68527711466049</v>
      </c>
    </row>
    <row r="112" spans="2:99">
      <c r="C112" s="99" t="s">
        <v>129</v>
      </c>
      <c r="D112" s="100">
        <f>SUM(D$49:D$70)+SUM(F$49:F$70)+SUM(H$49:H$70)+SUM(J$49:J$70)</f>
        <v>474.96885131597259</v>
      </c>
      <c r="E112" s="100">
        <f>SUM(L$49:L$70)+SUM(N$49:N$70)+SUM(P$49:P$70)+SUM(R$49:R$70)</f>
        <v>626.65893496046988</v>
      </c>
      <c r="F112" s="100">
        <f>SUM(T$49:T$70)+SUM(V$49:V$70)+SUM(X$49:X$70)+SUM(Z$49:Z$70)</f>
        <v>572.27295435879273</v>
      </c>
      <c r="G112" s="100">
        <f>SUM(AB$49:AB$70)+SUM(AD$49:AD$70)+SUM(AF$49:AF$70)+SUM(AH$49:AH$70)</f>
        <v>575.56762802583751</v>
      </c>
      <c r="H112" s="100">
        <f>SUM(AJ$49:AJ$70)+SUM(AL$49:AL$70)+SUM(AN$49:AN$70)+SUM(AP$49:AP$70)</f>
        <v>572.31561315654267</v>
      </c>
      <c r="I112" s="100">
        <f>SUM(AR$49:AR$70)+SUM(AT$49:AT$70)+SUM(AV$49:AV$70)+SUM(AX$49:AX$70)</f>
        <v>697.21936484174557</v>
      </c>
      <c r="J112" s="100">
        <f>SUM(AZ$49:AZ$70)+SUM(BB$49:BB$70)+SUM(BD$49:BD$70)+SUM(BF$49:BF$70)</f>
        <v>544.41482354432947</v>
      </c>
      <c r="K112" s="100">
        <f>SUM(BH$49:BH$70)+SUM(BJ$49:BJ$70)+SUM(BL$49:BL$70)+SUM(BN$49:BN$70)</f>
        <v>526.18629456192548</v>
      </c>
      <c r="L112" s="100">
        <f>SUM(BP$49:BP$70)+SUM(BR$49:BR$70)+SUM(BT$49:BT$70)+SUM(BV$49:BV$70)</f>
        <v>583.12445586521812</v>
      </c>
      <c r="M112" s="100">
        <f>SUM(BX$49:BX$70)+SUM(BZ$49:BZ$70)+SUM(CB$49:CB$70)+SUM(CD$49:CD$70)</f>
        <v>632.6561501350244</v>
      </c>
      <c r="N112" s="100">
        <f>SUM(CF$49:CF$70)+SUM(CH$49:CH$70)+SUM(CJ$49:CJ$70)+SUM(CL$49:CL$70)</f>
        <v>645.0106080511091</v>
      </c>
      <c r="O112" s="100">
        <f>SUM(CN$49:CN$70)+SUM(CP$49:CP$70)+SUM(CR$49:CR$70)+SUM(CT$49:CT$70)</f>
        <v>566.53670336726816</v>
      </c>
    </row>
    <row r="113" spans="2:15">
      <c r="C113" s="99" t="s">
        <v>130</v>
      </c>
      <c r="D113" s="100">
        <f>SUM(D$71:D$86)+SUM(F$71:F$86)+SUM(H$71:H$86)+SUM(J$71:J$86)</f>
        <v>385.76041467991894</v>
      </c>
      <c r="E113" s="100">
        <f>SUM(L$71:L$86)+SUM(N$71:N$86)+SUM(P$71:P$86)+SUM(R$71:R$86)</f>
        <v>379.99172669184986</v>
      </c>
      <c r="F113" s="100">
        <f>SUM(T$71:T$86)+SUM(V$71:V$86)+SUM(X$71:X$86)+SUM(Z$71:Z$86)</f>
        <v>357.76375585656501</v>
      </c>
      <c r="G113" s="100">
        <f>SUM(AB$71:AB$86)+SUM(AD$71:AD$86)+SUM(AF$71:AF$86)+SUM(AH$71:AH$86)</f>
        <v>374.31429336072279</v>
      </c>
      <c r="H113" s="100">
        <f>SUM(AJ$71:AJ$86)+SUM(AL$71:AL$86)+SUM(AN$71:AN$86)+SUM(AP$71:AP$86)</f>
        <v>388.90530936541461</v>
      </c>
      <c r="I113" s="100">
        <f>SUM(AR$71:AR$86)+SUM(AT$71:AT$86)+SUM(AV$71:AV$86)+SUM(AX$71:AX$86)</f>
        <v>362.79694666247588</v>
      </c>
      <c r="J113" s="100">
        <f>SUM(AZ$71:AZ$86)+SUM(BB$71:BB$86)+SUM(BD$71:BD$86)+SUM(BF$71:BF$86)</f>
        <v>398.09194499506737</v>
      </c>
      <c r="K113" s="100">
        <f>SUM(BH$71:BH$86)+SUM(BJ$71:BJ$86)+SUM(BL$71:BL$86)+SUM(BN$71:BN$86)</f>
        <v>377.34228449547084</v>
      </c>
      <c r="L113" s="100">
        <f>SUM(BP$71:BP$86)+SUM(BR$71:BR$86)+SUM(BT$71:BT$86)+SUM(BV$71:BV$86)</f>
        <v>379.8129238623917</v>
      </c>
      <c r="M113" s="100">
        <f>SUM(BX$71:BX$86)+SUM(BZ$71:BZ$86)+SUM(CB$71:CB$86)+SUM(CD$71:CD$86)</f>
        <v>354.20244687389163</v>
      </c>
      <c r="N113" s="100">
        <f>SUM(CF$71:CF$86)+SUM(CH$71:CH$86)+SUM(CJ$71:CJ$86)+SUM(CL$71:CL$86)</f>
        <v>361.84601894114701</v>
      </c>
      <c r="O113" s="100">
        <f>SUM(CN$71:CN$86)+SUM(CP$71:CP$86)+SUM(CR$71:CR$86)+SUM(CT$71:CT$86)</f>
        <v>351.76138218224315</v>
      </c>
    </row>
    <row r="114" spans="2:15">
      <c r="C114" s="99" t="s">
        <v>131</v>
      </c>
      <c r="D114" s="100">
        <f>SUM(D$87:D$94)+SUM(F$87:F$94)+SUM(H$87:H$94)+SUM(J$87:J$94)</f>
        <v>160.77730595490311</v>
      </c>
      <c r="E114" s="100">
        <f>SUM(L$87:L$94)+SUM(N$87:N$94)+SUM(P$87:P$94)+SUM(R$87:R$94)</f>
        <v>161.29767607969842</v>
      </c>
      <c r="F114" s="100">
        <f>SUM(T$87:T$94)+SUM(V$87:V$94)+SUM(X$87:X$94)+SUM(Z$87:Z$94)</f>
        <v>150.34870369721767</v>
      </c>
      <c r="G114" s="100">
        <f>SUM(AB$87:AB$94)+SUM(AD$87:AD$94)+SUM(AF$87:AF$94)+SUM(AH$87:AH$94)</f>
        <v>164.43187842793313</v>
      </c>
      <c r="H114" s="100">
        <f>SUM(AJ$87:AJ$94)+SUM(AL$87:AL$94)+SUM(AN$87:AN$94)+SUM(AP$87:AP$94)</f>
        <v>162.98950544042214</v>
      </c>
      <c r="I114" s="100">
        <f>SUM(AR$87:AR$94)+SUM(AT$87:AT$94)+SUM(AV$87:AV$94)+SUM(AX$87:AX$94)</f>
        <v>151.85892300666137</v>
      </c>
      <c r="J114" s="100">
        <f>SUM(AZ$87:AZ$94)+SUM(BB$87:BB$94)+SUM(BD$87:BD$94)+SUM(BF$87:BF$94)</f>
        <v>152.67421446377023</v>
      </c>
      <c r="K114" s="100">
        <f>SUM(BH$87:BH$94)+SUM(BJ$87:BJ$94)+SUM(BL$87:BL$94)+SUM(BN$87:BN$94)</f>
        <v>180.96372932212375</v>
      </c>
      <c r="L114" s="100">
        <f>SUM(BP$87:BP$94)+SUM(BR$87:BR$94)+SUM(BT$87:BT$94)+SUM(BV$87:BV$94)</f>
        <v>160.86409652949268</v>
      </c>
      <c r="M114" s="100">
        <f>SUM(BX$87:BX$94)+SUM(BZ$87:BZ$94)+SUM(CB$87:CB$94)+SUM(CD$87:CD$94)</f>
        <v>137.94301172821187</v>
      </c>
      <c r="N114" s="100">
        <f>SUM(CF$87:CF$94)+SUM(CH$87:CH$94)+SUM(CJ$87:CJ$94)+SUM(CL$87:CL$94)</f>
        <v>161.72146374665962</v>
      </c>
      <c r="O114" s="100">
        <f>SUM(CN$87:CN$94)+SUM(CP$87:CP$94)+SUM(CR$87:CR$94)+SUM(CT$87:CT$94)</f>
        <v>128.67183051206422</v>
      </c>
    </row>
    <row r="115" spans="2:15">
      <c r="C115" s="99" t="s">
        <v>132</v>
      </c>
      <c r="D115" s="100">
        <f>SUM(D$95:D$105)+SUM(F$95:F$105)+SUM(H$95:H$105)+SUM(J$95:J$105)</f>
        <v>390.78221476867753</v>
      </c>
      <c r="E115" s="100">
        <f>SUM(L$95:L$105)+SUM(N$95:N$105)+SUM(P$95:P$105)+SUM(R$95:R$105)</f>
        <v>308.20185960405837</v>
      </c>
      <c r="F115" s="100">
        <f>SUM(T$95:T$105)+SUM(V$95:V$105)+SUM(X$95:X$105)+SUM(Z$95:Z$105)</f>
        <v>291.59559864970436</v>
      </c>
      <c r="G115" s="100">
        <f>SUM(AB$95:AB$105)+SUM(AD$95:AD$105)+SUM(AF$95:AF$105)+SUM(AH$95:AH$105)</f>
        <v>302.71247387691898</v>
      </c>
      <c r="H115" s="100">
        <f>SUM(AJ$95:AJ$105)+SUM(AL$95:AL$105)+SUM(AN$95:AN$105)+SUM(AP$95:AP$105)</f>
        <v>306.15183037610217</v>
      </c>
      <c r="I115" s="100">
        <f>SUM(AR$95:AR$105)+SUM(AT$95:AT$105)+SUM(AV$95:AV$105)+SUM(AX$95:AX$105)</f>
        <v>311.2240041077232</v>
      </c>
      <c r="J115" s="100">
        <f>SUM(AZ$95:AZ$105)+SUM(BB$95:BB$105)+SUM(BD$95:BD$105)+SUM(BF$95:BF$105)</f>
        <v>288.32931587590025</v>
      </c>
      <c r="K115" s="100">
        <f>SUM(BH$95:BH$105)+SUM(BJ$95:BJ$105)+SUM(BL$95:BL$105)+SUM(BN$95:BN$105)</f>
        <v>338.20388579743138</v>
      </c>
      <c r="L115" s="100">
        <f>SUM(BP$95:BP$105)+SUM(BR$95:BR$105)+SUM(BT$95:BT$105)+SUM(BV$95:BV$105)</f>
        <v>316.11705326184239</v>
      </c>
      <c r="M115" s="100">
        <f>SUM(BX$95:BX$105)+SUM(BZ$95:BZ$105)+SUM(CB$95:CB$105)+SUM(CD$95:CD$105)</f>
        <v>305.43953279229311</v>
      </c>
      <c r="N115" s="100">
        <f>SUM(CF$95:CF$105)+SUM(CH$95:CH$105)+SUM(CJ$95:CJ$105)+SUM(CL$95:CL$105)</f>
        <v>259.91468354282216</v>
      </c>
      <c r="O115" s="100">
        <f>SUM(CN$95:CN$105)+SUM(CP$95:CP$105)+SUM(CR$95:CR$105)+SUM(CT$95:CT$105)</f>
        <v>290.69990352213705</v>
      </c>
    </row>
    <row r="116" spans="2:15">
      <c r="C116" s="99" t="s">
        <v>278</v>
      </c>
      <c r="D116" s="100">
        <f t="shared" ref="D116:O116" si="0">SUM(D$109:D$115)</f>
        <v>2572.0236651687705</v>
      </c>
      <c r="E116" s="100">
        <f t="shared" si="0"/>
        <v>2672.8137642526131</v>
      </c>
      <c r="F116" s="100">
        <f t="shared" si="0"/>
        <v>2803.3210933266123</v>
      </c>
      <c r="G116" s="100">
        <f t="shared" si="0"/>
        <v>2939.5982971749286</v>
      </c>
      <c r="H116" s="100">
        <f t="shared" si="0"/>
        <v>2745.5700580747607</v>
      </c>
      <c r="I116" s="100">
        <f t="shared" si="0"/>
        <v>2935.2540964747513</v>
      </c>
      <c r="J116" s="100">
        <f t="shared" si="0"/>
        <v>2830.8364656416184</v>
      </c>
      <c r="K116" s="100">
        <f t="shared" si="0"/>
        <v>2964.3812711955252</v>
      </c>
      <c r="L116" s="100">
        <f t="shared" si="0"/>
        <v>2744.3676620732667</v>
      </c>
      <c r="M116" s="100">
        <f t="shared" si="0"/>
        <v>2760.4505796940502</v>
      </c>
      <c r="N116" s="100">
        <f t="shared" si="0"/>
        <v>2770.2936600641119</v>
      </c>
      <c r="O116" s="100">
        <f t="shared" si="0"/>
        <v>2760.5818296384641</v>
      </c>
    </row>
    <row r="118" spans="2:15">
      <c r="B118" s="103" t="s">
        <v>279</v>
      </c>
    </row>
    <row r="119" spans="2:15">
      <c r="C119" s="99" t="s">
        <v>277</v>
      </c>
      <c r="D119" s="99" t="s">
        <v>92</v>
      </c>
      <c r="E119" s="99" t="s">
        <v>93</v>
      </c>
      <c r="F119" s="99" t="s">
        <v>94</v>
      </c>
      <c r="G119" s="99" t="s">
        <v>95</v>
      </c>
      <c r="H119" s="99" t="s">
        <v>96</v>
      </c>
      <c r="I119" s="99" t="s">
        <v>97</v>
      </c>
      <c r="J119" s="99" t="s">
        <v>98</v>
      </c>
      <c r="K119" s="99" t="s">
        <v>99</v>
      </c>
      <c r="L119" s="99" t="s">
        <v>100</v>
      </c>
      <c r="M119" s="99" t="s">
        <v>101</v>
      </c>
      <c r="N119" s="99" t="s">
        <v>102</v>
      </c>
      <c r="O119" s="99" t="s">
        <v>103</v>
      </c>
    </row>
    <row r="120" spans="2:15">
      <c r="C120" s="99" t="s">
        <v>126</v>
      </c>
      <c r="D120" s="100">
        <f>D109*pricing!D33*2000</f>
        <v>1178338.0792646951</v>
      </c>
      <c r="E120" s="100">
        <f>E109*pricing!E33*2000</f>
        <v>1250185.8200864266</v>
      </c>
      <c r="F120" s="100">
        <f>F109*pricing!F33*2000</f>
        <v>1959751.0121077953</v>
      </c>
      <c r="G120" s="100">
        <f>G109*pricing!G33*2000</f>
        <v>2016862.47572362</v>
      </c>
      <c r="H120" s="100">
        <f>H109*pricing!H33*2000</f>
        <v>1737369.8634487041</v>
      </c>
      <c r="I120" s="100">
        <f>I109*pricing!I33*2000</f>
        <v>1973959.5228969657</v>
      </c>
      <c r="J120" s="100">
        <f>J109*pricing!J33*2000</f>
        <v>1997480.470257462</v>
      </c>
      <c r="K120" s="100">
        <f>K109*pricing!K33*2000</f>
        <v>2005888.0160106197</v>
      </c>
      <c r="L120" s="100">
        <f>L109*pricing!L33*2000</f>
        <v>1541825.798915304</v>
      </c>
      <c r="M120" s="100">
        <f>M109*pricing!M33*2000</f>
        <v>1865508.6851850098</v>
      </c>
      <c r="N120" s="100">
        <f>N109*pricing!N33*2000</f>
        <v>1869095.54129076</v>
      </c>
      <c r="O120" s="100">
        <f>O109*pricing!O33*2000</f>
        <v>1838480.981754421</v>
      </c>
    </row>
    <row r="121" spans="2:15">
      <c r="C121" s="99" t="s">
        <v>127</v>
      </c>
      <c r="D121" s="100">
        <f>D110*pricing!D34*2000</f>
        <v>1809180.1783591865</v>
      </c>
      <c r="E121" s="100">
        <f>E110*pricing!E34*2000</f>
        <v>2198666.2034525946</v>
      </c>
      <c r="F121" s="100">
        <f>F110*pricing!F34*2000</f>
        <v>2149678.5753959664</v>
      </c>
      <c r="G121" s="100">
        <f>G110*pricing!G34*2000</f>
        <v>2558836.6363103981</v>
      </c>
      <c r="H121" s="100">
        <f>H110*pricing!H34*2000</f>
        <v>2350652.0890861321</v>
      </c>
      <c r="I121" s="100">
        <f>I110*pricing!I34*2000</f>
        <v>2427447.2865124471</v>
      </c>
      <c r="J121" s="100">
        <f>J110*pricing!J34*2000</f>
        <v>2360419.2178638685</v>
      </c>
      <c r="K121" s="100">
        <f>K110*pricing!K34*2000</f>
        <v>2572599.2389381458</v>
      </c>
      <c r="L121" s="100">
        <f>L110*pricing!L34*2000</f>
        <v>2193230.6637466568</v>
      </c>
      <c r="M121" s="100">
        <f>M110*pricing!M34*2000</f>
        <v>2200645.976832876</v>
      </c>
      <c r="N121" s="100">
        <f>N110*pricing!N34*2000</f>
        <v>2397715.723462123</v>
      </c>
      <c r="O121" s="100">
        <f>O110*pricing!O34*2000</f>
        <v>2571683.0009973957</v>
      </c>
    </row>
    <row r="122" spans="2:15">
      <c r="C122" s="99" t="s">
        <v>128</v>
      </c>
      <c r="D122" s="100">
        <f>D111*pricing!D35*2000</f>
        <v>2597213.2950100335</v>
      </c>
      <c r="E122" s="100">
        <f>E111*pricing!E35*2000</f>
        <v>2332624.1901744497</v>
      </c>
      <c r="F122" s="100">
        <f>F111*pricing!F35*2000</f>
        <v>2854638.2079288941</v>
      </c>
      <c r="G122" s="100">
        <f>G111*pricing!G35*2000</f>
        <v>2833544.8300176994</v>
      </c>
      <c r="H122" s="100">
        <f>H111*pricing!H35*2000</f>
        <v>2317265.8912156308</v>
      </c>
      <c r="I122" s="100">
        <f>I111*pricing!I35*2000</f>
        <v>2488087.621503463</v>
      </c>
      <c r="J122" s="100">
        <f>J111*pricing!J35*2000</f>
        <v>2694074.5123614669</v>
      </c>
      <c r="K122" s="100">
        <f>K111*pricing!K35*2000</f>
        <v>2917624.329256969</v>
      </c>
      <c r="L122" s="100">
        <f>L111*pricing!L35*2000</f>
        <v>2585212.7949537043</v>
      </c>
      <c r="M122" s="100">
        <f>M111*pricing!M35*2000</f>
        <v>2420873.9929718911</v>
      </c>
      <c r="N122" s="100">
        <f>N111*pricing!N35*2000</f>
        <v>2282280.6748111448</v>
      </c>
      <c r="O122" s="100">
        <f>O111*pricing!O35*2000</f>
        <v>2514752.2747274381</v>
      </c>
    </row>
    <row r="123" spans="2:15">
      <c r="C123" s="99" t="s">
        <v>129</v>
      </c>
      <c r="D123" s="100">
        <f>D112*pricing!D36*2000</f>
        <v>2374844.2565798629</v>
      </c>
      <c r="E123" s="100">
        <f>E112*pricing!E36*2000</f>
        <v>3133294.6748023494</v>
      </c>
      <c r="F123" s="100">
        <f>F112*pricing!F36*2000</f>
        <v>2861364.7717939639</v>
      </c>
      <c r="G123" s="100">
        <f>G112*pricing!G36*2000</f>
        <v>2877838.1401291876</v>
      </c>
      <c r="H123" s="100">
        <f>H112*pricing!H36*2000</f>
        <v>2861578.0657827137</v>
      </c>
      <c r="I123" s="100">
        <f>I112*pricing!I36*2000</f>
        <v>3486096.824208728</v>
      </c>
      <c r="J123" s="100">
        <f>J112*pricing!J36*2000</f>
        <v>2722074.1177216475</v>
      </c>
      <c r="K123" s="100">
        <f>K112*pricing!K36*2000</f>
        <v>2630931.4728096272</v>
      </c>
      <c r="L123" s="100">
        <f>L112*pricing!L36*2000</f>
        <v>2915622.2793260906</v>
      </c>
      <c r="M123" s="100">
        <f>M112*pricing!M36*2000</f>
        <v>3163280.7506751218</v>
      </c>
      <c r="N123" s="100">
        <f>N112*pricing!N36*2000</f>
        <v>3225053.0402555456</v>
      </c>
      <c r="O123" s="100">
        <f>O112*pricing!O36*2000</f>
        <v>2832683.516836341</v>
      </c>
    </row>
    <row r="124" spans="2:15">
      <c r="C124" s="99" t="s">
        <v>130</v>
      </c>
      <c r="D124" s="100">
        <f>D113*pricing!D37*2000</f>
        <v>2005954.1563355785</v>
      </c>
      <c r="E124" s="100">
        <f>E113*pricing!E37*2000</f>
        <v>1975956.9787976192</v>
      </c>
      <c r="F124" s="100">
        <f>F113*pricing!F37*2000</f>
        <v>1860371.5304541381</v>
      </c>
      <c r="G124" s="100">
        <f>G113*pricing!G37*2000</f>
        <v>1946434.3254757584</v>
      </c>
      <c r="H124" s="100">
        <f>H113*pricing!H37*2000</f>
        <v>2022307.6087001562</v>
      </c>
      <c r="I124" s="100">
        <f>I113*pricing!I37*2000</f>
        <v>1886544.1226448745</v>
      </c>
      <c r="J124" s="100">
        <f>J113*pricing!J37*2000</f>
        <v>2070078.1139743503</v>
      </c>
      <c r="K124" s="100">
        <f>K113*pricing!K37*2000</f>
        <v>1962179.8793764482</v>
      </c>
      <c r="L124" s="100">
        <f>L113*pricing!L37*2000</f>
        <v>1975027.2040844369</v>
      </c>
      <c r="M124" s="100">
        <f>M113*pricing!M37*2000</f>
        <v>1841852.7237442366</v>
      </c>
      <c r="N124" s="100">
        <f>N113*pricing!N37*2000</f>
        <v>1881599.2984939644</v>
      </c>
      <c r="O124" s="100">
        <f>O113*pricing!O37*2000</f>
        <v>1829159.1873476645</v>
      </c>
    </row>
    <row r="125" spans="2:15">
      <c r="C125" s="99" t="s">
        <v>131</v>
      </c>
      <c r="D125" s="100">
        <f>D114*pricing!D38*2000</f>
        <v>900352.91334745742</v>
      </c>
      <c r="E125" s="100">
        <f>E114*pricing!E38*2000</f>
        <v>903266.9860463111</v>
      </c>
      <c r="F125" s="100">
        <f>F114*pricing!F38*2000</f>
        <v>841952.74070441897</v>
      </c>
      <c r="G125" s="100">
        <f>G114*pricing!G38*2000</f>
        <v>920818.51919642545</v>
      </c>
      <c r="H125" s="100">
        <f>H114*pricing!H38*2000</f>
        <v>912741.23046636384</v>
      </c>
      <c r="I125" s="100">
        <f>I114*pricing!I38*2000</f>
        <v>850409.96883730358</v>
      </c>
      <c r="J125" s="100">
        <f>J114*pricing!J38*2000</f>
        <v>854975.60099711327</v>
      </c>
      <c r="K125" s="100">
        <f>K114*pricing!K38*2000</f>
        <v>1013396.8842038929</v>
      </c>
      <c r="L125" s="100">
        <f>L114*pricing!L38*2000</f>
        <v>900838.94056515896</v>
      </c>
      <c r="M125" s="100">
        <f>M114*pricing!M38*2000</f>
        <v>772480.86567798641</v>
      </c>
      <c r="N125" s="100">
        <f>N114*pricing!N38*2000</f>
        <v>905640.19698129385</v>
      </c>
      <c r="O125" s="100">
        <f>O114*pricing!O38*2000</f>
        <v>720562.25086755957</v>
      </c>
    </row>
    <row r="126" spans="2:15">
      <c r="C126" s="99" t="s">
        <v>132</v>
      </c>
      <c r="D126" s="100">
        <f>D115*pricing!D39*2000</f>
        <v>2032067.5167971232</v>
      </c>
      <c r="E126" s="100">
        <f>E115*pricing!E39*2000</f>
        <v>1602649.6699411036</v>
      </c>
      <c r="F126" s="100">
        <f>F115*pricing!F39*2000</f>
        <v>1516297.1129784628</v>
      </c>
      <c r="G126" s="100">
        <f>G115*pricing!G39*2000</f>
        <v>1574104.8641599787</v>
      </c>
      <c r="H126" s="100">
        <f>H115*pricing!H39*2000</f>
        <v>1591989.5179557314</v>
      </c>
      <c r="I126" s="100">
        <f>I115*pricing!I39*2000</f>
        <v>1618364.8213601606</v>
      </c>
      <c r="J126" s="100">
        <f>J115*pricing!J39*2000</f>
        <v>1499312.4425546813</v>
      </c>
      <c r="K126" s="100">
        <f>K115*pricing!K39*2000</f>
        <v>1758660.2061466433</v>
      </c>
      <c r="L126" s="100">
        <f>L115*pricing!L39*2000</f>
        <v>1643808.6769615805</v>
      </c>
      <c r="M126" s="100">
        <f>M115*pricing!M39*2000</f>
        <v>1588285.5705199242</v>
      </c>
      <c r="N126" s="100">
        <f>N115*pricing!N39*2000</f>
        <v>1351556.3544226752</v>
      </c>
      <c r="O126" s="100">
        <f>O115*pricing!O39*2000</f>
        <v>1511639.4983151127</v>
      </c>
    </row>
    <row r="127" spans="2:15">
      <c r="C127" s="99" t="s">
        <v>278</v>
      </c>
      <c r="D127" s="100">
        <f>SUM(D$120:D$126)</f>
        <v>12897950.395693937</v>
      </c>
      <c r="E127" s="100">
        <f t="shared" ref="E127:O127" si="1">SUM(E$120:E$126)</f>
        <v>13396644.523300854</v>
      </c>
      <c r="F127" s="100">
        <f t="shared" si="1"/>
        <v>14044053.95136364</v>
      </c>
      <c r="G127" s="100">
        <f t="shared" si="1"/>
        <v>14728439.791013068</v>
      </c>
      <c r="H127" s="100">
        <f t="shared" si="1"/>
        <v>13793904.266655432</v>
      </c>
      <c r="I127" s="100">
        <f t="shared" si="1"/>
        <v>14730910.167963944</v>
      </c>
      <c r="J127" s="100">
        <f t="shared" si="1"/>
        <v>14198414.475730587</v>
      </c>
      <c r="K127" s="100">
        <f t="shared" si="1"/>
        <v>14861280.026742345</v>
      </c>
      <c r="L127" s="100">
        <f t="shared" si="1"/>
        <v>13755566.358552933</v>
      </c>
      <c r="M127" s="100">
        <f t="shared" si="1"/>
        <v>13852928.565607045</v>
      </c>
      <c r="N127" s="100">
        <f t="shared" si="1"/>
        <v>13912940.829717508</v>
      </c>
      <c r="O127" s="100">
        <f t="shared" si="1"/>
        <v>13818960.710845934</v>
      </c>
    </row>
    <row r="129" spans="2:15">
      <c r="B129" s="103" t="s">
        <v>280</v>
      </c>
    </row>
    <row r="130" spans="2:15">
      <c r="C130" s="105" t="s">
        <v>277</v>
      </c>
      <c r="D130" s="105" t="s">
        <v>92</v>
      </c>
      <c r="E130" s="105" t="s">
        <v>93</v>
      </c>
      <c r="F130" s="105" t="s">
        <v>94</v>
      </c>
      <c r="G130" s="105" t="s">
        <v>95</v>
      </c>
      <c r="H130" s="105" t="s">
        <v>96</v>
      </c>
      <c r="I130" s="105" t="s">
        <v>97</v>
      </c>
      <c r="J130" s="105" t="s">
        <v>98</v>
      </c>
      <c r="K130" s="105" t="s">
        <v>99</v>
      </c>
      <c r="L130" s="105" t="s">
        <v>100</v>
      </c>
      <c r="M130" s="105" t="s">
        <v>101</v>
      </c>
      <c r="N130" s="105" t="s">
        <v>102</v>
      </c>
      <c r="O130" s="105" t="s">
        <v>103</v>
      </c>
    </row>
    <row r="131" spans="2:15">
      <c r="C131" s="105" t="s">
        <v>126</v>
      </c>
      <c r="D131" s="106">
        <f>SUM(E$6:E$19)+SUM(G$6:G$19)+SUM(I$6:I$19)+SUM(K$6:K$19)</f>
        <v>110696.80855794135</v>
      </c>
      <c r="E131" s="106">
        <f>SUM(M$6:M$19)+SUM(O$6:O$19)+SUM(Q$6:Q$19)+SUM(S$6:S$19)</f>
        <v>116777.34002745527</v>
      </c>
      <c r="F131" s="106">
        <f>SUM(U$6:U$19)+SUM(W$6:W$19)+SUM(Y$6:Y$19)+SUM(AA$6:AA$19)</f>
        <v>183960.58428598996</v>
      </c>
      <c r="G131" s="106">
        <f>SUM(AC$6:AC$19)+SUM(AE$6:AE$19)+SUM(AG$6:AG$19)+SUM(AI$6:AI$19)</f>
        <v>189895.41835332997</v>
      </c>
      <c r="H131" s="106">
        <f>SUM(AK$6:AK$19)+SUM(AM$6:AM$19)+SUM(AO$6:AO$19)+SUM(AQ$6:AQ$19)</f>
        <v>162534.08018891569</v>
      </c>
      <c r="I131" s="106">
        <f>SUM(AS$6:AS$19)+SUM(AU$6:AU$19)+SUM(AW$6:AW$19)+SUM(AY$6:AY$19)</f>
        <v>184405.83763144276</v>
      </c>
      <c r="J131" s="106">
        <f>SUM(BA$6:BA$19)+SUM(BC$6:BC$19)+SUM(BE$6:BE$19)+SUM(BG$6:BG$19)</f>
        <v>187371.8333424287</v>
      </c>
      <c r="K131" s="106">
        <f>SUM(BI$6:BI$19)+SUM(BK$6:BK$19)+SUM(BM$6:BM$19)+SUM(BO$6:BO$19)</f>
        <v>187539.96905495122</v>
      </c>
      <c r="L131" s="106">
        <f>SUM(BQ$6:BQ$19)+SUM(BS$6:BS$19)+SUM(BU$6:BU$19)+SUM(BW$6:BW$19)</f>
        <v>143601.34097331949</v>
      </c>
      <c r="M131" s="106">
        <f>SUM(BY$6:BY$19)+SUM(CA$6:CA$19)+SUM(CC$6:CC$19)+SUM(CE$6:CE$19)</f>
        <v>175050.60191670695</v>
      </c>
      <c r="N131" s="106">
        <f>SUM(CG$6:CG$19)+SUM(CI$6:CI$19)+SUM(CK$6:CK$19)+SUM(CM$6:CM$19)</f>
        <v>174672.42262261108</v>
      </c>
      <c r="O131" s="106">
        <f>SUM(CO$6:CO$19)+SUM(CQ$6:CQ$19)+SUM(CS$6:CS$19)+SUM(CU$6:CU$19)</f>
        <v>171130.81723206784</v>
      </c>
    </row>
    <row r="132" spans="2:15">
      <c r="C132" s="105" t="s">
        <v>127</v>
      </c>
      <c r="D132" s="106">
        <f>SUM(E$20:E$36)+SUM(G$20:G$36)+SUM(I$20:I$36)+SUM(K$20:K$36)</f>
        <v>160135.69419206871</v>
      </c>
      <c r="E132" s="106">
        <f>SUM(M$20:M$36)+SUM(O$20:O$36)+SUM(Q$20:Q$36)+SUM(S$20:S$36)</f>
        <v>195689.5221753958</v>
      </c>
      <c r="F132" s="106">
        <f>SUM(U$20:U$36)+SUM(W$20:W$36)+SUM(Y$20:Y$36)+SUM(AA$20:AA$36)</f>
        <v>191189.27545015176</v>
      </c>
      <c r="G132" s="106">
        <f>SUM(AC$20:AC$36)+SUM(AE$20:AE$36)+SUM(AG$20:AG$36)+SUM(AI$20:AI$36)</f>
        <v>227138.60058385547</v>
      </c>
      <c r="H132" s="106">
        <f>SUM(AK$20:AK$36)+SUM(AM$20:AM$36)+SUM(AO$20:AO$36)+SUM(AQ$20:AQ$36)</f>
        <v>208200.01102766354</v>
      </c>
      <c r="I132" s="106">
        <f>SUM(AS$20:AS$36)+SUM(AU$20:AU$36)+SUM(AW$20:AW$36)+SUM(AY$20:AY$36)</f>
        <v>216678.5128459718</v>
      </c>
      <c r="J132" s="106">
        <f>SUM(BA$20:BA$36)+SUM(BC$20:BC$36)+SUM(BE$20:BE$36)+SUM(BG$20:BG$36)</f>
        <v>210500.78978906097</v>
      </c>
      <c r="K132" s="106">
        <f>SUM(BI$20:BI$36)+SUM(BK$20:BK$36)+SUM(BM$20:BM$36)+SUM(BO$20:BO$36)</f>
        <v>229802.57795014628</v>
      </c>
      <c r="L132" s="106">
        <f>SUM(BQ$20:BQ$36)+SUM(BS$20:BS$36)+SUM(BU$20:BU$36)+SUM(BW$20:BW$36)</f>
        <v>193569.62028752588</v>
      </c>
      <c r="M132" s="106">
        <f>SUM(BY$20:BY$36)+SUM(CA$20:CA$36)+SUM(CC$20:CC$36)+SUM(CE$20:CE$36)</f>
        <v>195706.79431978086</v>
      </c>
      <c r="N132" s="106">
        <f>SUM(CG$20:CG$36)+SUM(CI$20:CI$36)+SUM(CK$20:CK$36)+SUM(CM$20:CM$36)</f>
        <v>212718.60666408832</v>
      </c>
      <c r="O132" s="106">
        <f>SUM(CO$20:CO$36)+SUM(CQ$20:CQ$36)+SUM(CS$20:CS$36)+SUM(CU$20:CU$36)</f>
        <v>228309.03224748711</v>
      </c>
    </row>
    <row r="133" spans="2:15">
      <c r="C133" s="105" t="s">
        <v>128</v>
      </c>
      <c r="D133" s="106">
        <f>SUM(E$37:E$48)+SUM(G$37:G$48)+SUM(I$37:I$48)+SUM(K$37:K$48)</f>
        <v>593057.8597539342</v>
      </c>
      <c r="E133" s="106">
        <f>SUM(M$37:M$48)+SUM(O$37:O$48)+SUM(Q$37:Q$48)+SUM(S$37:S$48)</f>
        <v>531014.44539978809</v>
      </c>
      <c r="F133" s="106">
        <f>SUM(U$37:U$48)+SUM(W$37:W$48)+SUM(Y$37:Y$48)+SUM(AA$37:AA$48)</f>
        <v>650836.61181012262</v>
      </c>
      <c r="G133" s="106">
        <f>SUM(AC$37:AC$48)+SUM(AE$37:AE$48)+SUM(AG$37:AG$48)+SUM(AI$37:AI$48)</f>
        <v>643351.59931324376</v>
      </c>
      <c r="H133" s="106">
        <f>SUM(AK$37:AK$48)+SUM(AM$37:AM$48)+SUM(AO$37:AO$48)+SUM(AQ$37:AQ$48)</f>
        <v>528346.75500184577</v>
      </c>
      <c r="I133" s="106">
        <f>SUM(AS$37:AS$48)+SUM(AU$37:AU$48)+SUM(AW$37:AW$48)+SUM(AY$37:AY$48)</f>
        <v>565412.93283741036</v>
      </c>
      <c r="J133" s="106">
        <f>SUM(BA$37:BA$48)+SUM(BC$37:BC$48)+SUM(BE$37:BE$48)+SUM(BG$37:BG$48)</f>
        <v>613115.53262782446</v>
      </c>
      <c r="K133" s="106">
        <f>SUM(BI$37:BI$48)+SUM(BK$37:BK$48)+SUM(BM$37:BM$48)+SUM(BO$37:BO$48)</f>
        <v>663762.31065197871</v>
      </c>
      <c r="L133" s="106">
        <f>SUM(BQ$37:BQ$48)+SUM(BS$37:BS$48)+SUM(BU$37:BU$48)+SUM(BW$37:BW$48)</f>
        <v>588057.14288919163</v>
      </c>
      <c r="M133" s="106">
        <f>SUM(BY$37:BY$48)+SUM(CA$37:CA$48)+SUM(CC$37:CC$48)+SUM(CE$37:CE$48)</f>
        <v>551606.30821780534</v>
      </c>
      <c r="N133" s="106">
        <f>SUM(CG$37:CG$48)+SUM(CI$37:CI$48)+SUM(CK$37:CK$48)+SUM(CM$37:CM$48)</f>
        <v>521415.70633467549</v>
      </c>
      <c r="O133" s="106">
        <f>SUM(CO$37:CO$48)+SUM(CQ$37:CQ$48)+SUM(CS$37:CS$48)+SUM(CU$37:CU$48)</f>
        <v>574889.04585106124</v>
      </c>
    </row>
    <row r="134" spans="2:15">
      <c r="C134" s="105" t="s">
        <v>129</v>
      </c>
      <c r="D134" s="106">
        <f>SUM(E$49:E$70)+SUM(G$49:G$70)+SUM(I$49:I$70)+SUM(K$49:K$70)</f>
        <v>404545.88762947859</v>
      </c>
      <c r="E134" s="106">
        <f>SUM(M$49:M$70)+SUM(O$49:O$70)+SUM(Q$49:Q$70)+SUM(S$49:S$70)</f>
        <v>531956.96926859219</v>
      </c>
      <c r="F134" s="106">
        <f>SUM(U$49:U$70)+SUM(W$49:W$70)+SUM(Y$49:Y$70)+SUM(AA$49:AA$70)</f>
        <v>471606.8230908931</v>
      </c>
      <c r="G134" s="106">
        <f>SUM(AC$49:AC$70)+SUM(AE$49:AE$70)+SUM(AG$49:AG$70)+SUM(AI$49:AI$70)</f>
        <v>478910.27303419274</v>
      </c>
      <c r="H134" s="106">
        <f>SUM(AK$49:AK$70)+SUM(AM$49:AM$70)+SUM(AO$49:AO$70)+SUM(AQ$49:AQ$70)</f>
        <v>482379.19416861748</v>
      </c>
      <c r="I134" s="106">
        <f>SUM(AS$49:AS$70)+SUM(AU$49:AU$70)+SUM(AW$49:AW$70)+SUM(AY$49:AY$70)</f>
        <v>581715.22528431157</v>
      </c>
      <c r="J134" s="106">
        <f>SUM(BA$49:BA$70)+SUM(BC$49:BC$70)+SUM(BE$49:BE$70)+SUM(BG$49:BG$70)</f>
        <v>452332.80737420893</v>
      </c>
      <c r="K134" s="106">
        <f>SUM(BI$49:BI$70)+SUM(BK$49:BK$70)+SUM(BM$49:BM$70)+SUM(BO$49:BO$70)</f>
        <v>444612.99996163475</v>
      </c>
      <c r="L134" s="106">
        <f>SUM(BQ$49:BQ$70)+SUM(BS$49:BS$70)+SUM(BU$49:BU$70)+SUM(BW$49:BW$70)</f>
        <v>487019.86657356599</v>
      </c>
      <c r="M134" s="106">
        <f>SUM(BY$49:BY$70)+SUM(CA$49:CA$70)+SUM(CC$49:CC$70)+SUM(CE$49:CE$70)</f>
        <v>529560.66199195129</v>
      </c>
      <c r="N134" s="106">
        <f>SUM(CG$49:CG$70)+SUM(CI$49:CI$70)+SUM(CK$49:CK$70)+SUM(CM$49:CM$70)</f>
        <v>535873.23234877607</v>
      </c>
      <c r="O134" s="106">
        <f>SUM(CO$49:CO$70)+SUM(CQ$49:CQ$70)+SUM(CS$49:CS$70)+SUM(CU$49:CU$70)</f>
        <v>469986.92315666209</v>
      </c>
    </row>
    <row r="135" spans="2:15">
      <c r="C135" s="105" t="s">
        <v>130</v>
      </c>
      <c r="D135" s="106">
        <f>SUM(E$71:E$86)+SUM(G$71:G$86)+SUM(I$71:I$86)+SUM(K$71:K$86)</f>
        <v>215828.82967289595</v>
      </c>
      <c r="E135" s="106">
        <f>SUM(M$71:M$86)+SUM(O$71:O$86)+SUM(Q$71:Q$86)+SUM(S$71:S$86)</f>
        <v>211834.82709078249</v>
      </c>
      <c r="F135" s="106">
        <f>SUM(U$71:U$86)+SUM(W$71:W$86)+SUM(Y$71:Y$86)+SUM(AA$71:AA$86)</f>
        <v>199596.56709856854</v>
      </c>
      <c r="G135" s="106">
        <f>SUM(AC$71:AC$86)+SUM(AE$71:AE$86)+SUM(AG$71:AG$86)+SUM(AI$71:AI$86)</f>
        <v>207213.90586331362</v>
      </c>
      <c r="H135" s="106">
        <f>SUM(AK$71:AK$86)+SUM(AM$71:AM$86)+SUM(AO$71:AO$86)+SUM(AQ$71:AQ$86)</f>
        <v>216319.40193732388</v>
      </c>
      <c r="I135" s="106">
        <f>SUM(AS$71:AS$86)+SUM(AU$71:AU$86)+SUM(AW$71:AW$86)+SUM(AY$71:AY$86)</f>
        <v>203534.4319751673</v>
      </c>
      <c r="J135" s="106">
        <f>SUM(BA$71:BA$86)+SUM(BC$71:BC$86)+SUM(BE$71:BE$86)+SUM(BG$71:BG$86)</f>
        <v>223694.31260169143</v>
      </c>
      <c r="K135" s="106">
        <f>SUM(BI$71:BI$86)+SUM(BK$71:BK$86)+SUM(BM$71:BM$86)+SUM(BO$71:BO$86)</f>
        <v>210297.22992312477</v>
      </c>
      <c r="L135" s="106">
        <f>SUM(BQ$71:BQ$86)+SUM(BS$71:BS$86)+SUM(BU$71:BU$86)+SUM(BW$71:BW$86)</f>
        <v>211974.10260017499</v>
      </c>
      <c r="M135" s="106">
        <f>SUM(BY$71:BY$86)+SUM(CA$71:CA$86)+SUM(CC$71:CC$86)+SUM(CE$71:CE$86)</f>
        <v>198370.89440733945</v>
      </c>
      <c r="N135" s="106">
        <f>SUM(CG$71:CG$86)+SUM(CI$71:CI$86)+SUM(CK$71:CK$86)+SUM(CM$71:CM$86)</f>
        <v>201737.0419334863</v>
      </c>
      <c r="O135" s="106">
        <f>SUM(CO$71:CO$86)+SUM(CQ$71:CQ$86)+SUM(CS$71:CS$86)+SUM(CU$71:CU$86)</f>
        <v>196313.54246207167</v>
      </c>
    </row>
    <row r="136" spans="2:15">
      <c r="C136" s="105" t="s">
        <v>131</v>
      </c>
      <c r="D136" s="106">
        <f>SUM(E$87:E$94)+SUM(G$87:G$94)+SUM(I$87:I$94)+SUM(K$87:K$94)</f>
        <v>161404.80977467427</v>
      </c>
      <c r="E136" s="106">
        <f>SUM(M$87:M$94)+SUM(O$87:O$94)+SUM(Q$87:Q$94)+SUM(S$87:S$94)</f>
        <v>162031.02063919997</v>
      </c>
      <c r="F136" s="106">
        <f>SUM(U$87:U$94)+SUM(W$87:W$94)+SUM(Y$87:Y$94)+SUM(AA$87:AA$94)</f>
        <v>150613.23102509117</v>
      </c>
      <c r="G136" s="106">
        <f>SUM(AC$87:AC$94)+SUM(AE$87:AE$94)+SUM(AG$87:AG$94)+SUM(AI$87:AI$94)</f>
        <v>165330.73022183581</v>
      </c>
      <c r="H136" s="106">
        <f>SUM(AK$87:AK$94)+SUM(AM$87:AM$94)+SUM(AO$87:AO$94)+SUM(AQ$87:AQ$94)</f>
        <v>163790.99320693285</v>
      </c>
      <c r="I136" s="106">
        <f>SUM(AS$87:AS$94)+SUM(AU$87:AU$94)+SUM(AW$87:AW$94)+SUM(AY$87:AY$94)</f>
        <v>152305.45447963395</v>
      </c>
      <c r="J136" s="106">
        <f>SUM(BA$87:BA$94)+SUM(BC$87:BC$94)+SUM(BE$87:BE$94)+SUM(BG$87:BG$94)</f>
        <v>152898.74046751502</v>
      </c>
      <c r="K136" s="106">
        <f>SUM(BI$87:BI$94)+SUM(BK$87:BK$94)+SUM(BM$87:BM$94)+SUM(BO$87:BO$94)</f>
        <v>181242.08725552994</v>
      </c>
      <c r="L136" s="106">
        <f>SUM(BQ$87:BQ$94)+SUM(BS$87:BS$94)+SUM(BU$87:BU$94)+SUM(BW$87:BW$94)</f>
        <v>161839.33023122227</v>
      </c>
      <c r="M136" s="106">
        <f>SUM(BY$87:BY$94)+SUM(CA$87:CA$94)+SUM(CC$87:CC$94)+SUM(CE$87:CE$94)</f>
        <v>138405.62447141699</v>
      </c>
      <c r="N136" s="106">
        <f>SUM(CG$87:CG$94)+SUM(CI$87:CI$94)+SUM(CK$87:CK$94)+SUM(CM$87:CM$94)</f>
        <v>162244.32823472124</v>
      </c>
      <c r="O136" s="106">
        <f>SUM(CO$87:CO$94)+SUM(CQ$87:CQ$94)+SUM(CS$87:CS$94)+SUM(CU$87:CU$94)</f>
        <v>129164.05038218747</v>
      </c>
    </row>
    <row r="137" spans="2:15">
      <c r="C137" s="105" t="s">
        <v>132</v>
      </c>
      <c r="D137" s="106">
        <f>SUM(E$95:E$105)+SUM(G$95:G$105)+SUM(I$95:I$105)+SUM(K$95:K$105)</f>
        <v>305932.64573950035</v>
      </c>
      <c r="E137" s="106">
        <f>SUM(M$95:M$105)+SUM(O$95:O$105)+SUM(Q$95:Q$105)+SUM(S$95:S$105)</f>
        <v>237728.04466588251</v>
      </c>
      <c r="F137" s="106">
        <f>SUM(U$95:U$105)+SUM(W$95:W$105)+SUM(Y$95:Y$105)+SUM(AA$95:AA$105)</f>
        <v>227737.22638325422</v>
      </c>
      <c r="G137" s="106">
        <f>SUM(AC$95:AC$105)+SUM(AE$95:AE$105)+SUM(AG$95:AG$105)+SUM(AI$95:AI$105)</f>
        <v>236221.72658605617</v>
      </c>
      <c r="H137" s="106">
        <f>SUM(AK$95:AK$105)+SUM(AM$95:AM$105)+SUM(AO$95:AO$105)+SUM(AQ$95:AQ$105)</f>
        <v>237964.45674230557</v>
      </c>
      <c r="I137" s="106">
        <f>SUM(AS$95:AS$105)+SUM(AU$95:AU$105)+SUM(AW$95:AW$105)+SUM(AY$95:AY$105)</f>
        <v>243589.94382627076</v>
      </c>
      <c r="J137" s="106">
        <f>SUM(BA$95:BA$105)+SUM(BC$95:BC$105)+SUM(BE$95:BE$105)+SUM(BG$95:BG$105)</f>
        <v>218135.69524259595</v>
      </c>
      <c r="K137" s="106">
        <f>SUM(BI$95:BI$105)+SUM(BK$95:BK$105)+SUM(BM$95:BM$105)+SUM(BO$95:BO$105)</f>
        <v>257605.58349739655</v>
      </c>
      <c r="L137" s="106">
        <f>SUM(BQ$95:BQ$105)+SUM(BS$95:BS$105)+SUM(BU$95:BU$105)+SUM(BW$95:BW$105)</f>
        <v>249625.2027335731</v>
      </c>
      <c r="M137" s="106">
        <f>SUM(BY$95:BY$105)+SUM(CA$95:CA$105)+SUM(CC$95:CC$105)+SUM(CE$95:CE$105)</f>
        <v>237461.31879999739</v>
      </c>
      <c r="N137" s="106">
        <f>SUM(CG$95:CG$105)+SUM(CI$95:CI$105)+SUM(CK$95:CK$105)+SUM(CM$95:CM$105)</f>
        <v>204267.07471231418</v>
      </c>
      <c r="O137" s="106">
        <f>SUM(CO$95:CO$105)+SUM(CQ$95:CQ$105)+SUM(CS$95:CS$105)+SUM(CU$95:CU$105)</f>
        <v>228595.28894377203</v>
      </c>
    </row>
    <row r="138" spans="2:15">
      <c r="C138" s="105" t="s">
        <v>278</v>
      </c>
      <c r="D138" s="100">
        <f t="shared" ref="D138:O138" si="2">SUM(D$131:D$137)</f>
        <v>1951602.5353204932</v>
      </c>
      <c r="E138" s="100">
        <f t="shared" si="2"/>
        <v>1987032.1692670966</v>
      </c>
      <c r="F138" s="100">
        <f t="shared" si="2"/>
        <v>2075540.3191440715</v>
      </c>
      <c r="G138" s="100">
        <f t="shared" si="2"/>
        <v>2148062.2539558276</v>
      </c>
      <c r="H138" s="100">
        <f t="shared" si="2"/>
        <v>1999534.8922736046</v>
      </c>
      <c r="I138" s="100">
        <f t="shared" si="2"/>
        <v>2147642.3388802083</v>
      </c>
      <c r="J138" s="100">
        <f t="shared" si="2"/>
        <v>2058049.7114453253</v>
      </c>
      <c r="K138" s="100">
        <f t="shared" si="2"/>
        <v>2174862.7582947626</v>
      </c>
      <c r="L138" s="100">
        <f t="shared" si="2"/>
        <v>2035686.6062885732</v>
      </c>
      <c r="M138" s="100">
        <f t="shared" si="2"/>
        <v>2026162.2041249983</v>
      </c>
      <c r="N138" s="100">
        <f t="shared" si="2"/>
        <v>2012928.4128506726</v>
      </c>
      <c r="O138" s="100">
        <f t="shared" si="2"/>
        <v>1998388.7002753092</v>
      </c>
    </row>
  </sheetData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01"/>
  <sheetViews>
    <sheetView workbookViewId="0"/>
  </sheetViews>
  <sheetFormatPr baseColWidth="10" defaultColWidth="8.83203125" defaultRowHeight="12" x14ac:dyDescent="0"/>
  <cols>
    <col min="1" max="2" width="8.83203125" style="100"/>
    <col min="3" max="3" width="14.5" style="100" bestFit="1" customWidth="1"/>
    <col min="4" max="4" width="16.83203125" style="100" bestFit="1" customWidth="1"/>
    <col min="5" max="5" width="22.83203125" style="100" bestFit="1" customWidth="1"/>
    <col min="6" max="16384" width="8.83203125" style="100"/>
  </cols>
  <sheetData>
    <row r="1" spans="1:5">
      <c r="A1" s="99" t="s">
        <v>167</v>
      </c>
      <c r="B1" s="99" t="s">
        <v>168</v>
      </c>
      <c r="C1" s="99" t="s">
        <v>169</v>
      </c>
      <c r="D1" s="99" t="s">
        <v>170</v>
      </c>
      <c r="E1" s="99" t="s">
        <v>171</v>
      </c>
    </row>
    <row r="2" spans="1:5">
      <c r="A2" s="99" t="s">
        <v>126</v>
      </c>
      <c r="B2" s="99" t="s">
        <v>172</v>
      </c>
      <c r="C2" s="100" t="s">
        <v>59</v>
      </c>
      <c r="D2" s="100">
        <v>482</v>
      </c>
      <c r="E2" s="100">
        <v>578.4</v>
      </c>
    </row>
    <row r="3" spans="1:5">
      <c r="B3" s="99" t="s">
        <v>173</v>
      </c>
      <c r="C3" s="100" t="s">
        <v>59</v>
      </c>
      <c r="D3" s="100">
        <v>657</v>
      </c>
      <c r="E3" s="100">
        <v>788.4</v>
      </c>
    </row>
    <row r="4" spans="1:5">
      <c r="B4" s="99" t="s">
        <v>174</v>
      </c>
      <c r="C4" s="100" t="s">
        <v>59</v>
      </c>
      <c r="D4" s="100">
        <v>258</v>
      </c>
      <c r="E4" s="100">
        <v>309.59999999999997</v>
      </c>
    </row>
    <row r="5" spans="1:5">
      <c r="B5" s="99" t="s">
        <v>175</v>
      </c>
      <c r="C5" s="100" t="s">
        <v>59</v>
      </c>
      <c r="D5" s="100">
        <v>585</v>
      </c>
      <c r="E5" s="100">
        <v>702</v>
      </c>
    </row>
    <row r="6" spans="1:5">
      <c r="B6" s="99" t="s">
        <v>176</v>
      </c>
      <c r="C6" s="100" t="s">
        <v>59</v>
      </c>
      <c r="D6" s="100">
        <v>454</v>
      </c>
      <c r="E6" s="100">
        <v>544.79999999999995</v>
      </c>
    </row>
    <row r="7" spans="1:5">
      <c r="B7" s="99" t="s">
        <v>177</v>
      </c>
      <c r="C7" s="100" t="s">
        <v>59</v>
      </c>
      <c r="D7" s="100">
        <v>444</v>
      </c>
      <c r="E7" s="100">
        <v>532.79999999999995</v>
      </c>
    </row>
    <row r="8" spans="1:5">
      <c r="B8" s="99" t="s">
        <v>178</v>
      </c>
      <c r="C8" s="100" t="s">
        <v>59</v>
      </c>
      <c r="D8" s="100">
        <v>469</v>
      </c>
      <c r="E8" s="100">
        <v>562.79999999999995</v>
      </c>
    </row>
    <row r="9" spans="1:5">
      <c r="B9" s="99" t="s">
        <v>179</v>
      </c>
      <c r="C9" s="100" t="s">
        <v>59</v>
      </c>
      <c r="D9" s="100">
        <v>71</v>
      </c>
      <c r="E9" s="100">
        <v>85.2</v>
      </c>
    </row>
    <row r="10" spans="1:5">
      <c r="B10" s="99" t="s">
        <v>180</v>
      </c>
      <c r="C10" s="100" t="s">
        <v>59</v>
      </c>
      <c r="D10" s="100">
        <v>407</v>
      </c>
      <c r="E10" s="100">
        <v>488.4</v>
      </c>
    </row>
    <row r="11" spans="1:5">
      <c r="B11" s="99" t="s">
        <v>181</v>
      </c>
      <c r="C11" s="100" t="s">
        <v>59</v>
      </c>
      <c r="D11" s="100">
        <v>636</v>
      </c>
      <c r="E11" s="100">
        <v>763.19999999999993</v>
      </c>
    </row>
    <row r="12" spans="1:5">
      <c r="B12" s="99" t="s">
        <v>182</v>
      </c>
      <c r="C12" s="100" t="s">
        <v>59</v>
      </c>
      <c r="D12" s="100">
        <v>284</v>
      </c>
      <c r="E12" s="100">
        <v>340.8</v>
      </c>
    </row>
    <row r="13" spans="1:5">
      <c r="B13" s="99" t="s">
        <v>183</v>
      </c>
      <c r="C13" s="100" t="s">
        <v>59</v>
      </c>
      <c r="D13" s="100">
        <v>352</v>
      </c>
      <c r="E13" s="100">
        <v>422.4</v>
      </c>
    </row>
    <row r="14" spans="1:5">
      <c r="B14" s="99" t="s">
        <v>184</v>
      </c>
      <c r="C14" s="100" t="s">
        <v>59</v>
      </c>
      <c r="D14" s="100">
        <v>544</v>
      </c>
      <c r="E14" s="100">
        <v>652.79999999999995</v>
      </c>
    </row>
    <row r="15" spans="1:5">
      <c r="B15" s="99" t="s">
        <v>185</v>
      </c>
      <c r="C15" s="100" t="s">
        <v>59</v>
      </c>
      <c r="D15" s="100">
        <v>275</v>
      </c>
      <c r="E15" s="100">
        <v>330</v>
      </c>
    </row>
    <row r="16" spans="1:5">
      <c r="A16" s="99" t="s">
        <v>127</v>
      </c>
      <c r="B16" s="99" t="s">
        <v>186</v>
      </c>
      <c r="C16" s="100" t="s">
        <v>59</v>
      </c>
      <c r="D16" s="100">
        <v>239</v>
      </c>
      <c r="E16" s="100">
        <v>286.8</v>
      </c>
    </row>
    <row r="17" spans="2:5">
      <c r="B17" s="99" t="s">
        <v>187</v>
      </c>
      <c r="C17" s="100" t="s">
        <v>59</v>
      </c>
      <c r="D17" s="100">
        <v>52</v>
      </c>
      <c r="E17" s="100">
        <v>62.4</v>
      </c>
    </row>
    <row r="18" spans="2:5">
      <c r="B18" s="99" t="s">
        <v>188</v>
      </c>
      <c r="C18" s="100" t="s">
        <v>59</v>
      </c>
      <c r="D18" s="100">
        <v>156</v>
      </c>
      <c r="E18" s="100">
        <v>187.2</v>
      </c>
    </row>
    <row r="19" spans="2:5">
      <c r="B19" s="99" t="s">
        <v>189</v>
      </c>
      <c r="C19" s="100" t="s">
        <v>59</v>
      </c>
      <c r="D19" s="100">
        <v>245</v>
      </c>
      <c r="E19" s="100">
        <v>294</v>
      </c>
    </row>
    <row r="20" spans="2:5">
      <c r="B20" s="99" t="s">
        <v>190</v>
      </c>
      <c r="C20" s="100" t="s">
        <v>59</v>
      </c>
      <c r="D20" s="100">
        <v>306</v>
      </c>
      <c r="E20" s="100">
        <v>367.2</v>
      </c>
    </row>
    <row r="21" spans="2:5">
      <c r="B21" s="99" t="s">
        <v>191</v>
      </c>
      <c r="C21" s="100" t="s">
        <v>59</v>
      </c>
      <c r="D21" s="100">
        <v>442</v>
      </c>
      <c r="E21" s="100">
        <v>530.4</v>
      </c>
    </row>
    <row r="22" spans="2:5">
      <c r="B22" s="99" t="s">
        <v>192</v>
      </c>
      <c r="C22" s="100" t="s">
        <v>59</v>
      </c>
      <c r="D22" s="100">
        <v>405</v>
      </c>
      <c r="E22" s="100">
        <v>486</v>
      </c>
    </row>
    <row r="23" spans="2:5">
      <c r="B23" s="99" t="s">
        <v>193</v>
      </c>
      <c r="C23" s="100" t="s">
        <v>59</v>
      </c>
      <c r="D23" s="100">
        <v>356</v>
      </c>
      <c r="E23" s="100">
        <v>427.2</v>
      </c>
    </row>
    <row r="24" spans="2:5">
      <c r="B24" s="99" t="s">
        <v>194</v>
      </c>
      <c r="C24" s="100" t="s">
        <v>59</v>
      </c>
      <c r="D24" s="100">
        <v>615</v>
      </c>
      <c r="E24" s="100">
        <v>738</v>
      </c>
    </row>
    <row r="25" spans="2:5">
      <c r="B25" s="99" t="s">
        <v>195</v>
      </c>
      <c r="C25" s="100" t="s">
        <v>59</v>
      </c>
      <c r="D25" s="100">
        <v>282</v>
      </c>
      <c r="E25" s="100">
        <v>338.4</v>
      </c>
    </row>
    <row r="26" spans="2:5">
      <c r="B26" s="99" t="s">
        <v>196</v>
      </c>
      <c r="C26" s="100" t="s">
        <v>59</v>
      </c>
      <c r="D26" s="100">
        <v>116</v>
      </c>
      <c r="E26" s="100">
        <v>139.19999999999999</v>
      </c>
    </row>
    <row r="27" spans="2:5">
      <c r="B27" s="99" t="s">
        <v>197</v>
      </c>
      <c r="C27" s="100" t="s">
        <v>59</v>
      </c>
      <c r="D27" s="100">
        <v>284</v>
      </c>
      <c r="E27" s="100">
        <v>340.8</v>
      </c>
    </row>
    <row r="28" spans="2:5">
      <c r="B28" s="99" t="s">
        <v>198</v>
      </c>
      <c r="C28" s="100" t="s">
        <v>59</v>
      </c>
      <c r="D28" s="100">
        <v>700</v>
      </c>
      <c r="E28" s="100">
        <v>840</v>
      </c>
    </row>
    <row r="29" spans="2:5">
      <c r="B29" s="99" t="s">
        <v>199</v>
      </c>
      <c r="C29" s="100" t="s">
        <v>59</v>
      </c>
      <c r="D29" s="100">
        <v>395</v>
      </c>
      <c r="E29" s="100">
        <v>474</v>
      </c>
    </row>
    <row r="30" spans="2:5">
      <c r="B30" s="99" t="s">
        <v>200</v>
      </c>
      <c r="C30" s="100" t="s">
        <v>59</v>
      </c>
      <c r="D30" s="100">
        <v>457</v>
      </c>
      <c r="E30" s="100">
        <v>548.4</v>
      </c>
    </row>
    <row r="31" spans="2:5">
      <c r="B31" s="99" t="s">
        <v>201</v>
      </c>
      <c r="C31" s="100" t="s">
        <v>59</v>
      </c>
      <c r="D31" s="100">
        <v>419</v>
      </c>
      <c r="E31" s="100">
        <v>502.7999999999999</v>
      </c>
    </row>
    <row r="32" spans="2:5">
      <c r="B32" s="99" t="s">
        <v>202</v>
      </c>
      <c r="C32" s="100" t="s">
        <v>59</v>
      </c>
      <c r="D32" s="100">
        <v>634</v>
      </c>
      <c r="E32" s="100">
        <v>760.8</v>
      </c>
    </row>
    <row r="33" spans="1:5">
      <c r="A33" s="99" t="s">
        <v>128</v>
      </c>
      <c r="B33" s="99" t="s">
        <v>203</v>
      </c>
      <c r="C33" s="100" t="s">
        <v>59</v>
      </c>
      <c r="D33" s="100">
        <v>717</v>
      </c>
      <c r="E33" s="100">
        <v>860.4</v>
      </c>
    </row>
    <row r="34" spans="1:5">
      <c r="B34" s="99" t="s">
        <v>204</v>
      </c>
      <c r="C34" s="100" t="s">
        <v>59</v>
      </c>
      <c r="D34" s="100">
        <v>1035</v>
      </c>
      <c r="E34" s="100">
        <v>1242</v>
      </c>
    </row>
    <row r="35" spans="1:5">
      <c r="B35" s="99" t="s">
        <v>205</v>
      </c>
      <c r="C35" s="100" t="s">
        <v>59</v>
      </c>
      <c r="D35" s="100">
        <v>1186</v>
      </c>
      <c r="E35" s="100">
        <v>1423.2</v>
      </c>
    </row>
    <row r="36" spans="1:5">
      <c r="B36" s="99" t="s">
        <v>206</v>
      </c>
      <c r="C36" s="100" t="s">
        <v>59</v>
      </c>
      <c r="D36" s="100">
        <v>604</v>
      </c>
      <c r="E36" s="100">
        <v>724.8</v>
      </c>
    </row>
    <row r="37" spans="1:5">
      <c r="B37" s="99" t="s">
        <v>207</v>
      </c>
      <c r="C37" s="100" t="s">
        <v>59</v>
      </c>
      <c r="D37" s="100">
        <v>550</v>
      </c>
      <c r="E37" s="100">
        <v>660</v>
      </c>
    </row>
    <row r="38" spans="1:5">
      <c r="B38" s="99" t="s">
        <v>208</v>
      </c>
      <c r="C38" s="100" t="s">
        <v>59</v>
      </c>
      <c r="D38" s="100">
        <v>705</v>
      </c>
      <c r="E38" s="100">
        <v>846</v>
      </c>
    </row>
    <row r="39" spans="1:5">
      <c r="B39" s="99" t="s">
        <v>209</v>
      </c>
      <c r="C39" s="100" t="s">
        <v>59</v>
      </c>
      <c r="D39" s="100">
        <v>852</v>
      </c>
      <c r="E39" s="100">
        <v>1022.4</v>
      </c>
    </row>
    <row r="40" spans="1:5">
      <c r="B40" s="99" t="s">
        <v>210</v>
      </c>
      <c r="C40" s="100" t="s">
        <v>59</v>
      </c>
      <c r="D40" s="100">
        <v>852</v>
      </c>
      <c r="E40" s="100">
        <v>1022.4</v>
      </c>
    </row>
    <row r="41" spans="1:5">
      <c r="B41" s="99" t="s">
        <v>211</v>
      </c>
      <c r="C41" s="100" t="s">
        <v>59</v>
      </c>
      <c r="D41" s="100">
        <v>1041</v>
      </c>
      <c r="E41" s="100">
        <v>1249.2</v>
      </c>
    </row>
    <row r="42" spans="1:5">
      <c r="B42" s="99" t="s">
        <v>212</v>
      </c>
      <c r="C42" s="100" t="s">
        <v>59</v>
      </c>
      <c r="D42" s="100">
        <v>1010</v>
      </c>
      <c r="E42" s="100">
        <v>1212</v>
      </c>
    </row>
    <row r="43" spans="1:5">
      <c r="B43" s="99" t="s">
        <v>213</v>
      </c>
      <c r="C43" s="100" t="s">
        <v>59</v>
      </c>
      <c r="D43" s="100">
        <v>1273</v>
      </c>
      <c r="E43" s="100">
        <v>1527.6</v>
      </c>
    </row>
    <row r="44" spans="1:5">
      <c r="B44" s="99" t="s">
        <v>214</v>
      </c>
      <c r="C44" s="100" t="s">
        <v>59</v>
      </c>
      <c r="D44" s="100">
        <v>723</v>
      </c>
      <c r="E44" s="100">
        <v>867.6</v>
      </c>
    </row>
    <row r="45" spans="1:5">
      <c r="A45" s="99" t="s">
        <v>129</v>
      </c>
      <c r="B45" s="99" t="s">
        <v>215</v>
      </c>
      <c r="C45" s="100" t="s">
        <v>22</v>
      </c>
      <c r="D45" s="100">
        <v>821</v>
      </c>
      <c r="E45" s="100">
        <v>985.19999999999993</v>
      </c>
    </row>
    <row r="46" spans="1:5">
      <c r="B46" s="99" t="s">
        <v>216</v>
      </c>
      <c r="C46" s="100" t="s">
        <v>59</v>
      </c>
      <c r="D46" s="100">
        <v>235</v>
      </c>
      <c r="E46" s="100">
        <v>282</v>
      </c>
    </row>
    <row r="47" spans="1:5">
      <c r="B47" s="99" t="s">
        <v>217</v>
      </c>
      <c r="C47" s="100" t="s">
        <v>59</v>
      </c>
      <c r="D47" s="100">
        <v>712</v>
      </c>
      <c r="E47" s="100">
        <v>854.4</v>
      </c>
    </row>
    <row r="48" spans="1:5">
      <c r="B48" s="99" t="s">
        <v>218</v>
      </c>
      <c r="C48" s="100" t="s">
        <v>59</v>
      </c>
      <c r="D48" s="100">
        <v>450</v>
      </c>
      <c r="E48" s="100">
        <v>540</v>
      </c>
    </row>
    <row r="49" spans="2:5">
      <c r="B49" s="99" t="s">
        <v>219</v>
      </c>
      <c r="C49" s="100" t="s">
        <v>59</v>
      </c>
      <c r="D49" s="100">
        <v>339</v>
      </c>
      <c r="E49" s="100">
        <v>406.8</v>
      </c>
    </row>
    <row r="50" spans="2:5">
      <c r="B50" s="99" t="s">
        <v>220</v>
      </c>
      <c r="C50" s="100" t="s">
        <v>59</v>
      </c>
      <c r="D50" s="100">
        <v>279</v>
      </c>
      <c r="E50" s="100">
        <v>334.8</v>
      </c>
    </row>
    <row r="51" spans="2:5">
      <c r="B51" s="99" t="s">
        <v>221</v>
      </c>
      <c r="C51" s="100" t="s">
        <v>59</v>
      </c>
      <c r="D51" s="100">
        <v>553</v>
      </c>
      <c r="E51" s="100">
        <v>663.6</v>
      </c>
    </row>
    <row r="52" spans="2:5">
      <c r="B52" s="99" t="s">
        <v>222</v>
      </c>
      <c r="C52" s="100" t="s">
        <v>46</v>
      </c>
      <c r="D52" s="100">
        <v>818</v>
      </c>
      <c r="E52" s="100">
        <v>981.59999999999991</v>
      </c>
    </row>
    <row r="53" spans="2:5">
      <c r="B53" s="99" t="s">
        <v>223</v>
      </c>
      <c r="C53" s="100" t="s">
        <v>59</v>
      </c>
      <c r="D53" s="100">
        <v>1176</v>
      </c>
      <c r="E53" s="100">
        <v>1411.2</v>
      </c>
    </row>
    <row r="54" spans="2:5">
      <c r="B54" s="99" t="s">
        <v>224</v>
      </c>
      <c r="C54" s="100" t="s">
        <v>22</v>
      </c>
      <c r="D54" s="100">
        <v>981</v>
      </c>
      <c r="E54" s="100">
        <v>1177.2</v>
      </c>
    </row>
    <row r="55" spans="2:5">
      <c r="B55" s="99" t="s">
        <v>225</v>
      </c>
      <c r="C55" s="100" t="s">
        <v>59</v>
      </c>
      <c r="D55" s="100">
        <v>253</v>
      </c>
      <c r="E55" s="100">
        <v>303.59999999999997</v>
      </c>
    </row>
    <row r="56" spans="2:5">
      <c r="B56" s="99" t="s">
        <v>226</v>
      </c>
      <c r="C56" s="100" t="s">
        <v>59</v>
      </c>
      <c r="D56" s="100">
        <v>543</v>
      </c>
      <c r="E56" s="100">
        <v>651.6</v>
      </c>
    </row>
    <row r="57" spans="2:5">
      <c r="B57" s="99" t="s">
        <v>227</v>
      </c>
      <c r="C57" s="100" t="s">
        <v>59</v>
      </c>
      <c r="D57" s="100">
        <v>793</v>
      </c>
      <c r="E57" s="100">
        <v>951.59999999999991</v>
      </c>
    </row>
    <row r="58" spans="2:5">
      <c r="B58" s="99" t="s">
        <v>228</v>
      </c>
      <c r="C58" s="100" t="s">
        <v>46</v>
      </c>
      <c r="D58" s="100">
        <v>1391</v>
      </c>
      <c r="E58" s="100">
        <v>1669.2</v>
      </c>
    </row>
    <row r="59" spans="2:5">
      <c r="B59" s="99" t="s">
        <v>229</v>
      </c>
      <c r="C59" s="100" t="s">
        <v>59</v>
      </c>
      <c r="D59" s="100">
        <v>663</v>
      </c>
      <c r="E59" s="100">
        <v>795.6</v>
      </c>
    </row>
    <row r="60" spans="2:5">
      <c r="B60" s="99" t="s">
        <v>230</v>
      </c>
      <c r="C60" s="100" t="s">
        <v>59</v>
      </c>
      <c r="D60" s="100">
        <v>841</v>
      </c>
      <c r="E60" s="100">
        <v>1009.1999999999998</v>
      </c>
    </row>
    <row r="61" spans="2:5">
      <c r="B61" s="99" t="s">
        <v>231</v>
      </c>
      <c r="C61" s="100" t="s">
        <v>59</v>
      </c>
      <c r="D61" s="100">
        <v>855</v>
      </c>
      <c r="E61" s="100">
        <v>1026</v>
      </c>
    </row>
    <row r="62" spans="2:5">
      <c r="B62" s="99" t="s">
        <v>232</v>
      </c>
      <c r="C62" s="100" t="s">
        <v>59</v>
      </c>
      <c r="D62" s="100">
        <v>992</v>
      </c>
      <c r="E62" s="100">
        <v>1190.3999999999999</v>
      </c>
    </row>
    <row r="63" spans="2:5">
      <c r="B63" s="99" t="s">
        <v>233</v>
      </c>
      <c r="C63" s="100" t="s">
        <v>59</v>
      </c>
      <c r="D63" s="100">
        <v>936</v>
      </c>
      <c r="E63" s="100">
        <v>1123.2</v>
      </c>
    </row>
    <row r="64" spans="2:5">
      <c r="B64" s="99" t="s">
        <v>234</v>
      </c>
      <c r="C64" s="100" t="s">
        <v>59</v>
      </c>
      <c r="D64" s="100">
        <v>861</v>
      </c>
      <c r="E64" s="100">
        <v>1033.2</v>
      </c>
    </row>
    <row r="65" spans="1:5">
      <c r="B65" s="99" t="s">
        <v>235</v>
      </c>
      <c r="C65" s="100" t="s">
        <v>59</v>
      </c>
      <c r="D65" s="100">
        <v>632</v>
      </c>
      <c r="E65" s="100">
        <v>758.4</v>
      </c>
    </row>
    <row r="66" spans="1:5">
      <c r="B66" s="99" t="s">
        <v>236</v>
      </c>
      <c r="C66" s="100" t="s">
        <v>59</v>
      </c>
      <c r="D66" s="100">
        <v>446</v>
      </c>
      <c r="E66" s="100">
        <v>535.19999999999993</v>
      </c>
    </row>
    <row r="67" spans="1:5">
      <c r="A67" s="99" t="s">
        <v>130</v>
      </c>
      <c r="B67" s="99" t="s">
        <v>237</v>
      </c>
      <c r="C67" s="100" t="s">
        <v>22</v>
      </c>
      <c r="D67" s="100">
        <v>470</v>
      </c>
      <c r="E67" s="100">
        <v>564</v>
      </c>
    </row>
    <row r="68" spans="1:5">
      <c r="B68" s="99" t="s">
        <v>238</v>
      </c>
      <c r="C68" s="100" t="s">
        <v>22</v>
      </c>
      <c r="D68" s="100">
        <v>62</v>
      </c>
      <c r="E68" s="100">
        <v>74.399999999999991</v>
      </c>
    </row>
    <row r="69" spans="1:5">
      <c r="B69" s="99" t="s">
        <v>239</v>
      </c>
      <c r="C69" s="100" t="s">
        <v>22</v>
      </c>
      <c r="D69" s="100">
        <v>466</v>
      </c>
      <c r="E69" s="100">
        <v>559.19999999999993</v>
      </c>
    </row>
    <row r="70" spans="1:5">
      <c r="B70" s="99" t="s">
        <v>240</v>
      </c>
      <c r="C70" s="100" t="s">
        <v>22</v>
      </c>
      <c r="D70" s="100">
        <v>336</v>
      </c>
      <c r="E70" s="100">
        <v>403.2</v>
      </c>
    </row>
    <row r="71" spans="1:5">
      <c r="B71" s="99" t="s">
        <v>241</v>
      </c>
      <c r="C71" s="100" t="s">
        <v>22</v>
      </c>
      <c r="D71" s="100">
        <v>536</v>
      </c>
      <c r="E71" s="100">
        <v>643.19999999999993</v>
      </c>
    </row>
    <row r="72" spans="1:5">
      <c r="B72" s="99" t="s">
        <v>242</v>
      </c>
      <c r="C72" s="100" t="s">
        <v>22</v>
      </c>
      <c r="D72" s="100">
        <v>649</v>
      </c>
      <c r="E72" s="100">
        <v>778.8</v>
      </c>
    </row>
    <row r="73" spans="1:5">
      <c r="B73" s="99" t="s">
        <v>243</v>
      </c>
      <c r="C73" s="100" t="s">
        <v>22</v>
      </c>
      <c r="D73" s="100">
        <v>232</v>
      </c>
      <c r="E73" s="100">
        <v>278.39999999999998</v>
      </c>
    </row>
    <row r="74" spans="1:5">
      <c r="B74" s="99" t="s">
        <v>244</v>
      </c>
      <c r="C74" s="100" t="s">
        <v>22</v>
      </c>
      <c r="D74" s="100">
        <v>460</v>
      </c>
      <c r="E74" s="100">
        <v>552</v>
      </c>
    </row>
    <row r="75" spans="1:5">
      <c r="B75" s="99" t="s">
        <v>245</v>
      </c>
      <c r="C75" s="100" t="s">
        <v>22</v>
      </c>
      <c r="D75" s="100">
        <v>631</v>
      </c>
      <c r="E75" s="100">
        <v>757.19999999999993</v>
      </c>
    </row>
    <row r="76" spans="1:5">
      <c r="B76" s="99" t="s">
        <v>246</v>
      </c>
      <c r="C76" s="100" t="s">
        <v>22</v>
      </c>
      <c r="D76" s="100">
        <v>671</v>
      </c>
      <c r="E76" s="100">
        <v>805.19999999999993</v>
      </c>
    </row>
    <row r="77" spans="1:5">
      <c r="B77" s="99" t="s">
        <v>247</v>
      </c>
      <c r="C77" s="100" t="s">
        <v>22</v>
      </c>
      <c r="D77" s="100">
        <v>628</v>
      </c>
      <c r="E77" s="100">
        <v>753.6</v>
      </c>
    </row>
    <row r="78" spans="1:5">
      <c r="B78" s="99" t="s">
        <v>248</v>
      </c>
      <c r="C78" s="100" t="s">
        <v>22</v>
      </c>
      <c r="D78" s="100">
        <v>424</v>
      </c>
      <c r="E78" s="100">
        <v>508.7999999999999</v>
      </c>
    </row>
    <row r="79" spans="1:5">
      <c r="B79" s="99" t="s">
        <v>249</v>
      </c>
      <c r="C79" s="100" t="s">
        <v>22</v>
      </c>
      <c r="D79" s="100">
        <v>717</v>
      </c>
      <c r="E79" s="100">
        <v>860.4</v>
      </c>
    </row>
    <row r="80" spans="1:5">
      <c r="B80" s="99" t="s">
        <v>250</v>
      </c>
      <c r="C80" s="100" t="s">
        <v>22</v>
      </c>
      <c r="D80" s="100">
        <v>651</v>
      </c>
      <c r="E80" s="100">
        <v>781.19999999999993</v>
      </c>
    </row>
    <row r="81" spans="1:5">
      <c r="B81" s="99" t="s">
        <v>251</v>
      </c>
      <c r="C81" s="100" t="s">
        <v>22</v>
      </c>
      <c r="D81" s="100">
        <v>125</v>
      </c>
      <c r="E81" s="100">
        <v>150</v>
      </c>
    </row>
    <row r="82" spans="1:5">
      <c r="B82" s="99" t="s">
        <v>252</v>
      </c>
      <c r="C82" s="100" t="s">
        <v>22</v>
      </c>
      <c r="D82" s="100">
        <v>450</v>
      </c>
      <c r="E82" s="100">
        <v>540</v>
      </c>
    </row>
    <row r="83" spans="1:5">
      <c r="A83" s="99" t="s">
        <v>131</v>
      </c>
      <c r="B83" s="99" t="s">
        <v>253</v>
      </c>
      <c r="C83" s="100" t="s">
        <v>46</v>
      </c>
      <c r="D83" s="100">
        <v>895</v>
      </c>
      <c r="E83" s="100">
        <v>1074</v>
      </c>
    </row>
    <row r="84" spans="1:5">
      <c r="B84" s="99" t="s">
        <v>254</v>
      </c>
      <c r="C84" s="100" t="s">
        <v>46</v>
      </c>
      <c r="D84" s="100">
        <v>827</v>
      </c>
      <c r="E84" s="100">
        <v>992.4</v>
      </c>
    </row>
    <row r="85" spans="1:5">
      <c r="B85" s="99" t="s">
        <v>255</v>
      </c>
      <c r="C85" s="100" t="s">
        <v>46</v>
      </c>
      <c r="D85" s="100">
        <v>885</v>
      </c>
      <c r="E85" s="100">
        <v>1062</v>
      </c>
    </row>
    <row r="86" spans="1:5">
      <c r="B86" s="99" t="s">
        <v>256</v>
      </c>
      <c r="C86" s="100" t="s">
        <v>46</v>
      </c>
      <c r="D86" s="100">
        <v>924</v>
      </c>
      <c r="E86" s="100">
        <v>1108.8</v>
      </c>
    </row>
    <row r="87" spans="1:5">
      <c r="B87" s="99" t="s">
        <v>257</v>
      </c>
      <c r="C87" s="100" t="s">
        <v>46</v>
      </c>
      <c r="D87" s="100">
        <v>947</v>
      </c>
      <c r="E87" s="100">
        <v>1136.3999999999999</v>
      </c>
    </row>
    <row r="88" spans="1:5">
      <c r="B88" s="99" t="s">
        <v>258</v>
      </c>
      <c r="C88" s="100" t="s">
        <v>46</v>
      </c>
      <c r="D88" s="100">
        <v>654</v>
      </c>
      <c r="E88" s="100">
        <v>784.8</v>
      </c>
    </row>
    <row r="89" spans="1:5">
      <c r="B89" s="99" t="s">
        <v>259</v>
      </c>
      <c r="C89" s="100" t="s">
        <v>46</v>
      </c>
      <c r="D89" s="100">
        <v>578</v>
      </c>
      <c r="E89" s="100">
        <v>693.6</v>
      </c>
    </row>
    <row r="90" spans="1:5">
      <c r="B90" s="99" t="s">
        <v>260</v>
      </c>
      <c r="C90" s="100" t="s">
        <v>46</v>
      </c>
      <c r="D90" s="100">
        <v>994</v>
      </c>
      <c r="E90" s="100">
        <v>1192.8</v>
      </c>
    </row>
    <row r="91" spans="1:5">
      <c r="A91" s="99" t="s">
        <v>132</v>
      </c>
      <c r="B91" s="99" t="s">
        <v>261</v>
      </c>
      <c r="C91" s="100" t="s">
        <v>46</v>
      </c>
      <c r="D91" s="100">
        <v>274</v>
      </c>
      <c r="E91" s="100">
        <v>328.8</v>
      </c>
    </row>
    <row r="92" spans="1:5">
      <c r="B92" s="99" t="s">
        <v>262</v>
      </c>
      <c r="C92" s="100" t="s">
        <v>46</v>
      </c>
      <c r="D92" s="100">
        <v>579</v>
      </c>
      <c r="E92" s="100">
        <v>694.8</v>
      </c>
    </row>
    <row r="93" spans="1:5">
      <c r="B93" s="99" t="s">
        <v>263</v>
      </c>
      <c r="C93" s="100" t="s">
        <v>46</v>
      </c>
      <c r="D93" s="100">
        <v>327</v>
      </c>
      <c r="E93" s="100">
        <v>392.4</v>
      </c>
    </row>
    <row r="94" spans="1:5">
      <c r="B94" s="99" t="s">
        <v>264</v>
      </c>
      <c r="C94" s="100" t="s">
        <v>46</v>
      </c>
      <c r="D94" s="100">
        <v>438</v>
      </c>
      <c r="E94" s="100">
        <v>525.6</v>
      </c>
    </row>
    <row r="95" spans="1:5">
      <c r="B95" s="99" t="s">
        <v>265</v>
      </c>
      <c r="C95" s="100" t="s">
        <v>46</v>
      </c>
      <c r="D95" s="100">
        <v>3507</v>
      </c>
      <c r="E95" s="100">
        <v>4208.3999999999996</v>
      </c>
    </row>
    <row r="96" spans="1:5">
      <c r="B96" s="99" t="s">
        <v>266</v>
      </c>
      <c r="C96" s="100" t="s">
        <v>46</v>
      </c>
      <c r="D96" s="100">
        <v>270</v>
      </c>
      <c r="E96" s="100">
        <v>324</v>
      </c>
    </row>
    <row r="97" spans="2:5">
      <c r="B97" s="99" t="s">
        <v>267</v>
      </c>
      <c r="C97" s="100" t="s">
        <v>46</v>
      </c>
      <c r="D97" s="100">
        <v>603</v>
      </c>
      <c r="E97" s="100">
        <v>723.6</v>
      </c>
    </row>
    <row r="98" spans="2:5">
      <c r="B98" s="99" t="s">
        <v>268</v>
      </c>
      <c r="C98" s="100" t="s">
        <v>46</v>
      </c>
      <c r="D98" s="100">
        <v>443</v>
      </c>
      <c r="E98" s="100">
        <v>531.6</v>
      </c>
    </row>
    <row r="99" spans="2:5">
      <c r="B99" s="99" t="s">
        <v>269</v>
      </c>
      <c r="C99" s="100" t="s">
        <v>46</v>
      </c>
      <c r="D99" s="100">
        <v>491</v>
      </c>
      <c r="E99" s="100">
        <v>589.19999999999993</v>
      </c>
    </row>
    <row r="100" spans="2:5">
      <c r="B100" s="99" t="s">
        <v>270</v>
      </c>
      <c r="C100" s="100" t="s">
        <v>46</v>
      </c>
      <c r="D100" s="100">
        <v>527</v>
      </c>
      <c r="E100" s="100">
        <v>632.4</v>
      </c>
    </row>
    <row r="101" spans="2:5">
      <c r="B101" s="99" t="s">
        <v>271</v>
      </c>
      <c r="C101" s="100" t="s">
        <v>46</v>
      </c>
      <c r="D101" s="100">
        <v>464</v>
      </c>
      <c r="E101" s="100">
        <v>556.79999999999995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basic_info</vt:lpstr>
      <vt:lpstr>facilities</vt:lpstr>
      <vt:lpstr>raw_materials</vt:lpstr>
      <vt:lpstr>shipping_manufacturing</vt:lpstr>
      <vt:lpstr>pricing</vt:lpstr>
      <vt:lpstr>annual_report</vt:lpstr>
      <vt:lpstr>grove</vt:lpstr>
      <vt:lpstr>P05</vt:lpstr>
      <vt:lpstr>P07</vt:lpstr>
      <vt:lpstr>S15</vt:lpstr>
      <vt:lpstr>S48</vt:lpstr>
      <vt:lpstr>S61</vt:lpstr>
      <vt:lpstr>ORA</vt:lpstr>
      <vt:lpstr>POJ</vt:lpstr>
      <vt:lpstr>ROJ</vt:lpstr>
      <vt:lpstr>FCOJ</vt:lpstr>
      <vt:lpstr>market</vt:lpstr>
    </vt:vector>
  </TitlesOfParts>
  <Company>Princeton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Stella Ma</dc:creator>
  <cp:lastModifiedBy>Alex</cp:lastModifiedBy>
  <dcterms:created xsi:type="dcterms:W3CDTF">2003-07-09T21:14:27Z</dcterms:created>
  <dcterms:modified xsi:type="dcterms:W3CDTF">2015-01-12T18:52:53Z</dcterms:modified>
</cp:coreProperties>
</file>